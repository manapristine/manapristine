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8.xml" ContentType="application/vnd.openxmlformats-officedocument.spreadsheetml.worksheet+xml"/>
  <Override PartName="/xl/comments/comment2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/comment3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840" tabRatio="600" firstSheet="20" activeTab="27" autoFilterDateGrouping="1"/>
  </bookViews>
  <sheets>
    <sheet name="Apr2026-EXPENSE" sheetId="1" state="visible" r:id="rId1"/>
    <sheet name="Apr2026-COLLECTION" sheetId="2" state="visible" r:id="rId2"/>
    <sheet name="May2026-EXPENSE" sheetId="3" state="visible" r:id="rId3"/>
    <sheet name="May2026-COLLECTION" sheetId="4" state="visible" r:id="rId4"/>
    <sheet name="June2026-EXPENSE" sheetId="5" state="visible" r:id="rId5"/>
    <sheet name="June2026-COLLECTION" sheetId="6" state="visible" r:id="rId6"/>
    <sheet name="July2026-EXPENSE" sheetId="7" state="visible" r:id="rId7"/>
    <sheet name="July2026-EXPENSE-Flatwise" sheetId="8" state="hidden" r:id="rId8"/>
    <sheet name="July2026-EXPENSE-Flatwise-Trans" sheetId="9" state="hidden" r:id="rId9"/>
    <sheet name="July2026-COLLECTION" sheetId="10" state="visible" r:id="rId10"/>
    <sheet name="Aug2026-EXPENSE" sheetId="11" state="visible" r:id="rId11"/>
    <sheet name="Aug2026-COLLECTION" sheetId="12" state="visible" r:id="rId12"/>
    <sheet name="Sep2026-EXPENSE" sheetId="13" state="visible" r:id="rId13"/>
    <sheet name="Sep2026-COLLECTION" sheetId="14" state="visible" r:id="rId14"/>
    <sheet name="Oct2026-EXPENSE" sheetId="15" state="visible" r:id="rId15"/>
    <sheet name="Oct2026-COLLECTION" sheetId="16" state="visible" r:id="rId16"/>
    <sheet name="Nov2026-EXPENSE" sheetId="17" state="visible" r:id="rId17"/>
    <sheet name="Nov2026-COLLECTION" sheetId="18" state="visible" r:id="rId18"/>
    <sheet name="Dec2026-EXPENSE" sheetId="19" state="visible" r:id="rId19"/>
    <sheet name="Dec2026-COLLECTION" sheetId="20" state="visible" r:id="rId20"/>
    <sheet name="Jan2027-EXPENSE" sheetId="21" state="visible" r:id="rId21"/>
    <sheet name="Jan2027-COLLECTION" sheetId="22" state="visible" r:id="rId22"/>
    <sheet name="Feb2027-COLLECTION" sheetId="23" state="visible" r:id="rId23"/>
    <sheet name="Feb2027-EXPENSE" sheetId="24" state="visible" r:id="rId24"/>
    <sheet name="Mar2027-EXPENSE" sheetId="25" state="visible" r:id="rId25"/>
    <sheet name="Mar2027-COLLECTION" sheetId="26" state="visible" r:id="rId26"/>
    <sheet name="ANNUAL-EXPENSE-DETAILS" sheetId="27" state="visible" r:id="rId27"/>
    <sheet name="INCOME-EXPENSE-CYCLES" sheetId="28" state="visible" r:id="rId28"/>
    <sheet name="INCOME-EXPENSE-CYCLES-2026-27" sheetId="29" state="hidden" r:id="rId29"/>
    <sheet name="Copy of INCOME-EXPENSE-CYCLES 1" sheetId="30" state="hidden" r:id="rId30"/>
    <sheet name="Copy of INCOME-EXPENSE-CYCLES" sheetId="31" state="hidden" r:id="rId31"/>
    <sheet name="Sheet30" sheetId="32" state="visible" r:id="rId32"/>
    <sheet name="Flatwise Income Expense" sheetId="33" state="hidden" r:id="rId33"/>
    <sheet name="Expense" sheetId="34" state="hidden" r:id="rId34"/>
    <sheet name="Income" sheetId="35" state="hidden" r:id="rId35"/>
    <sheet name="Sheet4" sheetId="36" state="hidden" r:id="rId36"/>
    <sheet name="TOTAL DUES" sheetId="37" state="hidden" r:id="rId37"/>
    <sheet name="Betterment Corpus" sheetId="38" state="hidden" r:id="rId38"/>
    <sheet name="2013-till-date-connected" sheetId="39" state="hidden" r:id="rId39"/>
    <sheet name="Sheet27" sheetId="40" state="hidden" r:id="rId40"/>
  </sheets>
  <definedNames>
    <definedName name="Z_A291B9CC_9FDF_46C9_BFD4_774D92B85D47_.wvu.FilterData" localSheetId="7" hidden="1">'July2025-EXPENSE-Flatwise'!$A$1:$BN$61</definedName>
    <definedName name="_xlnm._FilterDatabase" localSheetId="7" hidden="1">'July2026-EXPENSE-Flatwise'!$A$1:$BN$61</definedName>
    <definedName name="Z_C4B61514_58E1_45A0_9AB3_765E539BE84D_.wvu.FilterData" localSheetId="27" hidden="1">'INCOME-EXPENSE-CYCLES'!$A$2:$BD$67</definedName>
    <definedName name="_xlnm._FilterDatabase" localSheetId="27" hidden="1">'INCOME-EXPENSE-CYCLES'!$A$2:$BF$67</definedName>
    <definedName name="Z_C4B61514_58E1_45A0_9AB3_765E539BE84D_.wvu.FilterData" localSheetId="28" hidden="1">'INCOME-EXPENSE-CYCLES-2025-26'!$A$2:$BF$67</definedName>
    <definedName name="_xlnm._FilterDatabase" localSheetId="28" hidden="1">'INCOME-EXPENSE-CYCLES-2026-27'!$A$2:$BF$67</definedName>
    <definedName name="Z_C4B61514_58E1_45A0_9AB3_765E539BE84D_.wvu.FilterData" localSheetId="29" hidden="1">'Copy of INCOME-EXPENSE-CYCLES 1'!$A$2:$BH$67</definedName>
    <definedName name="_xlnm._FilterDatabase" localSheetId="29" hidden="1">'Copy of INCOME-EXPENSE-CYCLES 1'!$A$2:$BH$67</definedName>
    <definedName name="Z_C4B61514_58E1_45A0_9AB3_765E539BE84D_.wvu.FilterData" localSheetId="30" hidden="1">'Copy of INCOME-EXPENSE-CYCLES'!$A$2:$BF$67</definedName>
    <definedName name="_xlnm._FilterDatabase" localSheetId="30" hidden="1">'Copy of INCOME-EXPENSE-CYCLES'!$A$2:$BF$67</definedName>
    <definedName name="_xlnm._FilterDatabase" localSheetId="36" hidden="1">'TOTAL DUES'!$A$1:$G$66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mm\-dd\-yyyy"/>
    <numFmt numFmtId="165" formatCode="d&quot;-&quot;mmm&quot;-&quot;yyyy"/>
    <numFmt numFmtId="166" formatCode="d\-mmm\-yyyy"/>
    <numFmt numFmtId="167" formatCode="dd&quot;-&quot;mm&quot;-&quot;yyyy"/>
    <numFmt numFmtId="168" formatCode="d\-mmmm\-yyyy"/>
    <numFmt numFmtId="169" formatCode="mmm\ yyyy"/>
    <numFmt numFmtId="170" formatCode="mmmm\ yyyy"/>
  </numFmts>
  <fonts count="42">
    <font>
      <name val="Calibri"/>
      <color rgb="FF000000"/>
      <sz val="11"/>
      <scheme val="minor"/>
    </font>
    <font>
      <name val="Calibri"/>
      <family val="2"/>
      <color theme="1"/>
      <sz val="11"/>
    </font>
    <font>
      <name val="Nunito"/>
      <b val="1"/>
      <color theme="1"/>
      <sz val="14"/>
    </font>
    <font>
      <name val="Calibri"/>
      <family val="2"/>
      <sz val="11"/>
    </font>
    <font>
      <name val="Nunito"/>
      <color theme="1"/>
      <sz val="11"/>
    </font>
    <font>
      <name val="Nunito"/>
      <b val="1"/>
      <color theme="1"/>
      <sz val="11"/>
    </font>
    <font>
      <name val="Calibri"/>
      <family val="2"/>
      <color rgb="FF000000"/>
      <sz val="12"/>
    </font>
    <font>
      <name val="Nunito"/>
      <color theme="1"/>
      <sz val="11"/>
    </font>
    <font>
      <name val="Nunito"/>
      <color rgb="FF000000"/>
      <sz val="10"/>
    </font>
    <font>
      <name val="Nunito"/>
      <color theme="1"/>
      <sz val="8"/>
    </font>
    <font>
      <name val="Nunito"/>
      <b val="1"/>
      <color theme="1"/>
      <sz val="11"/>
    </font>
    <font>
      <name val="Nunito"/>
      <color rgb="FFFF0000"/>
      <sz val="11"/>
    </font>
    <font>
      <name val="Nunito"/>
      <b val="1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Nunito"/>
      <b val="1"/>
      <color rgb="FF000000"/>
      <sz val="14"/>
    </font>
    <font>
      <name val="Nunito"/>
      <color rgb="FF000000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rgb="FF666666"/>
      <sz val="11"/>
      <scheme val="minor"/>
    </font>
    <font>
      <name val="Calibri"/>
      <family val="2"/>
      <b val="1"/>
      <color rgb="FF000000"/>
      <sz val="11"/>
    </font>
    <font>
      <name val="Nunito"/>
      <b val="1"/>
      <color rgb="FF000000"/>
      <sz val="12"/>
    </font>
    <font>
      <name val="Nunito"/>
      <b val="1"/>
      <color theme="1"/>
      <sz val="10"/>
    </font>
    <font>
      <name val="Nunito"/>
      <color theme="1"/>
      <sz val="10"/>
    </font>
    <font>
      <name val="Arial"/>
      <family val="2"/>
      <color rgb="FF000000"/>
      <sz val="11"/>
    </font>
    <font>
      <name val="Calibri"/>
      <family val="2"/>
      <color rgb="FFF7981D"/>
      <sz val="9"/>
      <scheme val="minor"/>
    </font>
    <font>
      <name val="Arial"/>
      <family val="2"/>
      <color rgb="FF000000"/>
      <sz val="9"/>
    </font>
    <font>
      <name val="Arial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Arial"/>
      <family val="2"/>
      <color theme="1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color theme="1"/>
      <sz val="11"/>
    </font>
    <font>
      <name val="Nunito"/>
      <color rgb="FF000000"/>
      <sz val="11"/>
    </font>
    <font>
      <name val="&quot;docs-Nunito&quot;"/>
      <color rgb="FF000000"/>
      <sz val="11"/>
    </font>
    <font>
      <name val="Arial"/>
      <family val="2"/>
      <b val="1"/>
      <color rgb="FF000000"/>
      <sz val="9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rgb="FF000000"/>
      <sz val="11"/>
      <scheme val="minor"/>
    </font>
    <font>
      <name val="Arial"/>
      <family val="2"/>
      <color rgb="FF000000"/>
      <sz val="10"/>
    </font>
    <font>
      <name val="Calibri"/>
      <family val="2"/>
      <color rgb="FF000000"/>
      <sz val="10"/>
      <scheme val="minor"/>
    </font>
  </fonts>
  <fills count="18">
    <fill>
      <patternFill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</fills>
  <borders count="4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7"/>
    <xf numFmtId="0" fontId="39" fillId="0" borderId="17"/>
  </cellStyleXfs>
  <cellXfs count="291">
    <xf numFmtId="0" fontId="0" fillId="0" borderId="0" pivotButton="0" quotePrefix="0" xfId="0"/>
    <xf numFmtId="4" fontId="1" fillId="0" borderId="1" pivotButton="0" quotePrefix="0" xfId="0"/>
    <xf numFmtId="4" fontId="4" fillId="0" borderId="4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4" fontId="4" fillId="0" borderId="5" applyAlignment="1" pivotButton="0" quotePrefix="0" xfId="0">
      <alignment horizontal="center" wrapText="1"/>
    </xf>
    <xf numFmtId="4" fontId="5" fillId="0" borderId="5" applyAlignment="1" pivotButton="0" quotePrefix="0" xfId="0">
      <alignment horizontal="center" wrapText="1"/>
    </xf>
    <xf numFmtId="4" fontId="1" fillId="0" borderId="5" pivotButton="0" quotePrefix="0" xfId="0"/>
    <xf numFmtId="4" fontId="4" fillId="0" borderId="4" applyAlignment="1" pivotButton="0" quotePrefix="0" xfId="0">
      <alignment horizontal="center"/>
    </xf>
    <xf numFmtId="4" fontId="4" fillId="0" borderId="5" applyAlignment="1" pivotButton="0" quotePrefix="0" xfId="0">
      <alignment wrapText="1"/>
    </xf>
    <xf numFmtId="4" fontId="6" fillId="0" borderId="0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2" borderId="5" applyAlignment="1" pivotButton="0" quotePrefix="0" xfId="0">
      <alignment horizontal="right" wrapText="1"/>
    </xf>
    <xf numFmtId="4" fontId="4" fillId="2" borderId="5" applyAlignment="1" pivotButton="0" quotePrefix="0" xfId="0">
      <alignment horizontal="right"/>
    </xf>
    <xf numFmtId="4" fontId="7" fillId="0" borderId="5" applyAlignment="1" pivotButton="0" quotePrefix="0" xfId="0">
      <alignment wrapText="1"/>
    </xf>
    <xf numFmtId="4" fontId="4" fillId="0" borderId="1" applyAlignment="1" pivotButton="0" quotePrefix="0" xfId="0">
      <alignment horizontal="center"/>
    </xf>
    <xf numFmtId="4" fontId="5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 wrapText="1"/>
    </xf>
    <xf numFmtId="4" fontId="8" fillId="0" borderId="1" pivotButton="0" quotePrefix="0" xfId="0"/>
    <xf numFmtId="4" fontId="4" fillId="0" borderId="5" applyAlignment="1" pivotButton="0" quotePrefix="0" xfId="0">
      <alignment horizontal="right"/>
    </xf>
    <xf numFmtId="4" fontId="9" fillId="0" borderId="5" applyAlignment="1" pivotButton="0" quotePrefix="0" xfId="0">
      <alignment wrapText="1"/>
    </xf>
    <xf numFmtId="4" fontId="1" fillId="0" borderId="0" applyAlignment="1" pivotButton="0" quotePrefix="0" xfId="0">
      <alignment horizontal="right"/>
    </xf>
    <xf numFmtId="4" fontId="9" fillId="0" borderId="5" applyAlignment="1" pivotButton="0" quotePrefix="0" xfId="0">
      <alignment horizontal="right"/>
    </xf>
    <xf numFmtId="4" fontId="9" fillId="2" borderId="5" applyAlignment="1" pivotButton="0" quotePrefix="0" xfId="0">
      <alignment wrapText="1"/>
    </xf>
    <xf numFmtId="4" fontId="9" fillId="2" borderId="5" applyAlignment="1" pivotButton="0" quotePrefix="0" xfId="0">
      <alignment horizontal="right"/>
    </xf>
    <xf numFmtId="4" fontId="1" fillId="0" borderId="6" pivotButton="0" quotePrefix="0" xfId="0"/>
    <xf numFmtId="4" fontId="1" fillId="0" borderId="6" applyAlignment="1" pivotButton="0" quotePrefix="0" xfId="0">
      <alignment horizontal="right"/>
    </xf>
    <xf numFmtId="4" fontId="10" fillId="2" borderId="5" applyAlignment="1" pivotButton="0" quotePrefix="0" xfId="0">
      <alignment wrapText="1"/>
    </xf>
    <xf numFmtId="4" fontId="10" fillId="2" borderId="5" applyAlignment="1" pivotButton="0" quotePrefix="0" xfId="0">
      <alignment horizontal="right"/>
    </xf>
    <xf numFmtId="4" fontId="1" fillId="2" borderId="5" pivotButton="0" quotePrefix="0" xfId="0"/>
    <xf numFmtId="4" fontId="11" fillId="3" borderId="6" applyAlignment="1" pivotButton="0" quotePrefix="0" xfId="0">
      <alignment horizontal="center"/>
    </xf>
    <xf numFmtId="4" fontId="7" fillId="0" borderId="6" applyAlignment="1" pivotButton="0" quotePrefix="0" xfId="0">
      <alignment wrapText="1"/>
    </xf>
    <xf numFmtId="4" fontId="5" fillId="0" borderId="4" applyAlignment="1" pivotButton="0" quotePrefix="0" xfId="0">
      <alignment horizontal="center"/>
    </xf>
    <xf numFmtId="4" fontId="5" fillId="0" borderId="5" applyAlignment="1" pivotButton="0" quotePrefix="0" xfId="0">
      <alignment wrapText="1"/>
    </xf>
    <xf numFmtId="4" fontId="8" fillId="0" borderId="1" applyAlignment="1" pivotButton="0" quotePrefix="0" xfId="0">
      <alignment wrapText="1"/>
    </xf>
    <xf numFmtId="4" fontId="12" fillId="0" borderId="1" applyAlignment="1" pivotButton="0" quotePrefix="0" xfId="0">
      <alignment wrapText="1"/>
    </xf>
    <xf numFmtId="4" fontId="12" fillId="0" borderId="1" pivotButton="0" quotePrefix="0" xfId="0"/>
    <xf numFmtId="4" fontId="8" fillId="0" borderId="1" applyAlignment="1" pivotButton="0" quotePrefix="0" xfId="0">
      <alignment horizontal="center" vertical="center" wrapText="1"/>
    </xf>
    <xf numFmtId="4" fontId="13" fillId="0" borderId="0" applyAlignment="1" pivotButton="0" quotePrefix="0" xfId="0">
      <alignment horizontal="center"/>
    </xf>
    <xf numFmtId="14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4" fontId="8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164" fontId="14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6" fontId="13" fillId="0" borderId="0" pivotButton="0" quotePrefix="0" xfId="0"/>
    <xf numFmtId="4" fontId="13" fillId="0" borderId="0" pivotButton="0" quotePrefix="0" xfId="0"/>
    <xf numFmtId="166" fontId="14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3" fillId="0" borderId="0" pivotButton="0" quotePrefix="0" xfId="0"/>
    <xf numFmtId="4" fontId="12" fillId="4" borderId="1" applyAlignment="1" pivotButton="0" quotePrefix="0" xfId="0">
      <alignment horizontal="center" vertical="center"/>
    </xf>
    <xf numFmtId="0" fontId="13" fillId="4" borderId="0" pivotButton="0" quotePrefix="0" xfId="0"/>
    <xf numFmtId="4" fontId="12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left"/>
    </xf>
    <xf numFmtId="4" fontId="8" fillId="0" borderId="1" applyAlignment="1" pivotButton="0" quotePrefix="0" xfId="0">
      <alignment horizontal="center"/>
    </xf>
    <xf numFmtId="4" fontId="12" fillId="0" borderId="1" applyAlignment="1" pivotButton="0" quotePrefix="0" xfId="0">
      <alignment horizontal="center"/>
    </xf>
    <xf numFmtId="0" fontId="4" fillId="0" borderId="1" pivotButton="0" quotePrefix="0" xfId="0"/>
    <xf numFmtId="4" fontId="8" fillId="2" borderId="1" applyAlignment="1" pivotButton="0" quotePrefix="0" xfId="0">
      <alignment horizontal="right" wrapText="1"/>
    </xf>
    <xf numFmtId="4" fontId="8" fillId="2" borderId="1" pivotButton="0" quotePrefix="0" xfId="0"/>
    <xf numFmtId="4" fontId="8" fillId="0" borderId="1" applyAlignment="1" pivotButton="0" quotePrefix="0" xfId="0">
      <alignment horizontal="right" wrapText="1"/>
    </xf>
    <xf numFmtId="4" fontId="16" fillId="0" borderId="1" applyAlignment="1" pivotButton="0" quotePrefix="0" xfId="0">
      <alignment wrapText="1"/>
    </xf>
    <xf numFmtId="4" fontId="16" fillId="0" borderId="1" applyAlignment="1" pivotButton="0" quotePrefix="0" xfId="0">
      <alignment horizontal="right"/>
    </xf>
    <xf numFmtId="4" fontId="16" fillId="0" borderId="1" pivotButton="0" quotePrefix="0" xfId="0"/>
    <xf numFmtId="4" fontId="16" fillId="2" borderId="1" applyAlignment="1" pivotButton="0" quotePrefix="0" xfId="0">
      <alignment wrapText="1"/>
    </xf>
    <xf numFmtId="4" fontId="16" fillId="2" borderId="1" pivotButton="0" quotePrefix="0" xfId="0"/>
    <xf numFmtId="4" fontId="12" fillId="2" borderId="1" applyAlignment="1" pivotButton="0" quotePrefix="0" xfId="0">
      <alignment wrapText="1"/>
    </xf>
    <xf numFmtId="4" fontId="12" fillId="2" borderId="1" pivotButton="0" quotePrefix="0" xfId="0"/>
    <xf numFmtId="4" fontId="4" fillId="0" borderId="1" pivotButton="0" quotePrefix="0" xfId="0"/>
    <xf numFmtId="4" fontId="12" fillId="0" borderId="1" applyAlignment="1" pivotButton="0" quotePrefix="0" xfId="0">
      <alignment horizontal="left"/>
    </xf>
    <xf numFmtId="167" fontId="13" fillId="0" borderId="0" applyAlignment="1" pivotButton="0" quotePrefix="0" xfId="0">
      <alignment horizontal="center"/>
    </xf>
    <xf numFmtId="167" fontId="14" fillId="0" borderId="0" applyAlignment="1" pivotButton="0" quotePrefix="0" xfId="0">
      <alignment horizontal="right"/>
    </xf>
    <xf numFmtId="167" fontId="13" fillId="0" borderId="0" pivotButton="0" quotePrefix="0" xfId="0"/>
    <xf numFmtId="4" fontId="14" fillId="0" borderId="0" applyAlignment="1" pivotButton="0" quotePrefix="0" xfId="0">
      <alignment horizontal="right"/>
    </xf>
    <xf numFmtId="168" fontId="14" fillId="0" borderId="0" applyAlignment="1" pivotButton="0" quotePrefix="0" xfId="0">
      <alignment horizontal="right"/>
    </xf>
    <xf numFmtId="168" fontId="13" fillId="0" borderId="0" pivotButton="0" quotePrefix="0" xfId="0"/>
    <xf numFmtId="167" fontId="13" fillId="4" borderId="0" pivotButton="0" quotePrefix="0" xfId="0"/>
    <xf numFmtId="10" fontId="8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left" vertical="center"/>
    </xf>
    <xf numFmtId="10" fontId="8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 wrapText="1"/>
    </xf>
    <xf numFmtId="4" fontId="8" fillId="2" borderId="1" applyAlignment="1" pivotButton="0" quotePrefix="0" xfId="0">
      <alignment horizontal="right" vertical="center" wrapText="1"/>
    </xf>
    <xf numFmtId="4" fontId="8" fillId="2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left" vertical="center" wrapText="1"/>
    </xf>
    <xf numFmtId="10" fontId="12" fillId="0" borderId="1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/>
    </xf>
    <xf numFmtId="165" fontId="14" fillId="0" borderId="0" applyAlignment="1" pivotButton="0" quotePrefix="0" xfId="0">
      <alignment horizontal="right"/>
    </xf>
    <xf numFmtId="165" fontId="13" fillId="0" borderId="0" pivotButton="0" quotePrefix="0" xfId="0"/>
    <xf numFmtId="165" fontId="13" fillId="4" borderId="0" pivotButton="0" quotePrefix="0" xfId="0"/>
    <xf numFmtId="4" fontId="8" fillId="2" borderId="1" applyAlignment="1" pivotButton="0" quotePrefix="0" xfId="0">
      <alignment horizontal="center"/>
    </xf>
    <xf numFmtId="0" fontId="17" fillId="5" borderId="0" pivotButton="0" quotePrefix="0" xfId="0"/>
    <xf numFmtId="4" fontId="18" fillId="0" borderId="0" pivotButton="0" quotePrefix="0" xfId="0"/>
    <xf numFmtId="10" fontId="18" fillId="0" borderId="0" pivotButton="0" quotePrefix="0" xfId="0"/>
    <xf numFmtId="4" fontId="13" fillId="6" borderId="0" pivotButton="0" quotePrefix="0" xfId="0"/>
    <xf numFmtId="0" fontId="13" fillId="6" borderId="0" pivotButton="0" quotePrefix="0" xfId="0"/>
    <xf numFmtId="4" fontId="17" fillId="6" borderId="0" pivotButton="0" quotePrefix="0" xfId="0"/>
    <xf numFmtId="10" fontId="13" fillId="0" borderId="0" pivotButton="0" quotePrefix="0" xfId="0"/>
    <xf numFmtId="4" fontId="8" fillId="0" borderId="8" applyAlignment="1" pivotButton="0" quotePrefix="0" xfId="0">
      <alignment horizontal="center" vertical="center"/>
    </xf>
    <xf numFmtId="4" fontId="8" fillId="0" borderId="8" applyAlignment="1" pivotButton="0" quotePrefix="0" xfId="0">
      <alignment horizontal="center" vertical="center" wrapText="1"/>
    </xf>
    <xf numFmtId="4" fontId="8" fillId="0" borderId="8" applyAlignment="1" pivotButton="0" quotePrefix="0" xfId="0">
      <alignment horizontal="left" vertical="center"/>
    </xf>
    <xf numFmtId="4" fontId="8" fillId="2" borderId="8" applyAlignment="1" pivotButton="0" quotePrefix="0" xfId="0">
      <alignment wrapText="1"/>
    </xf>
    <xf numFmtId="4" fontId="8" fillId="2" borderId="8" pivotButton="0" quotePrefix="0" xfId="0"/>
    <xf numFmtId="4" fontId="8" fillId="2" borderId="8" applyAlignment="1" pivotButton="0" quotePrefix="0" xfId="0">
      <alignment horizontal="center" vertical="center" wrapText="1"/>
    </xf>
    <xf numFmtId="4" fontId="8" fillId="2" borderId="8" applyAlignment="1" pivotButton="0" quotePrefix="0" xfId="0">
      <alignment horizontal="center" vertical="center"/>
    </xf>
    <xf numFmtId="4" fontId="8" fillId="0" borderId="12" applyAlignment="1" pivotButton="0" quotePrefix="0" xfId="0">
      <alignment horizontal="center" vertical="center"/>
    </xf>
    <xf numFmtId="4" fontId="8" fillId="0" borderId="12" applyAlignment="1" pivotButton="0" quotePrefix="0" xfId="0">
      <alignment horizontal="center" vertical="center" wrapText="1"/>
    </xf>
    <xf numFmtId="4" fontId="12" fillId="0" borderId="12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0" borderId="12" applyAlignment="1" pivotButton="0" quotePrefix="0" xfId="0">
      <alignment horizontal="left" vertical="center"/>
    </xf>
    <xf numFmtId="4" fontId="12" fillId="0" borderId="12" applyAlignment="1" pivotButton="0" quotePrefix="0" xfId="0">
      <alignment horizontal="center" vertical="center"/>
    </xf>
    <xf numFmtId="4" fontId="8" fillId="0" borderId="0" applyAlignment="1" pivotButton="0" quotePrefix="0" xfId="0">
      <alignment horizontal="center" vertical="center"/>
    </xf>
    <xf numFmtId="4" fontId="8" fillId="2" borderId="16" applyAlignment="1" pivotButton="0" quotePrefix="0" xfId="0">
      <alignment wrapText="1"/>
    </xf>
    <xf numFmtId="4" fontId="8" fillId="2" borderId="17" pivotButton="0" quotePrefix="0" xfId="0"/>
    <xf numFmtId="4" fontId="8" fillId="2" borderId="16" applyAlignment="1" pivotButton="0" quotePrefix="0" xfId="0">
      <alignment horizontal="center" vertical="center" wrapText="1"/>
    </xf>
    <xf numFmtId="4" fontId="8" fillId="2" borderId="17" applyAlignment="1" pivotButton="0" quotePrefix="0" xfId="0">
      <alignment horizontal="center" vertical="center"/>
    </xf>
    <xf numFmtId="4" fontId="8" fillId="2" borderId="0" applyAlignment="1" pivotButton="0" quotePrefix="0" xfId="0">
      <alignment horizontal="center" vertical="center" wrapText="1"/>
    </xf>
    <xf numFmtId="4" fontId="8" fillId="2" borderId="0" applyAlignment="1" pivotButton="0" quotePrefix="0" xfId="0">
      <alignment horizontal="center" vertical="center"/>
    </xf>
    <xf numFmtId="3" fontId="13" fillId="0" borderId="0" pivotButton="0" quotePrefix="0" xfId="0"/>
    <xf numFmtId="4" fontId="8" fillId="0" borderId="12" applyAlignment="1" pivotButton="0" quotePrefix="0" xfId="0">
      <alignment horizontal="left" vertical="center" wrapText="1"/>
    </xf>
    <xf numFmtId="4" fontId="4" fillId="0" borderId="18" applyAlignment="1" pivotButton="0" quotePrefix="0" xfId="0">
      <alignment horizontal="center" wrapText="1"/>
    </xf>
    <xf numFmtId="4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4" fontId="17" fillId="0" borderId="0" pivotButton="0" quotePrefix="0" xfId="0"/>
    <xf numFmtId="4" fontId="8" fillId="0" borderId="19" applyAlignment="1" pivotButton="0" quotePrefix="0" xfId="0">
      <alignment horizontal="center" vertical="center"/>
    </xf>
    <xf numFmtId="4" fontId="1" fillId="0" borderId="20" pivotButton="0" quotePrefix="0" xfId="0"/>
    <xf numFmtId="4" fontId="4" fillId="0" borderId="21" applyAlignment="1" pivotButton="0" quotePrefix="0" xfId="0">
      <alignment horizontal="center"/>
    </xf>
    <xf numFmtId="4" fontId="4" fillId="0" borderId="18" applyAlignment="1" pivotButton="0" quotePrefix="0" xfId="0">
      <alignment wrapText="1"/>
    </xf>
    <xf numFmtId="4" fontId="1" fillId="0" borderId="18" pivotButton="0" quotePrefix="0" xfId="0"/>
    <xf numFmtId="4" fontId="5" fillId="0" borderId="18" applyAlignment="1" pivotButton="0" quotePrefix="0" xfId="0">
      <alignment horizontal="center" wrapText="1"/>
    </xf>
    <xf numFmtId="4" fontId="1" fillId="0" borderId="0" pivotButton="0" quotePrefix="0" xfId="0"/>
    <xf numFmtId="4" fontId="4" fillId="0" borderId="18" pivotButton="0" quotePrefix="0" xfId="0"/>
    <xf numFmtId="4" fontId="4" fillId="0" borderId="18" applyAlignment="1" pivotButton="0" quotePrefix="0" xfId="0">
      <alignment horizontal="center"/>
    </xf>
    <xf numFmtId="4" fontId="4" fillId="2" borderId="0" applyAlignment="1" pivotButton="0" quotePrefix="0" xfId="0">
      <alignment wrapText="1"/>
    </xf>
    <xf numFmtId="4" fontId="4" fillId="2" borderId="0" applyAlignment="1" pivotButton="0" quotePrefix="0" xfId="0">
      <alignment horizontal="right"/>
    </xf>
    <xf numFmtId="4" fontId="5" fillId="0" borderId="18" applyAlignment="1" pivotButton="0" quotePrefix="0" xfId="0">
      <alignment horizontal="center"/>
    </xf>
    <xf numFmtId="4" fontId="4" fillId="0" borderId="0" applyAlignment="1" pivotButton="0" quotePrefix="0" xfId="0">
      <alignment horizontal="center" wrapText="1"/>
    </xf>
    <xf numFmtId="4" fontId="4" fillId="0" borderId="0" applyAlignment="1" pivotButton="0" quotePrefix="0" xfId="0">
      <alignment horizontal="center"/>
    </xf>
    <xf numFmtId="4" fontId="4" fillId="2" borderId="0" applyAlignment="1" pivotButton="0" quotePrefix="0" xfId="0">
      <alignment horizontal="center" wrapText="1"/>
    </xf>
    <xf numFmtId="4" fontId="4" fillId="2" borderId="0" applyAlignment="1" pivotButton="0" quotePrefix="0" xfId="0">
      <alignment horizontal="center"/>
    </xf>
    <xf numFmtId="4" fontId="1" fillId="0" borderId="21" pivotButton="0" quotePrefix="0" xfId="0"/>
    <xf numFmtId="4" fontId="12" fillId="7" borderId="27" applyAlignment="1" pivotButton="0" quotePrefix="0" xfId="0">
      <alignment horizontal="center" vertical="center" wrapText="1"/>
    </xf>
    <xf numFmtId="49" fontId="8" fillId="0" borderId="27" applyAlignment="1" pivotButton="0" quotePrefix="0" xfId="0">
      <alignment horizontal="center" vertical="center"/>
    </xf>
    <xf numFmtId="4" fontId="21" fillId="0" borderId="27" applyAlignment="1" pivotButton="0" quotePrefix="0" xfId="0">
      <alignment horizontal="center" vertical="center"/>
    </xf>
    <xf numFmtId="4" fontId="22" fillId="0" borderId="27" applyAlignment="1" pivotButton="0" quotePrefix="0" xfId="0">
      <alignment horizontal="center" vertical="center"/>
    </xf>
    <xf numFmtId="4" fontId="22" fillId="7" borderId="27" applyAlignment="1" pivotButton="0" quotePrefix="0" xfId="0">
      <alignment horizontal="center" vertical="center"/>
    </xf>
    <xf numFmtId="4" fontId="21" fillId="7" borderId="27" applyAlignment="1" pivotButton="0" quotePrefix="0" xfId="0">
      <alignment horizontal="center" vertical="center"/>
    </xf>
    <xf numFmtId="4" fontId="21" fillId="6" borderId="27" applyAlignment="1" pivotButton="0" quotePrefix="0" xfId="0">
      <alignment horizontal="center" vertical="center"/>
    </xf>
    <xf numFmtId="4" fontId="22" fillId="0" borderId="0" applyAlignment="1" pivotButton="0" quotePrefix="0" xfId="0">
      <alignment horizontal="center" vertical="center"/>
    </xf>
    <xf numFmtId="4" fontId="22" fillId="6" borderId="27" applyAlignment="1" pivotButton="0" quotePrefix="0" xfId="0">
      <alignment horizontal="center" vertical="center"/>
    </xf>
    <xf numFmtId="49" fontId="8" fillId="7" borderId="27" applyAlignment="1" pivotButton="0" quotePrefix="0" xfId="0">
      <alignment horizontal="center" vertical="center"/>
    </xf>
    <xf numFmtId="4" fontId="8" fillId="7" borderId="27" applyAlignment="1" pivotButton="0" quotePrefix="0" xfId="0">
      <alignment horizontal="center" vertical="center"/>
    </xf>
    <xf numFmtId="4" fontId="12" fillId="7" borderId="27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49" fontId="4" fillId="0" borderId="0" pivotButton="0" quotePrefix="0" xfId="0"/>
    <xf numFmtId="4" fontId="4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" fontId="22" fillId="8" borderId="7" applyAlignment="1" pivotButton="0" quotePrefix="0" xfId="0">
      <alignment horizontal="center" vertical="center" wrapText="1"/>
    </xf>
    <xf numFmtId="4" fontId="22" fillId="9" borderId="27" applyAlignment="1" pivotButton="0" quotePrefix="0" xfId="0">
      <alignment horizontal="center" vertical="center" wrapText="1"/>
    </xf>
    <xf numFmtId="4" fontId="12" fillId="9" borderId="1" applyAlignment="1" pivotButton="0" quotePrefix="0" xfId="0">
      <alignment horizontal="center" vertical="center" wrapText="1"/>
    </xf>
    <xf numFmtId="4" fontId="12" fillId="9" borderId="0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/>
    </xf>
    <xf numFmtId="4" fontId="1" fillId="8" borderId="27" pivotButton="0" quotePrefix="0" xfId="0"/>
    <xf numFmtId="4" fontId="22" fillId="9" borderId="27" applyAlignment="1" pivotButton="0" quotePrefix="0" xfId="0">
      <alignment horizontal="center" vertical="center"/>
    </xf>
    <xf numFmtId="4" fontId="21" fillId="9" borderId="3" applyAlignment="1" pivotButton="0" quotePrefix="0" xfId="0">
      <alignment horizontal="center" vertical="center"/>
    </xf>
    <xf numFmtId="4" fontId="21" fillId="9" borderId="1" applyAlignment="1" pivotButton="0" quotePrefix="0" xfId="0">
      <alignment horizontal="center" vertical="center"/>
    </xf>
    <xf numFmtId="4" fontId="21" fillId="0" borderId="1" applyAlignment="1" pivotButton="0" quotePrefix="0" xfId="0">
      <alignment horizontal="center" vertical="center"/>
    </xf>
    <xf numFmtId="4" fontId="8" fillId="9" borderId="1" applyAlignment="1" pivotButton="0" quotePrefix="0" xfId="0">
      <alignment horizontal="center" vertical="center"/>
    </xf>
    <xf numFmtId="4" fontId="8" fillId="9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4" fontId="23" fillId="8" borderId="27" applyAlignment="1" pivotButton="0" quotePrefix="0" xfId="0">
      <alignment horizontal="center"/>
    </xf>
    <xf numFmtId="4" fontId="8" fillId="9" borderId="3" applyAlignment="1" pivotButton="0" quotePrefix="0" xfId="0">
      <alignment horizontal="center" vertical="center"/>
    </xf>
    <xf numFmtId="4" fontId="22" fillId="9" borderId="1" applyAlignment="1" pivotButton="0" quotePrefix="0" xfId="0">
      <alignment horizontal="center" vertical="center"/>
    </xf>
    <xf numFmtId="4" fontId="24" fillId="0" borderId="0" pivotButton="0" quotePrefix="0" xfId="0"/>
    <xf numFmtId="4" fontId="22" fillId="0" borderId="1" applyAlignment="1" pivotButton="0" quotePrefix="0" xfId="0">
      <alignment horizontal="center" vertical="center"/>
    </xf>
    <xf numFmtId="4" fontId="22" fillId="9" borderId="0" applyAlignment="1" pivotButton="0" quotePrefix="0" xfId="0">
      <alignment horizontal="center" vertical="center"/>
    </xf>
    <xf numFmtId="4" fontId="25" fillId="0" borderId="0" applyAlignment="1" pivotButton="0" quotePrefix="0" xfId="0">
      <alignment horizontal="right" vertical="top"/>
    </xf>
    <xf numFmtId="4" fontId="4" fillId="8" borderId="27" applyAlignment="1" pivotButton="0" quotePrefix="0" xfId="0">
      <alignment horizontal="center"/>
    </xf>
    <xf numFmtId="4" fontId="22" fillId="0" borderId="3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top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17" fillId="0" borderId="0" pivotButton="0" quotePrefix="0" xfId="0"/>
    <xf numFmtId="0" fontId="30" fillId="0" borderId="8" applyAlignment="1" pivotButton="0" quotePrefix="0" xfId="0">
      <alignment horizontal="center" vertical="center"/>
    </xf>
    <xf numFmtId="0" fontId="30" fillId="0" borderId="9" applyAlignment="1" pivotButton="0" quotePrefix="0" xfId="0">
      <alignment horizontal="left" vertical="center"/>
    </xf>
    <xf numFmtId="4" fontId="30" fillId="10" borderId="0" applyAlignment="1" pivotButton="0" quotePrefix="0" xfId="0">
      <alignment horizontal="center" vertical="center" wrapText="1"/>
    </xf>
    <xf numFmtId="4" fontId="31" fillId="9" borderId="12" applyAlignment="1" pivotButton="0" quotePrefix="0" xfId="0">
      <alignment horizontal="center" vertical="center"/>
    </xf>
    <xf numFmtId="4" fontId="30" fillId="9" borderId="13" applyAlignment="1" pivotButton="0" quotePrefix="0" xfId="0">
      <alignment horizontal="center" vertical="center"/>
    </xf>
    <xf numFmtId="4" fontId="30" fillId="9" borderId="12" applyAlignment="1" pivotButton="0" quotePrefix="0" xfId="0">
      <alignment horizontal="center" vertical="center"/>
    </xf>
    <xf numFmtId="4" fontId="30" fillId="0" borderId="12" applyAlignment="1" pivotButton="0" quotePrefix="0" xfId="0">
      <alignment horizontal="center" vertical="center"/>
    </xf>
    <xf numFmtId="4" fontId="30" fillId="0" borderId="13" applyAlignment="1" pivotButton="0" quotePrefix="0" xfId="0">
      <alignment horizontal="center" vertical="center"/>
    </xf>
    <xf numFmtId="4" fontId="32" fillId="0" borderId="21" applyAlignment="1" pivotButton="0" quotePrefix="0" xfId="0">
      <alignment horizontal="center"/>
    </xf>
    <xf numFmtId="4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10" fillId="11" borderId="12" applyAlignment="1" pivotButton="0" quotePrefix="0" xfId="0">
      <alignment horizontal="center" vertical="center"/>
    </xf>
    <xf numFmtId="4" fontId="10" fillId="11" borderId="1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12" applyAlignment="1" pivotButton="0" quotePrefix="0" xfId="0">
      <alignment horizontal="left" vertical="center"/>
    </xf>
    <xf numFmtId="4" fontId="7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left" vertical="center"/>
    </xf>
    <xf numFmtId="0" fontId="7" fillId="0" borderId="12" applyAlignment="1" pivotButton="0" quotePrefix="0" xfId="0">
      <alignment horizontal="center" vertical="center"/>
    </xf>
    <xf numFmtId="0" fontId="33" fillId="0" borderId="12" applyAlignment="1" pivotButton="0" quotePrefix="0" xfId="0">
      <alignment horizontal="left" vertical="center" wrapText="1"/>
    </xf>
    <xf numFmtId="0" fontId="34" fillId="0" borderId="0" pivotButton="0" quotePrefix="0" xfId="0"/>
    <xf numFmtId="4" fontId="7" fillId="0" borderId="0" applyAlignment="1" pivotButton="0" quotePrefix="0" xfId="0">
      <alignment horizontal="center"/>
    </xf>
    <xf numFmtId="0" fontId="7" fillId="0" borderId="0" pivotButton="0" quotePrefix="0" xfId="0"/>
    <xf numFmtId="4" fontId="1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4" fontId="8" fillId="1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/>
    </xf>
    <xf numFmtId="0" fontId="35" fillId="13" borderId="0" applyAlignment="1" pivotButton="0" quotePrefix="0" xfId="0">
      <alignment horizontal="center" vertical="center"/>
    </xf>
    <xf numFmtId="0" fontId="35" fillId="14" borderId="0" applyAlignment="1" pivotButton="0" quotePrefix="0" xfId="0">
      <alignment horizontal="center" vertical="center" wrapText="1"/>
    </xf>
    <xf numFmtId="0" fontId="36" fillId="15" borderId="0" applyAlignment="1" pivotButton="0" quotePrefix="0" xfId="0">
      <alignment wrapText="1"/>
    </xf>
    <xf numFmtId="0" fontId="36" fillId="16" borderId="0" pivotButton="0" quotePrefix="0" xfId="0"/>
    <xf numFmtId="0" fontId="36" fillId="16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17" borderId="0" pivotButton="0" quotePrefix="0" xfId="0"/>
    <xf numFmtId="0" fontId="25" fillId="0" borderId="0" applyAlignment="1" pivotButton="0" quotePrefix="0" xfId="0">
      <alignment vertical="top"/>
    </xf>
    <xf numFmtId="0" fontId="37" fillId="0" borderId="0" applyAlignment="1" pivotButton="0" quotePrefix="0" xfId="0">
      <alignment horizontal="center" vertical="center"/>
    </xf>
    <xf numFmtId="0" fontId="38" fillId="17" borderId="0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/>
    </xf>
    <xf numFmtId="4" fontId="13" fillId="17" borderId="0" pivotButton="0" quotePrefix="0" xfId="0"/>
    <xf numFmtId="4" fontId="22" fillId="0" borderId="7" applyAlignment="1" pivotButton="0" quotePrefix="0" xfId="1">
      <alignment horizontal="center" vertical="center" wrapText="1"/>
    </xf>
    <xf numFmtId="4" fontId="12" fillId="9" borderId="28" applyAlignment="1" pivotButton="0" quotePrefix="0" xfId="0">
      <alignment horizontal="center" vertical="center" wrapText="1"/>
    </xf>
    <xf numFmtId="4" fontId="8" fillId="9" borderId="7" applyAlignment="1" pivotButton="0" quotePrefix="0" xfId="0">
      <alignment horizontal="center" vertical="center"/>
    </xf>
    <xf numFmtId="4" fontId="22" fillId="9" borderId="7" applyAlignment="1" pivotButton="0" quotePrefix="0" xfId="0">
      <alignment horizontal="center" vertical="center"/>
    </xf>
    <xf numFmtId="4" fontId="22" fillId="0" borderId="7" applyAlignment="1" pivotButton="0" quotePrefix="0" xfId="0">
      <alignment horizontal="center" vertical="center"/>
    </xf>
    <xf numFmtId="0" fontId="0" fillId="0" borderId="29" pivotButton="0" quotePrefix="0" xfId="0"/>
    <xf numFmtId="4" fontId="0" fillId="0" borderId="29" pivotButton="0" quotePrefix="0" xfId="0"/>
    <xf numFmtId="169" fontId="12" fillId="0" borderId="7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169" fontId="12" fillId="9" borderId="2" applyAlignment="1" pivotButton="0" quotePrefix="0" xfId="0">
      <alignment horizontal="center" vertical="center"/>
    </xf>
    <xf numFmtId="170" fontId="12" fillId="0" borderId="7" applyAlignment="1" pivotButton="0" quotePrefix="0" xfId="0">
      <alignment horizontal="center" vertical="center"/>
    </xf>
    <xf numFmtId="169" fontId="12" fillId="9" borderId="7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wrapText="1"/>
    </xf>
    <xf numFmtId="4" fontId="15" fillId="0" borderId="7" applyAlignment="1" pivotButton="0" quotePrefix="0" xfId="0">
      <alignment horizontal="center" vertical="center"/>
    </xf>
    <xf numFmtId="4" fontId="15" fillId="0" borderId="7" applyAlignment="1" pivotButton="0" quotePrefix="0" xfId="0">
      <alignment horizontal="center" vertical="center" wrapText="1"/>
    </xf>
    <xf numFmtId="4" fontId="15" fillId="0" borderId="9" applyAlignment="1" pivotButton="0" quotePrefix="0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4" fontId="15" fillId="0" borderId="13" applyAlignment="1" pivotButton="0" quotePrefix="0" xfId="0">
      <alignment horizontal="center" vertical="center" wrapText="1"/>
    </xf>
    <xf numFmtId="0" fontId="3" fillId="0" borderId="14" pivotButton="0" quotePrefix="0" xfId="0"/>
    <xf numFmtId="0" fontId="3" fillId="0" borderId="15" pivotButton="0" quotePrefix="0" xfId="0"/>
    <xf numFmtId="4" fontId="1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4" fontId="2" fillId="0" borderId="20" applyAlignment="1" pivotButton="0" quotePrefix="0" xfId="0">
      <alignment horizontal="center" wrapText="1"/>
    </xf>
    <xf numFmtId="0" fontId="3" fillId="0" borderId="20" pivotButton="0" quotePrefix="0" xfId="0"/>
    <xf numFmtId="4" fontId="12" fillId="7" borderId="22" applyAlignment="1" pivotButton="0" quotePrefix="0" xfId="0">
      <alignment horizontal="center" vertical="center" wrapText="1"/>
    </xf>
    <xf numFmtId="0" fontId="3" fillId="0" borderId="26" pivotButton="0" quotePrefix="0" xfId="0"/>
    <xf numFmtId="49" fontId="12" fillId="7" borderId="22" applyAlignment="1" pivotButton="0" quotePrefix="0" xfId="0">
      <alignment horizontal="center" vertical="center" wrapText="1"/>
    </xf>
    <xf numFmtId="4" fontId="20" fillId="7" borderId="23" applyAlignment="1" pivotButton="0" quotePrefix="0" xfId="0">
      <alignment horizontal="center" vertical="center" wrapText="1"/>
    </xf>
    <xf numFmtId="0" fontId="3" fillId="0" borderId="24" pivotButton="0" quotePrefix="0" xfId="0"/>
    <xf numFmtId="0" fontId="3" fillId="0" borderId="25" pivotButton="0" quotePrefix="0" xfId="0"/>
    <xf numFmtId="4" fontId="8" fillId="7" borderId="22" applyAlignment="1" pivotButton="0" quotePrefix="0" xfId="0">
      <alignment horizontal="center" vertical="center" wrapText="1"/>
    </xf>
    <xf numFmtId="0" fontId="35" fillId="13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4" fontId="22" fillId="0" borderId="0" applyAlignment="1" pivotButton="0" quotePrefix="0" xfId="0">
      <alignment horizontal="center"/>
    </xf>
    <xf numFmtId="4" fontId="40" fillId="0" borderId="0" applyAlignment="1" pivotButton="0" quotePrefix="0" xfId="0">
      <alignment horizontal="center" vertical="top"/>
    </xf>
    <xf numFmtId="0" fontId="41" fillId="0" borderId="0" applyAlignment="1" pivotButton="0" quotePrefix="0" xfId="0">
      <alignment horizontal="center"/>
    </xf>
    <xf numFmtId="4" fontId="2" fillId="0" borderId="3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" fontId="15" fillId="0" borderId="1" applyAlignment="1" pivotButton="0" quotePrefix="0" xfId="0">
      <alignment horizontal="center" vertical="center"/>
    </xf>
    <xf numFmtId="4" fontId="15" fillId="0" borderId="1" applyAlignment="1" pivotButton="0" quotePrefix="0" xfId="0">
      <alignment horizontal="center" vertical="center" wrapText="1"/>
    </xf>
    <xf numFmtId="4" fontId="15" fillId="0" borderId="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4" fontId="15" fillId="0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4" fontId="15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49" fontId="12" fillId="7" borderId="27" applyAlignment="1" pivotButton="0" quotePrefix="0" xfId="0">
      <alignment horizontal="center" vertical="center" wrapText="1"/>
    </xf>
    <xf numFmtId="4" fontId="20" fillId="7" borderId="27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4" fontId="8" fillId="7" borderId="27" applyAlignment="1" pivotButton="0" quotePrefix="0" xfId="0">
      <alignment horizontal="center" vertical="center" wrapText="1"/>
    </xf>
    <xf numFmtId="0" fontId="0" fillId="0" borderId="26" pivotButton="0" quotePrefix="0" xfId="0"/>
    <xf numFmtId="169" fontId="12" fillId="9" borderId="3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9" fontId="12" fillId="9" borderId="1" applyAlignment="1" pivotButton="0" quotePrefix="0" xfId="0">
      <alignment horizontal="center" vertical="center"/>
    </xf>
    <xf numFmtId="169" fontId="12" fillId="0" borderId="1" applyAlignment="1" pivotButton="0" quotePrefix="0" xfId="0">
      <alignment horizontal="center" vertical="center"/>
    </xf>
    <xf numFmtId="0" fontId="35" fillId="13" borderId="17" applyAlignment="1" pivotButton="0" quotePrefix="0" xfId="0">
      <alignment horizontal="center" vertical="center"/>
    </xf>
    <xf numFmtId="0" fontId="37" fillId="0" borderId="17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15">
    <dxf>
      <fill>
        <patternFill patternType="solid">
          <fgColor rgb="FFB7E1CD"/>
          <bgColor rgb="FFB7E1CD"/>
        </patternFill>
      </fill>
    </dxf>
    <dxf>
      <font>
        <b val="1"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  <fill>
        <patternFill/>
      </fill>
    </dxf>
    <dxf>
      <font>
        <b val="1"/>
        <color rgb="FFFF0000"/>
      </font>
      <fill>
        <patternFill/>
      </fill>
    </dxf>
    <dxf>
      <font>
        <b val="1"/>
        <color rgb="FFFF0000"/>
      </font>
      <fill>
        <patternFill/>
      </fill>
    </dxf>
    <dxf>
      <font>
        <color rgb="FF980000"/>
      </font>
      <fill>
        <patternFill/>
      </fill>
    </dxf>
    <dxf>
      <font>
        <color rgb="FF980000"/>
      </font>
      <fill>
        <patternFill/>
      </fill>
    </dxf>
    <dxf>
      <font>
        <color rgb="FF990000"/>
      </font>
      <fill>
        <patternFill/>
      </fill>
    </dxf>
    <dxf>
      <font>
        <color rgb="FF980000"/>
      </font>
      <fill>
        <patternFill/>
      </fill>
    </dxf>
    <dxf>
      <font>
        <color rgb="FF990000"/>
      </font>
      <fill>
        <patternFill/>
      </fill>
    </dxf>
    <dxf>
      <font>
        <color rgb="FF980000"/>
      </font>
      <fill>
        <patternFill/>
      </fill>
    </dxf>
    <dxf>
      <font>
        <color rgb="FF990000"/>
      </font>
      <fill>
        <patternFill/>
      </fill>
    </dxf>
    <dxf>
      <font>
        <color rgb="FF980000"/>
      </font>
      <fill>
        <patternFill/>
      </fill>
    </dxf>
    <dxf>
      <font>
        <color rgb="FF990000"/>
      </font>
      <fill>
        <patternFill/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 - APRIL 2021 TO MARCH 2022</a:t>
            </a:r>
          </a:p>
        </rich>
      </tx>
      <overlay val="0"/>
    </title>
    <plotArea>
      <layout/>
      <areaChart>
        <grouping val="standard"/>
        <varyColors val="1"/>
        <ser>
          <idx val="0"/>
          <order val="0"/>
          <tx>
            <strRef>
              <f>'ANNUAL-EXPENSE-DETAILS'!$BH$1:$BH$2</f>
              <strCache>
                <ptCount val="2"/>
                <pt idx="0">
                  <v>TOTAL EXPENSE</v>
                </pt>
              </strCache>
            </strRef>
          </tx>
          <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 lvl="0">
                  <a:defRPr/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'ANNUAL-EXPENSE-DETAILS'!$A$3:$A$14</f>
              <strCache>
                <ptCount val="12"/>
                <pt idx="0">
                  <v>APRIL 2025</v>
                </pt>
                <pt idx="1">
                  <v>MAY 2025</v>
                </pt>
                <pt idx="2">
                  <v>JUN 2025</v>
                </pt>
                <pt idx="3">
                  <v>JUL 2025</v>
                </pt>
                <pt idx="4">
                  <v>AUG 2025</v>
                </pt>
                <pt idx="5">
                  <v>SEP 2025</v>
                </pt>
                <pt idx="6">
                  <v>OCT 2025</v>
                </pt>
                <pt idx="7">
                  <v>NOV 2025</v>
                </pt>
                <pt idx="8">
                  <v>DEC 2025</v>
                </pt>
                <pt idx="9">
                  <v>JAN 2026</v>
                </pt>
                <pt idx="10">
                  <v>FEB 2026</v>
                </pt>
                <pt idx="11">
                  <v>MAR 2026</v>
                </pt>
              </strCache>
            </strRef>
          </cat>
          <val>
            <numRef>
              <f>'ANNUAL-EXPENSE-DETAILS'!$BH$3:$BH$14</f>
              <numCache>
                <formatCode>#,##0.00</formatCode>
                <ptCount val="12"/>
                <pt idx="0">
                  <v>352350</v>
                </pt>
                <pt idx="1">
                  <v>299810</v>
                </pt>
                <pt idx="2">
                  <v>312762</v>
                </pt>
                <pt idx="3">
                  <v>369951</v>
                </pt>
                <pt idx="4">
                  <v>399241</v>
                </pt>
                <pt idx="5">
                  <v>336898</v>
                </pt>
                <pt idx="6">
                  <v>429567</v>
                </pt>
                <pt idx="7">
                  <v>456034</v>
                </pt>
                <pt idx="8">
                  <v>351396</v>
                </pt>
                <pt idx="9">
                  <v>347304</v>
                </pt>
                <pt idx="10">
                  <v>326672</v>
                </pt>
                <pt idx="11">
                  <v>337407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tc={1f69a37b-2144-432f-96b0-5b596b0ef80f}</author>
    <author>tc={08db34fa-1736-45a5-93af-31d02b3fd4b7}</author>
    <author>tc={a6c8a743-5962-4313-b01b-c1f5c4e0c9e7}</author>
    <author>None</author>
    <author>tc={d658fb14-92a3-4088-833a-9627914c1a64}</author>
    <author>tc={1c0fdffc-9a73-40fe-8bec-6e1e9acb4770}</author>
    <author>tc={5920c7cb-6b3b-412b-a9ac-08d9d13e7b3e}</author>
    <author>tc={a9a10d3a-8376-4bee-95f1-78f9485b63dc}</author>
  </authors>
  <commentList>
    <comment ref="B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5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 on 24th July 2025</t>
      </text>
    </comment>
    <comment ref="Z5" authorId="3" shapeId="0">
      <text>
        <t>UPS repair</t>
      </text>
    </comment>
    <comment ref="AD8" authorId="3" shapeId="0">
      <text>
        <t xml:space="preserve">Bescom Tip for changing fuse
</t>
      </text>
    </comment>
    <comment ref="AT9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Drain covers on the exit path way</t>
      </text>
    </comment>
    <comment ref="BA1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Sofa Disposal</t>
      </text>
    </comment>
    <comment ref="BB10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hardened dirt and sludge using machine (D.Sireesha)</t>
      </text>
    </comment>
    <comment ref="AF12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8,500 for cleaning the front garden area after moving garbage bins into the garbage cabin</t>
      </text>
    </comment>
  </commentList>
</comments>
</file>

<file path=xl/comments/comment2.xml><?xml version="1.0" encoding="utf-8"?>
<comments xmlns="http://schemas.openxmlformats.org/spreadsheetml/2006/main">
  <authors>
    <author>tc={32f316c2-cc01-49ef-9843-5dee0e2e6ef3}</author>
    <author>tc={26ed8b01-2f16-4479-9cea-8ae23f845bfd}</author>
    <author>tc={71c95b2a-dc7b-425a-adac-af74d1e71f56}</author>
    <author>tc={6c32c142-e983-461b-9fa2-e49883266a51}</author>
    <author>tc={5441273c-065c-4d5b-9c58-251a1ae6acb1}</author>
  </authors>
  <commentList>
    <comment ref="S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paid June maintenance by 31st July 2025 and also have previous deficit of -18,450.35 as of 7th Aug 2025 when preparing July bills</t>
      </text>
    </comment>
    <comment ref="S3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and also have total deficit of -29,270.59 as on 7th Aug 2025 when July bill is being prepared.</t>
      </text>
    </comment>
    <comment ref="S4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-31,307.80 as on 7th Aug 2025 when July bill is being prepared</t>
      </text>
    </comment>
    <comment ref="S48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-20,778.47 as on 7th Aug 2025 when July bill is being prepared</t>
      </text>
    </comment>
    <comment ref="S5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2025 and have total deficit of -18,326.58 as on 7th Aug 2025 when July Bill is being prepared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M2" authorId="0" shapeId="0">
      <text>
        <t>F16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66675</colOff>
      <row>15</row>
      <rowOff>266700</rowOff>
    </from>
    <ext cx="17668875" cy="4762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2" customWidth="1" style="251" min="2" max="2"/>
    <col width="15.6640625" customWidth="1" style="251" min="3" max="3"/>
    <col width="20.1640625" customWidth="1" style="251" min="4" max="4"/>
    <col width="19.5" customWidth="1" style="251" min="5" max="5"/>
    <col width="15" customWidth="1" style="251" min="6" max="6"/>
    <col width="16.33203125" customWidth="1" style="251" min="7" max="7"/>
    <col width="13.6640625" customWidth="1" style="251" min="8" max="8"/>
    <col width="14.33203125" customWidth="1" style="251" min="9" max="9"/>
    <col width="28.5" customWidth="1" style="251" min="10" max="10"/>
    <col width="16.83203125" customWidth="1" style="251" min="11" max="11"/>
    <col width="17.6640625" customWidth="1" style="251" min="12" max="12"/>
    <col width="17.33203125" customWidth="1" style="251" min="13" max="13"/>
    <col width="15.6640625" customWidth="1" style="251" min="14" max="14"/>
    <col width="16.6640625" customWidth="1" style="251" min="15" max="15"/>
    <col width="17.6640625" customWidth="1" style="251" min="16" max="16"/>
    <col width="27.5" customWidth="1" style="251" min="17" max="17"/>
    <col width="12.33203125" customWidth="1" style="251" min="18" max="18"/>
    <col width="44.1640625" customWidth="1" style="251" min="19" max="19"/>
    <col width="11.5" customWidth="1" style="251" min="20" max="20"/>
  </cols>
  <sheetData>
    <row r="1" ht="18.75" customHeight="1" s="251">
      <c r="A1" s="1" t="n"/>
      <c r="B1" s="266" t="inlineStr">
        <is>
          <t>APR 2026 EXPENSES</t>
        </is>
      </c>
      <c r="C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M1" s="267" t="n"/>
      <c r="N1" s="267" t="n"/>
      <c r="O1" s="267" t="n"/>
      <c r="P1" s="267" t="n"/>
      <c r="Q1" s="267" t="n"/>
      <c r="R1" s="267" t="n"/>
      <c r="S1" s="267" t="n"/>
      <c r="T1" s="268" t="n"/>
    </row>
    <row r="2" ht="58.5" customHeight="1" s="251">
      <c r="A2" s="2" t="inlineStr">
        <is>
          <t>FLAT #</t>
        </is>
      </c>
      <c r="B2" s="3" t="n">
        <v>1</v>
      </c>
      <c r="C2" s="4" t="inlineStr">
        <is>
          <t>WATER USED IN LTRS</t>
        </is>
      </c>
      <c r="D2" s="4" t="inlineStr">
        <is>
          <t>COMMON AREA WATER EQUALLY DIVIDED (L)</t>
        </is>
      </c>
      <c r="E2" s="4" t="inlineStr">
        <is>
          <t>TOTAL FRESH WATER CONSUMED(L)</t>
        </is>
      </c>
      <c r="F2" s="4" t="inlineStr">
        <is>
          <t>%OF TOTAL WATER USED</t>
        </is>
      </c>
      <c r="G2" s="4" t="inlineStr">
        <is>
          <t>WATER EXPENSE SHARING BY %</t>
        </is>
      </c>
      <c r="H2" s="4" t="inlineStr">
        <is>
          <t>#METERS</t>
        </is>
      </c>
      <c r="I2" s="4" t="inlineStr">
        <is>
          <t>METER RENT (Rs)</t>
        </is>
      </c>
      <c r="J2" s="4" t="inlineStr">
        <is>
          <t>TOTAL VARIABLE = (COMMON AREA METER RENT + 
WATER EXPENSE+ 
FLAT METER RENT (Rs))</t>
        </is>
      </c>
      <c r="K2" s="4" t="inlineStr">
        <is>
          <t>FIXED EXPENSE SHARE(Rs)</t>
        </is>
      </c>
      <c r="L2" s="4" t="inlineStr">
        <is>
          <t>PARKING FEE(Rs)</t>
        </is>
      </c>
      <c r="M2" s="4" t="inlineStr">
        <is>
          <t>CLUB HOUSE FEE (Rs)</t>
        </is>
      </c>
      <c r="N2" s="4" t="inlineStr">
        <is>
          <t>SHIFTING FEE (Rs)</t>
        </is>
      </c>
      <c r="O2" s="4" t="inlineStr">
        <is>
          <t>GYM USAGE FEE(Rs)</t>
        </is>
      </c>
      <c r="P2" s="4" t="inlineStr">
        <is>
          <t>COVID+ GARBAGE FEE (Rs)</t>
        </is>
      </c>
      <c r="Q2" s="4" t="inlineStr">
        <is>
          <t>ANNUAL MEMBERSHIP FEE - 2022-2023 (Rs)</t>
        </is>
      </c>
      <c r="R2" s="5" t="inlineStr">
        <is>
          <t>TOTAL EXPENSE TO BE PAID (Rs)</t>
        </is>
      </c>
      <c r="S2" s="6" t="n"/>
      <c r="T2" s="6" t="n"/>
    </row>
    <row r="3" ht="12.75" customHeight="1" s="251">
      <c r="A3" s="7" t="inlineStr">
        <is>
          <t>CH</t>
        </is>
      </c>
      <c r="B3" s="8" t="inlineStr">
        <is>
          <t>MPFOWA</t>
        </is>
      </c>
      <c r="C3" s="9" t="n">
        <v>0</v>
      </c>
      <c r="D3" s="10" t="n">
        <v>0</v>
      </c>
      <c r="E3" s="6" t="n"/>
      <c r="F3" s="6" t="n"/>
      <c r="G3" s="6" t="n"/>
      <c r="H3" s="10" t="n">
        <v>1</v>
      </c>
      <c r="I3" s="10">
        <f>T7</f>
        <v/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</row>
    <row r="4" ht="12.75" customHeight="1" s="251">
      <c r="A4" s="7" t="inlineStr">
        <is>
          <t>GYM</t>
        </is>
      </c>
      <c r="B4" s="8" t="inlineStr">
        <is>
          <t>MPFOWA</t>
        </is>
      </c>
      <c r="C4" s="9" t="n">
        <v>0</v>
      </c>
      <c r="D4" s="10" t="n">
        <v>0</v>
      </c>
      <c r="E4" s="6" t="n"/>
      <c r="F4" s="6" t="n"/>
      <c r="G4" s="6" t="n"/>
      <c r="H4" s="10" t="n">
        <v>1</v>
      </c>
      <c r="I4" s="10">
        <f>T7</f>
        <v/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11" t="inlineStr">
        <is>
          <t>TOTAL FIXED EXPENSE</t>
        </is>
      </c>
      <c r="T4" s="12">
        <f>'ANNUAL-EXPENSE-DETAILS'!BF3</f>
        <v/>
      </c>
    </row>
    <row r="5" ht="12.75" customHeight="1" s="251">
      <c r="A5" s="7" t="inlineStr">
        <is>
          <t>BSMT</t>
        </is>
      </c>
      <c r="B5" s="8" t="inlineStr">
        <is>
          <t>MPFOWA</t>
        </is>
      </c>
      <c r="C5" s="6" t="n">
        <v>0</v>
      </c>
      <c r="D5" s="10" t="n">
        <v>0</v>
      </c>
      <c r="E5" s="6" t="n"/>
      <c r="F5" s="6" t="n"/>
      <c r="G5" s="6" t="n"/>
      <c r="H5" s="10" t="n">
        <v>1</v>
      </c>
      <c r="I5" s="10">
        <f>T7</f>
        <v/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11" t="inlineStr">
        <is>
          <t>TOTAL WATER EXPENSE</t>
        </is>
      </c>
      <c r="T5" s="12">
        <f>'ANNUAL-EXPENSE-DETAILS'!BE3</f>
        <v/>
      </c>
    </row>
    <row r="6" ht="12.75" customHeight="1" s="251">
      <c r="A6" s="7" t="inlineStr">
        <is>
          <t>F1</t>
        </is>
      </c>
      <c r="B6" s="13" t="inlineStr">
        <is>
          <t>Shailesh Srivastava / Azeem Nawaz</t>
        </is>
      </c>
      <c r="C6" s="9" t="n">
        <v>0</v>
      </c>
      <c r="D6" s="10">
        <f>SUM($C$3:$C$5)/64</f>
        <v/>
      </c>
      <c r="E6" s="10">
        <f>C6+D6</f>
        <v/>
      </c>
      <c r="F6" s="10">
        <f>IF($C$70=0, 0, E6/$C$70)</f>
        <v/>
      </c>
      <c r="G6" s="10">
        <f>F6*$T$5</f>
        <v/>
      </c>
      <c r="H6" s="10" t="n">
        <v>3</v>
      </c>
      <c r="I6" s="10">
        <f>$T$7*H6</f>
        <v/>
      </c>
      <c r="J6" s="10">
        <f>G6+$T$9+I6</f>
        <v/>
      </c>
      <c r="K6" s="10">
        <f>$T$4/64</f>
        <v/>
      </c>
      <c r="L6" s="14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5">
        <f>(J6+K6+L6+M6+Q6+N6+O6+P6)*$B$2</f>
        <v/>
      </c>
      <c r="S6" s="6" t="n"/>
      <c r="T6" s="6" t="n"/>
    </row>
    <row r="7" ht="12.75" customHeight="1" s="251">
      <c r="A7" s="7" t="inlineStr">
        <is>
          <t>F2</t>
        </is>
      </c>
      <c r="B7" s="13" t="inlineStr">
        <is>
          <t>Shanthanu</t>
        </is>
      </c>
      <c r="C7" s="9" t="n">
        <v>0</v>
      </c>
      <c r="D7" s="10">
        <f>SUM($C$3:$C$5)/64</f>
        <v/>
      </c>
      <c r="E7" s="10">
        <f>C7+D7</f>
        <v/>
      </c>
      <c r="F7" s="10">
        <f>IF($C$70=0, 0, E7/$C$70)</f>
        <v/>
      </c>
      <c r="G7" s="10">
        <f>F7*$T$5</f>
        <v/>
      </c>
      <c r="H7" s="10" t="n">
        <v>4</v>
      </c>
      <c r="I7" s="10">
        <f>$T$7*H7</f>
        <v/>
      </c>
      <c r="J7" s="10">
        <f>G7+$T$9+I7</f>
        <v/>
      </c>
      <c r="K7" s="10">
        <f>$T$4/64</f>
        <v/>
      </c>
      <c r="L7" s="7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5">
        <f>(J7+K7+L7+M7+Q7+N7+O7+P7)*$B$2</f>
        <v/>
      </c>
      <c r="S7" s="16" t="inlineStr">
        <is>
          <t>RENT PER METER (Rs)</t>
        </is>
      </c>
      <c r="T7" s="17" t="n">
        <v>112.21</v>
      </c>
    </row>
    <row r="8" ht="12.75" customHeight="1" s="251">
      <c r="A8" s="7" t="inlineStr">
        <is>
          <t>F3</t>
        </is>
      </c>
      <c r="B8" s="13" t="inlineStr">
        <is>
          <t>Samrat Kar</t>
        </is>
      </c>
      <c r="C8" s="9" t="n">
        <v>0</v>
      </c>
      <c r="D8" s="10">
        <f>SUM($C$3:$C$5)/64</f>
        <v/>
      </c>
      <c r="E8" s="10">
        <f>C8+D8</f>
        <v/>
      </c>
      <c r="F8" s="10">
        <f>IF($C$70=0, 0, E8/$C$70)</f>
        <v/>
      </c>
      <c r="G8" s="10">
        <f>F8*$T$5</f>
        <v/>
      </c>
      <c r="H8" s="10" t="n">
        <v>4</v>
      </c>
      <c r="I8" s="10">
        <f>$T$7*H8</f>
        <v/>
      </c>
      <c r="J8" s="10">
        <f>G8+$T$9+I8</f>
        <v/>
      </c>
      <c r="K8" s="10">
        <f>$T$4/64</f>
        <v/>
      </c>
      <c r="L8" s="7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5">
        <f>(J8+K8+L8+M8+Q8+N8+O8+P8)*$B$2</f>
        <v/>
      </c>
      <c r="S8" s="16" t="inlineStr">
        <is>
          <t>COMMON AREA METER RENT(Rs)</t>
        </is>
      </c>
      <c r="T8" s="18">
        <f>$T$7*3</f>
        <v/>
      </c>
    </row>
    <row r="9" ht="12.75" customHeight="1" s="251">
      <c r="A9" s="7" t="inlineStr">
        <is>
          <t>F4</t>
        </is>
      </c>
      <c r="B9" s="13" t="inlineStr">
        <is>
          <t>Renu R</t>
        </is>
      </c>
      <c r="C9" s="9" t="n">
        <v>0</v>
      </c>
      <c r="D9" s="10">
        <f>SUM($C$3:$C$5)/64</f>
        <v/>
      </c>
      <c r="E9" s="10">
        <f>C9+D9</f>
        <v/>
      </c>
      <c r="F9" s="10">
        <f>IF($C$70=0, 0, E9/$C$70)</f>
        <v/>
      </c>
      <c r="G9" s="10">
        <f>F9*$T$5</f>
        <v/>
      </c>
      <c r="H9" s="10" t="n">
        <v>4</v>
      </c>
      <c r="I9" s="10">
        <f>$T$7*H9</f>
        <v/>
      </c>
      <c r="J9" s="10">
        <f>G9+$T$9+I9</f>
        <v/>
      </c>
      <c r="K9" s="10">
        <f>$T$4/64</f>
        <v/>
      </c>
      <c r="L9" s="7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5">
        <f>(J9+K9+L9+M9+Q9+N9+O9+P9)*$B$2</f>
        <v/>
      </c>
      <c r="S9" s="11" t="inlineStr">
        <is>
          <t>COMMON AREA METER RENT/FLAT (Rs)</t>
        </is>
      </c>
      <c r="T9" s="12">
        <f>T8/64</f>
        <v/>
      </c>
    </row>
    <row r="10" ht="12.75" customHeight="1" s="251">
      <c r="A10" s="7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0">
        <f>SUM($C$3:$C$5)/64</f>
        <v/>
      </c>
      <c r="E10" s="10">
        <f>C10+D10</f>
        <v/>
      </c>
      <c r="F10" s="10">
        <f>IF($C$70=0, 0, E10/$C$70)</f>
        <v/>
      </c>
      <c r="G10" s="10">
        <f>F10*$T$5</f>
        <v/>
      </c>
      <c r="H10" s="10" t="n">
        <v>3</v>
      </c>
      <c r="I10" s="10">
        <f>$T$7*H10</f>
        <v/>
      </c>
      <c r="J10" s="10">
        <f>G10+$T$9+I10</f>
        <v/>
      </c>
      <c r="K10" s="10">
        <f>$T$4/64</f>
        <v/>
      </c>
      <c r="L10" s="7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5">
        <f>(J10+K10+L10+M10+Q10+N10+O10+P10)*$B$2</f>
        <v/>
      </c>
      <c r="S10" s="6" t="n"/>
      <c r="T10" s="6" t="n"/>
    </row>
    <row r="11" ht="12.75" customHeight="1" s="251">
      <c r="A11" s="7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0">
        <f>SUM($C$3:$C$5)/64</f>
        <v/>
      </c>
      <c r="E11" s="10">
        <f>C11+D11</f>
        <v/>
      </c>
      <c r="F11" s="10">
        <f>IF($C$70=0, 0, E11/$C$70)</f>
        <v/>
      </c>
      <c r="G11" s="10">
        <f>F11*$T$5</f>
        <v/>
      </c>
      <c r="H11" s="10" t="n">
        <v>3</v>
      </c>
      <c r="I11" s="10">
        <f>$T$7*H11</f>
        <v/>
      </c>
      <c r="J11" s="10">
        <f>G11+$T$9+I11</f>
        <v/>
      </c>
      <c r="K11" s="10">
        <f>$T$4/64</f>
        <v/>
      </c>
      <c r="L11" s="7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5">
        <f>(J11+K11+L11+M11+Q11+N11+O11+P11)*$B$2</f>
        <v/>
      </c>
      <c r="S11" s="19" t="inlineStr">
        <is>
          <t>BALANCE IN ACCOUNT ON 30-Apr-2023</t>
        </is>
      </c>
      <c r="T11" s="20" t="n"/>
    </row>
    <row r="12" ht="12.75" customHeight="1" s="251">
      <c r="A12" s="7" t="inlineStr">
        <is>
          <t>F7</t>
        </is>
      </c>
      <c r="B12" s="13" t="inlineStr">
        <is>
          <t>Vimal NK</t>
        </is>
      </c>
      <c r="C12" s="9" t="n">
        <v>0</v>
      </c>
      <c r="D12" s="10">
        <f>SUM($C$3:$C$5)/64</f>
        <v/>
      </c>
      <c r="E12" s="10">
        <f>C12+D12</f>
        <v/>
      </c>
      <c r="F12" s="10">
        <f>IF($C$70=0, 0, E12/$C$70)</f>
        <v/>
      </c>
      <c r="G12" s="10">
        <f>F12*$T$5</f>
        <v/>
      </c>
      <c r="H12" s="10" t="n">
        <v>3</v>
      </c>
      <c r="I12" s="10">
        <f>$T$7*H12</f>
        <v/>
      </c>
      <c r="J12" s="10">
        <f>G12+$T$9+I12</f>
        <v/>
      </c>
      <c r="K12" s="10">
        <f>$T$4/64</f>
        <v/>
      </c>
      <c r="L12" s="7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5">
        <f>(J12+K12+L12+M12+Q12+N12+O12+P12)*$B$2</f>
        <v/>
      </c>
      <c r="S12" s="19" t="inlineStr">
        <is>
          <t>TOTAL NON MAINTENANCE CORPUS COLLECTION</t>
        </is>
      </c>
      <c r="T12" s="21" t="n"/>
    </row>
    <row r="13" ht="12.75" customHeight="1" s="251">
      <c r="A13" s="7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0">
        <f>SUM($C$3:$C$5)/64</f>
        <v/>
      </c>
      <c r="E13" s="10">
        <f>C13+D13</f>
        <v/>
      </c>
      <c r="F13" s="10">
        <f>IF($C$70=0, 0, E13/$C$70)</f>
        <v/>
      </c>
      <c r="G13" s="10">
        <f>F13*$T$5</f>
        <v/>
      </c>
      <c r="H13" s="10" t="n">
        <v>3</v>
      </c>
      <c r="I13" s="10">
        <f>$T$7*H13</f>
        <v/>
      </c>
      <c r="J13" s="10">
        <f>G13+$T$9+I13</f>
        <v/>
      </c>
      <c r="K13" s="10">
        <f>$T$4/64</f>
        <v/>
      </c>
      <c r="L13" s="7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5">
        <f>(J13+K13+L13+M13+Q13+N13+O13+P13)*$B$2</f>
        <v/>
      </c>
      <c r="S13" s="19" t="inlineStr">
        <is>
          <t>TOTAL FD DONE</t>
        </is>
      </c>
      <c r="T13" s="21" t="n"/>
    </row>
    <row r="14" ht="12.75" customHeight="1" s="251">
      <c r="A14" s="7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0">
        <f>SUM($C$3:$C$5)/64</f>
        <v/>
      </c>
      <c r="E14" s="10">
        <f>C14+D14</f>
        <v/>
      </c>
      <c r="F14" s="10">
        <f>IF($C$70=0, 0, E14/$C$70)</f>
        <v/>
      </c>
      <c r="G14" s="10">
        <f>F14*$T$5</f>
        <v/>
      </c>
      <c r="H14" s="10" t="n">
        <v>4</v>
      </c>
      <c r="I14" s="10">
        <f>$T$7*H14</f>
        <v/>
      </c>
      <c r="J14" s="10">
        <f>G14+$T$9+I14</f>
        <v/>
      </c>
      <c r="K14" s="10">
        <f>$T$4/64</f>
        <v/>
      </c>
      <c r="L14" s="7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5">
        <f>(J14+K14+L14+M14+Q14+N14+O14+P14)*$B$2</f>
        <v/>
      </c>
      <c r="S14" s="22" t="inlineStr">
        <is>
          <t>AMOUNT AVAILABLE FOR NON MAINTENANCE CORPUS IN CURRENT AC</t>
        </is>
      </c>
      <c r="T14" s="23">
        <f>T12-T13</f>
        <v/>
      </c>
    </row>
    <row r="15" ht="12.75" customHeight="1" s="251">
      <c r="A15" s="7" t="inlineStr">
        <is>
          <t>F10</t>
        </is>
      </c>
      <c r="B15" s="13" t="inlineStr">
        <is>
          <t>Aby Thomas</t>
        </is>
      </c>
      <c r="C15" s="9" t="n">
        <v>0</v>
      </c>
      <c r="D15" s="10">
        <f>SUM($C$3:$C$5)/64</f>
        <v/>
      </c>
      <c r="E15" s="10">
        <f>C15+D15</f>
        <v/>
      </c>
      <c r="F15" s="10">
        <f>IF($C$70=0, 0, E15/$C$70)</f>
        <v/>
      </c>
      <c r="G15" s="10">
        <f>F15*$T$5</f>
        <v/>
      </c>
      <c r="H15" s="10" t="n">
        <v>3</v>
      </c>
      <c r="I15" s="10">
        <f>$T$7*H15</f>
        <v/>
      </c>
      <c r="J15" s="10">
        <f>G15+$T$9+I15</f>
        <v/>
      </c>
      <c r="K15" s="10">
        <f>$T$4/64</f>
        <v/>
      </c>
      <c r="L15" s="7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5">
        <f>(J15+K15+L15+M15+Q15+N15+O15+P15)*$B$2</f>
        <v/>
      </c>
      <c r="S15" s="24" t="inlineStr">
        <is>
          <t>Pending vendor payments</t>
        </is>
      </c>
      <c r="T15" s="25" t="n"/>
    </row>
    <row r="16" ht="12.75" customHeight="1" s="251">
      <c r="A16" s="7" t="inlineStr">
        <is>
          <t>F11</t>
        </is>
      </c>
      <c r="B16" s="13" t="inlineStr">
        <is>
          <t>Niwin Anto</t>
        </is>
      </c>
      <c r="C16" s="9" t="n">
        <v>0</v>
      </c>
      <c r="D16" s="10">
        <f>SUM($C$3:$C$5)/64</f>
        <v/>
      </c>
      <c r="E16" s="10">
        <f>C16+D16</f>
        <v/>
      </c>
      <c r="F16" s="10">
        <f>IF($C$70=0, 0, E16/$C$70)</f>
        <v/>
      </c>
      <c r="G16" s="10">
        <f>F16*$T$5</f>
        <v/>
      </c>
      <c r="H16" s="10" t="n">
        <v>3</v>
      </c>
      <c r="I16" s="10">
        <f>$T$7*H16</f>
        <v/>
      </c>
      <c r="J16" s="10">
        <f>G16+$T$9+I16</f>
        <v/>
      </c>
      <c r="K16" s="10">
        <f>$T$4/64</f>
        <v/>
      </c>
      <c r="L16" s="7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5">
        <f>(J16+K16+L16+M16+Q16+N16+O16+P16)*$B$2</f>
        <v/>
      </c>
      <c r="S16" s="26" t="inlineStr">
        <is>
          <t>AMOUNT AVAILABLE FOR MAINTENANCE</t>
        </is>
      </c>
      <c r="T16" s="27">
        <f>T11-T14-T15</f>
        <v/>
      </c>
    </row>
    <row r="17" ht="12.75" customHeight="1" s="251">
      <c r="A17" s="7" t="inlineStr">
        <is>
          <t>F12</t>
        </is>
      </c>
      <c r="B17" s="13" t="inlineStr">
        <is>
          <t>Anirudh Singh</t>
        </is>
      </c>
      <c r="C17" s="9" t="n">
        <v>0</v>
      </c>
      <c r="D17" s="10">
        <f>SUM($C$3:$C$5)/64</f>
        <v/>
      </c>
      <c r="E17" s="10">
        <f>C17+D17</f>
        <v/>
      </c>
      <c r="F17" s="10">
        <f>IF($C$70=0, 0, E17/$C$70)</f>
        <v/>
      </c>
      <c r="G17" s="10">
        <f>F17*$T$5</f>
        <v/>
      </c>
      <c r="H17" s="10" t="n">
        <v>3</v>
      </c>
      <c r="I17" s="10">
        <f>$T$7*H17</f>
        <v/>
      </c>
      <c r="J17" s="10">
        <f>G17+$T$9+I17</f>
        <v/>
      </c>
      <c r="K17" s="10">
        <f>$T$4/64</f>
        <v/>
      </c>
      <c r="L17" s="7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5">
        <f>(J17+K17+L17+M17+Q17+N17+O17+P17)*$B$2</f>
        <v/>
      </c>
      <c r="S17" s="26" t="inlineStr">
        <is>
          <t>TOTAL EXPENSE FOR THE MONTH</t>
        </is>
      </c>
      <c r="T17" s="28">
        <f>'ANNUAL-EXPENSE-DETAILS'!BI9</f>
        <v/>
      </c>
    </row>
    <row r="18" ht="12.75" customHeight="1" s="251">
      <c r="A18" s="7" t="inlineStr">
        <is>
          <t>F13</t>
        </is>
      </c>
      <c r="B18" s="13" t="inlineStr">
        <is>
          <t>Sanchay Saxena</t>
        </is>
      </c>
      <c r="C18" s="9" t="n">
        <v>0</v>
      </c>
      <c r="D18" s="10">
        <f>SUM($C$3:$C$5)/64</f>
        <v/>
      </c>
      <c r="E18" s="10">
        <f>C18+D18</f>
        <v/>
      </c>
      <c r="F18" s="10">
        <f>IF($C$70=0, 0, E18/$C$70)</f>
        <v/>
      </c>
      <c r="G18" s="10">
        <f>F18*$T$5</f>
        <v/>
      </c>
      <c r="H18" s="10" t="n">
        <v>4</v>
      </c>
      <c r="I18" s="10">
        <f>$T$7*H18</f>
        <v/>
      </c>
      <c r="J18" s="10">
        <f>G18+$T$9+I18</f>
        <v/>
      </c>
      <c r="K18" s="10">
        <f>$T$4/64</f>
        <v/>
      </c>
      <c r="L18" s="7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5">
        <f>(J18+K18+L18+M18+Q18+N18+O18+P18)*$B$2</f>
        <v/>
      </c>
      <c r="S18" s="26" t="inlineStr">
        <is>
          <t>Maintenance deficit</t>
        </is>
      </c>
      <c r="T18" s="29">
        <f>T16-T17</f>
        <v/>
      </c>
    </row>
    <row r="19" ht="12.75" customHeight="1" s="251">
      <c r="A19" s="7" t="inlineStr">
        <is>
          <t>F14</t>
        </is>
      </c>
      <c r="B19" s="13" t="inlineStr">
        <is>
          <t>Hemant Patel</t>
        </is>
      </c>
      <c r="C19" s="9" t="n">
        <v>0</v>
      </c>
      <c r="D19" s="10">
        <f>SUM($C$3:$C$5)/64</f>
        <v/>
      </c>
      <c r="E19" s="10">
        <f>C19+D19</f>
        <v/>
      </c>
      <c r="F19" s="10">
        <f>IF($C$70=0, 0, E19/$C$70)</f>
        <v/>
      </c>
      <c r="G19" s="10">
        <f>F19*$T$5</f>
        <v/>
      </c>
      <c r="H19" s="10" t="n">
        <v>4</v>
      </c>
      <c r="I19" s="10">
        <f>$T$7*H19</f>
        <v/>
      </c>
      <c r="J19" s="10">
        <f>G19+$T$9+I19</f>
        <v/>
      </c>
      <c r="K19" s="10">
        <f>$T$4/64</f>
        <v/>
      </c>
      <c r="L19" s="7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5">
        <f>(J19+K19+L19+M19+Q19+N19+O19+P19)*$B$2</f>
        <v/>
      </c>
      <c r="S19" s="6" t="n"/>
      <c r="T19" s="6" t="n"/>
    </row>
    <row r="20" ht="12.75" customHeight="1" s="251">
      <c r="A20" s="7" t="inlineStr">
        <is>
          <t>F15</t>
        </is>
      </c>
      <c r="B20" s="13" t="inlineStr">
        <is>
          <t>Senthil.Vijayaragavan</t>
        </is>
      </c>
      <c r="C20" s="9" t="n">
        <v>0</v>
      </c>
      <c r="D20" s="10">
        <f>SUM($C$3:$C$5)/64</f>
        <v/>
      </c>
      <c r="E20" s="10">
        <f>C20+D20</f>
        <v/>
      </c>
      <c r="F20" s="10">
        <f>IF($C$70=0, 0, E20/$C$70)</f>
        <v/>
      </c>
      <c r="G20" s="10">
        <f>F20*$T$5</f>
        <v/>
      </c>
      <c r="H20" s="10" t="n">
        <v>4</v>
      </c>
      <c r="I20" s="10">
        <f>$T$7*H20</f>
        <v/>
      </c>
      <c r="J20" s="10">
        <f>G20+$T$9+I20</f>
        <v/>
      </c>
      <c r="K20" s="10">
        <f>$T$4/64</f>
        <v/>
      </c>
      <c r="L20" s="7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5">
        <f>(J20+K20+L20+M20+Q20+N20+O20+P20)*$B$2</f>
        <v/>
      </c>
      <c r="S20" s="6" t="n"/>
      <c r="T20" s="6" t="n"/>
    </row>
    <row r="21" ht="12.75" customHeight="1" s="251">
      <c r="A21" s="7" t="inlineStr">
        <is>
          <t>F16</t>
        </is>
      </c>
      <c r="B21" s="13" t="inlineStr">
        <is>
          <t>Sreeja Sudharma</t>
        </is>
      </c>
      <c r="C21" s="9" t="n">
        <v>0</v>
      </c>
      <c r="D21" s="10">
        <f>SUM($C$3:$C$5)/64</f>
        <v/>
      </c>
      <c r="E21" s="10">
        <f>C21+D21</f>
        <v/>
      </c>
      <c r="F21" s="10">
        <f>IF($C$70=0, 0, E21/$C$70)</f>
        <v/>
      </c>
      <c r="G21" s="10">
        <f>F21*$T$5</f>
        <v/>
      </c>
      <c r="H21" s="10" t="n">
        <v>3</v>
      </c>
      <c r="I21" s="10">
        <f>$T$7*H21</f>
        <v/>
      </c>
      <c r="J21" s="10">
        <f>G21+$T$9+I21</f>
        <v/>
      </c>
      <c r="K21" s="10">
        <f>$T$4/64</f>
        <v/>
      </c>
      <c r="L21" s="7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5">
        <f>(J21+K21+L21+M21+Q21+N21+O21+P21)*$B$2</f>
        <v/>
      </c>
      <c r="S21" s="6" t="n"/>
      <c r="T21" s="6" t="n"/>
    </row>
    <row r="22" ht="12.75" customHeight="1" s="251">
      <c r="A22" s="7" t="inlineStr">
        <is>
          <t>G1</t>
        </is>
      </c>
      <c r="B22" s="13" t="inlineStr">
        <is>
          <t>Venkataramanan C</t>
        </is>
      </c>
      <c r="C22" s="9" t="n">
        <v>0</v>
      </c>
      <c r="D22" s="10">
        <f>SUM($C$3:$C$5)/64</f>
        <v/>
      </c>
      <c r="E22" s="10">
        <f>C22+D22</f>
        <v/>
      </c>
      <c r="F22" s="10">
        <f>IF($C$70=0, 0, E22/$C$70)</f>
        <v/>
      </c>
      <c r="G22" s="10">
        <f>F22*$T$5</f>
        <v/>
      </c>
      <c r="H22" s="10" t="n">
        <v>3</v>
      </c>
      <c r="I22" s="10">
        <f>$T$7*H22</f>
        <v/>
      </c>
      <c r="J22" s="10">
        <f>G22+$T$9+I22</f>
        <v/>
      </c>
      <c r="K22" s="10">
        <f>$T$4/64</f>
        <v/>
      </c>
      <c r="L22" s="7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5">
        <f>(J22+K22+L22+M22+Q22+N22+O22+P22)*$B$2</f>
        <v/>
      </c>
      <c r="S22" s="6" t="n"/>
      <c r="T22" s="6" t="n"/>
    </row>
    <row r="23" ht="12.75" customHeight="1" s="251">
      <c r="A23" s="7" t="inlineStr">
        <is>
          <t>G2</t>
        </is>
      </c>
      <c r="B23" s="13" t="inlineStr">
        <is>
          <t>Kaushik Kasibhatla</t>
        </is>
      </c>
      <c r="C23" s="9" t="n">
        <v>0</v>
      </c>
      <c r="D23" s="10">
        <f>SUM($C$3:$C$5)/64</f>
        <v/>
      </c>
      <c r="E23" s="10">
        <f>C23+D23</f>
        <v/>
      </c>
      <c r="F23" s="10">
        <f>IF($C$70=0, 0, E23/$C$70)</f>
        <v/>
      </c>
      <c r="G23" s="10">
        <f>F23*$T$5</f>
        <v/>
      </c>
      <c r="H23" s="10" t="n">
        <v>4</v>
      </c>
      <c r="I23" s="10">
        <f>$T$7*H23</f>
        <v/>
      </c>
      <c r="J23" s="10">
        <f>G23+$T$9+I23</f>
        <v/>
      </c>
      <c r="K23" s="10">
        <f>$T$4/64</f>
        <v/>
      </c>
      <c r="L23" s="7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5">
        <f>(J23+K23+L23+M23+Q23+N23+O23+P23)*$B$2</f>
        <v/>
      </c>
      <c r="S23" s="6" t="n"/>
      <c r="T23" s="6" t="n"/>
    </row>
    <row r="24" ht="12.75" customHeight="1" s="251">
      <c r="A24" s="7" t="inlineStr">
        <is>
          <t>G3</t>
        </is>
      </c>
      <c r="B24" s="13" t="inlineStr">
        <is>
          <t>Balakrishnan</t>
        </is>
      </c>
      <c r="C24" s="9" t="n">
        <v>0</v>
      </c>
      <c r="D24" s="10">
        <f>SUM($C$3:$C$5)/64</f>
        <v/>
      </c>
      <c r="E24" s="10">
        <f>C24+D24</f>
        <v/>
      </c>
      <c r="F24" s="10">
        <f>IF($C$70=0, 0, E24/$C$70)</f>
        <v/>
      </c>
      <c r="G24" s="10">
        <f>F24*$T$5</f>
        <v/>
      </c>
      <c r="H24" s="10" t="n">
        <v>4</v>
      </c>
      <c r="I24" s="10">
        <f>$T$7*H24</f>
        <v/>
      </c>
      <c r="J24" s="10">
        <f>G24+$T$9+I24</f>
        <v/>
      </c>
      <c r="K24" s="10">
        <f>$T$4/64</f>
        <v/>
      </c>
      <c r="L24" s="7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5">
        <f>(J24+K24+L24+M24+Q24+N24+O24+P24)*$B$2</f>
        <v/>
      </c>
      <c r="S24" s="6" t="n"/>
      <c r="T24" s="6" t="n"/>
    </row>
    <row r="25" ht="12.75" customHeight="1" s="251">
      <c r="A25" s="7" t="inlineStr">
        <is>
          <t>G4</t>
        </is>
      </c>
      <c r="B25" s="13" t="inlineStr">
        <is>
          <t>Ashwin Pandith</t>
        </is>
      </c>
      <c r="C25" s="9" t="n">
        <v>0</v>
      </c>
      <c r="D25" s="10">
        <f>SUM($C$3:$C$5)/64</f>
        <v/>
      </c>
      <c r="E25" s="10">
        <f>C25+D25</f>
        <v/>
      </c>
      <c r="F25" s="10">
        <f>IF($C$70=0, 0, E25/$C$70)</f>
        <v/>
      </c>
      <c r="G25" s="10">
        <f>F25*$T$5</f>
        <v/>
      </c>
      <c r="H25" s="10" t="n">
        <v>4</v>
      </c>
      <c r="I25" s="10">
        <f>$T$7*H25</f>
        <v/>
      </c>
      <c r="J25" s="10">
        <f>G25+$T$9+I25</f>
        <v/>
      </c>
      <c r="K25" s="10">
        <f>$T$4/64</f>
        <v/>
      </c>
      <c r="L25" s="7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5">
        <f>(J25+K25+L25+M25+Q25+N25+O25+P25)*$B$2</f>
        <v/>
      </c>
      <c r="S25" s="6" t="n"/>
      <c r="T25" s="6" t="n"/>
    </row>
    <row r="26" ht="12.75" customHeight="1" s="251">
      <c r="A26" s="7" t="inlineStr">
        <is>
          <t>G5</t>
        </is>
      </c>
      <c r="B26" s="13" t="inlineStr">
        <is>
          <t>Mayank Phophaliya</t>
        </is>
      </c>
      <c r="C26" s="9" t="n">
        <v>0</v>
      </c>
      <c r="D26" s="10">
        <f>SUM($C$3:$C$5)/64</f>
        <v/>
      </c>
      <c r="E26" s="10">
        <f>C26+D26</f>
        <v/>
      </c>
      <c r="F26" s="10">
        <f>IF($C$70=0, 0, E26/$C$70)</f>
        <v/>
      </c>
      <c r="G26" s="10">
        <f>F26*$T$5</f>
        <v/>
      </c>
      <c r="H26" s="10" t="n">
        <v>3</v>
      </c>
      <c r="I26" s="10">
        <f>$T$7*H26</f>
        <v/>
      </c>
      <c r="J26" s="10">
        <f>G26+$T$9+I26</f>
        <v/>
      </c>
      <c r="K26" s="10">
        <f>$T$4/64</f>
        <v/>
      </c>
      <c r="L26" s="7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5">
        <f>(J26+K26+L26+M26+Q26+N26+O26+P26)*$B$2</f>
        <v/>
      </c>
      <c r="S26" s="6" t="n"/>
      <c r="T26" s="6" t="n"/>
    </row>
    <row r="27" ht="12.75" customHeight="1" s="251">
      <c r="A27" s="7" t="inlineStr">
        <is>
          <t>G6</t>
        </is>
      </c>
      <c r="B27" s="13" t="inlineStr">
        <is>
          <t>Mohit Daga</t>
        </is>
      </c>
      <c r="C27" s="9" t="n">
        <v>0</v>
      </c>
      <c r="D27" s="10">
        <f>SUM($C$3:$C$5)/64</f>
        <v/>
      </c>
      <c r="E27" s="10">
        <f>C27+D27</f>
        <v/>
      </c>
      <c r="F27" s="10">
        <f>IF($C$70=0, 0, E27/$C$70)</f>
        <v/>
      </c>
      <c r="G27" s="10">
        <f>F27*$T$5</f>
        <v/>
      </c>
      <c r="H27" s="10" t="n">
        <v>3</v>
      </c>
      <c r="I27" s="10">
        <f>$T$7*H27</f>
        <v/>
      </c>
      <c r="J27" s="10">
        <f>G27+$T$9+I27</f>
        <v/>
      </c>
      <c r="K27" s="10">
        <f>$T$4/64</f>
        <v/>
      </c>
      <c r="L27" s="7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5">
        <f>(J27+K27+L27+M27+Q27+N27+O27+P27)*$B$2</f>
        <v/>
      </c>
      <c r="S27" s="6" t="n"/>
      <c r="T27" s="6" t="n"/>
    </row>
    <row r="28" ht="12.75" customHeight="1" s="251">
      <c r="A28" s="7" t="inlineStr">
        <is>
          <t>G7</t>
        </is>
      </c>
      <c r="B28" s="13" t="inlineStr">
        <is>
          <t>Prince Richfield</t>
        </is>
      </c>
      <c r="C28" s="9" t="n">
        <v>0</v>
      </c>
      <c r="D28" s="10">
        <f>SUM($C$3:$C$5)/64</f>
        <v/>
      </c>
      <c r="E28" s="10">
        <f>C28+D28</f>
        <v/>
      </c>
      <c r="F28" s="10">
        <f>IF($C$70=0, 0, E28/$C$70)</f>
        <v/>
      </c>
      <c r="G28" s="10">
        <f>F28*$T$5</f>
        <v/>
      </c>
      <c r="H28" s="10" t="n">
        <v>3</v>
      </c>
      <c r="I28" s="10">
        <f>$T$7*H28</f>
        <v/>
      </c>
      <c r="J28" s="10">
        <f>G28+$T$9+I28</f>
        <v/>
      </c>
      <c r="K28" s="10">
        <f>$T$4/64</f>
        <v/>
      </c>
      <c r="L28" s="7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5">
        <f>(J28+K28+L28+M28+Q28+N28+O28+P28)*$B$2</f>
        <v/>
      </c>
      <c r="S28" s="6" t="n"/>
      <c r="T28" s="6" t="n"/>
    </row>
    <row r="29" ht="12.75" customHeight="1" s="251">
      <c r="A29" s="7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0">
        <f>SUM($C$3:$C$5)/64</f>
        <v/>
      </c>
      <c r="E29" s="10">
        <f>C29+D29</f>
        <v/>
      </c>
      <c r="F29" s="10">
        <f>IF($C$70=0, 0, E29/$C$70)</f>
        <v/>
      </c>
      <c r="G29" s="10">
        <f>F29*$T$5</f>
        <v/>
      </c>
      <c r="H29" s="10" t="n">
        <v>3</v>
      </c>
      <c r="I29" s="10">
        <f>$T$7*H29</f>
        <v/>
      </c>
      <c r="J29" s="10">
        <f>G29+$T$9+I29</f>
        <v/>
      </c>
      <c r="K29" s="10">
        <f>$T$4/64</f>
        <v/>
      </c>
      <c r="L29" s="7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5">
        <f>(J29+K29+L29+M29+Q29+N29+O29+P29)*$B$2</f>
        <v/>
      </c>
      <c r="S29" s="6" t="n"/>
      <c r="T29" s="6" t="n"/>
    </row>
    <row r="30" ht="12.75" customHeight="1" s="251">
      <c r="A30" s="7" t="inlineStr">
        <is>
          <t>G9</t>
        </is>
      </c>
      <c r="B30" s="13" t="inlineStr">
        <is>
          <t>Chandramouli</t>
        </is>
      </c>
      <c r="C30" s="9" t="n">
        <v>0</v>
      </c>
      <c r="D30" s="10">
        <f>SUM($C$3:$C$5)/64</f>
        <v/>
      </c>
      <c r="E30" s="10">
        <f>C30+D30</f>
        <v/>
      </c>
      <c r="F30" s="10">
        <f>IF($C$70=0, 0, E30/$C$70)</f>
        <v/>
      </c>
      <c r="G30" s="10">
        <f>F30*$T$5</f>
        <v/>
      </c>
      <c r="H30" s="10" t="n">
        <v>5</v>
      </c>
      <c r="I30" s="10">
        <f>$T$7*H30</f>
        <v/>
      </c>
      <c r="J30" s="10">
        <f>G30+$T$9+I30</f>
        <v/>
      </c>
      <c r="K30" s="10">
        <f>$T$4/64</f>
        <v/>
      </c>
      <c r="L30" s="7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5">
        <f>(J30+K30+L30+M30+Q30+N30+O30+P30)*$B$2</f>
        <v/>
      </c>
      <c r="S30" s="6" t="n"/>
      <c r="T30" s="6" t="n"/>
    </row>
    <row r="31" ht="12.75" customHeight="1" s="251">
      <c r="A31" s="7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10">
        <f>SUM($C$3:$C$5)/64</f>
        <v/>
      </c>
      <c r="E31" s="10">
        <f>C31+D31</f>
        <v/>
      </c>
      <c r="F31" s="10">
        <f>IF($C$70=0, 0, E31/$C$70)</f>
        <v/>
      </c>
      <c r="G31" s="10">
        <f>F31*$T$5</f>
        <v/>
      </c>
      <c r="H31" s="10" t="n">
        <v>3</v>
      </c>
      <c r="I31" s="10">
        <f>$T$7*H31</f>
        <v/>
      </c>
      <c r="J31" s="10">
        <f>G31+$T$9+I31</f>
        <v/>
      </c>
      <c r="K31" s="10">
        <f>$T$4/64</f>
        <v/>
      </c>
      <c r="L31" s="7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5">
        <f>(J31+K31+L31+M31+Q31+N31+O31+P31)*$B$2</f>
        <v/>
      </c>
      <c r="S31" s="6" t="n"/>
      <c r="T31" s="6" t="n"/>
    </row>
    <row r="32" ht="12.75" customHeight="1" s="251">
      <c r="A32" s="7" t="inlineStr">
        <is>
          <t>G11</t>
        </is>
      </c>
      <c r="B32" s="13" t="inlineStr">
        <is>
          <t>Ketan Verlekar</t>
        </is>
      </c>
      <c r="C32" s="9" t="n">
        <v>0</v>
      </c>
      <c r="D32" s="10">
        <f>SUM($C$3:$C$5)/64</f>
        <v/>
      </c>
      <c r="E32" s="10">
        <f>C32+D32</f>
        <v/>
      </c>
      <c r="F32" s="10">
        <f>IF($C$70=0, 0, E32/$C$70)</f>
        <v/>
      </c>
      <c r="G32" s="10">
        <f>F32*$T$5</f>
        <v/>
      </c>
      <c r="H32" s="10" t="n">
        <v>3</v>
      </c>
      <c r="I32" s="10">
        <f>$T$7*H32</f>
        <v/>
      </c>
      <c r="J32" s="10">
        <f>G32+$T$9+I32</f>
        <v/>
      </c>
      <c r="K32" s="10">
        <f>$T$4/64</f>
        <v/>
      </c>
      <c r="L32" s="7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5">
        <f>(J32+K32+L32+M32+Q32+N32+O32+P32)*$B$2</f>
        <v/>
      </c>
      <c r="S32" s="6" t="n"/>
      <c r="T32" s="6" t="n"/>
    </row>
    <row r="33" ht="12.75" customHeight="1" s="251">
      <c r="A33" s="7" t="inlineStr">
        <is>
          <t>G12</t>
        </is>
      </c>
      <c r="B33" s="13" t="inlineStr">
        <is>
          <t>Shyam Nair</t>
        </is>
      </c>
      <c r="C33" s="9" t="n">
        <v>0</v>
      </c>
      <c r="D33" s="10">
        <f>SUM($C$3:$C$5)/64</f>
        <v/>
      </c>
      <c r="E33" s="10">
        <f>C33+D33</f>
        <v/>
      </c>
      <c r="F33" s="10">
        <f>IF($C$70=0, 0, E33/$C$70)</f>
        <v/>
      </c>
      <c r="G33" s="10">
        <f>F33*$T$5</f>
        <v/>
      </c>
      <c r="H33" s="10" t="n">
        <v>3</v>
      </c>
      <c r="I33" s="10">
        <f>$T$7*H33</f>
        <v/>
      </c>
      <c r="J33" s="10">
        <f>G33+$T$9+I33</f>
        <v/>
      </c>
      <c r="K33" s="10">
        <f>$T$4/64</f>
        <v/>
      </c>
      <c r="L33" s="7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5">
        <f>(J33+K33+L33+M33+Q33+N33+O33+P33)*$B$2</f>
        <v/>
      </c>
      <c r="S33" s="6" t="n"/>
      <c r="T33" s="6" t="n"/>
    </row>
    <row r="34" ht="12.75" customHeight="1" s="251">
      <c r="A34" s="7" t="inlineStr">
        <is>
          <t>G13</t>
        </is>
      </c>
      <c r="B34" s="13" t="inlineStr">
        <is>
          <t>Ajai.B</t>
        </is>
      </c>
      <c r="C34" s="9" t="n">
        <v>0</v>
      </c>
      <c r="D34" s="10">
        <f>SUM($C$3:$C$5)/64</f>
        <v/>
      </c>
      <c r="E34" s="10">
        <f>C34+D34</f>
        <v/>
      </c>
      <c r="F34" s="10">
        <f>IF($C$70=0, 0, E34/$C$70)</f>
        <v/>
      </c>
      <c r="G34" s="10">
        <f>F34*$T$5</f>
        <v/>
      </c>
      <c r="H34" s="10" t="n">
        <v>4</v>
      </c>
      <c r="I34" s="10">
        <f>$T$7*H34</f>
        <v/>
      </c>
      <c r="J34" s="10">
        <f>G34+$T$9+I34</f>
        <v/>
      </c>
      <c r="K34" s="10">
        <f>$T$4/64</f>
        <v/>
      </c>
      <c r="L34" s="7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5">
        <f>(J34+K34+L34+M34+Q34+N34+O34+P34)*$B$2</f>
        <v/>
      </c>
      <c r="S34" s="6" t="n"/>
      <c r="T34" s="6" t="n"/>
    </row>
    <row r="35" ht="12.75" customHeight="1" s="251">
      <c r="A35" s="7" t="inlineStr">
        <is>
          <t>G14</t>
        </is>
      </c>
      <c r="B35" s="13" t="inlineStr">
        <is>
          <t>Surajit Borah</t>
        </is>
      </c>
      <c r="C35" s="9" t="n">
        <v>0</v>
      </c>
      <c r="D35" s="10">
        <f>SUM($C$3:$C$5)/64</f>
        <v/>
      </c>
      <c r="E35" s="10">
        <f>C35+D35</f>
        <v/>
      </c>
      <c r="F35" s="10">
        <f>IF($C$70=0, 0, E35/$C$70)</f>
        <v/>
      </c>
      <c r="G35" s="10">
        <f>F35*$T$5</f>
        <v/>
      </c>
      <c r="H35" s="10" t="n">
        <v>4</v>
      </c>
      <c r="I35" s="10">
        <f>$T$7*H35</f>
        <v/>
      </c>
      <c r="J35" s="10">
        <f>G35+$T$9+I35</f>
        <v/>
      </c>
      <c r="K35" s="10">
        <f>$T$4/64</f>
        <v/>
      </c>
      <c r="L35" s="7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5">
        <f>(J35+K35+L35+M35+Q35+N35+O35+P35)*$B$2</f>
        <v/>
      </c>
      <c r="S35" s="6" t="n"/>
      <c r="T35" s="6" t="n"/>
    </row>
    <row r="36" ht="12.75" customHeight="1" s="251">
      <c r="A36" s="7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0">
        <f>SUM($C$3:$C$5)/64</f>
        <v/>
      </c>
      <c r="E36" s="10">
        <f>C36+D36</f>
        <v/>
      </c>
      <c r="F36" s="10">
        <f>IF($C$70=0, 0, E36/$C$70)</f>
        <v/>
      </c>
      <c r="G36" s="10">
        <f>F36*$T$5</f>
        <v/>
      </c>
      <c r="H36" s="10" t="n">
        <v>4</v>
      </c>
      <c r="I36" s="10">
        <f>$T$7*H36</f>
        <v/>
      </c>
      <c r="J36" s="10">
        <f>G36+$T$9+I36</f>
        <v/>
      </c>
      <c r="K36" s="10">
        <f>$T$4/64</f>
        <v/>
      </c>
      <c r="L36" s="7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5">
        <f>(J36+K36+L36+M36+Q36+N36+O36+P36)*$B$2</f>
        <v/>
      </c>
      <c r="S36" s="6" t="n"/>
      <c r="T36" s="6" t="n"/>
    </row>
    <row r="37" ht="12.75" customHeight="1" s="251">
      <c r="A37" s="7" t="inlineStr">
        <is>
          <t>G16</t>
        </is>
      </c>
      <c r="B37" s="13" t="inlineStr">
        <is>
          <t>Praveen Ganesan</t>
        </is>
      </c>
      <c r="C37" s="9" t="n">
        <v>0</v>
      </c>
      <c r="D37" s="10">
        <f>SUM($C$3:$C$5)/64</f>
        <v/>
      </c>
      <c r="E37" s="10">
        <f>C37+D37</f>
        <v/>
      </c>
      <c r="F37" s="10">
        <f>IF($C$70=0, 0, E37/$C$70)</f>
        <v/>
      </c>
      <c r="G37" s="10">
        <f>F37*$T$5</f>
        <v/>
      </c>
      <c r="H37" s="10" t="n">
        <v>3</v>
      </c>
      <c r="I37" s="10">
        <f>$T$7*H37</f>
        <v/>
      </c>
      <c r="J37" s="10">
        <f>G37+$T$9+I37</f>
        <v/>
      </c>
      <c r="K37" s="10">
        <f>$T$4/64</f>
        <v/>
      </c>
      <c r="L37" s="7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5">
        <f>(J37+K37+L37+M37+Q37+N37+O37+P37)*$B$2</f>
        <v/>
      </c>
      <c r="S37" s="6" t="n"/>
      <c r="T37" s="6" t="n"/>
    </row>
    <row r="38" ht="12.75" customHeight="1" s="251">
      <c r="A38" s="7" t="inlineStr">
        <is>
          <t>S1</t>
        </is>
      </c>
      <c r="B38" s="13" t="inlineStr">
        <is>
          <t>S.N.Behera</t>
        </is>
      </c>
      <c r="C38" s="9" t="n">
        <v>0</v>
      </c>
      <c r="D38" s="10">
        <f>SUM($C$3:$C$5)/64</f>
        <v/>
      </c>
      <c r="E38" s="10">
        <f>C38+D38</f>
        <v/>
      </c>
      <c r="F38" s="10">
        <f>IF($C$70=0, 0, E38/$C$70)</f>
        <v/>
      </c>
      <c r="G38" s="10">
        <f>F38*$T$5</f>
        <v/>
      </c>
      <c r="H38" s="10" t="n">
        <v>3</v>
      </c>
      <c r="I38" s="10">
        <f>$T$7*H38</f>
        <v/>
      </c>
      <c r="J38" s="10">
        <f>G38+$T$9+I38</f>
        <v/>
      </c>
      <c r="K38" s="10">
        <f>$T$4/64</f>
        <v/>
      </c>
      <c r="L38" s="7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5">
        <f>(J38+K38+L38+M38+Q38+N38+O38+P38)*$B$2</f>
        <v/>
      </c>
      <c r="S38" s="6" t="n"/>
      <c r="T38" s="6" t="n"/>
    </row>
    <row r="39" ht="12.75" customHeight="1" s="251">
      <c r="A39" s="7" t="inlineStr">
        <is>
          <t>S2</t>
        </is>
      </c>
      <c r="B39" s="13" t="inlineStr">
        <is>
          <t>Sonal Singh</t>
        </is>
      </c>
      <c r="C39" s="9" t="n">
        <v>0</v>
      </c>
      <c r="D39" s="10">
        <f>SUM($C$3:$C$5)/64</f>
        <v/>
      </c>
      <c r="E39" s="10">
        <f>C39+D39</f>
        <v/>
      </c>
      <c r="F39" s="10">
        <f>IF($C$70=0, 0, E39/$C$70)</f>
        <v/>
      </c>
      <c r="G39" s="10">
        <f>F39*$T$5</f>
        <v/>
      </c>
      <c r="H39" s="10" t="n">
        <v>4</v>
      </c>
      <c r="I39" s="10">
        <f>$T$7*H39</f>
        <v/>
      </c>
      <c r="J39" s="10">
        <f>G39+$T$9+I39</f>
        <v/>
      </c>
      <c r="K39" s="10">
        <f>$T$4/64</f>
        <v/>
      </c>
      <c r="L39" s="7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5">
        <f>(J39+K39+L39+M39+Q39+N39+O39+P39)*$B$2</f>
        <v/>
      </c>
      <c r="S39" s="6" t="n"/>
      <c r="T39" s="6" t="n"/>
    </row>
    <row r="40" ht="12.75" customHeight="1" s="251">
      <c r="A40" s="7" t="inlineStr">
        <is>
          <t>S3</t>
        </is>
      </c>
      <c r="B40" s="13" t="inlineStr">
        <is>
          <t>Koteswararao</t>
        </is>
      </c>
      <c r="C40" s="9" t="n">
        <v>0</v>
      </c>
      <c r="D40" s="10">
        <f>SUM($C$3:$C$5)/64</f>
        <v/>
      </c>
      <c r="E40" s="10">
        <f>C40+D40</f>
        <v/>
      </c>
      <c r="F40" s="10">
        <f>IF($C$70=0, 0, E40/$C$70)</f>
        <v/>
      </c>
      <c r="G40" s="10">
        <f>F40*$T$5</f>
        <v/>
      </c>
      <c r="H40" s="10" t="n">
        <v>4</v>
      </c>
      <c r="I40" s="10">
        <f>$T$7*H40</f>
        <v/>
      </c>
      <c r="J40" s="10">
        <f>G40+$T$9+I40</f>
        <v/>
      </c>
      <c r="K40" s="10">
        <f>$T$4/64</f>
        <v/>
      </c>
      <c r="L40" s="7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5">
        <f>(J40+K40+L40+M40+Q40+N40+O40+P40)*$B$2</f>
        <v/>
      </c>
      <c r="S40" s="6" t="n"/>
      <c r="T40" s="6" t="n"/>
    </row>
    <row r="41" ht="12.75" customHeight="1" s="251">
      <c r="A41" s="7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0">
        <f>SUM($C$3:$C$5)/64</f>
        <v/>
      </c>
      <c r="E41" s="10">
        <f>C41+D41</f>
        <v/>
      </c>
      <c r="F41" s="10">
        <f>IF($C$70=0, 0, E41/$C$70)</f>
        <v/>
      </c>
      <c r="G41" s="10">
        <f>F41*$T$5</f>
        <v/>
      </c>
      <c r="H41" s="10" t="n">
        <v>3</v>
      </c>
      <c r="I41" s="10">
        <f>$T$7*H41</f>
        <v/>
      </c>
      <c r="J41" s="10">
        <f>G41+$T$9+I41</f>
        <v/>
      </c>
      <c r="K41" s="10">
        <f>$T$4/64</f>
        <v/>
      </c>
      <c r="L41" s="7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5">
        <f>(J41+K41+L41+M41+Q41+N41+O41+P41)*$B$2</f>
        <v/>
      </c>
      <c r="S41" s="6" t="n"/>
      <c r="T41" s="6" t="n"/>
    </row>
    <row r="42" ht="12.75" customHeight="1" s="251">
      <c r="A42" s="7" t="inlineStr">
        <is>
          <t>S5</t>
        </is>
      </c>
      <c r="B42" s="13" t="inlineStr">
        <is>
          <t>Abhishek Gopalakrishnan</t>
        </is>
      </c>
      <c r="C42" s="9" t="n">
        <v>0</v>
      </c>
      <c r="D42" s="10">
        <f>SUM($C$3:$C$5)/64</f>
        <v/>
      </c>
      <c r="E42" s="10">
        <f>C42+D42</f>
        <v/>
      </c>
      <c r="F42" s="10">
        <f>IF($C$70=0, 0, E42/$C$70)</f>
        <v/>
      </c>
      <c r="G42" s="10">
        <f>F42*$T$5</f>
        <v/>
      </c>
      <c r="H42" s="10" t="n">
        <v>3</v>
      </c>
      <c r="I42" s="10">
        <f>$T$7*H42</f>
        <v/>
      </c>
      <c r="J42" s="10">
        <f>G42+$T$9+I42</f>
        <v/>
      </c>
      <c r="K42" s="10">
        <f>$T$4/64</f>
        <v/>
      </c>
      <c r="L42" s="7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5">
        <f>(J42+K42+L42+M42+Q42+N42+O42+P42)*$B$2</f>
        <v/>
      </c>
      <c r="S42" s="6" t="n"/>
      <c r="T42" s="6" t="n"/>
    </row>
    <row r="43" ht="12.75" customHeight="1" s="251">
      <c r="A43" s="7" t="inlineStr">
        <is>
          <t>S6</t>
        </is>
      </c>
      <c r="B43" s="30" t="inlineStr">
        <is>
          <t>Vivek Dhingra / Pratyush Das</t>
        </is>
      </c>
      <c r="C43" s="9" t="n">
        <v>0</v>
      </c>
      <c r="D43" s="10">
        <f>SUM($C$3:$C$5)/64</f>
        <v/>
      </c>
      <c r="E43" s="10">
        <f>C43+D43</f>
        <v/>
      </c>
      <c r="F43" s="10">
        <f>IF($C$70=0, 0, E43/$C$70)</f>
        <v/>
      </c>
      <c r="G43" s="10">
        <f>F43*$T$5</f>
        <v/>
      </c>
      <c r="H43" s="10" t="n">
        <v>3</v>
      </c>
      <c r="I43" s="10">
        <f>$T$7*H43</f>
        <v/>
      </c>
      <c r="J43" s="10">
        <f>G43+$T$9+I43</f>
        <v/>
      </c>
      <c r="K43" s="10">
        <f>$T$4/64</f>
        <v/>
      </c>
      <c r="L43" s="7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5">
        <f>(J43+K43+L43+M43+Q43+N43+O43+P43)*$B$2</f>
        <v/>
      </c>
      <c r="S43" s="6" t="n"/>
      <c r="T43" s="6" t="n"/>
    </row>
    <row r="44" ht="12.75" customHeight="1" s="251">
      <c r="A44" s="7" t="inlineStr">
        <is>
          <t>S7</t>
        </is>
      </c>
      <c r="B44" s="13" t="inlineStr">
        <is>
          <t>Harish B</t>
        </is>
      </c>
      <c r="C44" s="9" t="n">
        <v>0</v>
      </c>
      <c r="D44" s="10">
        <f>SUM($C$3:$C$5)/64</f>
        <v/>
      </c>
      <c r="E44" s="10">
        <f>C44+D44</f>
        <v/>
      </c>
      <c r="F44" s="10">
        <f>IF($C$70=0, 0, E44/$C$70)</f>
        <v/>
      </c>
      <c r="G44" s="10">
        <f>F44*$T$5</f>
        <v/>
      </c>
      <c r="H44" s="10" t="n">
        <v>3</v>
      </c>
      <c r="I44" s="10">
        <f>$T$7*H44</f>
        <v/>
      </c>
      <c r="J44" s="10">
        <f>G44+$T$9+I44</f>
        <v/>
      </c>
      <c r="K44" s="10">
        <f>$T$4/64</f>
        <v/>
      </c>
      <c r="L44" s="7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5">
        <f>(J44+K44+L44+M44+Q44+N44+O44+P44)*$B$2</f>
        <v/>
      </c>
      <c r="S44" s="6" t="n"/>
      <c r="T44" s="6" t="n"/>
    </row>
    <row r="45" ht="12.75" customHeight="1" s="251">
      <c r="A45" s="7" t="inlineStr">
        <is>
          <t>S8</t>
        </is>
      </c>
      <c r="B45" s="13" t="inlineStr">
        <is>
          <t>Irudayaraj Alwin</t>
        </is>
      </c>
      <c r="C45" s="9" t="n">
        <v>0</v>
      </c>
      <c r="D45" s="10">
        <f>SUM($C$3:$C$5)/64</f>
        <v/>
      </c>
      <c r="E45" s="10">
        <f>C45+D45</f>
        <v/>
      </c>
      <c r="F45" s="10">
        <f>IF($C$70=0, 0, E45/$C$70)</f>
        <v/>
      </c>
      <c r="G45" s="10">
        <f>F45*$T$5</f>
        <v/>
      </c>
      <c r="H45" s="10" t="n">
        <v>3</v>
      </c>
      <c r="I45" s="10">
        <f>$T$7*H45</f>
        <v/>
      </c>
      <c r="J45" s="10">
        <f>G45+$T$9+I45</f>
        <v/>
      </c>
      <c r="K45" s="10">
        <f>$T$4/64</f>
        <v/>
      </c>
      <c r="L45" s="7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5">
        <f>(J45+K45+L45+M45+Q45+N45+O45+P45)*$B$2</f>
        <v/>
      </c>
      <c r="S45" s="6" t="n"/>
      <c r="T45" s="6" t="n"/>
    </row>
    <row r="46" ht="12.75" customHeight="1" s="251">
      <c r="A46" s="7" t="inlineStr">
        <is>
          <t>S9</t>
        </is>
      </c>
      <c r="B46" s="13" t="inlineStr">
        <is>
          <t>Pawan GS</t>
        </is>
      </c>
      <c r="C46" s="9" t="n">
        <v>0</v>
      </c>
      <c r="D46" s="10">
        <f>SUM($C$3:$C$5)/64</f>
        <v/>
      </c>
      <c r="E46" s="10">
        <f>C46+D46</f>
        <v/>
      </c>
      <c r="F46" s="10">
        <f>IF($C$70=0, 0, E46/$C$70)</f>
        <v/>
      </c>
      <c r="G46" s="10">
        <f>F46*$T$5</f>
        <v/>
      </c>
      <c r="H46" s="10" t="n">
        <v>4</v>
      </c>
      <c r="I46" s="10">
        <f>$T$7*H46</f>
        <v/>
      </c>
      <c r="J46" s="10">
        <f>G46+$T$9+I46</f>
        <v/>
      </c>
      <c r="K46" s="10">
        <f>$T$4/64</f>
        <v/>
      </c>
      <c r="L46" s="7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5">
        <f>(J46+K46+L46+M46+Q46+N46+O46+P46)*$B$2</f>
        <v/>
      </c>
      <c r="S46" s="6" t="n"/>
      <c r="T46" s="6" t="n"/>
    </row>
    <row r="47" ht="12.75" customHeight="1" s="251">
      <c r="A47" s="7" t="inlineStr">
        <is>
          <t>S10</t>
        </is>
      </c>
      <c r="B47" s="13" t="inlineStr">
        <is>
          <t>Lakshmikanth</t>
        </is>
      </c>
      <c r="C47" s="9" t="n">
        <v>0</v>
      </c>
      <c r="D47" s="10">
        <f>SUM($C$3:$C$5)/64</f>
        <v/>
      </c>
      <c r="E47" s="10">
        <f>C47+D47</f>
        <v/>
      </c>
      <c r="F47" s="10">
        <f>IF($C$70=0, 0, E47/$C$70)</f>
        <v/>
      </c>
      <c r="G47" s="10">
        <f>F47*$T$5</f>
        <v/>
      </c>
      <c r="H47" s="10" t="n">
        <v>3</v>
      </c>
      <c r="I47" s="10">
        <f>$T$7*H47</f>
        <v/>
      </c>
      <c r="J47" s="10">
        <f>G47+$T$9+I47</f>
        <v/>
      </c>
      <c r="K47" s="10">
        <f>$T$4/64</f>
        <v/>
      </c>
      <c r="L47" s="7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5">
        <f>(J47+K47+L47+M47+Q47+N47+O47+P47)*$B$2</f>
        <v/>
      </c>
      <c r="S47" s="6" t="n"/>
      <c r="T47" s="6" t="n"/>
    </row>
    <row r="48" ht="12.75" customHeight="1" s="251">
      <c r="A48" s="7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0">
        <f>SUM($C$3:$C$5)/64</f>
        <v/>
      </c>
      <c r="E48" s="10">
        <f>C48+D48</f>
        <v/>
      </c>
      <c r="F48" s="10">
        <f>IF($C$70=0, 0, E48/$C$70)</f>
        <v/>
      </c>
      <c r="G48" s="10">
        <f>F48*$T$5</f>
        <v/>
      </c>
      <c r="H48" s="10" t="n">
        <v>3</v>
      </c>
      <c r="I48" s="10">
        <f>$T$7*H48</f>
        <v/>
      </c>
      <c r="J48" s="10">
        <f>G48+$T$9+I48</f>
        <v/>
      </c>
      <c r="K48" s="10">
        <f>$T$4/64</f>
        <v/>
      </c>
      <c r="L48" s="7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5">
        <f>(J48+K48+L48+M48+Q48+N48+O48+P48)*$B$2</f>
        <v/>
      </c>
      <c r="S48" s="6" t="n"/>
      <c r="T48" s="6" t="n"/>
    </row>
    <row r="49" ht="12.75" customHeight="1" s="251">
      <c r="A49" s="7" t="inlineStr">
        <is>
          <t>S12</t>
        </is>
      </c>
      <c r="B49" s="13" t="inlineStr">
        <is>
          <t>Saovik Mondal</t>
        </is>
      </c>
      <c r="C49" s="9" t="n">
        <v>0</v>
      </c>
      <c r="D49" s="10">
        <f>SUM($C$3:$C$5)/64</f>
        <v/>
      </c>
      <c r="E49" s="10">
        <f>C49+D49</f>
        <v/>
      </c>
      <c r="F49" s="10">
        <f>IF($C$70=0, 0, E49/$C$70)</f>
        <v/>
      </c>
      <c r="G49" s="10">
        <f>F49*$T$5</f>
        <v/>
      </c>
      <c r="H49" s="10" t="n">
        <v>3</v>
      </c>
      <c r="I49" s="10">
        <f>$T$7*H49</f>
        <v/>
      </c>
      <c r="J49" s="10">
        <f>G49+$T$9+I49</f>
        <v/>
      </c>
      <c r="K49" s="10">
        <f>$T$4/64</f>
        <v/>
      </c>
      <c r="L49" s="7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5">
        <f>(J49+K49+L49+M49+Q49+N49+O49+P49)*$B$2</f>
        <v/>
      </c>
      <c r="S49" s="6" t="n"/>
      <c r="T49" s="6" t="n"/>
    </row>
    <row r="50" ht="12.75" customHeight="1" s="251">
      <c r="A50" s="7" t="inlineStr">
        <is>
          <t>S13</t>
        </is>
      </c>
      <c r="B50" s="13" t="inlineStr">
        <is>
          <t>Ramadevi S.</t>
        </is>
      </c>
      <c r="C50" s="9" t="n">
        <v>0</v>
      </c>
      <c r="D50" s="10">
        <f>SUM($C$3:$C$5)/64</f>
        <v/>
      </c>
      <c r="E50" s="10">
        <f>C50+D50</f>
        <v/>
      </c>
      <c r="F50" s="10">
        <f>IF($C$70=0, 0, E50/$C$70)</f>
        <v/>
      </c>
      <c r="G50" s="10">
        <f>F50*$T$5</f>
        <v/>
      </c>
      <c r="H50" s="10" t="n">
        <v>4</v>
      </c>
      <c r="I50" s="10">
        <f>$T$7*H50</f>
        <v/>
      </c>
      <c r="J50" s="10">
        <f>G50+$T$9+I50</f>
        <v/>
      </c>
      <c r="K50" s="10">
        <f>$T$4/64</f>
        <v/>
      </c>
      <c r="L50" s="7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5">
        <f>(J50+K50+L50+M50+Q50+N50+O50+P50)*$B$2</f>
        <v/>
      </c>
      <c r="S50" s="6" t="n"/>
      <c r="T50" s="6" t="n"/>
    </row>
    <row r="51" ht="12.75" customHeight="1" s="251">
      <c r="A51" s="7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0">
        <f>SUM($C$3:$C$5)/64</f>
        <v/>
      </c>
      <c r="E51" s="10">
        <f>C51+D51</f>
        <v/>
      </c>
      <c r="F51" s="10">
        <f>IF($C$70=0, 0, E51/$C$70)</f>
        <v/>
      </c>
      <c r="G51" s="10">
        <f>F51*$T$5</f>
        <v/>
      </c>
      <c r="H51" s="10" t="n">
        <v>4</v>
      </c>
      <c r="I51" s="10">
        <f>$T$7*H51</f>
        <v/>
      </c>
      <c r="J51" s="10">
        <f>G51+$T$9+I51</f>
        <v/>
      </c>
      <c r="K51" s="10">
        <f>$T$4/64</f>
        <v/>
      </c>
      <c r="L51" s="7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5">
        <f>(J51+K51+L51+M51+Q51+N51+O51+P51)*$B$2</f>
        <v/>
      </c>
      <c r="S51" s="6" t="n"/>
      <c r="T51" s="6" t="n"/>
    </row>
    <row r="52" ht="12.75" customHeight="1" s="251">
      <c r="A52" s="7" t="inlineStr">
        <is>
          <t>S15</t>
        </is>
      </c>
      <c r="B52" s="13" t="inlineStr">
        <is>
          <t>Manas Dasgupta</t>
        </is>
      </c>
      <c r="C52" s="9" t="n">
        <v>0</v>
      </c>
      <c r="D52" s="10">
        <f>SUM($C$3:$C$5)/64</f>
        <v/>
      </c>
      <c r="E52" s="10">
        <f>C52+D52</f>
        <v/>
      </c>
      <c r="F52" s="10">
        <f>IF($C$70=0, 0, E52/$C$70)</f>
        <v/>
      </c>
      <c r="G52" s="10">
        <f>F52*$T$5</f>
        <v/>
      </c>
      <c r="H52" s="10" t="n">
        <v>4</v>
      </c>
      <c r="I52" s="10">
        <f>$T$7*H52</f>
        <v/>
      </c>
      <c r="J52" s="10">
        <f>G52+$T$9+I52</f>
        <v/>
      </c>
      <c r="K52" s="10">
        <f>$T$4/64</f>
        <v/>
      </c>
      <c r="L52" s="7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5">
        <f>(J52+K52+L52+M52+Q52+N52+O52+P52)*$B$2</f>
        <v/>
      </c>
      <c r="S52" s="6" t="n"/>
      <c r="T52" s="6" t="n"/>
    </row>
    <row r="53" ht="12.75" customHeight="1" s="251">
      <c r="A53" s="7" t="inlineStr">
        <is>
          <t>S16</t>
        </is>
      </c>
      <c r="B53" s="13" t="inlineStr">
        <is>
          <t>Devendra Singh Rawat / Nancy</t>
        </is>
      </c>
      <c r="C53" s="9" t="n">
        <v>0</v>
      </c>
      <c r="D53" s="10">
        <f>SUM($C$3:$C$5)/64</f>
        <v/>
      </c>
      <c r="E53" s="10">
        <f>C53+D53</f>
        <v/>
      </c>
      <c r="F53" s="10">
        <f>IF($C$70=0, 0, E53/$C$70)</f>
        <v/>
      </c>
      <c r="G53" s="10">
        <f>F53*$T$5</f>
        <v/>
      </c>
      <c r="H53" s="10" t="n">
        <v>3</v>
      </c>
      <c r="I53" s="10">
        <f>$T$7*H53</f>
        <v/>
      </c>
      <c r="J53" s="10">
        <f>G53+$T$9+I53</f>
        <v/>
      </c>
      <c r="K53" s="10">
        <f>$T$4/64</f>
        <v/>
      </c>
      <c r="L53" s="7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5">
        <f>(J53+K53+L53+M53+Q53+N53+O53+P53)*$B$2</f>
        <v/>
      </c>
      <c r="S53" s="6" t="n"/>
      <c r="T53" s="6" t="n"/>
    </row>
    <row r="54" ht="12.75" customHeight="1" s="251">
      <c r="A54" s="7" t="inlineStr">
        <is>
          <t>T1</t>
        </is>
      </c>
      <c r="B54" s="13" t="inlineStr">
        <is>
          <t>Prashant Sikdar</t>
        </is>
      </c>
      <c r="C54" s="9" t="n">
        <v>0</v>
      </c>
      <c r="D54" s="10">
        <f>SUM($C$3:$C$5)/64</f>
        <v/>
      </c>
      <c r="E54" s="10">
        <f>C54+D54</f>
        <v/>
      </c>
      <c r="F54" s="10">
        <f>IF($C$70=0, 0, E54/$C$70)</f>
        <v/>
      </c>
      <c r="G54" s="10">
        <f>F54*$T$5</f>
        <v/>
      </c>
      <c r="H54" s="10" t="n">
        <v>3</v>
      </c>
      <c r="I54" s="10">
        <f>$T$7*H54</f>
        <v/>
      </c>
      <c r="J54" s="10">
        <f>G54+$T$9+I54</f>
        <v/>
      </c>
      <c r="K54" s="10">
        <f>$T$4/64</f>
        <v/>
      </c>
      <c r="L54" s="7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5">
        <f>(J54+K54+L54+M54+Q54+N54+O54+P54)*$B$2</f>
        <v/>
      </c>
      <c r="S54" s="6" t="n"/>
      <c r="T54" s="6" t="n"/>
    </row>
    <row r="55" ht="12.75" customHeight="1" s="251">
      <c r="A55" s="7" t="inlineStr">
        <is>
          <t>T2</t>
        </is>
      </c>
      <c r="B55" s="13" t="inlineStr">
        <is>
          <t>Kunal Mehta</t>
        </is>
      </c>
      <c r="C55" s="9" t="n">
        <v>0</v>
      </c>
      <c r="D55" s="10">
        <f>SUM($C$3:$C$5)/64</f>
        <v/>
      </c>
      <c r="E55" s="10">
        <f>C55+D55</f>
        <v/>
      </c>
      <c r="F55" s="10">
        <f>IF($C$70=0, 0, E55/$C$70)</f>
        <v/>
      </c>
      <c r="G55" s="10">
        <f>F55*$T$5</f>
        <v/>
      </c>
      <c r="H55" s="10" t="n">
        <v>4</v>
      </c>
      <c r="I55" s="10">
        <f>$T$7*H55</f>
        <v/>
      </c>
      <c r="J55" s="10">
        <f>G55+$T$9+I55</f>
        <v/>
      </c>
      <c r="K55" s="10">
        <f>$T$4/64</f>
        <v/>
      </c>
      <c r="L55" s="7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5">
        <f>(J55+K55+L55+M55+Q55+N55+O55+P55)*$B$2</f>
        <v/>
      </c>
      <c r="S55" s="6" t="n"/>
      <c r="T55" s="6" t="n"/>
    </row>
    <row r="56" ht="12.75" customHeight="1" s="251">
      <c r="A56" s="7" t="inlineStr">
        <is>
          <t>T3</t>
        </is>
      </c>
      <c r="B56" s="13" t="inlineStr">
        <is>
          <t>Kapil Garg</t>
        </is>
      </c>
      <c r="C56" s="9" t="n">
        <v>0</v>
      </c>
      <c r="D56" s="10">
        <f>SUM($C$3:$C$5)/64</f>
        <v/>
      </c>
      <c r="E56" s="10">
        <f>C56+D56</f>
        <v/>
      </c>
      <c r="F56" s="10">
        <f>IF($C$70=0, 0, E56/$C$70)</f>
        <v/>
      </c>
      <c r="G56" s="10">
        <f>F56*$T$5</f>
        <v/>
      </c>
      <c r="H56" s="10" t="n">
        <v>4</v>
      </c>
      <c r="I56" s="10">
        <f>$T$7*H56</f>
        <v/>
      </c>
      <c r="J56" s="10">
        <f>G56+$T$9+I56</f>
        <v/>
      </c>
      <c r="K56" s="10">
        <f>$T$4/64</f>
        <v/>
      </c>
      <c r="L56" s="7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5">
        <f>(J56+K56+L56+M56+Q56+N56+O56+P56)*$B$2</f>
        <v/>
      </c>
      <c r="S56" s="6" t="n"/>
      <c r="T56" s="6" t="n"/>
    </row>
    <row r="57" ht="12.75" customHeight="1" s="251">
      <c r="A57" s="7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0">
        <f>SUM($C$3:$C$5)/64</f>
        <v/>
      </c>
      <c r="E57" s="10">
        <f>C57+D57</f>
        <v/>
      </c>
      <c r="F57" s="10">
        <f>IF($C$70=0, 0, E57/$C$70)</f>
        <v/>
      </c>
      <c r="G57" s="10">
        <f>F57*$T$5</f>
        <v/>
      </c>
      <c r="H57" s="10" t="n">
        <v>4</v>
      </c>
      <c r="I57" s="10">
        <f>$T$7*H57</f>
        <v/>
      </c>
      <c r="J57" s="10">
        <f>G57+$T$9+I57</f>
        <v/>
      </c>
      <c r="K57" s="10">
        <f>$T$4/64</f>
        <v/>
      </c>
      <c r="L57" s="7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5">
        <f>(J57+K57+L57+M57+Q57+N57+O57+P57)*$B$2</f>
        <v/>
      </c>
      <c r="S57" s="6" t="n"/>
      <c r="T57" s="6" t="n"/>
    </row>
    <row r="58" ht="12.75" customHeight="1" s="251">
      <c r="A58" s="7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0">
        <f>SUM($C$3:$C$5)/64</f>
        <v/>
      </c>
      <c r="E58" s="10">
        <f>C58+D58</f>
        <v/>
      </c>
      <c r="F58" s="10">
        <f>IF($C$70=0, 0, E58/$C$70)</f>
        <v/>
      </c>
      <c r="G58" s="10">
        <f>F58*$T$5</f>
        <v/>
      </c>
      <c r="H58" s="10" t="n">
        <v>3</v>
      </c>
      <c r="I58" s="10">
        <f>$T$7*H58</f>
        <v/>
      </c>
      <c r="J58" s="10">
        <f>G58+$T$9+I58</f>
        <v/>
      </c>
      <c r="K58" s="10">
        <f>$T$4/64</f>
        <v/>
      </c>
      <c r="L58" s="7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5">
        <f>(J58+K58+L58+M58+Q58+N58+O58+P58)*$B$2</f>
        <v/>
      </c>
      <c r="S58" s="6" t="n"/>
      <c r="T58" s="6" t="n"/>
    </row>
    <row r="59" ht="12.75" customHeight="1" s="251">
      <c r="A59" s="7" t="inlineStr">
        <is>
          <t>T6</t>
        </is>
      </c>
      <c r="B59" s="13" t="inlineStr">
        <is>
          <t>Mythili Ramesh</t>
        </is>
      </c>
      <c r="C59" s="9" t="n">
        <v>0</v>
      </c>
      <c r="D59" s="10">
        <f>SUM($C$3:$C$5)/64</f>
        <v/>
      </c>
      <c r="E59" s="10">
        <f>C59+D59</f>
        <v/>
      </c>
      <c r="F59" s="10">
        <f>IF($C$70=0, 0, E59/$C$70)</f>
        <v/>
      </c>
      <c r="G59" s="10">
        <f>F59*$T$5</f>
        <v/>
      </c>
      <c r="H59" s="10" t="n">
        <v>3</v>
      </c>
      <c r="I59" s="10">
        <f>$T$7*H59</f>
        <v/>
      </c>
      <c r="J59" s="10">
        <f>G59+$T$9+I59</f>
        <v/>
      </c>
      <c r="K59" s="10">
        <f>$T$4/64</f>
        <v/>
      </c>
      <c r="L59" s="7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5">
        <f>(J59+K59+L59+M59+Q59+N59+O59+P59)*$B$2</f>
        <v/>
      </c>
      <c r="S59" s="6" t="n"/>
      <c r="T59" s="6" t="n"/>
    </row>
    <row r="60" ht="12.75" customHeight="1" s="251">
      <c r="A60" s="7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0">
        <f>SUM($C$3:$C$5)/64</f>
        <v/>
      </c>
      <c r="E60" s="10">
        <f>C60+D60</f>
        <v/>
      </c>
      <c r="F60" s="10">
        <f>IF($C$70=0, 0, E60/$C$70)</f>
        <v/>
      </c>
      <c r="G60" s="10">
        <f>F60*$T$5</f>
        <v/>
      </c>
      <c r="H60" s="10" t="n">
        <v>3</v>
      </c>
      <c r="I60" s="10">
        <f>$T$7*H60</f>
        <v/>
      </c>
      <c r="J60" s="10">
        <f>G60+$T$9+I60</f>
        <v/>
      </c>
      <c r="K60" s="10">
        <f>$T$4/64</f>
        <v/>
      </c>
      <c r="L60" s="7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5">
        <f>(J60+K60+L60+M60+Q60+N60+O60+P60)*$B$2</f>
        <v/>
      </c>
      <c r="S60" s="6" t="n"/>
      <c r="T60" s="6" t="n"/>
    </row>
    <row r="61" ht="12.75" customHeight="1" s="251">
      <c r="A61" s="7" t="inlineStr">
        <is>
          <t>T8</t>
        </is>
      </c>
      <c r="B61" s="13" t="inlineStr">
        <is>
          <t>Lalit Kumar Sharma</t>
        </is>
      </c>
      <c r="C61" s="9" t="n">
        <v>0</v>
      </c>
      <c r="D61" s="10">
        <f>SUM($C$3:$C$5)/64</f>
        <v/>
      </c>
      <c r="E61" s="10">
        <f>C61+D61</f>
        <v/>
      </c>
      <c r="F61" s="10">
        <f>IF($C$70=0, 0, E61/$C$70)</f>
        <v/>
      </c>
      <c r="G61" s="10">
        <f>F61*$T$5</f>
        <v/>
      </c>
      <c r="H61" s="10" t="n">
        <v>3</v>
      </c>
      <c r="I61" s="10">
        <f>$T$7*H61</f>
        <v/>
      </c>
      <c r="J61" s="10">
        <f>G61+$T$9+I61</f>
        <v/>
      </c>
      <c r="K61" s="10">
        <f>$T$4/64</f>
        <v/>
      </c>
      <c r="L61" s="7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5">
        <f>(J61+K61+L61+M61+Q61+N61+O61+P61)*$B$2</f>
        <v/>
      </c>
      <c r="S61" s="6" t="n"/>
      <c r="T61" s="6" t="n"/>
    </row>
    <row r="62" ht="12.75" customHeight="1" s="251">
      <c r="A62" s="7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0">
        <f>SUM($C$3:$C$5)/64</f>
        <v/>
      </c>
      <c r="E62" s="10">
        <f>C62+D62</f>
        <v/>
      </c>
      <c r="F62" s="10">
        <f>IF($C$70=0, 0, E62/$C$70)</f>
        <v/>
      </c>
      <c r="G62" s="10">
        <f>F62*$T$5</f>
        <v/>
      </c>
      <c r="H62" s="10" t="n">
        <v>4</v>
      </c>
      <c r="I62" s="10">
        <f>$T$7*H62</f>
        <v/>
      </c>
      <c r="J62" s="10">
        <f>G62+$T$9+I62</f>
        <v/>
      </c>
      <c r="K62" s="10">
        <f>$T$4/64</f>
        <v/>
      </c>
      <c r="L62" s="7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5">
        <f>(J62+K62+L62+M62+Q62+N62+O62+P62)*$B$2</f>
        <v/>
      </c>
      <c r="S62" s="6" t="n"/>
      <c r="T62" s="6" t="n"/>
    </row>
    <row r="63" ht="12.75" customHeight="1" s="251">
      <c r="A63" s="7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0">
        <f>SUM($C$3:$C$5)/64</f>
        <v/>
      </c>
      <c r="E63" s="10">
        <f>C63+D63</f>
        <v/>
      </c>
      <c r="F63" s="10">
        <f>IF($C$70=0, 0, E63/$C$70)</f>
        <v/>
      </c>
      <c r="G63" s="10">
        <f>F63*$T$5</f>
        <v/>
      </c>
      <c r="H63" s="10" t="n">
        <v>3</v>
      </c>
      <c r="I63" s="10">
        <f>$T$7*H63</f>
        <v/>
      </c>
      <c r="J63" s="10">
        <f>G63+$T$9+I63</f>
        <v/>
      </c>
      <c r="K63" s="10">
        <f>$T$4/64</f>
        <v/>
      </c>
      <c r="L63" s="7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5">
        <f>(J63+K63+L63+M63+Q63+N63+O63+P63)*$B$2</f>
        <v/>
      </c>
      <c r="S63" s="6" t="n"/>
      <c r="T63" s="6" t="n"/>
    </row>
    <row r="64" ht="12.75" customHeight="1" s="251">
      <c r="A64" s="7" t="inlineStr">
        <is>
          <t>T11</t>
        </is>
      </c>
      <c r="B64" s="13" t="inlineStr">
        <is>
          <t>Arvind Balasubramanian</t>
        </is>
      </c>
      <c r="C64" s="9" t="n">
        <v>0</v>
      </c>
      <c r="D64" s="10">
        <f>SUM($C$3:$C$5)/64</f>
        <v/>
      </c>
      <c r="E64" s="10">
        <f>C64+D64</f>
        <v/>
      </c>
      <c r="F64" s="10">
        <f>IF($C$70=0, 0, E64/$C$70)</f>
        <v/>
      </c>
      <c r="G64" s="10">
        <f>F64*$T$5</f>
        <v/>
      </c>
      <c r="H64" s="10" t="n">
        <v>3</v>
      </c>
      <c r="I64" s="10">
        <f>$T$7*H64</f>
        <v/>
      </c>
      <c r="J64" s="10">
        <f>G64+$T$9+I64</f>
        <v/>
      </c>
      <c r="K64" s="10">
        <f>$T$4/64</f>
        <v/>
      </c>
      <c r="L64" s="7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5">
        <f>(J64+K64+L64+M64+Q64+N64+O64+P64)*$B$2</f>
        <v/>
      </c>
      <c r="S64" s="6" t="n"/>
      <c r="T64" s="6" t="n"/>
    </row>
    <row r="65" ht="12.75" customHeight="1" s="251">
      <c r="A65" s="7" t="inlineStr">
        <is>
          <t>T12</t>
        </is>
      </c>
      <c r="B65" s="13" t="inlineStr">
        <is>
          <t>Prasenjit</t>
        </is>
      </c>
      <c r="C65" s="9" t="n">
        <v>0</v>
      </c>
      <c r="D65" s="10">
        <f>SUM($C$3:$C$5)/64</f>
        <v/>
      </c>
      <c r="E65" s="10">
        <f>C65+D65</f>
        <v/>
      </c>
      <c r="F65" s="10">
        <f>IF($C$70=0, 0, E65/$C$70)</f>
        <v/>
      </c>
      <c r="G65" s="10">
        <f>F65*$T$5</f>
        <v/>
      </c>
      <c r="H65" s="10" t="n">
        <v>3</v>
      </c>
      <c r="I65" s="10">
        <f>$T$7*H65</f>
        <v/>
      </c>
      <c r="J65" s="10">
        <f>G65+$T$9+I65</f>
        <v/>
      </c>
      <c r="K65" s="10">
        <f>$T$4/64</f>
        <v/>
      </c>
      <c r="L65" s="7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5">
        <f>(J65+K65+L65+M65+Q65+N65+O65+P65)*$B$2</f>
        <v/>
      </c>
      <c r="S65" s="6" t="n"/>
      <c r="T65" s="6" t="n"/>
    </row>
    <row r="66" ht="12.75" customHeight="1" s="251">
      <c r="A66" s="7" t="inlineStr">
        <is>
          <t>T13</t>
        </is>
      </c>
      <c r="B66" s="13" t="inlineStr">
        <is>
          <t>Rahul Kumar</t>
        </is>
      </c>
      <c r="C66" s="9" t="n">
        <v>0</v>
      </c>
      <c r="D66" s="10">
        <f>SUM($C$3:$C$5)/64</f>
        <v/>
      </c>
      <c r="E66" s="10">
        <f>C66+D66</f>
        <v/>
      </c>
      <c r="F66" s="10">
        <f>IF($C$70=0, 0, E66/$C$70)</f>
        <v/>
      </c>
      <c r="G66" s="10">
        <f>F66*$T$5</f>
        <v/>
      </c>
      <c r="H66" s="10" t="n">
        <v>4</v>
      </c>
      <c r="I66" s="10">
        <f>$T$7*H66</f>
        <v/>
      </c>
      <c r="J66" s="10">
        <f>G66+$T$9+I66</f>
        <v/>
      </c>
      <c r="K66" s="10">
        <f>$T$4/64</f>
        <v/>
      </c>
      <c r="L66" s="7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5">
        <f>(J66+K66+L66+M66+Q66+N66+O66+P66)*$B$2</f>
        <v/>
      </c>
      <c r="S66" s="6" t="n"/>
      <c r="T66" s="6" t="n"/>
    </row>
    <row r="67" ht="12.75" customHeight="1" s="251">
      <c r="A67" s="7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0">
        <f>SUM($C$3:$C$5)/64</f>
        <v/>
      </c>
      <c r="E67" s="10">
        <f>C67+D67</f>
        <v/>
      </c>
      <c r="F67" s="10">
        <f>IF($C$70=0, 0, E67/$C$70)</f>
        <v/>
      </c>
      <c r="G67" s="10">
        <f>F67*$T$5</f>
        <v/>
      </c>
      <c r="H67" s="10" t="n">
        <v>4</v>
      </c>
      <c r="I67" s="10">
        <f>$T$7*H67</f>
        <v/>
      </c>
      <c r="J67" s="10">
        <f>G67+$T$9+I67</f>
        <v/>
      </c>
      <c r="K67" s="10">
        <f>$T$4/64</f>
        <v/>
      </c>
      <c r="L67" s="7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5">
        <f>(J67+K67+L67+M67+Q67+N67+O67+P67)*$B$2</f>
        <v/>
      </c>
      <c r="S67" s="6" t="n"/>
      <c r="T67" s="6" t="n"/>
    </row>
    <row r="68" ht="12.75" customHeight="1" s="251">
      <c r="A68" s="7" t="inlineStr">
        <is>
          <t>T15</t>
        </is>
      </c>
      <c r="B68" s="13" t="inlineStr">
        <is>
          <t>Trevor</t>
        </is>
      </c>
      <c r="C68" s="9" t="n">
        <v>0</v>
      </c>
      <c r="D68" s="10">
        <f>SUM($C$3:$C$5)/64</f>
        <v/>
      </c>
      <c r="E68" s="10">
        <f>C68+D68</f>
        <v/>
      </c>
      <c r="F68" s="10">
        <f>IF($C$70=0, 0, E68/$C$70)</f>
        <v/>
      </c>
      <c r="G68" s="10">
        <f>F68*$T$5</f>
        <v/>
      </c>
      <c r="H68" s="10" t="n">
        <v>4</v>
      </c>
      <c r="I68" s="10">
        <f>$T$7*H68</f>
        <v/>
      </c>
      <c r="J68" s="10">
        <f>G68+$T$9+I68</f>
        <v/>
      </c>
      <c r="K68" s="10">
        <f>$T$4/64</f>
        <v/>
      </c>
      <c r="L68" s="7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5">
        <f>(J68+K68+L68+M68+Q68+N68+O68+P68)*$B$2</f>
        <v/>
      </c>
      <c r="S68" s="6" t="n"/>
      <c r="T68" s="6" t="n"/>
    </row>
    <row r="69" ht="12.75" customHeight="1" s="251">
      <c r="A69" s="7" t="inlineStr">
        <is>
          <t>T16</t>
        </is>
      </c>
      <c r="B69" s="13" t="inlineStr">
        <is>
          <t>Madhusoodanan P.R.</t>
        </is>
      </c>
      <c r="C69" s="9" t="n">
        <v>0</v>
      </c>
      <c r="D69" s="10">
        <f>SUM($C$3:$C$5)/64</f>
        <v/>
      </c>
      <c r="E69" s="10">
        <f>C69+D69</f>
        <v/>
      </c>
      <c r="F69" s="10">
        <f>IF($C$70=0, 0, E69/$C$70)</f>
        <v/>
      </c>
      <c r="G69" s="10">
        <f>F69*$T$5</f>
        <v/>
      </c>
      <c r="H69" s="10" t="n">
        <v>3</v>
      </c>
      <c r="I69" s="10">
        <f>$T$7*H69</f>
        <v/>
      </c>
      <c r="J69" s="10">
        <f>G69+$T$9+I69</f>
        <v/>
      </c>
      <c r="K69" s="10">
        <f>$T$4/64</f>
        <v/>
      </c>
      <c r="L69" s="7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5">
        <f>(J69+K69+L69+M69+Q69+N69+O69+P69)*$B$2</f>
        <v/>
      </c>
      <c r="S69" s="6" t="n"/>
      <c r="T69" s="6" t="n"/>
    </row>
    <row r="70" ht="12.75" customHeight="1" s="251">
      <c r="A70" s="31" t="inlineStr">
        <is>
          <t>TOTAL</t>
        </is>
      </c>
      <c r="B70" s="32" t="inlineStr">
        <is>
          <t>TOTAL</t>
        </is>
      </c>
      <c r="C70" s="15">
        <f>SUM(C3:C69)</f>
        <v/>
      </c>
      <c r="D70" s="15">
        <f>SUM(D3:D69)</f>
        <v/>
      </c>
      <c r="E70" s="15">
        <f>SUM(E5:E69)</f>
        <v/>
      </c>
      <c r="F70" s="15">
        <f>SUM(F6:F69)</f>
        <v/>
      </c>
      <c r="G70" s="15">
        <f>SUM(G6:G69)</f>
        <v/>
      </c>
      <c r="H70" s="15">
        <f>SUM(H3:H69)</f>
        <v/>
      </c>
      <c r="I70" s="15">
        <f>SUM(I3:I69)</f>
        <v/>
      </c>
      <c r="J70" s="15">
        <f>SUM(J6:J69)</f>
        <v/>
      </c>
      <c r="K70" s="15">
        <f>SUM(K6:K69)</f>
        <v/>
      </c>
      <c r="L70" s="15">
        <f>SUM(L6:L69)</f>
        <v/>
      </c>
      <c r="M70" s="15">
        <f>SUM(M6:M69)</f>
        <v/>
      </c>
      <c r="N70" s="15">
        <f>SUM(N6:N69)</f>
        <v/>
      </c>
      <c r="O70" s="15">
        <f>SUM(O6:O69)</f>
        <v/>
      </c>
      <c r="P70" s="15">
        <f>SUM(P6:P69)</f>
        <v/>
      </c>
      <c r="Q70" s="15">
        <f>SUM(Q6:Q69)</f>
        <v/>
      </c>
      <c r="R70" s="15">
        <f>SUM(R6:R69)</f>
        <v/>
      </c>
      <c r="S70" s="6" t="n"/>
      <c r="T70" s="6" t="n"/>
    </row>
    <row r="71" ht="12.75" customHeight="1" s="251">
      <c r="S71" s="33" t="n"/>
      <c r="T71" s="17" t="n"/>
    </row>
    <row r="72" ht="12.75" customHeight="1" s="251">
      <c r="S72" s="33" t="n"/>
      <c r="T72" s="17" t="n"/>
    </row>
    <row r="73" ht="12.75" customHeight="1" s="251">
      <c r="S73" s="34" t="n"/>
      <c r="T73" s="35" t="n"/>
    </row>
  </sheetData>
  <mergeCells count="1">
    <mergeCell ref="B1:T1"/>
  </mergeCells>
  <pageMargins left="0.25" right="0.25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4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38" t="inlineStr">
        <is>
          <t>Date</t>
        </is>
      </c>
      <c r="E1" s="37" t="inlineStr">
        <is>
          <t>Amount</t>
        </is>
      </c>
      <c r="F1" s="39" t="inlineStr">
        <is>
          <t>Date</t>
        </is>
      </c>
      <c r="G1" s="37" t="inlineStr">
        <is>
          <t>Amount</t>
        </is>
      </c>
      <c r="H1" s="39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43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20" t="n"/>
      <c r="D4" s="44" t="n"/>
      <c r="E4" s="40" t="n"/>
      <c r="F4" s="45" t="n"/>
      <c r="K4" s="46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0" t="n"/>
      <c r="D5" s="45" t="n"/>
      <c r="K5" s="40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47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8" t="n"/>
      <c r="D7" s="44" t="n"/>
      <c r="E7" s="40" t="n"/>
      <c r="F7" s="45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D8" s="43" t="n"/>
      <c r="E8" s="42" t="n"/>
      <c r="F8" s="42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42" t="n"/>
      <c r="D9" s="43" t="n"/>
      <c r="K9" s="40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42" t="n"/>
      <c r="D10" s="43" t="n"/>
      <c r="K10" s="40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8" t="n"/>
      <c r="D11" s="44" t="n"/>
      <c r="K11" s="40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42" t="n"/>
      <c r="D12" s="43" t="n"/>
      <c r="K12" s="40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0" t="n"/>
      <c r="D13" s="43" t="n"/>
      <c r="K13" s="40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47" t="n"/>
      <c r="E14" s="42" t="n"/>
      <c r="F14" s="47" t="n"/>
      <c r="G14" s="42" t="n"/>
      <c r="H14" s="47" t="n"/>
      <c r="J14" s="45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0" t="n"/>
      <c r="D15" s="45" t="n"/>
      <c r="K15" s="40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2" t="n"/>
      <c r="D16" s="43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0" t="n"/>
      <c r="D18" s="45" t="n"/>
      <c r="K18" s="40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42" t="n"/>
      <c r="D19" s="43" t="n"/>
      <c r="K19" s="40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42" t="n"/>
      <c r="D20" s="47" t="n"/>
      <c r="K20" s="40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42" t="n"/>
      <c r="D21" s="43" t="n"/>
      <c r="K21" s="40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D22" s="45" t="n"/>
      <c r="K22" s="40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42" t="n"/>
      <c r="D24" s="47" t="n"/>
      <c r="K24" s="40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8" t="n"/>
      <c r="D25" s="44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Chandramouli</t>
        </is>
      </c>
      <c r="C26" s="42" t="n"/>
      <c r="D26" s="47" t="n"/>
      <c r="K26" s="40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0" t="n"/>
      <c r="D27" s="45" t="n"/>
      <c r="K27" s="40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42" t="n"/>
      <c r="D28" s="43" t="n"/>
      <c r="K28" s="40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48" t="n"/>
      <c r="D29" s="44" t="n"/>
      <c r="E29" s="40" t="n"/>
      <c r="F29" s="45" t="n"/>
      <c r="K29" s="40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45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2" t="n"/>
      <c r="D31" s="47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48" t="n"/>
      <c r="D32" s="44" t="n"/>
      <c r="E32" s="40" t="n"/>
      <c r="F32" s="45" t="n"/>
      <c r="K32" s="40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43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42" t="n"/>
      <c r="D34" s="43" t="n"/>
      <c r="F34" s="45" t="n"/>
      <c r="K34" s="40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D35" s="45" t="n"/>
      <c r="K35" s="40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0" t="n"/>
      <c r="D36" s="45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42" t="n"/>
      <c r="D37" s="43" t="n"/>
      <c r="K37" s="40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42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43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42" t="n"/>
      <c r="D40" s="47" t="n"/>
      <c r="K40" s="40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42" t="n"/>
      <c r="D41" s="47" t="n"/>
      <c r="K41" s="40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42" t="n"/>
      <c r="D42" s="47" t="n"/>
      <c r="K42" s="40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42" t="n"/>
      <c r="D43" s="42" t="n"/>
      <c r="K43" s="40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2" t="n"/>
      <c r="D44" s="47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42" t="n"/>
      <c r="D45" s="43" t="n"/>
      <c r="K45" s="40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47" t="n"/>
      <c r="E46" s="42" t="n"/>
      <c r="F46" s="47" t="n"/>
      <c r="G46" s="42" t="n"/>
      <c r="H46" s="47" t="n"/>
      <c r="J46" s="45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C47" s="40" t="n"/>
      <c r="D47" s="45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42" t="n"/>
      <c r="D48" s="47" t="n"/>
      <c r="K48" s="40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45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47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0" t="n"/>
      <c r="D51" s="45" t="n"/>
      <c r="K51" s="40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42" t="n"/>
      <c r="D52" s="43" t="n"/>
      <c r="K52" s="40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42" t="n"/>
      <c r="D53" s="43" t="n"/>
      <c r="K53" s="40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43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8" t="n"/>
      <c r="D55" s="44" t="n"/>
      <c r="E55" s="40" t="n"/>
      <c r="F55" s="45" t="n"/>
      <c r="K55" s="40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43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0" t="n"/>
      <c r="D57" s="45" t="n"/>
      <c r="F57" s="45" t="n"/>
      <c r="K57" s="40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49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42" t="n"/>
      <c r="D59" s="43" t="n"/>
      <c r="K59" s="40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42" t="n"/>
      <c r="D60" s="47" t="n"/>
      <c r="K60" s="40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0" t="n"/>
      <c r="D61" s="43" t="n"/>
      <c r="K61" s="40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C62" s="42" t="n"/>
      <c r="D62" s="42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8" t="n"/>
      <c r="D63" s="44" t="n"/>
      <c r="K63" s="40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42" t="n"/>
      <c r="D64" s="47" t="n"/>
      <c r="K64" s="40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47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/>
    <row r="68"/>
    <row r="69"/>
    <row r="70">
      <c r="A70" s="36" t="n"/>
    </row>
    <row r="71">
      <c r="A71" s="36" t="n"/>
    </row>
    <row r="72">
      <c r="A72" s="41" t="n"/>
    </row>
    <row r="73">
      <c r="A73" s="41" t="n"/>
    </row>
    <row r="74">
      <c r="A74" s="41" t="n"/>
    </row>
    <row r="75">
      <c r="A75" s="41" t="n"/>
    </row>
    <row r="76">
      <c r="A76" s="41" t="n"/>
    </row>
    <row r="77">
      <c r="A77" s="41" t="n"/>
    </row>
    <row r="78">
      <c r="A78" s="41" t="n"/>
    </row>
    <row r="79">
      <c r="A79" s="41" t="n"/>
    </row>
    <row r="80">
      <c r="A80" s="41" t="n"/>
    </row>
    <row r="81">
      <c r="A81" s="41" t="n"/>
    </row>
    <row r="82">
      <c r="A82" s="41" t="n"/>
    </row>
    <row r="83">
      <c r="A83" s="41" t="n"/>
    </row>
    <row r="84">
      <c r="A84" s="41" t="n"/>
    </row>
    <row r="85">
      <c r="A85" s="41" t="n"/>
    </row>
    <row r="86">
      <c r="A86" s="41" t="n"/>
    </row>
    <row r="87">
      <c r="A87" s="41" t="n"/>
    </row>
    <row r="88">
      <c r="A88" s="41" t="n"/>
    </row>
    <row r="89">
      <c r="A89" s="41" t="n"/>
    </row>
    <row r="90">
      <c r="A90" s="41" t="n"/>
    </row>
    <row r="91">
      <c r="A91" s="41" t="n"/>
    </row>
    <row r="92">
      <c r="A92" s="41" t="n"/>
    </row>
    <row r="93">
      <c r="A93" s="41" t="n"/>
    </row>
    <row r="94">
      <c r="A94" s="41" t="n"/>
    </row>
    <row r="95">
      <c r="A95" s="41" t="n"/>
    </row>
    <row r="96">
      <c r="A96" s="41" t="n"/>
    </row>
    <row r="97">
      <c r="A97" s="41" t="n"/>
    </row>
    <row r="98">
      <c r="A98" s="41" t="n"/>
    </row>
    <row r="99">
      <c r="A99" s="41" t="n"/>
    </row>
    <row r="100">
      <c r="A100" s="41" t="n"/>
    </row>
    <row r="101">
      <c r="A101" s="41" t="n"/>
    </row>
    <row r="102">
      <c r="A102" s="41" t="n"/>
    </row>
    <row r="103">
      <c r="A103" s="41" t="n"/>
    </row>
    <row r="104">
      <c r="A104" s="41" t="n"/>
    </row>
    <row r="105">
      <c r="A105" s="41" t="n"/>
    </row>
    <row r="106">
      <c r="A106" s="41" t="n"/>
    </row>
    <row r="107">
      <c r="A107" s="41" t="n"/>
    </row>
    <row r="108">
      <c r="A108" s="41" t="n"/>
    </row>
    <row r="109">
      <c r="A109" s="41" t="n"/>
    </row>
    <row r="110">
      <c r="A110" s="41" t="n"/>
    </row>
    <row r="111">
      <c r="A111" s="41" t="n"/>
    </row>
    <row r="112">
      <c r="A112" s="41" t="n"/>
    </row>
    <row r="113">
      <c r="A113" s="41" t="n"/>
    </row>
    <row r="114">
      <c r="A114" s="41" t="n"/>
    </row>
    <row r="115">
      <c r="A115" s="41" t="n"/>
    </row>
    <row r="116">
      <c r="A116" s="41" t="n"/>
    </row>
    <row r="117">
      <c r="A117" s="41" t="n"/>
    </row>
    <row r="118">
      <c r="A118" s="41" t="n"/>
    </row>
    <row r="119">
      <c r="A119" s="41" t="n"/>
    </row>
    <row r="120">
      <c r="A120" s="41" t="n"/>
    </row>
    <row r="121">
      <c r="A121" s="41" t="n"/>
    </row>
    <row r="122">
      <c r="A122" s="41" t="n"/>
    </row>
    <row r="123">
      <c r="A123" s="41" t="n"/>
    </row>
    <row r="124">
      <c r="A124" s="41" t="n"/>
    </row>
    <row r="125">
      <c r="A125" s="41" t="n"/>
    </row>
    <row r="126">
      <c r="A126" s="41" t="n"/>
    </row>
    <row r="127">
      <c r="A127" s="41" t="n"/>
    </row>
    <row r="128">
      <c r="A128" s="41" t="n"/>
    </row>
    <row r="129">
      <c r="A129" s="41" t="n"/>
    </row>
    <row r="130">
      <c r="A130" s="41" t="n"/>
    </row>
    <row r="131">
      <c r="A131" s="41" t="n"/>
    </row>
    <row r="132">
      <c r="A132" s="41" t="n"/>
    </row>
    <row r="133">
      <c r="A133" s="41" t="n"/>
    </row>
    <row r="134">
      <c r="A134" s="41" t="n"/>
    </row>
    <row r="135">
      <c r="A135" s="41" t="n"/>
    </row>
    <row r="136">
      <c r="A136" s="41" t="n"/>
    </row>
    <row r="137">
      <c r="A137" s="41" t="n"/>
    </row>
    <row r="138">
      <c r="A138" s="41" t="n"/>
    </row>
    <row r="139">
      <c r="A139" s="52" t="n"/>
    </row>
    <row r="140"/>
    <row r="141"/>
    <row r="142"/>
    <row r="143">
      <c r="A143" s="36" t="n"/>
    </row>
    <row r="144">
      <c r="A144" s="36" t="n"/>
    </row>
    <row r="145">
      <c r="A145" s="41" t="n"/>
    </row>
    <row r="146">
      <c r="A146" s="41" t="n"/>
    </row>
    <row r="147">
      <c r="A147" s="41" t="n"/>
    </row>
    <row r="148">
      <c r="A148" s="41" t="n"/>
    </row>
    <row r="149">
      <c r="A149" s="41" t="n"/>
    </row>
    <row r="150">
      <c r="A150" s="41" t="n"/>
    </row>
    <row r="151">
      <c r="A151" s="41" t="n"/>
    </row>
    <row r="152">
      <c r="A152" s="41" t="n"/>
    </row>
    <row r="153">
      <c r="A153" s="41" t="n"/>
    </row>
    <row r="154">
      <c r="A154" s="41" t="n"/>
    </row>
    <row r="155">
      <c r="A155" s="41" t="n"/>
    </row>
    <row r="156">
      <c r="A156" s="41" t="n"/>
    </row>
    <row r="157">
      <c r="A157" s="41" t="n"/>
    </row>
    <row r="158">
      <c r="A158" s="41" t="n"/>
    </row>
    <row r="159">
      <c r="A159" s="41" t="n"/>
    </row>
    <row r="160">
      <c r="A160" s="41" t="n"/>
    </row>
    <row r="161">
      <c r="A161" s="41" t="n"/>
    </row>
    <row r="162">
      <c r="A162" s="41" t="n"/>
    </row>
    <row r="163">
      <c r="A163" s="41" t="n"/>
    </row>
    <row r="164">
      <c r="A164" s="41" t="n"/>
    </row>
    <row r="165">
      <c r="A165" s="41" t="n"/>
    </row>
    <row r="166">
      <c r="A166" s="41" t="n"/>
    </row>
    <row r="167">
      <c r="A167" s="41" t="n"/>
    </row>
    <row r="168">
      <c r="A168" s="41" t="n"/>
    </row>
    <row r="169">
      <c r="A169" s="41" t="n"/>
    </row>
    <row r="170">
      <c r="A170" s="41" t="n"/>
    </row>
    <row r="171">
      <c r="A171" s="41" t="n"/>
    </row>
    <row r="172">
      <c r="A172" s="41" t="n"/>
    </row>
    <row r="173">
      <c r="A173" s="41" t="n"/>
    </row>
    <row r="174">
      <c r="A174" s="41" t="n"/>
    </row>
    <row r="175">
      <c r="A175" s="41" t="n"/>
    </row>
    <row r="176">
      <c r="A176" s="41" t="n"/>
    </row>
    <row r="177">
      <c r="A177" s="41" t="n"/>
    </row>
    <row r="178">
      <c r="A178" s="41" t="n"/>
    </row>
    <row r="179">
      <c r="A179" s="41" t="n"/>
    </row>
    <row r="180">
      <c r="A180" s="41" t="n"/>
    </row>
    <row r="181">
      <c r="A181" s="41" t="n"/>
    </row>
    <row r="182">
      <c r="A182" s="41" t="n"/>
    </row>
    <row r="183">
      <c r="A183" s="41" t="n"/>
    </row>
    <row r="184">
      <c r="A184" s="41" t="n"/>
    </row>
    <row r="185">
      <c r="A185" s="41" t="n"/>
    </row>
    <row r="186">
      <c r="A186" s="41" t="n"/>
    </row>
    <row r="187">
      <c r="A187" s="41" t="n"/>
    </row>
    <row r="188">
      <c r="A188" s="41" t="n"/>
    </row>
    <row r="189">
      <c r="A189" s="41" t="n"/>
    </row>
    <row r="190">
      <c r="A190" s="41" t="n"/>
    </row>
    <row r="191">
      <c r="A191" s="41" t="n"/>
    </row>
    <row r="192">
      <c r="A192" s="41" t="n"/>
    </row>
    <row r="193">
      <c r="A193" s="41" t="n"/>
    </row>
    <row r="194">
      <c r="A194" s="41" t="n"/>
    </row>
    <row r="195">
      <c r="A195" s="41" t="n"/>
    </row>
    <row r="196">
      <c r="A196" s="41" t="n"/>
    </row>
    <row r="197">
      <c r="A197" s="41" t="n"/>
    </row>
    <row r="198">
      <c r="A198" s="41" t="n"/>
    </row>
    <row r="199">
      <c r="A199" s="41" t="n"/>
    </row>
    <row r="200">
      <c r="A200" s="41" t="n"/>
    </row>
    <row r="201">
      <c r="A201" s="41" t="n"/>
    </row>
    <row r="202">
      <c r="A202" s="41" t="n"/>
    </row>
    <row r="203">
      <c r="A203" s="41" t="n"/>
    </row>
    <row r="204">
      <c r="A204" s="41" t="n"/>
    </row>
    <row r="205">
      <c r="A205" s="41" t="n"/>
    </row>
    <row r="206">
      <c r="A206" s="41" t="n"/>
    </row>
    <row r="207">
      <c r="A207" s="41" t="n"/>
    </row>
    <row r="208">
      <c r="A208" s="41" t="n"/>
    </row>
    <row r="209">
      <c r="A209" s="41" t="n"/>
    </row>
    <row r="210">
      <c r="A210" s="41" t="n"/>
    </row>
    <row r="211">
      <c r="A211" s="41" t="n"/>
    </row>
    <row r="212">
      <c r="A212" s="52" t="n"/>
    </row>
    <row r="213"/>
    <row r="214"/>
    <row r="215"/>
    <row r="216">
      <c r="A216" s="36" t="n"/>
    </row>
    <row r="217">
      <c r="A217" s="36" t="n"/>
    </row>
    <row r="218">
      <c r="A218" s="41" t="n"/>
    </row>
    <row r="219">
      <c r="A219" s="41" t="n"/>
    </row>
    <row r="220">
      <c r="A220" s="41" t="n"/>
    </row>
    <row r="221">
      <c r="A221" s="41" t="n"/>
    </row>
    <row r="222">
      <c r="A222" s="41" t="n"/>
    </row>
    <row r="223">
      <c r="A223" s="41" t="n"/>
    </row>
    <row r="224">
      <c r="A224" s="41" t="n"/>
    </row>
    <row r="225">
      <c r="A225" s="41" t="n"/>
    </row>
    <row r="226">
      <c r="A226" s="41" t="n"/>
    </row>
    <row r="227">
      <c r="A227" s="41" t="n"/>
    </row>
    <row r="228">
      <c r="A228" s="41" t="n"/>
    </row>
    <row r="229">
      <c r="A229" s="41" t="n"/>
    </row>
    <row r="230">
      <c r="A230" s="41" t="n"/>
    </row>
    <row r="231">
      <c r="A231" s="41" t="n"/>
    </row>
    <row r="232">
      <c r="A232" s="41" t="n"/>
    </row>
    <row r="233">
      <c r="A233" s="41" t="n"/>
    </row>
    <row r="234">
      <c r="A234" s="41" t="n"/>
    </row>
    <row r="235">
      <c r="A235" s="41" t="n"/>
    </row>
    <row r="236">
      <c r="A236" s="41" t="n"/>
    </row>
    <row r="237">
      <c r="A237" s="41" t="n"/>
    </row>
    <row r="238">
      <c r="A238" s="41" t="n"/>
    </row>
    <row r="239">
      <c r="A239" s="41" t="n"/>
    </row>
    <row r="240">
      <c r="A240" s="41" t="n"/>
    </row>
    <row r="241">
      <c r="A241" s="41" t="n"/>
    </row>
    <row r="242">
      <c r="A242" s="41" t="n"/>
    </row>
    <row r="243">
      <c r="A243" s="41" t="n"/>
    </row>
    <row r="244">
      <c r="A244" s="41" t="n"/>
    </row>
    <row r="245">
      <c r="A245" s="41" t="n"/>
    </row>
    <row r="246">
      <c r="A246" s="41" t="n"/>
    </row>
    <row r="247">
      <c r="A247" s="41" t="n"/>
    </row>
    <row r="248">
      <c r="A248" s="41" t="n"/>
    </row>
    <row r="249">
      <c r="A249" s="41" t="n"/>
    </row>
    <row r="250">
      <c r="A250" s="41" t="n"/>
    </row>
    <row r="251">
      <c r="A251" s="41" t="n"/>
    </row>
    <row r="252">
      <c r="A252" s="41" t="n"/>
    </row>
    <row r="253">
      <c r="A253" s="41" t="n"/>
    </row>
    <row r="254">
      <c r="A254" s="41" t="n"/>
    </row>
    <row r="255">
      <c r="A255" s="41" t="n"/>
    </row>
    <row r="256">
      <c r="A256" s="41" t="n"/>
    </row>
    <row r="257">
      <c r="A257" s="41" t="n"/>
    </row>
    <row r="258">
      <c r="A258" s="41" t="n"/>
    </row>
    <row r="259">
      <c r="A259" s="41" t="n"/>
    </row>
    <row r="260">
      <c r="A260" s="41" t="n"/>
    </row>
    <row r="261">
      <c r="A261" s="41" t="n"/>
    </row>
    <row r="262">
      <c r="A262" s="41" t="n"/>
    </row>
    <row r="263">
      <c r="A263" s="41" t="n"/>
    </row>
    <row r="264">
      <c r="A264" s="41" t="n"/>
    </row>
    <row r="265">
      <c r="A265" s="41" t="n"/>
    </row>
    <row r="266">
      <c r="A266" s="41" t="n"/>
    </row>
    <row r="267">
      <c r="A267" s="41" t="n"/>
    </row>
    <row r="268">
      <c r="A268" s="41" t="n"/>
    </row>
    <row r="269">
      <c r="A269" s="41" t="n"/>
    </row>
    <row r="270">
      <c r="A270" s="41" t="n"/>
    </row>
    <row r="271">
      <c r="A271" s="41" t="n"/>
    </row>
    <row r="272">
      <c r="A272" s="41" t="n"/>
    </row>
    <row r="273">
      <c r="A273" s="41" t="n"/>
    </row>
    <row r="274">
      <c r="A274" s="41" t="n"/>
    </row>
    <row r="275">
      <c r="A275" s="41" t="n"/>
    </row>
    <row r="276">
      <c r="A276" s="41" t="n"/>
    </row>
    <row r="277">
      <c r="A277" s="41" t="n"/>
    </row>
    <row r="278">
      <c r="A278" s="41" t="n"/>
    </row>
    <row r="279">
      <c r="A279" s="41" t="n"/>
    </row>
    <row r="280">
      <c r="A280" s="41" t="n"/>
    </row>
    <row r="281">
      <c r="A281" s="41" t="n"/>
    </row>
    <row r="282">
      <c r="A282" s="41" t="n"/>
    </row>
    <row r="283">
      <c r="A283" s="41" t="n"/>
    </row>
    <row r="284">
      <c r="A284" s="41" t="n"/>
    </row>
    <row r="285">
      <c r="A285" s="52" t="n"/>
    </row>
    <row r="286"/>
    <row r="287"/>
    <row r="288"/>
    <row r="289">
      <c r="A289" s="36" t="n"/>
    </row>
    <row r="290">
      <c r="A290" s="36" t="n"/>
    </row>
    <row r="291">
      <c r="A291" s="41" t="n"/>
    </row>
    <row r="292">
      <c r="A292" s="41" t="n"/>
    </row>
    <row r="293">
      <c r="A293" s="41" t="n"/>
    </row>
    <row r="294">
      <c r="A294" s="41" t="n"/>
    </row>
    <row r="295">
      <c r="A295" s="41" t="n"/>
    </row>
    <row r="296">
      <c r="A296" s="41" t="n"/>
    </row>
    <row r="297">
      <c r="A297" s="41" t="n"/>
    </row>
    <row r="298">
      <c r="A298" s="41" t="n"/>
    </row>
    <row r="299">
      <c r="A299" s="41" t="n"/>
    </row>
    <row r="300">
      <c r="A300" s="41" t="n"/>
    </row>
    <row r="301">
      <c r="A301" s="41" t="n"/>
    </row>
    <row r="302">
      <c r="A302" s="41" t="n"/>
    </row>
    <row r="303">
      <c r="A303" s="41" t="n"/>
    </row>
    <row r="304">
      <c r="A304" s="41" t="n"/>
    </row>
    <row r="305">
      <c r="A305" s="41" t="n"/>
    </row>
    <row r="306">
      <c r="A306" s="41" t="n"/>
    </row>
    <row r="307">
      <c r="A307" s="41" t="n"/>
    </row>
    <row r="308">
      <c r="A308" s="41" t="n"/>
    </row>
    <row r="309">
      <c r="A309" s="41" t="n"/>
    </row>
    <row r="310">
      <c r="A310" s="41" t="n"/>
    </row>
    <row r="311">
      <c r="A311" s="41" t="n"/>
    </row>
    <row r="312">
      <c r="A312" s="41" t="n"/>
    </row>
    <row r="313">
      <c r="A313" s="41" t="n"/>
    </row>
    <row r="314">
      <c r="A314" s="41" t="n"/>
    </row>
    <row r="315">
      <c r="A315" s="41" t="n"/>
    </row>
    <row r="316">
      <c r="A316" s="41" t="n"/>
    </row>
    <row r="317">
      <c r="A317" s="41" t="n"/>
    </row>
    <row r="318">
      <c r="A318" s="41" t="n"/>
    </row>
    <row r="319">
      <c r="A319" s="41" t="n"/>
    </row>
    <row r="320">
      <c r="A320" s="41" t="n"/>
    </row>
    <row r="321">
      <c r="A321" s="41" t="n"/>
    </row>
    <row r="322">
      <c r="A322" s="41" t="n"/>
    </row>
    <row r="323">
      <c r="A323" s="41" t="n"/>
    </row>
    <row r="324">
      <c r="A324" s="41" t="n"/>
    </row>
    <row r="325">
      <c r="A325" s="41" t="n"/>
    </row>
    <row r="326">
      <c r="A326" s="41" t="n"/>
    </row>
    <row r="327">
      <c r="A327" s="41" t="n"/>
    </row>
    <row r="328">
      <c r="A328" s="41" t="n"/>
    </row>
    <row r="329">
      <c r="A329" s="41" t="n"/>
    </row>
    <row r="330">
      <c r="A330" s="41" t="n"/>
    </row>
    <row r="331">
      <c r="A331" s="41" t="n"/>
    </row>
    <row r="332">
      <c r="A332" s="41" t="n"/>
    </row>
    <row r="333">
      <c r="A333" s="41" t="n"/>
    </row>
    <row r="334">
      <c r="A334" s="41" t="n"/>
    </row>
    <row r="335">
      <c r="A335" s="41" t="n"/>
    </row>
    <row r="336">
      <c r="A336" s="41" t="n"/>
    </row>
    <row r="337">
      <c r="A337" s="41" t="n"/>
    </row>
    <row r="338">
      <c r="A338" s="41" t="n"/>
    </row>
    <row r="339">
      <c r="A339" s="41" t="n"/>
    </row>
    <row r="340">
      <c r="A340" s="41" t="n"/>
    </row>
    <row r="341">
      <c r="A341" s="41" t="n"/>
    </row>
    <row r="342">
      <c r="A342" s="41" t="n"/>
    </row>
    <row r="343">
      <c r="A343" s="41" t="n"/>
    </row>
    <row r="344">
      <c r="A344" s="41" t="n"/>
    </row>
    <row r="345">
      <c r="A345" s="41" t="n"/>
    </row>
    <row r="346">
      <c r="A346" s="41" t="n"/>
    </row>
    <row r="347">
      <c r="A347" s="41" t="n"/>
    </row>
    <row r="348">
      <c r="A348" s="41" t="n"/>
    </row>
    <row r="349">
      <c r="A349" s="41" t="n"/>
    </row>
    <row r="350">
      <c r="A350" s="41" t="n"/>
    </row>
    <row r="351">
      <c r="A351" s="41" t="n"/>
    </row>
    <row r="352">
      <c r="A352" s="41" t="n"/>
    </row>
    <row r="353">
      <c r="A353" s="41" t="n"/>
    </row>
    <row r="354">
      <c r="A354" s="41" t="n"/>
    </row>
    <row r="355">
      <c r="A355" s="41" t="n"/>
    </row>
    <row r="356">
      <c r="A356" s="41" t="n"/>
    </row>
    <row r="357">
      <c r="A357" s="41" t="n"/>
    </row>
    <row r="358">
      <c r="A358" s="52" t="n"/>
    </row>
    <row r="359"/>
    <row r="360"/>
    <row r="361"/>
    <row r="362">
      <c r="A362" s="36" t="n"/>
    </row>
    <row r="363">
      <c r="A363" s="36" t="n"/>
    </row>
    <row r="364">
      <c r="A364" s="41" t="n"/>
    </row>
    <row r="365">
      <c r="A365" s="41" t="n"/>
    </row>
    <row r="366">
      <c r="A366" s="41" t="n"/>
    </row>
    <row r="367">
      <c r="A367" s="41" t="n"/>
    </row>
    <row r="368">
      <c r="A368" s="41" t="n"/>
    </row>
    <row r="369">
      <c r="A369" s="41" t="n"/>
    </row>
    <row r="370">
      <c r="A370" s="41" t="n"/>
    </row>
    <row r="371">
      <c r="A371" s="41" t="n"/>
    </row>
    <row r="372">
      <c r="A372" s="41" t="n"/>
    </row>
    <row r="373">
      <c r="A373" s="41" t="n"/>
    </row>
    <row r="374">
      <c r="A374" s="41" t="n"/>
    </row>
    <row r="375">
      <c r="A375" s="41" t="n"/>
    </row>
    <row r="376">
      <c r="A376" s="41" t="n"/>
    </row>
    <row r="377">
      <c r="A377" s="41" t="n"/>
    </row>
    <row r="378">
      <c r="A378" s="41" t="n"/>
    </row>
    <row r="379">
      <c r="A379" s="41" t="n"/>
    </row>
    <row r="380">
      <c r="A380" s="41" t="n"/>
    </row>
    <row r="381">
      <c r="A381" s="41" t="n"/>
    </row>
    <row r="382">
      <c r="A382" s="41" t="n"/>
    </row>
    <row r="383">
      <c r="A383" s="41" t="n"/>
    </row>
    <row r="384">
      <c r="A384" s="41" t="n"/>
    </row>
    <row r="385">
      <c r="A385" s="41" t="n"/>
    </row>
    <row r="386">
      <c r="A386" s="41" t="n"/>
    </row>
    <row r="387">
      <c r="A387" s="41" t="n"/>
    </row>
    <row r="388">
      <c r="A388" s="41" t="n"/>
    </row>
    <row r="389">
      <c r="A389" s="41" t="n"/>
    </row>
    <row r="390">
      <c r="A390" s="41" t="n"/>
    </row>
    <row r="391">
      <c r="A391" s="41" t="n"/>
    </row>
    <row r="392">
      <c r="A392" s="41" t="n"/>
    </row>
    <row r="393">
      <c r="A393" s="41" t="n"/>
    </row>
    <row r="394">
      <c r="A394" s="41" t="n"/>
    </row>
    <row r="395">
      <c r="A395" s="41" t="n"/>
    </row>
    <row r="396">
      <c r="A396" s="41" t="n"/>
    </row>
    <row r="397">
      <c r="A397" s="41" t="n"/>
    </row>
    <row r="398">
      <c r="A398" s="41" t="n"/>
    </row>
    <row r="399">
      <c r="A399" s="41" t="n"/>
    </row>
    <row r="400">
      <c r="A400" s="41" t="n"/>
    </row>
    <row r="401">
      <c r="A401" s="41" t="n"/>
    </row>
    <row r="402">
      <c r="A402" s="41" t="n"/>
    </row>
    <row r="403">
      <c r="A403" s="41" t="n"/>
    </row>
    <row r="404">
      <c r="A404" s="41" t="n"/>
    </row>
    <row r="405">
      <c r="A405" s="41" t="n"/>
    </row>
    <row r="406">
      <c r="A406" s="41" t="n"/>
    </row>
    <row r="407">
      <c r="A407" s="41" t="n"/>
    </row>
    <row r="408">
      <c r="A408" s="41" t="n"/>
    </row>
    <row r="409">
      <c r="A409" s="41" t="n"/>
    </row>
    <row r="410">
      <c r="A410" s="41" t="n"/>
    </row>
    <row r="411">
      <c r="A411" s="41" t="n"/>
    </row>
    <row r="412">
      <c r="A412" s="41" t="n"/>
    </row>
    <row r="413">
      <c r="A413" s="41" t="n"/>
    </row>
    <row r="414">
      <c r="A414" s="41" t="n"/>
    </row>
    <row r="415">
      <c r="A415" s="41" t="n"/>
    </row>
    <row r="416">
      <c r="A416" s="41" t="n"/>
    </row>
    <row r="417">
      <c r="A417" s="41" t="n"/>
    </row>
    <row r="418">
      <c r="A418" s="41" t="n"/>
    </row>
    <row r="419">
      <c r="A419" s="41" t="n"/>
    </row>
    <row r="420">
      <c r="A420" s="41" t="n"/>
    </row>
    <row r="421">
      <c r="A421" s="41" t="n"/>
    </row>
    <row r="422">
      <c r="A422" s="41" t="n"/>
    </row>
    <row r="423">
      <c r="A423" s="41" t="n"/>
    </row>
    <row r="424">
      <c r="A424" s="41" t="n"/>
    </row>
    <row r="425">
      <c r="A425" s="41" t="n"/>
    </row>
    <row r="426">
      <c r="A426" s="41" t="n"/>
    </row>
    <row r="427">
      <c r="A427" s="41" t="n"/>
    </row>
    <row r="428">
      <c r="A428" s="41" t="n"/>
    </row>
    <row r="429">
      <c r="A429" s="41" t="n"/>
    </row>
    <row r="430">
      <c r="A430" s="41" t="n"/>
    </row>
    <row r="431">
      <c r="A431" s="52" t="n"/>
    </row>
    <row r="432"/>
    <row r="433"/>
    <row r="434"/>
    <row r="435">
      <c r="A435" s="36" t="n"/>
    </row>
    <row r="436">
      <c r="A436" s="36" t="n"/>
    </row>
    <row r="437">
      <c r="A437" s="41" t="n"/>
    </row>
    <row r="438">
      <c r="A438" s="41" t="n"/>
    </row>
    <row r="439">
      <c r="A439" s="41" t="n"/>
    </row>
    <row r="440">
      <c r="A440" s="41" t="n"/>
    </row>
    <row r="441">
      <c r="A441" s="41" t="n"/>
    </row>
    <row r="442">
      <c r="A442" s="41" t="n"/>
    </row>
    <row r="443">
      <c r="A443" s="41" t="n"/>
    </row>
    <row r="444">
      <c r="A444" s="41" t="n"/>
    </row>
    <row r="445">
      <c r="A445" s="41" t="n"/>
    </row>
    <row r="446">
      <c r="A446" s="41" t="n"/>
    </row>
    <row r="447">
      <c r="A447" s="41" t="n"/>
    </row>
    <row r="448">
      <c r="A448" s="41" t="n"/>
    </row>
    <row r="449">
      <c r="A449" s="41" t="n"/>
    </row>
    <row r="450">
      <c r="A450" s="41" t="n"/>
    </row>
    <row r="451">
      <c r="A451" s="41" t="n"/>
    </row>
    <row r="452">
      <c r="A452" s="41" t="n"/>
    </row>
    <row r="453">
      <c r="A453" s="41" t="n"/>
    </row>
    <row r="454">
      <c r="A454" s="41" t="n"/>
    </row>
    <row r="455">
      <c r="A455" s="41" t="n"/>
    </row>
    <row r="456">
      <c r="A456" s="41" t="n"/>
    </row>
    <row r="457">
      <c r="A457" s="41" t="n"/>
    </row>
    <row r="458">
      <c r="A458" s="41" t="n"/>
    </row>
    <row r="459">
      <c r="A459" s="41" t="n"/>
    </row>
    <row r="460">
      <c r="A460" s="41" t="n"/>
    </row>
    <row r="461">
      <c r="A461" s="41" t="n"/>
    </row>
    <row r="462">
      <c r="A462" s="41" t="n"/>
    </row>
    <row r="463">
      <c r="A463" s="41" t="n"/>
    </row>
    <row r="464">
      <c r="A464" s="41" t="n"/>
    </row>
    <row r="465">
      <c r="A465" s="41" t="n"/>
    </row>
    <row r="466">
      <c r="A466" s="41" t="n"/>
    </row>
    <row r="467">
      <c r="A467" s="41" t="n"/>
    </row>
    <row r="468">
      <c r="A468" s="41" t="n"/>
    </row>
    <row r="469">
      <c r="A469" s="41" t="n"/>
    </row>
    <row r="470">
      <c r="A470" s="41" t="n"/>
    </row>
    <row r="471">
      <c r="A471" s="41" t="n"/>
    </row>
    <row r="472">
      <c r="A472" s="41" t="n"/>
    </row>
    <row r="473">
      <c r="A473" s="41" t="n"/>
    </row>
    <row r="474">
      <c r="A474" s="41" t="n"/>
    </row>
    <row r="475">
      <c r="A475" s="41" t="n"/>
    </row>
    <row r="476">
      <c r="A476" s="41" t="n"/>
    </row>
    <row r="477">
      <c r="A477" s="41" t="n"/>
    </row>
    <row r="478">
      <c r="A478" s="41" t="n"/>
    </row>
    <row r="479">
      <c r="A479" s="41" t="n"/>
    </row>
    <row r="480">
      <c r="A480" s="41" t="n"/>
    </row>
    <row r="481">
      <c r="A481" s="41" t="n"/>
    </row>
    <row r="482">
      <c r="A482" s="41" t="n"/>
    </row>
    <row r="483">
      <c r="A483" s="41" t="n"/>
    </row>
    <row r="484">
      <c r="A484" s="41" t="n"/>
    </row>
    <row r="485">
      <c r="A485" s="41" t="n"/>
    </row>
    <row r="486">
      <c r="A486" s="41" t="n"/>
    </row>
    <row r="487">
      <c r="A487" s="41" t="n"/>
    </row>
    <row r="488">
      <c r="A488" s="41" t="n"/>
    </row>
    <row r="489">
      <c r="A489" s="41" t="n"/>
    </row>
    <row r="490">
      <c r="A490" s="41" t="n"/>
    </row>
    <row r="491">
      <c r="A491" s="41" t="n"/>
    </row>
    <row r="492">
      <c r="A492" s="41" t="n"/>
    </row>
    <row r="493">
      <c r="A493" s="41" t="n"/>
    </row>
    <row r="494">
      <c r="A494" s="41" t="n"/>
    </row>
    <row r="495">
      <c r="A495" s="41" t="n"/>
    </row>
    <row r="496">
      <c r="A496" s="41" t="n"/>
    </row>
    <row r="497">
      <c r="A497" s="41" t="n"/>
    </row>
    <row r="498">
      <c r="A498" s="41" t="n"/>
    </row>
    <row r="499">
      <c r="A499" s="41" t="n"/>
    </row>
    <row r="500">
      <c r="A500" s="41" t="n"/>
    </row>
    <row r="501">
      <c r="A501" s="41" t="n"/>
    </row>
    <row r="502">
      <c r="A502" s="41" t="n"/>
    </row>
    <row r="503">
      <c r="A503" s="41" t="n"/>
    </row>
    <row r="504">
      <c r="A504" s="52" t="n"/>
    </row>
    <row r="505"/>
    <row r="506"/>
    <row r="507"/>
    <row r="508">
      <c r="A508" s="36" t="n"/>
    </row>
    <row r="509">
      <c r="A509" s="36" t="n"/>
    </row>
    <row r="510">
      <c r="A510" s="41" t="n"/>
    </row>
    <row r="511">
      <c r="A511" s="41" t="n"/>
    </row>
    <row r="512">
      <c r="A512" s="41" t="n"/>
    </row>
    <row r="513">
      <c r="A513" s="41" t="n"/>
    </row>
    <row r="514">
      <c r="A514" s="41" t="n"/>
    </row>
    <row r="515">
      <c r="A515" s="41" t="n"/>
    </row>
    <row r="516">
      <c r="A516" s="41" t="n"/>
    </row>
    <row r="517">
      <c r="A517" s="41" t="n"/>
    </row>
    <row r="518">
      <c r="A518" s="41" t="n"/>
    </row>
    <row r="519">
      <c r="A519" s="41" t="n"/>
    </row>
    <row r="520">
      <c r="A520" s="41" t="n"/>
    </row>
    <row r="521">
      <c r="A521" s="41" t="n"/>
    </row>
    <row r="522">
      <c r="A522" s="41" t="n"/>
    </row>
    <row r="523">
      <c r="A523" s="41" t="n"/>
    </row>
    <row r="524">
      <c r="A524" s="41" t="n"/>
    </row>
    <row r="525">
      <c r="A525" s="41" t="n"/>
    </row>
    <row r="526">
      <c r="A526" s="41" t="n"/>
    </row>
    <row r="527">
      <c r="A527" s="41" t="n"/>
    </row>
    <row r="528">
      <c r="A528" s="41" t="n"/>
    </row>
    <row r="529">
      <c r="A529" s="41" t="n"/>
    </row>
    <row r="530">
      <c r="A530" s="41" t="n"/>
    </row>
    <row r="531">
      <c r="A531" s="41" t="n"/>
    </row>
    <row r="532">
      <c r="A532" s="41" t="n"/>
    </row>
    <row r="533">
      <c r="A533" s="41" t="n"/>
    </row>
    <row r="534">
      <c r="A534" s="41" t="n"/>
    </row>
    <row r="535">
      <c r="A535" s="41" t="n"/>
    </row>
    <row r="536">
      <c r="A536" s="41" t="n"/>
    </row>
    <row r="537">
      <c r="A537" s="41" t="n"/>
    </row>
    <row r="538">
      <c r="A538" s="41" t="n"/>
    </row>
    <row r="539">
      <c r="A539" s="41" t="n"/>
    </row>
    <row r="540">
      <c r="A540" s="41" t="n"/>
    </row>
    <row r="541">
      <c r="A541" s="41" t="n"/>
    </row>
    <row r="542">
      <c r="A542" s="41" t="n"/>
    </row>
    <row r="543">
      <c r="A543" s="41" t="n"/>
    </row>
    <row r="544">
      <c r="A544" s="41" t="n"/>
    </row>
    <row r="545">
      <c r="A545" s="41" t="n"/>
    </row>
    <row r="546">
      <c r="A546" s="41" t="n"/>
    </row>
    <row r="547">
      <c r="A547" s="41" t="n"/>
    </row>
    <row r="548">
      <c r="A548" s="41" t="n"/>
    </row>
    <row r="549">
      <c r="A549" s="41" t="n"/>
    </row>
    <row r="550">
      <c r="A550" s="41" t="n"/>
    </row>
    <row r="551">
      <c r="A551" s="41" t="n"/>
    </row>
    <row r="552">
      <c r="A552" s="41" t="n"/>
    </row>
    <row r="553">
      <c r="A553" s="41" t="n"/>
    </row>
    <row r="554">
      <c r="A554" s="41" t="n"/>
    </row>
    <row r="555">
      <c r="A555" s="41" t="n"/>
    </row>
    <row r="556">
      <c r="A556" s="41" t="n"/>
    </row>
    <row r="557">
      <c r="A557" s="41" t="n"/>
    </row>
    <row r="558">
      <c r="A558" s="41" t="n"/>
    </row>
    <row r="559">
      <c r="A559" s="41" t="n"/>
    </row>
    <row r="560">
      <c r="A560" s="41" t="n"/>
    </row>
    <row r="561">
      <c r="A561" s="41" t="n"/>
    </row>
    <row r="562">
      <c r="A562" s="41" t="n"/>
    </row>
    <row r="563">
      <c r="A563" s="41" t="n"/>
    </row>
    <row r="564">
      <c r="A564" s="41" t="n"/>
    </row>
    <row r="565">
      <c r="A565" s="41" t="n"/>
    </row>
    <row r="566">
      <c r="A566" s="41" t="n"/>
    </row>
    <row r="567">
      <c r="A567" s="41" t="n"/>
    </row>
    <row r="568">
      <c r="A568" s="41" t="n"/>
    </row>
    <row r="569">
      <c r="A569" s="41" t="n"/>
    </row>
    <row r="570">
      <c r="A570" s="41" t="n"/>
    </row>
    <row r="571">
      <c r="A571" s="41" t="n"/>
    </row>
    <row r="572">
      <c r="A572" s="41" t="n"/>
    </row>
    <row r="573">
      <c r="A573" s="41" t="n"/>
    </row>
    <row r="574">
      <c r="A574" s="41" t="n"/>
    </row>
    <row r="575">
      <c r="A575" s="41" t="n"/>
    </row>
    <row r="576">
      <c r="A576" s="41" t="n"/>
    </row>
    <row r="577">
      <c r="A577" s="52" t="n"/>
    </row>
    <row r="578"/>
    <row r="579"/>
    <row r="580"/>
    <row r="581">
      <c r="A581" s="36" t="n"/>
    </row>
    <row r="582">
      <c r="A582" s="36" t="n"/>
    </row>
    <row r="583">
      <c r="A583" s="41" t="n"/>
    </row>
    <row r="584">
      <c r="A584" s="41" t="n"/>
    </row>
    <row r="585">
      <c r="A585" s="41" t="n"/>
    </row>
    <row r="586">
      <c r="A586" s="41" t="n"/>
    </row>
    <row r="587">
      <c r="A587" s="41" t="n"/>
    </row>
    <row r="588">
      <c r="A588" s="41" t="n"/>
    </row>
    <row r="589">
      <c r="A589" s="41" t="n"/>
    </row>
    <row r="590">
      <c r="A590" s="41" t="n"/>
    </row>
    <row r="591">
      <c r="A591" s="41" t="n"/>
    </row>
    <row r="592">
      <c r="A592" s="41" t="n"/>
    </row>
    <row r="593">
      <c r="A593" s="41" t="n"/>
    </row>
    <row r="594">
      <c r="A594" s="41" t="n"/>
    </row>
    <row r="595">
      <c r="A595" s="41" t="n"/>
    </row>
    <row r="596">
      <c r="A596" s="41" t="n"/>
    </row>
    <row r="597">
      <c r="A597" s="41" t="n"/>
    </row>
    <row r="598">
      <c r="A598" s="41" t="n"/>
    </row>
    <row r="599">
      <c r="A599" s="41" t="n"/>
    </row>
    <row r="600">
      <c r="A600" s="41" t="n"/>
    </row>
    <row r="601">
      <c r="A601" s="41" t="n"/>
    </row>
    <row r="602">
      <c r="A602" s="41" t="n"/>
    </row>
    <row r="603">
      <c r="A603" s="41" t="n"/>
    </row>
    <row r="604">
      <c r="A604" s="41" t="n"/>
    </row>
    <row r="605">
      <c r="A605" s="41" t="n"/>
    </row>
    <row r="606">
      <c r="A606" s="41" t="n"/>
    </row>
    <row r="607">
      <c r="A607" s="41" t="n"/>
    </row>
    <row r="608">
      <c r="A608" s="41" t="n"/>
    </row>
    <row r="609">
      <c r="A609" s="41" t="n"/>
    </row>
    <row r="610">
      <c r="A610" s="41" t="n"/>
    </row>
    <row r="611">
      <c r="A611" s="41" t="n"/>
    </row>
    <row r="612">
      <c r="A612" s="41" t="n"/>
    </row>
    <row r="613">
      <c r="A613" s="41" t="n"/>
    </row>
    <row r="614">
      <c r="A614" s="41" t="n"/>
    </row>
    <row r="615">
      <c r="A615" s="41" t="n"/>
    </row>
    <row r="616">
      <c r="A616" s="41" t="n"/>
    </row>
    <row r="617">
      <c r="A617" s="41" t="n"/>
    </row>
    <row r="618">
      <c r="A618" s="41" t="n"/>
    </row>
    <row r="619">
      <c r="A619" s="41" t="n"/>
    </row>
    <row r="620">
      <c r="A620" s="41" t="n"/>
    </row>
    <row r="621">
      <c r="A621" s="41" t="n"/>
    </row>
    <row r="622">
      <c r="A622" s="41" t="n"/>
    </row>
    <row r="623">
      <c r="A623" s="41" t="n"/>
    </row>
    <row r="624">
      <c r="A624" s="41" t="n"/>
    </row>
    <row r="625">
      <c r="A625" s="41" t="n"/>
    </row>
    <row r="626">
      <c r="A626" s="41" t="n"/>
    </row>
    <row r="627">
      <c r="A627" s="41" t="n"/>
    </row>
    <row r="628">
      <c r="A628" s="41" t="n"/>
    </row>
    <row r="629">
      <c r="A629" s="41" t="n"/>
    </row>
    <row r="630">
      <c r="A630" s="41" t="n"/>
    </row>
    <row r="631">
      <c r="A631" s="41" t="n"/>
    </row>
    <row r="632">
      <c r="A632" s="41" t="n"/>
    </row>
    <row r="633">
      <c r="A633" s="41" t="n"/>
    </row>
    <row r="634">
      <c r="A634" s="41" t="n"/>
    </row>
    <row r="635">
      <c r="A635" s="41" t="n"/>
    </row>
    <row r="636">
      <c r="A636" s="41" t="n"/>
    </row>
    <row r="637">
      <c r="A637" s="41" t="n"/>
    </row>
    <row r="638">
      <c r="A638" s="41" t="n"/>
    </row>
    <row r="639">
      <c r="A639" s="41" t="n"/>
    </row>
    <row r="640">
      <c r="A640" s="41" t="n"/>
    </row>
    <row r="641">
      <c r="A641" s="41" t="n"/>
    </row>
    <row r="642">
      <c r="A642" s="41" t="n"/>
    </row>
    <row r="643">
      <c r="A643" s="41" t="n"/>
    </row>
    <row r="644">
      <c r="A644" s="41" t="n"/>
    </row>
    <row r="645">
      <c r="A645" s="41" t="n"/>
    </row>
    <row r="646">
      <c r="A646" s="41" t="n"/>
    </row>
    <row r="647">
      <c r="A647" s="41" t="n"/>
    </row>
    <row r="648">
      <c r="A648" s="41" t="n"/>
    </row>
    <row r="649">
      <c r="A649" s="41" t="n"/>
    </row>
    <row r="650">
      <c r="A650" s="52" t="n"/>
    </row>
    <row r="651"/>
    <row r="652"/>
    <row r="653"/>
    <row r="654">
      <c r="A654" s="36" t="n"/>
    </row>
    <row r="655">
      <c r="A655" s="36" t="n"/>
    </row>
    <row r="656">
      <c r="A656" s="41" t="n"/>
    </row>
    <row r="657">
      <c r="A657" s="41" t="n"/>
    </row>
    <row r="658">
      <c r="A658" s="41" t="n"/>
    </row>
    <row r="659">
      <c r="A659" s="41" t="n"/>
    </row>
    <row r="660">
      <c r="A660" s="41" t="n"/>
    </row>
    <row r="661">
      <c r="A661" s="41" t="n"/>
    </row>
    <row r="662">
      <c r="A662" s="41" t="n"/>
    </row>
    <row r="663">
      <c r="A663" s="41" t="n"/>
    </row>
    <row r="664">
      <c r="A664" s="41" t="n"/>
    </row>
    <row r="665">
      <c r="A665" s="41" t="n"/>
    </row>
    <row r="666">
      <c r="A666" s="41" t="n"/>
    </row>
    <row r="667">
      <c r="A667" s="41" t="n"/>
    </row>
    <row r="668">
      <c r="A668" s="41" t="n"/>
    </row>
    <row r="669">
      <c r="A669" s="41" t="n"/>
    </row>
    <row r="670">
      <c r="A670" s="41" t="n"/>
    </row>
    <row r="671">
      <c r="A671" s="41" t="n"/>
    </row>
    <row r="672">
      <c r="A672" s="41" t="n"/>
    </row>
    <row r="673">
      <c r="A673" s="41" t="n"/>
    </row>
    <row r="674">
      <c r="A674" s="41" t="n"/>
    </row>
    <row r="675">
      <c r="A675" s="41" t="n"/>
    </row>
    <row r="676">
      <c r="A676" s="41" t="n"/>
    </row>
    <row r="677">
      <c r="A677" s="41" t="n"/>
    </row>
    <row r="678">
      <c r="A678" s="41" t="n"/>
    </row>
    <row r="679">
      <c r="A679" s="41" t="n"/>
    </row>
    <row r="680">
      <c r="A680" s="41" t="n"/>
    </row>
    <row r="681">
      <c r="A681" s="41" t="n"/>
    </row>
    <row r="682">
      <c r="A682" s="41" t="n"/>
    </row>
    <row r="683">
      <c r="A683" s="41" t="n"/>
    </row>
    <row r="684">
      <c r="A684" s="41" t="n"/>
    </row>
    <row r="685">
      <c r="A685" s="41" t="n"/>
    </row>
    <row r="686">
      <c r="A686" s="41" t="n"/>
    </row>
    <row r="687">
      <c r="A687" s="41" t="n"/>
    </row>
    <row r="688">
      <c r="A688" s="41" t="n"/>
    </row>
    <row r="689">
      <c r="A689" s="41" t="n"/>
    </row>
    <row r="690">
      <c r="A690" s="41" t="n"/>
    </row>
    <row r="691">
      <c r="A691" s="41" t="n"/>
    </row>
    <row r="692">
      <c r="A692" s="41" t="n"/>
    </row>
    <row r="693">
      <c r="A693" s="41" t="n"/>
    </row>
    <row r="694">
      <c r="A694" s="41" t="n"/>
    </row>
    <row r="695">
      <c r="A695" s="41" t="n"/>
    </row>
    <row r="696">
      <c r="A696" s="41" t="n"/>
    </row>
    <row r="697">
      <c r="A697" s="41" t="n"/>
    </row>
    <row r="698">
      <c r="A698" s="41" t="n"/>
    </row>
    <row r="699">
      <c r="A699" s="41" t="n"/>
    </row>
    <row r="700">
      <c r="A700" s="41" t="n"/>
    </row>
    <row r="701">
      <c r="A701" s="41" t="n"/>
    </row>
    <row r="702">
      <c r="A702" s="41" t="n"/>
    </row>
    <row r="703">
      <c r="A703" s="41" t="n"/>
    </row>
    <row r="704">
      <c r="A704" s="41" t="n"/>
    </row>
    <row r="705">
      <c r="A705" s="41" t="n"/>
    </row>
    <row r="706">
      <c r="A706" s="41" t="n"/>
    </row>
    <row r="707">
      <c r="A707" s="41" t="n"/>
    </row>
    <row r="708">
      <c r="A708" s="41" t="n"/>
    </row>
    <row r="709">
      <c r="A709" s="41" t="n"/>
    </row>
    <row r="710">
      <c r="A710" s="41" t="n"/>
    </row>
    <row r="711">
      <c r="A711" s="41" t="n"/>
    </row>
    <row r="712">
      <c r="A712" s="41" t="n"/>
    </row>
    <row r="713">
      <c r="A713" s="41" t="n"/>
    </row>
    <row r="714">
      <c r="A714" s="41" t="n"/>
    </row>
    <row r="715">
      <c r="A715" s="41" t="n"/>
    </row>
    <row r="716">
      <c r="A716" s="41" t="n"/>
    </row>
    <row r="717">
      <c r="A717" s="41" t="n"/>
    </row>
    <row r="718">
      <c r="A718" s="41" t="n"/>
    </row>
    <row r="719">
      <c r="A719" s="41" t="n"/>
    </row>
    <row r="720">
      <c r="A720" s="41" t="n"/>
    </row>
    <row r="721">
      <c r="A721" s="41" t="n"/>
    </row>
    <row r="722">
      <c r="A722" s="41" t="n"/>
    </row>
    <row r="723">
      <c r="A723" s="52" t="n"/>
    </row>
    <row r="724"/>
    <row r="725"/>
    <row r="726"/>
    <row r="727">
      <c r="A727" s="36" t="n"/>
    </row>
    <row r="728">
      <c r="A728" s="36" t="n"/>
    </row>
    <row r="729">
      <c r="A729" s="41" t="n"/>
    </row>
    <row r="730">
      <c r="A730" s="41" t="n"/>
    </row>
    <row r="731">
      <c r="A731" s="41" t="n"/>
    </row>
    <row r="732">
      <c r="A732" s="41" t="n"/>
    </row>
    <row r="733">
      <c r="A733" s="41" t="n"/>
    </row>
    <row r="734">
      <c r="A734" s="41" t="n"/>
    </row>
    <row r="735">
      <c r="A735" s="41" t="n"/>
    </row>
    <row r="736">
      <c r="A736" s="41" t="n"/>
    </row>
    <row r="737">
      <c r="A737" s="41" t="n"/>
    </row>
    <row r="738">
      <c r="A738" s="41" t="n"/>
    </row>
    <row r="739">
      <c r="A739" s="41" t="n"/>
    </row>
    <row r="740">
      <c r="A740" s="41" t="n"/>
    </row>
    <row r="741">
      <c r="A741" s="41" t="n"/>
    </row>
    <row r="742">
      <c r="A742" s="41" t="n"/>
    </row>
    <row r="743">
      <c r="A743" s="41" t="n"/>
    </row>
    <row r="744">
      <c r="A744" s="41" t="n"/>
    </row>
    <row r="745">
      <c r="A745" s="41" t="n"/>
    </row>
    <row r="746">
      <c r="A746" s="41" t="n"/>
    </row>
    <row r="747">
      <c r="A747" s="41" t="n"/>
    </row>
    <row r="748">
      <c r="A748" s="41" t="n"/>
    </row>
    <row r="749">
      <c r="A749" s="41" t="n"/>
    </row>
    <row r="750">
      <c r="A750" s="41" t="n"/>
    </row>
    <row r="751">
      <c r="A751" s="41" t="n"/>
    </row>
    <row r="752">
      <c r="A752" s="41" t="n"/>
    </row>
    <row r="753">
      <c r="A753" s="41" t="n"/>
    </row>
    <row r="754">
      <c r="A754" s="41" t="n"/>
    </row>
    <row r="755">
      <c r="A755" s="41" t="n"/>
    </row>
    <row r="756">
      <c r="A756" s="41" t="n"/>
    </row>
    <row r="757">
      <c r="A757" s="41" t="n"/>
    </row>
    <row r="758">
      <c r="A758" s="41" t="n"/>
    </row>
    <row r="759">
      <c r="A759" s="41" t="n"/>
    </row>
    <row r="760">
      <c r="A760" s="41" t="n"/>
    </row>
    <row r="761">
      <c r="A761" s="41" t="n"/>
    </row>
    <row r="762">
      <c r="A762" s="41" t="n"/>
    </row>
    <row r="763">
      <c r="A763" s="41" t="n"/>
    </row>
    <row r="764">
      <c r="A764" s="41" t="n"/>
    </row>
    <row r="765">
      <c r="A765" s="41" t="n"/>
    </row>
    <row r="766">
      <c r="A766" s="41" t="n"/>
    </row>
    <row r="767">
      <c r="A767" s="41" t="n"/>
    </row>
    <row r="768">
      <c r="A768" s="41" t="n"/>
    </row>
    <row r="769">
      <c r="A769" s="41" t="n"/>
    </row>
    <row r="770">
      <c r="A770" s="41" t="n"/>
    </row>
    <row r="771">
      <c r="A771" s="41" t="n"/>
    </row>
    <row r="772">
      <c r="A772" s="41" t="n"/>
    </row>
    <row r="773">
      <c r="A773" s="41" t="n"/>
    </row>
    <row r="774">
      <c r="A774" s="41" t="n"/>
    </row>
    <row r="775">
      <c r="A775" s="41" t="n"/>
    </row>
    <row r="776">
      <c r="A776" s="41" t="n"/>
    </row>
    <row r="777">
      <c r="A777" s="41" t="n"/>
    </row>
    <row r="778">
      <c r="A778" s="41" t="n"/>
    </row>
    <row r="779">
      <c r="A779" s="41" t="n"/>
    </row>
    <row r="780">
      <c r="A780" s="41" t="n"/>
    </row>
    <row r="781">
      <c r="A781" s="41" t="n"/>
    </row>
    <row r="782">
      <c r="A782" s="41" t="n"/>
    </row>
    <row r="783">
      <c r="A783" s="41" t="n"/>
    </row>
    <row r="784">
      <c r="A784" s="41" t="n"/>
    </row>
    <row r="785">
      <c r="A785" s="41" t="n"/>
    </row>
    <row r="786">
      <c r="A786" s="41" t="n"/>
    </row>
    <row r="787">
      <c r="A787" s="41" t="n"/>
    </row>
    <row r="788">
      <c r="A788" s="41" t="n"/>
    </row>
    <row r="789">
      <c r="A789" s="41" t="n"/>
    </row>
    <row r="790">
      <c r="A790" s="41" t="n"/>
    </row>
    <row r="791">
      <c r="A791" s="41" t="n"/>
    </row>
    <row r="792">
      <c r="A792" s="41" t="n"/>
    </row>
    <row r="793">
      <c r="A793" s="41" t="n"/>
    </row>
    <row r="794">
      <c r="A794" s="41" t="n"/>
    </row>
    <row r="795">
      <c r="A795" s="41" t="n"/>
    </row>
    <row r="796">
      <c r="A796" s="52" t="n"/>
    </row>
    <row r="797"/>
    <row r="798"/>
    <row r="799"/>
    <row r="800">
      <c r="A800" s="36" t="n"/>
    </row>
    <row r="801">
      <c r="A801" s="36" t="n"/>
    </row>
    <row r="802">
      <c r="A802" s="41" t="n"/>
    </row>
    <row r="803">
      <c r="A803" s="41" t="n"/>
    </row>
    <row r="804">
      <c r="A804" s="41" t="n"/>
    </row>
    <row r="805">
      <c r="A805" s="41" t="n"/>
    </row>
    <row r="806">
      <c r="A806" s="41" t="n"/>
    </row>
    <row r="807">
      <c r="A807" s="41" t="n"/>
    </row>
    <row r="808">
      <c r="A808" s="41" t="n"/>
    </row>
    <row r="809">
      <c r="A809" s="41" t="n"/>
    </row>
    <row r="810">
      <c r="A810" s="41" t="n"/>
    </row>
    <row r="811">
      <c r="A811" s="41" t="n"/>
    </row>
    <row r="812">
      <c r="A812" s="41" t="n"/>
    </row>
    <row r="813">
      <c r="A813" s="41" t="n"/>
    </row>
    <row r="814">
      <c r="A814" s="41" t="n"/>
    </row>
    <row r="815">
      <c r="A815" s="41" t="n"/>
    </row>
    <row r="816">
      <c r="A816" s="41" t="n"/>
    </row>
    <row r="817">
      <c r="A817" s="41" t="n"/>
    </row>
    <row r="818">
      <c r="A818" s="41" t="n"/>
    </row>
    <row r="819">
      <c r="A819" s="41" t="n"/>
    </row>
    <row r="820">
      <c r="A820" s="41" t="n"/>
    </row>
    <row r="821">
      <c r="A821" s="41" t="n"/>
    </row>
    <row r="822">
      <c r="A822" s="41" t="n"/>
    </row>
    <row r="823">
      <c r="A823" s="41" t="n"/>
    </row>
    <row r="824">
      <c r="A824" s="41" t="n"/>
    </row>
    <row r="825">
      <c r="A825" s="41" t="n"/>
    </row>
    <row r="826">
      <c r="A826" s="41" t="n"/>
    </row>
    <row r="827">
      <c r="A827" s="41" t="n"/>
    </row>
    <row r="828">
      <c r="A828" s="41" t="n"/>
    </row>
    <row r="829">
      <c r="A829" s="41" t="n"/>
    </row>
    <row r="830">
      <c r="A830" s="41" t="n"/>
    </row>
    <row r="831">
      <c r="A831" s="41" t="n"/>
    </row>
    <row r="832">
      <c r="A832" s="41" t="n"/>
    </row>
    <row r="833">
      <c r="A833" s="41" t="n"/>
    </row>
    <row r="834">
      <c r="A834" s="41" t="n"/>
    </row>
    <row r="835">
      <c r="A835" s="41" t="n"/>
    </row>
    <row r="836">
      <c r="A836" s="41" t="n"/>
    </row>
    <row r="837">
      <c r="A837" s="41" t="n"/>
    </row>
    <row r="838">
      <c r="A838" s="41" t="n"/>
    </row>
    <row r="839">
      <c r="A839" s="41" t="n"/>
    </row>
    <row r="840">
      <c r="A840" s="41" t="n"/>
    </row>
    <row r="841">
      <c r="A841" s="41" t="n"/>
    </row>
    <row r="842">
      <c r="A842" s="41" t="n"/>
    </row>
    <row r="843">
      <c r="A843" s="41" t="n"/>
    </row>
    <row r="844">
      <c r="A844" s="41" t="n"/>
    </row>
    <row r="845">
      <c r="A845" s="41" t="n"/>
    </row>
    <row r="846">
      <c r="A846" s="41" t="n"/>
    </row>
    <row r="847">
      <c r="A847" s="41" t="n"/>
    </row>
    <row r="848">
      <c r="A848" s="41" t="n"/>
    </row>
    <row r="849">
      <c r="A849" s="41" t="n"/>
    </row>
    <row r="850">
      <c r="A850" s="41" t="n"/>
    </row>
    <row r="851">
      <c r="A851" s="41" t="n"/>
    </row>
    <row r="852">
      <c r="A852" s="41" t="n"/>
    </row>
    <row r="853">
      <c r="A853" s="41" t="n"/>
    </row>
    <row r="854">
      <c r="A854" s="41" t="n"/>
    </row>
    <row r="855">
      <c r="A855" s="41" t="n"/>
    </row>
    <row r="856">
      <c r="A856" s="41" t="n"/>
    </row>
    <row r="857">
      <c r="A857" s="41" t="n"/>
    </row>
    <row r="858">
      <c r="A858" s="41" t="n"/>
    </row>
    <row r="859">
      <c r="A859" s="41" t="n"/>
    </row>
    <row r="860">
      <c r="A860" s="41" t="n"/>
    </row>
    <row r="861">
      <c r="A861" s="41" t="n"/>
    </row>
    <row r="862">
      <c r="A862" s="41" t="n"/>
    </row>
    <row r="863">
      <c r="A863" s="41" t="n"/>
    </row>
    <row r="864">
      <c r="A864" s="41" t="n"/>
    </row>
    <row r="865">
      <c r="A865" s="41" t="n"/>
    </row>
    <row r="866">
      <c r="A866" s="41" t="n"/>
    </row>
    <row r="867">
      <c r="A867" s="41" t="n"/>
    </row>
    <row r="868">
      <c r="A868" s="41" t="n"/>
    </row>
    <row r="869">
      <c r="A869" s="52" t="n"/>
    </row>
    <row r="870"/>
    <row r="871"/>
    <row r="872"/>
    <row r="873">
      <c r="A873" s="36" t="n"/>
    </row>
    <row r="874">
      <c r="A874" s="36" t="n"/>
    </row>
    <row r="875">
      <c r="A875" s="41" t="n"/>
    </row>
    <row r="876">
      <c r="A876" s="41" t="n"/>
    </row>
    <row r="877">
      <c r="A877" s="41" t="n"/>
    </row>
    <row r="878">
      <c r="A878" s="41" t="n"/>
    </row>
    <row r="879">
      <c r="A879" s="41" t="n"/>
    </row>
    <row r="880">
      <c r="A880" s="41" t="n"/>
    </row>
    <row r="881">
      <c r="A881" s="41" t="n"/>
    </row>
    <row r="882">
      <c r="A882" s="41" t="n"/>
    </row>
    <row r="883">
      <c r="A883" s="41" t="n"/>
    </row>
    <row r="884">
      <c r="A884" s="41" t="n"/>
    </row>
    <row r="885">
      <c r="A885" s="41" t="n"/>
    </row>
    <row r="886">
      <c r="A886" s="41" t="n"/>
    </row>
    <row r="887">
      <c r="A887" s="41" t="n"/>
    </row>
    <row r="888">
      <c r="A888" s="41" t="n"/>
    </row>
    <row r="889">
      <c r="A889" s="41" t="n"/>
    </row>
    <row r="890">
      <c r="A890" s="41" t="n"/>
    </row>
    <row r="891">
      <c r="A891" s="41" t="n"/>
    </row>
    <row r="892">
      <c r="A892" s="41" t="n"/>
    </row>
    <row r="893">
      <c r="A893" s="41" t="n"/>
    </row>
    <row r="894">
      <c r="A894" s="41" t="n"/>
    </row>
    <row r="895">
      <c r="A895" s="41" t="n"/>
    </row>
    <row r="896">
      <c r="A896" s="41" t="n"/>
    </row>
    <row r="897">
      <c r="A897" s="41" t="n"/>
    </row>
    <row r="898">
      <c r="A898" s="41" t="n"/>
    </row>
    <row r="899">
      <c r="A899" s="41" t="n"/>
    </row>
    <row r="900">
      <c r="A900" s="41" t="n"/>
    </row>
    <row r="901">
      <c r="A901" s="41" t="n"/>
    </row>
    <row r="902">
      <c r="A902" s="41" t="n"/>
    </row>
    <row r="903">
      <c r="A903" s="41" t="n"/>
    </row>
    <row r="904">
      <c r="A904" s="41" t="n"/>
    </row>
    <row r="905">
      <c r="A905" s="41" t="n"/>
    </row>
    <row r="906">
      <c r="A906" s="41" t="n"/>
    </row>
    <row r="907">
      <c r="A907" s="41" t="n"/>
    </row>
    <row r="908">
      <c r="A908" s="41" t="n"/>
    </row>
    <row r="909">
      <c r="A909" s="41" t="n"/>
    </row>
    <row r="910">
      <c r="A910" s="41" t="n"/>
    </row>
    <row r="911">
      <c r="A911" s="41" t="n"/>
    </row>
    <row r="912">
      <c r="A912" s="41" t="n"/>
    </row>
    <row r="913">
      <c r="A913" s="41" t="n"/>
    </row>
    <row r="914">
      <c r="A914" s="41" t="n"/>
    </row>
    <row r="915">
      <c r="A915" s="41" t="n"/>
    </row>
    <row r="916">
      <c r="A916" s="41" t="n"/>
    </row>
    <row r="917">
      <c r="A917" s="41" t="n"/>
    </row>
    <row r="918">
      <c r="A918" s="41" t="n"/>
    </row>
    <row r="919">
      <c r="A919" s="41" t="n"/>
    </row>
    <row r="920">
      <c r="A920" s="41" t="n"/>
    </row>
    <row r="921">
      <c r="A921" s="41" t="n"/>
    </row>
    <row r="922">
      <c r="A922" s="41" t="n"/>
    </row>
    <row r="923">
      <c r="A923" s="41" t="n"/>
    </row>
    <row r="924">
      <c r="A924" s="41" t="n"/>
    </row>
    <row r="925">
      <c r="A925" s="41" t="n"/>
    </row>
    <row r="926">
      <c r="A926" s="41" t="n"/>
    </row>
    <row r="927">
      <c r="A927" s="41" t="n"/>
    </row>
    <row r="928">
      <c r="A928" s="41" t="n"/>
    </row>
    <row r="929">
      <c r="A929" s="41" t="n"/>
    </row>
    <row r="930">
      <c r="A930" s="41" t="n"/>
    </row>
    <row r="931">
      <c r="A931" s="41" t="n"/>
    </row>
    <row r="932">
      <c r="A932" s="41" t="n"/>
    </row>
    <row r="933">
      <c r="A933" s="41" t="n"/>
    </row>
    <row r="934">
      <c r="A934" s="41" t="n"/>
    </row>
    <row r="935">
      <c r="A935" s="41" t="n"/>
    </row>
    <row r="936">
      <c r="A936" s="41" t="n"/>
    </row>
    <row r="937">
      <c r="A937" s="41" t="n"/>
    </row>
    <row r="938">
      <c r="A938" s="41" t="n"/>
    </row>
    <row r="939">
      <c r="A939" s="41" t="n"/>
    </row>
    <row r="940">
      <c r="A940" s="41" t="n"/>
    </row>
    <row r="941">
      <c r="A941" s="41" t="n"/>
    </row>
    <row r="942">
      <c r="A942" s="5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0.5" customWidth="1" style="251" min="2" max="2"/>
    <col width="18.6640625" customWidth="1" style="251" min="3" max="9"/>
    <col width="25" customWidth="1" style="251" min="10" max="10"/>
    <col width="18.6640625" customWidth="1" style="251" min="11" max="18"/>
    <col width="44.6640625" customWidth="1" style="251" min="19" max="19"/>
    <col width="13.5" customWidth="1" style="251" min="20" max="20"/>
  </cols>
  <sheetData>
    <row r="1" ht="18.75" customHeight="1" s="251">
      <c r="A1" s="36" t="n">
        <v>1</v>
      </c>
      <c r="B1" s="269" t="inlineStr">
        <is>
          <t>MAY 2026 EXPENSES</t>
        </is>
      </c>
      <c r="C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M1" s="267" t="n"/>
      <c r="N1" s="267" t="n"/>
      <c r="O1" s="267" t="n"/>
      <c r="P1" s="267" t="n"/>
      <c r="Q1" s="267" t="n"/>
      <c r="R1" s="267" t="n"/>
      <c r="S1" s="267" t="n"/>
      <c r="T1" s="268" t="n"/>
    </row>
    <row r="2" ht="58.5" customHeight="1" s="251">
      <c r="A2" s="36" t="inlineStr">
        <is>
          <t>FLAT #</t>
        </is>
      </c>
      <c r="B2" s="41" t="n">
        <v>1</v>
      </c>
      <c r="C2" s="36" t="inlineStr">
        <is>
          <t>WATER USED IN LTRS</t>
        </is>
      </c>
      <c r="D2" s="36" t="inlineStr">
        <is>
          <t>COMMON AREA EQUALLY DEVIDED</t>
        </is>
      </c>
      <c r="E2" s="36" t="inlineStr">
        <is>
          <t>TOTAL FRESH WATER CONSUMED</t>
        </is>
      </c>
      <c r="F2" s="36" t="inlineStr">
        <is>
          <t>%OF TOTAL USED</t>
        </is>
      </c>
      <c r="G2" s="36" t="inlineStr">
        <is>
          <t>WATER EXPENSE SHARING BY %</t>
        </is>
      </c>
      <c r="H2" s="36" t="inlineStr">
        <is>
          <t>#METERS</t>
        </is>
      </c>
      <c r="I2" s="36" t="inlineStr">
        <is>
          <t>METER RENT</t>
        </is>
      </c>
      <c r="J2" s="36" t="inlineStr">
        <is>
          <t>VARIABLE EXPENSE = COMMON AREA METER RENT + WATER EXPENSE+ FLAT METER RENT</t>
        </is>
      </c>
      <c r="K2" s="36" t="inlineStr">
        <is>
          <t>FIXED EXPENSE SHARE</t>
        </is>
      </c>
      <c r="L2" s="36" t="inlineStr">
        <is>
          <t>PARKING FEE</t>
        </is>
      </c>
      <c r="M2" s="36" t="inlineStr">
        <is>
          <t>CLUB HOUSE BOOKING</t>
        </is>
      </c>
      <c r="N2" s="36" t="inlineStr">
        <is>
          <t>SHIFTING FEE</t>
        </is>
      </c>
      <c r="O2" s="36" t="inlineStr">
        <is>
          <t>GYM USAGE FEE</t>
        </is>
      </c>
      <c r="P2" s="36" t="inlineStr">
        <is>
          <t>POLYCARBONATE SHEET REPAIR</t>
        </is>
      </c>
      <c r="Q2" s="53" t="n"/>
      <c r="R2" s="53" t="inlineStr">
        <is>
          <t>TOTAL EXPENSE TO BE PAID</t>
        </is>
      </c>
      <c r="S2" s="53" t="n"/>
      <c r="T2" s="53" t="n"/>
    </row>
    <row r="3" ht="12.75" customHeight="1" s="251">
      <c r="A3" s="41" t="inlineStr">
        <is>
          <t>CH</t>
        </is>
      </c>
      <c r="B3" s="54" t="inlineStr">
        <is>
          <t>MPFOWA</t>
        </is>
      </c>
      <c r="C3" s="9" t="n">
        <v>0</v>
      </c>
      <c r="D3" s="55" t="n">
        <v>0</v>
      </c>
      <c r="E3" s="17" t="n"/>
      <c r="F3" s="17" t="n"/>
      <c r="G3" s="55" t="n"/>
      <c r="H3" s="55" t="n">
        <v>1</v>
      </c>
      <c r="I3" s="55">
        <f>T7</f>
        <v/>
      </c>
      <c r="J3" s="55" t="n"/>
      <c r="K3" s="55" t="n"/>
      <c r="L3" s="52" t="n"/>
      <c r="M3" s="55" t="n"/>
      <c r="N3" s="55" t="n"/>
      <c r="O3" s="55" t="n"/>
      <c r="P3" s="56" t="n"/>
      <c r="Q3" s="56" t="n"/>
      <c r="R3" s="56" t="n"/>
      <c r="S3" s="33" t="n"/>
      <c r="T3" s="17" t="n"/>
    </row>
    <row r="4" ht="12.75" customHeight="1" s="251">
      <c r="A4" s="41" t="inlineStr">
        <is>
          <t>GYM</t>
        </is>
      </c>
      <c r="B4" s="54" t="inlineStr">
        <is>
          <t>MPFOWA</t>
        </is>
      </c>
      <c r="C4" s="55" t="n">
        <v>0</v>
      </c>
      <c r="D4" s="55" t="n">
        <v>0</v>
      </c>
      <c r="E4" s="55" t="n"/>
      <c r="F4" s="55" t="n"/>
      <c r="G4" s="55" t="n"/>
      <c r="H4" s="55" t="n">
        <v>1</v>
      </c>
      <c r="I4" s="55">
        <f>T7</f>
        <v/>
      </c>
      <c r="J4" s="55" t="n"/>
      <c r="K4" s="55" t="n"/>
      <c r="L4" s="57" t="n"/>
      <c r="M4" s="55" t="n"/>
      <c r="N4" s="55" t="n"/>
      <c r="O4" s="55" t="n"/>
      <c r="P4" s="56" t="n"/>
      <c r="Q4" s="56" t="n"/>
      <c r="R4" s="56" t="n"/>
      <c r="S4" s="58" t="inlineStr">
        <is>
          <t>TOTAL FIXED EXPENSE</t>
        </is>
      </c>
      <c r="T4" s="59">
        <f>'ANNUAL-EXPENSE-DETAILS'!BF4</f>
        <v/>
      </c>
    </row>
    <row r="5" ht="12.75" customHeight="1" s="251">
      <c r="A5" s="41" t="inlineStr">
        <is>
          <t>BSMT</t>
        </is>
      </c>
      <c r="B5" s="54" t="inlineStr">
        <is>
          <t>MPFOWA</t>
        </is>
      </c>
      <c r="C5" s="9" t="n">
        <v>0</v>
      </c>
      <c r="D5" s="55" t="n">
        <v>0</v>
      </c>
      <c r="E5" s="55" t="n"/>
      <c r="F5" s="55" t="n"/>
      <c r="G5" s="55" t="n"/>
      <c r="H5" s="55" t="n">
        <v>1</v>
      </c>
      <c r="I5" s="55">
        <f>T7</f>
        <v/>
      </c>
      <c r="J5" s="55" t="n"/>
      <c r="K5" s="55" t="n"/>
      <c r="L5" s="57" t="n"/>
      <c r="M5" s="55" t="n"/>
      <c r="N5" s="55" t="n"/>
      <c r="O5" s="55" t="n"/>
      <c r="P5" s="56" t="n"/>
      <c r="Q5" s="56" t="n"/>
      <c r="R5" s="56" t="n"/>
      <c r="S5" s="58" t="inlineStr">
        <is>
          <t>TOTAL WATER EXPENSE</t>
        </is>
      </c>
      <c r="T5" s="59">
        <f>'ANNUAL-EXPENSE-DETAILS'!BE4</f>
        <v/>
      </c>
    </row>
    <row r="6" ht="12.75" customHeight="1" s="251">
      <c r="A6" s="41" t="inlineStr">
        <is>
          <t>F1</t>
        </is>
      </c>
      <c r="B6" s="13" t="inlineStr">
        <is>
          <t>Shailesh Srivastava / Azeem Nawaz</t>
        </is>
      </c>
      <c r="C6" s="9" t="n">
        <v>0</v>
      </c>
      <c r="D6" s="55">
        <f>SUM($C$3:$C$5)/64</f>
        <v/>
      </c>
      <c r="E6" s="55">
        <f>C6+D6</f>
        <v/>
      </c>
      <c r="F6" s="55">
        <f>IF($C$70=0, 0, E6/$C$70)</f>
        <v/>
      </c>
      <c r="G6" s="55">
        <f>F6*$T$5</f>
        <v/>
      </c>
      <c r="H6" s="41" t="n">
        <v>3</v>
      </c>
      <c r="I6" s="55">
        <f>$T$7*H6</f>
        <v/>
      </c>
      <c r="J6" s="55">
        <f>G6+$T$9+I6</f>
        <v/>
      </c>
      <c r="K6" s="55">
        <f>$T$4/64</f>
        <v/>
      </c>
      <c r="L6" s="14" t="n">
        <v>0</v>
      </c>
      <c r="M6" s="55" t="n">
        <v>0</v>
      </c>
      <c r="N6" s="55" t="n">
        <v>0</v>
      </c>
      <c r="O6" s="55" t="n">
        <v>0</v>
      </c>
      <c r="P6" s="55" t="n"/>
      <c r="Q6" s="56" t="n"/>
      <c r="R6" s="56">
        <f>(SUM(J6:P6)*$B$2)</f>
        <v/>
      </c>
      <c r="S6" s="60" t="n"/>
      <c r="T6" s="17" t="n"/>
    </row>
    <row r="7" ht="12.75" customHeight="1" s="251">
      <c r="A7" s="41" t="inlineStr">
        <is>
          <t>F2</t>
        </is>
      </c>
      <c r="B7" s="13" t="inlineStr">
        <is>
          <t>Shanthanu</t>
        </is>
      </c>
      <c r="C7" s="9" t="n">
        <v>0</v>
      </c>
      <c r="D7" s="55">
        <f>SUM($C$3:$C$5)/64</f>
        <v/>
      </c>
      <c r="E7" s="55">
        <f>C7+D7</f>
        <v/>
      </c>
      <c r="F7" s="55">
        <f>IF($C$70=0, 0, E7/$C$70)</f>
        <v/>
      </c>
      <c r="G7" s="55">
        <f>F7*$T$5</f>
        <v/>
      </c>
      <c r="H7" s="41" t="n">
        <v>4</v>
      </c>
      <c r="I7" s="55">
        <f>$T$7*H7</f>
        <v/>
      </c>
      <c r="J7" s="55">
        <f>G7+$T$9+I7</f>
        <v/>
      </c>
      <c r="K7" s="55">
        <f>$T$4/64</f>
        <v/>
      </c>
      <c r="L7" s="7" t="n">
        <v>0</v>
      </c>
      <c r="M7" s="55" t="n">
        <v>0</v>
      </c>
      <c r="N7" s="55" t="n">
        <v>0</v>
      </c>
      <c r="O7" s="55" t="n">
        <v>0</v>
      </c>
      <c r="P7" s="55" t="n"/>
      <c r="Q7" s="56" t="n"/>
      <c r="R7" s="56">
        <f>(SUM(J7:P7)*$B$2)</f>
        <v/>
      </c>
      <c r="S7" s="60" t="inlineStr">
        <is>
          <t>RENT PER METER</t>
        </is>
      </c>
      <c r="T7" s="17" t="n">
        <v>117.811659</v>
      </c>
    </row>
    <row r="8" ht="12.75" customHeight="1" s="251">
      <c r="A8" s="41" t="inlineStr">
        <is>
          <t>F3</t>
        </is>
      </c>
      <c r="B8" s="13" t="inlineStr">
        <is>
          <t>Samrat Kar</t>
        </is>
      </c>
      <c r="C8" s="9" t="n">
        <v>0</v>
      </c>
      <c r="D8" s="55">
        <f>SUM($C$3:$C$5)/64</f>
        <v/>
      </c>
      <c r="E8" s="55">
        <f>C8+D8</f>
        <v/>
      </c>
      <c r="F8" s="55">
        <f>IF($C$70=0, 0, E8/$C$70)</f>
        <v/>
      </c>
      <c r="G8" s="55">
        <f>F8*$T$5</f>
        <v/>
      </c>
      <c r="H8" s="41" t="n">
        <v>4</v>
      </c>
      <c r="I8" s="55">
        <f>$T$7*H8</f>
        <v/>
      </c>
      <c r="J8" s="55">
        <f>G8+$T$9+I8</f>
        <v/>
      </c>
      <c r="K8" s="55">
        <f>$T$4/64</f>
        <v/>
      </c>
      <c r="L8" s="7" t="n">
        <v>0</v>
      </c>
      <c r="M8" s="55" t="n">
        <v>0</v>
      </c>
      <c r="N8" s="55" t="n">
        <v>0</v>
      </c>
      <c r="O8" s="55" t="n">
        <v>0</v>
      </c>
      <c r="P8" s="55" t="n"/>
      <c r="Q8" s="56" t="n"/>
      <c r="R8" s="56">
        <f>(SUM(J8:P8)*$B$2)</f>
        <v/>
      </c>
      <c r="S8" s="60" t="inlineStr">
        <is>
          <t>COMMON AREA METER RENT</t>
        </is>
      </c>
      <c r="T8" s="17">
        <f>$T$7*3</f>
        <v/>
      </c>
    </row>
    <row r="9" ht="12.75" customHeight="1" s="251">
      <c r="A9" s="41" t="inlineStr">
        <is>
          <t>F4</t>
        </is>
      </c>
      <c r="B9" s="13" t="inlineStr">
        <is>
          <t>Renu R</t>
        </is>
      </c>
      <c r="C9" s="9" t="n">
        <v>0</v>
      </c>
      <c r="D9" s="55">
        <f>SUM($C$3:$C$5)/64</f>
        <v/>
      </c>
      <c r="E9" s="55">
        <f>C9+D9</f>
        <v/>
      </c>
      <c r="F9" s="55">
        <f>IF($C$70=0, 0, E9/$C$70)</f>
        <v/>
      </c>
      <c r="G9" s="55">
        <f>F9*$T$5</f>
        <v/>
      </c>
      <c r="H9" s="41" t="n">
        <v>4</v>
      </c>
      <c r="I9" s="55">
        <f>$T$7*H9</f>
        <v/>
      </c>
      <c r="J9" s="55">
        <f>G9+$T$9+I9</f>
        <v/>
      </c>
      <c r="K9" s="55">
        <f>$T$4/64</f>
        <v/>
      </c>
      <c r="L9" s="7" t="n">
        <v>0</v>
      </c>
      <c r="M9" s="55" t="n">
        <v>0</v>
      </c>
      <c r="N9" s="55" t="n">
        <v>0</v>
      </c>
      <c r="O9" s="55" t="n">
        <v>0</v>
      </c>
      <c r="P9" s="55" t="n"/>
      <c r="Q9" s="56" t="n"/>
      <c r="R9" s="56">
        <f>(SUM(J9:P9)*$B$2)</f>
        <v/>
      </c>
      <c r="S9" s="58" t="inlineStr">
        <is>
          <t>COMMON AREA METER RENT/FLAT</t>
        </is>
      </c>
      <c r="T9" s="59">
        <f>T8/64</f>
        <v/>
      </c>
    </row>
    <row r="10" ht="12.75" customHeight="1" s="251">
      <c r="A10" s="41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55">
        <f>SUM($C$3:$C$5)/64</f>
        <v/>
      </c>
      <c r="E10" s="55">
        <f>C10+D10</f>
        <v/>
      </c>
      <c r="F10" s="55">
        <f>IF($C$70=0, 0, E10/$C$70)</f>
        <v/>
      </c>
      <c r="G10" s="55">
        <f>F10*$T$5</f>
        <v/>
      </c>
      <c r="H10" s="41" t="n">
        <v>3</v>
      </c>
      <c r="I10" s="55">
        <f>$T$7*H10</f>
        <v/>
      </c>
      <c r="J10" s="55">
        <f>G10+$T$9+I10</f>
        <v/>
      </c>
      <c r="K10" s="55">
        <f>$T$4/64</f>
        <v/>
      </c>
      <c r="L10" s="7" t="n">
        <v>0</v>
      </c>
      <c r="M10" s="55" t="n">
        <v>0</v>
      </c>
      <c r="N10" s="55" t="n">
        <v>0</v>
      </c>
      <c r="O10" s="55" t="n">
        <v>0</v>
      </c>
      <c r="P10" s="55" t="n"/>
      <c r="Q10" s="56" t="n"/>
      <c r="R10" s="56">
        <f>(SUM(J10:P10)*$B$2)</f>
        <v/>
      </c>
      <c r="S10" s="33" t="n"/>
      <c r="T10" s="33" t="n"/>
    </row>
    <row r="11" ht="12.75" customHeight="1" s="251">
      <c r="A11" s="41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55">
        <f>SUM($C$3:$C$5)/64</f>
        <v/>
      </c>
      <c r="E11" s="55">
        <f>C11+D11</f>
        <v/>
      </c>
      <c r="F11" s="55">
        <f>IF($C$70=0, 0, E11/$C$70)</f>
        <v/>
      </c>
      <c r="G11" s="55">
        <f>F11*$T$5</f>
        <v/>
      </c>
      <c r="H11" s="41" t="n">
        <v>3</v>
      </c>
      <c r="I11" s="55">
        <f>$T$7*H11</f>
        <v/>
      </c>
      <c r="J11" s="55">
        <f>G11+$T$9+I11</f>
        <v/>
      </c>
      <c r="K11" s="55">
        <f>$T$4/64</f>
        <v/>
      </c>
      <c r="L11" s="7" t="n">
        <v>0</v>
      </c>
      <c r="M11" s="55" t="n">
        <v>0</v>
      </c>
      <c r="N11" s="55" t="n">
        <v>0</v>
      </c>
      <c r="O11" s="55" t="n">
        <v>0</v>
      </c>
      <c r="P11" s="55" t="n"/>
      <c r="Q11" s="56" t="n"/>
      <c r="R11" s="56">
        <f>(SUM(J11:P11)*$B$2)</f>
        <v/>
      </c>
      <c r="S11" s="33" t="n"/>
      <c r="T11" s="33" t="n"/>
    </row>
    <row r="12" ht="12.75" customHeight="1" s="251">
      <c r="A12" s="41" t="inlineStr">
        <is>
          <t>F7</t>
        </is>
      </c>
      <c r="B12" s="13" t="inlineStr">
        <is>
          <t>Vimal NK</t>
        </is>
      </c>
      <c r="C12" s="9" t="n">
        <v>0</v>
      </c>
      <c r="D12" s="55">
        <f>SUM($C$3:$C$5)/64</f>
        <v/>
      </c>
      <c r="E12" s="55">
        <f>C12+D12</f>
        <v/>
      </c>
      <c r="F12" s="55">
        <f>IF($C$70=0, 0, E12/$C$70)</f>
        <v/>
      </c>
      <c r="G12" s="55">
        <f>F12*$T$5</f>
        <v/>
      </c>
      <c r="H12" s="41" t="n">
        <v>3</v>
      </c>
      <c r="I12" s="55">
        <f>$T$7*H12</f>
        <v/>
      </c>
      <c r="J12" s="55">
        <f>G12+$T$9+I12</f>
        <v/>
      </c>
      <c r="K12" s="55">
        <f>$T$4/64</f>
        <v/>
      </c>
      <c r="L12" s="7" t="n">
        <v>0</v>
      </c>
      <c r="M12" s="55" t="n">
        <v>0</v>
      </c>
      <c r="N12" s="55" t="n">
        <v>0</v>
      </c>
      <c r="O12" s="55" t="n">
        <v>0</v>
      </c>
      <c r="P12" s="55" t="n"/>
      <c r="Q12" s="56" t="n"/>
      <c r="R12" s="56">
        <f>(SUM(J12:P12)*$B$2)</f>
        <v/>
      </c>
      <c r="S12" s="61" t="inlineStr">
        <is>
          <t>BALANCE IN ACCOUNT TILL 31MAY2023</t>
        </is>
      </c>
      <c r="T12" s="62" t="n"/>
    </row>
    <row r="13" ht="12.75" customHeight="1" s="251">
      <c r="A13" s="41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55">
        <f>SUM($C$3:$C$5)/64</f>
        <v/>
      </c>
      <c r="E13" s="55">
        <f>C13+D13</f>
        <v/>
      </c>
      <c r="F13" s="55">
        <f>IF($C$70=0, 0, E13/$C$70)</f>
        <v/>
      </c>
      <c r="G13" s="55">
        <f>F13*$T$5</f>
        <v/>
      </c>
      <c r="H13" s="41" t="n">
        <v>3</v>
      </c>
      <c r="I13" s="55">
        <f>$T$7*H13</f>
        <v/>
      </c>
      <c r="J13" s="55">
        <f>G13+$T$9+I13</f>
        <v/>
      </c>
      <c r="K13" s="55">
        <f>$T$4/64</f>
        <v/>
      </c>
      <c r="L13" s="7" t="n">
        <v>0</v>
      </c>
      <c r="M13" s="55" t="n">
        <v>0</v>
      </c>
      <c r="N13" s="55" t="n">
        <v>0</v>
      </c>
      <c r="O13" s="55" t="n">
        <v>0</v>
      </c>
      <c r="P13" s="55" t="n"/>
      <c r="Q13" s="56" t="n"/>
      <c r="R13" s="56">
        <f>(SUM(J13:P13)*$B$2)</f>
        <v/>
      </c>
      <c r="S13" s="61" t="inlineStr">
        <is>
          <t>TOTAL NON MAINTENANCE CORPUS COLLECTION</t>
        </is>
      </c>
      <c r="T13" s="63" t="n"/>
    </row>
    <row r="14" ht="12.75" customHeight="1" s="251">
      <c r="A14" s="41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55">
        <f>SUM($C$3:$C$5)/64</f>
        <v/>
      </c>
      <c r="E14" s="55">
        <f>C14+D14</f>
        <v/>
      </c>
      <c r="F14" s="55">
        <f>IF($C$70=0, 0, E14/$C$70)</f>
        <v/>
      </c>
      <c r="G14" s="55">
        <f>F14*$T$5</f>
        <v/>
      </c>
      <c r="H14" s="41" t="n">
        <v>4</v>
      </c>
      <c r="I14" s="55">
        <f>$T$7*H14</f>
        <v/>
      </c>
      <c r="J14" s="55">
        <f>G14+$T$9+I14</f>
        <v/>
      </c>
      <c r="K14" s="55">
        <f>$T$4/64</f>
        <v/>
      </c>
      <c r="L14" s="7" t="n">
        <v>0</v>
      </c>
      <c r="M14" s="55" t="n">
        <v>0</v>
      </c>
      <c r="N14" s="55" t="n">
        <v>0</v>
      </c>
      <c r="O14" s="55" t="n">
        <v>0</v>
      </c>
      <c r="P14" s="55" t="n"/>
      <c r="Q14" s="56" t="n"/>
      <c r="R14" s="56">
        <f>(SUM(J14:P14)*$B$2)</f>
        <v/>
      </c>
      <c r="S14" s="61" t="inlineStr">
        <is>
          <t>TOTAL FD DONE</t>
        </is>
      </c>
      <c r="T14" s="63" t="n"/>
    </row>
    <row r="15" ht="12.75" customHeight="1" s="251">
      <c r="A15" s="41" t="inlineStr">
        <is>
          <t>F10</t>
        </is>
      </c>
      <c r="B15" s="13" t="inlineStr">
        <is>
          <t>Aby Thomas</t>
        </is>
      </c>
      <c r="C15" s="9" t="n">
        <v>0</v>
      </c>
      <c r="D15" s="55">
        <f>SUM($C$3:$C$5)/64</f>
        <v/>
      </c>
      <c r="E15" s="55">
        <f>C15+D15</f>
        <v/>
      </c>
      <c r="F15" s="55">
        <f>IF($C$70=0, 0, E15/$C$70)</f>
        <v/>
      </c>
      <c r="G15" s="55">
        <f>F15*$T$5</f>
        <v/>
      </c>
      <c r="H15" s="41" t="n">
        <v>3</v>
      </c>
      <c r="I15" s="55">
        <f>$T$7*H15</f>
        <v/>
      </c>
      <c r="J15" s="55">
        <f>G15+$T$9+I15</f>
        <v/>
      </c>
      <c r="K15" s="55">
        <f>$T$4/64</f>
        <v/>
      </c>
      <c r="L15" s="7" t="n">
        <v>0</v>
      </c>
      <c r="M15" s="55" t="n">
        <v>0</v>
      </c>
      <c r="N15" s="55" t="n">
        <v>0</v>
      </c>
      <c r="O15" s="55" t="n">
        <v>0</v>
      </c>
      <c r="P15" s="55" t="n"/>
      <c r="Q15" s="56" t="n"/>
      <c r="R15" s="56">
        <f>(SUM(J15:P15)*$B$2)</f>
        <v/>
      </c>
      <c r="S15" s="40" t="inlineStr">
        <is>
          <t>Pending vendor payments</t>
        </is>
      </c>
    </row>
    <row r="16" ht="12.75" customHeight="1" s="251">
      <c r="A16" s="41" t="inlineStr">
        <is>
          <t>F11</t>
        </is>
      </c>
      <c r="B16" s="13" t="inlineStr">
        <is>
          <t>Niwin Anto</t>
        </is>
      </c>
      <c r="C16" s="9" t="n">
        <v>0</v>
      </c>
      <c r="D16" s="55">
        <f>SUM($C$3:$C$5)/64</f>
        <v/>
      </c>
      <c r="E16" s="55">
        <f>C16+D16</f>
        <v/>
      </c>
      <c r="F16" s="55">
        <f>IF($C$70=0, 0, E16/$C$70)</f>
        <v/>
      </c>
      <c r="G16" s="55">
        <f>F16*$T$5</f>
        <v/>
      </c>
      <c r="H16" s="41" t="n">
        <v>3</v>
      </c>
      <c r="I16" s="55">
        <f>$T$7*H16</f>
        <v/>
      </c>
      <c r="J16" s="55">
        <f>G16+$T$9+I16</f>
        <v/>
      </c>
      <c r="K16" s="55">
        <f>$T$4/64</f>
        <v/>
      </c>
      <c r="L16" s="7" t="n">
        <v>0</v>
      </c>
      <c r="M16" s="55" t="n">
        <v>0</v>
      </c>
      <c r="N16" s="55" t="n">
        <v>0</v>
      </c>
      <c r="O16" s="55" t="n">
        <v>0</v>
      </c>
      <c r="P16" s="55" t="n"/>
      <c r="Q16" s="56" t="n"/>
      <c r="R16" s="56">
        <f>(SUM(J16:P16)*$B$2)</f>
        <v/>
      </c>
      <c r="S16" s="64" t="inlineStr">
        <is>
          <t>AMOUNT AVAILABLE FOR NON MAINTENANCE CORPUS</t>
        </is>
      </c>
      <c r="T16" s="65">
        <f>T13-T14</f>
        <v/>
      </c>
    </row>
    <row r="17" ht="12.75" customHeight="1" s="251">
      <c r="A17" s="41" t="inlineStr">
        <is>
          <t>F12</t>
        </is>
      </c>
      <c r="B17" s="13" t="inlineStr">
        <is>
          <t>Anirudh Singh</t>
        </is>
      </c>
      <c r="C17" s="9" t="n">
        <v>0</v>
      </c>
      <c r="D17" s="55">
        <f>SUM($C$3:$C$5)/64</f>
        <v/>
      </c>
      <c r="E17" s="55">
        <f>C17+D17</f>
        <v/>
      </c>
      <c r="F17" s="55">
        <f>IF($C$70=0, 0, E17/$C$70)</f>
        <v/>
      </c>
      <c r="G17" s="55">
        <f>F17*$T$5</f>
        <v/>
      </c>
      <c r="H17" s="41" t="n">
        <v>3</v>
      </c>
      <c r="I17" s="55">
        <f>$T$7*H17</f>
        <v/>
      </c>
      <c r="J17" s="55">
        <f>G17+$T$9+I17</f>
        <v/>
      </c>
      <c r="K17" s="55">
        <f>$T$4/64</f>
        <v/>
      </c>
      <c r="L17" s="7" t="n">
        <v>0</v>
      </c>
      <c r="M17" s="55" t="n">
        <v>0</v>
      </c>
      <c r="N17" s="55" t="n">
        <v>0</v>
      </c>
      <c r="O17" s="55" t="n">
        <v>0</v>
      </c>
      <c r="P17" s="55" t="n"/>
      <c r="Q17" s="56" t="n"/>
      <c r="R17" s="56">
        <f>(SUM(J17:P17)*$B$2)</f>
        <v/>
      </c>
      <c r="S17" s="66" t="inlineStr">
        <is>
          <t>AMOUNT AVAILABLE FOR MAINTENANCE</t>
        </is>
      </c>
      <c r="T17" s="67">
        <f>T12-T15-T16</f>
        <v/>
      </c>
    </row>
    <row r="18" ht="12.75" customHeight="1" s="251">
      <c r="A18" s="41" t="inlineStr">
        <is>
          <t>F13</t>
        </is>
      </c>
      <c r="B18" s="13" t="inlineStr">
        <is>
          <t>Sanchay Saxena</t>
        </is>
      </c>
      <c r="C18" s="9" t="n">
        <v>0</v>
      </c>
      <c r="D18" s="55">
        <f>SUM($C$3:$C$5)/64</f>
        <v/>
      </c>
      <c r="E18" s="55">
        <f>C18+D18</f>
        <v/>
      </c>
      <c r="F18" s="55">
        <f>IF($C$70=0, 0, E18/$C$70)</f>
        <v/>
      </c>
      <c r="G18" s="55">
        <f>F18*$T$5</f>
        <v/>
      </c>
      <c r="H18" s="41" t="n">
        <v>4</v>
      </c>
      <c r="I18" s="55">
        <f>$T$7*H18</f>
        <v/>
      </c>
      <c r="J18" s="55">
        <f>G18+$T$9+I18</f>
        <v/>
      </c>
      <c r="K18" s="55">
        <f>$T$4/64</f>
        <v/>
      </c>
      <c r="L18" s="7" t="n">
        <v>0</v>
      </c>
      <c r="M18" s="55" t="n">
        <v>0</v>
      </c>
      <c r="N18" s="55" t="n">
        <v>0</v>
      </c>
      <c r="O18" s="55" t="n">
        <v>0</v>
      </c>
      <c r="P18" s="55" t="n"/>
      <c r="Q18" s="56" t="n"/>
      <c r="R18" s="56">
        <f>(SUM(J18:P18)*$B$2)</f>
        <v/>
      </c>
      <c r="S18" s="33" t="inlineStr">
        <is>
          <t>Maintenance Deficit</t>
        </is>
      </c>
      <c r="T18" s="17">
        <f>T17-(T4+T5+23830)</f>
        <v/>
      </c>
    </row>
    <row r="19" ht="12.75" customHeight="1" s="251">
      <c r="A19" s="41" t="inlineStr">
        <is>
          <t>F14</t>
        </is>
      </c>
      <c r="B19" s="13" t="inlineStr">
        <is>
          <t>Hemant Patel</t>
        </is>
      </c>
      <c r="C19" s="9" t="n">
        <v>0</v>
      </c>
      <c r="D19" s="55">
        <f>SUM($C$3:$C$5)/64</f>
        <v/>
      </c>
      <c r="E19" s="55">
        <f>C19+D19</f>
        <v/>
      </c>
      <c r="F19" s="55">
        <f>IF($C$70=0, 0, E19/$C$70)</f>
        <v/>
      </c>
      <c r="G19" s="55">
        <f>F19*$T$5</f>
        <v/>
      </c>
      <c r="H19" s="41" t="n">
        <v>4</v>
      </c>
      <c r="I19" s="55">
        <f>$T$7*H19</f>
        <v/>
      </c>
      <c r="J19" s="55">
        <f>G19+$T$9+I19</f>
        <v/>
      </c>
      <c r="K19" s="55">
        <f>$T$4/64</f>
        <v/>
      </c>
      <c r="L19" s="7" t="n">
        <v>0</v>
      </c>
      <c r="M19" s="55" t="n">
        <v>0</v>
      </c>
      <c r="N19" s="55" t="n">
        <v>0</v>
      </c>
      <c r="O19" s="55" t="n">
        <v>0</v>
      </c>
      <c r="P19" s="55" t="n"/>
      <c r="Q19" s="56" t="n"/>
      <c r="R19" s="56">
        <f>(SUM(J19:P19)*$B$2)</f>
        <v/>
      </c>
      <c r="S19" s="68" t="n"/>
      <c r="T19" s="68" t="n"/>
    </row>
    <row r="20" ht="12.75" customHeight="1" s="251">
      <c r="A20" s="41" t="inlineStr">
        <is>
          <t>F15</t>
        </is>
      </c>
      <c r="B20" s="13" t="inlineStr">
        <is>
          <t>Senthil.Vijayaragavan</t>
        </is>
      </c>
      <c r="C20" s="9" t="n">
        <v>0</v>
      </c>
      <c r="D20" s="55">
        <f>SUM($C$3:$C$5)/64</f>
        <v/>
      </c>
      <c r="E20" s="55">
        <f>C20+D20</f>
        <v/>
      </c>
      <c r="F20" s="55">
        <f>IF($C$70=0, 0, E20/$C$70)</f>
        <v/>
      </c>
      <c r="G20" s="55">
        <f>F20*$T$5</f>
        <v/>
      </c>
      <c r="H20" s="41" t="n">
        <v>4</v>
      </c>
      <c r="I20" s="55">
        <f>$T$7*H20</f>
        <v/>
      </c>
      <c r="J20" s="55">
        <f>G20+$T$9+I20</f>
        <v/>
      </c>
      <c r="K20" s="55">
        <f>$T$4/64</f>
        <v/>
      </c>
      <c r="L20" s="7" t="n">
        <v>0</v>
      </c>
      <c r="M20" s="55" t="n">
        <v>0</v>
      </c>
      <c r="N20" s="55" t="n">
        <v>0</v>
      </c>
      <c r="O20" s="55" t="n">
        <v>0</v>
      </c>
      <c r="P20" s="55" t="n"/>
      <c r="Q20" s="56" t="n"/>
      <c r="R20" s="56">
        <f>(SUM(J20:P20)*$B$2)</f>
        <v/>
      </c>
      <c r="S20" s="33" t="n"/>
      <c r="T20" s="17" t="n"/>
    </row>
    <row r="21" ht="12.75" customHeight="1" s="251">
      <c r="A21" s="41" t="inlineStr">
        <is>
          <t>F16</t>
        </is>
      </c>
      <c r="B21" s="13" t="inlineStr">
        <is>
          <t>Sreeja Sudharma</t>
        </is>
      </c>
      <c r="C21" s="9" t="n">
        <v>0</v>
      </c>
      <c r="D21" s="55">
        <f>SUM($C$3:$C$5)/64</f>
        <v/>
      </c>
      <c r="E21" s="55">
        <f>C21+D21</f>
        <v/>
      </c>
      <c r="F21" s="55">
        <f>IF($C$70=0, 0, E21/$C$70)</f>
        <v/>
      </c>
      <c r="G21" s="55">
        <f>F21*$T$5</f>
        <v/>
      </c>
      <c r="H21" s="41" t="n">
        <v>3</v>
      </c>
      <c r="I21" s="55">
        <f>$T$7*H21</f>
        <v/>
      </c>
      <c r="J21" s="55">
        <f>G21+$T$9+I21</f>
        <v/>
      </c>
      <c r="K21" s="55">
        <f>$T$4/64</f>
        <v/>
      </c>
      <c r="L21" s="7" t="n">
        <v>0</v>
      </c>
      <c r="M21" s="55" t="n">
        <v>0</v>
      </c>
      <c r="N21" s="55" t="n">
        <v>0</v>
      </c>
      <c r="O21" s="55" t="n">
        <v>0</v>
      </c>
      <c r="P21" s="55" t="n"/>
      <c r="Q21" s="56" t="n"/>
      <c r="R21" s="56">
        <f>(SUM(J21:P21)*$B$2)</f>
        <v/>
      </c>
      <c r="S21" s="33" t="n"/>
      <c r="T21" s="17" t="n"/>
    </row>
    <row r="22" ht="12.75" customHeight="1" s="251">
      <c r="A22" s="41" t="inlineStr">
        <is>
          <t>G1</t>
        </is>
      </c>
      <c r="B22" s="13" t="inlineStr">
        <is>
          <t>Venkataramanan C</t>
        </is>
      </c>
      <c r="C22" s="9" t="n">
        <v>0</v>
      </c>
      <c r="D22" s="55">
        <f>SUM($C$3:$C$5)/64</f>
        <v/>
      </c>
      <c r="E22" s="55">
        <f>C22+D22</f>
        <v/>
      </c>
      <c r="F22" s="55">
        <f>IF($C$70=0, 0, E22/$C$70)</f>
        <v/>
      </c>
      <c r="G22" s="55">
        <f>F22*$T$5</f>
        <v/>
      </c>
      <c r="H22" s="41" t="n">
        <v>3</v>
      </c>
      <c r="I22" s="55">
        <f>$T$7*H22</f>
        <v/>
      </c>
      <c r="J22" s="55">
        <f>G22+$T$9+I22</f>
        <v/>
      </c>
      <c r="K22" s="55">
        <f>$T$4/64</f>
        <v/>
      </c>
      <c r="L22" s="7" t="n">
        <v>0</v>
      </c>
      <c r="M22" s="55" t="n">
        <v>0</v>
      </c>
      <c r="N22" s="55" t="n">
        <v>0</v>
      </c>
      <c r="O22" s="55" t="n">
        <v>0</v>
      </c>
      <c r="P22" s="55" t="n"/>
      <c r="Q22" s="56" t="n"/>
      <c r="R22" s="56">
        <f>(SUM(J22:P22)*$B$2)</f>
        <v/>
      </c>
      <c r="S22" s="33" t="n"/>
      <c r="T22" s="17" t="n"/>
    </row>
    <row r="23" ht="12.75" customHeight="1" s="251">
      <c r="A23" s="41" t="inlineStr">
        <is>
          <t>G2</t>
        </is>
      </c>
      <c r="B23" s="13" t="inlineStr">
        <is>
          <t>Kaushik Kasibhatla</t>
        </is>
      </c>
      <c r="C23" s="9" t="n">
        <v>0</v>
      </c>
      <c r="D23" s="55">
        <f>SUM($C$3:$C$5)/64</f>
        <v/>
      </c>
      <c r="E23" s="55">
        <f>C23+D23</f>
        <v/>
      </c>
      <c r="F23" s="55">
        <f>IF($C$70=0, 0, E23/$C$70)</f>
        <v/>
      </c>
      <c r="G23" s="55">
        <f>F23*$T$5</f>
        <v/>
      </c>
      <c r="H23" s="41" t="n">
        <v>4</v>
      </c>
      <c r="I23" s="55">
        <f>$T$7*H23</f>
        <v/>
      </c>
      <c r="J23" s="55">
        <f>G23+$T$9+I23</f>
        <v/>
      </c>
      <c r="K23" s="55">
        <f>$T$4/64</f>
        <v/>
      </c>
      <c r="L23" s="7" t="n">
        <v>0</v>
      </c>
      <c r="M23" s="55" t="n">
        <v>0</v>
      </c>
      <c r="N23" s="55" t="n">
        <v>0</v>
      </c>
      <c r="O23" s="55" t="n">
        <v>0</v>
      </c>
      <c r="P23" s="55" t="n"/>
      <c r="Q23" s="56" t="n"/>
      <c r="R23" s="56">
        <f>(SUM(J23:P23)*$B$2)</f>
        <v/>
      </c>
      <c r="S23" s="33" t="n"/>
      <c r="T23" s="17" t="n"/>
    </row>
    <row r="24" ht="12.75" customHeight="1" s="251">
      <c r="A24" s="41" t="inlineStr">
        <is>
          <t>G3</t>
        </is>
      </c>
      <c r="B24" s="13" t="inlineStr">
        <is>
          <t>Balakrishnan</t>
        </is>
      </c>
      <c r="C24" s="9" t="n">
        <v>0</v>
      </c>
      <c r="D24" s="55">
        <f>SUM($C$3:$C$5)/64</f>
        <v/>
      </c>
      <c r="E24" s="55">
        <f>C24+D24</f>
        <v/>
      </c>
      <c r="F24" s="55">
        <f>IF($C$70=0, 0, E24/$C$70)</f>
        <v/>
      </c>
      <c r="G24" s="55">
        <f>F24*$T$5</f>
        <v/>
      </c>
      <c r="H24" s="41" t="n">
        <v>4</v>
      </c>
      <c r="I24" s="55">
        <f>$T$7*H24</f>
        <v/>
      </c>
      <c r="J24" s="55">
        <f>G24+$T$9+I24</f>
        <v/>
      </c>
      <c r="K24" s="55">
        <f>$T$4/64</f>
        <v/>
      </c>
      <c r="L24" s="7" t="n">
        <v>0</v>
      </c>
      <c r="M24" s="55" t="n">
        <v>0</v>
      </c>
      <c r="N24" s="55" t="n">
        <v>0</v>
      </c>
      <c r="O24" s="55" t="n">
        <v>0</v>
      </c>
      <c r="P24" s="55" t="n"/>
      <c r="Q24" s="56" t="n"/>
      <c r="R24" s="56">
        <f>(SUM(J24:P24)*$B$2)</f>
        <v/>
      </c>
      <c r="S24" s="33" t="n"/>
      <c r="T24" s="17" t="n"/>
    </row>
    <row r="25" ht="12.75" customHeight="1" s="251">
      <c r="A25" s="41" t="inlineStr">
        <is>
          <t>G4</t>
        </is>
      </c>
      <c r="B25" s="13" t="inlineStr">
        <is>
          <t>Ashwin Pandith</t>
        </is>
      </c>
      <c r="C25" s="9" t="n">
        <v>0</v>
      </c>
      <c r="D25" s="55">
        <f>SUM($C$3:$C$5)/64</f>
        <v/>
      </c>
      <c r="E25" s="55">
        <f>C25+D25</f>
        <v/>
      </c>
      <c r="F25" s="55">
        <f>IF($C$70=0, 0, E25/$C$70)</f>
        <v/>
      </c>
      <c r="G25" s="55">
        <f>F25*$T$5</f>
        <v/>
      </c>
      <c r="H25" s="41" t="n">
        <v>4</v>
      </c>
      <c r="I25" s="55">
        <f>$T$7*H25</f>
        <v/>
      </c>
      <c r="J25" s="55">
        <f>G25+$T$9+I25</f>
        <v/>
      </c>
      <c r="K25" s="55">
        <f>$T$4/64</f>
        <v/>
      </c>
      <c r="L25" s="7" t="n">
        <v>0</v>
      </c>
      <c r="M25" s="55" t="n">
        <v>0</v>
      </c>
      <c r="N25" s="55" t="n">
        <v>0</v>
      </c>
      <c r="O25" s="55" t="n">
        <v>0</v>
      </c>
      <c r="P25" s="55" t="n"/>
      <c r="Q25" s="56" t="n"/>
      <c r="R25" s="56">
        <f>(SUM(J25:P25)*$B$2)</f>
        <v/>
      </c>
      <c r="S25" s="33" t="n"/>
      <c r="T25" s="17" t="n"/>
    </row>
    <row r="26" ht="12.75" customHeight="1" s="251">
      <c r="A26" s="41" t="inlineStr">
        <is>
          <t>G5</t>
        </is>
      </c>
      <c r="B26" s="13" t="inlineStr">
        <is>
          <t>Mayank Phophaliya</t>
        </is>
      </c>
      <c r="C26" s="9" t="n">
        <v>0</v>
      </c>
      <c r="D26" s="55">
        <f>SUM($C$3:$C$5)/64</f>
        <v/>
      </c>
      <c r="E26" s="55">
        <f>C26+D26</f>
        <v/>
      </c>
      <c r="F26" s="55">
        <f>IF($C$70=0, 0, E26/$C$70)</f>
        <v/>
      </c>
      <c r="G26" s="55">
        <f>F26*$T$5</f>
        <v/>
      </c>
      <c r="H26" s="41" t="n">
        <v>3</v>
      </c>
      <c r="I26" s="55">
        <f>$T$7*H26</f>
        <v/>
      </c>
      <c r="J26" s="55">
        <f>G26+$T$9+I26</f>
        <v/>
      </c>
      <c r="K26" s="55">
        <f>$T$4/64</f>
        <v/>
      </c>
      <c r="L26" s="7" t="n">
        <v>0</v>
      </c>
      <c r="M26" s="55" t="n">
        <v>0</v>
      </c>
      <c r="N26" s="55" t="n">
        <v>0</v>
      </c>
      <c r="O26" s="55" t="n">
        <v>0</v>
      </c>
      <c r="P26" s="55" t="n"/>
      <c r="Q26" s="56" t="n"/>
      <c r="R26" s="56">
        <f>(SUM(J26:P26)*$B$2)</f>
        <v/>
      </c>
      <c r="S26" s="33" t="n"/>
      <c r="T26" s="17" t="n"/>
    </row>
    <row r="27" ht="12.75" customHeight="1" s="251">
      <c r="A27" s="41" t="inlineStr">
        <is>
          <t>G6</t>
        </is>
      </c>
      <c r="B27" s="13" t="inlineStr">
        <is>
          <t>Mohit Daga</t>
        </is>
      </c>
      <c r="C27" s="9" t="n">
        <v>0</v>
      </c>
      <c r="D27" s="55">
        <f>SUM($C$3:$C$5)/64</f>
        <v/>
      </c>
      <c r="E27" s="55">
        <f>C27+D27</f>
        <v/>
      </c>
      <c r="F27" s="55">
        <f>IF($C$70=0, 0, E27/$C$70)</f>
        <v/>
      </c>
      <c r="G27" s="55">
        <f>F27*$T$5</f>
        <v/>
      </c>
      <c r="H27" s="41" t="n">
        <v>3</v>
      </c>
      <c r="I27" s="55">
        <f>$T$7*H27</f>
        <v/>
      </c>
      <c r="J27" s="55">
        <f>G27+$T$9+I27</f>
        <v/>
      </c>
      <c r="K27" s="55">
        <f>$T$4/64</f>
        <v/>
      </c>
      <c r="L27" s="7" t="n">
        <v>0</v>
      </c>
      <c r="M27" s="55" t="n">
        <v>0</v>
      </c>
      <c r="N27" s="55" t="n">
        <v>0</v>
      </c>
      <c r="O27" s="55" t="n">
        <v>0</v>
      </c>
      <c r="P27" s="55" t="n"/>
      <c r="Q27" s="56" t="n"/>
      <c r="R27" s="56">
        <f>(SUM(J27:P27)*$B$2)</f>
        <v/>
      </c>
      <c r="S27" s="33" t="n"/>
      <c r="T27" s="17" t="n"/>
    </row>
    <row r="28" ht="12.75" customHeight="1" s="251">
      <c r="A28" s="41" t="inlineStr">
        <is>
          <t>G7</t>
        </is>
      </c>
      <c r="B28" s="13" t="inlineStr">
        <is>
          <t>Prince Richfield</t>
        </is>
      </c>
      <c r="C28" s="9" t="n">
        <v>0</v>
      </c>
      <c r="D28" s="55">
        <f>SUM($C$3:$C$5)/64</f>
        <v/>
      </c>
      <c r="E28" s="55">
        <f>C28+D28</f>
        <v/>
      </c>
      <c r="F28" s="55">
        <f>IF($C$70=0, 0, E28/$C$70)</f>
        <v/>
      </c>
      <c r="G28" s="55">
        <f>F28*$T$5</f>
        <v/>
      </c>
      <c r="H28" s="41" t="n">
        <v>3</v>
      </c>
      <c r="I28" s="55">
        <f>$T$7*H28</f>
        <v/>
      </c>
      <c r="J28" s="55">
        <f>G28+$T$9+I28</f>
        <v/>
      </c>
      <c r="K28" s="55">
        <f>$T$4/64</f>
        <v/>
      </c>
      <c r="L28" s="7" t="n">
        <v>0</v>
      </c>
      <c r="M28" s="55" t="n">
        <v>0</v>
      </c>
      <c r="N28" s="55" t="n">
        <v>0</v>
      </c>
      <c r="O28" s="55" t="n">
        <v>0</v>
      </c>
      <c r="P28" s="55" t="n"/>
      <c r="Q28" s="56" t="n"/>
      <c r="R28" s="56">
        <f>(SUM(J28:P28)*$B$2)</f>
        <v/>
      </c>
      <c r="S28" s="33" t="n"/>
      <c r="T28" s="17" t="n"/>
    </row>
    <row r="29" ht="12.75" customHeight="1" s="251">
      <c r="A29" s="41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55">
        <f>SUM($C$3:$C$5)/64</f>
        <v/>
      </c>
      <c r="E29" s="55">
        <f>C29+D29</f>
        <v/>
      </c>
      <c r="F29" s="55">
        <f>IF($C$70=0, 0, E29/$C$70)</f>
        <v/>
      </c>
      <c r="G29" s="55">
        <f>F29*$T$5</f>
        <v/>
      </c>
      <c r="H29" s="41" t="n">
        <v>3</v>
      </c>
      <c r="I29" s="55">
        <f>$T$7*H29</f>
        <v/>
      </c>
      <c r="J29" s="55">
        <f>G29+$T$9+I29</f>
        <v/>
      </c>
      <c r="K29" s="55">
        <f>$T$4/64</f>
        <v/>
      </c>
      <c r="L29" s="7" t="n">
        <v>0</v>
      </c>
      <c r="M29" s="55" t="n">
        <v>0</v>
      </c>
      <c r="N29" s="55" t="n">
        <v>0</v>
      </c>
      <c r="O29" s="55" t="n">
        <v>0</v>
      </c>
      <c r="P29" s="55" t="n"/>
      <c r="Q29" s="56" t="n"/>
      <c r="R29" s="56">
        <f>(SUM(J29:P29)*$B$2)</f>
        <v/>
      </c>
      <c r="S29" s="33" t="n"/>
      <c r="T29" s="17" t="n"/>
    </row>
    <row r="30" ht="12.75" customHeight="1" s="251">
      <c r="A30" s="41" t="inlineStr">
        <is>
          <t>G9</t>
        </is>
      </c>
      <c r="B30" s="13" t="inlineStr">
        <is>
          <t>Chandramouli</t>
        </is>
      </c>
      <c r="C30" s="9" t="n">
        <v>0</v>
      </c>
      <c r="D30" s="55">
        <f>SUM($C$3:$C$5)/64</f>
        <v/>
      </c>
      <c r="E30" s="55">
        <f>C30+D30</f>
        <v/>
      </c>
      <c r="F30" s="55">
        <f>IF($C$70=0, 0, E30/$C$70)</f>
        <v/>
      </c>
      <c r="G30" s="55">
        <f>F30*$T$5</f>
        <v/>
      </c>
      <c r="H30" s="41" t="n">
        <v>5</v>
      </c>
      <c r="I30" s="55">
        <f>$T$7*H30</f>
        <v/>
      </c>
      <c r="J30" s="55">
        <f>G30+$T$9+I30</f>
        <v/>
      </c>
      <c r="K30" s="55">
        <f>$T$4/64</f>
        <v/>
      </c>
      <c r="L30" s="7" t="n">
        <v>0</v>
      </c>
      <c r="M30" s="55" t="n">
        <v>0</v>
      </c>
      <c r="N30" s="55" t="n">
        <v>0</v>
      </c>
      <c r="O30" s="55" t="n">
        <v>0</v>
      </c>
      <c r="P30" s="55" t="n"/>
      <c r="Q30" s="56" t="n"/>
      <c r="R30" s="56">
        <f>(SUM(J30:P30)*$B$2)</f>
        <v/>
      </c>
      <c r="S30" s="33" t="n"/>
      <c r="T30" s="17" t="n"/>
    </row>
    <row r="31" ht="12.75" customHeight="1" s="251">
      <c r="A31" s="41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55">
        <f>SUM($C$3:$C$5)/64</f>
        <v/>
      </c>
      <c r="E31" s="55">
        <f>C31+D31</f>
        <v/>
      </c>
      <c r="F31" s="55">
        <f>IF($C$70=0, 0, E31/$C$70)</f>
        <v/>
      </c>
      <c r="G31" s="55">
        <f>F31*$T$5</f>
        <v/>
      </c>
      <c r="H31" s="41" t="n">
        <v>3</v>
      </c>
      <c r="I31" s="55">
        <f>$T$7*H31</f>
        <v/>
      </c>
      <c r="J31" s="55">
        <f>G31+$T$9+I31</f>
        <v/>
      </c>
      <c r="K31" s="55">
        <f>$T$4/64</f>
        <v/>
      </c>
      <c r="L31" s="7" t="n">
        <v>0</v>
      </c>
      <c r="M31" s="55" t="n">
        <v>0</v>
      </c>
      <c r="N31" s="55" t="n">
        <v>0</v>
      </c>
      <c r="O31" s="55" t="n">
        <v>0</v>
      </c>
      <c r="P31" s="55" t="n"/>
      <c r="Q31" s="56" t="n"/>
      <c r="R31" s="56">
        <f>(SUM(J31:P31)*$B$2)</f>
        <v/>
      </c>
      <c r="S31" s="33" t="n"/>
      <c r="T31" s="17" t="n"/>
    </row>
    <row r="32" ht="12.75" customHeight="1" s="251">
      <c r="A32" s="41" t="inlineStr">
        <is>
          <t>G11</t>
        </is>
      </c>
      <c r="B32" s="13" t="inlineStr">
        <is>
          <t>Ketan Verlekar</t>
        </is>
      </c>
      <c r="C32" s="9" t="n">
        <v>0</v>
      </c>
      <c r="D32" s="55">
        <f>SUM($C$3:$C$5)/64</f>
        <v/>
      </c>
      <c r="E32" s="55">
        <f>C32+D32</f>
        <v/>
      </c>
      <c r="F32" s="55">
        <f>IF($C$70=0, 0, E32/$C$70)</f>
        <v/>
      </c>
      <c r="G32" s="55">
        <f>F32*$T$5</f>
        <v/>
      </c>
      <c r="H32" s="41" t="n">
        <v>3</v>
      </c>
      <c r="I32" s="55">
        <f>$T$7*H32</f>
        <v/>
      </c>
      <c r="J32" s="55">
        <f>G32+$T$9+I32</f>
        <v/>
      </c>
      <c r="K32" s="55">
        <f>$T$4/64</f>
        <v/>
      </c>
      <c r="L32" s="7" t="n">
        <v>0</v>
      </c>
      <c r="M32" s="55" t="n">
        <v>0</v>
      </c>
      <c r="N32" s="55" t="n">
        <v>0</v>
      </c>
      <c r="O32" s="55" t="n">
        <v>0</v>
      </c>
      <c r="P32" s="55" t="n"/>
      <c r="Q32" s="56" t="n"/>
      <c r="R32" s="56">
        <f>(SUM(J32:P32)*$B$2)</f>
        <v/>
      </c>
      <c r="S32" s="33" t="n"/>
      <c r="T32" s="17" t="n"/>
    </row>
    <row r="33" ht="12.75" customHeight="1" s="251">
      <c r="A33" s="41" t="inlineStr">
        <is>
          <t>G12</t>
        </is>
      </c>
      <c r="B33" s="13" t="inlineStr">
        <is>
          <t>Shyam Nair</t>
        </is>
      </c>
      <c r="C33" s="9" t="n">
        <v>0</v>
      </c>
      <c r="D33" s="55">
        <f>SUM($C$3:$C$5)/64</f>
        <v/>
      </c>
      <c r="E33" s="55">
        <f>C33+D33</f>
        <v/>
      </c>
      <c r="F33" s="55">
        <f>IF($C$70=0, 0, E33/$C$70)</f>
        <v/>
      </c>
      <c r="G33" s="55">
        <f>F33*$T$5</f>
        <v/>
      </c>
      <c r="H33" s="41" t="n">
        <v>3</v>
      </c>
      <c r="I33" s="55">
        <f>$T$7*H33</f>
        <v/>
      </c>
      <c r="J33" s="55">
        <f>G33+$T$9+I33</f>
        <v/>
      </c>
      <c r="K33" s="55">
        <f>$T$4/64</f>
        <v/>
      </c>
      <c r="L33" s="7" t="n">
        <v>0</v>
      </c>
      <c r="M33" s="55" t="n">
        <v>0</v>
      </c>
      <c r="N33" s="55" t="n">
        <v>0</v>
      </c>
      <c r="O33" s="55" t="n">
        <v>0</v>
      </c>
      <c r="P33" s="55" t="n"/>
      <c r="Q33" s="56" t="n"/>
      <c r="R33" s="56">
        <f>(SUM(J33:P33)*$B$2)</f>
        <v/>
      </c>
      <c r="S33" s="33" t="n"/>
      <c r="T33" s="17" t="n"/>
    </row>
    <row r="34" ht="12.75" customHeight="1" s="251">
      <c r="A34" s="41" t="inlineStr">
        <is>
          <t>G13</t>
        </is>
      </c>
      <c r="B34" s="13" t="inlineStr">
        <is>
          <t>Ajai.B</t>
        </is>
      </c>
      <c r="C34" s="9" t="n">
        <v>0</v>
      </c>
      <c r="D34" s="55">
        <f>SUM($C$3:$C$5)/64</f>
        <v/>
      </c>
      <c r="E34" s="55">
        <f>C34+D34</f>
        <v/>
      </c>
      <c r="F34" s="55">
        <f>IF($C$70=0, 0, E34/$C$70)</f>
        <v/>
      </c>
      <c r="G34" s="55">
        <f>F34*$T$5</f>
        <v/>
      </c>
      <c r="H34" s="41" t="n">
        <v>4</v>
      </c>
      <c r="I34" s="55">
        <f>$T$7*H34</f>
        <v/>
      </c>
      <c r="J34" s="55">
        <f>G34+$T$9+I34</f>
        <v/>
      </c>
      <c r="K34" s="55">
        <f>$T$4/64</f>
        <v/>
      </c>
      <c r="L34" s="7" t="n">
        <v>0</v>
      </c>
      <c r="M34" s="55" t="n">
        <v>0</v>
      </c>
      <c r="N34" s="55" t="n">
        <v>0</v>
      </c>
      <c r="O34" s="55" t="n">
        <v>0</v>
      </c>
      <c r="P34" s="55" t="n"/>
      <c r="Q34" s="56" t="n"/>
      <c r="R34" s="56">
        <f>(SUM(J34:P34)*$B$2)</f>
        <v/>
      </c>
      <c r="S34" s="33" t="n"/>
      <c r="T34" s="17" t="n"/>
    </row>
    <row r="35" ht="12.75" customHeight="1" s="251">
      <c r="A35" s="41" t="inlineStr">
        <is>
          <t>G14</t>
        </is>
      </c>
      <c r="B35" s="13" t="inlineStr">
        <is>
          <t>Surajit Borah</t>
        </is>
      </c>
      <c r="C35" s="9" t="n">
        <v>0</v>
      </c>
      <c r="D35" s="55">
        <f>SUM($C$3:$C$5)/64</f>
        <v/>
      </c>
      <c r="E35" s="55">
        <f>C35+D35</f>
        <v/>
      </c>
      <c r="F35" s="55">
        <f>IF($C$70=0, 0, E35/$C$70)</f>
        <v/>
      </c>
      <c r="G35" s="55">
        <f>F35*$T$5</f>
        <v/>
      </c>
      <c r="H35" s="41" t="n">
        <v>4</v>
      </c>
      <c r="I35" s="55">
        <f>$T$7*H35</f>
        <v/>
      </c>
      <c r="J35" s="55">
        <f>G35+$T$9+I35</f>
        <v/>
      </c>
      <c r="K35" s="55">
        <f>$T$4/64</f>
        <v/>
      </c>
      <c r="L35" s="7" t="n">
        <v>0</v>
      </c>
      <c r="M35" s="55" t="n">
        <v>0</v>
      </c>
      <c r="N35" s="55" t="n">
        <v>0</v>
      </c>
      <c r="O35" s="55" t="n">
        <v>0</v>
      </c>
      <c r="P35" s="55" t="n"/>
      <c r="Q35" s="56" t="n"/>
      <c r="R35" s="56">
        <f>(SUM(J35:P35)*$B$2)</f>
        <v/>
      </c>
      <c r="S35" s="33" t="n"/>
      <c r="T35" s="17" t="n"/>
    </row>
    <row r="36" ht="12.75" customHeight="1" s="251">
      <c r="A36" s="41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55">
        <f>SUM($C$3:$C$5)/64</f>
        <v/>
      </c>
      <c r="E36" s="55">
        <f>C36+D36</f>
        <v/>
      </c>
      <c r="F36" s="55">
        <f>IF($C$70=0, 0, E36/$C$70)</f>
        <v/>
      </c>
      <c r="G36" s="55">
        <f>F36*$T$5</f>
        <v/>
      </c>
      <c r="H36" s="41" t="n">
        <v>4</v>
      </c>
      <c r="I36" s="55">
        <f>$T$7*H36</f>
        <v/>
      </c>
      <c r="J36" s="55">
        <f>G36+$T$9+I36</f>
        <v/>
      </c>
      <c r="K36" s="55">
        <f>$T$4/64</f>
        <v/>
      </c>
      <c r="L36" s="7" t="n">
        <v>0</v>
      </c>
      <c r="M36" s="55" t="n">
        <v>0</v>
      </c>
      <c r="N36" s="55" t="n">
        <v>0</v>
      </c>
      <c r="O36" s="55" t="n">
        <v>0</v>
      </c>
      <c r="P36" s="55" t="n"/>
      <c r="Q36" s="56" t="n"/>
      <c r="R36" s="56">
        <f>(SUM(J36:P36)*$B$2)</f>
        <v/>
      </c>
      <c r="S36" s="33" t="n"/>
      <c r="T36" s="17" t="n"/>
    </row>
    <row r="37" ht="12.75" customHeight="1" s="251">
      <c r="A37" s="41" t="inlineStr">
        <is>
          <t>G16</t>
        </is>
      </c>
      <c r="B37" s="13" t="inlineStr">
        <is>
          <t>Praveen Ganesan</t>
        </is>
      </c>
      <c r="C37" s="9" t="n">
        <v>0</v>
      </c>
      <c r="D37" s="55">
        <f>SUM($C$3:$C$5)/64</f>
        <v/>
      </c>
      <c r="E37" s="55">
        <f>C37+D37</f>
        <v/>
      </c>
      <c r="F37" s="55">
        <f>IF($C$70=0, 0, E37/$C$70)</f>
        <v/>
      </c>
      <c r="G37" s="55">
        <f>F37*$T$5</f>
        <v/>
      </c>
      <c r="H37" s="41" t="n">
        <v>3</v>
      </c>
      <c r="I37" s="55">
        <f>$T$7*H37</f>
        <v/>
      </c>
      <c r="J37" s="55">
        <f>G37+$T$9+I37</f>
        <v/>
      </c>
      <c r="K37" s="55">
        <f>$T$4/64</f>
        <v/>
      </c>
      <c r="L37" s="7" t="n">
        <v>0</v>
      </c>
      <c r="M37" s="55" t="n">
        <v>0</v>
      </c>
      <c r="N37" s="55" t="n">
        <v>0</v>
      </c>
      <c r="O37" s="55" t="n">
        <v>0</v>
      </c>
      <c r="P37" s="55" t="n"/>
      <c r="Q37" s="56" t="n"/>
      <c r="R37" s="56">
        <f>(SUM(J37:P37)*$B$2)</f>
        <v/>
      </c>
      <c r="S37" s="33" t="n"/>
      <c r="T37" s="17" t="n"/>
    </row>
    <row r="38" ht="12.75" customHeight="1" s="251">
      <c r="A38" s="41" t="inlineStr">
        <is>
          <t>S1</t>
        </is>
      </c>
      <c r="B38" s="13" t="inlineStr">
        <is>
          <t>S.N.Behera</t>
        </is>
      </c>
      <c r="C38" s="9" t="n">
        <v>0</v>
      </c>
      <c r="D38" s="55">
        <f>SUM($C$3:$C$5)/64</f>
        <v/>
      </c>
      <c r="E38" s="55">
        <f>C38+D38</f>
        <v/>
      </c>
      <c r="F38" s="55">
        <f>IF($C$70=0, 0, E38/$C$70)</f>
        <v/>
      </c>
      <c r="G38" s="55">
        <f>F38*$T$5</f>
        <v/>
      </c>
      <c r="H38" s="41" t="n">
        <v>3</v>
      </c>
      <c r="I38" s="55">
        <f>$T$7*H38</f>
        <v/>
      </c>
      <c r="J38" s="55">
        <f>G38+$T$9+I38</f>
        <v/>
      </c>
      <c r="K38" s="55">
        <f>$T$4/64</f>
        <v/>
      </c>
      <c r="L38" s="7" t="n">
        <v>0</v>
      </c>
      <c r="M38" s="55" t="n">
        <v>0</v>
      </c>
      <c r="N38" s="55" t="n">
        <v>0</v>
      </c>
      <c r="O38" s="55" t="n">
        <v>0</v>
      </c>
      <c r="P38" s="55" t="n"/>
      <c r="Q38" s="56" t="n"/>
      <c r="R38" s="56">
        <f>(SUM(J38:P38)*$B$2)</f>
        <v/>
      </c>
      <c r="S38" s="33" t="n"/>
      <c r="T38" s="17" t="n"/>
    </row>
    <row r="39" ht="12.75" customHeight="1" s="251">
      <c r="A39" s="41" t="inlineStr">
        <is>
          <t>S2</t>
        </is>
      </c>
      <c r="B39" s="13" t="inlineStr">
        <is>
          <t>Sonal Singh</t>
        </is>
      </c>
      <c r="C39" s="9" t="n">
        <v>0</v>
      </c>
      <c r="D39" s="55">
        <f>SUM($C$3:$C$5)/64</f>
        <v/>
      </c>
      <c r="E39" s="55">
        <f>C39+D39</f>
        <v/>
      </c>
      <c r="F39" s="55">
        <f>IF($C$70=0, 0, E39/$C$70)</f>
        <v/>
      </c>
      <c r="G39" s="55">
        <f>F39*$T$5</f>
        <v/>
      </c>
      <c r="H39" s="41" t="n">
        <v>4</v>
      </c>
      <c r="I39" s="55">
        <f>$T$7*H39</f>
        <v/>
      </c>
      <c r="J39" s="55">
        <f>G39+$T$9+I39</f>
        <v/>
      </c>
      <c r="K39" s="55">
        <f>$T$4/64</f>
        <v/>
      </c>
      <c r="L39" s="7" t="n">
        <v>0</v>
      </c>
      <c r="M39" s="55" t="n">
        <v>0</v>
      </c>
      <c r="N39" s="55" t="n">
        <v>0</v>
      </c>
      <c r="O39" s="55" t="n">
        <v>0</v>
      </c>
      <c r="P39" s="55" t="n"/>
      <c r="Q39" s="56" t="n"/>
      <c r="R39" s="56">
        <f>(SUM(J39:P39)*$B$2)</f>
        <v/>
      </c>
      <c r="S39" s="33" t="n"/>
      <c r="T39" s="17" t="n"/>
    </row>
    <row r="40" ht="12.75" customHeight="1" s="251">
      <c r="A40" s="41" t="inlineStr">
        <is>
          <t>S3</t>
        </is>
      </c>
      <c r="B40" s="13" t="inlineStr">
        <is>
          <t>Koteswararao</t>
        </is>
      </c>
      <c r="C40" s="9" t="n">
        <v>0</v>
      </c>
      <c r="D40" s="55">
        <f>SUM($C$3:$C$5)/64</f>
        <v/>
      </c>
      <c r="E40" s="55">
        <f>C40+D40</f>
        <v/>
      </c>
      <c r="F40" s="55">
        <f>IF($C$70=0, 0, E40/$C$70)</f>
        <v/>
      </c>
      <c r="G40" s="55">
        <f>F40*$T$5</f>
        <v/>
      </c>
      <c r="H40" s="41" t="n">
        <v>4</v>
      </c>
      <c r="I40" s="55">
        <f>$T$7*H40</f>
        <v/>
      </c>
      <c r="J40" s="55">
        <f>G40+$T$9+I40</f>
        <v/>
      </c>
      <c r="K40" s="55">
        <f>$T$4/64</f>
        <v/>
      </c>
      <c r="L40" s="7" t="n">
        <v>0</v>
      </c>
      <c r="M40" s="55" t="n">
        <v>0</v>
      </c>
      <c r="N40" s="55" t="n">
        <v>0</v>
      </c>
      <c r="O40" s="55" t="n">
        <v>0</v>
      </c>
      <c r="P40" s="55" t="n"/>
      <c r="Q40" s="56" t="n"/>
      <c r="R40" s="56">
        <f>(SUM(J40:P40)*$B$2)</f>
        <v/>
      </c>
      <c r="S40" s="33" t="n"/>
      <c r="T40" s="17" t="n"/>
    </row>
    <row r="41" ht="12.75" customHeight="1" s="251">
      <c r="A41" s="41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55">
        <f>SUM($C$3:$C$5)/64</f>
        <v/>
      </c>
      <c r="E41" s="55">
        <f>C41+D41</f>
        <v/>
      </c>
      <c r="F41" s="55">
        <f>IF($C$70=0, 0, E41/$C$70)</f>
        <v/>
      </c>
      <c r="G41" s="55">
        <f>F41*$T$5</f>
        <v/>
      </c>
      <c r="H41" s="41" t="n">
        <v>3</v>
      </c>
      <c r="I41" s="55">
        <f>$T$7*H41</f>
        <v/>
      </c>
      <c r="J41" s="55">
        <f>G41+$T$9+I41</f>
        <v/>
      </c>
      <c r="K41" s="55">
        <f>$T$4/64</f>
        <v/>
      </c>
      <c r="L41" s="7" t="n">
        <v>0</v>
      </c>
      <c r="M41" s="55" t="n">
        <v>0</v>
      </c>
      <c r="N41" s="55" t="n">
        <v>0</v>
      </c>
      <c r="O41" s="55" t="n">
        <v>0</v>
      </c>
      <c r="P41" s="55" t="n"/>
      <c r="Q41" s="56" t="n"/>
      <c r="R41" s="56">
        <f>(SUM(J41:P41)*$B$2)</f>
        <v/>
      </c>
      <c r="S41" s="33" t="n"/>
      <c r="T41" s="17" t="n"/>
    </row>
    <row r="42" ht="12.75" customHeight="1" s="251">
      <c r="A42" s="41" t="inlineStr">
        <is>
          <t>S5</t>
        </is>
      </c>
      <c r="B42" s="13" t="inlineStr">
        <is>
          <t>Abhishek Gopalakrishnan</t>
        </is>
      </c>
      <c r="C42" s="9" t="n">
        <v>0</v>
      </c>
      <c r="D42" s="55">
        <f>SUM($C$3:$C$5)/64</f>
        <v/>
      </c>
      <c r="E42" s="55">
        <f>C42+D42</f>
        <v/>
      </c>
      <c r="F42" s="55">
        <f>IF($C$70=0, 0, E42/$C$70)</f>
        <v/>
      </c>
      <c r="G42" s="55">
        <f>F42*$T$5</f>
        <v/>
      </c>
      <c r="H42" s="41" t="n">
        <v>3</v>
      </c>
      <c r="I42" s="55">
        <f>$T$7*H42</f>
        <v/>
      </c>
      <c r="J42" s="55">
        <f>G42+$T$9+I42</f>
        <v/>
      </c>
      <c r="K42" s="55">
        <f>$T$4/64</f>
        <v/>
      </c>
      <c r="L42" s="7" t="n">
        <v>0</v>
      </c>
      <c r="M42" s="55" t="n">
        <v>0</v>
      </c>
      <c r="N42" s="55" t="n">
        <v>0</v>
      </c>
      <c r="O42" s="55" t="n">
        <v>0</v>
      </c>
      <c r="P42" s="55" t="n"/>
      <c r="Q42" s="56" t="n"/>
      <c r="R42" s="56">
        <f>(SUM(J42:P42)*$B$2)</f>
        <v/>
      </c>
      <c r="S42" s="33" t="n"/>
      <c r="T42" s="17" t="n"/>
    </row>
    <row r="43" ht="12.75" customHeight="1" s="251">
      <c r="A43" s="41" t="inlineStr">
        <is>
          <t>S6</t>
        </is>
      </c>
      <c r="B43" s="30" t="inlineStr">
        <is>
          <t>Vivek Dhingra / Pratyush Das</t>
        </is>
      </c>
      <c r="C43" s="9" t="n">
        <v>0</v>
      </c>
      <c r="D43" s="55">
        <f>SUM($C$3:$C$5)/64</f>
        <v/>
      </c>
      <c r="E43" s="55">
        <f>C43+D43</f>
        <v/>
      </c>
      <c r="F43" s="55">
        <f>IF($C$70=0, 0, E43/$C$70)</f>
        <v/>
      </c>
      <c r="G43" s="55">
        <f>F43*$T$5</f>
        <v/>
      </c>
      <c r="H43" s="41" t="n">
        <v>3</v>
      </c>
      <c r="I43" s="55">
        <f>$T$7*H43</f>
        <v/>
      </c>
      <c r="J43" s="55">
        <f>G43+$T$9+I43</f>
        <v/>
      </c>
      <c r="K43" s="55">
        <f>$T$4/64</f>
        <v/>
      </c>
      <c r="L43" s="7" t="n">
        <v>0</v>
      </c>
      <c r="M43" s="55" t="n">
        <v>0</v>
      </c>
      <c r="N43" s="55" t="n">
        <v>0</v>
      </c>
      <c r="O43" s="55" t="n">
        <v>0</v>
      </c>
      <c r="P43" s="55" t="n"/>
      <c r="Q43" s="56" t="n"/>
      <c r="R43" s="56">
        <f>(SUM(J43:P43)*$B$2)</f>
        <v/>
      </c>
      <c r="S43" s="33" t="n"/>
      <c r="T43" s="17" t="n"/>
    </row>
    <row r="44" ht="12.75" customHeight="1" s="251">
      <c r="A44" s="41" t="inlineStr">
        <is>
          <t>S7</t>
        </is>
      </c>
      <c r="B44" s="13" t="inlineStr">
        <is>
          <t>Harish B</t>
        </is>
      </c>
      <c r="C44" s="9" t="n">
        <v>0</v>
      </c>
      <c r="D44" s="55">
        <f>SUM($C$3:$C$5)/64</f>
        <v/>
      </c>
      <c r="E44" s="55">
        <f>C44+D44</f>
        <v/>
      </c>
      <c r="F44" s="55">
        <f>IF($C$70=0, 0, E44/$C$70)</f>
        <v/>
      </c>
      <c r="G44" s="55">
        <f>F44*$T$5</f>
        <v/>
      </c>
      <c r="H44" s="41" t="n">
        <v>3</v>
      </c>
      <c r="I44" s="55">
        <f>$T$7*H44</f>
        <v/>
      </c>
      <c r="J44" s="55">
        <f>G44+$T$9+I44</f>
        <v/>
      </c>
      <c r="K44" s="55">
        <f>$T$4/64</f>
        <v/>
      </c>
      <c r="L44" s="7" t="n">
        <v>0</v>
      </c>
      <c r="M44" s="55" t="n">
        <v>0</v>
      </c>
      <c r="N44" s="55" t="n">
        <v>0</v>
      </c>
      <c r="O44" s="55" t="n">
        <v>0</v>
      </c>
      <c r="P44" s="55" t="n"/>
      <c r="Q44" s="56" t="n"/>
      <c r="R44" s="56">
        <f>(SUM(J44:P44)*$B$2)</f>
        <v/>
      </c>
      <c r="S44" s="33" t="n"/>
      <c r="T44" s="17" t="n"/>
    </row>
    <row r="45" ht="12.75" customHeight="1" s="251">
      <c r="A45" s="41" t="inlineStr">
        <is>
          <t>S8</t>
        </is>
      </c>
      <c r="B45" s="13" t="inlineStr">
        <is>
          <t>Irudayaraj Alwin</t>
        </is>
      </c>
      <c r="C45" s="9" t="n">
        <v>0</v>
      </c>
      <c r="D45" s="55">
        <f>SUM($C$3:$C$5)/64</f>
        <v/>
      </c>
      <c r="E45" s="55">
        <f>C45+D45</f>
        <v/>
      </c>
      <c r="F45" s="55">
        <f>IF($C$70=0, 0, E45/$C$70)</f>
        <v/>
      </c>
      <c r="G45" s="55">
        <f>F45*$T$5</f>
        <v/>
      </c>
      <c r="H45" s="41" t="n">
        <v>3</v>
      </c>
      <c r="I45" s="55">
        <f>$T$7*H45</f>
        <v/>
      </c>
      <c r="J45" s="55">
        <f>G45+$T$9+I45</f>
        <v/>
      </c>
      <c r="K45" s="55">
        <f>$T$4/64</f>
        <v/>
      </c>
      <c r="L45" s="7" t="n">
        <v>0</v>
      </c>
      <c r="M45" s="55" t="n">
        <v>0</v>
      </c>
      <c r="N45" s="55" t="n">
        <v>0</v>
      </c>
      <c r="O45" s="55" t="n">
        <v>0</v>
      </c>
      <c r="P45" s="55" t="n"/>
      <c r="Q45" s="56" t="n"/>
      <c r="R45" s="56">
        <f>(SUM(J45:P45)*$B$2)</f>
        <v/>
      </c>
      <c r="S45" s="33" t="n"/>
      <c r="T45" s="17" t="n"/>
    </row>
    <row r="46" ht="12.75" customHeight="1" s="251">
      <c r="A46" s="41" t="inlineStr">
        <is>
          <t>S9</t>
        </is>
      </c>
      <c r="B46" s="13" t="inlineStr">
        <is>
          <t>Pawan GS</t>
        </is>
      </c>
      <c r="C46" s="9" t="n">
        <v>0</v>
      </c>
      <c r="D46" s="55">
        <f>SUM($C$3:$C$5)/64</f>
        <v/>
      </c>
      <c r="E46" s="55">
        <f>C46+D46</f>
        <v/>
      </c>
      <c r="F46" s="55">
        <f>IF($C$70=0, 0, E46/$C$70)</f>
        <v/>
      </c>
      <c r="G46" s="55">
        <f>F46*$T$5</f>
        <v/>
      </c>
      <c r="H46" s="41" t="n">
        <v>4</v>
      </c>
      <c r="I46" s="55">
        <f>$T$7*H46</f>
        <v/>
      </c>
      <c r="J46" s="55">
        <f>G46+$T$9+I46</f>
        <v/>
      </c>
      <c r="K46" s="55">
        <f>$T$4/64</f>
        <v/>
      </c>
      <c r="L46" s="7" t="n">
        <v>0</v>
      </c>
      <c r="M46" s="55" t="n">
        <v>0</v>
      </c>
      <c r="N46" s="55" t="n">
        <v>0</v>
      </c>
      <c r="O46" s="55" t="n">
        <v>0</v>
      </c>
      <c r="P46" s="55" t="n"/>
      <c r="Q46" s="56" t="n"/>
      <c r="R46" s="56">
        <f>(SUM(J46:P46)*$B$2)</f>
        <v/>
      </c>
      <c r="S46" s="33" t="n"/>
      <c r="T46" s="17" t="n"/>
    </row>
    <row r="47" ht="12.75" customHeight="1" s="251">
      <c r="A47" s="41" t="inlineStr">
        <is>
          <t>S10</t>
        </is>
      </c>
      <c r="B47" s="13" t="inlineStr">
        <is>
          <t>Lakshmikanth</t>
        </is>
      </c>
      <c r="C47" s="9" t="n">
        <v>0</v>
      </c>
      <c r="D47" s="55">
        <f>SUM($C$3:$C$5)/64</f>
        <v/>
      </c>
      <c r="E47" s="55">
        <f>C47+D47</f>
        <v/>
      </c>
      <c r="F47" s="55">
        <f>IF($C$70=0, 0, E47/$C$70)</f>
        <v/>
      </c>
      <c r="G47" s="55">
        <f>F47*$T$5</f>
        <v/>
      </c>
      <c r="H47" s="41" t="n">
        <v>3</v>
      </c>
      <c r="I47" s="55">
        <f>$T$7*H47</f>
        <v/>
      </c>
      <c r="J47" s="55">
        <f>G47+$T$9+I47</f>
        <v/>
      </c>
      <c r="K47" s="55">
        <f>$T$4/64</f>
        <v/>
      </c>
      <c r="L47" s="7" t="n">
        <v>0</v>
      </c>
      <c r="M47" s="55" t="n">
        <v>0</v>
      </c>
      <c r="N47" s="55" t="n">
        <v>0</v>
      </c>
      <c r="O47" s="55" t="n">
        <v>0</v>
      </c>
      <c r="P47" s="55" t="n"/>
      <c r="Q47" s="56" t="n"/>
      <c r="R47" s="56">
        <f>(SUM(J47:P47)*$B$2)</f>
        <v/>
      </c>
      <c r="S47" s="33" t="n"/>
      <c r="T47" s="17" t="n"/>
    </row>
    <row r="48" ht="12.75" customHeight="1" s="251">
      <c r="A48" s="41" t="inlineStr">
        <is>
          <t>S11</t>
        </is>
      </c>
      <c r="B48" s="13" t="inlineStr">
        <is>
          <t>Gowrish Patnaik / Somananth GM</t>
        </is>
      </c>
      <c r="C48" s="9" t="n">
        <v>0</v>
      </c>
      <c r="D48" s="55">
        <f>SUM($C$3:$C$5)/64</f>
        <v/>
      </c>
      <c r="E48" s="55">
        <f>C48+D48</f>
        <v/>
      </c>
      <c r="F48" s="55">
        <f>IF($C$70=0, 0, E48/$C$70)</f>
        <v/>
      </c>
      <c r="G48" s="55">
        <f>F48*$T$5</f>
        <v/>
      </c>
      <c r="H48" s="41" t="n">
        <v>3</v>
      </c>
      <c r="I48" s="55">
        <f>$T$7*H48</f>
        <v/>
      </c>
      <c r="J48" s="55">
        <f>G48+$T$9+I48</f>
        <v/>
      </c>
      <c r="K48" s="55">
        <f>$T$4/64</f>
        <v/>
      </c>
      <c r="L48" s="7" t="n">
        <v>0</v>
      </c>
      <c r="M48" s="55" t="n">
        <v>0</v>
      </c>
      <c r="N48" s="55" t="n">
        <v>0</v>
      </c>
      <c r="O48" s="55" t="n">
        <v>0</v>
      </c>
      <c r="P48" s="55" t="n"/>
      <c r="Q48" s="56" t="n"/>
      <c r="R48" s="56">
        <f>(SUM(J48:P48)*$B$2)</f>
        <v/>
      </c>
      <c r="S48" s="33" t="n"/>
      <c r="T48" s="17" t="n"/>
    </row>
    <row r="49" ht="12.75" customHeight="1" s="251">
      <c r="A49" s="41" t="inlineStr">
        <is>
          <t>S12</t>
        </is>
      </c>
      <c r="B49" s="13" t="inlineStr">
        <is>
          <t>Saovik Mondal</t>
        </is>
      </c>
      <c r="C49" s="9" t="n">
        <v>0</v>
      </c>
      <c r="D49" s="55">
        <f>SUM($C$3:$C$5)/64</f>
        <v/>
      </c>
      <c r="E49" s="55">
        <f>C49+D49</f>
        <v/>
      </c>
      <c r="F49" s="55">
        <f>IF($C$70=0, 0, E49/$C$70)</f>
        <v/>
      </c>
      <c r="G49" s="55">
        <f>F49*$T$5</f>
        <v/>
      </c>
      <c r="H49" s="41" t="n">
        <v>3</v>
      </c>
      <c r="I49" s="55">
        <f>$T$7*H49</f>
        <v/>
      </c>
      <c r="J49" s="55">
        <f>G49+$T$9+I49</f>
        <v/>
      </c>
      <c r="K49" s="55">
        <f>$T$4/64</f>
        <v/>
      </c>
      <c r="L49" s="7" t="n">
        <v>0</v>
      </c>
      <c r="M49" s="55" t="n">
        <v>0</v>
      </c>
      <c r="N49" s="55" t="n">
        <v>0</v>
      </c>
      <c r="O49" s="55" t="n">
        <v>0</v>
      </c>
      <c r="P49" s="55" t="n"/>
      <c r="Q49" s="56" t="n"/>
      <c r="R49" s="56">
        <f>(SUM(J49:P49)*$B$2)</f>
        <v/>
      </c>
      <c r="S49" s="33" t="n"/>
      <c r="T49" s="17" t="n"/>
    </row>
    <row r="50" ht="12.75" customHeight="1" s="251">
      <c r="A50" s="41" t="inlineStr">
        <is>
          <t>S13</t>
        </is>
      </c>
      <c r="B50" s="13" t="inlineStr">
        <is>
          <t>Ramadevi S.</t>
        </is>
      </c>
      <c r="C50" s="9" t="n">
        <v>0</v>
      </c>
      <c r="D50" s="55">
        <f>SUM($C$3:$C$5)/64</f>
        <v/>
      </c>
      <c r="E50" s="55">
        <f>C50+D50</f>
        <v/>
      </c>
      <c r="F50" s="55">
        <f>IF($C$70=0, 0, E50/$C$70)</f>
        <v/>
      </c>
      <c r="G50" s="55">
        <f>F50*$T$5</f>
        <v/>
      </c>
      <c r="H50" s="41" t="n">
        <v>4</v>
      </c>
      <c r="I50" s="55">
        <f>$T$7*H50</f>
        <v/>
      </c>
      <c r="J50" s="55">
        <f>G50+$T$9+I50</f>
        <v/>
      </c>
      <c r="K50" s="55">
        <f>$T$4/64</f>
        <v/>
      </c>
      <c r="L50" s="7" t="n">
        <v>0</v>
      </c>
      <c r="M50" s="55" t="n">
        <v>0</v>
      </c>
      <c r="N50" s="55" t="n">
        <v>0</v>
      </c>
      <c r="O50" s="55" t="n">
        <v>0</v>
      </c>
      <c r="P50" s="55" t="n"/>
      <c r="Q50" s="56" t="n"/>
      <c r="R50" s="56">
        <f>(SUM(J50:P50)*$B$2)</f>
        <v/>
      </c>
      <c r="S50" s="33" t="n"/>
      <c r="T50" s="17" t="n"/>
    </row>
    <row r="51" ht="12.75" customHeight="1" s="251">
      <c r="A51" s="41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55">
        <f>SUM($C$3:$C$5)/64</f>
        <v/>
      </c>
      <c r="E51" s="55">
        <f>C51+D51</f>
        <v/>
      </c>
      <c r="F51" s="55">
        <f>IF($C$70=0, 0, E51/$C$70)</f>
        <v/>
      </c>
      <c r="G51" s="55">
        <f>F51*$T$5</f>
        <v/>
      </c>
      <c r="H51" s="41" t="n">
        <v>4</v>
      </c>
      <c r="I51" s="55">
        <f>$T$7*H51</f>
        <v/>
      </c>
      <c r="J51" s="55">
        <f>G51+$T$9+I51</f>
        <v/>
      </c>
      <c r="K51" s="55">
        <f>$T$4/64</f>
        <v/>
      </c>
      <c r="L51" s="7" t="n">
        <v>0</v>
      </c>
      <c r="M51" s="55" t="n">
        <v>0</v>
      </c>
      <c r="N51" s="55" t="n">
        <v>0</v>
      </c>
      <c r="O51" s="55" t="n">
        <v>0</v>
      </c>
      <c r="P51" s="55" t="n"/>
      <c r="Q51" s="56" t="n"/>
      <c r="R51" s="56">
        <f>(SUM(J51:P51)*$B$2)</f>
        <v/>
      </c>
      <c r="S51" s="33" t="n"/>
      <c r="T51" s="17" t="n"/>
    </row>
    <row r="52" ht="12.75" customHeight="1" s="251">
      <c r="A52" s="41" t="inlineStr">
        <is>
          <t>S15</t>
        </is>
      </c>
      <c r="B52" s="13" t="inlineStr">
        <is>
          <t>Manas Dasgupta</t>
        </is>
      </c>
      <c r="C52" s="9" t="n">
        <v>0</v>
      </c>
      <c r="D52" s="55">
        <f>SUM($C$3:$C$5)/64</f>
        <v/>
      </c>
      <c r="E52" s="55">
        <f>C52+D52</f>
        <v/>
      </c>
      <c r="F52" s="55">
        <f>IF($C$70=0, 0, E52/$C$70)</f>
        <v/>
      </c>
      <c r="G52" s="55">
        <f>F52*$T$5</f>
        <v/>
      </c>
      <c r="H52" s="41" t="n">
        <v>4</v>
      </c>
      <c r="I52" s="55">
        <f>$T$7*H52</f>
        <v/>
      </c>
      <c r="J52" s="55">
        <f>G52+$T$9+I52</f>
        <v/>
      </c>
      <c r="K52" s="55">
        <f>$T$4/64</f>
        <v/>
      </c>
      <c r="L52" s="7" t="n">
        <v>0</v>
      </c>
      <c r="M52" s="55" t="n">
        <v>0</v>
      </c>
      <c r="N52" s="55" t="n">
        <v>0</v>
      </c>
      <c r="O52" s="55" t="n">
        <v>0</v>
      </c>
      <c r="P52" s="55" t="n"/>
      <c r="Q52" s="56" t="n"/>
      <c r="R52" s="56">
        <f>(SUM(J52:P52)*$B$2)</f>
        <v/>
      </c>
      <c r="S52" s="33" t="n"/>
      <c r="T52" s="17" t="n"/>
    </row>
    <row r="53" ht="12.75" customHeight="1" s="251">
      <c r="A53" s="41" t="inlineStr">
        <is>
          <t>S16</t>
        </is>
      </c>
      <c r="B53" s="13" t="inlineStr">
        <is>
          <t>Devendra Singh Rawat / Nancy</t>
        </is>
      </c>
      <c r="C53" s="9" t="n">
        <v>0</v>
      </c>
      <c r="D53" s="55">
        <f>SUM($C$3:$C$5)/64</f>
        <v/>
      </c>
      <c r="E53" s="55">
        <f>C53+D53</f>
        <v/>
      </c>
      <c r="F53" s="55">
        <f>IF($C$70=0, 0, E53/$C$70)</f>
        <v/>
      </c>
      <c r="G53" s="55">
        <f>F53*$T$5</f>
        <v/>
      </c>
      <c r="H53" s="41" t="n">
        <v>3</v>
      </c>
      <c r="I53" s="55">
        <f>$T$7*H53</f>
        <v/>
      </c>
      <c r="J53" s="55">
        <f>G53+$T$9+I53</f>
        <v/>
      </c>
      <c r="K53" s="55">
        <f>$T$4/64</f>
        <v/>
      </c>
      <c r="L53" s="7" t="n">
        <v>0</v>
      </c>
      <c r="M53" s="55" t="n">
        <v>0</v>
      </c>
      <c r="N53" s="55" t="n">
        <v>0</v>
      </c>
      <c r="O53" s="55" t="n">
        <v>0</v>
      </c>
      <c r="P53" s="55" t="n"/>
      <c r="Q53" s="56" t="n"/>
      <c r="R53" s="56">
        <f>(SUM(J53:P53)*$B$2)</f>
        <v/>
      </c>
      <c r="S53" s="33" t="n"/>
      <c r="T53" s="17" t="n"/>
    </row>
    <row r="54" ht="12.75" customHeight="1" s="251">
      <c r="A54" s="41" t="inlineStr">
        <is>
          <t>T1</t>
        </is>
      </c>
      <c r="B54" s="13" t="inlineStr">
        <is>
          <t>Prashant Sikdar</t>
        </is>
      </c>
      <c r="C54" s="9" t="n">
        <v>0</v>
      </c>
      <c r="D54" s="55">
        <f>SUM($C$3:$C$5)/64</f>
        <v/>
      </c>
      <c r="E54" s="55">
        <f>C54+D54</f>
        <v/>
      </c>
      <c r="F54" s="55">
        <f>IF($C$70=0, 0, E54/$C$70)</f>
        <v/>
      </c>
      <c r="G54" s="55">
        <f>F54*$T$5</f>
        <v/>
      </c>
      <c r="H54" s="41" t="n">
        <v>3</v>
      </c>
      <c r="I54" s="55">
        <f>$T$7*H54</f>
        <v/>
      </c>
      <c r="J54" s="55">
        <f>G54+$T$9+I54</f>
        <v/>
      </c>
      <c r="K54" s="55">
        <f>$T$4/64</f>
        <v/>
      </c>
      <c r="L54" s="7" t="n">
        <v>0</v>
      </c>
      <c r="M54" s="55" t="n">
        <v>0</v>
      </c>
      <c r="N54" s="55" t="n">
        <v>0</v>
      </c>
      <c r="O54" s="55" t="n">
        <v>0</v>
      </c>
      <c r="P54" s="55" t="n"/>
      <c r="Q54" s="56" t="n"/>
      <c r="R54" s="56">
        <f>(SUM(J54:P54)*$B$2)</f>
        <v/>
      </c>
      <c r="S54" s="33" t="n"/>
      <c r="T54" s="17" t="n"/>
    </row>
    <row r="55" ht="12.75" customHeight="1" s="251">
      <c r="A55" s="41" t="inlineStr">
        <is>
          <t>T2</t>
        </is>
      </c>
      <c r="B55" s="13" t="inlineStr">
        <is>
          <t>Kunal Mehta</t>
        </is>
      </c>
      <c r="C55" s="9" t="n">
        <v>0</v>
      </c>
      <c r="D55" s="55">
        <f>SUM($C$3:$C$5)/64</f>
        <v/>
      </c>
      <c r="E55" s="55">
        <f>C55+D55</f>
        <v/>
      </c>
      <c r="F55" s="55">
        <f>IF($C$70=0, 0, E55/$C$70)</f>
        <v/>
      </c>
      <c r="G55" s="55">
        <f>F55*$T$5</f>
        <v/>
      </c>
      <c r="H55" s="41" t="n">
        <v>4</v>
      </c>
      <c r="I55" s="55">
        <f>$T$7*H55</f>
        <v/>
      </c>
      <c r="J55" s="55">
        <f>G55+$T$9+I55</f>
        <v/>
      </c>
      <c r="K55" s="55">
        <f>$T$4/64</f>
        <v/>
      </c>
      <c r="L55" s="7" t="n">
        <v>0</v>
      </c>
      <c r="M55" s="55" t="n">
        <v>0</v>
      </c>
      <c r="N55" s="55" t="n">
        <v>0</v>
      </c>
      <c r="O55" s="55" t="n">
        <v>0</v>
      </c>
      <c r="P55" s="55" t="n"/>
      <c r="Q55" s="56" t="n"/>
      <c r="R55" s="56">
        <f>(SUM(J55:P55)*$B$2)</f>
        <v/>
      </c>
      <c r="S55" s="33" t="n"/>
      <c r="T55" s="17" t="n"/>
    </row>
    <row r="56" ht="12.75" customHeight="1" s="251">
      <c r="A56" s="41" t="inlineStr">
        <is>
          <t>T3</t>
        </is>
      </c>
      <c r="B56" s="13" t="inlineStr">
        <is>
          <t>Kapil Garg</t>
        </is>
      </c>
      <c r="C56" s="9" t="n">
        <v>0</v>
      </c>
      <c r="D56" s="55">
        <f>SUM($C$3:$C$5)/64</f>
        <v/>
      </c>
      <c r="E56" s="55">
        <f>C56+D56</f>
        <v/>
      </c>
      <c r="F56" s="55">
        <f>IF($C$70=0, 0, E56/$C$70)</f>
        <v/>
      </c>
      <c r="G56" s="55">
        <f>F56*$T$5</f>
        <v/>
      </c>
      <c r="H56" s="41" t="n">
        <v>4</v>
      </c>
      <c r="I56" s="55">
        <f>$T$7*H56</f>
        <v/>
      </c>
      <c r="J56" s="55">
        <f>G56+$T$9+I56</f>
        <v/>
      </c>
      <c r="K56" s="55">
        <f>$T$4/64</f>
        <v/>
      </c>
      <c r="L56" s="7" t="n">
        <v>0</v>
      </c>
      <c r="M56" s="55" t="n">
        <v>0</v>
      </c>
      <c r="N56" s="55" t="n">
        <v>0</v>
      </c>
      <c r="O56" s="55" t="n">
        <v>0</v>
      </c>
      <c r="P56" s="55" t="n"/>
      <c r="Q56" s="56" t="n"/>
      <c r="R56" s="56">
        <f>(SUM(J56:P56)*$B$2)</f>
        <v/>
      </c>
      <c r="S56" s="33" t="n"/>
      <c r="T56" s="17" t="n"/>
    </row>
    <row r="57" ht="12.75" customHeight="1" s="251">
      <c r="A57" s="41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55">
        <f>SUM($C$3:$C$5)/64</f>
        <v/>
      </c>
      <c r="E57" s="55">
        <f>C57+D57</f>
        <v/>
      </c>
      <c r="F57" s="55">
        <f>IF($C$70=0, 0, E57/$C$70)</f>
        <v/>
      </c>
      <c r="G57" s="55">
        <f>F57*$T$5</f>
        <v/>
      </c>
      <c r="H57" s="41" t="n">
        <v>4</v>
      </c>
      <c r="I57" s="55">
        <f>$T$7*H57</f>
        <v/>
      </c>
      <c r="J57" s="55">
        <f>G57+$T$9+I57</f>
        <v/>
      </c>
      <c r="K57" s="55">
        <f>$T$4/64</f>
        <v/>
      </c>
      <c r="L57" s="7" t="n">
        <v>0</v>
      </c>
      <c r="M57" s="55" t="n">
        <v>0</v>
      </c>
      <c r="N57" s="55" t="n">
        <v>0</v>
      </c>
      <c r="O57" s="55" t="n">
        <v>0</v>
      </c>
      <c r="P57" s="55" t="n"/>
      <c r="Q57" s="56" t="n"/>
      <c r="R57" s="56">
        <f>(SUM(J57:P57)*$B$2)</f>
        <v/>
      </c>
      <c r="S57" s="33" t="n"/>
      <c r="T57" s="17" t="n"/>
    </row>
    <row r="58" ht="12.75" customHeight="1" s="251">
      <c r="A58" s="41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55">
        <f>SUM($C$3:$C$5)/64</f>
        <v/>
      </c>
      <c r="E58" s="55">
        <f>C58+D58</f>
        <v/>
      </c>
      <c r="F58" s="55">
        <f>IF($C$70=0, 0, E58/$C$70)</f>
        <v/>
      </c>
      <c r="G58" s="55">
        <f>F58*$T$5</f>
        <v/>
      </c>
      <c r="H58" s="41" t="n">
        <v>3</v>
      </c>
      <c r="I58" s="55">
        <f>$T$7*H58</f>
        <v/>
      </c>
      <c r="J58" s="55">
        <f>G58+$T$9+I58</f>
        <v/>
      </c>
      <c r="K58" s="55">
        <f>$T$4/64</f>
        <v/>
      </c>
      <c r="L58" s="7" t="n">
        <v>0</v>
      </c>
      <c r="M58" s="55" t="n">
        <v>0</v>
      </c>
      <c r="N58" s="55" t="n">
        <v>0</v>
      </c>
      <c r="O58" s="55" t="n">
        <v>0</v>
      </c>
      <c r="P58" s="55" t="n"/>
      <c r="Q58" s="56" t="n"/>
      <c r="R58" s="56">
        <f>(SUM(J58:P58)*$B$2)</f>
        <v/>
      </c>
      <c r="S58" s="33" t="n"/>
      <c r="T58" s="17" t="n"/>
    </row>
    <row r="59" ht="12.75" customHeight="1" s="251">
      <c r="A59" s="41" t="inlineStr">
        <is>
          <t>T6</t>
        </is>
      </c>
      <c r="B59" s="13" t="inlineStr">
        <is>
          <t>Mythili Ramesh</t>
        </is>
      </c>
      <c r="C59" s="9" t="n">
        <v>0</v>
      </c>
      <c r="D59" s="55">
        <f>SUM($C$3:$C$5)/64</f>
        <v/>
      </c>
      <c r="E59" s="55">
        <f>C59+D59</f>
        <v/>
      </c>
      <c r="F59" s="55">
        <f>IF($C$70=0, 0, E59/$C$70)</f>
        <v/>
      </c>
      <c r="G59" s="55">
        <f>F59*$T$5</f>
        <v/>
      </c>
      <c r="H59" s="41" t="n">
        <v>3</v>
      </c>
      <c r="I59" s="55">
        <f>$T$7*H59</f>
        <v/>
      </c>
      <c r="J59" s="55">
        <f>G59+$T$9+I59</f>
        <v/>
      </c>
      <c r="K59" s="55">
        <f>$T$4/64</f>
        <v/>
      </c>
      <c r="L59" s="7" t="n">
        <v>0</v>
      </c>
      <c r="M59" s="55" t="n">
        <v>0</v>
      </c>
      <c r="N59" s="55" t="n">
        <v>0</v>
      </c>
      <c r="O59" s="55" t="n">
        <v>0</v>
      </c>
      <c r="P59" s="55" t="n"/>
      <c r="Q59" s="56" t="n"/>
      <c r="R59" s="56">
        <f>(SUM(J59:P59)*$B$2)</f>
        <v/>
      </c>
      <c r="S59" s="33" t="n"/>
      <c r="T59" s="17" t="n"/>
    </row>
    <row r="60" ht="12.75" customHeight="1" s="251">
      <c r="A60" s="41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55">
        <f>SUM($C$3:$C$5)/64</f>
        <v/>
      </c>
      <c r="E60" s="55">
        <f>C60+D60</f>
        <v/>
      </c>
      <c r="F60" s="55">
        <f>IF($C$70=0, 0, E60/$C$70)</f>
        <v/>
      </c>
      <c r="G60" s="55">
        <f>F60*$T$5</f>
        <v/>
      </c>
      <c r="H60" s="41" t="n">
        <v>3</v>
      </c>
      <c r="I60" s="55">
        <f>$T$7*H60</f>
        <v/>
      </c>
      <c r="J60" s="55">
        <f>G60+$T$9+I60</f>
        <v/>
      </c>
      <c r="K60" s="55">
        <f>$T$4/64</f>
        <v/>
      </c>
      <c r="L60" s="7" t="n">
        <v>0</v>
      </c>
      <c r="M60" s="55" t="n">
        <v>0</v>
      </c>
      <c r="N60" s="55" t="n">
        <v>0</v>
      </c>
      <c r="O60" s="55" t="n">
        <v>0</v>
      </c>
      <c r="P60" s="55" t="n"/>
      <c r="Q60" s="56" t="n"/>
      <c r="R60" s="56">
        <f>(SUM(J60:P60)*$B$2)</f>
        <v/>
      </c>
      <c r="S60" s="33" t="n"/>
      <c r="T60" s="17" t="n"/>
    </row>
    <row r="61" ht="12.75" customHeight="1" s="251">
      <c r="A61" s="41" t="inlineStr">
        <is>
          <t>T8</t>
        </is>
      </c>
      <c r="B61" s="13" t="inlineStr">
        <is>
          <t>Lalit Kumar Sharma</t>
        </is>
      </c>
      <c r="C61" s="9" t="n">
        <v>0</v>
      </c>
      <c r="D61" s="55">
        <f>SUM($C$3:$C$5)/64</f>
        <v/>
      </c>
      <c r="E61" s="55">
        <f>C61+D61</f>
        <v/>
      </c>
      <c r="F61" s="55">
        <f>IF($C$70=0, 0, E61/$C$70)</f>
        <v/>
      </c>
      <c r="G61" s="55">
        <f>F61*$T$5</f>
        <v/>
      </c>
      <c r="H61" s="41" t="n">
        <v>3</v>
      </c>
      <c r="I61" s="55">
        <f>$T$7*H61</f>
        <v/>
      </c>
      <c r="J61" s="55">
        <f>G61+$T$9+I61</f>
        <v/>
      </c>
      <c r="K61" s="55">
        <f>$T$4/64</f>
        <v/>
      </c>
      <c r="L61" s="7" t="n">
        <v>0</v>
      </c>
      <c r="M61" s="55" t="n">
        <v>0</v>
      </c>
      <c r="N61" s="55" t="n">
        <v>0</v>
      </c>
      <c r="O61" s="55" t="n">
        <v>0</v>
      </c>
      <c r="P61" s="55" t="n"/>
      <c r="Q61" s="56" t="n"/>
      <c r="R61" s="56">
        <f>(SUM(J61:P61)*$B$2)</f>
        <v/>
      </c>
      <c r="S61" s="33" t="n"/>
      <c r="T61" s="17" t="n"/>
    </row>
    <row r="62" ht="12.75" customHeight="1" s="251">
      <c r="A62" s="41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55">
        <f>SUM($C$3:$C$5)/64</f>
        <v/>
      </c>
      <c r="E62" s="55">
        <f>C62+D62</f>
        <v/>
      </c>
      <c r="F62" s="55">
        <f>IF($C$70=0, 0, E62/$C$70)</f>
        <v/>
      </c>
      <c r="G62" s="55">
        <f>F62*$T$5</f>
        <v/>
      </c>
      <c r="H62" s="41" t="n">
        <v>4</v>
      </c>
      <c r="I62" s="55">
        <f>$T$7*H62</f>
        <v/>
      </c>
      <c r="J62" s="55">
        <f>G62+$T$9+I62</f>
        <v/>
      </c>
      <c r="K62" s="55">
        <f>$T$4/64</f>
        <v/>
      </c>
      <c r="L62" s="7" t="n">
        <v>0</v>
      </c>
      <c r="M62" s="55" t="n">
        <v>0</v>
      </c>
      <c r="N62" s="55" t="n">
        <v>0</v>
      </c>
      <c r="O62" s="55" t="n">
        <v>0</v>
      </c>
      <c r="P62" s="55" t="n"/>
      <c r="Q62" s="56" t="n"/>
      <c r="R62" s="56">
        <f>(SUM(J62:P62)*$B$2)</f>
        <v/>
      </c>
      <c r="S62" s="33" t="n"/>
      <c r="T62" s="17" t="n"/>
    </row>
    <row r="63" ht="12.75" customHeight="1" s="251">
      <c r="A63" s="41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55">
        <f>SUM($C$3:$C$5)/64</f>
        <v/>
      </c>
      <c r="E63" s="55">
        <f>C63+D63</f>
        <v/>
      </c>
      <c r="F63" s="55">
        <f>IF($C$70=0, 0, E63/$C$70)</f>
        <v/>
      </c>
      <c r="G63" s="55">
        <f>F63*$T$5</f>
        <v/>
      </c>
      <c r="H63" s="41" t="n">
        <v>3</v>
      </c>
      <c r="I63" s="55">
        <f>$T$7*H63</f>
        <v/>
      </c>
      <c r="J63" s="55">
        <f>G63+$T$9+I63</f>
        <v/>
      </c>
      <c r="K63" s="55">
        <f>$T$4/64</f>
        <v/>
      </c>
      <c r="L63" s="7" t="n">
        <v>0</v>
      </c>
      <c r="M63" s="55" t="n">
        <v>0</v>
      </c>
      <c r="N63" s="55" t="n">
        <v>0</v>
      </c>
      <c r="O63" s="55" t="n">
        <v>0</v>
      </c>
      <c r="P63" s="55" t="n"/>
      <c r="Q63" s="56" t="n"/>
      <c r="R63" s="56">
        <f>(SUM(J63:P63)*$B$2)</f>
        <v/>
      </c>
      <c r="S63" s="33" t="n"/>
      <c r="T63" s="17" t="n"/>
    </row>
    <row r="64" ht="12.75" customHeight="1" s="251">
      <c r="A64" s="41" t="inlineStr">
        <is>
          <t>T11</t>
        </is>
      </c>
      <c r="B64" s="13" t="inlineStr">
        <is>
          <t>Arvind Balasubramanian</t>
        </is>
      </c>
      <c r="C64" s="9" t="n">
        <v>0</v>
      </c>
      <c r="D64" s="55">
        <f>SUM($C$3:$C$5)/64</f>
        <v/>
      </c>
      <c r="E64" s="55">
        <f>C64+D64</f>
        <v/>
      </c>
      <c r="F64" s="55">
        <f>IF($C$70=0, 0, E64/$C$70)</f>
        <v/>
      </c>
      <c r="G64" s="55">
        <f>F64*$T$5</f>
        <v/>
      </c>
      <c r="H64" s="41" t="n">
        <v>3</v>
      </c>
      <c r="I64" s="55">
        <f>$T$7*H64</f>
        <v/>
      </c>
      <c r="J64" s="55">
        <f>G64+$T$9+I64</f>
        <v/>
      </c>
      <c r="K64" s="55">
        <f>$T$4/64</f>
        <v/>
      </c>
      <c r="L64" s="7" t="n">
        <v>0</v>
      </c>
      <c r="M64" s="55" t="n">
        <v>0</v>
      </c>
      <c r="N64" s="55" t="n">
        <v>0</v>
      </c>
      <c r="O64" s="55" t="n">
        <v>0</v>
      </c>
      <c r="P64" s="55" t="n"/>
      <c r="Q64" s="56" t="n"/>
      <c r="R64" s="56">
        <f>(SUM(J64:P64)*$B$2)</f>
        <v/>
      </c>
      <c r="S64" s="33" t="n"/>
      <c r="T64" s="17" t="n"/>
    </row>
    <row r="65" ht="12.75" customHeight="1" s="251">
      <c r="A65" s="41" t="inlineStr">
        <is>
          <t>T12</t>
        </is>
      </c>
      <c r="B65" s="13" t="inlineStr">
        <is>
          <t>Prasenjit</t>
        </is>
      </c>
      <c r="C65" s="9" t="n">
        <v>0</v>
      </c>
      <c r="D65" s="55">
        <f>SUM($C$3:$C$5)/64</f>
        <v/>
      </c>
      <c r="E65" s="55">
        <f>C65+D65</f>
        <v/>
      </c>
      <c r="F65" s="55">
        <f>IF($C$70=0, 0, E65/$C$70)</f>
        <v/>
      </c>
      <c r="G65" s="55">
        <f>F65*$T$5</f>
        <v/>
      </c>
      <c r="H65" s="41" t="n">
        <v>3</v>
      </c>
      <c r="I65" s="55">
        <f>$T$7*H65</f>
        <v/>
      </c>
      <c r="J65" s="55">
        <f>G65+$T$9+I65</f>
        <v/>
      </c>
      <c r="K65" s="55">
        <f>$T$4/64</f>
        <v/>
      </c>
      <c r="L65" s="7" t="n">
        <v>0</v>
      </c>
      <c r="M65" s="55" t="n">
        <v>0</v>
      </c>
      <c r="N65" s="55" t="n">
        <v>0</v>
      </c>
      <c r="O65" s="55" t="n">
        <v>0</v>
      </c>
      <c r="P65" s="55" t="n"/>
      <c r="Q65" s="56" t="n"/>
      <c r="R65" s="56">
        <f>(SUM(J65:P65)*$B$2)</f>
        <v/>
      </c>
      <c r="S65" s="33" t="n"/>
      <c r="T65" s="17" t="n"/>
    </row>
    <row r="66" ht="12.75" customHeight="1" s="251">
      <c r="A66" s="41" t="inlineStr">
        <is>
          <t>T13</t>
        </is>
      </c>
      <c r="B66" s="13" t="inlineStr">
        <is>
          <t>Rahul Kumar</t>
        </is>
      </c>
      <c r="C66" s="9" t="n">
        <v>0</v>
      </c>
      <c r="D66" s="55">
        <f>SUM($C$3:$C$5)/64</f>
        <v/>
      </c>
      <c r="E66" s="55">
        <f>C66+D66</f>
        <v/>
      </c>
      <c r="F66" s="55">
        <f>IF($C$70=0, 0, E66/$C$70)</f>
        <v/>
      </c>
      <c r="G66" s="55">
        <f>F66*$T$5</f>
        <v/>
      </c>
      <c r="H66" s="41" t="n">
        <v>4</v>
      </c>
      <c r="I66" s="55">
        <f>$T$7*H66</f>
        <v/>
      </c>
      <c r="J66" s="55">
        <f>G66+$T$9+I66</f>
        <v/>
      </c>
      <c r="K66" s="55">
        <f>$T$4/64</f>
        <v/>
      </c>
      <c r="L66" s="7" t="n">
        <v>0</v>
      </c>
      <c r="M66" s="55" t="n">
        <v>0</v>
      </c>
      <c r="N66" s="55" t="n">
        <v>0</v>
      </c>
      <c r="O66" s="55" t="n">
        <v>0</v>
      </c>
      <c r="P66" s="55" t="n"/>
      <c r="Q66" s="56" t="n"/>
      <c r="R66" s="56">
        <f>(SUM(J66:P66)*$B$2)</f>
        <v/>
      </c>
      <c r="S66" s="33" t="n"/>
      <c r="T66" s="17" t="n"/>
    </row>
    <row r="67" ht="12.75" customHeight="1" s="251">
      <c r="A67" s="41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55">
        <f>SUM($C$3:$C$5)/64</f>
        <v/>
      </c>
      <c r="E67" s="55">
        <f>C67+D67</f>
        <v/>
      </c>
      <c r="F67" s="55">
        <f>IF($C$70=0, 0, E67/$C$70)</f>
        <v/>
      </c>
      <c r="G67" s="55">
        <f>F67*$T$5</f>
        <v/>
      </c>
      <c r="H67" s="41" t="n">
        <v>4</v>
      </c>
      <c r="I67" s="55">
        <f>$T$7*H67</f>
        <v/>
      </c>
      <c r="J67" s="55">
        <f>G67+$T$9+I67</f>
        <v/>
      </c>
      <c r="K67" s="55">
        <f>$T$4/64</f>
        <v/>
      </c>
      <c r="L67" s="7" t="n">
        <v>0</v>
      </c>
      <c r="M67" s="55" t="n">
        <v>0</v>
      </c>
      <c r="N67" s="55" t="n">
        <v>0</v>
      </c>
      <c r="O67" s="55" t="n">
        <v>0</v>
      </c>
      <c r="P67" s="55" t="n"/>
      <c r="Q67" s="56" t="n"/>
      <c r="R67" s="56">
        <f>(SUM(J67:P67)*$B$2)</f>
        <v/>
      </c>
      <c r="S67" s="33" t="n"/>
      <c r="T67" s="17" t="n"/>
    </row>
    <row r="68" ht="12.75" customHeight="1" s="251">
      <c r="A68" s="41" t="inlineStr">
        <is>
          <t>T15</t>
        </is>
      </c>
      <c r="B68" s="13" t="inlineStr">
        <is>
          <t>Trevor</t>
        </is>
      </c>
      <c r="C68" s="9" t="n">
        <v>0</v>
      </c>
      <c r="D68" s="55">
        <f>SUM($C$3:$C$5)/64</f>
        <v/>
      </c>
      <c r="E68" s="55">
        <f>C68+D68</f>
        <v/>
      </c>
      <c r="F68" s="55">
        <f>IF($C$70=0, 0, E68/$C$70)</f>
        <v/>
      </c>
      <c r="G68" s="55">
        <f>F68*$T$5</f>
        <v/>
      </c>
      <c r="H68" s="41" t="n">
        <v>4</v>
      </c>
      <c r="I68" s="55">
        <f>$T$7*H68</f>
        <v/>
      </c>
      <c r="J68" s="55">
        <f>G68+$T$9+I68</f>
        <v/>
      </c>
      <c r="K68" s="55">
        <f>$T$4/64</f>
        <v/>
      </c>
      <c r="L68" s="7" t="n">
        <v>0</v>
      </c>
      <c r="M68" s="55" t="n">
        <v>0</v>
      </c>
      <c r="N68" s="55" t="n">
        <v>0</v>
      </c>
      <c r="O68" s="55" t="n">
        <v>0</v>
      </c>
      <c r="P68" s="55" t="n"/>
      <c r="Q68" s="56" t="n"/>
      <c r="R68" s="56">
        <f>(SUM(J68:P68)*$B$2)</f>
        <v/>
      </c>
      <c r="S68" s="33" t="n"/>
      <c r="T68" s="17" t="n"/>
    </row>
    <row r="69" ht="12.75" customHeight="1" s="251">
      <c r="A69" s="41" t="inlineStr">
        <is>
          <t>T16</t>
        </is>
      </c>
      <c r="B69" s="13" t="inlineStr">
        <is>
          <t>Madhusoodanan P.R.</t>
        </is>
      </c>
      <c r="C69" s="9" t="n">
        <v>0</v>
      </c>
      <c r="D69" s="55">
        <f>SUM($C$3:$C$5)/64</f>
        <v/>
      </c>
      <c r="E69" s="55">
        <f>C69+D69</f>
        <v/>
      </c>
      <c r="F69" s="55">
        <f>IF($C$70=0, 0, E69/$C$70)</f>
        <v/>
      </c>
      <c r="G69" s="55">
        <f>F69*$T$5</f>
        <v/>
      </c>
      <c r="H69" s="41" t="n">
        <v>3</v>
      </c>
      <c r="I69" s="55">
        <f>$T$7*H69</f>
        <v/>
      </c>
      <c r="J69" s="55">
        <f>G69+$T$9+I69</f>
        <v/>
      </c>
      <c r="K69" s="55">
        <f>$T$4/64</f>
        <v/>
      </c>
      <c r="L69" s="7" t="n">
        <v>0</v>
      </c>
      <c r="M69" s="55" t="n">
        <v>0</v>
      </c>
      <c r="N69" s="55" t="n">
        <v>0</v>
      </c>
      <c r="O69" s="55" t="n">
        <v>0</v>
      </c>
      <c r="P69" s="55" t="n"/>
      <c r="Q69" s="56" t="n"/>
      <c r="R69" s="56">
        <f>(SUM(J69:P69)*$B$2)</f>
        <v/>
      </c>
      <c r="S69" s="33" t="n"/>
      <c r="T69" s="17" t="n"/>
    </row>
    <row r="70" ht="12.75" customHeight="1" s="251">
      <c r="A70" s="52" t="inlineStr">
        <is>
          <t>TOTAL</t>
        </is>
      </c>
      <c r="B70" s="69" t="inlineStr">
        <is>
          <t>TOTAL</t>
        </is>
      </c>
      <c r="C70" s="56">
        <f>SUM(C3:C69)</f>
        <v/>
      </c>
      <c r="D70" s="56">
        <f>SUM(D3:D69)</f>
        <v/>
      </c>
      <c r="E70" s="56">
        <f>SUM(E5:E69)</f>
        <v/>
      </c>
      <c r="F70" s="56">
        <f>SUM(F6:F69)</f>
        <v/>
      </c>
      <c r="G70" s="56">
        <f>SUM(G6:G69)</f>
        <v/>
      </c>
      <c r="H70" s="56">
        <f>SUM(H3:H69)</f>
        <v/>
      </c>
      <c r="I70" s="56">
        <f>SUM(I3:I69)</f>
        <v/>
      </c>
      <c r="J70" s="56">
        <f>SUM(J6:J69)</f>
        <v/>
      </c>
      <c r="K70" s="56">
        <f>SUM(K6:K69)</f>
        <v/>
      </c>
      <c r="L70" s="52">
        <f>SUM(L3:L69)</f>
        <v/>
      </c>
      <c r="M70" s="52">
        <f>SUM(M3:M69)</f>
        <v/>
      </c>
      <c r="N70" s="52">
        <f>SUM(N3:N69)</f>
        <v/>
      </c>
      <c r="O70" s="52">
        <f>SUM(O3:O69)</f>
        <v/>
      </c>
      <c r="P70" s="52">
        <f>SUM(P3:P69)</f>
        <v/>
      </c>
      <c r="Q70" s="52" t="n"/>
      <c r="R70" s="52">
        <f>SUM(R3:R69)</f>
        <v/>
      </c>
      <c r="S70" s="33" t="n"/>
      <c r="T70" s="17" t="n"/>
    </row>
    <row r="71" ht="12.75" customHeight="1" s="251">
      <c r="S71" s="33" t="n"/>
      <c r="T71" s="17" t="n"/>
    </row>
    <row r="72" ht="12.75" customHeight="1" s="251">
      <c r="S72" s="33" t="n"/>
      <c r="T72" s="17" t="n"/>
    </row>
    <row r="73" ht="12.75" customHeight="1" s="251">
      <c r="S73" s="34" t="n"/>
      <c r="T73" s="35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70" t="inlineStr">
        <is>
          <t>Date</t>
        </is>
      </c>
      <c r="E1" s="37" t="inlineStr">
        <is>
          <t>Amount</t>
        </is>
      </c>
      <c r="F1" s="70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71" t="n"/>
      <c r="F2" s="71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C3" s="40" t="n"/>
      <c r="D3" s="72" t="n"/>
      <c r="F3" s="72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71" t="n"/>
      <c r="E4" s="46" t="n"/>
      <c r="F4" s="71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72" t="n"/>
      <c r="F5" s="72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71" t="n"/>
      <c r="F6" s="71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0" t="n"/>
      <c r="D7" s="72" t="n"/>
      <c r="F7" s="72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0" t="n"/>
      <c r="D8" s="71" t="n"/>
      <c r="E8" s="42" t="n"/>
      <c r="F8" s="71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73" t="n"/>
      <c r="D9" s="74" t="n"/>
      <c r="F9" s="71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73" t="n"/>
      <c r="D10" s="72" t="n"/>
      <c r="F10" s="71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72" t="n"/>
      <c r="F11" s="72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Niwin Anto</t>
        </is>
      </c>
      <c r="C12" s="73" t="n"/>
      <c r="D12" s="74" t="n"/>
      <c r="F12" s="71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71" t="n"/>
      <c r="F13" s="71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71" t="n"/>
      <c r="E14" s="42" t="n"/>
      <c r="F14" s="71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71" t="n"/>
      <c r="F15" s="72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2" t="n"/>
      <c r="D16" s="71" t="n"/>
      <c r="F16" s="71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72" t="n"/>
      <c r="F17" s="72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72" t="n"/>
      <c r="E18" s="4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74" t="n"/>
      <c r="F19" s="71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74" t="n"/>
      <c r="F20" s="71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74" t="n"/>
      <c r="F21" s="71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71" t="n"/>
      <c r="F22" s="72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D23" s="72" t="n"/>
      <c r="F23" s="72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73" t="n"/>
      <c r="D24" s="74" t="n"/>
      <c r="F24" s="71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0" t="n"/>
      <c r="D25" s="72" t="n"/>
      <c r="F25" s="72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Chandramouli</t>
        </is>
      </c>
      <c r="C26" s="73" t="n"/>
      <c r="D26" s="74" t="n"/>
      <c r="F26" s="71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6" t="n"/>
      <c r="D27" s="72" t="n"/>
      <c r="F27" s="72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73" t="n"/>
      <c r="D28" s="71" t="n"/>
      <c r="E28" s="40" t="n"/>
      <c r="F28" s="71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74" t="n"/>
      <c r="F29" s="71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C30" s="40" t="n"/>
      <c r="D30" s="72" t="n"/>
      <c r="F30" s="72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2" t="n"/>
      <c r="D31" s="71" t="n"/>
      <c r="F31" s="71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42" t="n"/>
      <c r="F32" s="71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71" t="n"/>
      <c r="F33" s="71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74" t="n"/>
      <c r="F34" s="71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0" t="n"/>
      <c r="D35" s="72" t="n"/>
      <c r="E35" s="40" t="n"/>
      <c r="F35" s="72" t="n"/>
      <c r="H35" s="72" t="n"/>
      <c r="K35" s="40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0" t="n"/>
      <c r="D36" s="72" t="n"/>
      <c r="F36" s="72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71" t="n"/>
      <c r="F37" s="71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71" t="n"/>
      <c r="F38" s="71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C39" s="40" t="n"/>
      <c r="D39" s="71" t="n"/>
      <c r="F39" s="71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74" t="n"/>
      <c r="F40" s="71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74" t="n"/>
      <c r="F41" s="71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74" t="n"/>
      <c r="E42" s="40" t="n"/>
      <c r="F42" s="71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42" t="n"/>
      <c r="F43" s="71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2" t="n"/>
      <c r="D44" s="71" t="n"/>
      <c r="F44" s="71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71" t="n"/>
      <c r="F45" s="71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71" t="n"/>
      <c r="E46" s="42" t="n"/>
      <c r="F46" s="71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72" t="n"/>
      <c r="F47" s="72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74" t="n"/>
      <c r="F48" s="71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72" t="n"/>
      <c r="F49" s="72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71" t="n"/>
      <c r="F50" s="71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72" t="n"/>
      <c r="F51" s="72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74" t="n"/>
      <c r="E52" s="40" t="n"/>
      <c r="F52" s="71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71" t="n"/>
      <c r="F53" s="71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71" t="n"/>
      <c r="F54" s="71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72" t="n"/>
      <c r="F55" s="72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71" t="n"/>
      <c r="F56" s="71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6" t="n"/>
      <c r="D57" s="75" t="n"/>
      <c r="F57" s="72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72" t="n"/>
      <c r="F58" s="72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73" t="n"/>
      <c r="D59" s="74" t="n"/>
      <c r="F59" s="71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74" t="n"/>
      <c r="F60" s="71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71" t="n"/>
      <c r="E61" s="40" t="n"/>
      <c r="F61" s="71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C62" s="73" t="n"/>
      <c r="D62" s="74" t="n"/>
      <c r="F62" s="71" t="n"/>
      <c r="H62" s="71" t="n"/>
      <c r="K62" s="46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72" t="n"/>
      <c r="E63" s="40" t="n"/>
      <c r="F63" s="72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73" t="n"/>
      <c r="D64" s="74" t="n"/>
      <c r="F64" s="71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71" t="n"/>
      <c r="F65" s="71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76" t="n"/>
      <c r="E66" s="51" t="n"/>
      <c r="F66" s="76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72" t="n"/>
      <c r="F67" s="72" t="n"/>
      <c r="H67" s="72" t="n"/>
    </row>
    <row r="68">
      <c r="D68" s="72" t="n"/>
      <c r="F68" s="72" t="n"/>
      <c r="H68" s="72" t="n"/>
    </row>
    <row r="69">
      <c r="D69" s="72" t="n"/>
      <c r="F69" s="72" t="n"/>
      <c r="H69" s="72" t="n"/>
    </row>
    <row r="70">
      <c r="A70" s="36" t="n"/>
      <c r="D70" s="72" t="n"/>
      <c r="F70" s="72" t="n"/>
      <c r="H70" s="72" t="n"/>
    </row>
    <row r="71">
      <c r="A71" s="36" t="n"/>
      <c r="D71" s="72" t="n"/>
      <c r="F71" s="72" t="n"/>
      <c r="H71" s="72" t="n"/>
    </row>
    <row r="72">
      <c r="A72" s="41" t="n"/>
      <c r="D72" s="72" t="n"/>
      <c r="F72" s="72" t="n"/>
      <c r="H72" s="72" t="n"/>
    </row>
    <row r="73">
      <c r="A73" s="41" t="n"/>
      <c r="D73" s="72" t="n"/>
      <c r="F73" s="72" t="n"/>
      <c r="H73" s="72" t="n"/>
    </row>
    <row r="74">
      <c r="A74" s="41" t="n"/>
      <c r="D74" s="72" t="n"/>
      <c r="F74" s="72" t="n"/>
      <c r="H74" s="72" t="n"/>
    </row>
    <row r="75">
      <c r="A75" s="41" t="n"/>
      <c r="D75" s="72" t="n"/>
      <c r="F75" s="72" t="n"/>
      <c r="H75" s="72" t="n"/>
    </row>
    <row r="76">
      <c r="A76" s="41" t="n"/>
      <c r="D76" s="72" t="n"/>
      <c r="F76" s="72" t="n"/>
      <c r="H76" s="72" t="n"/>
    </row>
    <row r="77">
      <c r="A77" s="41" t="n"/>
      <c r="D77" s="72" t="n"/>
      <c r="F77" s="72" t="n"/>
      <c r="H77" s="72" t="n"/>
    </row>
    <row r="78">
      <c r="A78" s="41" t="n"/>
      <c r="D78" s="72" t="n"/>
      <c r="F78" s="72" t="n"/>
      <c r="H78" s="72" t="n"/>
    </row>
    <row r="79">
      <c r="A79" s="41" t="n"/>
      <c r="D79" s="72" t="n"/>
      <c r="F79" s="72" t="n"/>
      <c r="H79" s="72" t="n"/>
    </row>
    <row r="80">
      <c r="A80" s="41" t="n"/>
      <c r="D80" s="72" t="n"/>
      <c r="F80" s="72" t="n"/>
      <c r="H80" s="72" t="n"/>
    </row>
    <row r="81">
      <c r="A81" s="41" t="n"/>
      <c r="D81" s="72" t="n"/>
      <c r="F81" s="72" t="n"/>
      <c r="H81" s="72" t="n"/>
    </row>
    <row r="82">
      <c r="A82" s="41" t="n"/>
      <c r="D82" s="72" t="n"/>
      <c r="F82" s="72" t="n"/>
      <c r="H82" s="72" t="n"/>
    </row>
    <row r="83">
      <c r="A83" s="41" t="n"/>
      <c r="D83" s="72" t="n"/>
      <c r="F83" s="72" t="n"/>
      <c r="H83" s="72" t="n"/>
    </row>
    <row r="84">
      <c r="A84" s="41" t="n"/>
      <c r="D84" s="72" t="n"/>
      <c r="F84" s="72" t="n"/>
      <c r="H84" s="72" t="n"/>
    </row>
    <row r="85">
      <c r="A85" s="41" t="n"/>
      <c r="D85" s="72" t="n"/>
      <c r="F85" s="72" t="n"/>
      <c r="H85" s="72" t="n"/>
    </row>
    <row r="86">
      <c r="A86" s="41" t="n"/>
      <c r="D86" s="72" t="n"/>
      <c r="F86" s="72" t="n"/>
      <c r="H86" s="72" t="n"/>
    </row>
    <row r="87">
      <c r="A87" s="41" t="n"/>
      <c r="D87" s="72" t="n"/>
      <c r="F87" s="72" t="n"/>
      <c r="H87" s="72" t="n"/>
    </row>
    <row r="88">
      <c r="A88" s="41" t="n"/>
      <c r="D88" s="72" t="n"/>
      <c r="F88" s="72" t="n"/>
      <c r="H88" s="72" t="n"/>
    </row>
    <row r="89">
      <c r="A89" s="41" t="n"/>
      <c r="D89" s="72" t="n"/>
      <c r="F89" s="72" t="n"/>
      <c r="H89" s="72" t="n"/>
    </row>
    <row r="90">
      <c r="A90" s="41" t="n"/>
      <c r="D90" s="72" t="n"/>
      <c r="F90" s="72" t="n"/>
      <c r="H90" s="72" t="n"/>
    </row>
    <row r="91">
      <c r="A91" s="41" t="n"/>
      <c r="D91" s="72" t="n"/>
      <c r="F91" s="72" t="n"/>
      <c r="H91" s="72" t="n"/>
    </row>
    <row r="92">
      <c r="A92" s="41" t="n"/>
      <c r="D92" s="72" t="n"/>
      <c r="F92" s="72" t="n"/>
      <c r="H92" s="72" t="n"/>
    </row>
    <row r="93">
      <c r="A93" s="41" t="n"/>
      <c r="D93" s="72" t="n"/>
      <c r="F93" s="72" t="n"/>
      <c r="H93" s="72" t="n"/>
    </row>
    <row r="94">
      <c r="A94" s="41" t="n"/>
      <c r="D94" s="72" t="n"/>
      <c r="F94" s="72" t="n"/>
      <c r="H94" s="72" t="n"/>
    </row>
    <row r="95">
      <c r="A95" s="41" t="n"/>
      <c r="D95" s="72" t="n"/>
      <c r="F95" s="72" t="n"/>
      <c r="H95" s="72" t="n"/>
    </row>
    <row r="96">
      <c r="A96" s="41" t="n"/>
      <c r="D96" s="72" t="n"/>
      <c r="F96" s="72" t="n"/>
      <c r="H96" s="72" t="n"/>
    </row>
    <row r="97">
      <c r="A97" s="41" t="n"/>
      <c r="D97" s="72" t="n"/>
      <c r="F97" s="72" t="n"/>
      <c r="H97" s="72" t="n"/>
    </row>
    <row r="98">
      <c r="A98" s="41" t="n"/>
      <c r="D98" s="72" t="n"/>
      <c r="F98" s="72" t="n"/>
      <c r="H98" s="72" t="n"/>
    </row>
    <row r="99">
      <c r="A99" s="41" t="n"/>
      <c r="D99" s="72" t="n"/>
      <c r="F99" s="72" t="n"/>
      <c r="H99" s="72" t="n"/>
    </row>
    <row r="100">
      <c r="A100" s="41" t="n"/>
      <c r="D100" s="72" t="n"/>
      <c r="F100" s="72" t="n"/>
      <c r="H100" s="72" t="n"/>
    </row>
    <row r="101">
      <c r="A101" s="41" t="n"/>
      <c r="D101" s="72" t="n"/>
      <c r="F101" s="72" t="n"/>
      <c r="H101" s="72" t="n"/>
    </row>
    <row r="102">
      <c r="A102" s="41" t="n"/>
      <c r="D102" s="72" t="n"/>
      <c r="F102" s="72" t="n"/>
      <c r="H102" s="72" t="n"/>
    </row>
    <row r="103">
      <c r="A103" s="41" t="n"/>
      <c r="D103" s="72" t="n"/>
      <c r="F103" s="72" t="n"/>
      <c r="H103" s="72" t="n"/>
    </row>
    <row r="104">
      <c r="A104" s="41" t="n"/>
      <c r="D104" s="72" t="n"/>
      <c r="F104" s="72" t="n"/>
      <c r="H104" s="72" t="n"/>
    </row>
    <row r="105">
      <c r="A105" s="41" t="n"/>
      <c r="D105" s="72" t="n"/>
      <c r="F105" s="72" t="n"/>
      <c r="H105" s="72" t="n"/>
    </row>
    <row r="106">
      <c r="A106" s="41" t="n"/>
      <c r="D106" s="72" t="n"/>
      <c r="F106" s="72" t="n"/>
      <c r="H106" s="72" t="n"/>
    </row>
    <row r="107">
      <c r="A107" s="41" t="n"/>
      <c r="D107" s="72" t="n"/>
      <c r="F107" s="72" t="n"/>
      <c r="H107" s="72" t="n"/>
    </row>
    <row r="108">
      <c r="A108" s="41" t="n"/>
      <c r="D108" s="72" t="n"/>
      <c r="F108" s="72" t="n"/>
      <c r="H108" s="72" t="n"/>
    </row>
    <row r="109">
      <c r="A109" s="41" t="n"/>
      <c r="D109" s="72" t="n"/>
      <c r="F109" s="72" t="n"/>
      <c r="H109" s="72" t="n"/>
    </row>
    <row r="110">
      <c r="A110" s="41" t="n"/>
      <c r="D110" s="72" t="n"/>
      <c r="F110" s="72" t="n"/>
      <c r="H110" s="72" t="n"/>
    </row>
    <row r="111">
      <c r="A111" s="41" t="n"/>
      <c r="D111" s="72" t="n"/>
      <c r="F111" s="72" t="n"/>
      <c r="H111" s="72" t="n"/>
    </row>
    <row r="112">
      <c r="A112" s="41" t="n"/>
      <c r="D112" s="72" t="n"/>
      <c r="F112" s="72" t="n"/>
      <c r="H112" s="72" t="n"/>
    </row>
    <row r="113">
      <c r="A113" s="41" t="n"/>
      <c r="D113" s="72" t="n"/>
      <c r="F113" s="72" t="n"/>
      <c r="H113" s="72" t="n"/>
    </row>
    <row r="114">
      <c r="A114" s="41" t="n"/>
      <c r="D114" s="72" t="n"/>
      <c r="F114" s="72" t="n"/>
      <c r="H114" s="72" t="n"/>
    </row>
    <row r="115">
      <c r="A115" s="41" t="n"/>
      <c r="D115" s="72" t="n"/>
      <c r="F115" s="72" t="n"/>
      <c r="H115" s="72" t="n"/>
    </row>
    <row r="116">
      <c r="A116" s="41" t="n"/>
      <c r="D116" s="72" t="n"/>
      <c r="F116" s="72" t="n"/>
      <c r="H116" s="72" t="n"/>
    </row>
    <row r="117">
      <c r="A117" s="41" t="n"/>
      <c r="D117" s="72" t="n"/>
      <c r="F117" s="72" t="n"/>
      <c r="H117" s="72" t="n"/>
    </row>
    <row r="118">
      <c r="A118" s="41" t="n"/>
      <c r="D118" s="72" t="n"/>
      <c r="F118" s="72" t="n"/>
      <c r="H118" s="72" t="n"/>
    </row>
    <row r="119">
      <c r="A119" s="41" t="n"/>
      <c r="D119" s="72" t="n"/>
      <c r="F119" s="72" t="n"/>
      <c r="H119" s="72" t="n"/>
    </row>
    <row r="120">
      <c r="A120" s="41" t="n"/>
      <c r="D120" s="72" t="n"/>
      <c r="F120" s="72" t="n"/>
      <c r="H120" s="72" t="n"/>
    </row>
    <row r="121">
      <c r="A121" s="41" t="n"/>
      <c r="D121" s="72" t="n"/>
      <c r="F121" s="72" t="n"/>
      <c r="H121" s="72" t="n"/>
    </row>
    <row r="122">
      <c r="A122" s="41" t="n"/>
      <c r="D122" s="72" t="n"/>
      <c r="F122" s="72" t="n"/>
      <c r="H122" s="72" t="n"/>
    </row>
    <row r="123">
      <c r="A123" s="41" t="n"/>
      <c r="D123" s="72" t="n"/>
      <c r="F123" s="72" t="n"/>
      <c r="H123" s="72" t="n"/>
    </row>
    <row r="124">
      <c r="A124" s="41" t="n"/>
      <c r="D124" s="72" t="n"/>
      <c r="F124" s="72" t="n"/>
      <c r="H124" s="72" t="n"/>
    </row>
    <row r="125">
      <c r="A125" s="41" t="n"/>
      <c r="D125" s="72" t="n"/>
      <c r="F125" s="72" t="n"/>
      <c r="H125" s="72" t="n"/>
    </row>
    <row r="126">
      <c r="A126" s="41" t="n"/>
      <c r="D126" s="72" t="n"/>
      <c r="F126" s="72" t="n"/>
      <c r="H126" s="72" t="n"/>
    </row>
    <row r="127">
      <c r="A127" s="41" t="n"/>
      <c r="D127" s="72" t="n"/>
      <c r="F127" s="72" t="n"/>
      <c r="H127" s="72" t="n"/>
    </row>
    <row r="128">
      <c r="A128" s="41" t="n"/>
      <c r="D128" s="72" t="n"/>
      <c r="F128" s="72" t="n"/>
      <c r="H128" s="72" t="n"/>
    </row>
    <row r="129">
      <c r="A129" s="41" t="n"/>
      <c r="D129" s="72" t="n"/>
      <c r="F129" s="72" t="n"/>
      <c r="H129" s="72" t="n"/>
    </row>
    <row r="130">
      <c r="A130" s="41" t="n"/>
      <c r="D130" s="72" t="n"/>
      <c r="F130" s="72" t="n"/>
      <c r="H130" s="72" t="n"/>
    </row>
    <row r="131">
      <c r="A131" s="41" t="n"/>
      <c r="D131" s="72" t="n"/>
      <c r="F131" s="72" t="n"/>
      <c r="H131" s="72" t="n"/>
    </row>
    <row r="132">
      <c r="A132" s="41" t="n"/>
      <c r="D132" s="72" t="n"/>
      <c r="F132" s="72" t="n"/>
      <c r="H132" s="72" t="n"/>
    </row>
    <row r="133">
      <c r="A133" s="41" t="n"/>
      <c r="D133" s="72" t="n"/>
      <c r="F133" s="72" t="n"/>
      <c r="H133" s="72" t="n"/>
    </row>
    <row r="134">
      <c r="A134" s="41" t="n"/>
      <c r="D134" s="72" t="n"/>
      <c r="F134" s="72" t="n"/>
      <c r="H134" s="72" t="n"/>
    </row>
    <row r="135">
      <c r="A135" s="41" t="n"/>
      <c r="D135" s="72" t="n"/>
      <c r="F135" s="72" t="n"/>
      <c r="H135" s="72" t="n"/>
    </row>
    <row r="136">
      <c r="A136" s="41" t="n"/>
      <c r="D136" s="72" t="n"/>
      <c r="F136" s="72" t="n"/>
      <c r="H136" s="72" t="n"/>
    </row>
    <row r="137">
      <c r="A137" s="41" t="n"/>
      <c r="D137" s="72" t="n"/>
      <c r="F137" s="72" t="n"/>
      <c r="H137" s="72" t="n"/>
    </row>
    <row r="138">
      <c r="A138" s="41" t="n"/>
      <c r="D138" s="72" t="n"/>
      <c r="F138" s="72" t="n"/>
      <c r="H138" s="72" t="n"/>
    </row>
    <row r="139">
      <c r="A139" s="52" t="n"/>
      <c r="D139" s="72" t="n"/>
      <c r="F139" s="72" t="n"/>
      <c r="H139" s="72" t="n"/>
    </row>
    <row r="140">
      <c r="D140" s="72" t="n"/>
      <c r="F140" s="72" t="n"/>
      <c r="H140" s="72" t="n"/>
    </row>
    <row r="141">
      <c r="D141" s="72" t="n"/>
      <c r="F141" s="72" t="n"/>
      <c r="H141" s="72" t="n"/>
    </row>
    <row r="142">
      <c r="D142" s="72" t="n"/>
      <c r="F142" s="72" t="n"/>
      <c r="H142" s="72" t="n"/>
    </row>
    <row r="143">
      <c r="A143" s="36" t="n"/>
      <c r="D143" s="72" t="n"/>
      <c r="F143" s="72" t="n"/>
      <c r="H143" s="72" t="n"/>
    </row>
    <row r="144">
      <c r="A144" s="36" t="n"/>
      <c r="D144" s="72" t="n"/>
      <c r="F144" s="72" t="n"/>
      <c r="H144" s="72" t="n"/>
    </row>
    <row r="145">
      <c r="A145" s="41" t="n"/>
      <c r="D145" s="72" t="n"/>
      <c r="F145" s="72" t="n"/>
      <c r="H145" s="72" t="n"/>
    </row>
    <row r="146">
      <c r="A146" s="41" t="n"/>
      <c r="D146" s="72" t="n"/>
      <c r="F146" s="72" t="n"/>
      <c r="H146" s="72" t="n"/>
    </row>
    <row r="147">
      <c r="A147" s="41" t="n"/>
      <c r="D147" s="72" t="n"/>
      <c r="F147" s="72" t="n"/>
      <c r="H147" s="72" t="n"/>
    </row>
    <row r="148">
      <c r="A148" s="41" t="n"/>
      <c r="D148" s="72" t="n"/>
      <c r="F148" s="72" t="n"/>
      <c r="H148" s="72" t="n"/>
    </row>
    <row r="149">
      <c r="A149" s="41" t="n"/>
      <c r="D149" s="72" t="n"/>
      <c r="F149" s="72" t="n"/>
      <c r="H149" s="72" t="n"/>
    </row>
    <row r="150">
      <c r="A150" s="41" t="n"/>
      <c r="D150" s="72" t="n"/>
      <c r="F150" s="72" t="n"/>
      <c r="H150" s="72" t="n"/>
    </row>
    <row r="151">
      <c r="A151" s="41" t="n"/>
      <c r="D151" s="72" t="n"/>
      <c r="F151" s="72" t="n"/>
      <c r="H151" s="72" t="n"/>
    </row>
    <row r="152">
      <c r="A152" s="41" t="n"/>
      <c r="D152" s="72" t="n"/>
      <c r="F152" s="72" t="n"/>
      <c r="H152" s="72" t="n"/>
    </row>
    <row r="153">
      <c r="A153" s="41" t="n"/>
      <c r="D153" s="72" t="n"/>
      <c r="F153" s="72" t="n"/>
      <c r="H153" s="72" t="n"/>
    </row>
    <row r="154">
      <c r="A154" s="41" t="n"/>
      <c r="D154" s="72" t="n"/>
      <c r="F154" s="72" t="n"/>
      <c r="H154" s="72" t="n"/>
    </row>
    <row r="155">
      <c r="A155" s="41" t="n"/>
      <c r="D155" s="72" t="n"/>
      <c r="F155" s="72" t="n"/>
      <c r="H155" s="72" t="n"/>
    </row>
    <row r="156">
      <c r="A156" s="41" t="n"/>
      <c r="D156" s="72" t="n"/>
      <c r="F156" s="72" t="n"/>
      <c r="H156" s="72" t="n"/>
    </row>
    <row r="157">
      <c r="A157" s="41" t="n"/>
      <c r="D157" s="72" t="n"/>
      <c r="F157" s="72" t="n"/>
      <c r="H157" s="72" t="n"/>
    </row>
    <row r="158">
      <c r="A158" s="41" t="n"/>
      <c r="D158" s="72" t="n"/>
      <c r="F158" s="72" t="n"/>
      <c r="H158" s="72" t="n"/>
    </row>
    <row r="159">
      <c r="A159" s="41" t="n"/>
      <c r="D159" s="72" t="n"/>
      <c r="F159" s="72" t="n"/>
      <c r="H159" s="72" t="n"/>
    </row>
    <row r="160">
      <c r="A160" s="41" t="n"/>
      <c r="D160" s="72" t="n"/>
      <c r="F160" s="72" t="n"/>
      <c r="H160" s="72" t="n"/>
    </row>
    <row r="161">
      <c r="A161" s="41" t="n"/>
      <c r="D161" s="72" t="n"/>
      <c r="F161" s="72" t="n"/>
      <c r="H161" s="72" t="n"/>
    </row>
    <row r="162">
      <c r="A162" s="41" t="n"/>
      <c r="D162" s="72" t="n"/>
      <c r="F162" s="72" t="n"/>
      <c r="H162" s="72" t="n"/>
    </row>
    <row r="163">
      <c r="A163" s="41" t="n"/>
      <c r="D163" s="72" t="n"/>
      <c r="F163" s="72" t="n"/>
      <c r="H163" s="72" t="n"/>
    </row>
    <row r="164">
      <c r="A164" s="41" t="n"/>
      <c r="D164" s="72" t="n"/>
      <c r="F164" s="72" t="n"/>
      <c r="H164" s="72" t="n"/>
    </row>
    <row r="165">
      <c r="A165" s="41" t="n"/>
      <c r="D165" s="72" t="n"/>
      <c r="F165" s="72" t="n"/>
      <c r="H165" s="72" t="n"/>
    </row>
    <row r="166">
      <c r="A166" s="41" t="n"/>
      <c r="D166" s="72" t="n"/>
      <c r="F166" s="72" t="n"/>
      <c r="H166" s="72" t="n"/>
    </row>
    <row r="167">
      <c r="A167" s="41" t="n"/>
      <c r="D167" s="72" t="n"/>
      <c r="F167" s="72" t="n"/>
      <c r="H167" s="72" t="n"/>
    </row>
    <row r="168">
      <c r="A168" s="41" t="n"/>
      <c r="D168" s="72" t="n"/>
      <c r="F168" s="72" t="n"/>
      <c r="H168" s="72" t="n"/>
    </row>
    <row r="169">
      <c r="A169" s="41" t="n"/>
      <c r="D169" s="72" t="n"/>
      <c r="F169" s="72" t="n"/>
      <c r="H169" s="72" t="n"/>
    </row>
    <row r="170">
      <c r="A170" s="41" t="n"/>
      <c r="D170" s="72" t="n"/>
      <c r="F170" s="72" t="n"/>
      <c r="H170" s="72" t="n"/>
    </row>
    <row r="171">
      <c r="A171" s="41" t="n"/>
      <c r="D171" s="72" t="n"/>
      <c r="F171" s="72" t="n"/>
      <c r="H171" s="72" t="n"/>
    </row>
    <row r="172">
      <c r="A172" s="41" t="n"/>
      <c r="D172" s="72" t="n"/>
      <c r="F172" s="72" t="n"/>
      <c r="H172" s="72" t="n"/>
    </row>
    <row r="173">
      <c r="A173" s="41" t="n"/>
      <c r="D173" s="72" t="n"/>
      <c r="F173" s="72" t="n"/>
      <c r="H173" s="72" t="n"/>
    </row>
    <row r="174">
      <c r="A174" s="41" t="n"/>
      <c r="D174" s="72" t="n"/>
      <c r="F174" s="72" t="n"/>
      <c r="H174" s="72" t="n"/>
    </row>
    <row r="175">
      <c r="A175" s="41" t="n"/>
      <c r="D175" s="72" t="n"/>
      <c r="F175" s="72" t="n"/>
      <c r="H175" s="72" t="n"/>
    </row>
    <row r="176">
      <c r="A176" s="41" t="n"/>
      <c r="D176" s="72" t="n"/>
      <c r="F176" s="72" t="n"/>
      <c r="H176" s="72" t="n"/>
    </row>
    <row r="177">
      <c r="A177" s="41" t="n"/>
      <c r="D177" s="72" t="n"/>
      <c r="F177" s="72" t="n"/>
      <c r="H177" s="72" t="n"/>
    </row>
    <row r="178">
      <c r="A178" s="41" t="n"/>
      <c r="D178" s="72" t="n"/>
      <c r="F178" s="72" t="n"/>
      <c r="H178" s="72" t="n"/>
    </row>
    <row r="179">
      <c r="A179" s="41" t="n"/>
      <c r="D179" s="72" t="n"/>
      <c r="F179" s="72" t="n"/>
      <c r="H179" s="72" t="n"/>
    </row>
    <row r="180">
      <c r="A180" s="41" t="n"/>
      <c r="D180" s="72" t="n"/>
      <c r="F180" s="72" t="n"/>
      <c r="H180" s="72" t="n"/>
    </row>
    <row r="181">
      <c r="A181" s="41" t="n"/>
      <c r="D181" s="72" t="n"/>
      <c r="F181" s="72" t="n"/>
      <c r="H181" s="72" t="n"/>
    </row>
    <row r="182">
      <c r="A182" s="41" t="n"/>
      <c r="D182" s="72" t="n"/>
      <c r="F182" s="72" t="n"/>
      <c r="H182" s="72" t="n"/>
    </row>
    <row r="183">
      <c r="A183" s="41" t="n"/>
      <c r="D183" s="72" t="n"/>
      <c r="F183" s="72" t="n"/>
      <c r="H183" s="72" t="n"/>
    </row>
    <row r="184">
      <c r="A184" s="41" t="n"/>
      <c r="D184" s="72" t="n"/>
      <c r="F184" s="72" t="n"/>
      <c r="H184" s="72" t="n"/>
    </row>
    <row r="185">
      <c r="A185" s="41" t="n"/>
      <c r="D185" s="72" t="n"/>
      <c r="F185" s="72" t="n"/>
      <c r="H185" s="72" t="n"/>
    </row>
    <row r="186">
      <c r="A186" s="41" t="n"/>
      <c r="D186" s="72" t="n"/>
      <c r="F186" s="72" t="n"/>
      <c r="H186" s="72" t="n"/>
    </row>
    <row r="187">
      <c r="A187" s="41" t="n"/>
      <c r="D187" s="72" t="n"/>
      <c r="F187" s="72" t="n"/>
      <c r="H187" s="72" t="n"/>
    </row>
    <row r="188">
      <c r="A188" s="41" t="n"/>
      <c r="D188" s="72" t="n"/>
      <c r="F188" s="72" t="n"/>
      <c r="H188" s="72" t="n"/>
    </row>
    <row r="189">
      <c r="A189" s="41" t="n"/>
      <c r="D189" s="72" t="n"/>
      <c r="F189" s="72" t="n"/>
      <c r="H189" s="72" t="n"/>
    </row>
    <row r="190">
      <c r="A190" s="41" t="n"/>
      <c r="D190" s="72" t="n"/>
      <c r="F190" s="72" t="n"/>
      <c r="H190" s="72" t="n"/>
    </row>
    <row r="191">
      <c r="A191" s="41" t="n"/>
      <c r="D191" s="72" t="n"/>
      <c r="F191" s="72" t="n"/>
      <c r="H191" s="72" t="n"/>
    </row>
    <row r="192">
      <c r="A192" s="41" t="n"/>
      <c r="D192" s="72" t="n"/>
      <c r="F192" s="72" t="n"/>
      <c r="H192" s="72" t="n"/>
    </row>
    <row r="193">
      <c r="A193" s="41" t="n"/>
      <c r="D193" s="72" t="n"/>
      <c r="F193" s="72" t="n"/>
      <c r="H193" s="72" t="n"/>
    </row>
    <row r="194">
      <c r="A194" s="41" t="n"/>
      <c r="D194" s="72" t="n"/>
      <c r="F194" s="72" t="n"/>
      <c r="H194" s="72" t="n"/>
    </row>
    <row r="195">
      <c r="A195" s="41" t="n"/>
      <c r="D195" s="72" t="n"/>
      <c r="F195" s="72" t="n"/>
      <c r="H195" s="72" t="n"/>
    </row>
    <row r="196">
      <c r="A196" s="41" t="n"/>
      <c r="D196" s="72" t="n"/>
      <c r="F196" s="72" t="n"/>
      <c r="H196" s="72" t="n"/>
    </row>
    <row r="197">
      <c r="A197" s="41" t="n"/>
      <c r="D197" s="72" t="n"/>
      <c r="F197" s="72" t="n"/>
      <c r="H197" s="72" t="n"/>
    </row>
    <row r="198">
      <c r="A198" s="41" t="n"/>
      <c r="D198" s="72" t="n"/>
      <c r="F198" s="72" t="n"/>
      <c r="H198" s="72" t="n"/>
    </row>
    <row r="199">
      <c r="A199" s="41" t="n"/>
      <c r="D199" s="72" t="n"/>
      <c r="F199" s="72" t="n"/>
      <c r="H199" s="72" t="n"/>
    </row>
    <row r="200">
      <c r="A200" s="41" t="n"/>
      <c r="D200" s="72" t="n"/>
      <c r="F200" s="72" t="n"/>
      <c r="H200" s="72" t="n"/>
    </row>
    <row r="201">
      <c r="A201" s="41" t="n"/>
      <c r="D201" s="72" t="n"/>
      <c r="F201" s="72" t="n"/>
      <c r="H201" s="72" t="n"/>
    </row>
    <row r="202">
      <c r="A202" s="41" t="n"/>
      <c r="D202" s="72" t="n"/>
      <c r="F202" s="72" t="n"/>
      <c r="H202" s="72" t="n"/>
    </row>
    <row r="203">
      <c r="A203" s="41" t="n"/>
      <c r="D203" s="72" t="n"/>
      <c r="F203" s="72" t="n"/>
      <c r="H203" s="72" t="n"/>
    </row>
    <row r="204">
      <c r="A204" s="41" t="n"/>
      <c r="D204" s="72" t="n"/>
      <c r="F204" s="72" t="n"/>
      <c r="H204" s="72" t="n"/>
    </row>
    <row r="205">
      <c r="A205" s="41" t="n"/>
      <c r="D205" s="72" t="n"/>
      <c r="F205" s="72" t="n"/>
      <c r="H205" s="72" t="n"/>
    </row>
    <row r="206">
      <c r="A206" s="41" t="n"/>
      <c r="D206" s="72" t="n"/>
      <c r="F206" s="72" t="n"/>
      <c r="H206" s="72" t="n"/>
    </row>
    <row r="207">
      <c r="A207" s="41" t="n"/>
      <c r="D207" s="72" t="n"/>
      <c r="F207" s="72" t="n"/>
      <c r="H207" s="72" t="n"/>
    </row>
    <row r="208">
      <c r="A208" s="41" t="n"/>
      <c r="D208" s="72" t="n"/>
      <c r="F208" s="72" t="n"/>
      <c r="H208" s="72" t="n"/>
    </row>
    <row r="209">
      <c r="A209" s="41" t="n"/>
      <c r="D209" s="72" t="n"/>
      <c r="F209" s="72" t="n"/>
      <c r="H209" s="72" t="n"/>
    </row>
    <row r="210">
      <c r="A210" s="41" t="n"/>
      <c r="D210" s="72" t="n"/>
      <c r="F210" s="72" t="n"/>
      <c r="H210" s="72" t="n"/>
    </row>
    <row r="211">
      <c r="A211" s="41" t="n"/>
      <c r="D211" s="72" t="n"/>
      <c r="F211" s="72" t="n"/>
      <c r="H211" s="72" t="n"/>
    </row>
    <row r="212">
      <c r="A212" s="52" t="n"/>
      <c r="D212" s="72" t="n"/>
      <c r="F212" s="72" t="n"/>
      <c r="H212" s="72" t="n"/>
    </row>
    <row r="213">
      <c r="D213" s="72" t="n"/>
      <c r="F213" s="72" t="n"/>
      <c r="H213" s="72" t="n"/>
    </row>
    <row r="214">
      <c r="D214" s="72" t="n"/>
      <c r="F214" s="72" t="n"/>
      <c r="H214" s="72" t="n"/>
    </row>
    <row r="215">
      <c r="D215" s="72" t="n"/>
      <c r="F215" s="72" t="n"/>
      <c r="H215" s="72" t="n"/>
    </row>
    <row r="216">
      <c r="A216" s="36" t="n"/>
      <c r="D216" s="72" t="n"/>
      <c r="F216" s="72" t="n"/>
      <c r="H216" s="72" t="n"/>
    </row>
    <row r="217">
      <c r="A217" s="36" t="n"/>
      <c r="D217" s="72" t="n"/>
      <c r="F217" s="72" t="n"/>
      <c r="H217" s="72" t="n"/>
    </row>
    <row r="218">
      <c r="A218" s="41" t="n"/>
      <c r="D218" s="72" t="n"/>
      <c r="F218" s="72" t="n"/>
      <c r="H218" s="72" t="n"/>
    </row>
    <row r="219">
      <c r="A219" s="41" t="n"/>
      <c r="D219" s="72" t="n"/>
      <c r="F219" s="72" t="n"/>
      <c r="H219" s="72" t="n"/>
    </row>
    <row r="220">
      <c r="A220" s="41" t="n"/>
      <c r="D220" s="72" t="n"/>
      <c r="F220" s="72" t="n"/>
      <c r="H220" s="72" t="n"/>
    </row>
    <row r="221">
      <c r="A221" s="41" t="n"/>
      <c r="D221" s="72" t="n"/>
      <c r="F221" s="72" t="n"/>
      <c r="H221" s="72" t="n"/>
    </row>
    <row r="222">
      <c r="A222" s="41" t="n"/>
      <c r="D222" s="72" t="n"/>
      <c r="F222" s="72" t="n"/>
      <c r="H222" s="72" t="n"/>
    </row>
    <row r="223">
      <c r="A223" s="41" t="n"/>
      <c r="D223" s="72" t="n"/>
      <c r="F223" s="72" t="n"/>
      <c r="H223" s="72" t="n"/>
    </row>
    <row r="224">
      <c r="A224" s="41" t="n"/>
      <c r="D224" s="72" t="n"/>
      <c r="F224" s="72" t="n"/>
      <c r="H224" s="72" t="n"/>
    </row>
    <row r="225">
      <c r="A225" s="41" t="n"/>
      <c r="D225" s="72" t="n"/>
      <c r="F225" s="72" t="n"/>
      <c r="H225" s="72" t="n"/>
    </row>
    <row r="226">
      <c r="A226" s="41" t="n"/>
      <c r="D226" s="72" t="n"/>
      <c r="F226" s="72" t="n"/>
      <c r="H226" s="72" t="n"/>
    </row>
    <row r="227">
      <c r="A227" s="41" t="n"/>
      <c r="D227" s="72" t="n"/>
      <c r="F227" s="72" t="n"/>
      <c r="H227" s="72" t="n"/>
    </row>
    <row r="228">
      <c r="A228" s="41" t="n"/>
      <c r="D228" s="72" t="n"/>
      <c r="F228" s="72" t="n"/>
      <c r="H228" s="72" t="n"/>
    </row>
    <row r="229">
      <c r="A229" s="41" t="n"/>
      <c r="D229" s="72" t="n"/>
      <c r="F229" s="72" t="n"/>
      <c r="H229" s="72" t="n"/>
    </row>
    <row r="230">
      <c r="A230" s="41" t="n"/>
      <c r="D230" s="72" t="n"/>
      <c r="F230" s="72" t="n"/>
      <c r="H230" s="72" t="n"/>
    </row>
    <row r="231">
      <c r="A231" s="41" t="n"/>
      <c r="D231" s="72" t="n"/>
      <c r="F231" s="72" t="n"/>
      <c r="H231" s="72" t="n"/>
    </row>
    <row r="232">
      <c r="A232" s="41" t="n"/>
      <c r="D232" s="72" t="n"/>
      <c r="F232" s="72" t="n"/>
      <c r="H232" s="72" t="n"/>
    </row>
    <row r="233">
      <c r="A233" s="41" t="n"/>
      <c r="D233" s="72" t="n"/>
      <c r="F233" s="72" t="n"/>
      <c r="H233" s="72" t="n"/>
    </row>
    <row r="234">
      <c r="A234" s="41" t="n"/>
      <c r="D234" s="72" t="n"/>
      <c r="F234" s="72" t="n"/>
      <c r="H234" s="72" t="n"/>
    </row>
    <row r="235">
      <c r="A235" s="41" t="n"/>
      <c r="D235" s="72" t="n"/>
      <c r="F235" s="72" t="n"/>
      <c r="H235" s="72" t="n"/>
    </row>
    <row r="236">
      <c r="A236" s="41" t="n"/>
      <c r="D236" s="72" t="n"/>
      <c r="F236" s="72" t="n"/>
      <c r="H236" s="72" t="n"/>
    </row>
    <row r="237">
      <c r="A237" s="41" t="n"/>
      <c r="D237" s="72" t="n"/>
      <c r="F237" s="72" t="n"/>
      <c r="H237" s="72" t="n"/>
    </row>
    <row r="238">
      <c r="A238" s="41" t="n"/>
      <c r="D238" s="72" t="n"/>
      <c r="F238" s="72" t="n"/>
      <c r="H238" s="72" t="n"/>
    </row>
    <row r="239">
      <c r="A239" s="41" t="n"/>
      <c r="D239" s="72" t="n"/>
      <c r="F239" s="72" t="n"/>
      <c r="H239" s="72" t="n"/>
    </row>
    <row r="240">
      <c r="A240" s="41" t="n"/>
      <c r="D240" s="72" t="n"/>
      <c r="F240" s="72" t="n"/>
      <c r="H240" s="72" t="n"/>
    </row>
    <row r="241">
      <c r="A241" s="41" t="n"/>
      <c r="D241" s="72" t="n"/>
      <c r="F241" s="72" t="n"/>
      <c r="H241" s="72" t="n"/>
    </row>
    <row r="242">
      <c r="A242" s="41" t="n"/>
      <c r="D242" s="72" t="n"/>
      <c r="F242" s="72" t="n"/>
      <c r="H242" s="72" t="n"/>
    </row>
    <row r="243">
      <c r="A243" s="41" t="n"/>
      <c r="D243" s="72" t="n"/>
      <c r="F243" s="72" t="n"/>
      <c r="H243" s="72" t="n"/>
    </row>
    <row r="244">
      <c r="A244" s="41" t="n"/>
      <c r="D244" s="72" t="n"/>
      <c r="F244" s="72" t="n"/>
      <c r="H244" s="72" t="n"/>
    </row>
    <row r="245">
      <c r="A245" s="41" t="n"/>
      <c r="D245" s="72" t="n"/>
      <c r="F245" s="72" t="n"/>
      <c r="H245" s="72" t="n"/>
    </row>
    <row r="246">
      <c r="A246" s="41" t="n"/>
      <c r="D246" s="72" t="n"/>
      <c r="F246" s="72" t="n"/>
      <c r="H246" s="72" t="n"/>
    </row>
    <row r="247">
      <c r="A247" s="41" t="n"/>
      <c r="D247" s="72" t="n"/>
      <c r="F247" s="72" t="n"/>
      <c r="H247" s="72" t="n"/>
    </row>
    <row r="248">
      <c r="A248" s="41" t="n"/>
      <c r="D248" s="72" t="n"/>
      <c r="F248" s="72" t="n"/>
      <c r="H248" s="72" t="n"/>
    </row>
    <row r="249">
      <c r="A249" s="41" t="n"/>
      <c r="D249" s="72" t="n"/>
      <c r="F249" s="72" t="n"/>
      <c r="H249" s="72" t="n"/>
    </row>
    <row r="250">
      <c r="A250" s="41" t="n"/>
      <c r="D250" s="72" t="n"/>
      <c r="F250" s="72" t="n"/>
      <c r="H250" s="72" t="n"/>
    </row>
    <row r="251">
      <c r="A251" s="41" t="n"/>
      <c r="D251" s="72" t="n"/>
      <c r="F251" s="72" t="n"/>
      <c r="H251" s="72" t="n"/>
    </row>
    <row r="252">
      <c r="A252" s="41" t="n"/>
      <c r="D252" s="72" t="n"/>
      <c r="F252" s="72" t="n"/>
      <c r="H252" s="72" t="n"/>
    </row>
    <row r="253">
      <c r="A253" s="41" t="n"/>
      <c r="D253" s="72" t="n"/>
      <c r="F253" s="72" t="n"/>
      <c r="H253" s="72" t="n"/>
    </row>
    <row r="254">
      <c r="A254" s="41" t="n"/>
      <c r="D254" s="72" t="n"/>
      <c r="F254" s="72" t="n"/>
      <c r="H254" s="72" t="n"/>
    </row>
    <row r="255">
      <c r="A255" s="41" t="n"/>
      <c r="D255" s="72" t="n"/>
      <c r="F255" s="72" t="n"/>
      <c r="H255" s="72" t="n"/>
    </row>
    <row r="256">
      <c r="A256" s="41" t="n"/>
      <c r="D256" s="72" t="n"/>
      <c r="F256" s="72" t="n"/>
      <c r="H256" s="72" t="n"/>
    </row>
    <row r="257">
      <c r="A257" s="41" t="n"/>
      <c r="D257" s="72" t="n"/>
      <c r="F257" s="72" t="n"/>
      <c r="H257" s="72" t="n"/>
    </row>
    <row r="258">
      <c r="A258" s="41" t="n"/>
      <c r="D258" s="72" t="n"/>
      <c r="F258" s="72" t="n"/>
      <c r="H258" s="72" t="n"/>
    </row>
    <row r="259">
      <c r="A259" s="41" t="n"/>
      <c r="D259" s="72" t="n"/>
      <c r="F259" s="72" t="n"/>
      <c r="H259" s="72" t="n"/>
    </row>
    <row r="260">
      <c r="A260" s="41" t="n"/>
      <c r="D260" s="72" t="n"/>
      <c r="F260" s="72" t="n"/>
      <c r="H260" s="72" t="n"/>
    </row>
    <row r="261">
      <c r="A261" s="41" t="n"/>
      <c r="D261" s="72" t="n"/>
      <c r="F261" s="72" t="n"/>
      <c r="H261" s="72" t="n"/>
    </row>
    <row r="262">
      <c r="A262" s="41" t="n"/>
      <c r="D262" s="72" t="n"/>
      <c r="F262" s="72" t="n"/>
      <c r="H262" s="72" t="n"/>
    </row>
    <row r="263">
      <c r="A263" s="41" t="n"/>
      <c r="D263" s="72" t="n"/>
      <c r="F263" s="72" t="n"/>
      <c r="H263" s="72" t="n"/>
    </row>
    <row r="264">
      <c r="A264" s="41" t="n"/>
      <c r="D264" s="72" t="n"/>
      <c r="F264" s="72" t="n"/>
      <c r="H264" s="72" t="n"/>
    </row>
    <row r="265">
      <c r="A265" s="41" t="n"/>
      <c r="D265" s="72" t="n"/>
      <c r="F265" s="72" t="n"/>
      <c r="H265" s="72" t="n"/>
    </row>
    <row r="266">
      <c r="A266" s="41" t="n"/>
      <c r="D266" s="72" t="n"/>
      <c r="F266" s="72" t="n"/>
      <c r="H266" s="72" t="n"/>
    </row>
    <row r="267">
      <c r="A267" s="41" t="n"/>
      <c r="D267" s="72" t="n"/>
      <c r="F267" s="72" t="n"/>
      <c r="H267" s="72" t="n"/>
    </row>
    <row r="268">
      <c r="A268" s="41" t="n"/>
      <c r="D268" s="72" t="n"/>
      <c r="F268" s="72" t="n"/>
      <c r="H268" s="72" t="n"/>
    </row>
    <row r="269">
      <c r="A269" s="41" t="n"/>
      <c r="D269" s="72" t="n"/>
      <c r="F269" s="72" t="n"/>
      <c r="H269" s="72" t="n"/>
    </row>
    <row r="270">
      <c r="A270" s="41" t="n"/>
      <c r="D270" s="72" t="n"/>
      <c r="F270" s="72" t="n"/>
      <c r="H270" s="72" t="n"/>
    </row>
    <row r="271">
      <c r="A271" s="41" t="n"/>
      <c r="D271" s="72" t="n"/>
      <c r="F271" s="72" t="n"/>
      <c r="H271" s="72" t="n"/>
    </row>
    <row r="272">
      <c r="A272" s="41" t="n"/>
      <c r="D272" s="72" t="n"/>
      <c r="F272" s="72" t="n"/>
      <c r="H272" s="72" t="n"/>
    </row>
    <row r="273">
      <c r="A273" s="41" t="n"/>
      <c r="D273" s="72" t="n"/>
      <c r="F273" s="72" t="n"/>
      <c r="H273" s="72" t="n"/>
    </row>
    <row r="274">
      <c r="A274" s="41" t="n"/>
      <c r="D274" s="72" t="n"/>
      <c r="F274" s="72" t="n"/>
      <c r="H274" s="72" t="n"/>
    </row>
    <row r="275">
      <c r="A275" s="41" t="n"/>
      <c r="D275" s="72" t="n"/>
      <c r="F275" s="72" t="n"/>
      <c r="H275" s="72" t="n"/>
    </row>
    <row r="276">
      <c r="A276" s="41" t="n"/>
      <c r="D276" s="72" t="n"/>
      <c r="F276" s="72" t="n"/>
      <c r="H276" s="72" t="n"/>
    </row>
    <row r="277">
      <c r="A277" s="41" t="n"/>
      <c r="D277" s="72" t="n"/>
      <c r="F277" s="72" t="n"/>
      <c r="H277" s="72" t="n"/>
    </row>
    <row r="278">
      <c r="A278" s="41" t="n"/>
      <c r="D278" s="72" t="n"/>
      <c r="F278" s="72" t="n"/>
      <c r="H278" s="72" t="n"/>
    </row>
    <row r="279">
      <c r="A279" s="41" t="n"/>
      <c r="D279" s="72" t="n"/>
      <c r="F279" s="72" t="n"/>
      <c r="H279" s="72" t="n"/>
    </row>
    <row r="280">
      <c r="A280" s="41" t="n"/>
      <c r="D280" s="72" t="n"/>
      <c r="F280" s="72" t="n"/>
      <c r="H280" s="72" t="n"/>
    </row>
    <row r="281">
      <c r="A281" s="41" t="n"/>
      <c r="D281" s="72" t="n"/>
      <c r="F281" s="72" t="n"/>
      <c r="H281" s="72" t="n"/>
    </row>
    <row r="282">
      <c r="A282" s="41" t="n"/>
      <c r="D282" s="72" t="n"/>
      <c r="F282" s="72" t="n"/>
      <c r="H282" s="72" t="n"/>
    </row>
    <row r="283">
      <c r="A283" s="41" t="n"/>
      <c r="D283" s="72" t="n"/>
      <c r="F283" s="72" t="n"/>
      <c r="H283" s="72" t="n"/>
    </row>
    <row r="284">
      <c r="A284" s="41" t="n"/>
      <c r="D284" s="72" t="n"/>
      <c r="F284" s="72" t="n"/>
      <c r="H284" s="72" t="n"/>
    </row>
    <row r="285">
      <c r="A285" s="52" t="n"/>
      <c r="D285" s="72" t="n"/>
      <c r="F285" s="72" t="n"/>
      <c r="H285" s="72" t="n"/>
    </row>
    <row r="286">
      <c r="D286" s="72" t="n"/>
      <c r="F286" s="72" t="n"/>
      <c r="H286" s="72" t="n"/>
    </row>
    <row r="287">
      <c r="D287" s="72" t="n"/>
      <c r="F287" s="72" t="n"/>
      <c r="H287" s="72" t="n"/>
    </row>
    <row r="288">
      <c r="D288" s="72" t="n"/>
      <c r="F288" s="72" t="n"/>
      <c r="H288" s="72" t="n"/>
    </row>
    <row r="289">
      <c r="A289" s="36" t="n"/>
      <c r="D289" s="72" t="n"/>
      <c r="F289" s="72" t="n"/>
      <c r="H289" s="72" t="n"/>
    </row>
    <row r="290">
      <c r="A290" s="36" t="n"/>
      <c r="D290" s="72" t="n"/>
      <c r="F290" s="72" t="n"/>
      <c r="H290" s="72" t="n"/>
    </row>
    <row r="291">
      <c r="A291" s="41" t="n"/>
      <c r="D291" s="72" t="n"/>
      <c r="F291" s="72" t="n"/>
      <c r="H291" s="72" t="n"/>
    </row>
    <row r="292">
      <c r="A292" s="41" t="n"/>
      <c r="D292" s="72" t="n"/>
      <c r="F292" s="72" t="n"/>
      <c r="H292" s="72" t="n"/>
    </row>
    <row r="293">
      <c r="A293" s="41" t="n"/>
      <c r="D293" s="72" t="n"/>
      <c r="F293" s="72" t="n"/>
      <c r="H293" s="72" t="n"/>
    </row>
    <row r="294">
      <c r="A294" s="41" t="n"/>
      <c r="D294" s="72" t="n"/>
      <c r="F294" s="72" t="n"/>
      <c r="H294" s="72" t="n"/>
    </row>
    <row r="295">
      <c r="A295" s="41" t="n"/>
      <c r="D295" s="72" t="n"/>
      <c r="F295" s="72" t="n"/>
      <c r="H295" s="72" t="n"/>
    </row>
    <row r="296">
      <c r="A296" s="41" t="n"/>
      <c r="D296" s="72" t="n"/>
      <c r="F296" s="72" t="n"/>
      <c r="H296" s="72" t="n"/>
    </row>
    <row r="297">
      <c r="A297" s="41" t="n"/>
      <c r="D297" s="72" t="n"/>
      <c r="F297" s="72" t="n"/>
      <c r="H297" s="72" t="n"/>
    </row>
    <row r="298">
      <c r="A298" s="41" t="n"/>
      <c r="D298" s="72" t="n"/>
      <c r="F298" s="72" t="n"/>
      <c r="H298" s="72" t="n"/>
    </row>
    <row r="299">
      <c r="A299" s="41" t="n"/>
      <c r="D299" s="72" t="n"/>
      <c r="F299" s="72" t="n"/>
      <c r="H299" s="72" t="n"/>
    </row>
    <row r="300">
      <c r="A300" s="41" t="n"/>
      <c r="D300" s="72" t="n"/>
      <c r="F300" s="72" t="n"/>
      <c r="H300" s="72" t="n"/>
    </row>
    <row r="301">
      <c r="A301" s="41" t="n"/>
      <c r="D301" s="72" t="n"/>
      <c r="F301" s="72" t="n"/>
      <c r="H301" s="72" t="n"/>
    </row>
    <row r="302">
      <c r="A302" s="41" t="n"/>
      <c r="D302" s="72" t="n"/>
      <c r="F302" s="72" t="n"/>
      <c r="H302" s="72" t="n"/>
    </row>
    <row r="303">
      <c r="A303" s="41" t="n"/>
      <c r="D303" s="72" t="n"/>
      <c r="F303" s="72" t="n"/>
      <c r="H303" s="72" t="n"/>
    </row>
    <row r="304">
      <c r="A304" s="41" t="n"/>
      <c r="D304" s="72" t="n"/>
      <c r="F304" s="72" t="n"/>
      <c r="H304" s="72" t="n"/>
    </row>
    <row r="305">
      <c r="A305" s="41" t="n"/>
      <c r="D305" s="72" t="n"/>
      <c r="F305" s="72" t="n"/>
      <c r="H305" s="72" t="n"/>
    </row>
    <row r="306">
      <c r="A306" s="41" t="n"/>
      <c r="D306" s="72" t="n"/>
      <c r="F306" s="72" t="n"/>
      <c r="H306" s="72" t="n"/>
    </row>
    <row r="307">
      <c r="A307" s="41" t="n"/>
      <c r="D307" s="72" t="n"/>
      <c r="F307" s="72" t="n"/>
      <c r="H307" s="72" t="n"/>
    </row>
    <row r="308">
      <c r="A308" s="41" t="n"/>
      <c r="D308" s="72" t="n"/>
      <c r="F308" s="72" t="n"/>
      <c r="H308" s="72" t="n"/>
    </row>
    <row r="309">
      <c r="A309" s="41" t="n"/>
      <c r="D309" s="72" t="n"/>
      <c r="F309" s="72" t="n"/>
      <c r="H309" s="72" t="n"/>
    </row>
    <row r="310">
      <c r="A310" s="41" t="n"/>
      <c r="D310" s="72" t="n"/>
      <c r="F310" s="72" t="n"/>
      <c r="H310" s="72" t="n"/>
    </row>
    <row r="311">
      <c r="A311" s="41" t="n"/>
      <c r="D311" s="72" t="n"/>
      <c r="F311" s="72" t="n"/>
      <c r="H311" s="72" t="n"/>
    </row>
    <row r="312">
      <c r="A312" s="41" t="n"/>
      <c r="D312" s="72" t="n"/>
      <c r="F312" s="72" t="n"/>
      <c r="H312" s="72" t="n"/>
    </row>
    <row r="313">
      <c r="A313" s="41" t="n"/>
      <c r="D313" s="72" t="n"/>
      <c r="F313" s="72" t="n"/>
      <c r="H313" s="72" t="n"/>
    </row>
    <row r="314">
      <c r="A314" s="41" t="n"/>
      <c r="D314" s="72" t="n"/>
      <c r="F314" s="72" t="n"/>
      <c r="H314" s="72" t="n"/>
    </row>
    <row r="315">
      <c r="A315" s="41" t="n"/>
      <c r="D315" s="72" t="n"/>
      <c r="F315" s="72" t="n"/>
      <c r="H315" s="72" t="n"/>
    </row>
    <row r="316">
      <c r="A316" s="41" t="n"/>
      <c r="D316" s="72" t="n"/>
      <c r="F316" s="72" t="n"/>
      <c r="H316" s="72" t="n"/>
    </row>
    <row r="317">
      <c r="A317" s="41" t="n"/>
      <c r="D317" s="72" t="n"/>
      <c r="F317" s="72" t="n"/>
      <c r="H317" s="72" t="n"/>
    </row>
    <row r="318">
      <c r="A318" s="41" t="n"/>
      <c r="D318" s="72" t="n"/>
      <c r="F318" s="72" t="n"/>
      <c r="H318" s="72" t="n"/>
    </row>
    <row r="319">
      <c r="A319" s="41" t="n"/>
      <c r="D319" s="72" t="n"/>
      <c r="F319" s="72" t="n"/>
      <c r="H319" s="72" t="n"/>
    </row>
    <row r="320">
      <c r="A320" s="41" t="n"/>
      <c r="D320" s="72" t="n"/>
      <c r="F320" s="72" t="n"/>
      <c r="H320" s="72" t="n"/>
    </row>
    <row r="321">
      <c r="A321" s="41" t="n"/>
      <c r="D321" s="72" t="n"/>
      <c r="F321" s="72" t="n"/>
      <c r="H321" s="72" t="n"/>
    </row>
    <row r="322">
      <c r="A322" s="41" t="n"/>
      <c r="D322" s="72" t="n"/>
      <c r="F322" s="72" t="n"/>
      <c r="H322" s="72" t="n"/>
    </row>
    <row r="323">
      <c r="A323" s="41" t="n"/>
      <c r="D323" s="72" t="n"/>
      <c r="F323" s="72" t="n"/>
      <c r="H323" s="72" t="n"/>
    </row>
    <row r="324">
      <c r="A324" s="41" t="n"/>
      <c r="D324" s="72" t="n"/>
      <c r="F324" s="72" t="n"/>
      <c r="H324" s="72" t="n"/>
    </row>
    <row r="325">
      <c r="A325" s="41" t="n"/>
      <c r="D325" s="72" t="n"/>
      <c r="F325" s="72" t="n"/>
      <c r="H325" s="72" t="n"/>
    </row>
    <row r="326">
      <c r="A326" s="41" t="n"/>
      <c r="D326" s="72" t="n"/>
      <c r="F326" s="72" t="n"/>
      <c r="H326" s="72" t="n"/>
    </row>
    <row r="327">
      <c r="A327" s="41" t="n"/>
      <c r="D327" s="72" t="n"/>
      <c r="F327" s="72" t="n"/>
      <c r="H327" s="72" t="n"/>
    </row>
    <row r="328">
      <c r="A328" s="41" t="n"/>
      <c r="D328" s="72" t="n"/>
      <c r="F328" s="72" t="n"/>
      <c r="H328" s="72" t="n"/>
    </row>
    <row r="329">
      <c r="A329" s="41" t="n"/>
      <c r="D329" s="72" t="n"/>
      <c r="F329" s="72" t="n"/>
      <c r="H329" s="72" t="n"/>
    </row>
    <row r="330">
      <c r="A330" s="41" t="n"/>
      <c r="D330" s="72" t="n"/>
      <c r="F330" s="72" t="n"/>
      <c r="H330" s="72" t="n"/>
    </row>
    <row r="331">
      <c r="A331" s="41" t="n"/>
      <c r="D331" s="72" t="n"/>
      <c r="F331" s="72" t="n"/>
      <c r="H331" s="72" t="n"/>
    </row>
    <row r="332">
      <c r="A332" s="41" t="n"/>
      <c r="D332" s="72" t="n"/>
      <c r="F332" s="72" t="n"/>
      <c r="H332" s="72" t="n"/>
    </row>
    <row r="333">
      <c r="A333" s="41" t="n"/>
      <c r="D333" s="72" t="n"/>
      <c r="F333" s="72" t="n"/>
      <c r="H333" s="72" t="n"/>
    </row>
    <row r="334">
      <c r="A334" s="41" t="n"/>
      <c r="D334" s="72" t="n"/>
      <c r="F334" s="72" t="n"/>
      <c r="H334" s="72" t="n"/>
    </row>
    <row r="335">
      <c r="A335" s="41" t="n"/>
      <c r="D335" s="72" t="n"/>
      <c r="F335" s="72" t="n"/>
      <c r="H335" s="72" t="n"/>
    </row>
    <row r="336">
      <c r="A336" s="41" t="n"/>
      <c r="D336" s="72" t="n"/>
      <c r="F336" s="72" t="n"/>
      <c r="H336" s="72" t="n"/>
    </row>
    <row r="337">
      <c r="A337" s="41" t="n"/>
      <c r="D337" s="72" t="n"/>
      <c r="F337" s="72" t="n"/>
      <c r="H337" s="72" t="n"/>
    </row>
    <row r="338">
      <c r="A338" s="41" t="n"/>
      <c r="D338" s="72" t="n"/>
      <c r="F338" s="72" t="n"/>
      <c r="H338" s="72" t="n"/>
    </row>
    <row r="339">
      <c r="A339" s="41" t="n"/>
      <c r="D339" s="72" t="n"/>
      <c r="F339" s="72" t="n"/>
      <c r="H339" s="72" t="n"/>
    </row>
    <row r="340">
      <c r="A340" s="41" t="n"/>
      <c r="D340" s="72" t="n"/>
      <c r="F340" s="72" t="n"/>
      <c r="H340" s="72" t="n"/>
    </row>
    <row r="341">
      <c r="A341" s="41" t="n"/>
      <c r="D341" s="72" t="n"/>
      <c r="F341" s="72" t="n"/>
      <c r="H341" s="72" t="n"/>
    </row>
    <row r="342">
      <c r="A342" s="41" t="n"/>
      <c r="D342" s="72" t="n"/>
      <c r="F342" s="72" t="n"/>
      <c r="H342" s="72" t="n"/>
    </row>
    <row r="343">
      <c r="A343" s="41" t="n"/>
      <c r="D343" s="72" t="n"/>
      <c r="F343" s="72" t="n"/>
      <c r="H343" s="72" t="n"/>
    </row>
    <row r="344">
      <c r="A344" s="41" t="n"/>
      <c r="D344" s="72" t="n"/>
      <c r="F344" s="72" t="n"/>
      <c r="H344" s="72" t="n"/>
    </row>
    <row r="345">
      <c r="A345" s="41" t="n"/>
      <c r="D345" s="72" t="n"/>
      <c r="F345" s="72" t="n"/>
      <c r="H345" s="72" t="n"/>
    </row>
    <row r="346">
      <c r="A346" s="41" t="n"/>
      <c r="D346" s="72" t="n"/>
      <c r="F346" s="72" t="n"/>
      <c r="H346" s="72" t="n"/>
    </row>
    <row r="347">
      <c r="A347" s="41" t="n"/>
      <c r="D347" s="72" t="n"/>
      <c r="F347" s="72" t="n"/>
      <c r="H347" s="72" t="n"/>
    </row>
    <row r="348">
      <c r="A348" s="41" t="n"/>
      <c r="D348" s="72" t="n"/>
      <c r="F348" s="72" t="n"/>
      <c r="H348" s="72" t="n"/>
    </row>
    <row r="349">
      <c r="A349" s="41" t="n"/>
      <c r="D349" s="72" t="n"/>
      <c r="F349" s="72" t="n"/>
      <c r="H349" s="72" t="n"/>
    </row>
    <row r="350">
      <c r="A350" s="41" t="n"/>
      <c r="D350" s="72" t="n"/>
      <c r="F350" s="72" t="n"/>
      <c r="H350" s="72" t="n"/>
    </row>
    <row r="351">
      <c r="A351" s="41" t="n"/>
      <c r="D351" s="72" t="n"/>
      <c r="F351" s="72" t="n"/>
      <c r="H351" s="72" t="n"/>
    </row>
    <row r="352">
      <c r="A352" s="41" t="n"/>
      <c r="D352" s="72" t="n"/>
      <c r="F352" s="72" t="n"/>
      <c r="H352" s="72" t="n"/>
    </row>
    <row r="353">
      <c r="A353" s="41" t="n"/>
      <c r="D353" s="72" t="n"/>
      <c r="F353" s="72" t="n"/>
      <c r="H353" s="72" t="n"/>
    </row>
    <row r="354">
      <c r="A354" s="41" t="n"/>
      <c r="D354" s="72" t="n"/>
      <c r="F354" s="72" t="n"/>
      <c r="H354" s="72" t="n"/>
    </row>
    <row r="355">
      <c r="A355" s="41" t="n"/>
      <c r="D355" s="72" t="n"/>
      <c r="F355" s="72" t="n"/>
      <c r="H355" s="72" t="n"/>
    </row>
    <row r="356">
      <c r="A356" s="41" t="n"/>
      <c r="D356" s="72" t="n"/>
      <c r="F356" s="72" t="n"/>
      <c r="H356" s="72" t="n"/>
    </row>
    <row r="357">
      <c r="A357" s="41" t="n"/>
      <c r="D357" s="72" t="n"/>
      <c r="F357" s="72" t="n"/>
      <c r="H357" s="72" t="n"/>
    </row>
    <row r="358">
      <c r="A358" s="52" t="n"/>
      <c r="D358" s="72" t="n"/>
      <c r="F358" s="72" t="n"/>
      <c r="H358" s="72" t="n"/>
    </row>
    <row r="359">
      <c r="D359" s="72" t="n"/>
      <c r="F359" s="72" t="n"/>
      <c r="H359" s="72" t="n"/>
    </row>
    <row r="360">
      <c r="D360" s="72" t="n"/>
      <c r="F360" s="72" t="n"/>
      <c r="H360" s="72" t="n"/>
    </row>
    <row r="361">
      <c r="D361" s="72" t="n"/>
      <c r="F361" s="72" t="n"/>
      <c r="H361" s="72" t="n"/>
    </row>
    <row r="362">
      <c r="A362" s="36" t="n"/>
      <c r="D362" s="72" t="n"/>
      <c r="F362" s="72" t="n"/>
      <c r="H362" s="72" t="n"/>
    </row>
    <row r="363">
      <c r="A363" s="36" t="n"/>
      <c r="D363" s="72" t="n"/>
      <c r="F363" s="72" t="n"/>
      <c r="H363" s="72" t="n"/>
    </row>
    <row r="364">
      <c r="A364" s="41" t="n"/>
      <c r="D364" s="72" t="n"/>
      <c r="F364" s="72" t="n"/>
      <c r="H364" s="72" t="n"/>
    </row>
    <row r="365">
      <c r="A365" s="41" t="n"/>
      <c r="D365" s="72" t="n"/>
      <c r="F365" s="72" t="n"/>
      <c r="H365" s="72" t="n"/>
    </row>
    <row r="366">
      <c r="A366" s="41" t="n"/>
      <c r="D366" s="72" t="n"/>
      <c r="F366" s="72" t="n"/>
      <c r="H366" s="72" t="n"/>
    </row>
    <row r="367">
      <c r="A367" s="41" t="n"/>
      <c r="D367" s="72" t="n"/>
      <c r="F367" s="72" t="n"/>
      <c r="H367" s="72" t="n"/>
    </row>
    <row r="368">
      <c r="A368" s="41" t="n"/>
      <c r="D368" s="72" t="n"/>
      <c r="F368" s="72" t="n"/>
      <c r="H368" s="72" t="n"/>
    </row>
    <row r="369">
      <c r="A369" s="41" t="n"/>
      <c r="D369" s="72" t="n"/>
      <c r="F369" s="72" t="n"/>
      <c r="H369" s="72" t="n"/>
    </row>
    <row r="370">
      <c r="A370" s="41" t="n"/>
      <c r="D370" s="72" t="n"/>
      <c r="F370" s="72" t="n"/>
      <c r="H370" s="72" t="n"/>
    </row>
    <row r="371">
      <c r="A371" s="41" t="n"/>
      <c r="D371" s="72" t="n"/>
      <c r="F371" s="72" t="n"/>
      <c r="H371" s="72" t="n"/>
    </row>
    <row r="372">
      <c r="A372" s="41" t="n"/>
      <c r="D372" s="72" t="n"/>
      <c r="F372" s="72" t="n"/>
      <c r="H372" s="72" t="n"/>
    </row>
    <row r="373">
      <c r="A373" s="41" t="n"/>
      <c r="D373" s="72" t="n"/>
      <c r="F373" s="72" t="n"/>
      <c r="H373" s="72" t="n"/>
    </row>
    <row r="374">
      <c r="A374" s="41" t="n"/>
      <c r="D374" s="72" t="n"/>
      <c r="F374" s="72" t="n"/>
      <c r="H374" s="72" t="n"/>
    </row>
    <row r="375">
      <c r="A375" s="41" t="n"/>
      <c r="D375" s="72" t="n"/>
      <c r="F375" s="72" t="n"/>
      <c r="H375" s="72" t="n"/>
    </row>
    <row r="376">
      <c r="A376" s="41" t="n"/>
      <c r="D376" s="72" t="n"/>
      <c r="F376" s="72" t="n"/>
      <c r="H376" s="72" t="n"/>
    </row>
    <row r="377">
      <c r="A377" s="41" t="n"/>
      <c r="D377" s="72" t="n"/>
      <c r="F377" s="72" t="n"/>
      <c r="H377" s="72" t="n"/>
    </row>
    <row r="378">
      <c r="A378" s="41" t="n"/>
      <c r="D378" s="72" t="n"/>
      <c r="F378" s="72" t="n"/>
      <c r="H378" s="72" t="n"/>
    </row>
    <row r="379">
      <c r="A379" s="41" t="n"/>
      <c r="D379" s="72" t="n"/>
      <c r="F379" s="72" t="n"/>
      <c r="H379" s="72" t="n"/>
    </row>
    <row r="380">
      <c r="A380" s="41" t="n"/>
      <c r="D380" s="72" t="n"/>
      <c r="F380" s="72" t="n"/>
      <c r="H380" s="72" t="n"/>
    </row>
    <row r="381">
      <c r="A381" s="41" t="n"/>
      <c r="D381" s="72" t="n"/>
      <c r="F381" s="72" t="n"/>
      <c r="H381" s="72" t="n"/>
    </row>
    <row r="382">
      <c r="A382" s="41" t="n"/>
      <c r="D382" s="72" t="n"/>
      <c r="F382" s="72" t="n"/>
      <c r="H382" s="72" t="n"/>
    </row>
    <row r="383">
      <c r="A383" s="41" t="n"/>
      <c r="D383" s="72" t="n"/>
      <c r="F383" s="72" t="n"/>
      <c r="H383" s="72" t="n"/>
    </row>
    <row r="384">
      <c r="A384" s="41" t="n"/>
      <c r="D384" s="72" t="n"/>
      <c r="F384" s="72" t="n"/>
      <c r="H384" s="72" t="n"/>
    </row>
    <row r="385">
      <c r="A385" s="41" t="n"/>
      <c r="D385" s="72" t="n"/>
      <c r="F385" s="72" t="n"/>
      <c r="H385" s="72" t="n"/>
    </row>
    <row r="386">
      <c r="A386" s="41" t="n"/>
      <c r="D386" s="72" t="n"/>
      <c r="F386" s="72" t="n"/>
      <c r="H386" s="72" t="n"/>
    </row>
    <row r="387">
      <c r="A387" s="41" t="n"/>
      <c r="D387" s="72" t="n"/>
      <c r="F387" s="72" t="n"/>
      <c r="H387" s="72" t="n"/>
    </row>
    <row r="388">
      <c r="A388" s="41" t="n"/>
      <c r="D388" s="72" t="n"/>
      <c r="F388" s="72" t="n"/>
      <c r="H388" s="72" t="n"/>
    </row>
    <row r="389">
      <c r="A389" s="41" t="n"/>
      <c r="D389" s="72" t="n"/>
      <c r="F389" s="72" t="n"/>
      <c r="H389" s="72" t="n"/>
    </row>
    <row r="390">
      <c r="A390" s="41" t="n"/>
      <c r="D390" s="72" t="n"/>
      <c r="F390" s="72" t="n"/>
      <c r="H390" s="72" t="n"/>
    </row>
    <row r="391">
      <c r="A391" s="41" t="n"/>
      <c r="D391" s="72" t="n"/>
      <c r="F391" s="72" t="n"/>
      <c r="H391" s="72" t="n"/>
    </row>
    <row r="392">
      <c r="A392" s="41" t="n"/>
      <c r="D392" s="72" t="n"/>
      <c r="F392" s="72" t="n"/>
      <c r="H392" s="72" t="n"/>
    </row>
    <row r="393">
      <c r="A393" s="41" t="n"/>
      <c r="D393" s="72" t="n"/>
      <c r="F393" s="72" t="n"/>
      <c r="H393" s="72" t="n"/>
    </row>
    <row r="394">
      <c r="A394" s="41" t="n"/>
      <c r="D394" s="72" t="n"/>
      <c r="F394" s="72" t="n"/>
      <c r="H394" s="72" t="n"/>
    </row>
    <row r="395">
      <c r="A395" s="41" t="n"/>
      <c r="D395" s="72" t="n"/>
      <c r="F395" s="72" t="n"/>
      <c r="H395" s="72" t="n"/>
    </row>
    <row r="396">
      <c r="A396" s="41" t="n"/>
      <c r="D396" s="72" t="n"/>
      <c r="F396" s="72" t="n"/>
      <c r="H396" s="72" t="n"/>
    </row>
    <row r="397">
      <c r="A397" s="41" t="n"/>
      <c r="D397" s="72" t="n"/>
      <c r="F397" s="72" t="n"/>
      <c r="H397" s="72" t="n"/>
    </row>
    <row r="398">
      <c r="A398" s="41" t="n"/>
      <c r="D398" s="72" t="n"/>
      <c r="F398" s="72" t="n"/>
      <c r="H398" s="72" t="n"/>
    </row>
    <row r="399">
      <c r="A399" s="41" t="n"/>
      <c r="D399" s="72" t="n"/>
      <c r="F399" s="72" t="n"/>
      <c r="H399" s="72" t="n"/>
    </row>
    <row r="400">
      <c r="A400" s="41" t="n"/>
      <c r="D400" s="72" t="n"/>
      <c r="F400" s="72" t="n"/>
      <c r="H400" s="72" t="n"/>
    </row>
    <row r="401">
      <c r="A401" s="41" t="n"/>
      <c r="D401" s="72" t="n"/>
      <c r="F401" s="72" t="n"/>
      <c r="H401" s="72" t="n"/>
    </row>
    <row r="402">
      <c r="A402" s="41" t="n"/>
      <c r="D402" s="72" t="n"/>
      <c r="F402" s="72" t="n"/>
      <c r="H402" s="72" t="n"/>
    </row>
    <row r="403">
      <c r="A403" s="41" t="n"/>
      <c r="D403" s="72" t="n"/>
      <c r="F403" s="72" t="n"/>
      <c r="H403" s="72" t="n"/>
    </row>
    <row r="404">
      <c r="A404" s="41" t="n"/>
      <c r="D404" s="72" t="n"/>
      <c r="F404" s="72" t="n"/>
      <c r="H404" s="72" t="n"/>
    </row>
    <row r="405">
      <c r="A405" s="41" t="n"/>
      <c r="D405" s="72" t="n"/>
      <c r="F405" s="72" t="n"/>
      <c r="H405" s="72" t="n"/>
    </row>
    <row r="406">
      <c r="A406" s="41" t="n"/>
      <c r="D406" s="72" t="n"/>
      <c r="F406" s="72" t="n"/>
      <c r="H406" s="72" t="n"/>
    </row>
    <row r="407">
      <c r="A407" s="41" t="n"/>
      <c r="D407" s="72" t="n"/>
      <c r="F407" s="72" t="n"/>
      <c r="H407" s="72" t="n"/>
    </row>
    <row r="408">
      <c r="A408" s="41" t="n"/>
      <c r="D408" s="72" t="n"/>
      <c r="F408" s="72" t="n"/>
      <c r="H408" s="72" t="n"/>
    </row>
    <row r="409">
      <c r="A409" s="41" t="n"/>
      <c r="D409" s="72" t="n"/>
      <c r="F409" s="72" t="n"/>
      <c r="H409" s="72" t="n"/>
    </row>
    <row r="410">
      <c r="A410" s="41" t="n"/>
      <c r="D410" s="72" t="n"/>
      <c r="F410" s="72" t="n"/>
      <c r="H410" s="72" t="n"/>
    </row>
    <row r="411">
      <c r="A411" s="41" t="n"/>
      <c r="D411" s="72" t="n"/>
      <c r="F411" s="72" t="n"/>
      <c r="H411" s="72" t="n"/>
    </row>
    <row r="412">
      <c r="A412" s="41" t="n"/>
      <c r="D412" s="72" t="n"/>
      <c r="F412" s="72" t="n"/>
      <c r="H412" s="72" t="n"/>
    </row>
    <row r="413">
      <c r="A413" s="41" t="n"/>
      <c r="D413" s="72" t="n"/>
      <c r="F413" s="72" t="n"/>
      <c r="H413" s="72" t="n"/>
    </row>
    <row r="414">
      <c r="A414" s="41" t="n"/>
      <c r="D414" s="72" t="n"/>
      <c r="F414" s="72" t="n"/>
      <c r="H414" s="72" t="n"/>
    </row>
    <row r="415">
      <c r="A415" s="41" t="n"/>
      <c r="D415" s="72" t="n"/>
      <c r="F415" s="72" t="n"/>
      <c r="H415" s="72" t="n"/>
    </row>
    <row r="416">
      <c r="A416" s="41" t="n"/>
      <c r="D416" s="72" t="n"/>
      <c r="F416" s="72" t="n"/>
      <c r="H416" s="72" t="n"/>
    </row>
    <row r="417">
      <c r="A417" s="41" t="n"/>
      <c r="D417" s="72" t="n"/>
      <c r="F417" s="72" t="n"/>
      <c r="H417" s="72" t="n"/>
    </row>
    <row r="418">
      <c r="A418" s="41" t="n"/>
      <c r="D418" s="72" t="n"/>
      <c r="F418" s="72" t="n"/>
      <c r="H418" s="72" t="n"/>
    </row>
    <row r="419">
      <c r="A419" s="41" t="n"/>
      <c r="D419" s="72" t="n"/>
      <c r="F419" s="72" t="n"/>
      <c r="H419" s="72" t="n"/>
    </row>
    <row r="420">
      <c r="A420" s="41" t="n"/>
      <c r="D420" s="72" t="n"/>
      <c r="F420" s="72" t="n"/>
      <c r="H420" s="72" t="n"/>
    </row>
    <row r="421">
      <c r="A421" s="41" t="n"/>
      <c r="D421" s="72" t="n"/>
      <c r="F421" s="72" t="n"/>
      <c r="H421" s="72" t="n"/>
    </row>
    <row r="422">
      <c r="A422" s="41" t="n"/>
      <c r="D422" s="72" t="n"/>
      <c r="F422" s="72" t="n"/>
      <c r="H422" s="72" t="n"/>
    </row>
    <row r="423">
      <c r="A423" s="41" t="n"/>
      <c r="D423" s="72" t="n"/>
      <c r="F423" s="72" t="n"/>
      <c r="H423" s="72" t="n"/>
    </row>
    <row r="424">
      <c r="A424" s="41" t="n"/>
      <c r="D424" s="72" t="n"/>
      <c r="F424" s="72" t="n"/>
      <c r="H424" s="72" t="n"/>
    </row>
    <row r="425">
      <c r="A425" s="41" t="n"/>
      <c r="D425" s="72" t="n"/>
      <c r="F425" s="72" t="n"/>
      <c r="H425" s="72" t="n"/>
    </row>
    <row r="426">
      <c r="A426" s="41" t="n"/>
      <c r="D426" s="72" t="n"/>
      <c r="F426" s="72" t="n"/>
      <c r="H426" s="72" t="n"/>
    </row>
    <row r="427">
      <c r="A427" s="41" t="n"/>
      <c r="D427" s="72" t="n"/>
      <c r="F427" s="72" t="n"/>
      <c r="H427" s="72" t="n"/>
    </row>
    <row r="428">
      <c r="A428" s="41" t="n"/>
      <c r="D428" s="72" t="n"/>
      <c r="F428" s="72" t="n"/>
      <c r="H428" s="72" t="n"/>
    </row>
    <row r="429">
      <c r="A429" s="41" t="n"/>
      <c r="D429" s="72" t="n"/>
      <c r="F429" s="72" t="n"/>
      <c r="H429" s="72" t="n"/>
    </row>
    <row r="430">
      <c r="A430" s="41" t="n"/>
      <c r="D430" s="72" t="n"/>
      <c r="F430" s="72" t="n"/>
      <c r="H430" s="72" t="n"/>
    </row>
    <row r="431">
      <c r="A431" s="52" t="n"/>
      <c r="D431" s="72" t="n"/>
      <c r="F431" s="72" t="n"/>
      <c r="H431" s="72" t="n"/>
    </row>
    <row r="432">
      <c r="D432" s="72" t="n"/>
      <c r="F432" s="72" t="n"/>
      <c r="H432" s="72" t="n"/>
    </row>
    <row r="433">
      <c r="D433" s="72" t="n"/>
      <c r="F433" s="72" t="n"/>
      <c r="H433" s="72" t="n"/>
    </row>
    <row r="434">
      <c r="D434" s="72" t="n"/>
      <c r="F434" s="72" t="n"/>
      <c r="H434" s="72" t="n"/>
    </row>
    <row r="435">
      <c r="A435" s="36" t="n"/>
      <c r="D435" s="72" t="n"/>
      <c r="F435" s="72" t="n"/>
      <c r="H435" s="72" t="n"/>
    </row>
    <row r="436">
      <c r="A436" s="36" t="n"/>
      <c r="D436" s="72" t="n"/>
      <c r="F436" s="72" t="n"/>
      <c r="H436" s="72" t="n"/>
    </row>
    <row r="437">
      <c r="A437" s="41" t="n"/>
      <c r="D437" s="72" t="n"/>
      <c r="F437" s="72" t="n"/>
      <c r="H437" s="72" t="n"/>
    </row>
    <row r="438">
      <c r="A438" s="41" t="n"/>
      <c r="D438" s="72" t="n"/>
      <c r="F438" s="72" t="n"/>
      <c r="H438" s="72" t="n"/>
    </row>
    <row r="439">
      <c r="A439" s="41" t="n"/>
      <c r="D439" s="72" t="n"/>
      <c r="F439" s="72" t="n"/>
      <c r="H439" s="72" t="n"/>
    </row>
    <row r="440">
      <c r="A440" s="41" t="n"/>
      <c r="D440" s="72" t="n"/>
      <c r="F440" s="72" t="n"/>
      <c r="H440" s="72" t="n"/>
    </row>
    <row r="441">
      <c r="A441" s="41" t="n"/>
      <c r="D441" s="72" t="n"/>
      <c r="F441" s="72" t="n"/>
      <c r="H441" s="72" t="n"/>
    </row>
    <row r="442">
      <c r="A442" s="41" t="n"/>
      <c r="D442" s="72" t="n"/>
      <c r="F442" s="72" t="n"/>
      <c r="H442" s="72" t="n"/>
    </row>
    <row r="443">
      <c r="A443" s="41" t="n"/>
      <c r="D443" s="72" t="n"/>
      <c r="F443" s="72" t="n"/>
      <c r="H443" s="72" t="n"/>
    </row>
    <row r="444">
      <c r="A444" s="41" t="n"/>
      <c r="D444" s="72" t="n"/>
      <c r="F444" s="72" t="n"/>
      <c r="H444" s="72" t="n"/>
    </row>
    <row r="445">
      <c r="A445" s="41" t="n"/>
      <c r="D445" s="72" t="n"/>
      <c r="F445" s="72" t="n"/>
      <c r="H445" s="72" t="n"/>
    </row>
    <row r="446">
      <c r="A446" s="41" t="n"/>
      <c r="D446" s="72" t="n"/>
      <c r="F446" s="72" t="n"/>
      <c r="H446" s="72" t="n"/>
    </row>
    <row r="447">
      <c r="A447" s="41" t="n"/>
      <c r="D447" s="72" t="n"/>
      <c r="F447" s="72" t="n"/>
      <c r="H447" s="72" t="n"/>
    </row>
    <row r="448">
      <c r="A448" s="41" t="n"/>
      <c r="D448" s="72" t="n"/>
      <c r="F448" s="72" t="n"/>
      <c r="H448" s="72" t="n"/>
    </row>
    <row r="449">
      <c r="A449" s="41" t="n"/>
      <c r="D449" s="72" t="n"/>
      <c r="F449" s="72" t="n"/>
      <c r="H449" s="72" t="n"/>
    </row>
    <row r="450">
      <c r="A450" s="41" t="n"/>
      <c r="D450" s="72" t="n"/>
      <c r="F450" s="72" t="n"/>
      <c r="H450" s="72" t="n"/>
    </row>
    <row r="451">
      <c r="A451" s="41" t="n"/>
      <c r="D451" s="72" t="n"/>
      <c r="F451" s="72" t="n"/>
      <c r="H451" s="72" t="n"/>
    </row>
    <row r="452">
      <c r="A452" s="41" t="n"/>
      <c r="D452" s="72" t="n"/>
      <c r="F452" s="72" t="n"/>
      <c r="H452" s="72" t="n"/>
    </row>
    <row r="453">
      <c r="A453" s="41" t="n"/>
      <c r="D453" s="72" t="n"/>
      <c r="F453" s="72" t="n"/>
      <c r="H453" s="72" t="n"/>
    </row>
    <row r="454">
      <c r="A454" s="41" t="n"/>
      <c r="D454" s="72" t="n"/>
      <c r="F454" s="72" t="n"/>
      <c r="H454" s="72" t="n"/>
    </row>
    <row r="455">
      <c r="A455" s="41" t="n"/>
      <c r="D455" s="72" t="n"/>
      <c r="F455" s="72" t="n"/>
      <c r="H455" s="72" t="n"/>
    </row>
    <row r="456">
      <c r="A456" s="41" t="n"/>
      <c r="D456" s="72" t="n"/>
      <c r="F456" s="72" t="n"/>
      <c r="H456" s="72" t="n"/>
    </row>
    <row r="457">
      <c r="A457" s="41" t="n"/>
      <c r="D457" s="72" t="n"/>
      <c r="F457" s="72" t="n"/>
      <c r="H457" s="72" t="n"/>
    </row>
    <row r="458">
      <c r="A458" s="41" t="n"/>
      <c r="D458" s="72" t="n"/>
      <c r="F458" s="72" t="n"/>
      <c r="H458" s="72" t="n"/>
    </row>
    <row r="459">
      <c r="A459" s="41" t="n"/>
      <c r="D459" s="72" t="n"/>
      <c r="F459" s="72" t="n"/>
      <c r="H459" s="72" t="n"/>
    </row>
    <row r="460">
      <c r="A460" s="41" t="n"/>
      <c r="D460" s="72" t="n"/>
      <c r="F460" s="72" t="n"/>
      <c r="H460" s="72" t="n"/>
    </row>
    <row r="461">
      <c r="A461" s="41" t="n"/>
      <c r="D461" s="72" t="n"/>
      <c r="F461" s="72" t="n"/>
      <c r="H461" s="72" t="n"/>
    </row>
    <row r="462">
      <c r="A462" s="41" t="n"/>
      <c r="D462" s="72" t="n"/>
      <c r="F462" s="72" t="n"/>
      <c r="H462" s="72" t="n"/>
    </row>
    <row r="463">
      <c r="A463" s="41" t="n"/>
      <c r="D463" s="72" t="n"/>
      <c r="F463" s="72" t="n"/>
      <c r="H463" s="72" t="n"/>
    </row>
    <row r="464">
      <c r="A464" s="41" t="n"/>
      <c r="D464" s="72" t="n"/>
      <c r="F464" s="72" t="n"/>
      <c r="H464" s="72" t="n"/>
    </row>
    <row r="465">
      <c r="A465" s="41" t="n"/>
      <c r="D465" s="72" t="n"/>
      <c r="F465" s="72" t="n"/>
      <c r="H465" s="72" t="n"/>
    </row>
    <row r="466">
      <c r="A466" s="41" t="n"/>
      <c r="D466" s="72" t="n"/>
      <c r="F466" s="72" t="n"/>
      <c r="H466" s="72" t="n"/>
    </row>
    <row r="467">
      <c r="A467" s="41" t="n"/>
      <c r="D467" s="72" t="n"/>
      <c r="F467" s="72" t="n"/>
      <c r="H467" s="72" t="n"/>
    </row>
    <row r="468">
      <c r="A468" s="41" t="n"/>
      <c r="D468" s="72" t="n"/>
      <c r="F468" s="72" t="n"/>
      <c r="H468" s="72" t="n"/>
    </row>
    <row r="469">
      <c r="A469" s="41" t="n"/>
      <c r="D469" s="72" t="n"/>
      <c r="F469" s="72" t="n"/>
      <c r="H469" s="72" t="n"/>
    </row>
    <row r="470">
      <c r="A470" s="41" t="n"/>
      <c r="D470" s="72" t="n"/>
      <c r="F470" s="72" t="n"/>
      <c r="H470" s="72" t="n"/>
    </row>
    <row r="471">
      <c r="A471" s="41" t="n"/>
      <c r="D471" s="72" t="n"/>
      <c r="F471" s="72" t="n"/>
      <c r="H471" s="72" t="n"/>
    </row>
    <row r="472">
      <c r="A472" s="41" t="n"/>
      <c r="D472" s="72" t="n"/>
      <c r="F472" s="72" t="n"/>
      <c r="H472" s="72" t="n"/>
    </row>
    <row r="473">
      <c r="A473" s="41" t="n"/>
      <c r="D473" s="72" t="n"/>
      <c r="F473" s="72" t="n"/>
      <c r="H473" s="72" t="n"/>
    </row>
    <row r="474">
      <c r="A474" s="41" t="n"/>
      <c r="D474" s="72" t="n"/>
      <c r="F474" s="72" t="n"/>
      <c r="H474" s="72" t="n"/>
    </row>
    <row r="475">
      <c r="A475" s="41" t="n"/>
      <c r="D475" s="72" t="n"/>
      <c r="F475" s="72" t="n"/>
      <c r="H475" s="72" t="n"/>
    </row>
    <row r="476">
      <c r="A476" s="41" t="n"/>
      <c r="D476" s="72" t="n"/>
      <c r="F476" s="72" t="n"/>
      <c r="H476" s="72" t="n"/>
    </row>
    <row r="477">
      <c r="A477" s="41" t="n"/>
      <c r="D477" s="72" t="n"/>
      <c r="F477" s="72" t="n"/>
      <c r="H477" s="72" t="n"/>
    </row>
    <row r="478">
      <c r="A478" s="41" t="n"/>
      <c r="D478" s="72" t="n"/>
      <c r="F478" s="72" t="n"/>
      <c r="H478" s="72" t="n"/>
    </row>
    <row r="479">
      <c r="A479" s="41" t="n"/>
      <c r="D479" s="72" t="n"/>
      <c r="F479" s="72" t="n"/>
      <c r="H479" s="72" t="n"/>
    </row>
    <row r="480">
      <c r="A480" s="41" t="n"/>
      <c r="D480" s="72" t="n"/>
      <c r="F480" s="72" t="n"/>
      <c r="H480" s="72" t="n"/>
    </row>
    <row r="481">
      <c r="A481" s="41" t="n"/>
      <c r="D481" s="72" t="n"/>
      <c r="F481" s="72" t="n"/>
      <c r="H481" s="72" t="n"/>
    </row>
    <row r="482">
      <c r="A482" s="41" t="n"/>
      <c r="D482" s="72" t="n"/>
      <c r="F482" s="72" t="n"/>
      <c r="H482" s="72" t="n"/>
    </row>
    <row r="483">
      <c r="A483" s="41" t="n"/>
      <c r="D483" s="72" t="n"/>
      <c r="F483" s="72" t="n"/>
      <c r="H483" s="72" t="n"/>
    </row>
    <row r="484">
      <c r="A484" s="41" t="n"/>
      <c r="D484" s="72" t="n"/>
      <c r="F484" s="72" t="n"/>
      <c r="H484" s="72" t="n"/>
    </row>
    <row r="485">
      <c r="A485" s="41" t="n"/>
      <c r="D485" s="72" t="n"/>
      <c r="F485" s="72" t="n"/>
      <c r="H485" s="72" t="n"/>
    </row>
    <row r="486">
      <c r="A486" s="41" t="n"/>
      <c r="D486" s="72" t="n"/>
      <c r="F486" s="72" t="n"/>
      <c r="H486" s="72" t="n"/>
    </row>
    <row r="487">
      <c r="A487" s="41" t="n"/>
      <c r="D487" s="72" t="n"/>
      <c r="F487" s="72" t="n"/>
      <c r="H487" s="72" t="n"/>
    </row>
    <row r="488">
      <c r="A488" s="41" t="n"/>
      <c r="D488" s="72" t="n"/>
      <c r="F488" s="72" t="n"/>
      <c r="H488" s="72" t="n"/>
    </row>
    <row r="489">
      <c r="A489" s="41" t="n"/>
      <c r="D489" s="72" t="n"/>
      <c r="F489" s="72" t="n"/>
      <c r="H489" s="72" t="n"/>
    </row>
    <row r="490">
      <c r="A490" s="41" t="n"/>
      <c r="D490" s="72" t="n"/>
      <c r="F490" s="72" t="n"/>
      <c r="H490" s="72" t="n"/>
    </row>
    <row r="491">
      <c r="A491" s="41" t="n"/>
      <c r="D491" s="72" t="n"/>
      <c r="F491" s="72" t="n"/>
      <c r="H491" s="72" t="n"/>
    </row>
    <row r="492">
      <c r="A492" s="41" t="n"/>
      <c r="D492" s="72" t="n"/>
      <c r="F492" s="72" t="n"/>
      <c r="H492" s="72" t="n"/>
    </row>
    <row r="493">
      <c r="A493" s="41" t="n"/>
      <c r="D493" s="72" t="n"/>
      <c r="F493" s="72" t="n"/>
      <c r="H493" s="72" t="n"/>
    </row>
    <row r="494">
      <c r="A494" s="41" t="n"/>
      <c r="D494" s="72" t="n"/>
      <c r="F494" s="72" t="n"/>
      <c r="H494" s="72" t="n"/>
    </row>
    <row r="495">
      <c r="A495" s="41" t="n"/>
      <c r="D495" s="72" t="n"/>
      <c r="F495" s="72" t="n"/>
      <c r="H495" s="72" t="n"/>
    </row>
    <row r="496">
      <c r="A496" s="41" t="n"/>
      <c r="D496" s="72" t="n"/>
      <c r="F496" s="72" t="n"/>
      <c r="H496" s="72" t="n"/>
    </row>
    <row r="497">
      <c r="A497" s="41" t="n"/>
      <c r="D497" s="72" t="n"/>
      <c r="F497" s="72" t="n"/>
      <c r="H497" s="72" t="n"/>
    </row>
    <row r="498">
      <c r="A498" s="41" t="n"/>
      <c r="D498" s="72" t="n"/>
      <c r="F498" s="72" t="n"/>
      <c r="H498" s="72" t="n"/>
    </row>
    <row r="499">
      <c r="A499" s="41" t="n"/>
      <c r="D499" s="72" t="n"/>
      <c r="F499" s="72" t="n"/>
      <c r="H499" s="72" t="n"/>
    </row>
    <row r="500">
      <c r="A500" s="41" t="n"/>
      <c r="D500" s="72" t="n"/>
      <c r="F500" s="72" t="n"/>
      <c r="H500" s="72" t="n"/>
    </row>
    <row r="501">
      <c r="A501" s="41" t="n"/>
      <c r="D501" s="72" t="n"/>
      <c r="F501" s="72" t="n"/>
      <c r="H501" s="72" t="n"/>
    </row>
    <row r="502">
      <c r="A502" s="41" t="n"/>
      <c r="D502" s="72" t="n"/>
      <c r="F502" s="72" t="n"/>
      <c r="H502" s="72" t="n"/>
    </row>
    <row r="503">
      <c r="A503" s="41" t="n"/>
      <c r="D503" s="72" t="n"/>
      <c r="F503" s="72" t="n"/>
      <c r="H503" s="72" t="n"/>
    </row>
    <row r="504">
      <c r="A504" s="52" t="n"/>
      <c r="D504" s="72" t="n"/>
      <c r="F504" s="72" t="n"/>
      <c r="H504" s="72" t="n"/>
    </row>
    <row r="505">
      <c r="D505" s="72" t="n"/>
      <c r="F505" s="72" t="n"/>
      <c r="H505" s="72" t="n"/>
    </row>
    <row r="506">
      <c r="D506" s="72" t="n"/>
      <c r="F506" s="72" t="n"/>
      <c r="H506" s="72" t="n"/>
    </row>
    <row r="507">
      <c r="D507" s="72" t="n"/>
      <c r="F507" s="72" t="n"/>
      <c r="H507" s="72" t="n"/>
    </row>
    <row r="508">
      <c r="A508" s="36" t="n"/>
      <c r="D508" s="72" t="n"/>
      <c r="F508" s="72" t="n"/>
      <c r="H508" s="72" t="n"/>
    </row>
    <row r="509">
      <c r="A509" s="36" t="n"/>
      <c r="D509" s="72" t="n"/>
      <c r="F509" s="72" t="n"/>
      <c r="H509" s="72" t="n"/>
    </row>
    <row r="510">
      <c r="A510" s="41" t="n"/>
      <c r="D510" s="72" t="n"/>
      <c r="F510" s="72" t="n"/>
      <c r="H510" s="72" t="n"/>
    </row>
    <row r="511">
      <c r="A511" s="41" t="n"/>
      <c r="D511" s="72" t="n"/>
      <c r="F511" s="72" t="n"/>
      <c r="H511" s="72" t="n"/>
    </row>
    <row r="512">
      <c r="A512" s="41" t="n"/>
      <c r="D512" s="72" t="n"/>
      <c r="F512" s="72" t="n"/>
      <c r="H512" s="72" t="n"/>
    </row>
    <row r="513">
      <c r="A513" s="41" t="n"/>
      <c r="D513" s="72" t="n"/>
      <c r="F513" s="72" t="n"/>
      <c r="H513" s="72" t="n"/>
    </row>
    <row r="514">
      <c r="A514" s="41" t="n"/>
      <c r="D514" s="72" t="n"/>
      <c r="F514" s="72" t="n"/>
      <c r="H514" s="72" t="n"/>
    </row>
    <row r="515">
      <c r="A515" s="41" t="n"/>
      <c r="D515" s="72" t="n"/>
      <c r="F515" s="72" t="n"/>
      <c r="H515" s="72" t="n"/>
    </row>
    <row r="516">
      <c r="A516" s="41" t="n"/>
      <c r="D516" s="72" t="n"/>
      <c r="F516" s="72" t="n"/>
      <c r="H516" s="72" t="n"/>
    </row>
    <row r="517">
      <c r="A517" s="41" t="n"/>
      <c r="D517" s="72" t="n"/>
      <c r="F517" s="72" t="n"/>
      <c r="H517" s="72" t="n"/>
    </row>
    <row r="518">
      <c r="A518" s="41" t="n"/>
      <c r="D518" s="72" t="n"/>
      <c r="F518" s="72" t="n"/>
      <c r="H518" s="72" t="n"/>
    </row>
    <row r="519">
      <c r="A519" s="41" t="n"/>
      <c r="D519" s="72" t="n"/>
      <c r="F519" s="72" t="n"/>
      <c r="H519" s="72" t="n"/>
    </row>
    <row r="520">
      <c r="A520" s="41" t="n"/>
      <c r="D520" s="72" t="n"/>
      <c r="F520" s="72" t="n"/>
      <c r="H520" s="72" t="n"/>
    </row>
    <row r="521">
      <c r="A521" s="41" t="n"/>
      <c r="D521" s="72" t="n"/>
      <c r="F521" s="72" t="n"/>
      <c r="H521" s="72" t="n"/>
    </row>
    <row r="522">
      <c r="A522" s="41" t="n"/>
      <c r="D522" s="72" t="n"/>
      <c r="F522" s="72" t="n"/>
      <c r="H522" s="72" t="n"/>
    </row>
    <row r="523">
      <c r="A523" s="41" t="n"/>
      <c r="D523" s="72" t="n"/>
      <c r="F523" s="72" t="n"/>
      <c r="H523" s="72" t="n"/>
    </row>
    <row r="524">
      <c r="A524" s="41" t="n"/>
      <c r="D524" s="72" t="n"/>
      <c r="F524" s="72" t="n"/>
      <c r="H524" s="72" t="n"/>
    </row>
    <row r="525">
      <c r="A525" s="41" t="n"/>
      <c r="D525" s="72" t="n"/>
      <c r="F525" s="72" t="n"/>
      <c r="H525" s="72" t="n"/>
    </row>
    <row r="526">
      <c r="A526" s="41" t="n"/>
      <c r="D526" s="72" t="n"/>
      <c r="F526" s="72" t="n"/>
      <c r="H526" s="72" t="n"/>
    </row>
    <row r="527">
      <c r="A527" s="41" t="n"/>
      <c r="D527" s="72" t="n"/>
      <c r="F527" s="72" t="n"/>
      <c r="H527" s="72" t="n"/>
    </row>
    <row r="528">
      <c r="A528" s="41" t="n"/>
      <c r="D528" s="72" t="n"/>
      <c r="F528" s="72" t="n"/>
      <c r="H528" s="72" t="n"/>
    </row>
    <row r="529">
      <c r="A529" s="41" t="n"/>
      <c r="D529" s="72" t="n"/>
      <c r="F529" s="72" t="n"/>
      <c r="H529" s="72" t="n"/>
    </row>
    <row r="530">
      <c r="A530" s="41" t="n"/>
      <c r="D530" s="72" t="n"/>
      <c r="F530" s="72" t="n"/>
      <c r="H530" s="72" t="n"/>
    </row>
    <row r="531">
      <c r="A531" s="41" t="n"/>
      <c r="D531" s="72" t="n"/>
      <c r="F531" s="72" t="n"/>
      <c r="H531" s="72" t="n"/>
    </row>
    <row r="532">
      <c r="A532" s="41" t="n"/>
      <c r="D532" s="72" t="n"/>
      <c r="F532" s="72" t="n"/>
      <c r="H532" s="72" t="n"/>
    </row>
    <row r="533">
      <c r="A533" s="41" t="n"/>
      <c r="D533" s="72" t="n"/>
      <c r="F533" s="72" t="n"/>
      <c r="H533" s="72" t="n"/>
    </row>
    <row r="534">
      <c r="A534" s="41" t="n"/>
      <c r="D534" s="72" t="n"/>
      <c r="F534" s="72" t="n"/>
      <c r="H534" s="72" t="n"/>
    </row>
    <row r="535">
      <c r="A535" s="41" t="n"/>
      <c r="D535" s="72" t="n"/>
      <c r="F535" s="72" t="n"/>
      <c r="H535" s="72" t="n"/>
    </row>
    <row r="536">
      <c r="A536" s="41" t="n"/>
      <c r="D536" s="72" t="n"/>
      <c r="F536" s="72" t="n"/>
      <c r="H536" s="72" t="n"/>
    </row>
    <row r="537">
      <c r="A537" s="41" t="n"/>
      <c r="D537" s="72" t="n"/>
      <c r="F537" s="72" t="n"/>
      <c r="H537" s="72" t="n"/>
    </row>
    <row r="538">
      <c r="A538" s="41" t="n"/>
      <c r="D538" s="72" t="n"/>
      <c r="F538" s="72" t="n"/>
      <c r="H538" s="72" t="n"/>
    </row>
    <row r="539">
      <c r="A539" s="41" t="n"/>
      <c r="D539" s="72" t="n"/>
      <c r="F539" s="72" t="n"/>
      <c r="H539" s="72" t="n"/>
    </row>
    <row r="540">
      <c r="A540" s="41" t="n"/>
      <c r="D540" s="72" t="n"/>
      <c r="F540" s="72" t="n"/>
      <c r="H540" s="72" t="n"/>
    </row>
    <row r="541">
      <c r="A541" s="41" t="n"/>
      <c r="D541" s="72" t="n"/>
      <c r="F541" s="72" t="n"/>
      <c r="H541" s="72" t="n"/>
    </row>
    <row r="542">
      <c r="A542" s="41" t="n"/>
      <c r="D542" s="72" t="n"/>
      <c r="F542" s="72" t="n"/>
      <c r="H542" s="72" t="n"/>
    </row>
    <row r="543">
      <c r="A543" s="41" t="n"/>
      <c r="D543" s="72" t="n"/>
      <c r="F543" s="72" t="n"/>
      <c r="H543" s="72" t="n"/>
    </row>
    <row r="544">
      <c r="A544" s="41" t="n"/>
      <c r="D544" s="72" t="n"/>
      <c r="F544" s="72" t="n"/>
      <c r="H544" s="72" t="n"/>
    </row>
    <row r="545">
      <c r="A545" s="41" t="n"/>
      <c r="D545" s="72" t="n"/>
      <c r="F545" s="72" t="n"/>
      <c r="H545" s="72" t="n"/>
    </row>
    <row r="546">
      <c r="A546" s="41" t="n"/>
      <c r="D546" s="72" t="n"/>
      <c r="F546" s="72" t="n"/>
      <c r="H546" s="72" t="n"/>
    </row>
    <row r="547">
      <c r="A547" s="41" t="n"/>
      <c r="D547" s="72" t="n"/>
      <c r="F547" s="72" t="n"/>
      <c r="H547" s="72" t="n"/>
    </row>
    <row r="548">
      <c r="A548" s="41" t="n"/>
      <c r="D548" s="72" t="n"/>
      <c r="F548" s="72" t="n"/>
      <c r="H548" s="72" t="n"/>
    </row>
    <row r="549">
      <c r="A549" s="41" t="n"/>
      <c r="D549" s="72" t="n"/>
      <c r="F549" s="72" t="n"/>
      <c r="H549" s="72" t="n"/>
    </row>
    <row r="550">
      <c r="A550" s="41" t="n"/>
      <c r="D550" s="72" t="n"/>
      <c r="F550" s="72" t="n"/>
      <c r="H550" s="72" t="n"/>
    </row>
    <row r="551">
      <c r="A551" s="41" t="n"/>
      <c r="D551" s="72" t="n"/>
      <c r="F551" s="72" t="n"/>
      <c r="H551" s="72" t="n"/>
    </row>
    <row r="552">
      <c r="A552" s="41" t="n"/>
      <c r="D552" s="72" t="n"/>
      <c r="F552" s="72" t="n"/>
      <c r="H552" s="72" t="n"/>
    </row>
    <row r="553">
      <c r="A553" s="41" t="n"/>
      <c r="D553" s="72" t="n"/>
      <c r="F553" s="72" t="n"/>
      <c r="H553" s="72" t="n"/>
    </row>
    <row r="554">
      <c r="A554" s="41" t="n"/>
      <c r="D554" s="72" t="n"/>
      <c r="F554" s="72" t="n"/>
      <c r="H554" s="72" t="n"/>
    </row>
    <row r="555">
      <c r="A555" s="41" t="n"/>
      <c r="D555" s="72" t="n"/>
      <c r="F555" s="72" t="n"/>
      <c r="H555" s="72" t="n"/>
    </row>
    <row r="556">
      <c r="A556" s="41" t="n"/>
      <c r="D556" s="72" t="n"/>
      <c r="F556" s="72" t="n"/>
      <c r="H556" s="72" t="n"/>
    </row>
    <row r="557">
      <c r="A557" s="41" t="n"/>
      <c r="D557" s="72" t="n"/>
      <c r="F557" s="72" t="n"/>
      <c r="H557" s="72" t="n"/>
    </row>
    <row r="558">
      <c r="A558" s="41" t="n"/>
      <c r="D558" s="72" t="n"/>
      <c r="F558" s="72" t="n"/>
      <c r="H558" s="72" t="n"/>
    </row>
    <row r="559">
      <c r="A559" s="41" t="n"/>
      <c r="D559" s="72" t="n"/>
      <c r="F559" s="72" t="n"/>
      <c r="H559" s="72" t="n"/>
    </row>
    <row r="560">
      <c r="A560" s="41" t="n"/>
      <c r="D560" s="72" t="n"/>
      <c r="F560" s="72" t="n"/>
      <c r="H560" s="72" t="n"/>
    </row>
    <row r="561">
      <c r="A561" s="41" t="n"/>
      <c r="D561" s="72" t="n"/>
      <c r="F561" s="72" t="n"/>
      <c r="H561" s="72" t="n"/>
    </row>
    <row r="562">
      <c r="A562" s="41" t="n"/>
      <c r="D562" s="72" t="n"/>
      <c r="F562" s="72" t="n"/>
      <c r="H562" s="72" t="n"/>
    </row>
    <row r="563">
      <c r="A563" s="41" t="n"/>
      <c r="D563" s="72" t="n"/>
      <c r="F563" s="72" t="n"/>
      <c r="H563" s="72" t="n"/>
    </row>
    <row r="564">
      <c r="A564" s="41" t="n"/>
      <c r="D564" s="72" t="n"/>
      <c r="F564" s="72" t="n"/>
      <c r="H564" s="72" t="n"/>
    </row>
    <row r="565">
      <c r="A565" s="41" t="n"/>
      <c r="D565" s="72" t="n"/>
      <c r="F565" s="72" t="n"/>
      <c r="H565" s="72" t="n"/>
    </row>
    <row r="566">
      <c r="A566" s="41" t="n"/>
      <c r="D566" s="72" t="n"/>
      <c r="F566" s="72" t="n"/>
      <c r="H566" s="72" t="n"/>
    </row>
    <row r="567">
      <c r="A567" s="41" t="n"/>
      <c r="D567" s="72" t="n"/>
      <c r="F567" s="72" t="n"/>
      <c r="H567" s="72" t="n"/>
    </row>
    <row r="568">
      <c r="A568" s="41" t="n"/>
      <c r="D568" s="72" t="n"/>
      <c r="F568" s="72" t="n"/>
      <c r="H568" s="72" t="n"/>
    </row>
    <row r="569">
      <c r="A569" s="41" t="n"/>
      <c r="D569" s="72" t="n"/>
      <c r="F569" s="72" t="n"/>
      <c r="H569" s="72" t="n"/>
    </row>
    <row r="570">
      <c r="A570" s="41" t="n"/>
      <c r="D570" s="72" t="n"/>
      <c r="F570" s="72" t="n"/>
      <c r="H570" s="72" t="n"/>
    </row>
    <row r="571">
      <c r="A571" s="41" t="n"/>
      <c r="D571" s="72" t="n"/>
      <c r="F571" s="72" t="n"/>
      <c r="H571" s="72" t="n"/>
    </row>
    <row r="572">
      <c r="A572" s="41" t="n"/>
      <c r="D572" s="72" t="n"/>
      <c r="F572" s="72" t="n"/>
      <c r="H572" s="72" t="n"/>
    </row>
    <row r="573">
      <c r="A573" s="41" t="n"/>
      <c r="D573" s="72" t="n"/>
      <c r="F573" s="72" t="n"/>
      <c r="H573" s="72" t="n"/>
    </row>
    <row r="574">
      <c r="A574" s="41" t="n"/>
      <c r="D574" s="72" t="n"/>
      <c r="F574" s="72" t="n"/>
      <c r="H574" s="72" t="n"/>
    </row>
    <row r="575">
      <c r="A575" s="41" t="n"/>
      <c r="D575" s="72" t="n"/>
      <c r="F575" s="72" t="n"/>
      <c r="H575" s="72" t="n"/>
    </row>
    <row r="576">
      <c r="A576" s="41" t="n"/>
      <c r="D576" s="72" t="n"/>
      <c r="F576" s="72" t="n"/>
      <c r="H576" s="72" t="n"/>
    </row>
    <row r="577">
      <c r="A577" s="52" t="n"/>
      <c r="D577" s="72" t="n"/>
      <c r="F577" s="72" t="n"/>
      <c r="H577" s="72" t="n"/>
    </row>
    <row r="578">
      <c r="D578" s="72" t="n"/>
      <c r="F578" s="72" t="n"/>
      <c r="H578" s="72" t="n"/>
    </row>
    <row r="579">
      <c r="D579" s="72" t="n"/>
      <c r="F579" s="72" t="n"/>
      <c r="H579" s="72" t="n"/>
    </row>
    <row r="580">
      <c r="D580" s="72" t="n"/>
      <c r="F580" s="72" t="n"/>
      <c r="H580" s="72" t="n"/>
    </row>
    <row r="581">
      <c r="A581" s="36" t="n"/>
      <c r="D581" s="72" t="n"/>
      <c r="F581" s="72" t="n"/>
      <c r="H581" s="72" t="n"/>
    </row>
    <row r="582">
      <c r="A582" s="36" t="n"/>
      <c r="D582" s="72" t="n"/>
      <c r="F582" s="72" t="n"/>
      <c r="H582" s="72" t="n"/>
    </row>
    <row r="583">
      <c r="A583" s="41" t="n"/>
      <c r="D583" s="72" t="n"/>
      <c r="F583" s="72" t="n"/>
      <c r="H583" s="72" t="n"/>
    </row>
    <row r="584">
      <c r="A584" s="41" t="n"/>
      <c r="D584" s="72" t="n"/>
      <c r="F584" s="72" t="n"/>
      <c r="H584" s="72" t="n"/>
    </row>
    <row r="585">
      <c r="A585" s="41" t="n"/>
      <c r="D585" s="72" t="n"/>
      <c r="F585" s="72" t="n"/>
      <c r="H585" s="72" t="n"/>
    </row>
    <row r="586">
      <c r="A586" s="41" t="n"/>
      <c r="D586" s="72" t="n"/>
      <c r="F586" s="72" t="n"/>
      <c r="H586" s="72" t="n"/>
    </row>
    <row r="587">
      <c r="A587" s="41" t="n"/>
      <c r="D587" s="72" t="n"/>
      <c r="F587" s="72" t="n"/>
      <c r="H587" s="72" t="n"/>
    </row>
    <row r="588">
      <c r="A588" s="41" t="n"/>
      <c r="D588" s="72" t="n"/>
      <c r="F588" s="72" t="n"/>
      <c r="H588" s="72" t="n"/>
    </row>
    <row r="589">
      <c r="A589" s="41" t="n"/>
      <c r="D589" s="72" t="n"/>
      <c r="F589" s="72" t="n"/>
      <c r="H589" s="72" t="n"/>
    </row>
    <row r="590">
      <c r="A590" s="41" t="n"/>
      <c r="D590" s="72" t="n"/>
      <c r="F590" s="72" t="n"/>
      <c r="H590" s="72" t="n"/>
    </row>
    <row r="591">
      <c r="A591" s="41" t="n"/>
      <c r="D591" s="72" t="n"/>
      <c r="F591" s="72" t="n"/>
      <c r="H591" s="72" t="n"/>
    </row>
    <row r="592">
      <c r="A592" s="41" t="n"/>
      <c r="D592" s="72" t="n"/>
      <c r="F592" s="72" t="n"/>
      <c r="H592" s="72" t="n"/>
    </row>
    <row r="593">
      <c r="A593" s="41" t="n"/>
      <c r="D593" s="72" t="n"/>
      <c r="F593" s="72" t="n"/>
      <c r="H593" s="72" t="n"/>
    </row>
    <row r="594">
      <c r="A594" s="41" t="n"/>
      <c r="D594" s="72" t="n"/>
      <c r="F594" s="72" t="n"/>
      <c r="H594" s="72" t="n"/>
    </row>
    <row r="595">
      <c r="A595" s="41" t="n"/>
      <c r="D595" s="72" t="n"/>
      <c r="F595" s="72" t="n"/>
      <c r="H595" s="72" t="n"/>
    </row>
    <row r="596">
      <c r="A596" s="41" t="n"/>
      <c r="D596" s="72" t="n"/>
      <c r="F596" s="72" t="n"/>
      <c r="H596" s="72" t="n"/>
    </row>
    <row r="597">
      <c r="A597" s="41" t="n"/>
      <c r="D597" s="72" t="n"/>
      <c r="F597" s="72" t="n"/>
      <c r="H597" s="72" t="n"/>
    </row>
    <row r="598">
      <c r="A598" s="41" t="n"/>
      <c r="D598" s="72" t="n"/>
      <c r="F598" s="72" t="n"/>
      <c r="H598" s="72" t="n"/>
    </row>
    <row r="599">
      <c r="A599" s="41" t="n"/>
      <c r="D599" s="72" t="n"/>
      <c r="F599" s="72" t="n"/>
      <c r="H599" s="72" t="n"/>
    </row>
    <row r="600">
      <c r="A600" s="41" t="n"/>
      <c r="D600" s="72" t="n"/>
      <c r="F600" s="72" t="n"/>
      <c r="H600" s="72" t="n"/>
    </row>
    <row r="601">
      <c r="A601" s="41" t="n"/>
      <c r="D601" s="72" t="n"/>
      <c r="F601" s="72" t="n"/>
      <c r="H601" s="72" t="n"/>
    </row>
    <row r="602">
      <c r="A602" s="41" t="n"/>
      <c r="D602" s="72" t="n"/>
      <c r="F602" s="72" t="n"/>
      <c r="H602" s="72" t="n"/>
    </row>
    <row r="603">
      <c r="A603" s="41" t="n"/>
      <c r="D603" s="72" t="n"/>
      <c r="F603" s="72" t="n"/>
      <c r="H603" s="72" t="n"/>
    </row>
    <row r="604">
      <c r="A604" s="41" t="n"/>
      <c r="D604" s="72" t="n"/>
      <c r="F604" s="72" t="n"/>
      <c r="H604" s="72" t="n"/>
    </row>
    <row r="605">
      <c r="A605" s="41" t="n"/>
      <c r="D605" s="72" t="n"/>
      <c r="F605" s="72" t="n"/>
      <c r="H605" s="72" t="n"/>
    </row>
    <row r="606">
      <c r="A606" s="41" t="n"/>
      <c r="D606" s="72" t="n"/>
      <c r="F606" s="72" t="n"/>
      <c r="H606" s="72" t="n"/>
    </row>
    <row r="607">
      <c r="A607" s="41" t="n"/>
      <c r="D607" s="72" t="n"/>
      <c r="F607" s="72" t="n"/>
      <c r="H607" s="72" t="n"/>
    </row>
    <row r="608">
      <c r="A608" s="41" t="n"/>
      <c r="D608" s="72" t="n"/>
      <c r="F608" s="72" t="n"/>
      <c r="H608" s="72" t="n"/>
    </row>
    <row r="609">
      <c r="A609" s="41" t="n"/>
      <c r="D609" s="72" t="n"/>
      <c r="F609" s="72" t="n"/>
      <c r="H609" s="72" t="n"/>
    </row>
    <row r="610">
      <c r="A610" s="41" t="n"/>
      <c r="D610" s="72" t="n"/>
      <c r="F610" s="72" t="n"/>
      <c r="H610" s="72" t="n"/>
    </row>
    <row r="611">
      <c r="A611" s="41" t="n"/>
      <c r="D611" s="72" t="n"/>
      <c r="F611" s="72" t="n"/>
      <c r="H611" s="72" t="n"/>
    </row>
    <row r="612">
      <c r="A612" s="41" t="n"/>
      <c r="D612" s="72" t="n"/>
      <c r="F612" s="72" t="n"/>
      <c r="H612" s="72" t="n"/>
    </row>
    <row r="613">
      <c r="A613" s="41" t="n"/>
      <c r="D613" s="72" t="n"/>
      <c r="F613" s="72" t="n"/>
      <c r="H613" s="72" t="n"/>
    </row>
    <row r="614">
      <c r="A614" s="41" t="n"/>
      <c r="D614" s="72" t="n"/>
      <c r="F614" s="72" t="n"/>
      <c r="H614" s="72" t="n"/>
    </row>
    <row r="615">
      <c r="A615" s="41" t="n"/>
      <c r="D615" s="72" t="n"/>
      <c r="F615" s="72" t="n"/>
      <c r="H615" s="72" t="n"/>
    </row>
    <row r="616">
      <c r="A616" s="41" t="n"/>
      <c r="D616" s="72" t="n"/>
      <c r="F616" s="72" t="n"/>
      <c r="H616" s="72" t="n"/>
    </row>
    <row r="617">
      <c r="A617" s="41" t="n"/>
      <c r="D617" s="72" t="n"/>
      <c r="F617" s="72" t="n"/>
      <c r="H617" s="72" t="n"/>
    </row>
    <row r="618">
      <c r="A618" s="41" t="n"/>
      <c r="D618" s="72" t="n"/>
      <c r="F618" s="72" t="n"/>
      <c r="H618" s="72" t="n"/>
    </row>
    <row r="619">
      <c r="A619" s="41" t="n"/>
      <c r="D619" s="72" t="n"/>
      <c r="F619" s="72" t="n"/>
      <c r="H619" s="72" t="n"/>
    </row>
    <row r="620">
      <c r="A620" s="41" t="n"/>
      <c r="D620" s="72" t="n"/>
      <c r="F620" s="72" t="n"/>
      <c r="H620" s="72" t="n"/>
    </row>
    <row r="621">
      <c r="A621" s="41" t="n"/>
      <c r="D621" s="72" t="n"/>
      <c r="F621" s="72" t="n"/>
      <c r="H621" s="72" t="n"/>
    </row>
    <row r="622">
      <c r="A622" s="41" t="n"/>
      <c r="D622" s="72" t="n"/>
      <c r="F622" s="72" t="n"/>
      <c r="H622" s="72" t="n"/>
    </row>
    <row r="623">
      <c r="A623" s="41" t="n"/>
      <c r="D623" s="72" t="n"/>
      <c r="F623" s="72" t="n"/>
      <c r="H623" s="72" t="n"/>
    </row>
    <row r="624">
      <c r="A624" s="41" t="n"/>
      <c r="D624" s="72" t="n"/>
      <c r="F624" s="72" t="n"/>
      <c r="H624" s="72" t="n"/>
    </row>
    <row r="625">
      <c r="A625" s="41" t="n"/>
      <c r="D625" s="72" t="n"/>
      <c r="F625" s="72" t="n"/>
      <c r="H625" s="72" t="n"/>
    </row>
    <row r="626">
      <c r="A626" s="41" t="n"/>
      <c r="D626" s="72" t="n"/>
      <c r="F626" s="72" t="n"/>
      <c r="H626" s="72" t="n"/>
    </row>
    <row r="627">
      <c r="A627" s="41" t="n"/>
      <c r="D627" s="72" t="n"/>
      <c r="F627" s="72" t="n"/>
      <c r="H627" s="72" t="n"/>
    </row>
    <row r="628">
      <c r="A628" s="41" t="n"/>
      <c r="D628" s="72" t="n"/>
      <c r="F628" s="72" t="n"/>
      <c r="H628" s="72" t="n"/>
    </row>
    <row r="629">
      <c r="A629" s="41" t="n"/>
      <c r="D629" s="72" t="n"/>
      <c r="F629" s="72" t="n"/>
      <c r="H629" s="72" t="n"/>
    </row>
    <row r="630">
      <c r="A630" s="41" t="n"/>
      <c r="D630" s="72" t="n"/>
      <c r="F630" s="72" t="n"/>
      <c r="H630" s="72" t="n"/>
    </row>
    <row r="631">
      <c r="A631" s="41" t="n"/>
      <c r="D631" s="72" t="n"/>
      <c r="F631" s="72" t="n"/>
      <c r="H631" s="72" t="n"/>
    </row>
    <row r="632">
      <c r="A632" s="41" t="n"/>
      <c r="D632" s="72" t="n"/>
      <c r="F632" s="72" t="n"/>
      <c r="H632" s="72" t="n"/>
    </row>
    <row r="633">
      <c r="A633" s="41" t="n"/>
      <c r="D633" s="72" t="n"/>
      <c r="F633" s="72" t="n"/>
      <c r="H633" s="72" t="n"/>
    </row>
    <row r="634">
      <c r="A634" s="41" t="n"/>
      <c r="D634" s="72" t="n"/>
      <c r="F634" s="72" t="n"/>
      <c r="H634" s="72" t="n"/>
    </row>
    <row r="635">
      <c r="A635" s="41" t="n"/>
      <c r="D635" s="72" t="n"/>
      <c r="F635" s="72" t="n"/>
      <c r="H635" s="72" t="n"/>
    </row>
    <row r="636">
      <c r="A636" s="41" t="n"/>
      <c r="D636" s="72" t="n"/>
      <c r="F636" s="72" t="n"/>
      <c r="H636" s="72" t="n"/>
    </row>
    <row r="637">
      <c r="A637" s="41" t="n"/>
      <c r="D637" s="72" t="n"/>
      <c r="F637" s="72" t="n"/>
      <c r="H637" s="72" t="n"/>
    </row>
    <row r="638">
      <c r="A638" s="41" t="n"/>
      <c r="D638" s="72" t="n"/>
      <c r="F638" s="72" t="n"/>
      <c r="H638" s="72" t="n"/>
    </row>
    <row r="639">
      <c r="A639" s="41" t="n"/>
      <c r="D639" s="72" t="n"/>
      <c r="F639" s="72" t="n"/>
      <c r="H639" s="72" t="n"/>
    </row>
    <row r="640">
      <c r="A640" s="41" t="n"/>
      <c r="D640" s="72" t="n"/>
      <c r="F640" s="72" t="n"/>
      <c r="H640" s="72" t="n"/>
    </row>
    <row r="641">
      <c r="A641" s="41" t="n"/>
      <c r="D641" s="72" t="n"/>
      <c r="F641" s="72" t="n"/>
      <c r="H641" s="72" t="n"/>
    </row>
    <row r="642">
      <c r="A642" s="41" t="n"/>
      <c r="D642" s="72" t="n"/>
      <c r="F642" s="72" t="n"/>
      <c r="H642" s="72" t="n"/>
    </row>
    <row r="643">
      <c r="A643" s="41" t="n"/>
      <c r="D643" s="72" t="n"/>
      <c r="F643" s="72" t="n"/>
      <c r="H643" s="72" t="n"/>
    </row>
    <row r="644">
      <c r="A644" s="41" t="n"/>
      <c r="D644" s="72" t="n"/>
      <c r="F644" s="72" t="n"/>
      <c r="H644" s="72" t="n"/>
    </row>
    <row r="645">
      <c r="A645" s="41" t="n"/>
      <c r="D645" s="72" t="n"/>
      <c r="F645" s="72" t="n"/>
      <c r="H645" s="72" t="n"/>
    </row>
    <row r="646">
      <c r="A646" s="41" t="n"/>
      <c r="D646" s="72" t="n"/>
      <c r="F646" s="72" t="n"/>
      <c r="H646" s="72" t="n"/>
    </row>
    <row r="647">
      <c r="A647" s="41" t="n"/>
      <c r="D647" s="72" t="n"/>
      <c r="F647" s="72" t="n"/>
      <c r="H647" s="72" t="n"/>
    </row>
    <row r="648">
      <c r="A648" s="41" t="n"/>
      <c r="D648" s="72" t="n"/>
      <c r="F648" s="72" t="n"/>
      <c r="H648" s="72" t="n"/>
    </row>
    <row r="649">
      <c r="A649" s="41" t="n"/>
      <c r="D649" s="72" t="n"/>
      <c r="F649" s="72" t="n"/>
      <c r="H649" s="72" t="n"/>
    </row>
    <row r="650">
      <c r="A650" s="52" t="n"/>
      <c r="D650" s="72" t="n"/>
      <c r="F650" s="72" t="n"/>
      <c r="H650" s="72" t="n"/>
    </row>
    <row r="651">
      <c r="D651" s="72" t="n"/>
      <c r="F651" s="72" t="n"/>
      <c r="H651" s="72" t="n"/>
    </row>
    <row r="652">
      <c r="D652" s="72" t="n"/>
      <c r="F652" s="72" t="n"/>
      <c r="H652" s="72" t="n"/>
    </row>
    <row r="653">
      <c r="D653" s="72" t="n"/>
      <c r="F653" s="72" t="n"/>
      <c r="H653" s="72" t="n"/>
    </row>
    <row r="654">
      <c r="A654" s="36" t="n"/>
      <c r="D654" s="72" t="n"/>
      <c r="F654" s="72" t="n"/>
      <c r="H654" s="72" t="n"/>
    </row>
    <row r="655">
      <c r="A655" s="36" t="n"/>
      <c r="D655" s="72" t="n"/>
      <c r="F655" s="72" t="n"/>
      <c r="H655" s="72" t="n"/>
    </row>
    <row r="656">
      <c r="A656" s="41" t="n"/>
      <c r="D656" s="72" t="n"/>
      <c r="F656" s="72" t="n"/>
      <c r="H656" s="72" t="n"/>
    </row>
    <row r="657">
      <c r="A657" s="41" t="n"/>
      <c r="D657" s="72" t="n"/>
      <c r="F657" s="72" t="n"/>
      <c r="H657" s="72" t="n"/>
    </row>
    <row r="658">
      <c r="A658" s="41" t="n"/>
      <c r="D658" s="72" t="n"/>
      <c r="F658" s="72" t="n"/>
      <c r="H658" s="72" t="n"/>
    </row>
    <row r="659">
      <c r="A659" s="41" t="n"/>
      <c r="D659" s="72" t="n"/>
      <c r="F659" s="72" t="n"/>
      <c r="H659" s="72" t="n"/>
    </row>
    <row r="660">
      <c r="A660" s="41" t="n"/>
      <c r="D660" s="72" t="n"/>
      <c r="F660" s="72" t="n"/>
      <c r="H660" s="72" t="n"/>
    </row>
    <row r="661">
      <c r="A661" s="41" t="n"/>
      <c r="D661" s="72" t="n"/>
      <c r="F661" s="72" t="n"/>
      <c r="H661" s="72" t="n"/>
    </row>
    <row r="662">
      <c r="A662" s="41" t="n"/>
      <c r="D662" s="72" t="n"/>
      <c r="F662" s="72" t="n"/>
      <c r="H662" s="72" t="n"/>
    </row>
    <row r="663">
      <c r="A663" s="41" t="n"/>
      <c r="D663" s="72" t="n"/>
      <c r="F663" s="72" t="n"/>
      <c r="H663" s="72" t="n"/>
    </row>
    <row r="664">
      <c r="A664" s="41" t="n"/>
      <c r="D664" s="72" t="n"/>
      <c r="F664" s="72" t="n"/>
      <c r="H664" s="72" t="n"/>
    </row>
    <row r="665">
      <c r="A665" s="41" t="n"/>
      <c r="D665" s="72" t="n"/>
      <c r="F665" s="72" t="n"/>
      <c r="H665" s="72" t="n"/>
    </row>
    <row r="666">
      <c r="A666" s="41" t="n"/>
      <c r="D666" s="72" t="n"/>
      <c r="F666" s="72" t="n"/>
      <c r="H666" s="72" t="n"/>
    </row>
    <row r="667">
      <c r="A667" s="41" t="n"/>
      <c r="D667" s="72" t="n"/>
      <c r="F667" s="72" t="n"/>
      <c r="H667" s="72" t="n"/>
    </row>
    <row r="668">
      <c r="A668" s="41" t="n"/>
      <c r="D668" s="72" t="n"/>
      <c r="F668" s="72" t="n"/>
      <c r="H668" s="72" t="n"/>
    </row>
    <row r="669">
      <c r="A669" s="41" t="n"/>
      <c r="D669" s="72" t="n"/>
      <c r="F669" s="72" t="n"/>
      <c r="H669" s="72" t="n"/>
    </row>
    <row r="670">
      <c r="A670" s="41" t="n"/>
      <c r="D670" s="72" t="n"/>
      <c r="F670" s="72" t="n"/>
      <c r="H670" s="72" t="n"/>
    </row>
    <row r="671">
      <c r="A671" s="41" t="n"/>
      <c r="D671" s="72" t="n"/>
      <c r="F671" s="72" t="n"/>
      <c r="H671" s="72" t="n"/>
    </row>
    <row r="672">
      <c r="A672" s="41" t="n"/>
      <c r="D672" s="72" t="n"/>
      <c r="F672" s="72" t="n"/>
      <c r="H672" s="72" t="n"/>
    </row>
    <row r="673">
      <c r="A673" s="41" t="n"/>
      <c r="D673" s="72" t="n"/>
      <c r="F673" s="72" t="n"/>
      <c r="H673" s="72" t="n"/>
    </row>
    <row r="674">
      <c r="A674" s="41" t="n"/>
      <c r="D674" s="72" t="n"/>
      <c r="F674" s="72" t="n"/>
      <c r="H674" s="72" t="n"/>
    </row>
    <row r="675">
      <c r="A675" s="41" t="n"/>
      <c r="D675" s="72" t="n"/>
      <c r="F675" s="72" t="n"/>
      <c r="H675" s="72" t="n"/>
    </row>
    <row r="676">
      <c r="A676" s="41" t="n"/>
      <c r="D676" s="72" t="n"/>
      <c r="F676" s="72" t="n"/>
      <c r="H676" s="72" t="n"/>
    </row>
    <row r="677">
      <c r="A677" s="41" t="n"/>
      <c r="D677" s="72" t="n"/>
      <c r="F677" s="72" t="n"/>
      <c r="H677" s="72" t="n"/>
    </row>
    <row r="678">
      <c r="A678" s="41" t="n"/>
      <c r="D678" s="72" t="n"/>
      <c r="F678" s="72" t="n"/>
      <c r="H678" s="72" t="n"/>
    </row>
    <row r="679">
      <c r="A679" s="41" t="n"/>
      <c r="D679" s="72" t="n"/>
      <c r="F679" s="72" t="n"/>
      <c r="H679" s="72" t="n"/>
    </row>
    <row r="680">
      <c r="A680" s="41" t="n"/>
      <c r="D680" s="72" t="n"/>
      <c r="F680" s="72" t="n"/>
      <c r="H680" s="72" t="n"/>
    </row>
    <row r="681">
      <c r="A681" s="41" t="n"/>
      <c r="D681" s="72" t="n"/>
      <c r="F681" s="72" t="n"/>
      <c r="H681" s="72" t="n"/>
    </row>
    <row r="682">
      <c r="A682" s="41" t="n"/>
      <c r="D682" s="72" t="n"/>
      <c r="F682" s="72" t="n"/>
      <c r="H682" s="72" t="n"/>
    </row>
    <row r="683">
      <c r="A683" s="41" t="n"/>
      <c r="D683" s="72" t="n"/>
      <c r="F683" s="72" t="n"/>
      <c r="H683" s="72" t="n"/>
    </row>
    <row r="684">
      <c r="A684" s="41" t="n"/>
      <c r="D684" s="72" t="n"/>
      <c r="F684" s="72" t="n"/>
      <c r="H684" s="72" t="n"/>
    </row>
    <row r="685">
      <c r="A685" s="41" t="n"/>
      <c r="D685" s="72" t="n"/>
      <c r="F685" s="72" t="n"/>
      <c r="H685" s="72" t="n"/>
    </row>
    <row r="686">
      <c r="A686" s="41" t="n"/>
      <c r="D686" s="72" t="n"/>
      <c r="F686" s="72" t="n"/>
      <c r="H686" s="72" t="n"/>
    </row>
    <row r="687">
      <c r="A687" s="41" t="n"/>
      <c r="D687" s="72" t="n"/>
      <c r="F687" s="72" t="n"/>
      <c r="H687" s="72" t="n"/>
    </row>
    <row r="688">
      <c r="A688" s="41" t="n"/>
      <c r="D688" s="72" t="n"/>
      <c r="F688" s="72" t="n"/>
      <c r="H688" s="72" t="n"/>
    </row>
    <row r="689">
      <c r="A689" s="41" t="n"/>
      <c r="D689" s="72" t="n"/>
      <c r="F689" s="72" t="n"/>
      <c r="H689" s="72" t="n"/>
    </row>
    <row r="690">
      <c r="A690" s="41" t="n"/>
      <c r="D690" s="72" t="n"/>
      <c r="F690" s="72" t="n"/>
      <c r="H690" s="72" t="n"/>
    </row>
    <row r="691">
      <c r="A691" s="41" t="n"/>
      <c r="D691" s="72" t="n"/>
      <c r="F691" s="72" t="n"/>
      <c r="H691" s="72" t="n"/>
    </row>
    <row r="692">
      <c r="A692" s="41" t="n"/>
      <c r="D692" s="72" t="n"/>
      <c r="F692" s="72" t="n"/>
      <c r="H692" s="72" t="n"/>
    </row>
    <row r="693">
      <c r="A693" s="41" t="n"/>
      <c r="D693" s="72" t="n"/>
      <c r="F693" s="72" t="n"/>
      <c r="H693" s="72" t="n"/>
    </row>
    <row r="694">
      <c r="A694" s="41" t="n"/>
      <c r="D694" s="72" t="n"/>
      <c r="F694" s="72" t="n"/>
      <c r="H694" s="72" t="n"/>
    </row>
    <row r="695">
      <c r="A695" s="41" t="n"/>
      <c r="D695" s="72" t="n"/>
      <c r="F695" s="72" t="n"/>
      <c r="H695" s="72" t="n"/>
    </row>
    <row r="696">
      <c r="A696" s="41" t="n"/>
      <c r="D696" s="72" t="n"/>
      <c r="F696" s="72" t="n"/>
      <c r="H696" s="72" t="n"/>
    </row>
    <row r="697">
      <c r="A697" s="41" t="n"/>
      <c r="D697" s="72" t="n"/>
      <c r="F697" s="72" t="n"/>
      <c r="H697" s="72" t="n"/>
    </row>
    <row r="698">
      <c r="A698" s="41" t="n"/>
      <c r="D698" s="72" t="n"/>
      <c r="F698" s="72" t="n"/>
      <c r="H698" s="72" t="n"/>
    </row>
    <row r="699">
      <c r="A699" s="41" t="n"/>
      <c r="D699" s="72" t="n"/>
      <c r="F699" s="72" t="n"/>
      <c r="H699" s="72" t="n"/>
    </row>
    <row r="700">
      <c r="A700" s="41" t="n"/>
      <c r="D700" s="72" t="n"/>
      <c r="F700" s="72" t="n"/>
      <c r="H700" s="72" t="n"/>
    </row>
    <row r="701">
      <c r="A701" s="41" t="n"/>
      <c r="D701" s="72" t="n"/>
      <c r="F701" s="72" t="n"/>
      <c r="H701" s="72" t="n"/>
    </row>
    <row r="702">
      <c r="A702" s="41" t="n"/>
      <c r="D702" s="72" t="n"/>
      <c r="F702" s="72" t="n"/>
      <c r="H702" s="72" t="n"/>
    </row>
    <row r="703">
      <c r="A703" s="41" t="n"/>
      <c r="D703" s="72" t="n"/>
      <c r="F703" s="72" t="n"/>
      <c r="H703" s="72" t="n"/>
    </row>
    <row r="704">
      <c r="A704" s="41" t="n"/>
      <c r="D704" s="72" t="n"/>
      <c r="F704" s="72" t="n"/>
      <c r="H704" s="72" t="n"/>
    </row>
    <row r="705">
      <c r="A705" s="41" t="n"/>
      <c r="D705" s="72" t="n"/>
      <c r="F705" s="72" t="n"/>
      <c r="H705" s="72" t="n"/>
    </row>
    <row r="706">
      <c r="A706" s="41" t="n"/>
      <c r="D706" s="72" t="n"/>
      <c r="F706" s="72" t="n"/>
      <c r="H706" s="72" t="n"/>
    </row>
    <row r="707">
      <c r="A707" s="41" t="n"/>
      <c r="D707" s="72" t="n"/>
      <c r="F707" s="72" t="n"/>
      <c r="H707" s="72" t="n"/>
    </row>
    <row r="708">
      <c r="A708" s="41" t="n"/>
      <c r="D708" s="72" t="n"/>
      <c r="F708" s="72" t="n"/>
      <c r="H708" s="72" t="n"/>
    </row>
    <row r="709">
      <c r="A709" s="41" t="n"/>
      <c r="D709" s="72" t="n"/>
      <c r="F709" s="72" t="n"/>
      <c r="H709" s="72" t="n"/>
    </row>
    <row r="710">
      <c r="A710" s="41" t="n"/>
      <c r="D710" s="72" t="n"/>
      <c r="F710" s="72" t="n"/>
      <c r="H710" s="72" t="n"/>
    </row>
    <row r="711">
      <c r="A711" s="41" t="n"/>
      <c r="D711" s="72" t="n"/>
      <c r="F711" s="72" t="n"/>
      <c r="H711" s="72" t="n"/>
    </row>
    <row r="712">
      <c r="A712" s="41" t="n"/>
      <c r="D712" s="72" t="n"/>
      <c r="F712" s="72" t="n"/>
      <c r="H712" s="72" t="n"/>
    </row>
    <row r="713">
      <c r="A713" s="41" t="n"/>
      <c r="D713" s="72" t="n"/>
      <c r="F713" s="72" t="n"/>
      <c r="H713" s="72" t="n"/>
    </row>
    <row r="714">
      <c r="A714" s="41" t="n"/>
      <c r="D714" s="72" t="n"/>
      <c r="F714" s="72" t="n"/>
      <c r="H714" s="72" t="n"/>
    </row>
    <row r="715">
      <c r="A715" s="41" t="n"/>
      <c r="D715" s="72" t="n"/>
      <c r="F715" s="72" t="n"/>
      <c r="H715" s="72" t="n"/>
    </row>
    <row r="716">
      <c r="A716" s="41" t="n"/>
      <c r="D716" s="72" t="n"/>
      <c r="F716" s="72" t="n"/>
      <c r="H716" s="72" t="n"/>
    </row>
    <row r="717">
      <c r="A717" s="41" t="n"/>
      <c r="D717" s="72" t="n"/>
      <c r="F717" s="72" t="n"/>
      <c r="H717" s="72" t="n"/>
    </row>
    <row r="718">
      <c r="A718" s="41" t="n"/>
      <c r="D718" s="72" t="n"/>
      <c r="F718" s="72" t="n"/>
      <c r="H718" s="72" t="n"/>
    </row>
    <row r="719">
      <c r="A719" s="41" t="n"/>
      <c r="D719" s="72" t="n"/>
      <c r="F719" s="72" t="n"/>
      <c r="H719" s="72" t="n"/>
    </row>
    <row r="720">
      <c r="A720" s="41" t="n"/>
      <c r="D720" s="72" t="n"/>
      <c r="F720" s="72" t="n"/>
      <c r="H720" s="72" t="n"/>
    </row>
    <row r="721">
      <c r="A721" s="41" t="n"/>
      <c r="D721" s="72" t="n"/>
      <c r="F721" s="72" t="n"/>
      <c r="H721" s="72" t="n"/>
    </row>
    <row r="722">
      <c r="A722" s="41" t="n"/>
      <c r="D722" s="72" t="n"/>
      <c r="F722" s="72" t="n"/>
      <c r="H722" s="72" t="n"/>
    </row>
    <row r="723">
      <c r="A723" s="52" t="n"/>
      <c r="D723" s="72" t="n"/>
      <c r="F723" s="72" t="n"/>
      <c r="H723" s="72" t="n"/>
    </row>
    <row r="724">
      <c r="D724" s="72" t="n"/>
      <c r="F724" s="72" t="n"/>
      <c r="H724" s="72" t="n"/>
    </row>
    <row r="725">
      <c r="D725" s="72" t="n"/>
      <c r="F725" s="72" t="n"/>
      <c r="H725" s="72" t="n"/>
    </row>
    <row r="726">
      <c r="D726" s="72" t="n"/>
      <c r="F726" s="72" t="n"/>
      <c r="H726" s="72" t="n"/>
    </row>
    <row r="727">
      <c r="A727" s="36" t="n"/>
      <c r="D727" s="72" t="n"/>
      <c r="F727" s="72" t="n"/>
      <c r="H727" s="72" t="n"/>
    </row>
    <row r="728">
      <c r="A728" s="36" t="n"/>
      <c r="D728" s="72" t="n"/>
      <c r="F728" s="72" t="n"/>
      <c r="H728" s="72" t="n"/>
    </row>
    <row r="729">
      <c r="A729" s="41" t="n"/>
      <c r="D729" s="72" t="n"/>
      <c r="F729" s="72" t="n"/>
      <c r="H729" s="72" t="n"/>
    </row>
    <row r="730">
      <c r="A730" s="41" t="n"/>
      <c r="D730" s="72" t="n"/>
      <c r="F730" s="72" t="n"/>
      <c r="H730" s="72" t="n"/>
    </row>
    <row r="731">
      <c r="A731" s="41" t="n"/>
      <c r="D731" s="72" t="n"/>
      <c r="F731" s="72" t="n"/>
      <c r="H731" s="72" t="n"/>
    </row>
    <row r="732">
      <c r="A732" s="41" t="n"/>
      <c r="D732" s="72" t="n"/>
      <c r="F732" s="72" t="n"/>
      <c r="H732" s="72" t="n"/>
    </row>
    <row r="733">
      <c r="A733" s="41" t="n"/>
      <c r="D733" s="72" t="n"/>
      <c r="F733" s="72" t="n"/>
      <c r="H733" s="72" t="n"/>
    </row>
    <row r="734">
      <c r="A734" s="41" t="n"/>
      <c r="D734" s="72" t="n"/>
      <c r="F734" s="72" t="n"/>
      <c r="H734" s="72" t="n"/>
    </row>
    <row r="735">
      <c r="A735" s="41" t="n"/>
      <c r="D735" s="72" t="n"/>
      <c r="F735" s="72" t="n"/>
      <c r="H735" s="72" t="n"/>
    </row>
    <row r="736">
      <c r="A736" s="41" t="n"/>
      <c r="D736" s="72" t="n"/>
      <c r="F736" s="72" t="n"/>
      <c r="H736" s="72" t="n"/>
    </row>
    <row r="737">
      <c r="A737" s="41" t="n"/>
      <c r="D737" s="72" t="n"/>
      <c r="F737" s="72" t="n"/>
      <c r="H737" s="72" t="n"/>
    </row>
    <row r="738">
      <c r="A738" s="41" t="n"/>
      <c r="D738" s="72" t="n"/>
      <c r="F738" s="72" t="n"/>
      <c r="H738" s="72" t="n"/>
    </row>
    <row r="739">
      <c r="A739" s="41" t="n"/>
      <c r="D739" s="72" t="n"/>
      <c r="F739" s="72" t="n"/>
      <c r="H739" s="72" t="n"/>
    </row>
    <row r="740">
      <c r="A740" s="41" t="n"/>
      <c r="D740" s="72" t="n"/>
      <c r="F740" s="72" t="n"/>
      <c r="H740" s="72" t="n"/>
    </row>
    <row r="741">
      <c r="A741" s="41" t="n"/>
      <c r="D741" s="72" t="n"/>
      <c r="F741" s="72" t="n"/>
      <c r="H741" s="72" t="n"/>
    </row>
    <row r="742">
      <c r="A742" s="41" t="n"/>
      <c r="D742" s="72" t="n"/>
      <c r="F742" s="72" t="n"/>
      <c r="H742" s="72" t="n"/>
    </row>
    <row r="743">
      <c r="A743" s="41" t="n"/>
      <c r="D743" s="72" t="n"/>
      <c r="F743" s="72" t="n"/>
      <c r="H743" s="72" t="n"/>
    </row>
    <row r="744">
      <c r="A744" s="41" t="n"/>
      <c r="D744" s="72" t="n"/>
      <c r="F744" s="72" t="n"/>
      <c r="H744" s="72" t="n"/>
    </row>
    <row r="745">
      <c r="A745" s="41" t="n"/>
      <c r="D745" s="72" t="n"/>
      <c r="F745" s="72" t="n"/>
      <c r="H745" s="72" t="n"/>
    </row>
    <row r="746">
      <c r="A746" s="41" t="n"/>
      <c r="D746" s="72" t="n"/>
      <c r="F746" s="72" t="n"/>
      <c r="H746" s="72" t="n"/>
    </row>
    <row r="747">
      <c r="A747" s="41" t="n"/>
      <c r="D747" s="72" t="n"/>
      <c r="F747" s="72" t="n"/>
      <c r="H747" s="72" t="n"/>
    </row>
    <row r="748">
      <c r="A748" s="41" t="n"/>
      <c r="D748" s="72" t="n"/>
      <c r="F748" s="72" t="n"/>
      <c r="H748" s="72" t="n"/>
    </row>
    <row r="749">
      <c r="A749" s="41" t="n"/>
      <c r="D749" s="72" t="n"/>
      <c r="F749" s="72" t="n"/>
      <c r="H749" s="72" t="n"/>
    </row>
    <row r="750">
      <c r="A750" s="41" t="n"/>
      <c r="D750" s="72" t="n"/>
      <c r="F750" s="72" t="n"/>
      <c r="H750" s="72" t="n"/>
    </row>
    <row r="751">
      <c r="A751" s="41" t="n"/>
      <c r="D751" s="72" t="n"/>
      <c r="F751" s="72" t="n"/>
      <c r="H751" s="72" t="n"/>
    </row>
    <row r="752">
      <c r="A752" s="41" t="n"/>
      <c r="D752" s="72" t="n"/>
      <c r="F752" s="72" t="n"/>
      <c r="H752" s="72" t="n"/>
    </row>
    <row r="753">
      <c r="A753" s="41" t="n"/>
      <c r="D753" s="72" t="n"/>
      <c r="F753" s="72" t="n"/>
      <c r="H753" s="72" t="n"/>
    </row>
    <row r="754">
      <c r="A754" s="41" t="n"/>
      <c r="D754" s="72" t="n"/>
      <c r="F754" s="72" t="n"/>
      <c r="H754" s="72" t="n"/>
    </row>
    <row r="755">
      <c r="A755" s="41" t="n"/>
      <c r="D755" s="72" t="n"/>
      <c r="F755" s="72" t="n"/>
      <c r="H755" s="72" t="n"/>
    </row>
    <row r="756">
      <c r="A756" s="41" t="n"/>
      <c r="D756" s="72" t="n"/>
      <c r="F756" s="72" t="n"/>
      <c r="H756" s="72" t="n"/>
    </row>
    <row r="757">
      <c r="A757" s="41" t="n"/>
      <c r="D757" s="72" t="n"/>
      <c r="F757" s="72" t="n"/>
      <c r="H757" s="72" t="n"/>
    </row>
    <row r="758">
      <c r="A758" s="41" t="n"/>
      <c r="D758" s="72" t="n"/>
      <c r="F758" s="72" t="n"/>
      <c r="H758" s="72" t="n"/>
    </row>
    <row r="759">
      <c r="A759" s="41" t="n"/>
      <c r="D759" s="72" t="n"/>
      <c r="F759" s="72" t="n"/>
      <c r="H759" s="72" t="n"/>
    </row>
    <row r="760">
      <c r="A760" s="41" t="n"/>
      <c r="D760" s="72" t="n"/>
      <c r="F760" s="72" t="n"/>
      <c r="H760" s="72" t="n"/>
    </row>
    <row r="761">
      <c r="A761" s="41" t="n"/>
      <c r="D761" s="72" t="n"/>
      <c r="F761" s="72" t="n"/>
      <c r="H761" s="72" t="n"/>
    </row>
    <row r="762">
      <c r="A762" s="41" t="n"/>
      <c r="D762" s="72" t="n"/>
      <c r="F762" s="72" t="n"/>
      <c r="H762" s="72" t="n"/>
    </row>
    <row r="763">
      <c r="A763" s="41" t="n"/>
      <c r="D763" s="72" t="n"/>
      <c r="F763" s="72" t="n"/>
      <c r="H763" s="72" t="n"/>
    </row>
    <row r="764">
      <c r="A764" s="41" t="n"/>
      <c r="D764" s="72" t="n"/>
      <c r="F764" s="72" t="n"/>
      <c r="H764" s="72" t="n"/>
    </row>
    <row r="765">
      <c r="A765" s="41" t="n"/>
      <c r="D765" s="72" t="n"/>
      <c r="F765" s="72" t="n"/>
      <c r="H765" s="72" t="n"/>
    </row>
    <row r="766">
      <c r="A766" s="41" t="n"/>
      <c r="D766" s="72" t="n"/>
      <c r="F766" s="72" t="n"/>
      <c r="H766" s="72" t="n"/>
    </row>
    <row r="767">
      <c r="A767" s="41" t="n"/>
      <c r="D767" s="72" t="n"/>
      <c r="F767" s="72" t="n"/>
      <c r="H767" s="72" t="n"/>
    </row>
    <row r="768">
      <c r="A768" s="41" t="n"/>
      <c r="D768" s="72" t="n"/>
      <c r="F768" s="72" t="n"/>
      <c r="H768" s="72" t="n"/>
    </row>
    <row r="769">
      <c r="A769" s="41" t="n"/>
      <c r="D769" s="72" t="n"/>
      <c r="F769" s="72" t="n"/>
      <c r="H769" s="72" t="n"/>
    </row>
    <row r="770">
      <c r="A770" s="41" t="n"/>
      <c r="D770" s="72" t="n"/>
      <c r="F770" s="72" t="n"/>
      <c r="H770" s="72" t="n"/>
    </row>
    <row r="771">
      <c r="A771" s="41" t="n"/>
      <c r="D771" s="72" t="n"/>
      <c r="F771" s="72" t="n"/>
      <c r="H771" s="72" t="n"/>
    </row>
    <row r="772">
      <c r="A772" s="41" t="n"/>
      <c r="D772" s="72" t="n"/>
      <c r="F772" s="72" t="n"/>
      <c r="H772" s="72" t="n"/>
    </row>
    <row r="773">
      <c r="A773" s="41" t="n"/>
      <c r="D773" s="72" t="n"/>
      <c r="F773" s="72" t="n"/>
      <c r="H773" s="72" t="n"/>
    </row>
    <row r="774">
      <c r="A774" s="41" t="n"/>
      <c r="D774" s="72" t="n"/>
      <c r="F774" s="72" t="n"/>
      <c r="H774" s="72" t="n"/>
    </row>
    <row r="775">
      <c r="A775" s="41" t="n"/>
      <c r="D775" s="72" t="n"/>
      <c r="F775" s="72" t="n"/>
      <c r="H775" s="72" t="n"/>
    </row>
    <row r="776">
      <c r="A776" s="41" t="n"/>
      <c r="D776" s="72" t="n"/>
      <c r="F776" s="72" t="n"/>
      <c r="H776" s="72" t="n"/>
    </row>
    <row r="777">
      <c r="A777" s="41" t="n"/>
      <c r="D777" s="72" t="n"/>
      <c r="F777" s="72" t="n"/>
      <c r="H777" s="72" t="n"/>
    </row>
    <row r="778">
      <c r="A778" s="41" t="n"/>
      <c r="D778" s="72" t="n"/>
      <c r="F778" s="72" t="n"/>
      <c r="H778" s="72" t="n"/>
    </row>
    <row r="779">
      <c r="A779" s="41" t="n"/>
      <c r="D779" s="72" t="n"/>
      <c r="F779" s="72" t="n"/>
      <c r="H779" s="72" t="n"/>
    </row>
    <row r="780">
      <c r="A780" s="41" t="n"/>
      <c r="D780" s="72" t="n"/>
      <c r="F780" s="72" t="n"/>
      <c r="H780" s="72" t="n"/>
    </row>
    <row r="781">
      <c r="A781" s="41" t="n"/>
      <c r="D781" s="72" t="n"/>
      <c r="F781" s="72" t="n"/>
      <c r="H781" s="72" t="n"/>
    </row>
    <row r="782">
      <c r="A782" s="41" t="n"/>
      <c r="D782" s="72" t="n"/>
      <c r="F782" s="72" t="n"/>
      <c r="H782" s="72" t="n"/>
    </row>
    <row r="783">
      <c r="A783" s="41" t="n"/>
      <c r="D783" s="72" t="n"/>
      <c r="F783" s="72" t="n"/>
      <c r="H783" s="72" t="n"/>
    </row>
    <row r="784">
      <c r="A784" s="41" t="n"/>
      <c r="D784" s="72" t="n"/>
      <c r="F784" s="72" t="n"/>
      <c r="H784" s="72" t="n"/>
    </row>
    <row r="785">
      <c r="A785" s="41" t="n"/>
      <c r="D785" s="72" t="n"/>
      <c r="F785" s="72" t="n"/>
      <c r="H785" s="72" t="n"/>
    </row>
    <row r="786">
      <c r="A786" s="41" t="n"/>
      <c r="D786" s="72" t="n"/>
      <c r="F786" s="72" t="n"/>
      <c r="H786" s="72" t="n"/>
    </row>
    <row r="787">
      <c r="A787" s="41" t="n"/>
      <c r="D787" s="72" t="n"/>
      <c r="F787" s="72" t="n"/>
      <c r="H787" s="72" t="n"/>
    </row>
    <row r="788">
      <c r="A788" s="41" t="n"/>
      <c r="D788" s="72" t="n"/>
      <c r="F788" s="72" t="n"/>
      <c r="H788" s="72" t="n"/>
    </row>
    <row r="789">
      <c r="A789" s="41" t="n"/>
      <c r="D789" s="72" t="n"/>
      <c r="F789" s="72" t="n"/>
      <c r="H789" s="72" t="n"/>
    </row>
    <row r="790">
      <c r="A790" s="41" t="n"/>
      <c r="D790" s="72" t="n"/>
      <c r="F790" s="72" t="n"/>
      <c r="H790" s="72" t="n"/>
    </row>
    <row r="791">
      <c r="A791" s="41" t="n"/>
      <c r="D791" s="72" t="n"/>
      <c r="F791" s="72" t="n"/>
      <c r="H791" s="72" t="n"/>
    </row>
    <row r="792">
      <c r="A792" s="41" t="n"/>
      <c r="D792" s="72" t="n"/>
      <c r="F792" s="72" t="n"/>
      <c r="H792" s="72" t="n"/>
    </row>
    <row r="793">
      <c r="A793" s="41" t="n"/>
      <c r="D793" s="72" t="n"/>
      <c r="F793" s="72" t="n"/>
      <c r="H793" s="72" t="n"/>
    </row>
    <row r="794">
      <c r="A794" s="41" t="n"/>
      <c r="D794" s="72" t="n"/>
      <c r="F794" s="72" t="n"/>
      <c r="H794" s="72" t="n"/>
    </row>
    <row r="795">
      <c r="A795" s="41" t="n"/>
      <c r="D795" s="72" t="n"/>
      <c r="F795" s="72" t="n"/>
      <c r="H795" s="72" t="n"/>
    </row>
    <row r="796">
      <c r="A796" s="52" t="n"/>
      <c r="D796" s="72" t="n"/>
      <c r="F796" s="72" t="n"/>
      <c r="H796" s="72" t="n"/>
    </row>
    <row r="797">
      <c r="D797" s="72" t="n"/>
      <c r="F797" s="72" t="n"/>
      <c r="H797" s="72" t="n"/>
    </row>
    <row r="798">
      <c r="D798" s="72" t="n"/>
      <c r="F798" s="72" t="n"/>
      <c r="H798" s="72" t="n"/>
    </row>
    <row r="799">
      <c r="D799" s="72" t="n"/>
      <c r="F799" s="72" t="n"/>
      <c r="H799" s="72" t="n"/>
    </row>
    <row r="800">
      <c r="A800" s="36" t="n"/>
      <c r="D800" s="72" t="n"/>
      <c r="F800" s="72" t="n"/>
      <c r="H800" s="72" t="n"/>
    </row>
    <row r="801">
      <c r="A801" s="36" t="n"/>
      <c r="D801" s="72" t="n"/>
      <c r="F801" s="72" t="n"/>
      <c r="H801" s="72" t="n"/>
    </row>
    <row r="802">
      <c r="A802" s="41" t="n"/>
      <c r="D802" s="72" t="n"/>
      <c r="F802" s="72" t="n"/>
      <c r="H802" s="72" t="n"/>
    </row>
    <row r="803">
      <c r="A803" s="41" t="n"/>
      <c r="D803" s="72" t="n"/>
      <c r="F803" s="72" t="n"/>
      <c r="H803" s="72" t="n"/>
    </row>
    <row r="804">
      <c r="A804" s="41" t="n"/>
      <c r="D804" s="72" t="n"/>
      <c r="F804" s="72" t="n"/>
      <c r="H804" s="72" t="n"/>
    </row>
    <row r="805">
      <c r="A805" s="41" t="n"/>
      <c r="D805" s="72" t="n"/>
      <c r="F805" s="72" t="n"/>
      <c r="H805" s="72" t="n"/>
    </row>
    <row r="806">
      <c r="A806" s="41" t="n"/>
      <c r="D806" s="72" t="n"/>
      <c r="F806" s="72" t="n"/>
      <c r="H806" s="72" t="n"/>
    </row>
    <row r="807">
      <c r="A807" s="41" t="n"/>
      <c r="D807" s="72" t="n"/>
      <c r="F807" s="72" t="n"/>
      <c r="H807" s="72" t="n"/>
    </row>
    <row r="808">
      <c r="A808" s="41" t="n"/>
      <c r="D808" s="72" t="n"/>
      <c r="F808" s="72" t="n"/>
      <c r="H808" s="72" t="n"/>
    </row>
    <row r="809">
      <c r="A809" s="41" t="n"/>
      <c r="D809" s="72" t="n"/>
      <c r="F809" s="72" t="n"/>
      <c r="H809" s="72" t="n"/>
    </row>
    <row r="810">
      <c r="A810" s="41" t="n"/>
      <c r="D810" s="72" t="n"/>
      <c r="F810" s="72" t="n"/>
      <c r="H810" s="72" t="n"/>
    </row>
    <row r="811">
      <c r="A811" s="41" t="n"/>
      <c r="D811" s="72" t="n"/>
      <c r="F811" s="72" t="n"/>
      <c r="H811" s="72" t="n"/>
    </row>
    <row r="812">
      <c r="A812" s="41" t="n"/>
      <c r="D812" s="72" t="n"/>
      <c r="F812" s="72" t="n"/>
      <c r="H812" s="72" t="n"/>
    </row>
    <row r="813">
      <c r="A813" s="41" t="n"/>
      <c r="D813" s="72" t="n"/>
      <c r="F813" s="72" t="n"/>
      <c r="H813" s="72" t="n"/>
    </row>
    <row r="814">
      <c r="A814" s="41" t="n"/>
      <c r="D814" s="72" t="n"/>
      <c r="F814" s="72" t="n"/>
      <c r="H814" s="72" t="n"/>
    </row>
    <row r="815">
      <c r="A815" s="41" t="n"/>
      <c r="D815" s="72" t="n"/>
      <c r="F815" s="72" t="n"/>
      <c r="H815" s="72" t="n"/>
    </row>
    <row r="816">
      <c r="A816" s="41" t="n"/>
      <c r="D816" s="72" t="n"/>
      <c r="F816" s="72" t="n"/>
      <c r="H816" s="72" t="n"/>
    </row>
    <row r="817">
      <c r="A817" s="41" t="n"/>
      <c r="D817" s="72" t="n"/>
      <c r="F817" s="72" t="n"/>
      <c r="H817" s="72" t="n"/>
    </row>
    <row r="818">
      <c r="A818" s="41" t="n"/>
      <c r="D818" s="72" t="n"/>
      <c r="F818" s="72" t="n"/>
      <c r="H818" s="72" t="n"/>
    </row>
    <row r="819">
      <c r="A819" s="41" t="n"/>
      <c r="D819" s="72" t="n"/>
      <c r="F819" s="72" t="n"/>
      <c r="H819" s="72" t="n"/>
    </row>
    <row r="820">
      <c r="A820" s="41" t="n"/>
      <c r="D820" s="72" t="n"/>
      <c r="F820" s="72" t="n"/>
      <c r="H820" s="72" t="n"/>
    </row>
    <row r="821">
      <c r="A821" s="41" t="n"/>
      <c r="D821" s="72" t="n"/>
      <c r="F821" s="72" t="n"/>
      <c r="H821" s="72" t="n"/>
    </row>
    <row r="822">
      <c r="A822" s="41" t="n"/>
      <c r="D822" s="72" t="n"/>
      <c r="F822" s="72" t="n"/>
      <c r="H822" s="72" t="n"/>
    </row>
    <row r="823">
      <c r="A823" s="41" t="n"/>
      <c r="D823" s="72" t="n"/>
      <c r="F823" s="72" t="n"/>
      <c r="H823" s="72" t="n"/>
    </row>
    <row r="824">
      <c r="A824" s="41" t="n"/>
      <c r="D824" s="72" t="n"/>
      <c r="F824" s="72" t="n"/>
      <c r="H824" s="72" t="n"/>
    </row>
    <row r="825">
      <c r="A825" s="41" t="n"/>
      <c r="D825" s="72" t="n"/>
      <c r="F825" s="72" t="n"/>
      <c r="H825" s="72" t="n"/>
    </row>
    <row r="826">
      <c r="A826" s="41" t="n"/>
      <c r="D826" s="72" t="n"/>
      <c r="F826" s="72" t="n"/>
      <c r="H826" s="72" t="n"/>
    </row>
    <row r="827">
      <c r="A827" s="41" t="n"/>
      <c r="D827" s="72" t="n"/>
      <c r="F827" s="72" t="n"/>
      <c r="H827" s="72" t="n"/>
    </row>
    <row r="828">
      <c r="A828" s="41" t="n"/>
      <c r="D828" s="72" t="n"/>
      <c r="F828" s="72" t="n"/>
      <c r="H828" s="72" t="n"/>
    </row>
    <row r="829">
      <c r="A829" s="41" t="n"/>
      <c r="D829" s="72" t="n"/>
      <c r="F829" s="72" t="n"/>
      <c r="H829" s="72" t="n"/>
    </row>
    <row r="830">
      <c r="A830" s="41" t="n"/>
      <c r="D830" s="72" t="n"/>
      <c r="F830" s="72" t="n"/>
      <c r="H830" s="72" t="n"/>
    </row>
    <row r="831">
      <c r="A831" s="41" t="n"/>
      <c r="D831" s="72" t="n"/>
      <c r="F831" s="72" t="n"/>
      <c r="H831" s="72" t="n"/>
    </row>
    <row r="832">
      <c r="A832" s="41" t="n"/>
      <c r="D832" s="72" t="n"/>
      <c r="F832" s="72" t="n"/>
      <c r="H832" s="72" t="n"/>
    </row>
    <row r="833">
      <c r="A833" s="41" t="n"/>
      <c r="D833" s="72" t="n"/>
      <c r="F833" s="72" t="n"/>
      <c r="H833" s="72" t="n"/>
    </row>
    <row r="834">
      <c r="A834" s="41" t="n"/>
      <c r="D834" s="72" t="n"/>
      <c r="F834" s="72" t="n"/>
      <c r="H834" s="72" t="n"/>
    </row>
    <row r="835">
      <c r="A835" s="41" t="n"/>
      <c r="D835" s="72" t="n"/>
      <c r="F835" s="72" t="n"/>
      <c r="H835" s="72" t="n"/>
    </row>
    <row r="836">
      <c r="A836" s="41" t="n"/>
      <c r="D836" s="72" t="n"/>
      <c r="F836" s="72" t="n"/>
      <c r="H836" s="72" t="n"/>
    </row>
    <row r="837">
      <c r="A837" s="41" t="n"/>
      <c r="D837" s="72" t="n"/>
      <c r="F837" s="72" t="n"/>
      <c r="H837" s="72" t="n"/>
    </row>
    <row r="838">
      <c r="A838" s="41" t="n"/>
      <c r="D838" s="72" t="n"/>
      <c r="F838" s="72" t="n"/>
      <c r="H838" s="72" t="n"/>
    </row>
    <row r="839">
      <c r="A839" s="41" t="n"/>
      <c r="D839" s="72" t="n"/>
      <c r="F839" s="72" t="n"/>
      <c r="H839" s="72" t="n"/>
    </row>
    <row r="840">
      <c r="A840" s="41" t="n"/>
      <c r="D840" s="72" t="n"/>
      <c r="F840" s="72" t="n"/>
      <c r="H840" s="72" t="n"/>
    </row>
    <row r="841">
      <c r="A841" s="41" t="n"/>
      <c r="D841" s="72" t="n"/>
      <c r="F841" s="72" t="n"/>
      <c r="H841" s="72" t="n"/>
    </row>
    <row r="842">
      <c r="A842" s="41" t="n"/>
      <c r="D842" s="72" t="n"/>
      <c r="F842" s="72" t="n"/>
      <c r="H842" s="72" t="n"/>
    </row>
    <row r="843">
      <c r="A843" s="41" t="n"/>
      <c r="D843" s="72" t="n"/>
      <c r="F843" s="72" t="n"/>
      <c r="H843" s="72" t="n"/>
    </row>
    <row r="844">
      <c r="A844" s="41" t="n"/>
      <c r="D844" s="72" t="n"/>
      <c r="F844" s="72" t="n"/>
      <c r="H844" s="72" t="n"/>
    </row>
    <row r="845">
      <c r="A845" s="41" t="n"/>
      <c r="D845" s="72" t="n"/>
      <c r="F845" s="72" t="n"/>
      <c r="H845" s="72" t="n"/>
    </row>
    <row r="846">
      <c r="A846" s="41" t="n"/>
      <c r="D846" s="72" t="n"/>
      <c r="F846" s="72" t="n"/>
      <c r="H846" s="72" t="n"/>
    </row>
    <row r="847">
      <c r="A847" s="41" t="n"/>
      <c r="D847" s="72" t="n"/>
      <c r="F847" s="72" t="n"/>
      <c r="H847" s="72" t="n"/>
    </row>
    <row r="848">
      <c r="A848" s="41" t="n"/>
      <c r="D848" s="72" t="n"/>
      <c r="F848" s="72" t="n"/>
      <c r="H848" s="72" t="n"/>
    </row>
    <row r="849">
      <c r="A849" s="41" t="n"/>
      <c r="D849" s="72" t="n"/>
      <c r="F849" s="72" t="n"/>
      <c r="H849" s="72" t="n"/>
    </row>
    <row r="850">
      <c r="A850" s="41" t="n"/>
      <c r="D850" s="72" t="n"/>
      <c r="F850" s="72" t="n"/>
      <c r="H850" s="72" t="n"/>
    </row>
    <row r="851">
      <c r="A851" s="41" t="n"/>
      <c r="D851" s="72" t="n"/>
      <c r="F851" s="72" t="n"/>
      <c r="H851" s="72" t="n"/>
    </row>
    <row r="852">
      <c r="A852" s="41" t="n"/>
      <c r="D852" s="72" t="n"/>
      <c r="F852" s="72" t="n"/>
      <c r="H852" s="72" t="n"/>
    </row>
    <row r="853">
      <c r="A853" s="41" t="n"/>
      <c r="D853" s="72" t="n"/>
      <c r="F853" s="72" t="n"/>
      <c r="H853" s="72" t="n"/>
    </row>
    <row r="854">
      <c r="A854" s="41" t="n"/>
      <c r="D854" s="72" t="n"/>
      <c r="F854" s="72" t="n"/>
      <c r="H854" s="72" t="n"/>
    </row>
    <row r="855">
      <c r="A855" s="41" t="n"/>
      <c r="D855" s="72" t="n"/>
      <c r="F855" s="72" t="n"/>
      <c r="H855" s="72" t="n"/>
    </row>
    <row r="856">
      <c r="A856" s="41" t="n"/>
      <c r="D856" s="72" t="n"/>
      <c r="F856" s="72" t="n"/>
      <c r="H856" s="72" t="n"/>
    </row>
    <row r="857">
      <c r="A857" s="41" t="n"/>
      <c r="D857" s="72" t="n"/>
      <c r="F857" s="72" t="n"/>
      <c r="H857" s="72" t="n"/>
    </row>
    <row r="858">
      <c r="A858" s="41" t="n"/>
      <c r="D858" s="72" t="n"/>
      <c r="F858" s="72" t="n"/>
      <c r="H858" s="72" t="n"/>
    </row>
    <row r="859">
      <c r="A859" s="41" t="n"/>
      <c r="D859" s="72" t="n"/>
      <c r="F859" s="72" t="n"/>
      <c r="H859" s="72" t="n"/>
    </row>
    <row r="860">
      <c r="A860" s="41" t="n"/>
      <c r="D860" s="72" t="n"/>
      <c r="F860" s="72" t="n"/>
      <c r="H860" s="72" t="n"/>
    </row>
    <row r="861">
      <c r="A861" s="41" t="n"/>
      <c r="D861" s="72" t="n"/>
      <c r="F861" s="72" t="n"/>
      <c r="H861" s="72" t="n"/>
    </row>
    <row r="862">
      <c r="A862" s="41" t="n"/>
      <c r="D862" s="72" t="n"/>
      <c r="F862" s="72" t="n"/>
      <c r="H862" s="72" t="n"/>
    </row>
    <row r="863">
      <c r="A863" s="41" t="n"/>
      <c r="D863" s="72" t="n"/>
      <c r="F863" s="72" t="n"/>
      <c r="H863" s="72" t="n"/>
    </row>
    <row r="864">
      <c r="A864" s="41" t="n"/>
      <c r="D864" s="72" t="n"/>
      <c r="F864" s="72" t="n"/>
      <c r="H864" s="72" t="n"/>
    </row>
    <row r="865">
      <c r="A865" s="41" t="n"/>
      <c r="D865" s="72" t="n"/>
      <c r="F865" s="72" t="n"/>
      <c r="H865" s="72" t="n"/>
    </row>
    <row r="866">
      <c r="A866" s="41" t="n"/>
      <c r="D866" s="72" t="n"/>
      <c r="F866" s="72" t="n"/>
      <c r="H866" s="72" t="n"/>
    </row>
    <row r="867">
      <c r="A867" s="41" t="n"/>
      <c r="D867" s="72" t="n"/>
      <c r="F867" s="72" t="n"/>
      <c r="H867" s="72" t="n"/>
    </row>
    <row r="868">
      <c r="A868" s="41" t="n"/>
      <c r="D868" s="72" t="n"/>
      <c r="F868" s="72" t="n"/>
      <c r="H868" s="72" t="n"/>
    </row>
    <row r="869">
      <c r="A869" s="52" t="n"/>
      <c r="D869" s="72" t="n"/>
      <c r="F869" s="72" t="n"/>
      <c r="H869" s="72" t="n"/>
    </row>
    <row r="870">
      <c r="D870" s="72" t="n"/>
      <c r="F870" s="72" t="n"/>
      <c r="H870" s="72" t="n"/>
    </row>
    <row r="871">
      <c r="D871" s="72" t="n"/>
      <c r="F871" s="72" t="n"/>
      <c r="H871" s="72" t="n"/>
    </row>
    <row r="872">
      <c r="D872" s="72" t="n"/>
      <c r="F872" s="72" t="n"/>
      <c r="H872" s="72" t="n"/>
    </row>
    <row r="873">
      <c r="A873" s="36" t="n"/>
      <c r="D873" s="72" t="n"/>
      <c r="F873" s="72" t="n"/>
      <c r="H873" s="72" t="n"/>
    </row>
    <row r="874">
      <c r="A874" s="36" t="n"/>
      <c r="D874" s="72" t="n"/>
      <c r="F874" s="72" t="n"/>
      <c r="H874" s="72" t="n"/>
    </row>
    <row r="875">
      <c r="A875" s="41" t="n"/>
      <c r="D875" s="72" t="n"/>
      <c r="F875" s="72" t="n"/>
      <c r="H875" s="72" t="n"/>
    </row>
    <row r="876">
      <c r="A876" s="41" t="n"/>
      <c r="D876" s="72" t="n"/>
      <c r="F876" s="72" t="n"/>
      <c r="H876" s="72" t="n"/>
    </row>
    <row r="877">
      <c r="A877" s="41" t="n"/>
      <c r="D877" s="72" t="n"/>
      <c r="F877" s="72" t="n"/>
      <c r="H877" s="72" t="n"/>
    </row>
    <row r="878">
      <c r="A878" s="41" t="n"/>
      <c r="D878" s="72" t="n"/>
      <c r="F878" s="72" t="n"/>
      <c r="H878" s="72" t="n"/>
    </row>
    <row r="879">
      <c r="A879" s="41" t="n"/>
      <c r="D879" s="72" t="n"/>
      <c r="F879" s="72" t="n"/>
      <c r="H879" s="72" t="n"/>
    </row>
    <row r="880">
      <c r="A880" s="41" t="n"/>
      <c r="D880" s="72" t="n"/>
      <c r="F880" s="72" t="n"/>
      <c r="H880" s="72" t="n"/>
    </row>
    <row r="881">
      <c r="A881" s="41" t="n"/>
      <c r="D881" s="72" t="n"/>
      <c r="F881" s="72" t="n"/>
      <c r="H881" s="72" t="n"/>
    </row>
    <row r="882">
      <c r="A882" s="41" t="n"/>
      <c r="D882" s="72" t="n"/>
      <c r="F882" s="72" t="n"/>
      <c r="H882" s="72" t="n"/>
    </row>
    <row r="883">
      <c r="A883" s="41" t="n"/>
      <c r="D883" s="72" t="n"/>
      <c r="F883" s="72" t="n"/>
      <c r="H883" s="72" t="n"/>
    </row>
    <row r="884">
      <c r="A884" s="41" t="n"/>
      <c r="D884" s="72" t="n"/>
      <c r="F884" s="72" t="n"/>
      <c r="H884" s="72" t="n"/>
    </row>
    <row r="885">
      <c r="A885" s="41" t="n"/>
      <c r="D885" s="72" t="n"/>
      <c r="F885" s="72" t="n"/>
      <c r="H885" s="72" t="n"/>
    </row>
    <row r="886">
      <c r="A886" s="41" t="n"/>
      <c r="D886" s="72" t="n"/>
      <c r="F886" s="72" t="n"/>
      <c r="H886" s="72" t="n"/>
    </row>
    <row r="887">
      <c r="A887" s="41" t="n"/>
      <c r="D887" s="72" t="n"/>
      <c r="F887" s="72" t="n"/>
      <c r="H887" s="72" t="n"/>
    </row>
    <row r="888">
      <c r="A888" s="41" t="n"/>
      <c r="D888" s="72" t="n"/>
      <c r="F888" s="72" t="n"/>
      <c r="H888" s="72" t="n"/>
    </row>
    <row r="889">
      <c r="A889" s="41" t="n"/>
      <c r="D889" s="72" t="n"/>
      <c r="F889" s="72" t="n"/>
      <c r="H889" s="72" t="n"/>
    </row>
    <row r="890">
      <c r="A890" s="41" t="n"/>
      <c r="D890" s="72" t="n"/>
      <c r="F890" s="72" t="n"/>
      <c r="H890" s="72" t="n"/>
    </row>
    <row r="891">
      <c r="A891" s="41" t="n"/>
      <c r="D891" s="72" t="n"/>
      <c r="F891" s="72" t="n"/>
      <c r="H891" s="72" t="n"/>
    </row>
    <row r="892">
      <c r="A892" s="41" t="n"/>
      <c r="D892" s="72" t="n"/>
      <c r="F892" s="72" t="n"/>
      <c r="H892" s="72" t="n"/>
    </row>
    <row r="893">
      <c r="A893" s="41" t="n"/>
      <c r="D893" s="72" t="n"/>
      <c r="F893" s="72" t="n"/>
      <c r="H893" s="72" t="n"/>
    </row>
    <row r="894">
      <c r="A894" s="41" t="n"/>
      <c r="D894" s="72" t="n"/>
      <c r="F894" s="72" t="n"/>
      <c r="H894" s="72" t="n"/>
    </row>
    <row r="895">
      <c r="A895" s="41" t="n"/>
      <c r="D895" s="72" t="n"/>
      <c r="F895" s="72" t="n"/>
      <c r="H895" s="72" t="n"/>
    </row>
    <row r="896">
      <c r="A896" s="41" t="n"/>
      <c r="D896" s="72" t="n"/>
      <c r="F896" s="72" t="n"/>
      <c r="H896" s="72" t="n"/>
    </row>
    <row r="897">
      <c r="A897" s="41" t="n"/>
      <c r="D897" s="72" t="n"/>
      <c r="F897" s="72" t="n"/>
      <c r="H897" s="72" t="n"/>
    </row>
    <row r="898">
      <c r="A898" s="41" t="n"/>
      <c r="D898" s="72" t="n"/>
      <c r="F898" s="72" t="n"/>
      <c r="H898" s="72" t="n"/>
    </row>
    <row r="899">
      <c r="A899" s="41" t="n"/>
      <c r="D899" s="72" t="n"/>
      <c r="F899" s="72" t="n"/>
      <c r="H899" s="72" t="n"/>
    </row>
    <row r="900">
      <c r="A900" s="41" t="n"/>
      <c r="D900" s="72" t="n"/>
      <c r="F900" s="72" t="n"/>
      <c r="H900" s="72" t="n"/>
    </row>
    <row r="901">
      <c r="A901" s="41" t="n"/>
      <c r="D901" s="72" t="n"/>
      <c r="F901" s="72" t="n"/>
      <c r="H901" s="72" t="n"/>
    </row>
    <row r="902">
      <c r="A902" s="41" t="n"/>
      <c r="D902" s="72" t="n"/>
      <c r="F902" s="72" t="n"/>
      <c r="H902" s="72" t="n"/>
    </row>
    <row r="903">
      <c r="A903" s="41" t="n"/>
      <c r="D903" s="72" t="n"/>
      <c r="F903" s="72" t="n"/>
      <c r="H903" s="72" t="n"/>
    </row>
    <row r="904">
      <c r="A904" s="41" t="n"/>
      <c r="D904" s="72" t="n"/>
      <c r="F904" s="72" t="n"/>
      <c r="H904" s="72" t="n"/>
    </row>
    <row r="905">
      <c r="A905" s="41" t="n"/>
      <c r="D905" s="72" t="n"/>
      <c r="F905" s="72" t="n"/>
      <c r="H905" s="72" t="n"/>
    </row>
    <row r="906">
      <c r="A906" s="41" t="n"/>
      <c r="D906" s="72" t="n"/>
      <c r="F906" s="72" t="n"/>
      <c r="H906" s="72" t="n"/>
    </row>
    <row r="907">
      <c r="A907" s="41" t="n"/>
      <c r="D907" s="72" t="n"/>
      <c r="F907" s="72" t="n"/>
      <c r="H907" s="72" t="n"/>
    </row>
    <row r="908">
      <c r="A908" s="41" t="n"/>
      <c r="D908" s="72" t="n"/>
      <c r="F908" s="72" t="n"/>
      <c r="H908" s="72" t="n"/>
    </row>
    <row r="909">
      <c r="A909" s="41" t="n"/>
      <c r="D909" s="72" t="n"/>
      <c r="F909" s="72" t="n"/>
      <c r="H909" s="72" t="n"/>
    </row>
    <row r="910">
      <c r="A910" s="41" t="n"/>
      <c r="D910" s="72" t="n"/>
      <c r="F910" s="72" t="n"/>
      <c r="H910" s="72" t="n"/>
    </row>
    <row r="911">
      <c r="A911" s="41" t="n"/>
      <c r="D911" s="72" t="n"/>
      <c r="F911" s="72" t="n"/>
      <c r="H911" s="72" t="n"/>
    </row>
    <row r="912">
      <c r="A912" s="41" t="n"/>
      <c r="D912" s="72" t="n"/>
      <c r="F912" s="72" t="n"/>
      <c r="H912" s="72" t="n"/>
    </row>
    <row r="913">
      <c r="A913" s="41" t="n"/>
      <c r="D913" s="72" t="n"/>
      <c r="F913" s="72" t="n"/>
      <c r="H913" s="72" t="n"/>
    </row>
    <row r="914">
      <c r="A914" s="41" t="n"/>
      <c r="D914" s="72" t="n"/>
      <c r="F914" s="72" t="n"/>
      <c r="H914" s="72" t="n"/>
    </row>
    <row r="915">
      <c r="A915" s="41" t="n"/>
      <c r="D915" s="72" t="n"/>
      <c r="F915" s="72" t="n"/>
      <c r="H915" s="72" t="n"/>
    </row>
    <row r="916">
      <c r="A916" s="41" t="n"/>
      <c r="D916" s="72" t="n"/>
      <c r="F916" s="72" t="n"/>
      <c r="H916" s="72" t="n"/>
    </row>
    <row r="917">
      <c r="A917" s="41" t="n"/>
      <c r="D917" s="72" t="n"/>
      <c r="F917" s="72" t="n"/>
      <c r="H917" s="72" t="n"/>
    </row>
    <row r="918">
      <c r="A918" s="41" t="n"/>
      <c r="D918" s="72" t="n"/>
      <c r="F918" s="72" t="n"/>
      <c r="H918" s="72" t="n"/>
    </row>
    <row r="919">
      <c r="A919" s="41" t="n"/>
      <c r="D919" s="72" t="n"/>
      <c r="F919" s="72" t="n"/>
      <c r="H919" s="72" t="n"/>
    </row>
    <row r="920">
      <c r="A920" s="41" t="n"/>
      <c r="D920" s="72" t="n"/>
      <c r="F920" s="72" t="n"/>
      <c r="H920" s="72" t="n"/>
    </row>
    <row r="921">
      <c r="A921" s="41" t="n"/>
      <c r="D921" s="72" t="n"/>
      <c r="F921" s="72" t="n"/>
      <c r="H921" s="72" t="n"/>
    </row>
    <row r="922">
      <c r="A922" s="41" t="n"/>
      <c r="D922" s="72" t="n"/>
      <c r="F922" s="72" t="n"/>
      <c r="H922" s="72" t="n"/>
    </row>
    <row r="923">
      <c r="A923" s="41" t="n"/>
      <c r="D923" s="72" t="n"/>
      <c r="F923" s="72" t="n"/>
      <c r="H923" s="72" t="n"/>
    </row>
    <row r="924">
      <c r="A924" s="41" t="n"/>
      <c r="D924" s="72" t="n"/>
      <c r="F924" s="72" t="n"/>
      <c r="H924" s="72" t="n"/>
    </row>
    <row r="925">
      <c r="A925" s="41" t="n"/>
      <c r="D925" s="72" t="n"/>
      <c r="F925" s="72" t="n"/>
      <c r="H925" s="72" t="n"/>
    </row>
    <row r="926">
      <c r="A926" s="41" t="n"/>
      <c r="D926" s="72" t="n"/>
      <c r="F926" s="72" t="n"/>
      <c r="H926" s="72" t="n"/>
    </row>
    <row r="927">
      <c r="A927" s="41" t="n"/>
      <c r="D927" s="72" t="n"/>
      <c r="F927" s="72" t="n"/>
      <c r="H927" s="72" t="n"/>
    </row>
    <row r="928">
      <c r="A928" s="41" t="n"/>
      <c r="D928" s="72" t="n"/>
      <c r="F928" s="72" t="n"/>
      <c r="H928" s="72" t="n"/>
    </row>
    <row r="929">
      <c r="A929" s="41" t="n"/>
      <c r="D929" s="72" t="n"/>
      <c r="F929" s="72" t="n"/>
      <c r="H929" s="72" t="n"/>
    </row>
    <row r="930">
      <c r="A930" s="41" t="n"/>
      <c r="D930" s="72" t="n"/>
      <c r="F930" s="72" t="n"/>
      <c r="H930" s="72" t="n"/>
    </row>
    <row r="931">
      <c r="A931" s="41" t="n"/>
      <c r="D931" s="72" t="n"/>
      <c r="F931" s="72" t="n"/>
      <c r="H931" s="72" t="n"/>
    </row>
    <row r="932">
      <c r="A932" s="41" t="n"/>
      <c r="D932" s="72" t="n"/>
      <c r="F932" s="72" t="n"/>
      <c r="H932" s="72" t="n"/>
    </row>
    <row r="933">
      <c r="A933" s="41" t="n"/>
      <c r="D933" s="72" t="n"/>
      <c r="F933" s="72" t="n"/>
      <c r="H933" s="72" t="n"/>
    </row>
    <row r="934">
      <c r="A934" s="41" t="n"/>
      <c r="D934" s="72" t="n"/>
      <c r="F934" s="72" t="n"/>
      <c r="H934" s="72" t="n"/>
    </row>
    <row r="935">
      <c r="A935" s="41" t="n"/>
      <c r="D935" s="72" t="n"/>
      <c r="F935" s="72" t="n"/>
      <c r="H935" s="72" t="n"/>
    </row>
    <row r="936">
      <c r="A936" s="41" t="n"/>
      <c r="D936" s="72" t="n"/>
      <c r="F936" s="72" t="n"/>
      <c r="H936" s="72" t="n"/>
    </row>
    <row r="937">
      <c r="A937" s="41" t="n"/>
      <c r="D937" s="72" t="n"/>
      <c r="F937" s="72" t="n"/>
      <c r="H937" s="72" t="n"/>
    </row>
    <row r="938">
      <c r="A938" s="41" t="n"/>
      <c r="D938" s="72" t="n"/>
      <c r="F938" s="72" t="n"/>
      <c r="H938" s="72" t="n"/>
    </row>
    <row r="939">
      <c r="A939" s="41" t="n"/>
      <c r="D939" s="72" t="n"/>
      <c r="F939" s="72" t="n"/>
      <c r="H939" s="72" t="n"/>
    </row>
    <row r="940">
      <c r="A940" s="41" t="n"/>
      <c r="D940" s="72" t="n"/>
      <c r="F940" s="72" t="n"/>
      <c r="H940" s="72" t="n"/>
    </row>
    <row r="941">
      <c r="A941" s="41" t="n"/>
      <c r="D941" s="72" t="n"/>
      <c r="F941" s="72" t="n"/>
      <c r="H941" s="72" t="n"/>
    </row>
    <row r="942">
      <c r="A942" s="52" t="n"/>
      <c r="D942" s="72" t="n"/>
      <c r="F942" s="72" t="n"/>
      <c r="H942" s="72" t="n"/>
    </row>
    <row r="943">
      <c r="D943" s="72" t="n"/>
      <c r="F943" s="72" t="n"/>
      <c r="H943" s="72" t="n"/>
    </row>
    <row r="944">
      <c r="D944" s="72" t="n"/>
      <c r="F944" s="72" t="n"/>
      <c r="H944" s="72" t="n"/>
    </row>
    <row r="945">
      <c r="D945" s="72" t="n"/>
      <c r="F945" s="72" t="n"/>
      <c r="H945" s="72" t="n"/>
    </row>
    <row r="946">
      <c r="D946" s="72" t="n"/>
      <c r="F946" s="72" t="n"/>
      <c r="H946" s="72" t="n"/>
    </row>
    <row r="947">
      <c r="D947" s="72" t="n"/>
      <c r="F947" s="72" t="n"/>
      <c r="H947" s="72" t="n"/>
    </row>
    <row r="948">
      <c r="D948" s="72" t="n"/>
      <c r="F948" s="72" t="n"/>
      <c r="H948" s="72" t="n"/>
    </row>
    <row r="949">
      <c r="D949" s="72" t="n"/>
      <c r="F949" s="72" t="n"/>
      <c r="H949" s="72" t="n"/>
    </row>
    <row r="950">
      <c r="D950" s="72" t="n"/>
      <c r="F950" s="72" t="n"/>
      <c r="H950" s="72" t="n"/>
    </row>
    <row r="951">
      <c r="D951" s="72" t="n"/>
      <c r="F951" s="72" t="n"/>
      <c r="H951" s="72" t="n"/>
    </row>
    <row r="952">
      <c r="D952" s="72" t="n"/>
      <c r="F952" s="72" t="n"/>
      <c r="H952" s="72" t="n"/>
    </row>
    <row r="953">
      <c r="D953" s="72" t="n"/>
      <c r="F953" s="72" t="n"/>
      <c r="H953" s="72" t="n"/>
    </row>
    <row r="954">
      <c r="D954" s="72" t="n"/>
      <c r="F954" s="72" t="n"/>
      <c r="H954" s="72" t="n"/>
    </row>
    <row r="955">
      <c r="D955" s="72" t="n"/>
      <c r="F955" s="72" t="n"/>
      <c r="H955" s="72" t="n"/>
    </row>
    <row r="956">
      <c r="D956" s="72" t="n"/>
      <c r="F956" s="72" t="n"/>
      <c r="H956" s="72" t="n"/>
    </row>
    <row r="957">
      <c r="D957" s="72" t="n"/>
      <c r="F957" s="72" t="n"/>
      <c r="H957" s="72" t="n"/>
    </row>
    <row r="958">
      <c r="D958" s="72" t="n"/>
      <c r="F958" s="72" t="n"/>
      <c r="H958" s="72" t="n"/>
    </row>
    <row r="959">
      <c r="D959" s="72" t="n"/>
      <c r="F959" s="72" t="n"/>
      <c r="H959" s="72" t="n"/>
    </row>
    <row r="960">
      <c r="D960" s="72" t="n"/>
      <c r="F960" s="72" t="n"/>
      <c r="H960" s="72" t="n"/>
    </row>
    <row r="961">
      <c r="D961" s="72" t="n"/>
      <c r="F961" s="72" t="n"/>
      <c r="H961" s="72" t="n"/>
    </row>
    <row r="962">
      <c r="D962" s="72" t="n"/>
      <c r="F962" s="72" t="n"/>
      <c r="H962" s="72" t="n"/>
    </row>
    <row r="963">
      <c r="D963" s="72" t="n"/>
      <c r="F963" s="72" t="n"/>
      <c r="H963" s="72" t="n"/>
    </row>
    <row r="964">
      <c r="D964" s="72" t="n"/>
      <c r="F964" s="72" t="n"/>
      <c r="H964" s="72" t="n"/>
    </row>
    <row r="965">
      <c r="D965" s="72" t="n"/>
      <c r="F965" s="72" t="n"/>
      <c r="H965" s="72" t="n"/>
    </row>
    <row r="966">
      <c r="D966" s="72" t="n"/>
      <c r="F966" s="72" t="n"/>
      <c r="H966" s="72" t="n"/>
    </row>
    <row r="967">
      <c r="D967" s="72" t="n"/>
      <c r="F967" s="72" t="n"/>
      <c r="H967" s="72" t="n"/>
    </row>
    <row r="968">
      <c r="D968" s="72" t="n"/>
      <c r="F968" s="72" t="n"/>
      <c r="H968" s="72" t="n"/>
    </row>
    <row r="969">
      <c r="D969" s="72" t="n"/>
      <c r="F969" s="72" t="n"/>
      <c r="H969" s="72" t="n"/>
    </row>
    <row r="970">
      <c r="D970" s="72" t="n"/>
      <c r="F970" s="72" t="n"/>
      <c r="H970" s="72" t="n"/>
    </row>
    <row r="971">
      <c r="D971" s="72" t="n"/>
      <c r="F971" s="72" t="n"/>
      <c r="H971" s="72" t="n"/>
    </row>
    <row r="972">
      <c r="D972" s="72" t="n"/>
      <c r="F972" s="72" t="n"/>
      <c r="H972" s="72" t="n"/>
    </row>
    <row r="973">
      <c r="D973" s="72" t="n"/>
      <c r="F973" s="72" t="n"/>
      <c r="H973" s="72" t="n"/>
    </row>
    <row r="974">
      <c r="D974" s="72" t="n"/>
      <c r="F974" s="72" t="n"/>
      <c r="H974" s="72" t="n"/>
    </row>
    <row r="975">
      <c r="D975" s="72" t="n"/>
      <c r="F975" s="72" t="n"/>
      <c r="H975" s="72" t="n"/>
    </row>
    <row r="976">
      <c r="D976" s="72" t="n"/>
      <c r="F976" s="72" t="n"/>
      <c r="H976" s="72" t="n"/>
    </row>
    <row r="977">
      <c r="D977" s="72" t="n"/>
      <c r="F977" s="72" t="n"/>
      <c r="H977" s="72" t="n"/>
    </row>
    <row r="978">
      <c r="D978" s="72" t="n"/>
      <c r="F978" s="72" t="n"/>
      <c r="H978" s="72" t="n"/>
    </row>
    <row r="979">
      <c r="D979" s="72" t="n"/>
      <c r="F979" s="72" t="n"/>
      <c r="H979" s="72" t="n"/>
    </row>
    <row r="980">
      <c r="D980" s="72" t="n"/>
      <c r="F980" s="72" t="n"/>
      <c r="H980" s="72" t="n"/>
    </row>
    <row r="981">
      <c r="D981" s="72" t="n"/>
      <c r="F981" s="72" t="n"/>
      <c r="H981" s="72" t="n"/>
    </row>
    <row r="982">
      <c r="D982" s="72" t="n"/>
      <c r="F982" s="72" t="n"/>
      <c r="H982" s="72" t="n"/>
    </row>
    <row r="983">
      <c r="D983" s="72" t="n"/>
      <c r="F983" s="72" t="n"/>
      <c r="H983" s="72" t="n"/>
    </row>
    <row r="984">
      <c r="D984" s="72" t="n"/>
      <c r="F984" s="72" t="n"/>
      <c r="H984" s="72" t="n"/>
    </row>
    <row r="985">
      <c r="D985" s="72" t="n"/>
      <c r="F985" s="72" t="n"/>
      <c r="H985" s="72" t="n"/>
    </row>
    <row r="986">
      <c r="D986" s="72" t="n"/>
      <c r="F986" s="72" t="n"/>
      <c r="H986" s="72" t="n"/>
    </row>
    <row r="987">
      <c r="D987" s="72" t="n"/>
      <c r="F987" s="72" t="n"/>
      <c r="H987" s="72" t="n"/>
    </row>
    <row r="988">
      <c r="D988" s="72" t="n"/>
      <c r="F988" s="72" t="n"/>
      <c r="H988" s="72" t="n"/>
    </row>
    <row r="989">
      <c r="D989" s="72" t="n"/>
      <c r="F989" s="72" t="n"/>
      <c r="H989" s="72" t="n"/>
    </row>
    <row r="990">
      <c r="D990" s="72" t="n"/>
      <c r="F990" s="72" t="n"/>
      <c r="H990" s="72" t="n"/>
    </row>
    <row r="991">
      <c r="D991" s="72" t="n"/>
      <c r="F991" s="72" t="n"/>
      <c r="H991" s="72" t="n"/>
    </row>
    <row r="992">
      <c r="D992" s="72" t="n"/>
      <c r="F992" s="72" t="n"/>
      <c r="H992" s="72" t="n"/>
    </row>
    <row r="993">
      <c r="D993" s="72" t="n"/>
      <c r="F993" s="72" t="n"/>
      <c r="H993" s="72" t="n"/>
    </row>
    <row r="994">
      <c r="D994" s="72" t="n"/>
      <c r="F994" s="72" t="n"/>
      <c r="H994" s="72" t="n"/>
    </row>
    <row r="995">
      <c r="D995" s="72" t="n"/>
      <c r="F995" s="72" t="n"/>
      <c r="H995" s="72" t="n"/>
    </row>
    <row r="996">
      <c r="D996" s="72" t="n"/>
      <c r="F996" s="72" t="n"/>
      <c r="H996" s="7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50.83203125" customWidth="1" style="251" min="2" max="2"/>
    <col width="20.33203125" customWidth="1" style="251" min="3" max="3"/>
    <col width="23.33203125" customWidth="1" style="251" min="4" max="4"/>
    <col width="21.1640625" customWidth="1" style="251" min="5" max="5"/>
    <col width="18.5" customWidth="1" style="251" min="6" max="6"/>
    <col width="21.33203125" customWidth="1" style="251" min="7" max="7"/>
    <col width="19.1640625" customWidth="1" style="251" min="8" max="8"/>
    <col width="19.5" customWidth="1" style="251" min="9" max="9"/>
    <col width="33.33203125" customWidth="1" style="251" min="10" max="10"/>
    <col width="18.1640625" customWidth="1" style="251" min="11" max="11"/>
    <col width="23.33203125" customWidth="1" style="251" min="12" max="18"/>
    <col width="42.5" customWidth="1" style="251" min="19" max="19"/>
    <col width="12.5" customWidth="1" style="251" min="20" max="20"/>
  </cols>
  <sheetData>
    <row r="1" ht="16.5" customHeight="1" s="251">
      <c r="A1" s="41" t="n"/>
      <c r="B1" s="270" t="inlineStr">
        <is>
          <t>JUN 2026 EXPENSES</t>
        </is>
      </c>
      <c r="C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M1" s="267" t="n"/>
      <c r="N1" s="267" t="n"/>
      <c r="O1" s="267" t="n"/>
      <c r="P1" s="267" t="n"/>
      <c r="Q1" s="267" t="n"/>
      <c r="R1" s="267" t="n"/>
      <c r="S1" s="267" t="n"/>
      <c r="T1" s="268" t="n"/>
    </row>
    <row r="2" ht="58.5" customHeight="1" s="251">
      <c r="A2" s="41" t="inlineStr">
        <is>
          <t>FLAT #</t>
        </is>
      </c>
      <c r="B2" s="36" t="n">
        <v>1</v>
      </c>
      <c r="C2" s="36" t="inlineStr">
        <is>
          <t>WATER USED IN LTRS (L)</t>
        </is>
      </c>
      <c r="D2" s="36" t="inlineStr">
        <is>
          <t>COMMON AREA EQUALLY DEVIDED</t>
        </is>
      </c>
      <c r="E2" s="36" t="inlineStr">
        <is>
          <t>TOTAL FRESH WATER CONSUMED</t>
        </is>
      </c>
      <c r="F2" s="77" t="inlineStr">
        <is>
          <t>%OF TOTAL USED</t>
        </is>
      </c>
      <c r="G2" s="36" t="inlineStr">
        <is>
          <t>WATER EXPENSE SHARING BY %</t>
        </is>
      </c>
      <c r="H2" s="36" t="inlineStr">
        <is>
          <t>#METERS</t>
        </is>
      </c>
      <c r="I2" s="36" t="inlineStr">
        <is>
          <t>METER RENT</t>
        </is>
      </c>
      <c r="J2" s="36" t="inlineStr">
        <is>
          <t>VARIABLE EXPENSE = COMMON AREA METER RENT + WATER EXPENSE+ FLAT METER RENT</t>
        </is>
      </c>
      <c r="K2" s="36" t="inlineStr">
        <is>
          <t>FIXED EXPENSE SHARE</t>
        </is>
      </c>
      <c r="L2" s="36" t="inlineStr">
        <is>
          <t>PARKING FEE</t>
        </is>
      </c>
      <c r="M2" s="36" t="inlineStr">
        <is>
          <t>CLUB BOOKING FEE</t>
        </is>
      </c>
      <c r="N2" s="36" t="inlineStr">
        <is>
          <t>POLYCARBONATE PROJECT CANCELLATION CREDIT AMOUNT</t>
        </is>
      </c>
      <c r="O2" s="36" t="inlineStr">
        <is>
          <t>SHIFTING FEE</t>
        </is>
      </c>
      <c r="P2" s="36" t="inlineStr">
        <is>
          <t>GYM USAGE FEE</t>
        </is>
      </c>
      <c r="Q2" s="53" t="n"/>
      <c r="R2" s="53" t="inlineStr">
        <is>
          <t>TOTAL EXPENSE TO BE PAID</t>
        </is>
      </c>
      <c r="S2" s="36" t="n"/>
      <c r="T2" s="36" t="n"/>
    </row>
    <row r="3" ht="12.75" customHeight="1" s="251">
      <c r="A3" s="41" t="inlineStr">
        <is>
          <t>CH</t>
        </is>
      </c>
      <c r="B3" s="78" t="inlineStr">
        <is>
          <t>MPFOWA</t>
        </is>
      </c>
      <c r="C3" s="9" t="n">
        <v>0</v>
      </c>
      <c r="D3" s="41" t="n">
        <v>0</v>
      </c>
      <c r="E3" s="41" t="n"/>
      <c r="F3" s="79" t="n"/>
      <c r="G3" s="41" t="n"/>
      <c r="H3" s="41" t="n">
        <v>1</v>
      </c>
      <c r="I3" s="41">
        <f>H3*$T$7</f>
        <v/>
      </c>
      <c r="J3" s="41" t="n"/>
      <c r="K3" s="41" t="n"/>
      <c r="L3" s="52" t="n"/>
      <c r="M3" s="41" t="n"/>
      <c r="N3" s="41" t="n"/>
      <c r="O3" s="41" t="n"/>
      <c r="P3" s="41" t="n"/>
      <c r="Q3" s="52" t="n"/>
      <c r="R3" s="52" t="n"/>
      <c r="S3" s="36" t="n"/>
      <c r="T3" s="41" t="n"/>
    </row>
    <row r="4" ht="12.75" customHeight="1" s="251">
      <c r="A4" s="41" t="inlineStr">
        <is>
          <t>GYM</t>
        </is>
      </c>
      <c r="B4" s="78" t="inlineStr">
        <is>
          <t>MPFOWA</t>
        </is>
      </c>
      <c r="C4" s="9" t="n">
        <v>0</v>
      </c>
      <c r="D4" s="41" t="n">
        <v>0</v>
      </c>
      <c r="E4" s="41" t="n"/>
      <c r="F4" s="79" t="n"/>
      <c r="G4" s="41" t="n"/>
      <c r="H4" s="41" t="n">
        <v>1</v>
      </c>
      <c r="I4" s="41">
        <f>H4*$T$7</f>
        <v/>
      </c>
      <c r="J4" s="41" t="n"/>
      <c r="K4" s="41" t="n"/>
      <c r="L4" s="57" t="n"/>
      <c r="M4" s="41" t="n"/>
      <c r="N4" s="41" t="n"/>
      <c r="O4" s="41" t="n"/>
      <c r="P4" s="41" t="n"/>
      <c r="Q4" s="52" t="n"/>
      <c r="R4" s="52" t="n"/>
      <c r="S4" s="58" t="inlineStr">
        <is>
          <t>TOTAL FIXED EXPENSE</t>
        </is>
      </c>
      <c r="T4" s="59">
        <f>'ANNUAL-EXPENSE-DETAILS'!BF5</f>
        <v/>
      </c>
    </row>
    <row r="5" ht="12.75" customHeight="1" s="251">
      <c r="A5" s="41" t="inlineStr">
        <is>
          <t>BSMT</t>
        </is>
      </c>
      <c r="B5" s="78" t="inlineStr">
        <is>
          <t>MPFOWA</t>
        </is>
      </c>
      <c r="C5" s="41" t="n">
        <v>0</v>
      </c>
      <c r="D5" s="41" t="n">
        <v>0</v>
      </c>
      <c r="E5" s="41" t="n"/>
      <c r="F5" s="79" t="n"/>
      <c r="G5" s="41" t="n"/>
      <c r="H5" s="41" t="n">
        <v>1</v>
      </c>
      <c r="I5" s="41">
        <f>H5*$T$7</f>
        <v/>
      </c>
      <c r="J5" s="41" t="n"/>
      <c r="K5" s="41" t="n"/>
      <c r="L5" s="57" t="n"/>
      <c r="M5" s="41" t="n"/>
      <c r="N5" s="41" t="n"/>
      <c r="O5" s="41" t="n"/>
      <c r="P5" s="41" t="n"/>
      <c r="Q5" s="52" t="n"/>
      <c r="R5" s="52" t="n"/>
      <c r="S5" s="58" t="inlineStr">
        <is>
          <t>TOTAL WATER EXPENSE</t>
        </is>
      </c>
      <c r="T5" s="59">
        <f>'ANNUAL-EXPENSE-DETAILS'!BE5</f>
        <v/>
      </c>
    </row>
    <row r="6" ht="12.75" customHeight="1" s="251">
      <c r="A6" s="41" t="inlineStr">
        <is>
          <t>F1</t>
        </is>
      </c>
      <c r="B6" s="13" t="inlineStr">
        <is>
          <t>Shailesh Srivastava / Azeem Nawaz</t>
        </is>
      </c>
      <c r="C6" s="9" t="n">
        <v>0</v>
      </c>
      <c r="D6" s="41">
        <f>SUM($C$3:$C$5)/64</f>
        <v/>
      </c>
      <c r="E6" s="41">
        <f>C6+D6</f>
        <v/>
      </c>
      <c r="F6" s="79">
        <f>IF($C$70=0, 0, E6/$C$70)</f>
        <v/>
      </c>
      <c r="G6" s="41">
        <f>F6*$T$5</f>
        <v/>
      </c>
      <c r="H6" s="41" t="n">
        <v>3</v>
      </c>
      <c r="I6" s="41">
        <f>$T$7*H6</f>
        <v/>
      </c>
      <c r="J6" s="41">
        <f>G6+$T$9+I6</f>
        <v/>
      </c>
      <c r="K6" s="41">
        <f>$T$11/64</f>
        <v/>
      </c>
      <c r="L6" s="14" t="n">
        <v>0</v>
      </c>
      <c r="M6" s="41" t="n">
        <v>0</v>
      </c>
      <c r="N6" s="41" t="n"/>
      <c r="O6" s="41" t="n">
        <v>0</v>
      </c>
      <c r="P6" s="41" t="n">
        <v>0</v>
      </c>
      <c r="Q6" s="52" t="n"/>
      <c r="R6" s="52">
        <f>(SUM(J6:P6))*$B$2</f>
        <v/>
      </c>
      <c r="S6" s="80" t="n"/>
      <c r="T6" s="41" t="n"/>
    </row>
    <row r="7" ht="12.75" customHeight="1" s="251">
      <c r="A7" s="41" t="inlineStr">
        <is>
          <t>F2</t>
        </is>
      </c>
      <c r="B7" s="13" t="inlineStr">
        <is>
          <t>Shanthanu</t>
        </is>
      </c>
      <c r="C7" s="9" t="n">
        <v>0</v>
      </c>
      <c r="D7" s="41">
        <f>SUM($C$3:$C$5)/64</f>
        <v/>
      </c>
      <c r="E7" s="41">
        <f>C7+D7</f>
        <v/>
      </c>
      <c r="F7" s="79">
        <f>IF($C$70=0, 0, E7/$C$70)</f>
        <v/>
      </c>
      <c r="G7" s="41">
        <f>F7*$T$5</f>
        <v/>
      </c>
      <c r="H7" s="41" t="n">
        <v>4</v>
      </c>
      <c r="I7" s="41">
        <f>$T$7*H7</f>
        <v/>
      </c>
      <c r="J7" s="41">
        <f>G7+$T$9+I7</f>
        <v/>
      </c>
      <c r="K7" s="41">
        <f>$T$11/64</f>
        <v/>
      </c>
      <c r="L7" s="7" t="n">
        <v>0</v>
      </c>
      <c r="M7" s="41" t="n">
        <v>0</v>
      </c>
      <c r="N7" s="41" t="n"/>
      <c r="O7" s="41" t="n">
        <v>0</v>
      </c>
      <c r="P7" s="41" t="n">
        <v>0</v>
      </c>
      <c r="Q7" s="52" t="n"/>
      <c r="R7" s="52">
        <f>(SUM(J7:P7))*$B$2</f>
        <v/>
      </c>
      <c r="S7" s="80" t="inlineStr">
        <is>
          <t>RENT PER METER</t>
        </is>
      </c>
      <c r="T7" s="17" t="n">
        <v>117.811659</v>
      </c>
    </row>
    <row r="8" ht="12.75" customHeight="1" s="251">
      <c r="A8" s="41" t="inlineStr">
        <is>
          <t>F3</t>
        </is>
      </c>
      <c r="B8" s="13" t="inlineStr">
        <is>
          <t>Samrat Kar</t>
        </is>
      </c>
      <c r="C8" s="9" t="n">
        <v>0</v>
      </c>
      <c r="D8" s="41">
        <f>SUM($C$3:$C$5)/64</f>
        <v/>
      </c>
      <c r="E8" s="41">
        <f>C8+D8</f>
        <v/>
      </c>
      <c r="F8" s="79">
        <f>IF($C$70=0, 0, E8/$C$70)</f>
        <v/>
      </c>
      <c r="G8" s="41">
        <f>F8*$T$5</f>
        <v/>
      </c>
      <c r="H8" s="41" t="n">
        <v>4</v>
      </c>
      <c r="I8" s="41">
        <f>$T$7*H8</f>
        <v/>
      </c>
      <c r="J8" s="41">
        <f>G8+$T$9+I8</f>
        <v/>
      </c>
      <c r="K8" s="41">
        <f>$T$11/64</f>
        <v/>
      </c>
      <c r="L8" s="7" t="n">
        <v>0</v>
      </c>
      <c r="M8" s="41" t="n">
        <v>0</v>
      </c>
      <c r="N8" s="41" t="n"/>
      <c r="O8" s="41" t="n">
        <v>0</v>
      </c>
      <c r="P8" s="41" t="n">
        <v>0</v>
      </c>
      <c r="Q8" s="52" t="n"/>
      <c r="R8" s="52">
        <f>(SUM(J8:P8))*$B$2</f>
        <v/>
      </c>
      <c r="S8" s="80" t="inlineStr">
        <is>
          <t>COMMON AREA METER RENT</t>
        </is>
      </c>
      <c r="T8" s="41">
        <f>$T$7*3</f>
        <v/>
      </c>
    </row>
    <row r="9" ht="12.75" customHeight="1" s="251">
      <c r="A9" s="41" t="inlineStr">
        <is>
          <t>F4</t>
        </is>
      </c>
      <c r="B9" s="13" t="inlineStr">
        <is>
          <t>Renu R</t>
        </is>
      </c>
      <c r="C9" s="9" t="n">
        <v>0</v>
      </c>
      <c r="D9" s="41">
        <f>SUM($C$3:$C$5)/64</f>
        <v/>
      </c>
      <c r="E9" s="41">
        <f>C9+D9</f>
        <v/>
      </c>
      <c r="F9" s="79">
        <f>IF($C$70=0, 0, E9/$C$70)</f>
        <v/>
      </c>
      <c r="G9" s="41">
        <f>F9*$T$5</f>
        <v/>
      </c>
      <c r="H9" s="41" t="n">
        <v>4</v>
      </c>
      <c r="I9" s="41">
        <f>$T$7*H9</f>
        <v/>
      </c>
      <c r="J9" s="41">
        <f>G9+$T$9+I9</f>
        <v/>
      </c>
      <c r="K9" s="41">
        <f>$T$11/64</f>
        <v/>
      </c>
      <c r="L9" s="7" t="n">
        <v>0</v>
      </c>
      <c r="M9" s="41" t="n">
        <v>0</v>
      </c>
      <c r="N9" s="41" t="n"/>
      <c r="O9" s="41" t="n">
        <v>0</v>
      </c>
      <c r="P9" s="41" t="n">
        <v>0</v>
      </c>
      <c r="Q9" s="52" t="n"/>
      <c r="R9" s="52">
        <f>(SUM(J9:P9))*$B$2</f>
        <v/>
      </c>
      <c r="S9" s="81" t="inlineStr">
        <is>
          <t>COMMON AREA METER RENT/FLAT</t>
        </is>
      </c>
      <c r="T9" s="82">
        <f>T8/64</f>
        <v/>
      </c>
    </row>
    <row r="10" ht="12.75" customHeight="1" s="251">
      <c r="A10" s="41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41">
        <f>SUM($C$3:$C$5)/64</f>
        <v/>
      </c>
      <c r="E10" s="41">
        <f>C10+D10</f>
        <v/>
      </c>
      <c r="F10" s="79">
        <f>IF($C$70=0, 0, E10/$C$70)</f>
        <v/>
      </c>
      <c r="G10" s="41">
        <f>F10*$T$5</f>
        <v/>
      </c>
      <c r="H10" s="41" t="n">
        <v>3</v>
      </c>
      <c r="I10" s="41">
        <f>$T$7*H10</f>
        <v/>
      </c>
      <c r="J10" s="41">
        <f>G10+$T$9+I10</f>
        <v/>
      </c>
      <c r="K10" s="41">
        <f>$T$11/64</f>
        <v/>
      </c>
      <c r="L10" s="7" t="n">
        <v>0</v>
      </c>
      <c r="M10" s="41" t="n">
        <v>0</v>
      </c>
      <c r="N10" s="41" t="n"/>
      <c r="O10" s="41" t="n">
        <v>0</v>
      </c>
      <c r="P10" s="41" t="n">
        <v>0</v>
      </c>
      <c r="Q10" s="52" t="n"/>
      <c r="R10" s="52">
        <f>(SUM(J10:P10))*$B$2</f>
        <v/>
      </c>
      <c r="S10" s="80" t="n"/>
      <c r="T10" s="41" t="n"/>
    </row>
    <row r="11" ht="12.75" customHeight="1" s="251">
      <c r="A11" s="41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41">
        <f>SUM($C$3:$C$5)/64</f>
        <v/>
      </c>
      <c r="E11" s="41">
        <f>C11+D11</f>
        <v/>
      </c>
      <c r="F11" s="79">
        <f>IF($C$70=0, 0, E11/$C$70)</f>
        <v/>
      </c>
      <c r="G11" s="41">
        <f>F11*$T$5</f>
        <v/>
      </c>
      <c r="H11" s="41" t="n">
        <v>3</v>
      </c>
      <c r="I11" s="41">
        <f>$T$7*H11</f>
        <v/>
      </c>
      <c r="J11" s="41">
        <f>G11+$T$9+I11</f>
        <v/>
      </c>
      <c r="K11" s="41">
        <f>$T$11/64</f>
        <v/>
      </c>
      <c r="L11" s="7" t="n">
        <v>0</v>
      </c>
      <c r="M11" s="41" t="n">
        <v>0</v>
      </c>
      <c r="N11" s="41" t="n"/>
      <c r="O11" s="41" t="n">
        <v>0</v>
      </c>
      <c r="P11" s="41" t="n">
        <v>0</v>
      </c>
      <c r="Q11" s="52" t="n"/>
      <c r="R11" s="52">
        <f>(SUM(J11:P11))*$B$2</f>
        <v/>
      </c>
      <c r="S11" s="81" t="inlineStr">
        <is>
          <t>TOTAL FIXED EXPENSE</t>
        </is>
      </c>
      <c r="T11" s="82">
        <f>'ANNUAL-EXPENSE-DETAILS'!BF5</f>
        <v/>
      </c>
    </row>
    <row r="12" ht="12.75" customHeight="1" s="251">
      <c r="A12" s="41" t="inlineStr">
        <is>
          <t>F7</t>
        </is>
      </c>
      <c r="B12" s="13" t="inlineStr">
        <is>
          <t>Vimal NK</t>
        </is>
      </c>
      <c r="C12" s="9" t="n">
        <v>0</v>
      </c>
      <c r="D12" s="41">
        <f>SUM($C$3:$C$5)/64</f>
        <v/>
      </c>
      <c r="E12" s="41">
        <f>C12+D12</f>
        <v/>
      </c>
      <c r="F12" s="79">
        <f>IF($C$70=0, 0, E12/$C$70)</f>
        <v/>
      </c>
      <c r="G12" s="41">
        <f>F12*$T$5</f>
        <v/>
      </c>
      <c r="H12" s="41" t="n">
        <v>3</v>
      </c>
      <c r="I12" s="41">
        <f>$T$7*H12</f>
        <v/>
      </c>
      <c r="J12" s="41">
        <f>G12+$T$9+I12</f>
        <v/>
      </c>
      <c r="K12" s="41">
        <f>$T$11/64</f>
        <v/>
      </c>
      <c r="L12" s="7" t="n">
        <v>0</v>
      </c>
      <c r="M12" s="41" t="n">
        <v>0</v>
      </c>
      <c r="N12" s="41" t="n"/>
      <c r="O12" s="41" t="n">
        <v>0</v>
      </c>
      <c r="P12" s="41" t="n">
        <v>0</v>
      </c>
      <c r="Q12" s="52" t="n"/>
      <c r="R12" s="52">
        <f>(SUM(J12:P12))*$B$2</f>
        <v/>
      </c>
      <c r="S12" s="36" t="n"/>
      <c r="T12" s="41" t="n"/>
    </row>
    <row r="13" ht="12.75" customHeight="1" s="251">
      <c r="A13" s="41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41">
        <f>SUM($C$3:$C$5)/64</f>
        <v/>
      </c>
      <c r="E13" s="41">
        <f>C13+D13</f>
        <v/>
      </c>
      <c r="F13" s="79">
        <f>IF($C$70=0, 0, E13/$C$70)</f>
        <v/>
      </c>
      <c r="G13" s="41">
        <f>F13*$T$5</f>
        <v/>
      </c>
      <c r="H13" s="41" t="n">
        <v>3</v>
      </c>
      <c r="I13" s="41">
        <f>$T$7*H13</f>
        <v/>
      </c>
      <c r="J13" s="41">
        <f>G13+$T$9+I13</f>
        <v/>
      </c>
      <c r="K13" s="41">
        <f>$T$11/64</f>
        <v/>
      </c>
      <c r="L13" s="7" t="n">
        <v>0</v>
      </c>
      <c r="M13" s="41" t="n">
        <v>0</v>
      </c>
      <c r="N13" s="41" t="n"/>
      <c r="O13" s="41" t="n">
        <v>0</v>
      </c>
      <c r="P13" s="41" t="n">
        <v>0</v>
      </c>
      <c r="Q13" s="52" t="n"/>
      <c r="R13" s="52">
        <f>(SUM(J13:P13))*$B$2</f>
        <v/>
      </c>
      <c r="S13" s="83" t="n"/>
      <c r="T13" s="63" t="n"/>
    </row>
    <row r="14" ht="12.75" customHeight="1" s="251">
      <c r="A14" s="41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41">
        <f>SUM($C$3:$C$5)/64</f>
        <v/>
      </c>
      <c r="E14" s="41">
        <f>C14+D14</f>
        <v/>
      </c>
      <c r="F14" s="79">
        <f>IF($C$70=0, 0, E14/$C$70)</f>
        <v/>
      </c>
      <c r="G14" s="41">
        <f>F14*$T$5</f>
        <v/>
      </c>
      <c r="H14" s="41" t="n">
        <v>4</v>
      </c>
      <c r="I14" s="41">
        <f>$T$7*H14</f>
        <v/>
      </c>
      <c r="J14" s="41">
        <f>G14+$T$9+I14</f>
        <v/>
      </c>
      <c r="K14" s="41">
        <f>$T$11/64</f>
        <v/>
      </c>
      <c r="L14" s="7" t="n">
        <v>0</v>
      </c>
      <c r="M14" s="41" t="n">
        <v>0</v>
      </c>
      <c r="N14" s="41" t="n"/>
      <c r="O14" s="41" t="n">
        <v>0</v>
      </c>
      <c r="P14" s="41" t="n">
        <v>0</v>
      </c>
      <c r="Q14" s="52" t="n"/>
      <c r="R14" s="52">
        <f>(SUM(J14:P14))*$B$2</f>
        <v/>
      </c>
      <c r="S14" s="61" t="inlineStr">
        <is>
          <t>BALANCE IN ACCOUNT ON 30-JUN-2023</t>
        </is>
      </c>
      <c r="T14" s="63" t="n"/>
    </row>
    <row r="15" ht="12.75" customHeight="1" s="251">
      <c r="A15" s="41" t="inlineStr">
        <is>
          <t>F10</t>
        </is>
      </c>
      <c r="B15" s="13" t="inlineStr">
        <is>
          <t>Aby Thomas</t>
        </is>
      </c>
      <c r="C15" s="9" t="n">
        <v>0</v>
      </c>
      <c r="D15" s="41">
        <f>SUM($C$3:$C$5)/64</f>
        <v/>
      </c>
      <c r="E15" s="41">
        <f>C15+D15</f>
        <v/>
      </c>
      <c r="F15" s="79">
        <f>IF($C$70=0, 0, E15/$C$70)</f>
        <v/>
      </c>
      <c r="G15" s="41">
        <f>F15*$T$5</f>
        <v/>
      </c>
      <c r="H15" s="41" t="n">
        <v>3</v>
      </c>
      <c r="I15" s="41">
        <f>$T$7*H15</f>
        <v/>
      </c>
      <c r="J15" s="41">
        <f>G15+$T$9+I15</f>
        <v/>
      </c>
      <c r="K15" s="41">
        <f>$T$11/64</f>
        <v/>
      </c>
      <c r="L15" s="7" t="n">
        <v>0</v>
      </c>
      <c r="M15" s="41" t="n">
        <v>0</v>
      </c>
      <c r="N15" s="41" t="n"/>
      <c r="O15" s="41" t="n">
        <v>0</v>
      </c>
      <c r="P15" s="41" t="n">
        <v>0</v>
      </c>
      <c r="Q15" s="52" t="n"/>
      <c r="R15" s="52">
        <f>(SUM(J15:P15))*$B$2</f>
        <v/>
      </c>
      <c r="S15" s="61" t="inlineStr">
        <is>
          <t>TOTAL NON MAINTENANCE CORPUS COLLECTION</t>
        </is>
      </c>
      <c r="T15" s="63" t="n"/>
    </row>
    <row r="16" ht="12.75" customHeight="1" s="251">
      <c r="A16" s="41" t="inlineStr">
        <is>
          <t>F11</t>
        </is>
      </c>
      <c r="B16" s="13" t="inlineStr">
        <is>
          <t>Niwin Anto</t>
        </is>
      </c>
      <c r="C16" s="9" t="n">
        <v>0</v>
      </c>
      <c r="D16" s="41">
        <f>SUM($C$3:$C$5)/64</f>
        <v/>
      </c>
      <c r="E16" s="41">
        <f>C16+D16</f>
        <v/>
      </c>
      <c r="F16" s="79">
        <f>IF($C$70=0, 0, E16/$C$70)</f>
        <v/>
      </c>
      <c r="G16" s="41">
        <f>F16*$T$5</f>
        <v/>
      </c>
      <c r="H16" s="41" t="n">
        <v>3</v>
      </c>
      <c r="I16" s="41">
        <f>$T$7*H16</f>
        <v/>
      </c>
      <c r="J16" s="41">
        <f>G16+$T$9+I16</f>
        <v/>
      </c>
      <c r="K16" s="41">
        <f>$T$11/64</f>
        <v/>
      </c>
      <c r="L16" s="7" t="n">
        <v>0</v>
      </c>
      <c r="M16" s="41" t="n">
        <v>0</v>
      </c>
      <c r="N16" s="41" t="n"/>
      <c r="O16" s="41" t="n">
        <v>0</v>
      </c>
      <c r="P16" s="41" t="n">
        <v>0</v>
      </c>
      <c r="Q16" s="52" t="n"/>
      <c r="R16" s="52">
        <f>(SUM(J16:P16))*$B$2</f>
        <v/>
      </c>
      <c r="S16" s="61" t="inlineStr">
        <is>
          <t>TOTAL FD DONE</t>
        </is>
      </c>
      <c r="T16" s="63" t="n"/>
    </row>
    <row r="17" ht="12.75" customHeight="1" s="251">
      <c r="A17" s="41" t="inlineStr">
        <is>
          <t>F12</t>
        </is>
      </c>
      <c r="B17" s="13" t="inlineStr">
        <is>
          <t>Anirudh Singh</t>
        </is>
      </c>
      <c r="C17" s="9" t="n">
        <v>0</v>
      </c>
      <c r="D17" s="41">
        <f>SUM($C$3:$C$5)/64</f>
        <v/>
      </c>
      <c r="E17" s="41">
        <f>C17+D17</f>
        <v/>
      </c>
      <c r="F17" s="79">
        <f>IF($C$70=0, 0, E17/$C$70)</f>
        <v/>
      </c>
      <c r="G17" s="41">
        <f>F17*$T$5</f>
        <v/>
      </c>
      <c r="H17" s="41" t="n">
        <v>3</v>
      </c>
      <c r="I17" s="41">
        <f>$T$7*H17</f>
        <v/>
      </c>
      <c r="J17" s="41">
        <f>G17+$T$9+I17</f>
        <v/>
      </c>
      <c r="K17" s="41">
        <f>$T$11/64</f>
        <v/>
      </c>
      <c r="L17" s="7" t="n">
        <v>0</v>
      </c>
      <c r="M17" s="41" t="n">
        <v>0</v>
      </c>
      <c r="N17" s="41" t="n"/>
      <c r="O17" s="41" t="n">
        <v>0</v>
      </c>
      <c r="P17" s="41" t="n">
        <v>0</v>
      </c>
      <c r="Q17" s="52" t="n"/>
      <c r="R17" s="52">
        <f>(SUM(J17:P17))*$B$2</f>
        <v/>
      </c>
      <c r="S17" s="64" t="inlineStr">
        <is>
          <t>AMOUNT AVAILABLE FOR NON MAINTENANCE CORPUS</t>
        </is>
      </c>
      <c r="T17" s="65">
        <f>T15-T16</f>
        <v/>
      </c>
    </row>
    <row r="18" ht="12.75" customHeight="1" s="251">
      <c r="A18" s="41" t="inlineStr">
        <is>
          <t>F13</t>
        </is>
      </c>
      <c r="B18" s="13" t="inlineStr">
        <is>
          <t>Sanchay Saxena</t>
        </is>
      </c>
      <c r="C18" s="9" t="n">
        <v>0</v>
      </c>
      <c r="D18" s="41">
        <f>SUM($C$3:$C$5)/64</f>
        <v/>
      </c>
      <c r="E18" s="41">
        <f>C18+D18</f>
        <v/>
      </c>
      <c r="F18" s="79">
        <f>IF($C$70=0, 0, E18/$C$70)</f>
        <v/>
      </c>
      <c r="G18" s="41">
        <f>F18*$T$5</f>
        <v/>
      </c>
      <c r="H18" s="41" t="n">
        <v>4</v>
      </c>
      <c r="I18" s="41">
        <f>$T$7*H18</f>
        <v/>
      </c>
      <c r="J18" s="41">
        <f>G18+$T$9+I18</f>
        <v/>
      </c>
      <c r="K18" s="41">
        <f>$T$11/64</f>
        <v/>
      </c>
      <c r="L18" s="7" t="n">
        <v>0</v>
      </c>
      <c r="M18" s="41" t="n">
        <v>0</v>
      </c>
      <c r="N18" s="41" t="n"/>
      <c r="O18" s="41" t="n">
        <v>0</v>
      </c>
      <c r="P18" s="41" t="n">
        <v>0</v>
      </c>
      <c r="Q18" s="52" t="n"/>
      <c r="R18" s="52">
        <f>(SUM(J18:P18))*$B$2</f>
        <v/>
      </c>
      <c r="S18" s="66" t="inlineStr">
        <is>
          <t>AMOUNT AVAILABLE FOR MAINTENANCE</t>
        </is>
      </c>
      <c r="T18" s="67">
        <f>T14-T17</f>
        <v/>
      </c>
    </row>
    <row r="19" ht="12.75" customHeight="1" s="251">
      <c r="A19" s="41" t="inlineStr">
        <is>
          <t>F14</t>
        </is>
      </c>
      <c r="B19" s="13" t="inlineStr">
        <is>
          <t>Hemant Patel</t>
        </is>
      </c>
      <c r="C19" s="9" t="n">
        <v>0</v>
      </c>
      <c r="D19" s="41">
        <f>SUM($C$3:$C$5)/64</f>
        <v/>
      </c>
      <c r="E19" s="41">
        <f>C19+D19</f>
        <v/>
      </c>
      <c r="F19" s="79">
        <f>IF($C$70=0, 0, E19/$C$70)</f>
        <v/>
      </c>
      <c r="G19" s="41">
        <f>F19*$T$5</f>
        <v/>
      </c>
      <c r="H19" s="41" t="n">
        <v>4</v>
      </c>
      <c r="I19" s="41">
        <f>$T$7*H19</f>
        <v/>
      </c>
      <c r="J19" s="41">
        <f>G19+$T$9+I19</f>
        <v/>
      </c>
      <c r="K19" s="41">
        <f>$T$11/64</f>
        <v/>
      </c>
      <c r="L19" s="7" t="n">
        <v>0</v>
      </c>
      <c r="M19" s="41" t="n">
        <v>0</v>
      </c>
      <c r="N19" s="41" t="n"/>
      <c r="O19" s="41" t="n">
        <v>0</v>
      </c>
      <c r="P19" s="41" t="n">
        <v>0</v>
      </c>
      <c r="Q19" s="52" t="n"/>
      <c r="R19" s="52">
        <f>(SUM(J19:P19))*$B$2</f>
        <v/>
      </c>
      <c r="S19" s="36" t="n"/>
      <c r="T19" s="41" t="n"/>
    </row>
    <row r="20" ht="12.75" customHeight="1" s="251">
      <c r="A20" s="41" t="inlineStr">
        <is>
          <t>F15</t>
        </is>
      </c>
      <c r="B20" s="13" t="inlineStr">
        <is>
          <t>Senthil.Vijayaragavan</t>
        </is>
      </c>
      <c r="C20" s="9" t="n">
        <v>0</v>
      </c>
      <c r="D20" s="41">
        <f>SUM($C$3:$C$5)/64</f>
        <v/>
      </c>
      <c r="E20" s="41">
        <f>C20+D20</f>
        <v/>
      </c>
      <c r="F20" s="79">
        <f>IF($C$70=0, 0, E20/$C$70)</f>
        <v/>
      </c>
      <c r="G20" s="41">
        <f>F20*$T$5</f>
        <v/>
      </c>
      <c r="H20" s="41" t="n">
        <v>4</v>
      </c>
      <c r="I20" s="41">
        <f>$T$7*H20</f>
        <v/>
      </c>
      <c r="J20" s="41">
        <f>G20+$T$9+I20</f>
        <v/>
      </c>
      <c r="K20" s="41">
        <f>$T$11/64</f>
        <v/>
      </c>
      <c r="L20" s="7" t="n">
        <v>0</v>
      </c>
      <c r="M20" s="41" t="n">
        <v>0</v>
      </c>
      <c r="N20" s="41" t="n"/>
      <c r="O20" s="41" t="n">
        <v>0</v>
      </c>
      <c r="P20" s="41" t="n">
        <v>0</v>
      </c>
      <c r="Q20" s="52" t="n"/>
      <c r="R20" s="52">
        <f>(SUM(J20:P20))*$B$2</f>
        <v/>
      </c>
      <c r="S20" s="36" t="n"/>
      <c r="T20" s="41" t="n"/>
    </row>
    <row r="21" ht="12.75" customHeight="1" s="251">
      <c r="A21" s="41" t="inlineStr">
        <is>
          <t>F16</t>
        </is>
      </c>
      <c r="B21" s="13" t="inlineStr">
        <is>
          <t>Sreeja Sudharma</t>
        </is>
      </c>
      <c r="C21" s="9" t="n">
        <v>0</v>
      </c>
      <c r="D21" s="41">
        <f>SUM($C$3:$C$5)/64</f>
        <v/>
      </c>
      <c r="E21" s="41">
        <f>C21+D21</f>
        <v/>
      </c>
      <c r="F21" s="79">
        <f>IF($C$70=0, 0, E21/$C$70)</f>
        <v/>
      </c>
      <c r="G21" s="41">
        <f>F21*$T$5</f>
        <v/>
      </c>
      <c r="H21" s="41" t="n">
        <v>3</v>
      </c>
      <c r="I21" s="41">
        <f>$T$7*H21</f>
        <v/>
      </c>
      <c r="J21" s="41">
        <f>G21+$T$9+I21</f>
        <v/>
      </c>
      <c r="K21" s="41">
        <f>$T$11/64</f>
        <v/>
      </c>
      <c r="L21" s="7" t="n">
        <v>0</v>
      </c>
      <c r="M21" s="41" t="n">
        <v>0</v>
      </c>
      <c r="N21" s="41" t="n"/>
      <c r="O21" s="41" t="n">
        <v>0</v>
      </c>
      <c r="P21" s="41" t="n">
        <v>0</v>
      </c>
      <c r="Q21" s="52" t="n"/>
      <c r="R21" s="52">
        <f>(SUM(J21:P21))*$B$2</f>
        <v/>
      </c>
      <c r="S21" s="36" t="n"/>
      <c r="T21" s="41" t="n"/>
    </row>
    <row r="22" ht="12.75" customHeight="1" s="251">
      <c r="A22" s="41" t="inlineStr">
        <is>
          <t>G1</t>
        </is>
      </c>
      <c r="B22" s="13" t="inlineStr">
        <is>
          <t>Venkataramanan C</t>
        </is>
      </c>
      <c r="C22" s="9" t="n">
        <v>0</v>
      </c>
      <c r="D22" s="41">
        <f>SUM($C$3:$C$5)/64</f>
        <v/>
      </c>
      <c r="E22" s="41">
        <f>C22+D22</f>
        <v/>
      </c>
      <c r="F22" s="79">
        <f>IF($C$70=0, 0, E22/$C$70)</f>
        <v/>
      </c>
      <c r="G22" s="41">
        <f>F22*$T$5</f>
        <v/>
      </c>
      <c r="H22" s="41" t="n">
        <v>3</v>
      </c>
      <c r="I22" s="41">
        <f>$T$7*H22</f>
        <v/>
      </c>
      <c r="J22" s="41">
        <f>G22+$T$9+I22</f>
        <v/>
      </c>
      <c r="K22" s="41">
        <f>$T$11/64</f>
        <v/>
      </c>
      <c r="L22" s="7" t="n">
        <v>0</v>
      </c>
      <c r="M22" s="41" t="n">
        <v>0</v>
      </c>
      <c r="N22" s="41" t="n"/>
      <c r="O22" s="41" t="n">
        <v>0</v>
      </c>
      <c r="P22" s="41" t="n">
        <v>0</v>
      </c>
      <c r="Q22" s="52" t="n"/>
      <c r="R22" s="52">
        <f>(SUM(J22:P22))*$B$2</f>
        <v/>
      </c>
      <c r="S22" s="36" t="n"/>
      <c r="T22" s="41" t="n"/>
    </row>
    <row r="23" ht="12.75" customHeight="1" s="251">
      <c r="A23" s="41" t="inlineStr">
        <is>
          <t>G2</t>
        </is>
      </c>
      <c r="B23" s="13" t="inlineStr">
        <is>
          <t>Kaushik Kasibhatla</t>
        </is>
      </c>
      <c r="C23" s="9" t="n">
        <v>0</v>
      </c>
      <c r="D23" s="41">
        <f>SUM($C$3:$C$5)/64</f>
        <v/>
      </c>
      <c r="E23" s="41">
        <f>C23+D23</f>
        <v/>
      </c>
      <c r="F23" s="79">
        <f>IF($C$70=0, 0, E23/$C$70)</f>
        <v/>
      </c>
      <c r="G23" s="41">
        <f>F23*$T$5</f>
        <v/>
      </c>
      <c r="H23" s="41" t="n">
        <v>4</v>
      </c>
      <c r="I23" s="41">
        <f>$T$7*H23</f>
        <v/>
      </c>
      <c r="J23" s="41">
        <f>G23+$T$9+I23</f>
        <v/>
      </c>
      <c r="K23" s="41">
        <f>$T$11/64</f>
        <v/>
      </c>
      <c r="L23" s="7" t="n">
        <v>0</v>
      </c>
      <c r="M23" s="41" t="n">
        <v>0</v>
      </c>
      <c r="N23" s="41" t="n"/>
      <c r="O23" s="41" t="n">
        <v>0</v>
      </c>
      <c r="P23" s="41" t="n">
        <v>0</v>
      </c>
      <c r="Q23" s="52" t="n"/>
      <c r="R23" s="52">
        <f>(SUM(J23:P23))*$B$2</f>
        <v/>
      </c>
      <c r="S23" s="36" t="n"/>
      <c r="T23" s="41" t="n"/>
    </row>
    <row r="24" ht="12.75" customHeight="1" s="251">
      <c r="A24" s="41" t="inlineStr">
        <is>
          <t>G3</t>
        </is>
      </c>
      <c r="B24" s="13" t="inlineStr">
        <is>
          <t>Balakrishnan</t>
        </is>
      </c>
      <c r="C24" s="9" t="n">
        <v>0</v>
      </c>
      <c r="D24" s="41">
        <f>SUM($C$3:$C$5)/64</f>
        <v/>
      </c>
      <c r="E24" s="41">
        <f>C24+D24</f>
        <v/>
      </c>
      <c r="F24" s="79">
        <f>IF($C$70=0, 0, E24/$C$70)</f>
        <v/>
      </c>
      <c r="G24" s="41">
        <f>F24*$T$5</f>
        <v/>
      </c>
      <c r="H24" s="41" t="n">
        <v>4</v>
      </c>
      <c r="I24" s="41">
        <f>$T$7*H24</f>
        <v/>
      </c>
      <c r="J24" s="41">
        <f>G24+$T$9+I24</f>
        <v/>
      </c>
      <c r="K24" s="41">
        <f>$T$11/64</f>
        <v/>
      </c>
      <c r="L24" s="7" t="n">
        <v>0</v>
      </c>
      <c r="M24" s="41" t="n">
        <v>0</v>
      </c>
      <c r="N24" s="41" t="n"/>
      <c r="O24" s="41" t="n">
        <v>0</v>
      </c>
      <c r="P24" s="41" t="n">
        <v>0</v>
      </c>
      <c r="Q24" s="52" t="n"/>
      <c r="R24" s="52">
        <f>(SUM(J24:P24))*$B$2</f>
        <v/>
      </c>
      <c r="S24" s="36" t="n"/>
      <c r="T24" s="41" t="n"/>
    </row>
    <row r="25" ht="12.75" customHeight="1" s="251">
      <c r="A25" s="41" t="inlineStr">
        <is>
          <t>G4</t>
        </is>
      </c>
      <c r="B25" s="13" t="inlineStr">
        <is>
          <t>Ashwin Pandith</t>
        </is>
      </c>
      <c r="C25" s="9" t="n">
        <v>0</v>
      </c>
      <c r="D25" s="41">
        <f>SUM($C$3:$C$5)/64</f>
        <v/>
      </c>
      <c r="E25" s="41">
        <f>C25+D25</f>
        <v/>
      </c>
      <c r="F25" s="79">
        <f>IF($C$70=0, 0, E25/$C$70)</f>
        <v/>
      </c>
      <c r="G25" s="41">
        <f>F25*$T$5</f>
        <v/>
      </c>
      <c r="H25" s="41" t="n">
        <v>4</v>
      </c>
      <c r="I25" s="41">
        <f>$T$7*H25</f>
        <v/>
      </c>
      <c r="J25" s="41">
        <f>G25+$T$9+I25</f>
        <v/>
      </c>
      <c r="K25" s="41">
        <f>$T$11/64</f>
        <v/>
      </c>
      <c r="L25" s="7" t="n">
        <v>0</v>
      </c>
      <c r="M25" s="41" t="n">
        <v>0</v>
      </c>
      <c r="N25" s="41" t="n"/>
      <c r="O25" s="41" t="n">
        <v>0</v>
      </c>
      <c r="P25" s="41" t="n">
        <v>0</v>
      </c>
      <c r="Q25" s="52" t="n"/>
      <c r="R25" s="52">
        <f>(SUM(J25:P25))*$B$2</f>
        <v/>
      </c>
      <c r="S25" s="36" t="n"/>
      <c r="T25" s="41" t="n"/>
    </row>
    <row r="26" ht="12.75" customHeight="1" s="251">
      <c r="A26" s="41" t="inlineStr">
        <is>
          <t>G5</t>
        </is>
      </c>
      <c r="B26" s="13" t="inlineStr">
        <is>
          <t>Mayank Phophaliya</t>
        </is>
      </c>
      <c r="C26" s="9" t="n">
        <v>0</v>
      </c>
      <c r="D26" s="41">
        <f>SUM($C$3:$C$5)/64</f>
        <v/>
      </c>
      <c r="E26" s="41">
        <f>C26+D26</f>
        <v/>
      </c>
      <c r="F26" s="79">
        <f>IF($C$70=0, 0, E26/$C$70)</f>
        <v/>
      </c>
      <c r="G26" s="41">
        <f>F26*$T$5</f>
        <v/>
      </c>
      <c r="H26" s="41" t="n">
        <v>3</v>
      </c>
      <c r="I26" s="41">
        <f>$T$7*H26</f>
        <v/>
      </c>
      <c r="J26" s="41">
        <f>G26+$T$9+I26</f>
        <v/>
      </c>
      <c r="K26" s="41">
        <f>$T$11/64</f>
        <v/>
      </c>
      <c r="L26" s="7" t="n">
        <v>0</v>
      </c>
      <c r="M26" s="41" t="n">
        <v>0</v>
      </c>
      <c r="N26" s="41" t="n"/>
      <c r="O26" s="41" t="n">
        <v>0</v>
      </c>
      <c r="P26" s="41" t="n">
        <v>0</v>
      </c>
      <c r="Q26" s="52" t="n"/>
      <c r="R26" s="52">
        <f>(SUM(J26:P26))*$B$2</f>
        <v/>
      </c>
      <c r="S26" s="36" t="n"/>
      <c r="T26" s="41" t="n"/>
    </row>
    <row r="27" ht="12.75" customHeight="1" s="251">
      <c r="A27" s="41" t="inlineStr">
        <is>
          <t>G6</t>
        </is>
      </c>
      <c r="B27" s="13" t="inlineStr">
        <is>
          <t>Mohit Daga</t>
        </is>
      </c>
      <c r="C27" s="9" t="n">
        <v>0</v>
      </c>
      <c r="D27" s="41">
        <f>SUM($C$3:$C$5)/64</f>
        <v/>
      </c>
      <c r="E27" s="41">
        <f>C27+D27</f>
        <v/>
      </c>
      <c r="F27" s="79">
        <f>IF($C$70=0, 0, E27/$C$70)</f>
        <v/>
      </c>
      <c r="G27" s="41">
        <f>F27*$T$5</f>
        <v/>
      </c>
      <c r="H27" s="41" t="n">
        <v>3</v>
      </c>
      <c r="I27" s="41">
        <f>$T$7*H27</f>
        <v/>
      </c>
      <c r="J27" s="41">
        <f>G27+$T$9+I27</f>
        <v/>
      </c>
      <c r="K27" s="41">
        <f>$T$11/64</f>
        <v/>
      </c>
      <c r="L27" s="7" t="n">
        <v>0</v>
      </c>
      <c r="M27" s="41" t="n">
        <v>0</v>
      </c>
      <c r="N27" s="41" t="n"/>
      <c r="O27" s="41" t="n">
        <v>0</v>
      </c>
      <c r="P27" s="41" t="n">
        <v>0</v>
      </c>
      <c r="Q27" s="52" t="n"/>
      <c r="R27" s="52">
        <f>(SUM(J27:P27))*$B$2</f>
        <v/>
      </c>
      <c r="S27" s="36" t="n"/>
      <c r="T27" s="41" t="n"/>
    </row>
    <row r="28" ht="12.75" customHeight="1" s="251">
      <c r="A28" s="41" t="inlineStr">
        <is>
          <t>G7</t>
        </is>
      </c>
      <c r="B28" s="13" t="inlineStr">
        <is>
          <t>Prince Richfield</t>
        </is>
      </c>
      <c r="C28" s="9" t="n">
        <v>0</v>
      </c>
      <c r="D28" s="41">
        <f>SUM($C$3:$C$5)/64</f>
        <v/>
      </c>
      <c r="E28" s="41">
        <f>C28+D28</f>
        <v/>
      </c>
      <c r="F28" s="79">
        <f>IF($C$70=0, 0, E28/$C$70)</f>
        <v/>
      </c>
      <c r="G28" s="41">
        <f>F28*$T$5</f>
        <v/>
      </c>
      <c r="H28" s="41" t="n">
        <v>3</v>
      </c>
      <c r="I28" s="41">
        <f>$T$7*H28</f>
        <v/>
      </c>
      <c r="J28" s="41">
        <f>G28+$T$9+I28</f>
        <v/>
      </c>
      <c r="K28" s="41">
        <f>$T$11/64</f>
        <v/>
      </c>
      <c r="L28" s="7" t="n">
        <v>0</v>
      </c>
      <c r="M28" s="41" t="n">
        <v>0</v>
      </c>
      <c r="N28" s="41" t="n"/>
      <c r="O28" s="41" t="n">
        <v>0</v>
      </c>
      <c r="P28" s="41" t="n">
        <v>0</v>
      </c>
      <c r="Q28" s="52" t="n"/>
      <c r="R28" s="52">
        <f>(SUM(J28:P28))*$B$2</f>
        <v/>
      </c>
      <c r="S28" s="36" t="n"/>
      <c r="T28" s="41" t="n"/>
    </row>
    <row r="29" ht="12.75" customHeight="1" s="251">
      <c r="A29" s="41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41">
        <f>SUM($C$3:$C$5)/64</f>
        <v/>
      </c>
      <c r="E29" s="41">
        <f>C29+D29</f>
        <v/>
      </c>
      <c r="F29" s="79">
        <f>IF($C$70=0, 0, E29/$C$70)</f>
        <v/>
      </c>
      <c r="G29" s="41">
        <f>F29*$T$5</f>
        <v/>
      </c>
      <c r="H29" s="41" t="n">
        <v>3</v>
      </c>
      <c r="I29" s="41">
        <f>$T$7*H29</f>
        <v/>
      </c>
      <c r="J29" s="41">
        <f>G29+$T$9+I29</f>
        <v/>
      </c>
      <c r="K29" s="41">
        <f>$T$11/64</f>
        <v/>
      </c>
      <c r="L29" s="7" t="n">
        <v>0</v>
      </c>
      <c r="M29" s="41" t="n">
        <v>0</v>
      </c>
      <c r="N29" s="41" t="n"/>
      <c r="O29" s="41" t="n">
        <v>0</v>
      </c>
      <c r="P29" s="41" t="n">
        <v>0</v>
      </c>
      <c r="Q29" s="52" t="n"/>
      <c r="R29" s="52">
        <f>(SUM(J29:P29))*$B$2</f>
        <v/>
      </c>
      <c r="S29" s="36" t="n"/>
      <c r="T29" s="41" t="n"/>
    </row>
    <row r="30" ht="12.75" customHeight="1" s="251">
      <c r="A30" s="41" t="inlineStr">
        <is>
          <t>G9</t>
        </is>
      </c>
      <c r="B30" s="13" t="inlineStr">
        <is>
          <t>Chandramouli</t>
        </is>
      </c>
      <c r="C30" s="9" t="n">
        <v>0</v>
      </c>
      <c r="D30" s="41">
        <f>SUM($C$3:$C$5)/64</f>
        <v/>
      </c>
      <c r="E30" s="41">
        <f>C30+D30</f>
        <v/>
      </c>
      <c r="F30" s="79">
        <f>IF($C$70=0, 0, E30/$C$70)</f>
        <v/>
      </c>
      <c r="G30" s="41">
        <f>F30*$T$5</f>
        <v/>
      </c>
      <c r="H30" s="41" t="n">
        <v>5</v>
      </c>
      <c r="I30" s="41">
        <f>$T$7*H30</f>
        <v/>
      </c>
      <c r="J30" s="41">
        <f>G30+$T$9+I30</f>
        <v/>
      </c>
      <c r="K30" s="41">
        <f>$T$11/64</f>
        <v/>
      </c>
      <c r="L30" s="7" t="n">
        <v>0</v>
      </c>
      <c r="M30" s="41" t="n">
        <v>0</v>
      </c>
      <c r="N30" s="41" t="n"/>
      <c r="O30" s="41" t="n">
        <v>0</v>
      </c>
      <c r="P30" s="41" t="n">
        <v>0</v>
      </c>
      <c r="Q30" s="52" t="n"/>
      <c r="R30" s="52">
        <f>(SUM(J30:P30))*$B$2</f>
        <v/>
      </c>
      <c r="S30" s="36" t="n"/>
      <c r="T30" s="41" t="n"/>
    </row>
    <row r="31" ht="12.75" customHeight="1" s="251">
      <c r="A31" s="41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41">
        <f>SUM($C$3:$C$5)/64</f>
        <v/>
      </c>
      <c r="E31" s="41">
        <f>C31+D31</f>
        <v/>
      </c>
      <c r="F31" s="79">
        <f>IF($C$70=0, 0, E31/$C$70)</f>
        <v/>
      </c>
      <c r="G31" s="41">
        <f>F31*$T$5</f>
        <v/>
      </c>
      <c r="H31" s="41" t="n">
        <v>3</v>
      </c>
      <c r="I31" s="41">
        <f>$T$7*H31</f>
        <v/>
      </c>
      <c r="J31" s="41">
        <f>G31+$T$9+I31</f>
        <v/>
      </c>
      <c r="K31" s="41">
        <f>$T$11/64</f>
        <v/>
      </c>
      <c r="L31" s="7" t="n">
        <v>0</v>
      </c>
      <c r="M31" s="41" t="n">
        <v>0</v>
      </c>
      <c r="N31" s="41" t="n"/>
      <c r="O31" s="41" t="n">
        <v>0</v>
      </c>
      <c r="P31" s="41" t="n">
        <v>0</v>
      </c>
      <c r="Q31" s="52" t="n"/>
      <c r="R31" s="52">
        <f>(SUM(J31:P31))*$B$2</f>
        <v/>
      </c>
      <c r="S31" s="36" t="n"/>
      <c r="T31" s="41" t="n"/>
    </row>
    <row r="32" ht="12.75" customHeight="1" s="251">
      <c r="A32" s="41" t="inlineStr">
        <is>
          <t>G11</t>
        </is>
      </c>
      <c r="B32" s="13" t="inlineStr">
        <is>
          <t>Ketan Verlekar</t>
        </is>
      </c>
      <c r="C32" s="9" t="n">
        <v>0</v>
      </c>
      <c r="D32" s="41">
        <f>SUM($C$3:$C$5)/64</f>
        <v/>
      </c>
      <c r="E32" s="41">
        <f>C32+D32</f>
        <v/>
      </c>
      <c r="F32" s="79">
        <f>IF($C$70=0, 0, E32/$C$70)</f>
        <v/>
      </c>
      <c r="G32" s="41">
        <f>F32*$T$5</f>
        <v/>
      </c>
      <c r="H32" s="41" t="n">
        <v>3</v>
      </c>
      <c r="I32" s="41">
        <f>$T$7*H32</f>
        <v/>
      </c>
      <c r="J32" s="41">
        <f>G32+$T$9+I32</f>
        <v/>
      </c>
      <c r="K32" s="41">
        <f>$T$11/64</f>
        <v/>
      </c>
      <c r="L32" s="7" t="n">
        <v>0</v>
      </c>
      <c r="M32" s="41" t="n">
        <v>0</v>
      </c>
      <c r="N32" s="41" t="n"/>
      <c r="O32" s="41" t="n">
        <v>0</v>
      </c>
      <c r="P32" s="41" t="n">
        <v>0</v>
      </c>
      <c r="Q32" s="52" t="n"/>
      <c r="R32" s="52">
        <f>(SUM(J32:P32))*$B$2</f>
        <v/>
      </c>
      <c r="S32" s="36" t="n"/>
      <c r="T32" s="41" t="n"/>
    </row>
    <row r="33" ht="12.75" customHeight="1" s="251">
      <c r="A33" s="41" t="inlineStr">
        <is>
          <t>G12</t>
        </is>
      </c>
      <c r="B33" s="13" t="inlineStr">
        <is>
          <t>Shyam Nair</t>
        </is>
      </c>
      <c r="C33" s="9" t="n">
        <v>0</v>
      </c>
      <c r="D33" s="41">
        <f>SUM($C$3:$C$5)/64</f>
        <v/>
      </c>
      <c r="E33" s="41">
        <f>C33+D33</f>
        <v/>
      </c>
      <c r="F33" s="79">
        <f>IF($C$70=0, 0, E33/$C$70)</f>
        <v/>
      </c>
      <c r="G33" s="41">
        <f>F33*$T$5</f>
        <v/>
      </c>
      <c r="H33" s="41" t="n">
        <v>3</v>
      </c>
      <c r="I33" s="41">
        <f>$T$7*H33</f>
        <v/>
      </c>
      <c r="J33" s="41">
        <f>G33+$T$9+I33</f>
        <v/>
      </c>
      <c r="K33" s="41">
        <f>$T$11/64</f>
        <v/>
      </c>
      <c r="L33" s="7" t="n">
        <v>0</v>
      </c>
      <c r="M33" s="41" t="n">
        <v>0</v>
      </c>
      <c r="N33" s="41" t="n"/>
      <c r="O33" s="41" t="n">
        <v>0</v>
      </c>
      <c r="P33" s="41" t="n">
        <v>0</v>
      </c>
      <c r="Q33" s="52" t="n"/>
      <c r="R33" s="52">
        <f>(SUM(J33:P33))*$B$2</f>
        <v/>
      </c>
      <c r="S33" s="36" t="n"/>
      <c r="T33" s="41" t="n"/>
    </row>
    <row r="34" ht="12.75" customHeight="1" s="251">
      <c r="A34" s="41" t="inlineStr">
        <is>
          <t>G13</t>
        </is>
      </c>
      <c r="B34" s="13" t="inlineStr">
        <is>
          <t>Ajai.B</t>
        </is>
      </c>
      <c r="C34" s="9" t="n">
        <v>0</v>
      </c>
      <c r="D34" s="41">
        <f>SUM($C$3:$C$5)/64</f>
        <v/>
      </c>
      <c r="E34" s="41">
        <f>C34+D34</f>
        <v/>
      </c>
      <c r="F34" s="79">
        <f>IF($C$70=0, 0, E34/$C$70)</f>
        <v/>
      </c>
      <c r="G34" s="41">
        <f>F34*$T$5</f>
        <v/>
      </c>
      <c r="H34" s="41" t="n">
        <v>4</v>
      </c>
      <c r="I34" s="41">
        <f>$T$7*H34</f>
        <v/>
      </c>
      <c r="J34" s="41">
        <f>G34+$T$9+I34</f>
        <v/>
      </c>
      <c r="K34" s="41">
        <f>$T$11/64</f>
        <v/>
      </c>
      <c r="L34" s="7" t="n">
        <v>0</v>
      </c>
      <c r="M34" s="41" t="n">
        <v>0</v>
      </c>
      <c r="N34" s="41" t="n"/>
      <c r="O34" s="41" t="n">
        <v>0</v>
      </c>
      <c r="P34" s="41" t="n">
        <v>0</v>
      </c>
      <c r="Q34" s="52" t="n"/>
      <c r="R34" s="52">
        <f>(SUM(J34:P34))*$B$2</f>
        <v/>
      </c>
      <c r="S34" s="36" t="n"/>
      <c r="T34" s="41" t="n"/>
    </row>
    <row r="35" ht="12.75" customHeight="1" s="251">
      <c r="A35" s="41" t="inlineStr">
        <is>
          <t>G14</t>
        </is>
      </c>
      <c r="B35" s="13" t="inlineStr">
        <is>
          <t>Surajit Borah</t>
        </is>
      </c>
      <c r="C35" s="9" t="n">
        <v>0</v>
      </c>
      <c r="D35" s="41">
        <f>SUM($C$3:$C$5)/64</f>
        <v/>
      </c>
      <c r="E35" s="41">
        <f>C35+D35</f>
        <v/>
      </c>
      <c r="F35" s="79">
        <f>IF($C$70=0, 0, E35/$C$70)</f>
        <v/>
      </c>
      <c r="G35" s="41">
        <f>F35*$T$5</f>
        <v/>
      </c>
      <c r="H35" s="41" t="n">
        <v>4</v>
      </c>
      <c r="I35" s="41">
        <f>$T$7*H35</f>
        <v/>
      </c>
      <c r="J35" s="41">
        <f>G35+$T$9+I35</f>
        <v/>
      </c>
      <c r="K35" s="41">
        <f>$T$11/64</f>
        <v/>
      </c>
      <c r="L35" s="7" t="n">
        <v>0</v>
      </c>
      <c r="M35" s="41" t="n">
        <v>0</v>
      </c>
      <c r="N35" s="41" t="n"/>
      <c r="O35" s="41" t="n">
        <v>0</v>
      </c>
      <c r="P35" s="41" t="n">
        <v>0</v>
      </c>
      <c r="Q35" s="52" t="n"/>
      <c r="R35" s="52">
        <f>(SUM(J35:P35))*$B$2</f>
        <v/>
      </c>
      <c r="S35" s="36" t="n"/>
      <c r="T35" s="41" t="n"/>
    </row>
    <row r="36" ht="12.75" customHeight="1" s="251">
      <c r="A36" s="41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41">
        <f>SUM($C$3:$C$5)/64</f>
        <v/>
      </c>
      <c r="E36" s="41">
        <f>C36+D36</f>
        <v/>
      </c>
      <c r="F36" s="79">
        <f>IF($C$70=0, 0, E36/$C$70)</f>
        <v/>
      </c>
      <c r="G36" s="41">
        <f>F36*$T$5</f>
        <v/>
      </c>
      <c r="H36" s="41" t="n">
        <v>4</v>
      </c>
      <c r="I36" s="41">
        <f>$T$7*H36</f>
        <v/>
      </c>
      <c r="J36" s="41">
        <f>G36+$T$9+I36</f>
        <v/>
      </c>
      <c r="K36" s="41">
        <f>$T$11/64</f>
        <v/>
      </c>
      <c r="L36" s="7" t="n">
        <v>0</v>
      </c>
      <c r="M36" s="41" t="n">
        <v>0</v>
      </c>
      <c r="N36" s="41" t="n"/>
      <c r="O36" s="41" t="n">
        <v>0</v>
      </c>
      <c r="P36" s="41" t="n">
        <v>0</v>
      </c>
      <c r="Q36" s="52" t="n"/>
      <c r="R36" s="52">
        <f>(SUM(J36:P36))*$B$2</f>
        <v/>
      </c>
      <c r="S36" s="36" t="n"/>
      <c r="T36" s="41" t="n"/>
    </row>
    <row r="37" ht="12.75" customHeight="1" s="251">
      <c r="A37" s="41" t="inlineStr">
        <is>
          <t>G16</t>
        </is>
      </c>
      <c r="B37" s="13" t="inlineStr">
        <is>
          <t>Praveen Ganesan</t>
        </is>
      </c>
      <c r="C37" s="9" t="n">
        <v>0</v>
      </c>
      <c r="D37" s="41">
        <f>SUM($C$3:$C$5)/64</f>
        <v/>
      </c>
      <c r="E37" s="41">
        <f>C37+D37</f>
        <v/>
      </c>
      <c r="F37" s="79">
        <f>IF($C$70=0, 0, E37/$C$70)</f>
        <v/>
      </c>
      <c r="G37" s="41">
        <f>F37*$T$5</f>
        <v/>
      </c>
      <c r="H37" s="41" t="n">
        <v>3</v>
      </c>
      <c r="I37" s="41">
        <f>$T$7*H37</f>
        <v/>
      </c>
      <c r="J37" s="41">
        <f>G37+$T$9+I37</f>
        <v/>
      </c>
      <c r="K37" s="41">
        <f>$T$11/64</f>
        <v/>
      </c>
      <c r="L37" s="7" t="n">
        <v>0</v>
      </c>
      <c r="M37" s="41" t="n">
        <v>0</v>
      </c>
      <c r="N37" s="41" t="n"/>
      <c r="O37" s="41" t="n">
        <v>0</v>
      </c>
      <c r="P37" s="41" t="n">
        <v>0</v>
      </c>
      <c r="Q37" s="52" t="n"/>
      <c r="R37" s="52">
        <f>(SUM(J37:P37))*$B$2</f>
        <v/>
      </c>
      <c r="S37" s="36" t="n"/>
      <c r="T37" s="41" t="n"/>
    </row>
    <row r="38" ht="12.75" customHeight="1" s="251">
      <c r="A38" s="41" t="inlineStr">
        <is>
          <t>S1</t>
        </is>
      </c>
      <c r="B38" s="13" t="inlineStr">
        <is>
          <t>S.N.Behera</t>
        </is>
      </c>
      <c r="C38" s="9" t="n">
        <v>0</v>
      </c>
      <c r="D38" s="41">
        <f>SUM($C$3:$C$5)/64</f>
        <v/>
      </c>
      <c r="E38" s="41">
        <f>C38+D38</f>
        <v/>
      </c>
      <c r="F38" s="79">
        <f>IF($C$70=0, 0, E38/$C$70)</f>
        <v/>
      </c>
      <c r="G38" s="41">
        <f>F38*$T$5</f>
        <v/>
      </c>
      <c r="H38" s="41" t="n">
        <v>3</v>
      </c>
      <c r="I38" s="41">
        <f>$T$7*H38</f>
        <v/>
      </c>
      <c r="J38" s="41">
        <f>G38+$T$9+I38</f>
        <v/>
      </c>
      <c r="K38" s="41">
        <f>$T$11/64</f>
        <v/>
      </c>
      <c r="L38" s="7" t="n">
        <v>0</v>
      </c>
      <c r="M38" s="41" t="n">
        <v>0</v>
      </c>
      <c r="N38" s="41" t="n"/>
      <c r="O38" s="41" t="n">
        <v>0</v>
      </c>
      <c r="P38" s="41" t="n">
        <v>0</v>
      </c>
      <c r="Q38" s="52" t="n"/>
      <c r="R38" s="52">
        <f>(SUM(J38:P38))*$B$2</f>
        <v/>
      </c>
      <c r="S38" s="36" t="n"/>
      <c r="T38" s="41" t="n"/>
    </row>
    <row r="39" ht="12.75" customHeight="1" s="251">
      <c r="A39" s="41" t="inlineStr">
        <is>
          <t>S2</t>
        </is>
      </c>
      <c r="B39" s="13" t="inlineStr">
        <is>
          <t>Sonal Singh</t>
        </is>
      </c>
      <c r="C39" s="9" t="n">
        <v>0</v>
      </c>
      <c r="D39" s="41">
        <f>SUM($C$3:$C$5)/64</f>
        <v/>
      </c>
      <c r="E39" s="41">
        <f>C39+D39</f>
        <v/>
      </c>
      <c r="F39" s="79">
        <f>IF($C$70=0, 0, E39/$C$70)</f>
        <v/>
      </c>
      <c r="G39" s="41">
        <f>F39*$T$5</f>
        <v/>
      </c>
      <c r="H39" s="41" t="n">
        <v>4</v>
      </c>
      <c r="I39" s="41">
        <f>$T$7*H39</f>
        <v/>
      </c>
      <c r="J39" s="41">
        <f>G39+$T$9+I39</f>
        <v/>
      </c>
      <c r="K39" s="41">
        <f>$T$11/64</f>
        <v/>
      </c>
      <c r="L39" s="7" t="n">
        <v>0</v>
      </c>
      <c r="M39" s="41" t="n">
        <v>0</v>
      </c>
      <c r="N39" s="41" t="n"/>
      <c r="O39" s="41" t="n">
        <v>0</v>
      </c>
      <c r="P39" s="41" t="n">
        <v>0</v>
      </c>
      <c r="Q39" s="52" t="n"/>
      <c r="R39" s="52">
        <f>(SUM(J39:P39))*$B$2</f>
        <v/>
      </c>
      <c r="S39" s="36" t="n"/>
      <c r="T39" s="41" t="n"/>
    </row>
    <row r="40" ht="12.75" customHeight="1" s="251">
      <c r="A40" s="41" t="inlineStr">
        <is>
          <t>S3</t>
        </is>
      </c>
      <c r="B40" s="13" t="inlineStr">
        <is>
          <t>Koteswararao</t>
        </is>
      </c>
      <c r="C40" s="9" t="n">
        <v>0</v>
      </c>
      <c r="D40" s="41">
        <f>SUM($C$3:$C$5)/64</f>
        <v/>
      </c>
      <c r="E40" s="41">
        <f>C40+D40</f>
        <v/>
      </c>
      <c r="F40" s="79">
        <f>IF($C$70=0, 0, E40/$C$70)</f>
        <v/>
      </c>
      <c r="G40" s="41">
        <f>F40*$T$5</f>
        <v/>
      </c>
      <c r="H40" s="41" t="n">
        <v>4</v>
      </c>
      <c r="I40" s="41">
        <f>$T$7*H40</f>
        <v/>
      </c>
      <c r="J40" s="41">
        <f>G40+$T$9+I40</f>
        <v/>
      </c>
      <c r="K40" s="41">
        <f>$T$11/64</f>
        <v/>
      </c>
      <c r="L40" s="7" t="n">
        <v>0</v>
      </c>
      <c r="M40" s="41" t="n">
        <v>0</v>
      </c>
      <c r="N40" s="41" t="n"/>
      <c r="O40" s="41" t="n">
        <v>0</v>
      </c>
      <c r="P40" s="41" t="n">
        <v>0</v>
      </c>
      <c r="Q40" s="52" t="n"/>
      <c r="R40" s="52">
        <f>(SUM(J40:P40))*$B$2</f>
        <v/>
      </c>
      <c r="S40" s="36" t="n"/>
      <c r="T40" s="41" t="n"/>
    </row>
    <row r="41" ht="12.75" customHeight="1" s="251">
      <c r="A41" s="41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41">
        <f>SUM($C$3:$C$5)/64</f>
        <v/>
      </c>
      <c r="E41" s="41">
        <f>C41+D41</f>
        <v/>
      </c>
      <c r="F41" s="79">
        <f>IF($C$70=0, 0, E41/$C$70)</f>
        <v/>
      </c>
      <c r="G41" s="41">
        <f>F41*$T$5</f>
        <v/>
      </c>
      <c r="H41" s="41" t="n">
        <v>3</v>
      </c>
      <c r="I41" s="41">
        <f>$T$7*H41</f>
        <v/>
      </c>
      <c r="J41" s="41">
        <f>G41+$T$9+I41</f>
        <v/>
      </c>
      <c r="K41" s="41">
        <f>$T$11/64</f>
        <v/>
      </c>
      <c r="L41" s="7" t="n">
        <v>0</v>
      </c>
      <c r="M41" s="41" t="n">
        <v>0</v>
      </c>
      <c r="N41" s="41" t="n"/>
      <c r="O41" s="41" t="n">
        <v>0</v>
      </c>
      <c r="P41" s="41" t="n">
        <v>0</v>
      </c>
      <c r="Q41" s="52" t="n"/>
      <c r="R41" s="52">
        <f>(SUM(J41:P41))*$B$2</f>
        <v/>
      </c>
      <c r="S41" s="36" t="n"/>
      <c r="T41" s="41" t="n"/>
    </row>
    <row r="42" ht="12.75" customHeight="1" s="251">
      <c r="A42" s="41" t="inlineStr">
        <is>
          <t>S5</t>
        </is>
      </c>
      <c r="B42" s="13" t="inlineStr">
        <is>
          <t>Abhishek Gopalakrishnan</t>
        </is>
      </c>
      <c r="C42" s="9" t="n">
        <v>0</v>
      </c>
      <c r="D42" s="41">
        <f>SUM($C$3:$C$5)/64</f>
        <v/>
      </c>
      <c r="E42" s="41">
        <f>C42+D42</f>
        <v/>
      </c>
      <c r="F42" s="79">
        <f>IF($C$70=0, 0, E42/$C$70)</f>
        <v/>
      </c>
      <c r="G42" s="41">
        <f>F42*$T$5</f>
        <v/>
      </c>
      <c r="H42" s="41" t="n">
        <v>3</v>
      </c>
      <c r="I42" s="41">
        <f>$T$7*H42</f>
        <v/>
      </c>
      <c r="J42" s="41">
        <f>G42+$T$9+I42</f>
        <v/>
      </c>
      <c r="K42" s="41">
        <f>$T$11/64</f>
        <v/>
      </c>
      <c r="L42" s="7" t="n">
        <v>0</v>
      </c>
      <c r="M42" s="41" t="n">
        <v>0</v>
      </c>
      <c r="N42" s="41" t="n"/>
      <c r="O42" s="41" t="n">
        <v>0</v>
      </c>
      <c r="P42" s="41" t="n">
        <v>0</v>
      </c>
      <c r="Q42" s="52" t="n"/>
      <c r="R42" s="52">
        <f>(SUM(J42:P42))*$B$2</f>
        <v/>
      </c>
      <c r="S42" s="36" t="n"/>
      <c r="T42" s="41" t="n"/>
    </row>
    <row r="43" ht="12.75" customHeight="1" s="251">
      <c r="A43" s="41" t="inlineStr">
        <is>
          <t>S6</t>
        </is>
      </c>
      <c r="B43" s="30" t="inlineStr">
        <is>
          <t>Vivek Dhingra / Pratyush Das</t>
        </is>
      </c>
      <c r="C43" s="9" t="n">
        <v>0</v>
      </c>
      <c r="D43" s="41">
        <f>SUM($C$3:$C$5)/64</f>
        <v/>
      </c>
      <c r="E43" s="41">
        <f>C43+D43</f>
        <v/>
      </c>
      <c r="F43" s="79">
        <f>IF($C$70=0, 0, E43/$C$70)</f>
        <v/>
      </c>
      <c r="G43" s="41">
        <f>F43*$T$5</f>
        <v/>
      </c>
      <c r="H43" s="41" t="n">
        <v>3</v>
      </c>
      <c r="I43" s="41">
        <f>$T$7*H43</f>
        <v/>
      </c>
      <c r="J43" s="41">
        <f>G43+$T$9+I43</f>
        <v/>
      </c>
      <c r="K43" s="41">
        <f>$T$11/64</f>
        <v/>
      </c>
      <c r="L43" s="7" t="n">
        <v>0</v>
      </c>
      <c r="M43" s="41" t="n">
        <v>0</v>
      </c>
      <c r="N43" s="41" t="n"/>
      <c r="O43" s="41" t="n">
        <v>0</v>
      </c>
      <c r="P43" s="41" t="n">
        <v>0</v>
      </c>
      <c r="Q43" s="52" t="n"/>
      <c r="R43" s="52">
        <f>(SUM(J43:P43))*$B$2</f>
        <v/>
      </c>
      <c r="S43" s="36" t="n"/>
      <c r="T43" s="41" t="n"/>
    </row>
    <row r="44" ht="12.75" customHeight="1" s="251">
      <c r="A44" s="41" t="inlineStr">
        <is>
          <t>S7</t>
        </is>
      </c>
      <c r="B44" s="13" t="inlineStr">
        <is>
          <t>Harish B</t>
        </is>
      </c>
      <c r="C44" s="9" t="n">
        <v>0</v>
      </c>
      <c r="D44" s="41">
        <f>SUM($C$3:$C$5)/64</f>
        <v/>
      </c>
      <c r="E44" s="41">
        <f>C44+D44</f>
        <v/>
      </c>
      <c r="F44" s="79">
        <f>IF($C$70=0, 0, E44/$C$70)</f>
        <v/>
      </c>
      <c r="G44" s="41">
        <f>F44*$T$5</f>
        <v/>
      </c>
      <c r="H44" s="41" t="n">
        <v>3</v>
      </c>
      <c r="I44" s="41">
        <f>$T$7*H44</f>
        <v/>
      </c>
      <c r="J44" s="41">
        <f>G44+$T$9+I44</f>
        <v/>
      </c>
      <c r="K44" s="41">
        <f>$T$11/64</f>
        <v/>
      </c>
      <c r="L44" s="7" t="n">
        <v>0</v>
      </c>
      <c r="M44" s="41" t="n">
        <v>0</v>
      </c>
      <c r="N44" s="41" t="n"/>
      <c r="O44" s="41" t="n">
        <v>0</v>
      </c>
      <c r="P44" s="41" t="n">
        <v>0</v>
      </c>
      <c r="Q44" s="52" t="n"/>
      <c r="R44" s="52">
        <f>(SUM(J44:P44))*$B$2</f>
        <v/>
      </c>
      <c r="S44" s="36" t="n"/>
      <c r="T44" s="41" t="n"/>
    </row>
    <row r="45" ht="12.75" customHeight="1" s="251">
      <c r="A45" s="41" t="inlineStr">
        <is>
          <t>S8</t>
        </is>
      </c>
      <c r="B45" s="13" t="inlineStr">
        <is>
          <t>Irudayaraj Alwin</t>
        </is>
      </c>
      <c r="C45" s="9" t="n">
        <v>0</v>
      </c>
      <c r="D45" s="41">
        <f>SUM($C$3:$C$5)/64</f>
        <v/>
      </c>
      <c r="E45" s="41">
        <f>C45+D45</f>
        <v/>
      </c>
      <c r="F45" s="79">
        <f>IF($C$70=0, 0, E45/$C$70)</f>
        <v/>
      </c>
      <c r="G45" s="41">
        <f>F45*$T$5</f>
        <v/>
      </c>
      <c r="H45" s="41" t="n">
        <v>3</v>
      </c>
      <c r="I45" s="41">
        <f>$T$7*H45</f>
        <v/>
      </c>
      <c r="J45" s="41">
        <f>G45+$T$9+I45</f>
        <v/>
      </c>
      <c r="K45" s="41">
        <f>$T$11/64</f>
        <v/>
      </c>
      <c r="L45" s="7" t="n">
        <v>0</v>
      </c>
      <c r="M45" s="41" t="n">
        <v>0</v>
      </c>
      <c r="N45" s="41" t="n"/>
      <c r="O45" s="41" t="n">
        <v>0</v>
      </c>
      <c r="P45" s="41" t="n">
        <v>0</v>
      </c>
      <c r="Q45" s="52" t="n"/>
      <c r="R45" s="52">
        <f>(SUM(J45:P45))*$B$2</f>
        <v/>
      </c>
      <c r="S45" s="36" t="n"/>
      <c r="T45" s="41" t="n"/>
    </row>
    <row r="46" ht="12.75" customHeight="1" s="251">
      <c r="A46" s="41" t="inlineStr">
        <is>
          <t>S9</t>
        </is>
      </c>
      <c r="B46" s="13" t="inlineStr">
        <is>
          <t>Pawan GS</t>
        </is>
      </c>
      <c r="C46" s="9" t="n">
        <v>0</v>
      </c>
      <c r="D46" s="41">
        <f>SUM($C$3:$C$5)/64</f>
        <v/>
      </c>
      <c r="E46" s="41">
        <f>C46+D46</f>
        <v/>
      </c>
      <c r="F46" s="79">
        <f>IF($C$70=0, 0, E46/$C$70)</f>
        <v/>
      </c>
      <c r="G46" s="41">
        <f>F46*$T$5</f>
        <v/>
      </c>
      <c r="H46" s="41" t="n">
        <v>4</v>
      </c>
      <c r="I46" s="41">
        <f>$T$7*H46</f>
        <v/>
      </c>
      <c r="J46" s="41">
        <f>G46+$T$9+I46</f>
        <v/>
      </c>
      <c r="K46" s="41">
        <f>$T$11/64</f>
        <v/>
      </c>
      <c r="L46" s="7" t="n">
        <v>0</v>
      </c>
      <c r="M46" s="41" t="n">
        <v>0</v>
      </c>
      <c r="N46" s="41" t="n"/>
      <c r="O46" s="41" t="n">
        <v>0</v>
      </c>
      <c r="P46" s="41" t="n">
        <v>0</v>
      </c>
      <c r="Q46" s="52" t="n"/>
      <c r="R46" s="52">
        <f>(SUM(J46:P46))*$B$2</f>
        <v/>
      </c>
      <c r="S46" s="36" t="n"/>
      <c r="T46" s="41" t="n"/>
    </row>
    <row r="47" ht="12.75" customHeight="1" s="251">
      <c r="A47" s="41" t="inlineStr">
        <is>
          <t>S10</t>
        </is>
      </c>
      <c r="B47" s="13" t="inlineStr">
        <is>
          <t>Lakshmikanth</t>
        </is>
      </c>
      <c r="C47" s="9" t="n">
        <v>0</v>
      </c>
      <c r="D47" s="41">
        <f>SUM($C$3:$C$5)/64</f>
        <v/>
      </c>
      <c r="E47" s="41">
        <f>C47+D47</f>
        <v/>
      </c>
      <c r="F47" s="79">
        <f>IF($C$70=0, 0, E47/$C$70)</f>
        <v/>
      </c>
      <c r="G47" s="41">
        <f>F47*$T$5</f>
        <v/>
      </c>
      <c r="H47" s="41" t="n">
        <v>3</v>
      </c>
      <c r="I47" s="41">
        <f>$T$7*H47</f>
        <v/>
      </c>
      <c r="J47" s="41">
        <f>G47+$T$9+I47</f>
        <v/>
      </c>
      <c r="K47" s="41">
        <f>$T$11/64</f>
        <v/>
      </c>
      <c r="L47" s="7" t="n">
        <v>0</v>
      </c>
      <c r="M47" s="41" t="n">
        <v>0</v>
      </c>
      <c r="N47" s="41" t="n"/>
      <c r="O47" s="41" t="n">
        <v>0</v>
      </c>
      <c r="P47" s="41" t="n">
        <v>0</v>
      </c>
      <c r="Q47" s="52" t="n"/>
      <c r="R47" s="52">
        <f>(SUM(J47:P47))*$B$2</f>
        <v/>
      </c>
      <c r="S47" s="36" t="n"/>
      <c r="T47" s="41" t="n"/>
    </row>
    <row r="48" ht="12.75" customHeight="1" s="251">
      <c r="A48" s="41" t="inlineStr">
        <is>
          <t>S11</t>
        </is>
      </c>
      <c r="B48" s="13" t="inlineStr">
        <is>
          <t>Gowrish Patnaik / Somananth GM</t>
        </is>
      </c>
      <c r="C48" s="9" t="n">
        <v>0</v>
      </c>
      <c r="D48" s="41">
        <f>SUM($C$3:$C$5)/64</f>
        <v/>
      </c>
      <c r="E48" s="41">
        <f>C48+D48</f>
        <v/>
      </c>
      <c r="F48" s="79">
        <f>IF($C$70=0, 0, E48/$C$70)</f>
        <v/>
      </c>
      <c r="G48" s="41">
        <f>F48*$T$5</f>
        <v/>
      </c>
      <c r="H48" s="41" t="n">
        <v>3</v>
      </c>
      <c r="I48" s="41">
        <f>$T$7*H48</f>
        <v/>
      </c>
      <c r="J48" s="41">
        <f>G48+$T$9+I48</f>
        <v/>
      </c>
      <c r="K48" s="41">
        <f>$T$11/64</f>
        <v/>
      </c>
      <c r="L48" s="7" t="n">
        <v>0</v>
      </c>
      <c r="M48" s="41" t="n">
        <v>0</v>
      </c>
      <c r="N48" s="41" t="n"/>
      <c r="O48" s="41" t="n">
        <v>0</v>
      </c>
      <c r="P48" s="41" t="n">
        <v>0</v>
      </c>
      <c r="Q48" s="52" t="n"/>
      <c r="R48" s="52">
        <f>(SUM(J48:P48))*$B$2</f>
        <v/>
      </c>
      <c r="S48" s="36" t="n"/>
      <c r="T48" s="41" t="n"/>
    </row>
    <row r="49" ht="12.75" customHeight="1" s="251">
      <c r="A49" s="41" t="inlineStr">
        <is>
          <t>S12</t>
        </is>
      </c>
      <c r="B49" s="13" t="inlineStr">
        <is>
          <t>Saovik Mondal</t>
        </is>
      </c>
      <c r="C49" s="9" t="n">
        <v>0</v>
      </c>
      <c r="D49" s="41">
        <f>SUM($C$3:$C$5)/64</f>
        <v/>
      </c>
      <c r="E49" s="41">
        <f>C49+D49</f>
        <v/>
      </c>
      <c r="F49" s="79">
        <f>IF($C$70=0, 0, E49/$C$70)</f>
        <v/>
      </c>
      <c r="G49" s="41">
        <f>F49*$T$5</f>
        <v/>
      </c>
      <c r="H49" s="41" t="n">
        <v>3</v>
      </c>
      <c r="I49" s="41">
        <f>$T$7*H49</f>
        <v/>
      </c>
      <c r="J49" s="41">
        <f>G49+$T$9+I49</f>
        <v/>
      </c>
      <c r="K49" s="41">
        <f>$T$11/64</f>
        <v/>
      </c>
      <c r="L49" s="7" t="n">
        <v>0</v>
      </c>
      <c r="M49" s="41" t="n">
        <v>0</v>
      </c>
      <c r="N49" s="41" t="n"/>
      <c r="O49" s="41" t="n">
        <v>0</v>
      </c>
      <c r="P49" s="41" t="n">
        <v>0</v>
      </c>
      <c r="Q49" s="52" t="n"/>
      <c r="R49" s="52">
        <f>(SUM(J49:P49))*$B$2</f>
        <v/>
      </c>
      <c r="S49" s="36" t="n"/>
      <c r="T49" s="41" t="n"/>
    </row>
    <row r="50" ht="12.75" customHeight="1" s="251">
      <c r="A50" s="41" t="inlineStr">
        <is>
          <t>S13</t>
        </is>
      </c>
      <c r="B50" s="13" t="inlineStr">
        <is>
          <t>Ramadevi S.</t>
        </is>
      </c>
      <c r="C50" s="9" t="n">
        <v>0</v>
      </c>
      <c r="D50" s="41">
        <f>SUM($C$3:$C$5)/64</f>
        <v/>
      </c>
      <c r="E50" s="41">
        <f>C50+D50</f>
        <v/>
      </c>
      <c r="F50" s="79">
        <f>IF($C$70=0, 0, E50/$C$70)</f>
        <v/>
      </c>
      <c r="G50" s="41">
        <f>F50*$T$5</f>
        <v/>
      </c>
      <c r="H50" s="41" t="n">
        <v>4</v>
      </c>
      <c r="I50" s="41">
        <f>$T$7*H50</f>
        <v/>
      </c>
      <c r="J50" s="41">
        <f>G50+$T$9+I50</f>
        <v/>
      </c>
      <c r="K50" s="41">
        <f>$T$11/64</f>
        <v/>
      </c>
      <c r="L50" s="7" t="n">
        <v>0</v>
      </c>
      <c r="M50" s="41" t="n">
        <v>0</v>
      </c>
      <c r="N50" s="41" t="n"/>
      <c r="O50" s="41" t="n">
        <v>0</v>
      </c>
      <c r="P50" s="41" t="n">
        <v>0</v>
      </c>
      <c r="Q50" s="52" t="n"/>
      <c r="R50" s="52">
        <f>(SUM(J50:P50))*$B$2</f>
        <v/>
      </c>
      <c r="S50" s="36" t="n"/>
      <c r="T50" s="41" t="n"/>
    </row>
    <row r="51" ht="12.75" customHeight="1" s="251">
      <c r="A51" s="41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41">
        <f>SUM($C$3:$C$5)/64</f>
        <v/>
      </c>
      <c r="E51" s="41">
        <f>C51+D51</f>
        <v/>
      </c>
      <c r="F51" s="79">
        <f>IF($C$70=0, 0, E51/$C$70)</f>
        <v/>
      </c>
      <c r="G51" s="41">
        <f>F51*$T$5</f>
        <v/>
      </c>
      <c r="H51" s="41" t="n">
        <v>4</v>
      </c>
      <c r="I51" s="41">
        <f>$T$7*H51</f>
        <v/>
      </c>
      <c r="J51" s="41">
        <f>G51+$T$9+I51</f>
        <v/>
      </c>
      <c r="K51" s="41">
        <f>$T$11/64</f>
        <v/>
      </c>
      <c r="L51" s="7" t="n">
        <v>0</v>
      </c>
      <c r="M51" s="41" t="n">
        <v>0</v>
      </c>
      <c r="N51" s="41" t="n"/>
      <c r="O51" s="41" t="n">
        <v>0</v>
      </c>
      <c r="P51" s="41" t="n">
        <v>0</v>
      </c>
      <c r="Q51" s="52" t="n"/>
      <c r="R51" s="52">
        <f>(SUM(J51:P51))*$B$2</f>
        <v/>
      </c>
      <c r="S51" s="36" t="n"/>
      <c r="T51" s="41" t="n"/>
    </row>
    <row r="52" ht="12.75" customHeight="1" s="251">
      <c r="A52" s="41" t="inlineStr">
        <is>
          <t>S15</t>
        </is>
      </c>
      <c r="B52" s="13" t="inlineStr">
        <is>
          <t>Manas Dasgupta</t>
        </is>
      </c>
      <c r="C52" s="9" t="n">
        <v>0</v>
      </c>
      <c r="D52" s="41">
        <f>SUM($C$3:$C$5)/64</f>
        <v/>
      </c>
      <c r="E52" s="41">
        <f>C52+D52</f>
        <v/>
      </c>
      <c r="F52" s="79">
        <f>IF($C$70=0, 0, E52/$C$70)</f>
        <v/>
      </c>
      <c r="G52" s="41">
        <f>F52*$T$5</f>
        <v/>
      </c>
      <c r="H52" s="41" t="n">
        <v>4</v>
      </c>
      <c r="I52" s="41">
        <f>$T$7*H52</f>
        <v/>
      </c>
      <c r="J52" s="41">
        <f>G52+$T$9+I52</f>
        <v/>
      </c>
      <c r="K52" s="41">
        <f>$T$11/64</f>
        <v/>
      </c>
      <c r="L52" s="7" t="n">
        <v>0</v>
      </c>
      <c r="M52" s="41" t="n">
        <v>0</v>
      </c>
      <c r="N52" s="41" t="n"/>
      <c r="O52" s="41" t="n">
        <v>0</v>
      </c>
      <c r="P52" s="41" t="n">
        <v>0</v>
      </c>
      <c r="Q52" s="52" t="n"/>
      <c r="R52" s="52">
        <f>(SUM(J52:P52))*$B$2</f>
        <v/>
      </c>
      <c r="S52" s="36" t="n"/>
      <c r="T52" s="41" t="n"/>
    </row>
    <row r="53" ht="12.75" customHeight="1" s="251">
      <c r="A53" s="41" t="inlineStr">
        <is>
          <t>S16</t>
        </is>
      </c>
      <c r="B53" s="13" t="inlineStr">
        <is>
          <t>Devendra Singh Rawat / Nancy</t>
        </is>
      </c>
      <c r="C53" s="9" t="n">
        <v>0</v>
      </c>
      <c r="D53" s="41">
        <f>SUM($C$3:$C$5)/64</f>
        <v/>
      </c>
      <c r="E53" s="41">
        <f>C53+D53</f>
        <v/>
      </c>
      <c r="F53" s="79">
        <f>IF($C$70=0, 0, E53/$C$70)</f>
        <v/>
      </c>
      <c r="G53" s="41">
        <f>F53*$T$5</f>
        <v/>
      </c>
      <c r="H53" s="41" t="n">
        <v>3</v>
      </c>
      <c r="I53" s="41">
        <f>$T$7*H53</f>
        <v/>
      </c>
      <c r="J53" s="41">
        <f>G53+$T$9+I53</f>
        <v/>
      </c>
      <c r="K53" s="41">
        <f>$T$11/64</f>
        <v/>
      </c>
      <c r="L53" s="7" t="n">
        <v>0</v>
      </c>
      <c r="M53" s="41" t="n">
        <v>0</v>
      </c>
      <c r="N53" s="41" t="n"/>
      <c r="O53" s="41" t="n">
        <v>0</v>
      </c>
      <c r="P53" s="41" t="n">
        <v>0</v>
      </c>
      <c r="Q53" s="52" t="n"/>
      <c r="R53" s="52">
        <f>(SUM(J53:P53))*$B$2</f>
        <v/>
      </c>
      <c r="S53" s="36" t="n"/>
      <c r="T53" s="41" t="n"/>
    </row>
    <row r="54" ht="12.75" customHeight="1" s="251">
      <c r="A54" s="41" t="inlineStr">
        <is>
          <t>T1</t>
        </is>
      </c>
      <c r="B54" s="13" t="inlineStr">
        <is>
          <t>Prashant Sikdar</t>
        </is>
      </c>
      <c r="C54" s="9" t="n">
        <v>0</v>
      </c>
      <c r="D54" s="41">
        <f>SUM($C$3:$C$5)/64</f>
        <v/>
      </c>
      <c r="E54" s="41">
        <f>C54+D54</f>
        <v/>
      </c>
      <c r="F54" s="79">
        <f>IF($C$70=0, 0, E54/$C$70)</f>
        <v/>
      </c>
      <c r="G54" s="41">
        <f>F54*$T$5</f>
        <v/>
      </c>
      <c r="H54" s="41" t="n">
        <v>3</v>
      </c>
      <c r="I54" s="41">
        <f>$T$7*H54</f>
        <v/>
      </c>
      <c r="J54" s="41">
        <f>G54+$T$9+I54</f>
        <v/>
      </c>
      <c r="K54" s="41">
        <f>$T$11/64</f>
        <v/>
      </c>
      <c r="L54" s="7" t="n">
        <v>0</v>
      </c>
      <c r="M54" s="41" t="n">
        <v>0</v>
      </c>
      <c r="N54" s="41" t="n"/>
      <c r="O54" s="41" t="n">
        <v>0</v>
      </c>
      <c r="P54" s="41" t="n">
        <v>0</v>
      </c>
      <c r="Q54" s="52" t="n"/>
      <c r="R54" s="52">
        <f>(SUM(J54:P54))*$B$2</f>
        <v/>
      </c>
      <c r="S54" s="36" t="n"/>
      <c r="T54" s="41" t="n"/>
    </row>
    <row r="55" ht="12.75" customHeight="1" s="251">
      <c r="A55" s="41" t="inlineStr">
        <is>
          <t>T2</t>
        </is>
      </c>
      <c r="B55" s="13" t="inlineStr">
        <is>
          <t>Kunal Mehta</t>
        </is>
      </c>
      <c r="C55" s="9" t="n">
        <v>0</v>
      </c>
      <c r="D55" s="41">
        <f>SUM($C$3:$C$5)/64</f>
        <v/>
      </c>
      <c r="E55" s="41">
        <f>C55+D55</f>
        <v/>
      </c>
      <c r="F55" s="79">
        <f>IF($C$70=0, 0, E55/$C$70)</f>
        <v/>
      </c>
      <c r="G55" s="41">
        <f>F55*$T$5</f>
        <v/>
      </c>
      <c r="H55" s="41" t="n">
        <v>4</v>
      </c>
      <c r="I55" s="41">
        <f>$T$7*H55</f>
        <v/>
      </c>
      <c r="J55" s="41">
        <f>G55+$T$9+I55</f>
        <v/>
      </c>
      <c r="K55" s="41">
        <f>$T$11/64</f>
        <v/>
      </c>
      <c r="L55" s="7" t="n">
        <v>0</v>
      </c>
      <c r="M55" s="41" t="n">
        <v>0</v>
      </c>
      <c r="N55" s="41" t="n"/>
      <c r="O55" s="41" t="n">
        <v>0</v>
      </c>
      <c r="P55" s="41" t="n">
        <v>0</v>
      </c>
      <c r="Q55" s="52" t="n"/>
      <c r="R55" s="52">
        <f>(SUM(J55:P55))*$B$2</f>
        <v/>
      </c>
      <c r="S55" s="36" t="n"/>
      <c r="T55" s="41" t="n"/>
    </row>
    <row r="56" ht="12.75" customHeight="1" s="251">
      <c r="A56" s="41" t="inlineStr">
        <is>
          <t>T3</t>
        </is>
      </c>
      <c r="B56" s="13" t="inlineStr">
        <is>
          <t>Kapil Garg</t>
        </is>
      </c>
      <c r="C56" s="9" t="n">
        <v>0</v>
      </c>
      <c r="D56" s="41">
        <f>SUM($C$3:$C$5)/64</f>
        <v/>
      </c>
      <c r="E56" s="41">
        <f>C56+D56</f>
        <v/>
      </c>
      <c r="F56" s="79">
        <f>IF($C$70=0, 0, E56/$C$70)</f>
        <v/>
      </c>
      <c r="G56" s="41">
        <f>F56*$T$5</f>
        <v/>
      </c>
      <c r="H56" s="41" t="n">
        <v>4</v>
      </c>
      <c r="I56" s="41">
        <f>$T$7*H56</f>
        <v/>
      </c>
      <c r="J56" s="41">
        <f>G56+$T$9+I56</f>
        <v/>
      </c>
      <c r="K56" s="41">
        <f>$T$11/64</f>
        <v/>
      </c>
      <c r="L56" s="7" t="n">
        <v>0</v>
      </c>
      <c r="M56" s="41" t="n">
        <v>0</v>
      </c>
      <c r="N56" s="41" t="n"/>
      <c r="O56" s="41" t="n">
        <v>0</v>
      </c>
      <c r="P56" s="41" t="n">
        <v>0</v>
      </c>
      <c r="Q56" s="52" t="n"/>
      <c r="R56" s="52">
        <f>(SUM(J56:P56))*$B$2</f>
        <v/>
      </c>
      <c r="S56" s="36" t="n"/>
      <c r="T56" s="41" t="n"/>
    </row>
    <row r="57" ht="12.75" customHeight="1" s="251">
      <c r="A57" s="41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41">
        <f>SUM($C$3:$C$5)/64</f>
        <v/>
      </c>
      <c r="E57" s="41">
        <f>C57+D57</f>
        <v/>
      </c>
      <c r="F57" s="79">
        <f>IF($C$70=0, 0, E57/$C$70)</f>
        <v/>
      </c>
      <c r="G57" s="41">
        <f>F57*$T$5</f>
        <v/>
      </c>
      <c r="H57" s="41" t="n">
        <v>4</v>
      </c>
      <c r="I57" s="41">
        <f>$T$7*H57</f>
        <v/>
      </c>
      <c r="J57" s="41">
        <f>G57+$T$9+I57</f>
        <v/>
      </c>
      <c r="K57" s="41">
        <f>$T$11/64</f>
        <v/>
      </c>
      <c r="L57" s="7" t="n">
        <v>0</v>
      </c>
      <c r="M57" s="41" t="n">
        <v>0</v>
      </c>
      <c r="N57" s="41" t="n"/>
      <c r="O57" s="41" t="n">
        <v>0</v>
      </c>
      <c r="P57" s="41" t="n">
        <v>0</v>
      </c>
      <c r="Q57" s="52" t="n"/>
      <c r="R57" s="52">
        <f>(SUM(J57:P57))*$B$2</f>
        <v/>
      </c>
      <c r="S57" s="36" t="n"/>
      <c r="T57" s="41" t="n"/>
    </row>
    <row r="58" ht="12.75" customHeight="1" s="251">
      <c r="A58" s="41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41">
        <f>SUM($C$3:$C$5)/64</f>
        <v/>
      </c>
      <c r="E58" s="41">
        <f>C58+D58</f>
        <v/>
      </c>
      <c r="F58" s="79">
        <f>IF($C$70=0, 0, E58/$C$70)</f>
        <v/>
      </c>
      <c r="G58" s="41">
        <f>F58*$T$5</f>
        <v/>
      </c>
      <c r="H58" s="41" t="n">
        <v>3</v>
      </c>
      <c r="I58" s="41">
        <f>$T$7*H58</f>
        <v/>
      </c>
      <c r="J58" s="41">
        <f>G58+$T$9+I58</f>
        <v/>
      </c>
      <c r="K58" s="41">
        <f>$T$11/64</f>
        <v/>
      </c>
      <c r="L58" s="7" t="n">
        <v>0</v>
      </c>
      <c r="M58" s="41" t="n">
        <v>0</v>
      </c>
      <c r="N58" s="41" t="n"/>
      <c r="O58" s="41" t="n">
        <v>0</v>
      </c>
      <c r="P58" s="41" t="n">
        <v>0</v>
      </c>
      <c r="Q58" s="52" t="n"/>
      <c r="R58" s="52">
        <f>(SUM(J58:P58))*$B$2</f>
        <v/>
      </c>
      <c r="S58" s="36" t="n"/>
      <c r="T58" s="41" t="n"/>
    </row>
    <row r="59" ht="12.75" customHeight="1" s="251">
      <c r="A59" s="41" t="inlineStr">
        <is>
          <t>T6</t>
        </is>
      </c>
      <c r="B59" s="13" t="inlineStr">
        <is>
          <t>Mythili Ramesh</t>
        </is>
      </c>
      <c r="C59" s="9" t="n">
        <v>0</v>
      </c>
      <c r="D59" s="41">
        <f>SUM($C$3:$C$5)/64</f>
        <v/>
      </c>
      <c r="E59" s="41">
        <f>C59+D59</f>
        <v/>
      </c>
      <c r="F59" s="79">
        <f>IF($C$70=0, 0, E59/$C$70)</f>
        <v/>
      </c>
      <c r="G59" s="41">
        <f>F59*$T$5</f>
        <v/>
      </c>
      <c r="H59" s="41" t="n">
        <v>3</v>
      </c>
      <c r="I59" s="41">
        <f>$T$7*H59</f>
        <v/>
      </c>
      <c r="J59" s="41">
        <f>G59+$T$9+I59</f>
        <v/>
      </c>
      <c r="K59" s="41">
        <f>$T$11/64</f>
        <v/>
      </c>
      <c r="L59" s="7" t="n">
        <v>0</v>
      </c>
      <c r="M59" s="41" t="n">
        <v>0</v>
      </c>
      <c r="N59" s="41" t="n"/>
      <c r="O59" s="41" t="n">
        <v>0</v>
      </c>
      <c r="P59" s="41" t="n">
        <v>0</v>
      </c>
      <c r="Q59" s="52" t="n"/>
      <c r="R59" s="52">
        <f>(SUM(J59:P59))*$B$2</f>
        <v/>
      </c>
      <c r="S59" s="36" t="n"/>
      <c r="T59" s="41" t="n"/>
    </row>
    <row r="60" ht="12.75" customHeight="1" s="251">
      <c r="A60" s="41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41">
        <f>SUM($C$3:$C$5)/64</f>
        <v/>
      </c>
      <c r="E60" s="41">
        <f>C60+D60</f>
        <v/>
      </c>
      <c r="F60" s="79">
        <f>IF($C$70=0, 0, E60/$C$70)</f>
        <v/>
      </c>
      <c r="G60" s="41">
        <f>F60*$T$5</f>
        <v/>
      </c>
      <c r="H60" s="41" t="n">
        <v>3</v>
      </c>
      <c r="I60" s="41">
        <f>$T$7*H60</f>
        <v/>
      </c>
      <c r="J60" s="41">
        <f>G60+$T$9+I60</f>
        <v/>
      </c>
      <c r="K60" s="41">
        <f>$T$11/64</f>
        <v/>
      </c>
      <c r="L60" s="7" t="n">
        <v>0</v>
      </c>
      <c r="M60" s="41" t="n">
        <v>0</v>
      </c>
      <c r="N60" s="41" t="n"/>
      <c r="O60" s="41" t="n">
        <v>0</v>
      </c>
      <c r="P60" s="41" t="n">
        <v>0</v>
      </c>
      <c r="Q60" s="52" t="n"/>
      <c r="R60" s="52">
        <f>(SUM(J60:P60))*$B$2</f>
        <v/>
      </c>
      <c r="S60" s="36" t="n"/>
      <c r="T60" s="41" t="n"/>
    </row>
    <row r="61" ht="12.75" customHeight="1" s="251">
      <c r="A61" s="41" t="inlineStr">
        <is>
          <t>T8</t>
        </is>
      </c>
      <c r="B61" s="13" t="inlineStr">
        <is>
          <t>Lalit Kumar Sharma</t>
        </is>
      </c>
      <c r="C61" s="9" t="n">
        <v>0</v>
      </c>
      <c r="D61" s="41">
        <f>SUM($C$3:$C$5)/64</f>
        <v/>
      </c>
      <c r="E61" s="41">
        <f>C61+D61</f>
        <v/>
      </c>
      <c r="F61" s="79">
        <f>IF($C$70=0, 0, E61/$C$70)</f>
        <v/>
      </c>
      <c r="G61" s="41">
        <f>F61*$T$5</f>
        <v/>
      </c>
      <c r="H61" s="41" t="n">
        <v>3</v>
      </c>
      <c r="I61" s="41">
        <f>$T$7*H61</f>
        <v/>
      </c>
      <c r="J61" s="41">
        <f>G61+$T$9+I61</f>
        <v/>
      </c>
      <c r="K61" s="41">
        <f>$T$11/64</f>
        <v/>
      </c>
      <c r="L61" s="7" t="n">
        <v>0</v>
      </c>
      <c r="M61" s="41" t="n">
        <v>0</v>
      </c>
      <c r="N61" s="41" t="n"/>
      <c r="O61" s="41" t="n">
        <v>0</v>
      </c>
      <c r="P61" s="41" t="n">
        <v>0</v>
      </c>
      <c r="Q61" s="52" t="n"/>
      <c r="R61" s="52">
        <f>(SUM(J61:P61))*$B$2</f>
        <v/>
      </c>
      <c r="S61" s="36" t="n"/>
      <c r="T61" s="41" t="n"/>
    </row>
    <row r="62" ht="12.75" customHeight="1" s="251">
      <c r="A62" s="41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41">
        <f>SUM($C$3:$C$5)/64</f>
        <v/>
      </c>
      <c r="E62" s="41">
        <f>C62+D62</f>
        <v/>
      </c>
      <c r="F62" s="79">
        <f>IF($C$70=0, 0, E62/$C$70)</f>
        <v/>
      </c>
      <c r="G62" s="41">
        <f>F62*$T$5</f>
        <v/>
      </c>
      <c r="H62" s="41" t="n">
        <v>4</v>
      </c>
      <c r="I62" s="41">
        <f>$T$7*H62</f>
        <v/>
      </c>
      <c r="J62" s="41">
        <f>G62+$T$9+I62</f>
        <v/>
      </c>
      <c r="K62" s="41">
        <f>$T$11/64</f>
        <v/>
      </c>
      <c r="L62" s="7" t="n">
        <v>0</v>
      </c>
      <c r="M62" s="41" t="n">
        <v>0</v>
      </c>
      <c r="N62" s="41" t="n"/>
      <c r="O62" s="41" t="n">
        <v>0</v>
      </c>
      <c r="P62" s="41" t="n">
        <v>0</v>
      </c>
      <c r="Q62" s="52" t="n"/>
      <c r="R62" s="52">
        <f>(SUM(J62:P62))*$B$2</f>
        <v/>
      </c>
      <c r="S62" s="36" t="n"/>
      <c r="T62" s="41" t="n"/>
    </row>
    <row r="63" ht="12.75" customHeight="1" s="251">
      <c r="A63" s="41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41">
        <f>SUM($C$3:$C$5)/64</f>
        <v/>
      </c>
      <c r="E63" s="41">
        <f>C63+D63</f>
        <v/>
      </c>
      <c r="F63" s="79">
        <f>IF($C$70=0, 0, E63/$C$70)</f>
        <v/>
      </c>
      <c r="G63" s="41">
        <f>F63*$T$5</f>
        <v/>
      </c>
      <c r="H63" s="41" t="n">
        <v>3</v>
      </c>
      <c r="I63" s="41">
        <f>$T$7*H63</f>
        <v/>
      </c>
      <c r="J63" s="41">
        <f>G63+$T$9+I63</f>
        <v/>
      </c>
      <c r="K63" s="41">
        <f>$T$11/64</f>
        <v/>
      </c>
      <c r="L63" s="7" t="n">
        <v>0</v>
      </c>
      <c r="M63" s="41" t="n">
        <v>0</v>
      </c>
      <c r="N63" s="41" t="n"/>
      <c r="O63" s="41" t="n">
        <v>0</v>
      </c>
      <c r="P63" s="41" t="n">
        <v>0</v>
      </c>
      <c r="Q63" s="52" t="n"/>
      <c r="R63" s="52">
        <f>(SUM(J63:P63))*$B$2</f>
        <v/>
      </c>
      <c r="S63" s="36" t="n"/>
      <c r="T63" s="41" t="n"/>
    </row>
    <row r="64" ht="12.75" customHeight="1" s="251">
      <c r="A64" s="41" t="inlineStr">
        <is>
          <t>T11</t>
        </is>
      </c>
      <c r="B64" s="13" t="inlineStr">
        <is>
          <t>Arvind Balasubramanian</t>
        </is>
      </c>
      <c r="C64" s="9" t="n">
        <v>0</v>
      </c>
      <c r="D64" s="41">
        <f>SUM($C$3:$C$5)/64</f>
        <v/>
      </c>
      <c r="E64" s="41">
        <f>C64+D64</f>
        <v/>
      </c>
      <c r="F64" s="79">
        <f>IF($C$70=0, 0, E64/$C$70)</f>
        <v/>
      </c>
      <c r="G64" s="41">
        <f>F64*$T$5</f>
        <v/>
      </c>
      <c r="H64" s="41" t="n">
        <v>3</v>
      </c>
      <c r="I64" s="41">
        <f>$T$7*H64</f>
        <v/>
      </c>
      <c r="J64" s="41">
        <f>G64+$T$9+I64</f>
        <v/>
      </c>
      <c r="K64" s="41">
        <f>$T$11/64</f>
        <v/>
      </c>
      <c r="L64" s="7" t="n">
        <v>0</v>
      </c>
      <c r="M64" s="41" t="n">
        <v>0</v>
      </c>
      <c r="N64" s="41" t="n"/>
      <c r="O64" s="41" t="n">
        <v>0</v>
      </c>
      <c r="P64" s="41" t="n">
        <v>0</v>
      </c>
      <c r="Q64" s="52" t="n"/>
      <c r="R64" s="52">
        <f>(SUM(J64:P64))*$B$2</f>
        <v/>
      </c>
      <c r="S64" s="36" t="n"/>
      <c r="T64" s="41" t="n"/>
    </row>
    <row r="65" ht="12.75" customHeight="1" s="251">
      <c r="A65" s="41" t="inlineStr">
        <is>
          <t>T12</t>
        </is>
      </c>
      <c r="B65" s="13" t="inlineStr">
        <is>
          <t>Prasenjit</t>
        </is>
      </c>
      <c r="C65" s="9" t="n">
        <v>0</v>
      </c>
      <c r="D65" s="41">
        <f>SUM($C$3:$C$5)/64</f>
        <v/>
      </c>
      <c r="E65" s="41">
        <f>C65+D65</f>
        <v/>
      </c>
      <c r="F65" s="79">
        <f>IF($C$70=0, 0, E65/$C$70)</f>
        <v/>
      </c>
      <c r="G65" s="41">
        <f>F65*$T$5</f>
        <v/>
      </c>
      <c r="H65" s="41" t="n">
        <v>3</v>
      </c>
      <c r="I65" s="41">
        <f>$T$7*H65</f>
        <v/>
      </c>
      <c r="J65" s="41">
        <f>G65+$T$9+I65</f>
        <v/>
      </c>
      <c r="K65" s="41">
        <f>$T$11/64</f>
        <v/>
      </c>
      <c r="L65" s="7" t="n">
        <v>0</v>
      </c>
      <c r="M65" s="41" t="n">
        <v>0</v>
      </c>
      <c r="N65" s="41" t="n"/>
      <c r="O65" s="41" t="n">
        <v>0</v>
      </c>
      <c r="P65" s="41" t="n">
        <v>0</v>
      </c>
      <c r="Q65" s="52" t="n"/>
      <c r="R65" s="52">
        <f>(SUM(J65:P65))*$B$2</f>
        <v/>
      </c>
      <c r="S65" s="36" t="n"/>
      <c r="T65" s="41" t="n"/>
    </row>
    <row r="66" ht="12.75" customHeight="1" s="251">
      <c r="A66" s="41" t="inlineStr">
        <is>
          <t>T13</t>
        </is>
      </c>
      <c r="B66" s="13" t="inlineStr">
        <is>
          <t>Rahul Kumar</t>
        </is>
      </c>
      <c r="C66" s="9" t="n">
        <v>0</v>
      </c>
      <c r="D66" s="41">
        <f>SUM($C$3:$C$5)/64</f>
        <v/>
      </c>
      <c r="E66" s="41">
        <f>C66+D66</f>
        <v/>
      </c>
      <c r="F66" s="79">
        <f>IF($C$70=0, 0, E66/$C$70)</f>
        <v/>
      </c>
      <c r="G66" s="41">
        <f>F66*$T$5</f>
        <v/>
      </c>
      <c r="H66" s="41" t="n">
        <v>4</v>
      </c>
      <c r="I66" s="41">
        <f>$T$7*H66</f>
        <v/>
      </c>
      <c r="J66" s="41">
        <f>G66+$T$9+I66</f>
        <v/>
      </c>
      <c r="K66" s="41">
        <f>$T$11/64</f>
        <v/>
      </c>
      <c r="L66" s="7" t="n">
        <v>0</v>
      </c>
      <c r="M66" s="41" t="n">
        <v>0</v>
      </c>
      <c r="N66" s="41" t="n"/>
      <c r="O66" s="41" t="n">
        <v>0</v>
      </c>
      <c r="P66" s="41" t="n">
        <v>0</v>
      </c>
      <c r="Q66" s="52" t="n"/>
      <c r="R66" s="52">
        <f>(SUM(J66:P66))*$B$2</f>
        <v/>
      </c>
      <c r="S66" s="36" t="n"/>
      <c r="T66" s="41" t="n"/>
    </row>
    <row r="67" ht="12.75" customHeight="1" s="251">
      <c r="A67" s="41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41">
        <f>SUM($C$3:$C$5)/64</f>
        <v/>
      </c>
      <c r="E67" s="41">
        <f>C67+D67</f>
        <v/>
      </c>
      <c r="F67" s="79">
        <f>IF($C$70=0, 0, E67/$C$70)</f>
        <v/>
      </c>
      <c r="G67" s="41">
        <f>F67*$T$5</f>
        <v/>
      </c>
      <c r="H67" s="41" t="n">
        <v>4</v>
      </c>
      <c r="I67" s="41">
        <f>$T$7*H67</f>
        <v/>
      </c>
      <c r="J67" s="41">
        <f>G67+$T$9+I67</f>
        <v/>
      </c>
      <c r="K67" s="41">
        <f>$T$11/64</f>
        <v/>
      </c>
      <c r="L67" s="7" t="n">
        <v>0</v>
      </c>
      <c r="M67" s="41" t="n">
        <v>0</v>
      </c>
      <c r="N67" s="41" t="n"/>
      <c r="O67" s="41" t="n">
        <v>0</v>
      </c>
      <c r="P67" s="41" t="n">
        <v>0</v>
      </c>
      <c r="Q67" s="52" t="n"/>
      <c r="R67" s="52">
        <f>(SUM(J67:P67))*$B$2</f>
        <v/>
      </c>
      <c r="S67" s="36" t="n"/>
      <c r="T67" s="41" t="n"/>
    </row>
    <row r="68" ht="12.75" customHeight="1" s="251">
      <c r="A68" s="41" t="inlineStr">
        <is>
          <t>T15</t>
        </is>
      </c>
      <c r="B68" s="13" t="inlineStr">
        <is>
          <t>Trevor</t>
        </is>
      </c>
      <c r="C68" s="9" t="n">
        <v>0</v>
      </c>
      <c r="D68" s="41">
        <f>SUM($C$3:$C$5)/64</f>
        <v/>
      </c>
      <c r="E68" s="41">
        <f>C68+D68</f>
        <v/>
      </c>
      <c r="F68" s="79">
        <f>IF($C$70=0, 0, E68/$C$70)</f>
        <v/>
      </c>
      <c r="G68" s="41">
        <f>F68*$T$5</f>
        <v/>
      </c>
      <c r="H68" s="41" t="n">
        <v>4</v>
      </c>
      <c r="I68" s="41">
        <f>$T$7*H68</f>
        <v/>
      </c>
      <c r="J68" s="41">
        <f>G68+$T$9+I68</f>
        <v/>
      </c>
      <c r="K68" s="41">
        <f>$T$11/64</f>
        <v/>
      </c>
      <c r="L68" s="7" t="n">
        <v>0</v>
      </c>
      <c r="M68" s="41" t="n">
        <v>0</v>
      </c>
      <c r="N68" s="41" t="n"/>
      <c r="O68" s="41" t="n">
        <v>0</v>
      </c>
      <c r="P68" s="41" t="n">
        <v>0</v>
      </c>
      <c r="Q68" s="52" t="n"/>
      <c r="R68" s="52">
        <f>(SUM(J68:P68))*$B$2</f>
        <v/>
      </c>
      <c r="S68" s="36" t="n"/>
      <c r="T68" s="41" t="n"/>
    </row>
    <row r="69" ht="12.75" customHeight="1" s="251">
      <c r="A69" s="41" t="inlineStr">
        <is>
          <t>T16</t>
        </is>
      </c>
      <c r="B69" s="13" t="inlineStr">
        <is>
          <t>Madhusoodanan P.R.</t>
        </is>
      </c>
      <c r="C69" s="9" t="n">
        <v>0</v>
      </c>
      <c r="D69" s="41">
        <f>SUM($C$3:$C$5)/64</f>
        <v/>
      </c>
      <c r="E69" s="41">
        <f>C69+D69</f>
        <v/>
      </c>
      <c r="F69" s="79">
        <f>IF($C$70=0, 0, E69/$C$70)</f>
        <v/>
      </c>
      <c r="G69" s="41">
        <f>F69*$T$5</f>
        <v/>
      </c>
      <c r="H69" s="41" t="n">
        <v>3</v>
      </c>
      <c r="I69" s="41">
        <f>$T$7*H69</f>
        <v/>
      </c>
      <c r="J69" s="41">
        <f>G69+$T$9+I69</f>
        <v/>
      </c>
      <c r="K69" s="41">
        <f>$T$11/64</f>
        <v/>
      </c>
      <c r="L69" s="7" t="n">
        <v>0</v>
      </c>
      <c r="M69" s="41" t="n">
        <v>0</v>
      </c>
      <c r="N69" s="41" t="n"/>
      <c r="O69" s="41" t="n">
        <v>0</v>
      </c>
      <c r="P69" s="41" t="n">
        <v>0</v>
      </c>
      <c r="Q69" s="52" t="n"/>
      <c r="R69" s="52">
        <f>(SUM(J69:P69))*$B$2</f>
        <v/>
      </c>
      <c r="S69" s="36" t="n"/>
      <c r="T69" s="41" t="n"/>
    </row>
    <row r="70" ht="12.75" customHeight="1" s="251">
      <c r="A70" s="41" t="n"/>
      <c r="B70" s="52" t="inlineStr">
        <is>
          <t>TOTAL</t>
        </is>
      </c>
      <c r="C70" s="52">
        <f>SUM(C3:C69)</f>
        <v/>
      </c>
      <c r="D70" s="52">
        <f>SUM(D3:D69)</f>
        <v/>
      </c>
      <c r="E70" s="52">
        <f>SUM(E3:E69)</f>
        <v/>
      </c>
      <c r="F70" s="84">
        <f>IF($C$70=0, 0, E70/$C$70)</f>
        <v/>
      </c>
      <c r="G70" s="52">
        <f>SUM(G3:G69)</f>
        <v/>
      </c>
      <c r="H70" s="52">
        <f>SUM(H3:H69)</f>
        <v/>
      </c>
      <c r="I70" s="52">
        <f>SUM(I3:I69)</f>
        <v/>
      </c>
      <c r="J70" s="52">
        <f>SUM(J3:J69)</f>
        <v/>
      </c>
      <c r="K70" s="52">
        <f>SUM(K3:K69)</f>
        <v/>
      </c>
      <c r="L70" s="41">
        <f>SUM(L3:L69)</f>
        <v/>
      </c>
      <c r="M70" s="41">
        <f>SUM(M3:M69)</f>
        <v/>
      </c>
      <c r="N70" s="41">
        <f>SUM(N3:N69)</f>
        <v/>
      </c>
      <c r="O70" s="41">
        <f>SUM(O3:O69)</f>
        <v/>
      </c>
      <c r="P70" s="41">
        <f>SUM(P3:P69)</f>
        <v/>
      </c>
      <c r="Q70" s="41" t="n"/>
      <c r="R70" s="41">
        <f>SUM(R3:R69)</f>
        <v/>
      </c>
      <c r="S70" s="36" t="n"/>
      <c r="T70" s="41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C3" s="40" t="n"/>
      <c r="D3" s="87" t="n"/>
      <c r="E3" s="40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74" t="n"/>
      <c r="E4" s="46" t="n"/>
      <c r="F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86" t="n"/>
      <c r="E6" s="40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0" t="n"/>
      <c r="D7" s="87" t="n"/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0" t="n"/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73" t="n"/>
      <c r="D9" s="86" t="n"/>
      <c r="F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73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Niwin Anto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F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2" t="n"/>
      <c r="D16" s="86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E19" s="40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C23" s="40" t="n"/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73" t="n"/>
      <c r="D24" s="86" t="n"/>
      <c r="F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0" t="n"/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Ankur Agarwal</t>
        </is>
      </c>
      <c r="C26" s="73" t="n"/>
      <c r="D26" s="86" t="n"/>
      <c r="E26" s="40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6" t="n"/>
      <c r="D27" s="87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73" t="n"/>
      <c r="D28" s="86" t="n"/>
      <c r="F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E29" s="40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87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2" t="n"/>
      <c r="D31" s="86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E33" s="40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E35" s="40" t="n"/>
      <c r="F35" s="86" t="n"/>
      <c r="G35" s="40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0" t="n"/>
      <c r="D36" s="87" t="n"/>
      <c r="E36" s="40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86" t="n"/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F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2" t="n"/>
      <c r="D44" s="86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E45" s="40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86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F51" s="86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F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F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6" t="n"/>
      <c r="D57" s="87" t="n"/>
      <c r="F57" s="86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7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73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86" t="n"/>
      <c r="E60" s="40" t="n"/>
      <c r="F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D62" s="45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E63" s="40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73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86" t="n"/>
      <c r="F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86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19.5" customWidth="1" style="251" min="2" max="2"/>
    <col width="22.33203125" customWidth="1" style="251" min="3" max="4"/>
    <col width="19" customWidth="1" style="251" min="5" max="5"/>
    <col width="22.33203125" customWidth="1" style="251" min="6" max="7"/>
    <col width="14.6640625" customWidth="1" style="251" min="8" max="8"/>
    <col width="22.33203125" customWidth="1" style="251" min="9" max="9"/>
    <col width="27.33203125" customWidth="1" style="251" min="10" max="10"/>
    <col width="19.83203125" customWidth="1" style="251" min="11" max="11"/>
    <col width="18.33203125" customWidth="1" style="251" min="12" max="12"/>
    <col width="17.6640625" customWidth="1" style="251" min="13" max="13"/>
    <col width="17" customWidth="1" style="251" min="14" max="14"/>
    <col width="16.6640625" customWidth="1" style="251" min="15" max="15"/>
    <col width="18.5" customWidth="1" style="251" min="16" max="18"/>
    <col width="53.5" customWidth="1" style="251" min="19" max="19"/>
    <col width="12.5" customWidth="1" style="251" min="20" max="20"/>
  </cols>
  <sheetData>
    <row r="1" ht="16.5" customHeight="1" s="251">
      <c r="A1" s="41" t="n"/>
      <c r="B1" s="270" t="inlineStr">
        <is>
          <t>JUL 2026 EXPENSES</t>
        </is>
      </c>
      <c r="C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M1" s="267" t="n"/>
      <c r="N1" s="267" t="n"/>
      <c r="O1" s="267" t="n"/>
      <c r="P1" s="267" t="n"/>
      <c r="Q1" s="267" t="n"/>
      <c r="R1" s="267" t="n"/>
      <c r="S1" s="267" t="n"/>
      <c r="T1" s="268" t="n"/>
    </row>
    <row r="2" ht="58.5" customHeight="1" s="251">
      <c r="A2" s="41" t="inlineStr">
        <is>
          <t>FLAT #</t>
        </is>
      </c>
      <c r="B2" s="36" t="n">
        <v>1</v>
      </c>
      <c r="C2" s="36" t="inlineStr">
        <is>
          <t>WATER USED IN LTRS</t>
        </is>
      </c>
      <c r="D2" s="36" t="inlineStr">
        <is>
          <t>COMMON AREA EQUALLY DEVIDED</t>
        </is>
      </c>
      <c r="E2" s="36" t="inlineStr">
        <is>
          <t>TOTAL FRESH WATER CONSUMED</t>
        </is>
      </c>
      <c r="F2" s="77" t="inlineStr">
        <is>
          <t>%OF TOTAL USED</t>
        </is>
      </c>
      <c r="G2" s="36" t="inlineStr">
        <is>
          <t>WATER EXPENSE SHARING BY %</t>
        </is>
      </c>
      <c r="H2" s="36" t="inlineStr">
        <is>
          <t>#METERS</t>
        </is>
      </c>
      <c r="I2" s="36" t="inlineStr">
        <is>
          <t>METER RENT</t>
        </is>
      </c>
      <c r="J2" s="36" t="inlineStr">
        <is>
          <t>VARIABLE EXPENSE = COMMON AREA METER RENT + WATER EXPENSE+ FLAT METER RENT</t>
        </is>
      </c>
      <c r="K2" s="36" t="inlineStr">
        <is>
          <t>FIXED EXPENSE SHARE</t>
        </is>
      </c>
      <c r="L2" s="36" t="inlineStr">
        <is>
          <t>PARKING FEE</t>
        </is>
      </c>
      <c r="M2" s="36" t="inlineStr">
        <is>
          <t>CLUB BOOKING FEE</t>
        </is>
      </c>
      <c r="N2" s="36" t="inlineStr">
        <is>
          <t>SHIFTING FEE</t>
        </is>
      </c>
      <c r="O2" s="36" t="inlineStr">
        <is>
          <t>GYM USAGE FEE</t>
        </is>
      </c>
      <c r="P2" s="53" t="n"/>
      <c r="Q2" s="53" t="n"/>
      <c r="R2" s="53" t="inlineStr">
        <is>
          <t>TOTAL EXPENSE TO BE PAID</t>
        </is>
      </c>
      <c r="S2" s="53" t="n"/>
      <c r="T2" s="53" t="n"/>
    </row>
    <row r="3" ht="12.75" customHeight="1" s="251">
      <c r="A3" s="41" t="inlineStr">
        <is>
          <t>CH</t>
        </is>
      </c>
      <c r="B3" s="78" t="inlineStr">
        <is>
          <t>MPFOWA</t>
        </is>
      </c>
      <c r="C3" s="41" t="n">
        <v>0</v>
      </c>
      <c r="D3" s="41" t="n">
        <v>0</v>
      </c>
      <c r="E3" s="41" t="n"/>
      <c r="F3" s="79" t="n"/>
      <c r="G3" s="41" t="n"/>
      <c r="H3" s="41" t="n">
        <v>1</v>
      </c>
      <c r="I3" s="41">
        <f>T7</f>
        <v/>
      </c>
      <c r="J3" s="41" t="n"/>
      <c r="K3" s="41" t="n"/>
      <c r="L3" s="52" t="n"/>
      <c r="M3" s="41" t="n"/>
      <c r="N3" s="41" t="n"/>
      <c r="O3" s="41" t="n"/>
      <c r="P3" s="52" t="n"/>
      <c r="Q3" s="52" t="n"/>
      <c r="R3" s="52" t="n"/>
      <c r="S3" s="36" t="n"/>
      <c r="T3" s="41" t="n"/>
    </row>
    <row r="4" ht="12.75" customHeight="1" s="251">
      <c r="A4" s="41" t="inlineStr">
        <is>
          <t>GYM</t>
        </is>
      </c>
      <c r="B4" s="78" t="inlineStr">
        <is>
          <t>MPFOWA</t>
        </is>
      </c>
      <c r="C4" s="41" t="n">
        <v>0</v>
      </c>
      <c r="D4" s="41" t="n">
        <v>0</v>
      </c>
      <c r="E4" s="41" t="n"/>
      <c r="F4" s="79" t="n"/>
      <c r="G4" s="41" t="n"/>
      <c r="H4" s="41" t="n">
        <v>1</v>
      </c>
      <c r="I4" s="41">
        <f>T7</f>
        <v/>
      </c>
      <c r="J4" s="41" t="n"/>
      <c r="K4" s="41" t="n"/>
      <c r="L4" s="52" t="n"/>
      <c r="M4" s="41" t="n"/>
      <c r="N4" s="41" t="n"/>
      <c r="O4" s="41" t="n"/>
      <c r="P4" s="52" t="n"/>
      <c r="Q4" s="52" t="n"/>
      <c r="R4" s="52" t="n"/>
      <c r="S4" s="58" t="inlineStr">
        <is>
          <t>TOTAL FIXED EXPENSE</t>
        </is>
      </c>
      <c r="T4" s="89">
        <f>'ANNUAL-EXPENSE-DETAILS'!BF6</f>
        <v/>
      </c>
    </row>
    <row r="5" ht="12.75" customHeight="1" s="251">
      <c r="A5" s="41" t="inlineStr">
        <is>
          <t>BSMT</t>
        </is>
      </c>
      <c r="B5" s="78" t="inlineStr">
        <is>
          <t>MPFOWA</t>
        </is>
      </c>
      <c r="C5" s="41" t="n">
        <v>0</v>
      </c>
      <c r="D5" s="41" t="n">
        <v>0</v>
      </c>
      <c r="E5" s="41" t="n"/>
      <c r="F5" s="79" t="n"/>
      <c r="G5" s="41" t="n"/>
      <c r="H5" s="41" t="n">
        <v>1</v>
      </c>
      <c r="I5" s="41">
        <f>T7</f>
        <v/>
      </c>
      <c r="J5" s="41" t="n"/>
      <c r="K5" s="41" t="n"/>
      <c r="L5" s="52" t="n"/>
      <c r="M5" s="41" t="n"/>
      <c r="N5" s="41" t="n"/>
      <c r="O5" s="41" t="n"/>
      <c r="P5" s="52" t="n"/>
      <c r="Q5" s="52" t="n"/>
      <c r="R5" s="52" t="n"/>
      <c r="S5" s="58" t="inlineStr">
        <is>
          <t>TOTAL WATER EXPENSE</t>
        </is>
      </c>
      <c r="T5" s="89">
        <f>'ANNUAL-EXPENSE-DETAILS'!BE6</f>
        <v/>
      </c>
    </row>
    <row r="6" ht="12.75" customHeight="1" s="251">
      <c r="A6" s="41" t="inlineStr">
        <is>
          <t>F1</t>
        </is>
      </c>
      <c r="B6" s="13" t="inlineStr">
        <is>
          <t>Shailesh Srivastava / Azeem Nawaz</t>
        </is>
      </c>
      <c r="C6" s="9" t="n">
        <v>0</v>
      </c>
      <c r="D6" s="41">
        <f>SUM($C$3:$C$5)/64</f>
        <v/>
      </c>
      <c r="E6" s="41">
        <f>C6+D6</f>
        <v/>
      </c>
      <c r="F6" s="79">
        <f>IF($C$70=0, 0, E6/$C$70)</f>
        <v/>
      </c>
      <c r="G6" s="41">
        <f>F6*$T$5</f>
        <v/>
      </c>
      <c r="H6" s="41" t="n">
        <v>3</v>
      </c>
      <c r="I6" s="41">
        <f>$T$7*H6</f>
        <v/>
      </c>
      <c r="J6" s="41">
        <f>G6+$T$9+I6</f>
        <v/>
      </c>
      <c r="K6" s="41">
        <f>$T$11/64</f>
        <v/>
      </c>
      <c r="L6" s="14" t="n">
        <v>0</v>
      </c>
      <c r="M6" s="41" t="n">
        <v>0</v>
      </c>
      <c r="N6" s="41" t="n">
        <v>0</v>
      </c>
      <c r="O6" s="41" t="n">
        <v>0</v>
      </c>
      <c r="P6" s="52" t="n"/>
      <c r="Q6" s="52" t="n"/>
      <c r="R6" s="52">
        <f>(J6+K6+L6+M6+N6+O6)*$B$2</f>
        <v/>
      </c>
      <c r="S6" s="80" t="n"/>
      <c r="T6" s="41" t="n"/>
    </row>
    <row r="7" ht="12.75" customHeight="1" s="251">
      <c r="A7" s="41" t="inlineStr">
        <is>
          <t>F2</t>
        </is>
      </c>
      <c r="B7" s="13" t="inlineStr">
        <is>
          <t>Shanthanu</t>
        </is>
      </c>
      <c r="C7" s="9" t="n">
        <v>0</v>
      </c>
      <c r="D7" s="41">
        <f>SUM($C$3:$C$5)/64</f>
        <v/>
      </c>
      <c r="E7" s="41">
        <f>C7+D7</f>
        <v/>
      </c>
      <c r="F7" s="79">
        <f>IF($C$70=0, 0, E7/$C$70)</f>
        <v/>
      </c>
      <c r="G7" s="41">
        <f>F7*$T$5</f>
        <v/>
      </c>
      <c r="H7" s="41" t="n">
        <v>4</v>
      </c>
      <c r="I7" s="41">
        <f>$T$7*H7</f>
        <v/>
      </c>
      <c r="J7" s="41">
        <f>G7+$T$9+I7</f>
        <v/>
      </c>
      <c r="K7" s="41">
        <f>$T$11/64</f>
        <v/>
      </c>
      <c r="L7" s="7" t="n">
        <v>0</v>
      </c>
      <c r="M7" s="41" t="n">
        <v>0</v>
      </c>
      <c r="N7" s="41" t="n">
        <v>0</v>
      </c>
      <c r="O7" s="41" t="n">
        <v>0</v>
      </c>
      <c r="P7" s="52" t="n"/>
      <c r="Q7" s="52" t="n"/>
      <c r="R7" s="52">
        <f>(J7+K7+L7+M7+N7+O7)*$B$2</f>
        <v/>
      </c>
      <c r="S7" s="80" t="inlineStr">
        <is>
          <t>RENT PER METER</t>
        </is>
      </c>
      <c r="T7" s="17" t="n">
        <v>117.811659</v>
      </c>
    </row>
    <row r="8" ht="12.75" customHeight="1" s="251">
      <c r="A8" s="41" t="inlineStr">
        <is>
          <t>F3</t>
        </is>
      </c>
      <c r="B8" s="13" t="inlineStr">
        <is>
          <t>Samrat Kar</t>
        </is>
      </c>
      <c r="C8" s="9" t="n">
        <v>0</v>
      </c>
      <c r="D8" s="41">
        <f>SUM($C$3:$C$5)/64</f>
        <v/>
      </c>
      <c r="E8" s="41">
        <f>C8+D8</f>
        <v/>
      </c>
      <c r="F8" s="79">
        <f>IF($C$70=0, 0, E8/$C$70)</f>
        <v/>
      </c>
      <c r="G8" s="41">
        <f>F8*$T$5</f>
        <v/>
      </c>
      <c r="H8" s="41" t="n">
        <v>4</v>
      </c>
      <c r="I8" s="41">
        <f>$T$7*H8</f>
        <v/>
      </c>
      <c r="J8" s="41">
        <f>G8+$T$9+I8</f>
        <v/>
      </c>
      <c r="K8" s="41">
        <f>$T$11/64</f>
        <v/>
      </c>
      <c r="L8" s="7" t="n">
        <v>0</v>
      </c>
      <c r="M8" s="41" t="n">
        <v>0</v>
      </c>
      <c r="N8" s="41" t="n">
        <v>0</v>
      </c>
      <c r="O8" s="41" t="n">
        <v>0</v>
      </c>
      <c r="P8" s="52" t="n"/>
      <c r="Q8" s="52" t="n"/>
      <c r="R8" s="52">
        <f>(J8+K8+L8+M8+N8+O8)*$B$2</f>
        <v/>
      </c>
      <c r="S8" s="80" t="inlineStr">
        <is>
          <t>COMMON AREA METER RENT</t>
        </is>
      </c>
      <c r="T8" s="41">
        <f>$T$7*3</f>
        <v/>
      </c>
    </row>
    <row r="9" ht="12.75" customHeight="1" s="251">
      <c r="A9" s="41" t="inlineStr">
        <is>
          <t>F4</t>
        </is>
      </c>
      <c r="B9" s="13" t="inlineStr">
        <is>
          <t>Renu R</t>
        </is>
      </c>
      <c r="C9" s="9" t="n">
        <v>0</v>
      </c>
      <c r="D9" s="41">
        <f>SUM($C$3:$C$5)/64</f>
        <v/>
      </c>
      <c r="E9" s="41">
        <f>C9+D9</f>
        <v/>
      </c>
      <c r="F9" s="79">
        <f>IF($C$70=0, 0, E9/$C$70)</f>
        <v/>
      </c>
      <c r="G9" s="41">
        <f>F9*$T$5</f>
        <v/>
      </c>
      <c r="H9" s="41" t="n">
        <v>4</v>
      </c>
      <c r="I9" s="41">
        <f>$T$7*H9</f>
        <v/>
      </c>
      <c r="J9" s="41">
        <f>G9+$T$9+I9</f>
        <v/>
      </c>
      <c r="K9" s="41">
        <f>$T$11/64</f>
        <v/>
      </c>
      <c r="L9" s="7" t="n">
        <v>0</v>
      </c>
      <c r="M9" s="41" t="n">
        <v>0</v>
      </c>
      <c r="N9" s="41" t="n">
        <v>0</v>
      </c>
      <c r="O9" s="41" t="n">
        <v>0</v>
      </c>
      <c r="P9" s="52" t="n"/>
      <c r="Q9" s="52" t="n"/>
      <c r="R9" s="52">
        <f>(J9+K9+L9+M9+N9+O9)*$B$2</f>
        <v/>
      </c>
      <c r="S9" s="81" t="inlineStr">
        <is>
          <t>COMMON AREA METER RENT/FLAT</t>
        </is>
      </c>
      <c r="T9" s="82">
        <f>T8/64</f>
        <v/>
      </c>
    </row>
    <row r="10" ht="12.75" customHeight="1" s="251">
      <c r="A10" s="41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41">
        <f>SUM($C$3:$C$5)/64</f>
        <v/>
      </c>
      <c r="E10" s="41">
        <f>C10+D10</f>
        <v/>
      </c>
      <c r="F10" s="79">
        <f>IF($C$70=0, 0, E10/$C$70)</f>
        <v/>
      </c>
      <c r="G10" s="41">
        <f>F10*$T$5</f>
        <v/>
      </c>
      <c r="H10" s="41" t="n">
        <v>3</v>
      </c>
      <c r="I10" s="41">
        <f>$T$7*H10</f>
        <v/>
      </c>
      <c r="J10" s="41">
        <f>G10+$T$9+I10</f>
        <v/>
      </c>
      <c r="K10" s="41">
        <f>$T$11/64</f>
        <v/>
      </c>
      <c r="L10" s="7" t="n">
        <v>0</v>
      </c>
      <c r="M10" s="41" t="n">
        <v>0</v>
      </c>
      <c r="N10" s="41" t="n">
        <v>0</v>
      </c>
      <c r="O10" s="41" t="n">
        <v>0</v>
      </c>
      <c r="P10" s="52" t="n"/>
      <c r="Q10" s="52" t="n"/>
      <c r="R10" s="52">
        <f>(J10+K10+L10+M10+N10+O10)*$B$2</f>
        <v/>
      </c>
      <c r="S10" s="80" t="n"/>
      <c r="T10" s="41" t="n"/>
    </row>
    <row r="11" ht="12.75" customHeight="1" s="251">
      <c r="A11" s="41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41">
        <f>SUM($C$3:$C$5)/64</f>
        <v/>
      </c>
      <c r="E11" s="41">
        <f>C11+D11</f>
        <v/>
      </c>
      <c r="F11" s="79">
        <f>IF($C$70=0, 0, E11/$C$70)</f>
        <v/>
      </c>
      <c r="G11" s="41">
        <f>F11*$T$5</f>
        <v/>
      </c>
      <c r="H11" s="41" t="n">
        <v>3</v>
      </c>
      <c r="I11" s="41">
        <f>$T$7*H11</f>
        <v/>
      </c>
      <c r="J11" s="41">
        <f>G11+$T$9+I11</f>
        <v/>
      </c>
      <c r="K11" s="41">
        <f>$T$11/64</f>
        <v/>
      </c>
      <c r="L11" s="7" t="n">
        <v>0</v>
      </c>
      <c r="M11" s="41" t="n">
        <v>0</v>
      </c>
      <c r="N11" s="41" t="n">
        <v>0</v>
      </c>
      <c r="O11" s="41" t="n">
        <v>0</v>
      </c>
      <c r="P11" s="52" t="n"/>
      <c r="Q11" s="52" t="n"/>
      <c r="R11" s="52">
        <f>(J11+K11+L11+M11+N11+O11)*$B$2</f>
        <v/>
      </c>
      <c r="S11" s="81" t="inlineStr">
        <is>
          <t>TOTAL FIXED EXPENSE</t>
        </is>
      </c>
      <c r="T11" s="82">
        <f>'ANNUAL-EXPENSE-DETAILS'!BF6</f>
        <v/>
      </c>
    </row>
    <row r="12" ht="12.75" customHeight="1" s="251">
      <c r="A12" s="41" t="inlineStr">
        <is>
          <t>F7</t>
        </is>
      </c>
      <c r="B12" s="13" t="inlineStr">
        <is>
          <t>Vimal NK</t>
        </is>
      </c>
      <c r="C12" s="9" t="n">
        <v>0</v>
      </c>
      <c r="D12" s="41">
        <f>SUM($C$3:$C$5)/64</f>
        <v/>
      </c>
      <c r="E12" s="41">
        <f>C12+D12</f>
        <v/>
      </c>
      <c r="F12" s="79">
        <f>IF($C$70=0, 0, E12/$C$70)</f>
        <v/>
      </c>
      <c r="G12" s="41">
        <f>F12*$T$5</f>
        <v/>
      </c>
      <c r="H12" s="41" t="n">
        <v>3</v>
      </c>
      <c r="I12" s="41">
        <f>$T$7*H12</f>
        <v/>
      </c>
      <c r="J12" s="41">
        <f>G12+$T$9+I12</f>
        <v/>
      </c>
      <c r="K12" s="41">
        <f>$T$11/64</f>
        <v/>
      </c>
      <c r="L12" s="7" t="n">
        <v>0</v>
      </c>
      <c r="M12" s="41" t="n">
        <v>0</v>
      </c>
      <c r="N12" s="41" t="n">
        <v>0</v>
      </c>
      <c r="O12" s="41" t="n">
        <v>0</v>
      </c>
      <c r="P12" s="52" t="n"/>
      <c r="Q12" s="52" t="n"/>
      <c r="R12" s="52">
        <f>(J12+K12+L12+M12+N12+O12)*$B$2</f>
        <v/>
      </c>
      <c r="S12" s="36" t="n"/>
      <c r="T12" s="41" t="n"/>
    </row>
    <row r="13" ht="12.75" customHeight="1" s="251">
      <c r="A13" s="41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41">
        <f>SUM($C$3:$C$5)/64</f>
        <v/>
      </c>
      <c r="E13" s="41">
        <f>C13+D13</f>
        <v/>
      </c>
      <c r="F13" s="79">
        <f>IF($C$70=0, 0, E13/$C$70)</f>
        <v/>
      </c>
      <c r="G13" s="41">
        <f>F13*$T$5</f>
        <v/>
      </c>
      <c r="H13" s="41" t="n">
        <v>3</v>
      </c>
      <c r="I13" s="41">
        <f>$T$7*H13</f>
        <v/>
      </c>
      <c r="J13" s="41">
        <f>G13+$T$9+I13</f>
        <v/>
      </c>
      <c r="K13" s="41">
        <f>$T$11/64</f>
        <v/>
      </c>
      <c r="L13" s="7" t="n">
        <v>0</v>
      </c>
      <c r="M13" s="41" t="n">
        <v>0</v>
      </c>
      <c r="N13" s="41" t="n">
        <v>0</v>
      </c>
      <c r="O13" s="41" t="n">
        <v>0</v>
      </c>
      <c r="P13" s="52" t="n"/>
      <c r="Q13" s="52" t="n"/>
      <c r="R13" s="52">
        <f>(J13+K13+L13+M13+N13+O13)*$B$2</f>
        <v/>
      </c>
      <c r="S13" s="83" t="n"/>
      <c r="T13" s="63" t="n"/>
    </row>
    <row r="14" ht="12.75" customHeight="1" s="251">
      <c r="A14" s="41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41">
        <f>SUM($C$3:$C$5)/64</f>
        <v/>
      </c>
      <c r="E14" s="41">
        <f>C14+D14</f>
        <v/>
      </c>
      <c r="F14" s="79">
        <f>IF($C$70=0, 0, E14/$C$70)</f>
        <v/>
      </c>
      <c r="G14" s="41">
        <f>F14*$T$5</f>
        <v/>
      </c>
      <c r="H14" s="41" t="n">
        <v>4</v>
      </c>
      <c r="I14" s="41">
        <f>$T$7*H14</f>
        <v/>
      </c>
      <c r="J14" s="41">
        <f>G14+$T$9+I14</f>
        <v/>
      </c>
      <c r="K14" s="41">
        <f>$T$11/64</f>
        <v/>
      </c>
      <c r="L14" s="7" t="n">
        <v>0</v>
      </c>
      <c r="M14" s="41" t="n">
        <v>0</v>
      </c>
      <c r="N14" s="41" t="n">
        <v>0</v>
      </c>
      <c r="O14" s="41" t="n">
        <v>0</v>
      </c>
      <c r="P14" s="52" t="n"/>
      <c r="Q14" s="52" t="n"/>
      <c r="R14" s="52">
        <f>(J14+K14+L14+M14+N14+O14)*$B$2</f>
        <v/>
      </c>
      <c r="S14" s="61" t="inlineStr">
        <is>
          <t>BALANCE IN ACCOUNT ON 31-JULY-2023</t>
        </is>
      </c>
      <c r="T14" s="63" t="n"/>
    </row>
    <row r="15" ht="12.75" customHeight="1" s="251">
      <c r="A15" s="41" t="inlineStr">
        <is>
          <t>F10</t>
        </is>
      </c>
      <c r="B15" s="13" t="inlineStr">
        <is>
          <t>Aby Thomas</t>
        </is>
      </c>
      <c r="C15" s="9" t="n">
        <v>0</v>
      </c>
      <c r="D15" s="41">
        <f>SUM($C$3:$C$5)/64</f>
        <v/>
      </c>
      <c r="E15" s="41">
        <f>C15+D15</f>
        <v/>
      </c>
      <c r="F15" s="79">
        <f>IF($C$70=0, 0, E15/$C$70)</f>
        <v/>
      </c>
      <c r="G15" s="41">
        <f>F15*$T$5</f>
        <v/>
      </c>
      <c r="H15" s="41" t="n">
        <v>3</v>
      </c>
      <c r="I15" s="41">
        <f>$T$7*H15</f>
        <v/>
      </c>
      <c r="J15" s="41">
        <f>G15+$T$9+I15</f>
        <v/>
      </c>
      <c r="K15" s="41">
        <f>$T$11/64</f>
        <v/>
      </c>
      <c r="L15" s="7" t="n">
        <v>0</v>
      </c>
      <c r="M15" s="41" t="n">
        <v>0</v>
      </c>
      <c r="N15" s="41" t="n">
        <v>0</v>
      </c>
      <c r="O15" s="41" t="n">
        <v>0</v>
      </c>
      <c r="P15" s="52" t="n"/>
      <c r="Q15" s="52" t="n"/>
      <c r="R15" s="52">
        <f>(J15+K15+L15+M15+N15+O15)*$B$2</f>
        <v/>
      </c>
      <c r="S15" s="61" t="inlineStr">
        <is>
          <t>TOTAL NON MAINTENANCE CORPUS COLLECTION</t>
        </is>
      </c>
      <c r="T15" s="63" t="n"/>
    </row>
    <row r="16" ht="12.75" customHeight="1" s="251">
      <c r="A16" s="41" t="inlineStr">
        <is>
          <t>F11</t>
        </is>
      </c>
      <c r="B16" s="13" t="inlineStr">
        <is>
          <t>Niwin Anto</t>
        </is>
      </c>
      <c r="C16" s="9" t="n">
        <v>0</v>
      </c>
      <c r="D16" s="41">
        <f>SUM($C$3:$C$5)/64</f>
        <v/>
      </c>
      <c r="E16" s="41">
        <f>C16+D16</f>
        <v/>
      </c>
      <c r="F16" s="79">
        <f>IF($C$70=0, 0, E16/$C$70)</f>
        <v/>
      </c>
      <c r="G16" s="41">
        <f>F16*$T$5</f>
        <v/>
      </c>
      <c r="H16" s="41" t="n">
        <v>3</v>
      </c>
      <c r="I16" s="41">
        <f>$T$7*H16</f>
        <v/>
      </c>
      <c r="J16" s="41">
        <f>G16+$T$9+I16</f>
        <v/>
      </c>
      <c r="K16" s="41">
        <f>$T$11/64</f>
        <v/>
      </c>
      <c r="L16" s="7" t="n">
        <v>0</v>
      </c>
      <c r="M16" s="41" t="n">
        <v>0</v>
      </c>
      <c r="N16" s="41" t="n">
        <v>0</v>
      </c>
      <c r="O16" s="41" t="n">
        <v>0</v>
      </c>
      <c r="P16" s="52" t="n"/>
      <c r="Q16" s="52" t="n"/>
      <c r="R16" s="52">
        <f>(J16+K16+L16+M16+N16+O16)*$B$2</f>
        <v/>
      </c>
      <c r="S16" s="61" t="inlineStr">
        <is>
          <t>TOTAL FD DONE</t>
        </is>
      </c>
      <c r="T16" s="63" t="n"/>
    </row>
    <row r="17" ht="12.75" customHeight="1" s="251">
      <c r="A17" s="41" t="inlineStr">
        <is>
          <t>F12</t>
        </is>
      </c>
      <c r="B17" s="13" t="inlineStr">
        <is>
          <t>Anirudh Singh</t>
        </is>
      </c>
      <c r="C17" s="9" t="n">
        <v>0</v>
      </c>
      <c r="D17" s="41">
        <f>SUM($C$3:$C$5)/64</f>
        <v/>
      </c>
      <c r="E17" s="41">
        <f>C17+D17</f>
        <v/>
      </c>
      <c r="F17" s="79">
        <f>IF($C$70=0, 0, E17/$C$70)</f>
        <v/>
      </c>
      <c r="G17" s="41">
        <f>F17*$T$5</f>
        <v/>
      </c>
      <c r="H17" s="41" t="n">
        <v>3</v>
      </c>
      <c r="I17" s="41">
        <f>$T$7*H17</f>
        <v/>
      </c>
      <c r="J17" s="41">
        <f>G17+$T$9+I17</f>
        <v/>
      </c>
      <c r="K17" s="41">
        <f>$T$11/64</f>
        <v/>
      </c>
      <c r="L17" s="7" t="n">
        <v>0</v>
      </c>
      <c r="M17" s="41" t="n">
        <v>0</v>
      </c>
      <c r="N17" s="41" t="n">
        <v>0</v>
      </c>
      <c r="O17" s="41" t="n">
        <v>0</v>
      </c>
      <c r="P17" s="52" t="n"/>
      <c r="Q17" s="52" t="n"/>
      <c r="R17" s="52">
        <f>(J17+K17+L17+M17+N17+O17)*$B$2</f>
        <v/>
      </c>
      <c r="S17" s="64" t="inlineStr">
        <is>
          <t>AMOUNT AVAILABLE FOR NON MAINTENANCE CORPUS</t>
        </is>
      </c>
      <c r="T17" s="65">
        <f>T15-T16</f>
        <v/>
      </c>
    </row>
    <row r="18" ht="12.75" customHeight="1" s="251">
      <c r="A18" s="41" t="inlineStr">
        <is>
          <t>F13</t>
        </is>
      </c>
      <c r="B18" s="13" t="inlineStr">
        <is>
          <t>Sanchay Saxena</t>
        </is>
      </c>
      <c r="C18" s="9" t="n">
        <v>0</v>
      </c>
      <c r="D18" s="41">
        <f>SUM($C$3:$C$5)/64</f>
        <v/>
      </c>
      <c r="E18" s="41">
        <f>C18+D18</f>
        <v/>
      </c>
      <c r="F18" s="79">
        <f>IF($C$70=0, 0, E18/$C$70)</f>
        <v/>
      </c>
      <c r="G18" s="41">
        <f>F18*$T$5</f>
        <v/>
      </c>
      <c r="H18" s="41" t="n">
        <v>4</v>
      </c>
      <c r="I18" s="41">
        <f>$T$7*H18</f>
        <v/>
      </c>
      <c r="J18" s="41">
        <f>G18+$T$9+I18</f>
        <v/>
      </c>
      <c r="K18" s="41">
        <f>$T$11/64</f>
        <v/>
      </c>
      <c r="L18" s="7" t="n">
        <v>0</v>
      </c>
      <c r="M18" s="41" t="n">
        <v>0</v>
      </c>
      <c r="N18" s="41" t="n">
        <v>0</v>
      </c>
      <c r="O18" s="41" t="n">
        <v>0</v>
      </c>
      <c r="P18" s="52" t="n"/>
      <c r="Q18" s="52" t="n"/>
      <c r="R18" s="52">
        <f>(J18+K18+L18+M18+N18+O18)*$B$2</f>
        <v/>
      </c>
      <c r="S18" s="66" t="inlineStr">
        <is>
          <t>AMOUNT AVAILABLE FOR MAINTENANCE</t>
        </is>
      </c>
      <c r="T18" s="67">
        <f>T14-T17</f>
        <v/>
      </c>
    </row>
    <row r="19" ht="12.75" customHeight="1" s="251">
      <c r="A19" s="41" t="inlineStr">
        <is>
          <t>F14</t>
        </is>
      </c>
      <c r="B19" s="13" t="inlineStr">
        <is>
          <t>Hemant Patel</t>
        </is>
      </c>
      <c r="C19" s="9" t="n">
        <v>0</v>
      </c>
      <c r="D19" s="41">
        <f>SUM($C$3:$C$5)/64</f>
        <v/>
      </c>
      <c r="E19" s="41">
        <f>C19+D19</f>
        <v/>
      </c>
      <c r="F19" s="79">
        <f>IF($C$70=0, 0, E19/$C$70)</f>
        <v/>
      </c>
      <c r="G19" s="41">
        <f>F19*$T$5</f>
        <v/>
      </c>
      <c r="H19" s="41" t="n">
        <v>4</v>
      </c>
      <c r="I19" s="41">
        <f>$T$7*H19</f>
        <v/>
      </c>
      <c r="J19" s="41">
        <f>G19+$T$9+I19</f>
        <v/>
      </c>
      <c r="K19" s="41">
        <f>$T$11/64</f>
        <v/>
      </c>
      <c r="L19" s="7" t="n">
        <v>0</v>
      </c>
      <c r="M19" s="41" t="n">
        <v>0</v>
      </c>
      <c r="N19" s="41" t="n">
        <v>0</v>
      </c>
      <c r="O19" s="41" t="n">
        <v>0</v>
      </c>
      <c r="P19" s="52" t="n"/>
      <c r="Q19" s="52" t="n"/>
      <c r="R19" s="52">
        <f>(J19+K19+L19+M19+N19+O19)*$B$2</f>
        <v/>
      </c>
      <c r="S19" s="36" t="n"/>
      <c r="T19" s="41" t="n"/>
    </row>
    <row r="20" ht="12.75" customHeight="1" s="251">
      <c r="A20" s="41" t="inlineStr">
        <is>
          <t>F15</t>
        </is>
      </c>
      <c r="B20" s="13" t="inlineStr">
        <is>
          <t>Senthil.Vijayaragavan</t>
        </is>
      </c>
      <c r="C20" s="9" t="n">
        <v>0</v>
      </c>
      <c r="D20" s="41">
        <f>SUM($C$3:$C$5)/64</f>
        <v/>
      </c>
      <c r="E20" s="41">
        <f>C20+D20</f>
        <v/>
      </c>
      <c r="F20" s="79">
        <f>IF($C$70=0, 0, E20/$C$70)</f>
        <v/>
      </c>
      <c r="G20" s="41">
        <f>F20*$T$5</f>
        <v/>
      </c>
      <c r="H20" s="41" t="n">
        <v>4</v>
      </c>
      <c r="I20" s="41">
        <f>$T$7*H20</f>
        <v/>
      </c>
      <c r="J20" s="41">
        <f>G20+$T$9+I20</f>
        <v/>
      </c>
      <c r="K20" s="41">
        <f>$T$11/64</f>
        <v/>
      </c>
      <c r="L20" s="7" t="n">
        <v>0</v>
      </c>
      <c r="M20" s="41" t="n">
        <v>0</v>
      </c>
      <c r="N20" s="41" t="n">
        <v>0</v>
      </c>
      <c r="O20" s="41" t="n">
        <v>0</v>
      </c>
      <c r="P20" s="52" t="n"/>
      <c r="Q20" s="52" t="n"/>
      <c r="R20" s="52">
        <f>(J20+K20+L20+M20+N20+O20)*$B$2</f>
        <v/>
      </c>
      <c r="S20" s="36" t="n"/>
      <c r="T20" s="41" t="n"/>
    </row>
    <row r="21" ht="12.75" customHeight="1" s="251">
      <c r="A21" s="41" t="inlineStr">
        <is>
          <t>F16</t>
        </is>
      </c>
      <c r="B21" s="13" t="inlineStr">
        <is>
          <t>Sreeja Sudharma</t>
        </is>
      </c>
      <c r="C21" s="9" t="n">
        <v>0</v>
      </c>
      <c r="D21" s="41">
        <f>SUM($C$3:$C$5)/64</f>
        <v/>
      </c>
      <c r="E21" s="41">
        <f>C21+D21</f>
        <v/>
      </c>
      <c r="F21" s="79">
        <f>IF($C$70=0, 0, E21/$C$70)</f>
        <v/>
      </c>
      <c r="G21" s="41">
        <f>F21*$T$5</f>
        <v/>
      </c>
      <c r="H21" s="41" t="n">
        <v>3</v>
      </c>
      <c r="I21" s="41">
        <f>$T$7*H21</f>
        <v/>
      </c>
      <c r="J21" s="41">
        <f>G21+$T$9+I21</f>
        <v/>
      </c>
      <c r="K21" s="41">
        <f>$T$11/64</f>
        <v/>
      </c>
      <c r="L21" s="7" t="n">
        <v>0</v>
      </c>
      <c r="M21" s="41" t="n">
        <v>0</v>
      </c>
      <c r="N21" s="41" t="n">
        <v>0</v>
      </c>
      <c r="O21" s="41" t="n">
        <v>0</v>
      </c>
      <c r="P21" s="52" t="n"/>
      <c r="Q21" s="52" t="n"/>
      <c r="R21" s="52">
        <f>(J21+K21+L21+M21+N21+O21)*$B$2</f>
        <v/>
      </c>
      <c r="S21" s="36" t="n"/>
      <c r="T21" s="41" t="n"/>
    </row>
    <row r="22" ht="12.75" customHeight="1" s="251">
      <c r="A22" s="41" t="inlineStr">
        <is>
          <t>G1</t>
        </is>
      </c>
      <c r="B22" s="13" t="inlineStr">
        <is>
          <t>Venkataramanan C</t>
        </is>
      </c>
      <c r="C22" s="9" t="n">
        <v>0</v>
      </c>
      <c r="D22" s="41">
        <f>SUM($C$3:$C$5)/64</f>
        <v/>
      </c>
      <c r="E22" s="41">
        <f>C22+D22</f>
        <v/>
      </c>
      <c r="F22" s="79">
        <f>IF($C$70=0, 0, E22/$C$70)</f>
        <v/>
      </c>
      <c r="G22" s="41">
        <f>F22*$T$5</f>
        <v/>
      </c>
      <c r="H22" s="41" t="n">
        <v>3</v>
      </c>
      <c r="I22" s="41">
        <f>$T$7*H22</f>
        <v/>
      </c>
      <c r="J22" s="41">
        <f>G22+$T$9+I22</f>
        <v/>
      </c>
      <c r="K22" s="41">
        <f>$T$11/64</f>
        <v/>
      </c>
      <c r="L22" s="7" t="n">
        <v>0</v>
      </c>
      <c r="M22" s="41" t="n">
        <v>0</v>
      </c>
      <c r="N22" s="41" t="n">
        <v>0</v>
      </c>
      <c r="O22" s="41" t="n">
        <v>0</v>
      </c>
      <c r="P22" s="52" t="n"/>
      <c r="Q22" s="52" t="n"/>
      <c r="R22" s="52">
        <f>(J22+K22+L22+M22+N22+O22)*$B$2</f>
        <v/>
      </c>
      <c r="S22" s="36" t="n"/>
      <c r="T22" s="41" t="n"/>
    </row>
    <row r="23" ht="12.75" customHeight="1" s="251">
      <c r="A23" s="41" t="inlineStr">
        <is>
          <t>G2</t>
        </is>
      </c>
      <c r="B23" s="13" t="inlineStr">
        <is>
          <t>Kaushik Kasibhatla</t>
        </is>
      </c>
      <c r="C23" s="9" t="n">
        <v>0</v>
      </c>
      <c r="D23" s="41">
        <f>SUM($C$3:$C$5)/64</f>
        <v/>
      </c>
      <c r="E23" s="41">
        <f>C23+D23</f>
        <v/>
      </c>
      <c r="F23" s="79">
        <f>IF($C$70=0, 0, E23/$C$70)</f>
        <v/>
      </c>
      <c r="G23" s="41">
        <f>F23*$T$5</f>
        <v/>
      </c>
      <c r="H23" s="41" t="n">
        <v>4</v>
      </c>
      <c r="I23" s="41">
        <f>$T$7*H23</f>
        <v/>
      </c>
      <c r="J23" s="41">
        <f>G23+$T$9+I23</f>
        <v/>
      </c>
      <c r="K23" s="41">
        <f>$T$11/64</f>
        <v/>
      </c>
      <c r="L23" s="7" t="n">
        <v>0</v>
      </c>
      <c r="M23" s="41" t="n">
        <v>0</v>
      </c>
      <c r="N23" s="41" t="n">
        <v>0</v>
      </c>
      <c r="O23" s="41" t="n">
        <v>0</v>
      </c>
      <c r="P23" s="52" t="n"/>
      <c r="Q23" s="52" t="n"/>
      <c r="R23" s="52">
        <f>(J23+K23+L23+M23+N23+O23)*$B$2</f>
        <v/>
      </c>
      <c r="S23" s="36" t="n"/>
      <c r="T23" s="41" t="n"/>
    </row>
    <row r="24" ht="12.75" customHeight="1" s="251">
      <c r="A24" s="41" t="inlineStr">
        <is>
          <t>G3</t>
        </is>
      </c>
      <c r="B24" s="13" t="inlineStr">
        <is>
          <t>Balakrishnan</t>
        </is>
      </c>
      <c r="C24" s="9" t="n">
        <v>0</v>
      </c>
      <c r="D24" s="41">
        <f>SUM($C$3:$C$5)/64</f>
        <v/>
      </c>
      <c r="E24" s="41">
        <f>C24+D24</f>
        <v/>
      </c>
      <c r="F24" s="79">
        <f>IF($C$70=0, 0, E24/$C$70)</f>
        <v/>
      </c>
      <c r="G24" s="41">
        <f>F24*$T$5</f>
        <v/>
      </c>
      <c r="H24" s="41" t="n">
        <v>4</v>
      </c>
      <c r="I24" s="41">
        <f>$T$7*H24</f>
        <v/>
      </c>
      <c r="J24" s="41">
        <f>G24+$T$9+I24</f>
        <v/>
      </c>
      <c r="K24" s="41">
        <f>$T$11/64</f>
        <v/>
      </c>
      <c r="L24" s="7" t="n">
        <v>0</v>
      </c>
      <c r="M24" s="41" t="n">
        <v>0</v>
      </c>
      <c r="N24" s="41" t="n">
        <v>0</v>
      </c>
      <c r="O24" s="41" t="n">
        <v>0</v>
      </c>
      <c r="P24" s="52" t="n"/>
      <c r="Q24" s="52" t="n"/>
      <c r="R24" s="52">
        <f>(J24+K24+L24+M24+N24+O24)*$B$2</f>
        <v/>
      </c>
      <c r="S24" s="36" t="n"/>
      <c r="T24" s="41" t="n"/>
    </row>
    <row r="25" ht="12.75" customHeight="1" s="251">
      <c r="A25" s="41" t="inlineStr">
        <is>
          <t>G4</t>
        </is>
      </c>
      <c r="B25" s="13" t="inlineStr">
        <is>
          <t>Ashwin Pandith</t>
        </is>
      </c>
      <c r="C25" s="9" t="n">
        <v>0</v>
      </c>
      <c r="D25" s="41">
        <f>SUM($C$3:$C$5)/64</f>
        <v/>
      </c>
      <c r="E25" s="41">
        <f>C25+D25</f>
        <v/>
      </c>
      <c r="F25" s="79">
        <f>IF($C$70=0, 0, E25/$C$70)</f>
        <v/>
      </c>
      <c r="G25" s="41">
        <f>F25*$T$5</f>
        <v/>
      </c>
      <c r="H25" s="41" t="n">
        <v>4</v>
      </c>
      <c r="I25" s="41">
        <f>$T$7*H25</f>
        <v/>
      </c>
      <c r="J25" s="41">
        <f>G25+$T$9+I25</f>
        <v/>
      </c>
      <c r="K25" s="41">
        <f>$T$11/64</f>
        <v/>
      </c>
      <c r="L25" s="7" t="n">
        <v>0</v>
      </c>
      <c r="M25" s="41" t="n">
        <v>0</v>
      </c>
      <c r="N25" s="41" t="n">
        <v>0</v>
      </c>
      <c r="O25" s="41" t="n">
        <v>0</v>
      </c>
      <c r="P25" s="52" t="n"/>
      <c r="Q25" s="52" t="n"/>
      <c r="R25" s="52">
        <f>(J25+K25+L25+M25+N25+O25)*$B$2</f>
        <v/>
      </c>
      <c r="S25" s="36" t="n"/>
      <c r="T25" s="41" t="n"/>
    </row>
    <row r="26" ht="12.75" customHeight="1" s="251">
      <c r="A26" s="41" t="inlineStr">
        <is>
          <t>G5</t>
        </is>
      </c>
      <c r="B26" s="13" t="inlineStr">
        <is>
          <t>Mayank Phophaliya</t>
        </is>
      </c>
      <c r="C26" s="9" t="n">
        <v>0</v>
      </c>
      <c r="D26" s="41">
        <f>SUM($C$3:$C$5)/64</f>
        <v/>
      </c>
      <c r="E26" s="41">
        <f>C26+D26</f>
        <v/>
      </c>
      <c r="F26" s="79">
        <f>IF($C$70=0, 0, E26/$C$70)</f>
        <v/>
      </c>
      <c r="G26" s="41">
        <f>F26*$T$5</f>
        <v/>
      </c>
      <c r="H26" s="41" t="n">
        <v>3</v>
      </c>
      <c r="I26" s="41">
        <f>$T$7*H26</f>
        <v/>
      </c>
      <c r="J26" s="41">
        <f>G26+$T$9+I26</f>
        <v/>
      </c>
      <c r="K26" s="41">
        <f>$T$11/64</f>
        <v/>
      </c>
      <c r="L26" s="7" t="n">
        <v>0</v>
      </c>
      <c r="M26" s="41" t="n">
        <v>0</v>
      </c>
      <c r="N26" s="41" t="n">
        <v>0</v>
      </c>
      <c r="O26" s="41" t="n">
        <v>0</v>
      </c>
      <c r="P26" s="52" t="n"/>
      <c r="Q26" s="52" t="n"/>
      <c r="R26" s="52">
        <f>(J26+K26+L26+M26+N26+O26)*$B$2</f>
        <v/>
      </c>
      <c r="S26" s="36" t="n"/>
      <c r="T26" s="41" t="n"/>
    </row>
    <row r="27" ht="12.75" customHeight="1" s="251">
      <c r="A27" s="41" t="inlineStr">
        <is>
          <t>G6</t>
        </is>
      </c>
      <c r="B27" s="13" t="inlineStr">
        <is>
          <t>Mohit Daga</t>
        </is>
      </c>
      <c r="C27" s="9" t="n">
        <v>0</v>
      </c>
      <c r="D27" s="41">
        <f>SUM($C$3:$C$5)/64</f>
        <v/>
      </c>
      <c r="E27" s="41">
        <f>C27+D27</f>
        <v/>
      </c>
      <c r="F27" s="79">
        <f>IF($C$70=0, 0, E27/$C$70)</f>
        <v/>
      </c>
      <c r="G27" s="41">
        <f>F27*$T$5</f>
        <v/>
      </c>
      <c r="H27" s="41" t="n">
        <v>3</v>
      </c>
      <c r="I27" s="41">
        <f>$T$7*H27</f>
        <v/>
      </c>
      <c r="J27" s="41">
        <f>G27+$T$9+I27</f>
        <v/>
      </c>
      <c r="K27" s="41">
        <f>$T$11/64</f>
        <v/>
      </c>
      <c r="L27" s="7" t="n">
        <v>0</v>
      </c>
      <c r="M27" s="41" t="n">
        <v>0</v>
      </c>
      <c r="N27" s="41" t="n">
        <v>0</v>
      </c>
      <c r="O27" s="41" t="n">
        <v>0</v>
      </c>
      <c r="P27" s="52" t="n"/>
      <c r="Q27" s="52" t="n"/>
      <c r="R27" s="52">
        <f>(J27+K27+L27+M27+N27+O27)*$B$2</f>
        <v/>
      </c>
      <c r="S27" s="36" t="n"/>
      <c r="T27" s="41" t="n"/>
    </row>
    <row r="28" ht="12.75" customHeight="1" s="251">
      <c r="A28" s="41" t="inlineStr">
        <is>
          <t>G7</t>
        </is>
      </c>
      <c r="B28" s="13" t="inlineStr">
        <is>
          <t>Prince Richfield</t>
        </is>
      </c>
      <c r="C28" s="9" t="n">
        <v>0</v>
      </c>
      <c r="D28" s="41">
        <f>SUM($C$3:$C$5)/64</f>
        <v/>
      </c>
      <c r="E28" s="41">
        <f>C28+D28</f>
        <v/>
      </c>
      <c r="F28" s="79">
        <f>IF($C$70=0, 0, E28/$C$70)</f>
        <v/>
      </c>
      <c r="G28" s="41">
        <f>F28*$T$5</f>
        <v/>
      </c>
      <c r="H28" s="41" t="n">
        <v>3</v>
      </c>
      <c r="I28" s="41">
        <f>$T$7*H28</f>
        <v/>
      </c>
      <c r="J28" s="41">
        <f>G28+$T$9+I28</f>
        <v/>
      </c>
      <c r="K28" s="41">
        <f>$T$11/64</f>
        <v/>
      </c>
      <c r="L28" s="7" t="n">
        <v>0</v>
      </c>
      <c r="M28" s="41" t="n">
        <v>0</v>
      </c>
      <c r="N28" s="41" t="n">
        <v>0</v>
      </c>
      <c r="O28" s="41" t="n">
        <v>0</v>
      </c>
      <c r="P28" s="52" t="n"/>
      <c r="Q28" s="52" t="n"/>
      <c r="R28" s="52">
        <f>(J28+K28+L28+M28+N28+O28)*$B$2</f>
        <v/>
      </c>
      <c r="S28" s="36" t="n"/>
      <c r="T28" s="41" t="n"/>
    </row>
    <row r="29" ht="12.75" customHeight="1" s="251">
      <c r="A29" s="41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41">
        <f>SUM($C$3:$C$5)/64</f>
        <v/>
      </c>
      <c r="E29" s="41">
        <f>C29+D29</f>
        <v/>
      </c>
      <c r="F29" s="79">
        <f>IF($C$70=0, 0, E29/$C$70)</f>
        <v/>
      </c>
      <c r="G29" s="41">
        <f>F29*$T$5</f>
        <v/>
      </c>
      <c r="H29" s="41" t="n">
        <v>3</v>
      </c>
      <c r="I29" s="41">
        <f>$T$7*H29</f>
        <v/>
      </c>
      <c r="J29" s="41">
        <f>G29+$T$9+I29</f>
        <v/>
      </c>
      <c r="K29" s="41">
        <f>$T$11/64</f>
        <v/>
      </c>
      <c r="L29" s="7" t="n">
        <v>0</v>
      </c>
      <c r="M29" s="41" t="n">
        <v>0</v>
      </c>
      <c r="N29" s="41" t="n">
        <v>0</v>
      </c>
      <c r="O29" s="41" t="n">
        <v>0</v>
      </c>
      <c r="P29" s="52" t="n"/>
      <c r="Q29" s="52" t="n"/>
      <c r="R29" s="52">
        <f>(J29+K29+L29+M29+N29+O29)*$B$2</f>
        <v/>
      </c>
      <c r="S29" s="36" t="n"/>
      <c r="T29" s="41" t="n"/>
    </row>
    <row r="30" ht="12.75" customHeight="1" s="251">
      <c r="A30" s="41" t="inlineStr">
        <is>
          <t>G9</t>
        </is>
      </c>
      <c r="B30" s="13" t="inlineStr">
        <is>
          <t>Chandramouli</t>
        </is>
      </c>
      <c r="C30" s="9" t="n">
        <v>0</v>
      </c>
      <c r="D30" s="41">
        <f>SUM($C$3:$C$5)/64</f>
        <v/>
      </c>
      <c r="E30" s="41">
        <f>C30+D30</f>
        <v/>
      </c>
      <c r="F30" s="79">
        <f>IF($C$70=0, 0, E30/$C$70)</f>
        <v/>
      </c>
      <c r="G30" s="41">
        <f>F30*$T$5</f>
        <v/>
      </c>
      <c r="H30" s="41" t="n">
        <v>5</v>
      </c>
      <c r="I30" s="41">
        <f>$T$7*H30</f>
        <v/>
      </c>
      <c r="J30" s="41">
        <f>G30+$T$9+I30</f>
        <v/>
      </c>
      <c r="K30" s="41">
        <f>$T$11/64</f>
        <v/>
      </c>
      <c r="L30" s="7" t="n">
        <v>0</v>
      </c>
      <c r="M30" s="41" t="n">
        <v>0</v>
      </c>
      <c r="N30" s="41" t="n">
        <v>0</v>
      </c>
      <c r="O30" s="41" t="n">
        <v>0</v>
      </c>
      <c r="P30" s="52" t="n"/>
      <c r="Q30" s="52" t="n"/>
      <c r="R30" s="52">
        <f>(J30+K30+L30+M30+N30+O30)*$B$2</f>
        <v/>
      </c>
      <c r="S30" s="36" t="n"/>
      <c r="T30" s="41" t="n"/>
    </row>
    <row r="31" ht="12.75" customHeight="1" s="251">
      <c r="A31" s="41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41">
        <f>SUM($C$3:$C$5)/64</f>
        <v/>
      </c>
      <c r="E31" s="41">
        <f>C31+D31</f>
        <v/>
      </c>
      <c r="F31" s="79">
        <f>IF($C$70=0, 0, E31/$C$70)</f>
        <v/>
      </c>
      <c r="G31" s="41">
        <f>F31*$T$5</f>
        <v/>
      </c>
      <c r="H31" s="41" t="n">
        <v>3</v>
      </c>
      <c r="I31" s="41">
        <f>$T$7*H31</f>
        <v/>
      </c>
      <c r="J31" s="41">
        <f>G31+$T$9+I31</f>
        <v/>
      </c>
      <c r="K31" s="41">
        <f>$T$11/64</f>
        <v/>
      </c>
      <c r="L31" s="7" t="n">
        <v>0</v>
      </c>
      <c r="M31" s="41" t="n">
        <v>0</v>
      </c>
      <c r="N31" s="41" t="n">
        <v>0</v>
      </c>
      <c r="O31" s="41" t="n">
        <v>0</v>
      </c>
      <c r="P31" s="52" t="n"/>
      <c r="Q31" s="52" t="n"/>
      <c r="R31" s="52">
        <f>(J31+K31+L31+M31+N31+O31)*$B$2</f>
        <v/>
      </c>
      <c r="S31" s="36" t="n"/>
      <c r="T31" s="41" t="n"/>
    </row>
    <row r="32" ht="12.75" customHeight="1" s="251">
      <c r="A32" s="41" t="inlineStr">
        <is>
          <t>G11</t>
        </is>
      </c>
      <c r="B32" s="13" t="inlineStr">
        <is>
          <t>Ketan Verlekar</t>
        </is>
      </c>
      <c r="C32" s="9" t="n">
        <v>0</v>
      </c>
      <c r="D32" s="41">
        <f>SUM($C$3:$C$5)/64</f>
        <v/>
      </c>
      <c r="E32" s="41">
        <f>C32+D32</f>
        <v/>
      </c>
      <c r="F32" s="79">
        <f>IF($C$70=0, 0, E32/$C$70)</f>
        <v/>
      </c>
      <c r="G32" s="41">
        <f>F32*$T$5</f>
        <v/>
      </c>
      <c r="H32" s="41" t="n">
        <v>3</v>
      </c>
      <c r="I32" s="41">
        <f>$T$7*H32</f>
        <v/>
      </c>
      <c r="J32" s="41">
        <f>G32+$T$9+I32</f>
        <v/>
      </c>
      <c r="K32" s="41">
        <f>$T$11/64</f>
        <v/>
      </c>
      <c r="L32" s="7" t="n">
        <v>0</v>
      </c>
      <c r="M32" s="41" t="n">
        <v>0</v>
      </c>
      <c r="N32" s="41" t="n">
        <v>0</v>
      </c>
      <c r="O32" s="41" t="n">
        <v>0</v>
      </c>
      <c r="P32" s="52" t="n"/>
      <c r="Q32" s="52" t="n"/>
      <c r="R32" s="52">
        <f>(J32+K32+L32+M32+N32+O32)*$B$2</f>
        <v/>
      </c>
      <c r="S32" s="36" t="n"/>
      <c r="T32" s="41" t="n"/>
    </row>
    <row r="33" ht="12.75" customHeight="1" s="251">
      <c r="A33" s="41" t="inlineStr">
        <is>
          <t>G12</t>
        </is>
      </c>
      <c r="B33" s="13" t="inlineStr">
        <is>
          <t>Shyam Nair</t>
        </is>
      </c>
      <c r="C33" s="9" t="n">
        <v>0</v>
      </c>
      <c r="D33" s="41">
        <f>SUM($C$3:$C$5)/64</f>
        <v/>
      </c>
      <c r="E33" s="41">
        <f>C33+D33</f>
        <v/>
      </c>
      <c r="F33" s="79">
        <f>IF($C$70=0, 0, E33/$C$70)</f>
        <v/>
      </c>
      <c r="G33" s="41">
        <f>F33*$T$5</f>
        <v/>
      </c>
      <c r="H33" s="41" t="n">
        <v>3</v>
      </c>
      <c r="I33" s="41">
        <f>$T$7*H33</f>
        <v/>
      </c>
      <c r="J33" s="41">
        <f>G33+$T$9+I33</f>
        <v/>
      </c>
      <c r="K33" s="41">
        <f>$T$11/64</f>
        <v/>
      </c>
      <c r="L33" s="7" t="n">
        <v>0</v>
      </c>
      <c r="M33" s="41" t="n">
        <v>0</v>
      </c>
      <c r="N33" s="41" t="n">
        <v>0</v>
      </c>
      <c r="O33" s="41" t="n">
        <v>0</v>
      </c>
      <c r="P33" s="52" t="n"/>
      <c r="Q33" s="52" t="n"/>
      <c r="R33" s="52">
        <f>(J33+K33+L33+M33+N33+O33)*$B$2</f>
        <v/>
      </c>
      <c r="S33" s="36" t="n"/>
      <c r="T33" s="41" t="n"/>
    </row>
    <row r="34" ht="12.75" customHeight="1" s="251">
      <c r="A34" s="41" t="inlineStr">
        <is>
          <t>G13</t>
        </is>
      </c>
      <c r="B34" s="13" t="inlineStr">
        <is>
          <t>Ajai.B</t>
        </is>
      </c>
      <c r="C34" s="9" t="n">
        <v>0</v>
      </c>
      <c r="D34" s="41">
        <f>SUM($C$3:$C$5)/64</f>
        <v/>
      </c>
      <c r="E34" s="41">
        <f>C34+D34</f>
        <v/>
      </c>
      <c r="F34" s="79">
        <f>IF($C$70=0, 0, E34/$C$70)</f>
        <v/>
      </c>
      <c r="G34" s="41">
        <f>F34*$T$5</f>
        <v/>
      </c>
      <c r="H34" s="41" t="n">
        <v>4</v>
      </c>
      <c r="I34" s="41">
        <f>$T$7*H34</f>
        <v/>
      </c>
      <c r="J34" s="41">
        <f>G34+$T$9+I34</f>
        <v/>
      </c>
      <c r="K34" s="41">
        <f>$T$11/64</f>
        <v/>
      </c>
      <c r="L34" s="7" t="n">
        <v>0</v>
      </c>
      <c r="M34" s="41" t="n">
        <v>0</v>
      </c>
      <c r="N34" s="41" t="n">
        <v>0</v>
      </c>
      <c r="O34" s="41" t="n">
        <v>0</v>
      </c>
      <c r="P34" s="52" t="n"/>
      <c r="Q34" s="52" t="n"/>
      <c r="R34" s="52">
        <f>(J34+K34+L34+M34+N34+O34)*$B$2</f>
        <v/>
      </c>
      <c r="S34" s="36" t="n"/>
      <c r="T34" s="41" t="n"/>
    </row>
    <row r="35" ht="12.75" customHeight="1" s="251">
      <c r="A35" s="41" t="inlineStr">
        <is>
          <t>G14</t>
        </is>
      </c>
      <c r="B35" s="13" t="inlineStr">
        <is>
          <t>Surajit Borah</t>
        </is>
      </c>
      <c r="C35" s="9" t="n">
        <v>0</v>
      </c>
      <c r="D35" s="41">
        <f>SUM($C$3:$C$5)/64</f>
        <v/>
      </c>
      <c r="E35" s="41">
        <f>C35+D35</f>
        <v/>
      </c>
      <c r="F35" s="79">
        <f>IF($C$70=0, 0, E35/$C$70)</f>
        <v/>
      </c>
      <c r="G35" s="41">
        <f>F35*$T$5</f>
        <v/>
      </c>
      <c r="H35" s="41" t="n">
        <v>4</v>
      </c>
      <c r="I35" s="41">
        <f>$T$7*H35</f>
        <v/>
      </c>
      <c r="J35" s="41">
        <f>G35+$T$9+I35</f>
        <v/>
      </c>
      <c r="K35" s="41">
        <f>$T$11/64</f>
        <v/>
      </c>
      <c r="L35" s="7" t="n">
        <v>0</v>
      </c>
      <c r="M35" s="41" t="n">
        <v>0</v>
      </c>
      <c r="N35" s="41" t="n">
        <v>0</v>
      </c>
      <c r="O35" s="41" t="n">
        <v>0</v>
      </c>
      <c r="P35" s="52" t="n"/>
      <c r="Q35" s="52" t="n"/>
      <c r="R35" s="52">
        <f>(J35+K35+L35+M35+N35+O35)*$B$2</f>
        <v/>
      </c>
      <c r="S35" s="36" t="n"/>
      <c r="T35" s="41" t="n"/>
    </row>
    <row r="36" ht="12.75" customHeight="1" s="251">
      <c r="A36" s="41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41">
        <f>SUM($C$3:$C$5)/64</f>
        <v/>
      </c>
      <c r="E36" s="41">
        <f>C36+D36</f>
        <v/>
      </c>
      <c r="F36" s="79">
        <f>IF($C$70=0, 0, E36/$C$70)</f>
        <v/>
      </c>
      <c r="G36" s="41">
        <f>F36*$T$5</f>
        <v/>
      </c>
      <c r="H36" s="41" t="n">
        <v>4</v>
      </c>
      <c r="I36" s="41">
        <f>$T$7*H36</f>
        <v/>
      </c>
      <c r="J36" s="41">
        <f>G36+$T$9+I36</f>
        <v/>
      </c>
      <c r="K36" s="41">
        <f>$T$11/64</f>
        <v/>
      </c>
      <c r="L36" s="7" t="n">
        <v>0</v>
      </c>
      <c r="M36" s="41" t="n">
        <v>0</v>
      </c>
      <c r="N36" s="41" t="n">
        <v>0</v>
      </c>
      <c r="O36" s="41" t="n">
        <v>0</v>
      </c>
      <c r="P36" s="52" t="n"/>
      <c r="Q36" s="52" t="n"/>
      <c r="R36" s="52">
        <f>(J36+K36+L36+M36+N36+O36)*$B$2</f>
        <v/>
      </c>
      <c r="S36" s="36" t="n"/>
      <c r="T36" s="41" t="n"/>
    </row>
    <row r="37" ht="12.75" customHeight="1" s="251">
      <c r="A37" s="41" t="inlineStr">
        <is>
          <t>G16</t>
        </is>
      </c>
      <c r="B37" s="13" t="inlineStr">
        <is>
          <t>Praveen Ganesan</t>
        </is>
      </c>
      <c r="C37" s="9" t="n">
        <v>0</v>
      </c>
      <c r="D37" s="41">
        <f>SUM($C$3:$C$5)/64</f>
        <v/>
      </c>
      <c r="E37" s="41">
        <f>C37+D37</f>
        <v/>
      </c>
      <c r="F37" s="79">
        <f>IF($C$70=0, 0, E37/$C$70)</f>
        <v/>
      </c>
      <c r="G37" s="41">
        <f>F37*$T$5</f>
        <v/>
      </c>
      <c r="H37" s="41" t="n">
        <v>3</v>
      </c>
      <c r="I37" s="41">
        <f>$T$7*H37</f>
        <v/>
      </c>
      <c r="J37" s="41">
        <f>G37+$T$9+I37</f>
        <v/>
      </c>
      <c r="K37" s="41">
        <f>$T$11/64</f>
        <v/>
      </c>
      <c r="L37" s="7" t="n">
        <v>0</v>
      </c>
      <c r="M37" s="41" t="n">
        <v>0</v>
      </c>
      <c r="N37" s="41" t="n">
        <v>0</v>
      </c>
      <c r="O37" s="41" t="n">
        <v>0</v>
      </c>
      <c r="P37" s="52" t="n"/>
      <c r="Q37" s="52" t="n"/>
      <c r="R37" s="52">
        <f>(J37+K37+L37+M37+N37+O37)*$B$2</f>
        <v/>
      </c>
      <c r="S37" s="36" t="n"/>
      <c r="T37" s="41" t="n"/>
    </row>
    <row r="38" ht="12.75" customHeight="1" s="251">
      <c r="A38" s="41" t="inlineStr">
        <is>
          <t>S1</t>
        </is>
      </c>
      <c r="B38" s="13" t="inlineStr">
        <is>
          <t>S.N.Behera</t>
        </is>
      </c>
      <c r="C38" s="9" t="n">
        <v>0</v>
      </c>
      <c r="D38" s="41">
        <f>SUM($C$3:$C$5)/64</f>
        <v/>
      </c>
      <c r="E38" s="41">
        <f>C38+D38</f>
        <v/>
      </c>
      <c r="F38" s="79">
        <f>IF($C$70=0, 0, E38/$C$70)</f>
        <v/>
      </c>
      <c r="G38" s="41">
        <f>F38*$T$5</f>
        <v/>
      </c>
      <c r="H38" s="41" t="n">
        <v>3</v>
      </c>
      <c r="I38" s="41">
        <f>$T$7*H38</f>
        <v/>
      </c>
      <c r="J38" s="41">
        <f>G38+$T$9+I38</f>
        <v/>
      </c>
      <c r="K38" s="41">
        <f>$T$11/64</f>
        <v/>
      </c>
      <c r="L38" s="7" t="n">
        <v>0</v>
      </c>
      <c r="M38" s="41" t="n">
        <v>0</v>
      </c>
      <c r="N38" s="41" t="n">
        <v>0</v>
      </c>
      <c r="O38" s="41" t="n">
        <v>0</v>
      </c>
      <c r="P38" s="52" t="n"/>
      <c r="Q38" s="52" t="n"/>
      <c r="R38" s="52">
        <f>(J38+K38+L38+M38+N38+O38)*$B$2</f>
        <v/>
      </c>
      <c r="S38" s="36" t="n"/>
      <c r="T38" s="41" t="n"/>
    </row>
    <row r="39" ht="12.75" customHeight="1" s="251">
      <c r="A39" s="41" t="inlineStr">
        <is>
          <t>S2</t>
        </is>
      </c>
      <c r="B39" s="13" t="inlineStr">
        <is>
          <t>Sonal Singh</t>
        </is>
      </c>
      <c r="C39" s="9" t="n">
        <v>0</v>
      </c>
      <c r="D39" s="41">
        <f>SUM($C$3:$C$5)/64</f>
        <v/>
      </c>
      <c r="E39" s="41">
        <f>C39+D39</f>
        <v/>
      </c>
      <c r="F39" s="79">
        <f>IF($C$70=0, 0, E39/$C$70)</f>
        <v/>
      </c>
      <c r="G39" s="41">
        <f>F39*$T$5</f>
        <v/>
      </c>
      <c r="H39" s="41" t="n">
        <v>4</v>
      </c>
      <c r="I39" s="41">
        <f>$T$7*H39</f>
        <v/>
      </c>
      <c r="J39" s="41">
        <f>G39+$T$9+I39</f>
        <v/>
      </c>
      <c r="K39" s="41">
        <f>$T$11/64</f>
        <v/>
      </c>
      <c r="L39" s="7" t="n">
        <v>0</v>
      </c>
      <c r="M39" s="41" t="n">
        <v>0</v>
      </c>
      <c r="N39" s="41" t="n">
        <v>0</v>
      </c>
      <c r="O39" s="41" t="n">
        <v>0</v>
      </c>
      <c r="P39" s="52" t="n"/>
      <c r="Q39" s="52" t="n"/>
      <c r="R39" s="52">
        <f>(J39+K39+L39+M39+N39+O39)*$B$2</f>
        <v/>
      </c>
      <c r="S39" s="36" t="n"/>
      <c r="T39" s="41" t="n"/>
    </row>
    <row r="40" ht="12.75" customHeight="1" s="251">
      <c r="A40" s="41" t="inlineStr">
        <is>
          <t>S3</t>
        </is>
      </c>
      <c r="B40" s="13" t="inlineStr">
        <is>
          <t>Koteswararao</t>
        </is>
      </c>
      <c r="C40" s="9" t="n">
        <v>0</v>
      </c>
      <c r="D40" s="41">
        <f>SUM($C$3:$C$5)/64</f>
        <v/>
      </c>
      <c r="E40" s="41">
        <f>C40+D40</f>
        <v/>
      </c>
      <c r="F40" s="79">
        <f>IF($C$70=0, 0, E40/$C$70)</f>
        <v/>
      </c>
      <c r="G40" s="41">
        <f>F40*$T$5</f>
        <v/>
      </c>
      <c r="H40" s="41" t="n">
        <v>4</v>
      </c>
      <c r="I40" s="41">
        <f>$T$7*H40</f>
        <v/>
      </c>
      <c r="J40" s="41">
        <f>G40+$T$9+I40</f>
        <v/>
      </c>
      <c r="K40" s="41">
        <f>$T$11/64</f>
        <v/>
      </c>
      <c r="L40" s="7" t="n">
        <v>0</v>
      </c>
      <c r="M40" s="41" t="n">
        <v>0</v>
      </c>
      <c r="N40" s="41" t="n">
        <v>0</v>
      </c>
      <c r="O40" s="41" t="n">
        <v>0</v>
      </c>
      <c r="P40" s="52" t="n"/>
      <c r="Q40" s="52" t="n"/>
      <c r="R40" s="52">
        <f>(J40+K40+L40+M40+N40+O40)*$B$2</f>
        <v/>
      </c>
      <c r="S40" s="36" t="n"/>
      <c r="T40" s="41" t="n"/>
    </row>
    <row r="41" ht="12.75" customHeight="1" s="251">
      <c r="A41" s="41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41">
        <f>SUM($C$3:$C$5)/64</f>
        <v/>
      </c>
      <c r="E41" s="41">
        <f>C41+D41</f>
        <v/>
      </c>
      <c r="F41" s="79">
        <f>IF($C$70=0, 0, E41/$C$70)</f>
        <v/>
      </c>
      <c r="G41" s="41">
        <f>F41*$T$5</f>
        <v/>
      </c>
      <c r="H41" s="41" t="n">
        <v>3</v>
      </c>
      <c r="I41" s="41">
        <f>$T$7*H41</f>
        <v/>
      </c>
      <c r="J41" s="41">
        <f>G41+$T$9+I41</f>
        <v/>
      </c>
      <c r="K41" s="41">
        <f>$T$11/64</f>
        <v/>
      </c>
      <c r="L41" s="7" t="n">
        <v>0</v>
      </c>
      <c r="M41" s="41" t="n">
        <v>0</v>
      </c>
      <c r="N41" s="41" t="n">
        <v>0</v>
      </c>
      <c r="O41" s="41" t="n">
        <v>0</v>
      </c>
      <c r="P41" s="52" t="n"/>
      <c r="Q41" s="52" t="n"/>
      <c r="R41" s="52">
        <f>(J41+K41+L41+M41+N41+O41)*$B$2</f>
        <v/>
      </c>
      <c r="S41" s="36" t="n"/>
      <c r="T41" s="41" t="n"/>
    </row>
    <row r="42" ht="12.75" customHeight="1" s="251">
      <c r="A42" s="41" t="inlineStr">
        <is>
          <t>S5</t>
        </is>
      </c>
      <c r="B42" s="13" t="inlineStr">
        <is>
          <t>Abhishek Gopalakrishnan</t>
        </is>
      </c>
      <c r="C42" s="9" t="n">
        <v>0</v>
      </c>
      <c r="D42" s="41">
        <f>SUM($C$3:$C$5)/64</f>
        <v/>
      </c>
      <c r="E42" s="41">
        <f>C42+D42</f>
        <v/>
      </c>
      <c r="F42" s="79">
        <f>IF($C$70=0, 0, E42/$C$70)</f>
        <v/>
      </c>
      <c r="G42" s="41">
        <f>F42*$T$5</f>
        <v/>
      </c>
      <c r="H42" s="41" t="n">
        <v>3</v>
      </c>
      <c r="I42" s="41">
        <f>$T$7*H42</f>
        <v/>
      </c>
      <c r="J42" s="41">
        <f>G42+$T$9+I42</f>
        <v/>
      </c>
      <c r="K42" s="41">
        <f>$T$11/64</f>
        <v/>
      </c>
      <c r="L42" s="7" t="n">
        <v>0</v>
      </c>
      <c r="M42" s="41" t="n">
        <v>0</v>
      </c>
      <c r="N42" s="41" t="n">
        <v>0</v>
      </c>
      <c r="O42" s="41" t="n">
        <v>0</v>
      </c>
      <c r="P42" s="52" t="n"/>
      <c r="Q42" s="52" t="n"/>
      <c r="R42" s="52">
        <f>(J42+K42+L42+M42+N42+O42)*$B$2</f>
        <v/>
      </c>
      <c r="S42" s="36" t="n"/>
      <c r="T42" s="41" t="n"/>
    </row>
    <row r="43" ht="12.75" customHeight="1" s="251">
      <c r="A43" s="41" t="inlineStr">
        <is>
          <t>S6</t>
        </is>
      </c>
      <c r="B43" s="30" t="inlineStr">
        <is>
          <t>Vivek Dhingra / Pratyush Das</t>
        </is>
      </c>
      <c r="C43" s="9" t="n">
        <v>0</v>
      </c>
      <c r="D43" s="41">
        <f>SUM($C$3:$C$5)/64</f>
        <v/>
      </c>
      <c r="E43" s="41">
        <f>C43+D43</f>
        <v/>
      </c>
      <c r="F43" s="79">
        <f>IF($C$70=0, 0, E43/$C$70)</f>
        <v/>
      </c>
      <c r="G43" s="41">
        <f>F43*$T$5</f>
        <v/>
      </c>
      <c r="H43" s="41" t="n">
        <v>3</v>
      </c>
      <c r="I43" s="41">
        <f>$T$7*H43</f>
        <v/>
      </c>
      <c r="J43" s="41">
        <f>G43+$T$9+I43</f>
        <v/>
      </c>
      <c r="K43" s="41">
        <f>$T$11/64</f>
        <v/>
      </c>
      <c r="L43" s="7" t="n">
        <v>0</v>
      </c>
      <c r="M43" s="41" t="n">
        <v>0</v>
      </c>
      <c r="N43" s="41" t="n">
        <v>0</v>
      </c>
      <c r="O43" s="41" t="n">
        <v>0</v>
      </c>
      <c r="P43" s="52" t="n"/>
      <c r="Q43" s="52" t="n"/>
      <c r="R43" s="52">
        <f>(J43+K43+L43+M43+N43+O43)*$B$2</f>
        <v/>
      </c>
      <c r="S43" s="36" t="n"/>
      <c r="T43" s="41" t="n"/>
    </row>
    <row r="44" ht="12.75" customHeight="1" s="251">
      <c r="A44" s="41" t="inlineStr">
        <is>
          <t>S7</t>
        </is>
      </c>
      <c r="B44" s="13" t="inlineStr">
        <is>
          <t>Harish B</t>
        </is>
      </c>
      <c r="C44" s="9" t="n">
        <v>0</v>
      </c>
      <c r="D44" s="41">
        <f>SUM($C$3:$C$5)/64</f>
        <v/>
      </c>
      <c r="E44" s="41">
        <f>C44+D44</f>
        <v/>
      </c>
      <c r="F44" s="79">
        <f>IF($C$70=0, 0, E44/$C$70)</f>
        <v/>
      </c>
      <c r="G44" s="41">
        <f>F44*$T$5</f>
        <v/>
      </c>
      <c r="H44" s="41" t="n">
        <v>3</v>
      </c>
      <c r="I44" s="41">
        <f>$T$7*H44</f>
        <v/>
      </c>
      <c r="J44" s="41">
        <f>G44+$T$9+I44</f>
        <v/>
      </c>
      <c r="K44" s="41">
        <f>$T$11/64</f>
        <v/>
      </c>
      <c r="L44" s="7" t="n">
        <v>0</v>
      </c>
      <c r="M44" s="41" t="n">
        <v>0</v>
      </c>
      <c r="N44" s="41" t="n">
        <v>0</v>
      </c>
      <c r="O44" s="41" t="n">
        <v>0</v>
      </c>
      <c r="P44" s="52" t="n"/>
      <c r="Q44" s="52" t="n"/>
      <c r="R44" s="52">
        <f>(J44+K44+L44+M44+N44+O44)*$B$2</f>
        <v/>
      </c>
      <c r="S44" s="36" t="n"/>
      <c r="T44" s="41" t="n"/>
    </row>
    <row r="45" ht="12.75" customHeight="1" s="251">
      <c r="A45" s="41" t="inlineStr">
        <is>
          <t>S8</t>
        </is>
      </c>
      <c r="B45" s="13" t="inlineStr">
        <is>
          <t>Irudayaraj Alwin</t>
        </is>
      </c>
      <c r="C45" s="9" t="n">
        <v>0</v>
      </c>
      <c r="D45" s="41">
        <f>SUM($C$3:$C$5)/64</f>
        <v/>
      </c>
      <c r="E45" s="41">
        <f>C45+D45</f>
        <v/>
      </c>
      <c r="F45" s="79">
        <f>IF($C$70=0, 0, E45/$C$70)</f>
        <v/>
      </c>
      <c r="G45" s="41">
        <f>F45*$T$5</f>
        <v/>
      </c>
      <c r="H45" s="41" t="n">
        <v>3</v>
      </c>
      <c r="I45" s="41">
        <f>$T$7*H45</f>
        <v/>
      </c>
      <c r="J45" s="41">
        <f>G45+$T$9+I45</f>
        <v/>
      </c>
      <c r="K45" s="41">
        <f>$T$11/64</f>
        <v/>
      </c>
      <c r="L45" s="7" t="n">
        <v>0</v>
      </c>
      <c r="M45" s="41" t="n">
        <v>0</v>
      </c>
      <c r="N45" s="41" t="n">
        <v>0</v>
      </c>
      <c r="O45" s="41" t="n">
        <v>0</v>
      </c>
      <c r="P45" s="52" t="n"/>
      <c r="Q45" s="52" t="n"/>
      <c r="R45" s="52">
        <f>(J45+K45+L45+M45+N45+O45)*$B$2</f>
        <v/>
      </c>
      <c r="S45" s="36" t="n"/>
      <c r="T45" s="41" t="n"/>
    </row>
    <row r="46" ht="12.75" customHeight="1" s="251">
      <c r="A46" s="41" t="inlineStr">
        <is>
          <t>S9</t>
        </is>
      </c>
      <c r="B46" s="13" t="inlineStr">
        <is>
          <t>Pawan GS</t>
        </is>
      </c>
      <c r="C46" s="9" t="n">
        <v>0</v>
      </c>
      <c r="D46" s="41">
        <f>SUM($C$3:$C$5)/64</f>
        <v/>
      </c>
      <c r="E46" s="41">
        <f>C46+D46</f>
        <v/>
      </c>
      <c r="F46" s="79">
        <f>IF($C$70=0, 0, E46/$C$70)</f>
        <v/>
      </c>
      <c r="G46" s="41">
        <f>F46*$T$5</f>
        <v/>
      </c>
      <c r="H46" s="41" t="n">
        <v>4</v>
      </c>
      <c r="I46" s="41">
        <f>$T$7*H46</f>
        <v/>
      </c>
      <c r="J46" s="41">
        <f>G46+$T$9+I46</f>
        <v/>
      </c>
      <c r="K46" s="41">
        <f>$T$11/64</f>
        <v/>
      </c>
      <c r="L46" s="7" t="n">
        <v>0</v>
      </c>
      <c r="M46" s="41" t="n">
        <v>0</v>
      </c>
      <c r="N46" s="41" t="n">
        <v>0</v>
      </c>
      <c r="O46" s="41" t="n">
        <v>0</v>
      </c>
      <c r="P46" s="52" t="n"/>
      <c r="Q46" s="52" t="n"/>
      <c r="R46" s="52">
        <f>(J46+K46+L46+M46+N46+O46)*$B$2</f>
        <v/>
      </c>
      <c r="S46" s="36" t="n"/>
      <c r="T46" s="41" t="n"/>
    </row>
    <row r="47" ht="12.75" customHeight="1" s="251">
      <c r="A47" s="41" t="inlineStr">
        <is>
          <t>S10</t>
        </is>
      </c>
      <c r="B47" s="13" t="inlineStr">
        <is>
          <t>Lakshmikanth</t>
        </is>
      </c>
      <c r="C47" s="9" t="n">
        <v>0</v>
      </c>
      <c r="D47" s="41">
        <f>SUM($C$3:$C$5)/64</f>
        <v/>
      </c>
      <c r="E47" s="41">
        <f>C47+D47</f>
        <v/>
      </c>
      <c r="F47" s="79">
        <f>IF($C$70=0, 0, E47/$C$70)</f>
        <v/>
      </c>
      <c r="G47" s="41">
        <f>F47*$T$5</f>
        <v/>
      </c>
      <c r="H47" s="41" t="n">
        <v>3</v>
      </c>
      <c r="I47" s="41">
        <f>$T$7*H47</f>
        <v/>
      </c>
      <c r="J47" s="41">
        <f>G47+$T$9+I47</f>
        <v/>
      </c>
      <c r="K47" s="41">
        <f>$T$11/64</f>
        <v/>
      </c>
      <c r="L47" s="7" t="n">
        <v>0</v>
      </c>
      <c r="M47" s="41" t="n">
        <v>0</v>
      </c>
      <c r="N47" s="41" t="n">
        <v>0</v>
      </c>
      <c r="O47" s="41" t="n">
        <v>0</v>
      </c>
      <c r="P47" s="52" t="n"/>
      <c r="Q47" s="52" t="n"/>
      <c r="R47" s="52">
        <f>(J47+K47+L47+M47+N47+O47)*$B$2</f>
        <v/>
      </c>
      <c r="S47" s="36" t="n"/>
      <c r="T47" s="41" t="n"/>
    </row>
    <row r="48" ht="12.75" customHeight="1" s="251">
      <c r="A48" s="41" t="inlineStr">
        <is>
          <t>S11</t>
        </is>
      </c>
      <c r="B48" s="13" t="inlineStr">
        <is>
          <t>Gowrish Patnaik / Somananth GM</t>
        </is>
      </c>
      <c r="C48" s="9" t="n">
        <v>0</v>
      </c>
      <c r="D48" s="41">
        <f>SUM($C$3:$C$5)/64</f>
        <v/>
      </c>
      <c r="E48" s="41">
        <f>C48+D48</f>
        <v/>
      </c>
      <c r="F48" s="79">
        <f>IF($C$70=0, 0, E48/$C$70)</f>
        <v/>
      </c>
      <c r="G48" s="41">
        <f>F48*$T$5</f>
        <v/>
      </c>
      <c r="H48" s="41" t="n">
        <v>3</v>
      </c>
      <c r="I48" s="41">
        <f>$T$7*H48</f>
        <v/>
      </c>
      <c r="J48" s="41">
        <f>G48+$T$9+I48</f>
        <v/>
      </c>
      <c r="K48" s="41">
        <f>$T$11/64</f>
        <v/>
      </c>
      <c r="L48" s="7" t="n">
        <v>0</v>
      </c>
      <c r="M48" s="41" t="n">
        <v>0</v>
      </c>
      <c r="N48" s="41" t="n">
        <v>0</v>
      </c>
      <c r="O48" s="41" t="n">
        <v>0</v>
      </c>
      <c r="P48" s="52" t="n"/>
      <c r="Q48" s="52" t="n"/>
      <c r="R48" s="52">
        <f>(J48+K48+L48+M48+N48+O48)*$B$2</f>
        <v/>
      </c>
      <c r="S48" s="36" t="n"/>
      <c r="T48" s="41" t="n"/>
    </row>
    <row r="49" ht="12.75" customHeight="1" s="251">
      <c r="A49" s="41" t="inlineStr">
        <is>
          <t>S12</t>
        </is>
      </c>
      <c r="B49" s="13" t="inlineStr">
        <is>
          <t>Saovik Mondal</t>
        </is>
      </c>
      <c r="C49" s="9" t="n">
        <v>0</v>
      </c>
      <c r="D49" s="41">
        <f>SUM($C$3:$C$5)/64</f>
        <v/>
      </c>
      <c r="E49" s="41">
        <f>C49+D49</f>
        <v/>
      </c>
      <c r="F49" s="79">
        <f>IF($C$70=0, 0, E49/$C$70)</f>
        <v/>
      </c>
      <c r="G49" s="41">
        <f>F49*$T$5</f>
        <v/>
      </c>
      <c r="H49" s="41" t="n">
        <v>3</v>
      </c>
      <c r="I49" s="41">
        <f>$T$7*H49</f>
        <v/>
      </c>
      <c r="J49" s="41">
        <f>G49+$T$9+I49</f>
        <v/>
      </c>
      <c r="K49" s="41">
        <f>$T$11/64</f>
        <v/>
      </c>
      <c r="L49" s="7" t="n">
        <v>0</v>
      </c>
      <c r="M49" s="41" t="n">
        <v>0</v>
      </c>
      <c r="N49" s="41" t="n">
        <v>0</v>
      </c>
      <c r="O49" s="41" t="n">
        <v>0</v>
      </c>
      <c r="P49" s="52" t="n"/>
      <c r="Q49" s="52" t="n"/>
      <c r="R49" s="52">
        <f>(J49+K49+L49+M49+N49+O49)*$B$2</f>
        <v/>
      </c>
      <c r="S49" s="36" t="n"/>
      <c r="T49" s="41" t="n"/>
    </row>
    <row r="50" ht="12.75" customHeight="1" s="251">
      <c r="A50" s="41" t="inlineStr">
        <is>
          <t>S13</t>
        </is>
      </c>
      <c r="B50" s="13" t="inlineStr">
        <is>
          <t>Ramadevi S.</t>
        </is>
      </c>
      <c r="C50" s="9" t="n">
        <v>0</v>
      </c>
      <c r="D50" s="41">
        <f>SUM($C$3:$C$5)/64</f>
        <v/>
      </c>
      <c r="E50" s="41">
        <f>C50+D50</f>
        <v/>
      </c>
      <c r="F50" s="79">
        <f>IF($C$70=0, 0, E50/$C$70)</f>
        <v/>
      </c>
      <c r="G50" s="41">
        <f>F50*$T$5</f>
        <v/>
      </c>
      <c r="H50" s="41" t="n">
        <v>4</v>
      </c>
      <c r="I50" s="41">
        <f>$T$7*H50</f>
        <v/>
      </c>
      <c r="J50" s="41">
        <f>G50+$T$9+I50</f>
        <v/>
      </c>
      <c r="K50" s="41">
        <f>$T$11/64</f>
        <v/>
      </c>
      <c r="L50" s="7" t="n">
        <v>0</v>
      </c>
      <c r="M50" s="41" t="n">
        <v>0</v>
      </c>
      <c r="N50" s="41" t="n">
        <v>0</v>
      </c>
      <c r="O50" s="41" t="n">
        <v>0</v>
      </c>
      <c r="P50" s="52" t="n"/>
      <c r="Q50" s="52" t="n"/>
      <c r="R50" s="52">
        <f>(J50+K50+L50+M50+N50+O50)*$B$2</f>
        <v/>
      </c>
      <c r="S50" s="36" t="n"/>
      <c r="T50" s="41" t="n"/>
    </row>
    <row r="51" ht="12.75" customHeight="1" s="251">
      <c r="A51" s="41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41">
        <f>SUM($C$3:$C$5)/64</f>
        <v/>
      </c>
      <c r="E51" s="41">
        <f>C51+D51</f>
        <v/>
      </c>
      <c r="F51" s="79">
        <f>IF($C$70=0, 0, E51/$C$70)</f>
        <v/>
      </c>
      <c r="G51" s="41">
        <f>F51*$T$5</f>
        <v/>
      </c>
      <c r="H51" s="41" t="n">
        <v>4</v>
      </c>
      <c r="I51" s="41">
        <f>$T$7*H51</f>
        <v/>
      </c>
      <c r="J51" s="41">
        <f>G51+$T$9+I51</f>
        <v/>
      </c>
      <c r="K51" s="41">
        <f>$T$11/64</f>
        <v/>
      </c>
      <c r="L51" s="7" t="n">
        <v>0</v>
      </c>
      <c r="M51" s="41" t="n">
        <v>0</v>
      </c>
      <c r="N51" s="41" t="n">
        <v>0</v>
      </c>
      <c r="O51" s="41" t="n">
        <v>0</v>
      </c>
      <c r="P51" s="52" t="n"/>
      <c r="Q51" s="52" t="n"/>
      <c r="R51" s="52">
        <f>(J51+K51+L51+M51+N51+O51)*$B$2</f>
        <v/>
      </c>
      <c r="S51" s="36" t="n"/>
      <c r="T51" s="41" t="n"/>
    </row>
    <row r="52" ht="12.75" customHeight="1" s="251">
      <c r="A52" s="41" t="inlineStr">
        <is>
          <t>S15</t>
        </is>
      </c>
      <c r="B52" s="13" t="inlineStr">
        <is>
          <t>Manas Dasgupta</t>
        </is>
      </c>
      <c r="C52" s="9" t="n">
        <v>0</v>
      </c>
      <c r="D52" s="41">
        <f>SUM($C$3:$C$5)/64</f>
        <v/>
      </c>
      <c r="E52" s="41">
        <f>C52+D52</f>
        <v/>
      </c>
      <c r="F52" s="79">
        <f>IF($C$70=0, 0, E52/$C$70)</f>
        <v/>
      </c>
      <c r="G52" s="41">
        <f>F52*$T$5</f>
        <v/>
      </c>
      <c r="H52" s="41" t="n">
        <v>4</v>
      </c>
      <c r="I52" s="41">
        <f>$T$7*H52</f>
        <v/>
      </c>
      <c r="J52" s="41">
        <f>G52+$T$9+I52</f>
        <v/>
      </c>
      <c r="K52" s="41">
        <f>$T$11/64</f>
        <v/>
      </c>
      <c r="L52" s="7" t="n">
        <v>0</v>
      </c>
      <c r="M52" s="41" t="n">
        <v>0</v>
      </c>
      <c r="N52" s="41" t="n">
        <v>0</v>
      </c>
      <c r="O52" s="41" t="n">
        <v>0</v>
      </c>
      <c r="P52" s="52" t="n"/>
      <c r="Q52" s="52" t="n"/>
      <c r="R52" s="52">
        <f>(J52+K52+L52+M52+N52+O52)*$B$2</f>
        <v/>
      </c>
      <c r="S52" s="36" t="n"/>
      <c r="T52" s="41" t="n"/>
    </row>
    <row r="53" ht="12.75" customHeight="1" s="251">
      <c r="A53" s="41" t="inlineStr">
        <is>
          <t>S16</t>
        </is>
      </c>
      <c r="B53" s="13" t="inlineStr">
        <is>
          <t>Devendra Singh Rawat / Nancy</t>
        </is>
      </c>
      <c r="C53" s="9" t="n">
        <v>0</v>
      </c>
      <c r="D53" s="41">
        <f>SUM($C$3:$C$5)/64</f>
        <v/>
      </c>
      <c r="E53" s="41">
        <f>C53+D53</f>
        <v/>
      </c>
      <c r="F53" s="79">
        <f>IF($C$70=0, 0, E53/$C$70)</f>
        <v/>
      </c>
      <c r="G53" s="41">
        <f>F53*$T$5</f>
        <v/>
      </c>
      <c r="H53" s="41" t="n">
        <v>3</v>
      </c>
      <c r="I53" s="41">
        <f>$T$7*H53</f>
        <v/>
      </c>
      <c r="J53" s="41">
        <f>G53+$T$9+I53</f>
        <v/>
      </c>
      <c r="K53" s="41">
        <f>$T$11/64</f>
        <v/>
      </c>
      <c r="L53" s="7" t="n">
        <v>0</v>
      </c>
      <c r="M53" s="41" t="n">
        <v>0</v>
      </c>
      <c r="N53" s="41" t="n">
        <v>0</v>
      </c>
      <c r="O53" s="41" t="n">
        <v>0</v>
      </c>
      <c r="P53" s="52" t="n"/>
      <c r="Q53" s="52" t="n"/>
      <c r="R53" s="52">
        <f>(J53+K53+L53+M53+N53+O53)*$B$2</f>
        <v/>
      </c>
      <c r="S53" s="36" t="n"/>
      <c r="T53" s="41" t="n"/>
    </row>
    <row r="54" ht="12.75" customHeight="1" s="251">
      <c r="A54" s="41" t="inlineStr">
        <is>
          <t>T1</t>
        </is>
      </c>
      <c r="B54" s="13" t="inlineStr">
        <is>
          <t>Prashant Sikdar</t>
        </is>
      </c>
      <c r="C54" s="9" t="n">
        <v>0</v>
      </c>
      <c r="D54" s="41">
        <f>SUM($C$3:$C$5)/64</f>
        <v/>
      </c>
      <c r="E54" s="41">
        <f>C54+D54</f>
        <v/>
      </c>
      <c r="F54" s="79">
        <f>IF($C$70=0, 0, E54/$C$70)</f>
        <v/>
      </c>
      <c r="G54" s="41">
        <f>F54*$T$5</f>
        <v/>
      </c>
      <c r="H54" s="41" t="n">
        <v>3</v>
      </c>
      <c r="I54" s="41">
        <f>$T$7*H54</f>
        <v/>
      </c>
      <c r="J54" s="41">
        <f>G54+$T$9+I54</f>
        <v/>
      </c>
      <c r="K54" s="41">
        <f>$T$11/64</f>
        <v/>
      </c>
      <c r="L54" s="7" t="n">
        <v>0</v>
      </c>
      <c r="M54" s="41" t="n">
        <v>0</v>
      </c>
      <c r="N54" s="41" t="n">
        <v>0</v>
      </c>
      <c r="O54" s="41" t="n">
        <v>0</v>
      </c>
      <c r="P54" s="52" t="n"/>
      <c r="Q54" s="52" t="n"/>
      <c r="R54" s="52">
        <f>(J54+K54+L54+M54+N54+O54)*$B$2</f>
        <v/>
      </c>
      <c r="S54" s="36" t="n"/>
      <c r="T54" s="41" t="n"/>
    </row>
    <row r="55" ht="12.75" customHeight="1" s="251">
      <c r="A55" s="41" t="inlineStr">
        <is>
          <t>T2</t>
        </is>
      </c>
      <c r="B55" s="13" t="inlineStr">
        <is>
          <t>Kunal Mehta</t>
        </is>
      </c>
      <c r="C55" s="9" t="n">
        <v>0</v>
      </c>
      <c r="D55" s="41">
        <f>SUM($C$3:$C$5)/64</f>
        <v/>
      </c>
      <c r="E55" s="41">
        <f>C55+D55</f>
        <v/>
      </c>
      <c r="F55" s="79">
        <f>IF($C$70=0, 0, E55/$C$70)</f>
        <v/>
      </c>
      <c r="G55" s="41">
        <f>F55*$T$5</f>
        <v/>
      </c>
      <c r="H55" s="41" t="n">
        <v>4</v>
      </c>
      <c r="I55" s="41">
        <f>$T$7*H55</f>
        <v/>
      </c>
      <c r="J55" s="41">
        <f>G55+$T$9+I55</f>
        <v/>
      </c>
      <c r="K55" s="41">
        <f>$T$11/64</f>
        <v/>
      </c>
      <c r="L55" s="7" t="n">
        <v>0</v>
      </c>
      <c r="M55" s="41" t="n">
        <v>0</v>
      </c>
      <c r="N55" s="41" t="n">
        <v>0</v>
      </c>
      <c r="O55" s="41" t="n">
        <v>0</v>
      </c>
      <c r="P55" s="52" t="n"/>
      <c r="Q55" s="52" t="n"/>
      <c r="R55" s="52">
        <f>(J55+K55+L55+M55+N55+O55)*$B$2</f>
        <v/>
      </c>
      <c r="S55" s="36" t="n"/>
      <c r="T55" s="41" t="n"/>
    </row>
    <row r="56" ht="12.75" customHeight="1" s="251">
      <c r="A56" s="41" t="inlineStr">
        <is>
          <t>T3</t>
        </is>
      </c>
      <c r="B56" s="13" t="inlineStr">
        <is>
          <t>Kapil Garg</t>
        </is>
      </c>
      <c r="C56" s="9" t="n">
        <v>0</v>
      </c>
      <c r="D56" s="41">
        <f>SUM($C$3:$C$5)/64</f>
        <v/>
      </c>
      <c r="E56" s="41">
        <f>C56+D56</f>
        <v/>
      </c>
      <c r="F56" s="79">
        <f>IF($C$70=0, 0, E56/$C$70)</f>
        <v/>
      </c>
      <c r="G56" s="41">
        <f>F56*$T$5</f>
        <v/>
      </c>
      <c r="H56" s="41" t="n">
        <v>4</v>
      </c>
      <c r="I56" s="41">
        <f>$T$7*H56</f>
        <v/>
      </c>
      <c r="J56" s="41">
        <f>G56+$T$9+I56</f>
        <v/>
      </c>
      <c r="K56" s="41">
        <f>$T$11/64</f>
        <v/>
      </c>
      <c r="L56" s="7" t="n">
        <v>0</v>
      </c>
      <c r="M56" s="41" t="n">
        <v>0</v>
      </c>
      <c r="N56" s="41" t="n">
        <v>0</v>
      </c>
      <c r="O56" s="41" t="n">
        <v>0</v>
      </c>
      <c r="P56" s="52" t="n"/>
      <c r="Q56" s="52" t="n"/>
      <c r="R56" s="52">
        <f>(J56+K56+L56+M56+N56+O56)*$B$2</f>
        <v/>
      </c>
      <c r="S56" s="36" t="n"/>
      <c r="T56" s="41" t="n"/>
    </row>
    <row r="57" ht="12.75" customHeight="1" s="251">
      <c r="A57" s="41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41">
        <f>SUM($C$3:$C$5)/64</f>
        <v/>
      </c>
      <c r="E57" s="41">
        <f>C57+D57</f>
        <v/>
      </c>
      <c r="F57" s="79">
        <f>IF($C$70=0, 0, E57/$C$70)</f>
        <v/>
      </c>
      <c r="G57" s="41">
        <f>F57*$T$5</f>
        <v/>
      </c>
      <c r="H57" s="41" t="n">
        <v>4</v>
      </c>
      <c r="I57" s="41">
        <f>$T$7*H57</f>
        <v/>
      </c>
      <c r="J57" s="41">
        <f>G57+$T$9+I57</f>
        <v/>
      </c>
      <c r="K57" s="41">
        <f>$T$11/64</f>
        <v/>
      </c>
      <c r="L57" s="7" t="n">
        <v>0</v>
      </c>
      <c r="M57" s="41" t="n">
        <v>0</v>
      </c>
      <c r="N57" s="41" t="n">
        <v>0</v>
      </c>
      <c r="O57" s="41" t="n">
        <v>0</v>
      </c>
      <c r="P57" s="52" t="n"/>
      <c r="Q57" s="52" t="n"/>
      <c r="R57" s="52">
        <f>(J57+K57+L57+M57+N57+O57)*$B$2</f>
        <v/>
      </c>
      <c r="S57" s="36" t="n"/>
      <c r="T57" s="41" t="n"/>
    </row>
    <row r="58" ht="12.75" customHeight="1" s="251">
      <c r="A58" s="41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41">
        <f>SUM($C$3:$C$5)/64</f>
        <v/>
      </c>
      <c r="E58" s="41">
        <f>C58+D58</f>
        <v/>
      </c>
      <c r="F58" s="79">
        <f>IF($C$70=0, 0, E58/$C$70)</f>
        <v/>
      </c>
      <c r="G58" s="41">
        <f>F58*$T$5</f>
        <v/>
      </c>
      <c r="H58" s="41" t="n">
        <v>3</v>
      </c>
      <c r="I58" s="41">
        <f>$T$7*H58</f>
        <v/>
      </c>
      <c r="J58" s="41">
        <f>G58+$T$9+I58</f>
        <v/>
      </c>
      <c r="K58" s="41">
        <f>$T$11/64</f>
        <v/>
      </c>
      <c r="L58" s="7" t="n">
        <v>0</v>
      </c>
      <c r="M58" s="41" t="n">
        <v>0</v>
      </c>
      <c r="N58" s="41" t="n">
        <v>0</v>
      </c>
      <c r="O58" s="41" t="n">
        <v>0</v>
      </c>
      <c r="P58" s="52" t="n"/>
      <c r="Q58" s="52" t="n"/>
      <c r="R58" s="52">
        <f>(J58+K58+L58+M58+N58+O58)*$B$2</f>
        <v/>
      </c>
      <c r="S58" s="36" t="n"/>
      <c r="T58" s="41" t="n"/>
    </row>
    <row r="59" ht="12.75" customHeight="1" s="251">
      <c r="A59" s="41" t="inlineStr">
        <is>
          <t>T6</t>
        </is>
      </c>
      <c r="B59" s="13" t="inlineStr">
        <is>
          <t>Mythili Ramesh</t>
        </is>
      </c>
      <c r="C59" s="9" t="n">
        <v>0</v>
      </c>
      <c r="D59" s="41">
        <f>SUM($C$3:$C$5)/64</f>
        <v/>
      </c>
      <c r="E59" s="41">
        <f>C59+D59</f>
        <v/>
      </c>
      <c r="F59" s="79">
        <f>IF($C$70=0, 0, E59/$C$70)</f>
        <v/>
      </c>
      <c r="G59" s="41">
        <f>F59*$T$5</f>
        <v/>
      </c>
      <c r="H59" s="41" t="n">
        <v>3</v>
      </c>
      <c r="I59" s="41">
        <f>$T$7*H59</f>
        <v/>
      </c>
      <c r="J59" s="41">
        <f>G59+$T$9+I59</f>
        <v/>
      </c>
      <c r="K59" s="41">
        <f>$T$11/64</f>
        <v/>
      </c>
      <c r="L59" s="7" t="n">
        <v>0</v>
      </c>
      <c r="M59" s="41" t="n">
        <v>0</v>
      </c>
      <c r="N59" s="41" t="n">
        <v>0</v>
      </c>
      <c r="O59" s="41" t="n">
        <v>0</v>
      </c>
      <c r="P59" s="52" t="n"/>
      <c r="Q59" s="52" t="n"/>
      <c r="R59" s="52">
        <f>(J59+K59+L59+M59+N59+O59)*$B$2</f>
        <v/>
      </c>
      <c r="S59" s="36" t="n"/>
      <c r="T59" s="41" t="n"/>
    </row>
    <row r="60" ht="12.75" customHeight="1" s="251">
      <c r="A60" s="41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41">
        <f>SUM($C$3:$C$5)/64</f>
        <v/>
      </c>
      <c r="E60" s="41">
        <f>C60+D60</f>
        <v/>
      </c>
      <c r="F60" s="79">
        <f>IF($C$70=0, 0, E60/$C$70)</f>
        <v/>
      </c>
      <c r="G60" s="41">
        <f>F60*$T$5</f>
        <v/>
      </c>
      <c r="H60" s="41" t="n">
        <v>3</v>
      </c>
      <c r="I60" s="41">
        <f>$T$7*H60</f>
        <v/>
      </c>
      <c r="J60" s="41">
        <f>G60+$T$9+I60</f>
        <v/>
      </c>
      <c r="K60" s="41">
        <f>$T$11/64</f>
        <v/>
      </c>
      <c r="L60" s="7" t="n">
        <v>0</v>
      </c>
      <c r="M60" s="41" t="n">
        <v>0</v>
      </c>
      <c r="N60" s="41" t="n">
        <v>0</v>
      </c>
      <c r="O60" s="41" t="n">
        <v>0</v>
      </c>
      <c r="P60" s="52" t="n"/>
      <c r="Q60" s="52" t="n"/>
      <c r="R60" s="52">
        <f>(J60+K60+L60+M60+N60+O60)*$B$2</f>
        <v/>
      </c>
      <c r="S60" s="36" t="n"/>
      <c r="T60" s="41" t="n"/>
    </row>
    <row r="61" ht="12.75" customHeight="1" s="251">
      <c r="A61" s="41" t="inlineStr">
        <is>
          <t>T8</t>
        </is>
      </c>
      <c r="B61" s="13" t="inlineStr">
        <is>
          <t>Lalit Kumar Sharma</t>
        </is>
      </c>
      <c r="C61" s="9" t="n">
        <v>0</v>
      </c>
      <c r="D61" s="41">
        <f>SUM($C$3:$C$5)/64</f>
        <v/>
      </c>
      <c r="E61" s="41">
        <f>C61+D61</f>
        <v/>
      </c>
      <c r="F61" s="79">
        <f>IF($C$70=0, 0, E61/$C$70)</f>
        <v/>
      </c>
      <c r="G61" s="41">
        <f>F61*$T$5</f>
        <v/>
      </c>
      <c r="H61" s="41" t="n">
        <v>3</v>
      </c>
      <c r="I61" s="41">
        <f>$T$7*H61</f>
        <v/>
      </c>
      <c r="J61" s="41">
        <f>G61+$T$9+I61</f>
        <v/>
      </c>
      <c r="K61" s="41">
        <f>$T$11/64</f>
        <v/>
      </c>
      <c r="L61" s="7" t="n">
        <v>0</v>
      </c>
      <c r="M61" s="41" t="n">
        <v>0</v>
      </c>
      <c r="N61" s="41" t="n">
        <v>0</v>
      </c>
      <c r="O61" s="41" t="n">
        <v>0</v>
      </c>
      <c r="P61" s="52" t="n"/>
      <c r="Q61" s="52" t="n"/>
      <c r="R61" s="52">
        <f>(J61+K61+L61+M61+N61+O61)*$B$2</f>
        <v/>
      </c>
      <c r="S61" s="36" t="n"/>
      <c r="T61" s="41" t="n"/>
    </row>
    <row r="62" ht="12.75" customHeight="1" s="251">
      <c r="A62" s="41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41">
        <f>SUM($C$3:$C$5)/64</f>
        <v/>
      </c>
      <c r="E62" s="41">
        <f>C62+D62</f>
        <v/>
      </c>
      <c r="F62" s="79">
        <f>IF($C$70=0, 0, E62/$C$70)</f>
        <v/>
      </c>
      <c r="G62" s="41">
        <f>F62*$T$5</f>
        <v/>
      </c>
      <c r="H62" s="41" t="n">
        <v>4</v>
      </c>
      <c r="I62" s="41">
        <f>$T$7*H62</f>
        <v/>
      </c>
      <c r="J62" s="41">
        <f>G62+$T$9+I62</f>
        <v/>
      </c>
      <c r="K62" s="41">
        <f>$T$11/64</f>
        <v/>
      </c>
      <c r="L62" s="7" t="n">
        <v>0</v>
      </c>
      <c r="M62" s="41" t="n">
        <v>0</v>
      </c>
      <c r="N62" s="41" t="n">
        <v>0</v>
      </c>
      <c r="O62" s="41" t="n">
        <v>0</v>
      </c>
      <c r="P62" s="52" t="n"/>
      <c r="Q62" s="52" t="n"/>
      <c r="R62" s="52">
        <f>(J62+K62+L62+M62+N62+O62)*$B$2</f>
        <v/>
      </c>
      <c r="S62" s="36" t="n"/>
      <c r="T62" s="41" t="n"/>
    </row>
    <row r="63" ht="12.75" customHeight="1" s="251">
      <c r="A63" s="41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41">
        <f>SUM($C$3:$C$5)/64</f>
        <v/>
      </c>
      <c r="E63" s="41">
        <f>C63+D63</f>
        <v/>
      </c>
      <c r="F63" s="79">
        <f>IF($C$70=0, 0, E63/$C$70)</f>
        <v/>
      </c>
      <c r="G63" s="41">
        <f>F63*$T$5</f>
        <v/>
      </c>
      <c r="H63" s="41" t="n">
        <v>3</v>
      </c>
      <c r="I63" s="41">
        <f>$T$7*H63</f>
        <v/>
      </c>
      <c r="J63" s="41">
        <f>G63+$T$9+I63</f>
        <v/>
      </c>
      <c r="K63" s="41">
        <f>$T$11/64</f>
        <v/>
      </c>
      <c r="L63" s="7" t="n">
        <v>0</v>
      </c>
      <c r="M63" s="41" t="n">
        <v>0</v>
      </c>
      <c r="N63" s="41" t="n">
        <v>0</v>
      </c>
      <c r="O63" s="41" t="n">
        <v>0</v>
      </c>
      <c r="P63" s="52" t="n"/>
      <c r="Q63" s="52" t="n"/>
      <c r="R63" s="52">
        <f>(J63+K63+L63+M63+N63+O63)*$B$2</f>
        <v/>
      </c>
      <c r="S63" s="36" t="n"/>
      <c r="T63" s="41" t="n"/>
    </row>
    <row r="64" ht="12.75" customHeight="1" s="251">
      <c r="A64" s="41" t="inlineStr">
        <is>
          <t>T11</t>
        </is>
      </c>
      <c r="B64" s="13" t="inlineStr">
        <is>
          <t>Arvind Balasubramanian</t>
        </is>
      </c>
      <c r="C64" s="9" t="n">
        <v>0</v>
      </c>
      <c r="D64" s="41">
        <f>SUM($C$3:$C$5)/64</f>
        <v/>
      </c>
      <c r="E64" s="41">
        <f>C64+D64</f>
        <v/>
      </c>
      <c r="F64" s="79">
        <f>IF($C$70=0, 0, E64/$C$70)</f>
        <v/>
      </c>
      <c r="G64" s="41">
        <f>F64*$T$5</f>
        <v/>
      </c>
      <c r="H64" s="41" t="n">
        <v>3</v>
      </c>
      <c r="I64" s="41">
        <f>$T$7*H64</f>
        <v/>
      </c>
      <c r="J64" s="41">
        <f>G64+$T$9+I64</f>
        <v/>
      </c>
      <c r="K64" s="41">
        <f>$T$11/64</f>
        <v/>
      </c>
      <c r="L64" s="7" t="n">
        <v>0</v>
      </c>
      <c r="M64" s="41" t="n">
        <v>0</v>
      </c>
      <c r="N64" s="41" t="n">
        <v>0</v>
      </c>
      <c r="O64" s="41" t="n">
        <v>0</v>
      </c>
      <c r="P64" s="52" t="n"/>
      <c r="Q64" s="52" t="n"/>
      <c r="R64" s="52">
        <f>(J64+K64+L64+M64+N64+O64)*$B$2</f>
        <v/>
      </c>
      <c r="S64" s="36" t="n"/>
      <c r="T64" s="41" t="n"/>
    </row>
    <row r="65" ht="12.75" customHeight="1" s="251">
      <c r="A65" s="41" t="inlineStr">
        <is>
          <t>T12</t>
        </is>
      </c>
      <c r="B65" s="13" t="inlineStr">
        <is>
          <t>Prasenjit</t>
        </is>
      </c>
      <c r="C65" s="9" t="n">
        <v>0</v>
      </c>
      <c r="D65" s="41">
        <f>SUM($C$3:$C$5)/64</f>
        <v/>
      </c>
      <c r="E65" s="41">
        <f>C65+D65</f>
        <v/>
      </c>
      <c r="F65" s="79">
        <f>IF($C$70=0, 0, E65/$C$70)</f>
        <v/>
      </c>
      <c r="G65" s="41">
        <f>F65*$T$5</f>
        <v/>
      </c>
      <c r="H65" s="41" t="n">
        <v>3</v>
      </c>
      <c r="I65" s="41">
        <f>$T$7*H65</f>
        <v/>
      </c>
      <c r="J65" s="41">
        <f>G65+$T$9+I65</f>
        <v/>
      </c>
      <c r="K65" s="41">
        <f>$T$11/64</f>
        <v/>
      </c>
      <c r="L65" s="7" t="n">
        <v>0</v>
      </c>
      <c r="M65" s="41" t="n">
        <v>0</v>
      </c>
      <c r="N65" s="41" t="n">
        <v>0</v>
      </c>
      <c r="O65" s="41" t="n">
        <v>0</v>
      </c>
      <c r="P65" s="52" t="n"/>
      <c r="Q65" s="52" t="n"/>
      <c r="R65" s="52">
        <f>(J65+K65+L65+M65+N65+O65)*$B$2</f>
        <v/>
      </c>
      <c r="S65" s="36" t="n"/>
      <c r="T65" s="41" t="n"/>
    </row>
    <row r="66" ht="12.75" customHeight="1" s="251">
      <c r="A66" s="41" t="inlineStr">
        <is>
          <t>T13</t>
        </is>
      </c>
      <c r="B66" s="13" t="inlineStr">
        <is>
          <t>Rahul Kumar</t>
        </is>
      </c>
      <c r="C66" s="9" t="n">
        <v>0</v>
      </c>
      <c r="D66" s="41">
        <f>SUM($C$3:$C$5)/64</f>
        <v/>
      </c>
      <c r="E66" s="41">
        <f>C66+D66</f>
        <v/>
      </c>
      <c r="F66" s="79">
        <f>IF($C$70=0, 0, E66/$C$70)</f>
        <v/>
      </c>
      <c r="G66" s="41">
        <f>F66*$T$5</f>
        <v/>
      </c>
      <c r="H66" s="41" t="n">
        <v>4</v>
      </c>
      <c r="I66" s="41">
        <f>$T$7*H66</f>
        <v/>
      </c>
      <c r="J66" s="41">
        <f>G66+$T$9+I66</f>
        <v/>
      </c>
      <c r="K66" s="41">
        <f>$T$11/64</f>
        <v/>
      </c>
      <c r="L66" s="7" t="n">
        <v>0</v>
      </c>
      <c r="M66" s="41" t="n">
        <v>0</v>
      </c>
      <c r="N66" s="41" t="n">
        <v>0</v>
      </c>
      <c r="O66" s="41" t="n">
        <v>0</v>
      </c>
      <c r="P66" s="52" t="n"/>
      <c r="Q66" s="52" t="n"/>
      <c r="R66" s="52">
        <f>(J66+K66+L66+M66+N66+O66)*$B$2</f>
        <v/>
      </c>
      <c r="S66" s="36" t="n"/>
      <c r="T66" s="41" t="n"/>
    </row>
    <row r="67" ht="12.75" customHeight="1" s="251">
      <c r="A67" s="41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41">
        <f>SUM($C$3:$C$5)/64</f>
        <v/>
      </c>
      <c r="E67" s="41">
        <f>C67+D67</f>
        <v/>
      </c>
      <c r="F67" s="79">
        <f>IF($C$70=0, 0, E67/$C$70)</f>
        <v/>
      </c>
      <c r="G67" s="41">
        <f>F67*$T$5</f>
        <v/>
      </c>
      <c r="H67" s="41" t="n">
        <v>4</v>
      </c>
      <c r="I67" s="41">
        <f>$T$7*H67</f>
        <v/>
      </c>
      <c r="J67" s="41">
        <f>G67+$T$9+I67</f>
        <v/>
      </c>
      <c r="K67" s="41">
        <f>$T$11/64</f>
        <v/>
      </c>
      <c r="L67" s="7" t="n">
        <v>0</v>
      </c>
      <c r="M67" s="41" t="n">
        <v>0</v>
      </c>
      <c r="N67" s="41" t="n">
        <v>0</v>
      </c>
      <c r="O67" s="41" t="n">
        <v>0</v>
      </c>
      <c r="P67" s="52" t="n"/>
      <c r="Q67" s="52" t="n"/>
      <c r="R67" s="52">
        <f>(J67+K67+L67+M67+N67+O67)*$B$2</f>
        <v/>
      </c>
      <c r="S67" s="36" t="n"/>
      <c r="T67" s="41" t="n"/>
    </row>
    <row r="68" ht="12.75" customHeight="1" s="251">
      <c r="A68" s="41" t="inlineStr">
        <is>
          <t>T15</t>
        </is>
      </c>
      <c r="B68" s="13" t="inlineStr">
        <is>
          <t>Trevor</t>
        </is>
      </c>
      <c r="C68" s="9" t="n">
        <v>0</v>
      </c>
      <c r="D68" s="41">
        <f>SUM($C$3:$C$5)/64</f>
        <v/>
      </c>
      <c r="E68" s="41">
        <f>C68+D68</f>
        <v/>
      </c>
      <c r="F68" s="79">
        <f>IF($C$70=0, 0, E68/$C$70)</f>
        <v/>
      </c>
      <c r="G68" s="41">
        <f>F68*$T$5</f>
        <v/>
      </c>
      <c r="H68" s="41" t="n">
        <v>4</v>
      </c>
      <c r="I68" s="41">
        <f>$T$7*H68</f>
        <v/>
      </c>
      <c r="J68" s="41">
        <f>G68+$T$9+I68</f>
        <v/>
      </c>
      <c r="K68" s="41">
        <f>$T$11/64</f>
        <v/>
      </c>
      <c r="L68" s="7" t="n">
        <v>0</v>
      </c>
      <c r="M68" s="41" t="n">
        <v>0</v>
      </c>
      <c r="N68" s="41" t="n">
        <v>0</v>
      </c>
      <c r="O68" s="41" t="n">
        <v>0</v>
      </c>
      <c r="P68" s="52" t="n"/>
      <c r="Q68" s="52" t="n"/>
      <c r="R68" s="52">
        <f>(J68+K68+L68+M68+N68+O68)*$B$2</f>
        <v/>
      </c>
      <c r="S68" s="36" t="n"/>
      <c r="T68" s="41" t="n"/>
    </row>
    <row r="69" ht="12.75" customHeight="1" s="251">
      <c r="A69" s="41" t="inlineStr">
        <is>
          <t>T16</t>
        </is>
      </c>
      <c r="B69" s="13" t="inlineStr">
        <is>
          <t>Madhusoodanan P.R.</t>
        </is>
      </c>
      <c r="C69" s="9" t="n">
        <v>0</v>
      </c>
      <c r="D69" s="41">
        <f>SUM($C$3:$C$5)/64</f>
        <v/>
      </c>
      <c r="E69" s="41">
        <f>C69+D69</f>
        <v/>
      </c>
      <c r="F69" s="79">
        <f>IF($C$70=0, 0, E69/$C$70)</f>
        <v/>
      </c>
      <c r="G69" s="41">
        <f>F69*$T$5</f>
        <v/>
      </c>
      <c r="H69" s="41" t="n">
        <v>3</v>
      </c>
      <c r="I69" s="41">
        <f>$T$7*H69</f>
        <v/>
      </c>
      <c r="J69" s="41">
        <f>G69+$T$9+I69</f>
        <v/>
      </c>
      <c r="K69" s="41">
        <f>$T$11/64</f>
        <v/>
      </c>
      <c r="L69" s="7" t="n">
        <v>0</v>
      </c>
      <c r="M69" s="41" t="n">
        <v>0</v>
      </c>
      <c r="N69" s="41" t="n">
        <v>0</v>
      </c>
      <c r="O69" s="41" t="n">
        <v>0</v>
      </c>
      <c r="P69" s="52" t="n"/>
      <c r="Q69" s="52" t="n"/>
      <c r="R69" s="52">
        <f>(J69+K69+L69+M69+N69+O69)*$B$2</f>
        <v/>
      </c>
      <c r="S69" s="36" t="n"/>
      <c r="T69" s="41" t="n"/>
    </row>
    <row r="70" ht="12.75" customHeight="1" s="251">
      <c r="A70" s="41" t="n"/>
      <c r="B70" s="78" t="inlineStr">
        <is>
          <t>TOTAL</t>
        </is>
      </c>
      <c r="C70" s="41">
        <f>SUM(C3:C69)</f>
        <v/>
      </c>
      <c r="D70" s="41">
        <f>SUM(D3:D69)</f>
        <v/>
      </c>
      <c r="E70" s="41">
        <f>SUM(E3:E69)</f>
        <v/>
      </c>
      <c r="F70" s="79">
        <f>SUM(F3:F69)</f>
        <v/>
      </c>
      <c r="G70" s="41">
        <f>SUM(G3:G69)</f>
        <v/>
      </c>
      <c r="H70" s="41">
        <f>SUM(H3:H69)</f>
        <v/>
      </c>
      <c r="I70" s="41">
        <f>SUM(I3:I69)</f>
        <v/>
      </c>
      <c r="J70" s="41">
        <f>SUM(J3:J69)</f>
        <v/>
      </c>
      <c r="K70" s="41">
        <f>SUM(K3:K69)</f>
        <v/>
      </c>
      <c r="L70" s="41">
        <f>SUM(L3:L69)</f>
        <v/>
      </c>
      <c r="M70" s="41">
        <f>SUM(M3:M69)</f>
        <v/>
      </c>
      <c r="N70" s="41">
        <f>SUM(N3:N69)</f>
        <v/>
      </c>
      <c r="O70" s="41">
        <f>SUM(O3:O69)</f>
        <v/>
      </c>
      <c r="P70" s="41" t="n"/>
      <c r="Q70" s="41" t="n"/>
      <c r="R70" s="41">
        <f>SUM(R3:R69)</f>
        <v/>
      </c>
      <c r="S70" s="36" t="n"/>
      <c r="T70" s="41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X64"/>
  <sheetViews>
    <sheetView workbookViewId="0">
      <selection activeCell="A1" sqref="A1"/>
    </sheetView>
  </sheetViews>
  <sheetFormatPr baseColWidth="10" defaultColWidth="14.5" defaultRowHeight="15" customHeight="1"/>
  <cols>
    <col width="36.1640625" customWidth="1" style="251" min="1" max="1"/>
    <col hidden="1" width="14.5" customWidth="1" style="251" min="2" max="2"/>
  </cols>
  <sheetData>
    <row r="1">
      <c r="A1" s="90" t="inlineStr">
        <is>
          <t>Expense Head</t>
        </is>
      </c>
      <c r="B1" s="90" t="n"/>
      <c r="C1" s="90">
        <f t="array" ref="C1:BN1">TRANSPOSE('INCOME-EXPENSE-CYCLES'!A3:A66)</f>
        <v/>
      </c>
      <c r="D1" s="90" t="inlineStr">
        <is>
          <t>F2</t>
        </is>
      </c>
      <c r="E1" s="90" t="inlineStr">
        <is>
          <t>F3</t>
        </is>
      </c>
      <c r="F1" s="90" t="inlineStr">
        <is>
          <t>F4</t>
        </is>
      </c>
      <c r="G1" s="90" t="inlineStr">
        <is>
          <t>F5</t>
        </is>
      </c>
      <c r="H1" s="90" t="inlineStr">
        <is>
          <t>F6</t>
        </is>
      </c>
      <c r="I1" s="90" t="inlineStr">
        <is>
          <t>F7</t>
        </is>
      </c>
      <c r="J1" s="90" t="inlineStr">
        <is>
          <t>F8</t>
        </is>
      </c>
      <c r="K1" s="90" t="inlineStr">
        <is>
          <t>F9</t>
        </is>
      </c>
      <c r="L1" s="90" t="inlineStr">
        <is>
          <t>F10</t>
        </is>
      </c>
      <c r="M1" s="90" t="inlineStr">
        <is>
          <t>F11</t>
        </is>
      </c>
      <c r="N1" s="90" t="inlineStr">
        <is>
          <t>F12</t>
        </is>
      </c>
      <c r="O1" s="90" t="inlineStr">
        <is>
          <t>F13</t>
        </is>
      </c>
      <c r="P1" s="90" t="inlineStr">
        <is>
          <t>F14</t>
        </is>
      </c>
      <c r="Q1" s="90" t="inlineStr">
        <is>
          <t>F15</t>
        </is>
      </c>
      <c r="R1" s="90" t="inlineStr">
        <is>
          <t>F16</t>
        </is>
      </c>
      <c r="S1" s="90" t="inlineStr">
        <is>
          <t>G1</t>
        </is>
      </c>
      <c r="T1" s="90" t="inlineStr">
        <is>
          <t>G2</t>
        </is>
      </c>
      <c r="U1" s="90" t="inlineStr">
        <is>
          <t>G3</t>
        </is>
      </c>
      <c r="V1" s="90" t="inlineStr">
        <is>
          <t>G4</t>
        </is>
      </c>
      <c r="W1" s="90" t="inlineStr">
        <is>
          <t>G5</t>
        </is>
      </c>
      <c r="X1" s="90" t="inlineStr">
        <is>
          <t>G6</t>
        </is>
      </c>
      <c r="Y1" s="90" t="inlineStr">
        <is>
          <t>G7</t>
        </is>
      </c>
      <c r="Z1" s="90" t="inlineStr">
        <is>
          <t>G8</t>
        </is>
      </c>
      <c r="AA1" s="90" t="inlineStr">
        <is>
          <t>G9</t>
        </is>
      </c>
      <c r="AB1" s="90" t="inlineStr">
        <is>
          <t>G10</t>
        </is>
      </c>
      <c r="AC1" s="90" t="inlineStr">
        <is>
          <t>G11</t>
        </is>
      </c>
      <c r="AD1" s="90" t="inlineStr">
        <is>
          <t>G12</t>
        </is>
      </c>
      <c r="AE1" s="90" t="inlineStr">
        <is>
          <t>G13</t>
        </is>
      </c>
      <c r="AF1" s="90" t="inlineStr">
        <is>
          <t>G14</t>
        </is>
      </c>
      <c r="AG1" s="90" t="inlineStr">
        <is>
          <t>G15</t>
        </is>
      </c>
      <c r="AH1" s="90" t="inlineStr">
        <is>
          <t>G16</t>
        </is>
      </c>
      <c r="AI1" s="90" t="inlineStr">
        <is>
          <t>S1</t>
        </is>
      </c>
      <c r="AJ1" s="90" t="inlineStr">
        <is>
          <t>S2</t>
        </is>
      </c>
      <c r="AK1" s="90" t="inlineStr">
        <is>
          <t>S3</t>
        </is>
      </c>
      <c r="AL1" s="90" t="inlineStr">
        <is>
          <t>S4</t>
        </is>
      </c>
      <c r="AM1" s="90" t="inlineStr">
        <is>
          <t>S5</t>
        </is>
      </c>
      <c r="AN1" s="90" t="inlineStr">
        <is>
          <t>S6</t>
        </is>
      </c>
      <c r="AO1" s="90" t="inlineStr">
        <is>
          <t>S7</t>
        </is>
      </c>
      <c r="AP1" s="90" t="inlineStr">
        <is>
          <t>S8</t>
        </is>
      </c>
      <c r="AQ1" s="90" t="inlineStr">
        <is>
          <t>S9</t>
        </is>
      </c>
      <c r="AR1" s="90" t="inlineStr">
        <is>
          <t>S10</t>
        </is>
      </c>
      <c r="AS1" s="90" t="inlineStr">
        <is>
          <t>S11</t>
        </is>
      </c>
      <c r="AT1" s="90" t="inlineStr">
        <is>
          <t>S12</t>
        </is>
      </c>
      <c r="AU1" s="90" t="inlineStr">
        <is>
          <t>S13</t>
        </is>
      </c>
      <c r="AV1" s="90" t="inlineStr">
        <is>
          <t>S14</t>
        </is>
      </c>
      <c r="AW1" s="90" t="inlineStr">
        <is>
          <t>S15</t>
        </is>
      </c>
      <c r="AX1" s="90" t="inlineStr">
        <is>
          <t>S16</t>
        </is>
      </c>
      <c r="AY1" s="90" t="inlineStr">
        <is>
          <t>T1</t>
        </is>
      </c>
      <c r="AZ1" s="90" t="inlineStr">
        <is>
          <t>T2</t>
        </is>
      </c>
      <c r="BA1" s="90" t="inlineStr">
        <is>
          <t>T3</t>
        </is>
      </c>
      <c r="BB1" s="90" t="inlineStr">
        <is>
          <t>T4</t>
        </is>
      </c>
      <c r="BC1" s="90" t="inlineStr">
        <is>
          <t>T5</t>
        </is>
      </c>
      <c r="BD1" s="90" t="inlineStr">
        <is>
          <t>T6</t>
        </is>
      </c>
      <c r="BE1" s="90" t="inlineStr">
        <is>
          <t>T7</t>
        </is>
      </c>
      <c r="BF1" s="90" t="inlineStr">
        <is>
          <t>T8</t>
        </is>
      </c>
      <c r="BG1" s="90" t="inlineStr">
        <is>
          <t>T9</t>
        </is>
      </c>
      <c r="BH1" s="90" t="inlineStr">
        <is>
          <t>T10</t>
        </is>
      </c>
      <c r="BI1" s="90" t="inlineStr">
        <is>
          <t>T11</t>
        </is>
      </c>
      <c r="BJ1" s="90" t="inlineStr">
        <is>
          <t>T12</t>
        </is>
      </c>
      <c r="BK1" s="90" t="inlineStr">
        <is>
          <t>T13</t>
        </is>
      </c>
      <c r="BL1" s="90" t="inlineStr">
        <is>
          <t>T14</t>
        </is>
      </c>
      <c r="BM1" s="90" t="inlineStr">
        <is>
          <t>T15</t>
        </is>
      </c>
      <c r="BN1" s="90" t="inlineStr">
        <is>
          <t>T16</t>
        </is>
      </c>
      <c r="BO1" s="90" t="n"/>
      <c r="BP1" s="90" t="n"/>
      <c r="BQ1" s="90" t="n"/>
      <c r="BR1" s="90" t="n"/>
      <c r="BS1" s="90" t="n"/>
      <c r="BT1" s="90" t="n"/>
      <c r="BU1" s="90" t="n"/>
      <c r="BV1" s="90" t="n"/>
      <c r="BW1" s="90" t="n"/>
      <c r="BX1" s="90" t="n"/>
    </row>
    <row r="2">
      <c r="A2" s="40" t="inlineStr">
        <is>
          <t>Water consumption (Litres)</t>
        </is>
      </c>
      <c r="C2" s="91">
        <f t="array" ref="C2:BN2">TRANSPOSE('July2026-EXPENSE'!E6:E69)</f>
        <v/>
      </c>
      <c r="D2" s="91" t="n">
        <v>0</v>
      </c>
      <c r="E2" s="91" t="n">
        <v>0</v>
      </c>
      <c r="F2" s="91" t="n">
        <v>0</v>
      </c>
      <c r="G2" s="91" t="n">
        <v>0</v>
      </c>
      <c r="H2" s="91" t="n">
        <v>0</v>
      </c>
      <c r="I2" s="91" t="n">
        <v>0</v>
      </c>
      <c r="J2" s="91" t="n">
        <v>0</v>
      </c>
      <c r="K2" s="91" t="n">
        <v>0</v>
      </c>
      <c r="L2" s="91" t="n">
        <v>0</v>
      </c>
      <c r="M2" s="91" t="n">
        <v>0</v>
      </c>
      <c r="N2" s="91" t="n">
        <v>0</v>
      </c>
      <c r="O2" s="91" t="n">
        <v>0</v>
      </c>
      <c r="P2" s="91" t="n">
        <v>0</v>
      </c>
      <c r="Q2" s="91" t="n">
        <v>0</v>
      </c>
      <c r="R2" s="91" t="n">
        <v>0</v>
      </c>
      <c r="S2" s="91" t="n">
        <v>0</v>
      </c>
      <c r="T2" s="91" t="n">
        <v>0</v>
      </c>
      <c r="U2" s="91" t="n">
        <v>0</v>
      </c>
      <c r="V2" s="91" t="n">
        <v>0</v>
      </c>
      <c r="W2" s="91" t="n">
        <v>0</v>
      </c>
      <c r="X2" s="91" t="n">
        <v>0</v>
      </c>
      <c r="Y2" s="91" t="n">
        <v>0</v>
      </c>
      <c r="Z2" s="91" t="n">
        <v>0</v>
      </c>
      <c r="AA2" s="91" t="n">
        <v>0</v>
      </c>
      <c r="AB2" s="91" t="n">
        <v>0</v>
      </c>
      <c r="AC2" s="91" t="n">
        <v>0</v>
      </c>
      <c r="AD2" s="91" t="n">
        <v>0</v>
      </c>
      <c r="AE2" s="91" t="n">
        <v>0</v>
      </c>
      <c r="AF2" s="91" t="n">
        <v>0</v>
      </c>
      <c r="AG2" s="91" t="n">
        <v>0</v>
      </c>
      <c r="AH2" s="91" t="n">
        <v>0</v>
      </c>
      <c r="AI2" s="91" t="n">
        <v>0</v>
      </c>
      <c r="AJ2" s="91" t="n">
        <v>0</v>
      </c>
      <c r="AK2" s="91" t="n">
        <v>0</v>
      </c>
      <c r="AL2" s="91" t="n">
        <v>0</v>
      </c>
      <c r="AM2" s="91" t="n">
        <v>0</v>
      </c>
      <c r="AN2" s="91" t="n">
        <v>0</v>
      </c>
      <c r="AO2" s="91" t="n">
        <v>0</v>
      </c>
      <c r="AP2" s="91" t="n">
        <v>0</v>
      </c>
      <c r="AQ2" s="91" t="n">
        <v>0</v>
      </c>
      <c r="AR2" s="91" t="n">
        <v>0</v>
      </c>
      <c r="AS2" s="91" t="n">
        <v>0</v>
      </c>
      <c r="AT2" s="91" t="n">
        <v>0</v>
      </c>
      <c r="AU2" s="91" t="n">
        <v>0</v>
      </c>
      <c r="AV2" s="91" t="n">
        <v>0</v>
      </c>
      <c r="AW2" s="91" t="n">
        <v>0</v>
      </c>
      <c r="AX2" s="91" t="n">
        <v>0</v>
      </c>
      <c r="AY2" s="91" t="n">
        <v>0</v>
      </c>
      <c r="AZ2" s="91" t="n">
        <v>0</v>
      </c>
      <c r="BA2" s="91" t="n">
        <v>0</v>
      </c>
      <c r="BB2" s="91" t="n">
        <v>0</v>
      </c>
      <c r="BC2" s="91" t="n">
        <v>0</v>
      </c>
      <c r="BD2" s="91" t="n">
        <v>0</v>
      </c>
      <c r="BE2" s="91" t="n">
        <v>0</v>
      </c>
      <c r="BF2" s="91" t="n">
        <v>0</v>
      </c>
      <c r="BG2" s="91" t="n">
        <v>0</v>
      </c>
      <c r="BH2" s="91" t="n">
        <v>0</v>
      </c>
      <c r="BI2" s="91" t="n">
        <v>0</v>
      </c>
      <c r="BJ2" s="91" t="n">
        <v>0</v>
      </c>
      <c r="BK2" s="91" t="n">
        <v>0</v>
      </c>
      <c r="BL2" s="91" t="n">
        <v>0</v>
      </c>
      <c r="BM2" s="91" t="n">
        <v>0</v>
      </c>
      <c r="BN2" s="91" t="n">
        <v>0</v>
      </c>
    </row>
    <row r="3">
      <c r="A3" s="40" t="inlineStr">
        <is>
          <t>Water consumption (%age of total)</t>
        </is>
      </c>
      <c r="C3" s="92">
        <f t="array" ref="C3:BN3">TRANSPOSE('July2026-EXPENSE'!F6:F69)</f>
        <v/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  <c r="K3" s="92" t="n">
        <v>0</v>
      </c>
      <c r="L3" s="92" t="n">
        <v>0</v>
      </c>
      <c r="M3" s="92" t="n">
        <v>0</v>
      </c>
      <c r="N3" s="92" t="n">
        <v>0</v>
      </c>
      <c r="O3" s="92" t="n">
        <v>0</v>
      </c>
      <c r="P3" s="92" t="n">
        <v>0</v>
      </c>
      <c r="Q3" s="92" t="n">
        <v>0</v>
      </c>
      <c r="R3" s="92" t="n">
        <v>0</v>
      </c>
      <c r="S3" s="92" t="n">
        <v>0</v>
      </c>
      <c r="T3" s="92" t="n">
        <v>0</v>
      </c>
      <c r="U3" s="92" t="n">
        <v>0</v>
      </c>
      <c r="V3" s="92" t="n">
        <v>0</v>
      </c>
      <c r="W3" s="92" t="n">
        <v>0</v>
      </c>
      <c r="X3" s="92" t="n">
        <v>0</v>
      </c>
      <c r="Y3" s="92" t="n">
        <v>0</v>
      </c>
      <c r="Z3" s="92" t="n">
        <v>0</v>
      </c>
      <c r="AA3" s="92" t="n">
        <v>0</v>
      </c>
      <c r="AB3" s="92" t="n">
        <v>0</v>
      </c>
      <c r="AC3" s="92" t="n">
        <v>0</v>
      </c>
      <c r="AD3" s="92" t="n">
        <v>0</v>
      </c>
      <c r="AE3" s="92" t="n">
        <v>0</v>
      </c>
      <c r="AF3" s="92" t="n">
        <v>0</v>
      </c>
      <c r="AG3" s="92" t="n">
        <v>0</v>
      </c>
      <c r="AH3" s="92" t="n">
        <v>0</v>
      </c>
      <c r="AI3" s="92" t="n">
        <v>0</v>
      </c>
      <c r="AJ3" s="92" t="n">
        <v>0</v>
      </c>
      <c r="AK3" s="92" t="n">
        <v>0</v>
      </c>
      <c r="AL3" s="92" t="n">
        <v>0</v>
      </c>
      <c r="AM3" s="92" t="n">
        <v>0</v>
      </c>
      <c r="AN3" s="92" t="n">
        <v>0</v>
      </c>
      <c r="AO3" s="92" t="n">
        <v>0</v>
      </c>
      <c r="AP3" s="92" t="n">
        <v>0</v>
      </c>
      <c r="AQ3" s="92" t="n">
        <v>0</v>
      </c>
      <c r="AR3" s="92" t="n">
        <v>0</v>
      </c>
      <c r="AS3" s="92" t="n">
        <v>0</v>
      </c>
      <c r="AT3" s="92" t="n">
        <v>0</v>
      </c>
      <c r="AU3" s="92" t="n">
        <v>0</v>
      </c>
      <c r="AV3" s="92" t="n">
        <v>0</v>
      </c>
      <c r="AW3" s="92" t="n">
        <v>0</v>
      </c>
      <c r="AX3" s="92" t="n">
        <v>0</v>
      </c>
      <c r="AY3" s="92" t="n">
        <v>0</v>
      </c>
      <c r="AZ3" s="92" t="n">
        <v>0</v>
      </c>
      <c r="BA3" s="92" t="n">
        <v>0</v>
      </c>
      <c r="BB3" s="92" t="n">
        <v>0</v>
      </c>
      <c r="BC3" s="92" t="n">
        <v>0</v>
      </c>
      <c r="BD3" s="92" t="n">
        <v>0</v>
      </c>
      <c r="BE3" s="92" t="n">
        <v>0</v>
      </c>
      <c r="BF3" s="92" t="n">
        <v>0</v>
      </c>
      <c r="BG3" s="92" t="n">
        <v>0</v>
      </c>
      <c r="BH3" s="92" t="n">
        <v>0</v>
      </c>
      <c r="BI3" s="92" t="n">
        <v>0</v>
      </c>
      <c r="BJ3" s="92" t="n">
        <v>0</v>
      </c>
      <c r="BK3" s="92" t="n">
        <v>0</v>
      </c>
      <c r="BL3" s="92" t="n">
        <v>0</v>
      </c>
      <c r="BM3" s="92" t="n">
        <v>0</v>
      </c>
      <c r="BN3" s="92" t="n">
        <v>0</v>
      </c>
    </row>
    <row r="4">
      <c r="A4" s="40" t="inlineStr">
        <is>
          <t>Water meter rent</t>
        </is>
      </c>
      <c r="C4" s="91">
        <f t="array" ref="C4:BN4">TRANSPOSE('July2026-EXPENSE'!I6:I69)</f>
        <v/>
      </c>
      <c r="D4" s="91" t="n">
        <v>0</v>
      </c>
      <c r="E4" s="91" t="n">
        <v>0</v>
      </c>
      <c r="F4" s="91" t="n">
        <v>0</v>
      </c>
      <c r="G4" s="91" t="n">
        <v>0</v>
      </c>
      <c r="H4" s="91" t="n">
        <v>0</v>
      </c>
      <c r="I4" s="91" t="n">
        <v>0</v>
      </c>
      <c r="J4" s="91" t="n">
        <v>0</v>
      </c>
      <c r="K4" s="91" t="n">
        <v>0</v>
      </c>
      <c r="L4" s="91" t="n">
        <v>0</v>
      </c>
      <c r="M4" s="91" t="n">
        <v>0</v>
      </c>
      <c r="N4" s="91" t="n">
        <v>0</v>
      </c>
      <c r="O4" s="91" t="n">
        <v>0</v>
      </c>
      <c r="P4" s="91" t="n">
        <v>0</v>
      </c>
      <c r="Q4" s="91" t="n">
        <v>0</v>
      </c>
      <c r="R4" s="91" t="n">
        <v>0</v>
      </c>
      <c r="S4" s="91" t="n">
        <v>0</v>
      </c>
      <c r="T4" s="91" t="n">
        <v>0</v>
      </c>
      <c r="U4" s="91" t="n">
        <v>0</v>
      </c>
      <c r="V4" s="91" t="n">
        <v>0</v>
      </c>
      <c r="W4" s="91" t="n">
        <v>0</v>
      </c>
      <c r="X4" s="91" t="n">
        <v>0</v>
      </c>
      <c r="Y4" s="91" t="n">
        <v>0</v>
      </c>
      <c r="Z4" s="91" t="n">
        <v>0</v>
      </c>
      <c r="AA4" s="91" t="n">
        <v>0</v>
      </c>
      <c r="AB4" s="91" t="n">
        <v>0</v>
      </c>
      <c r="AC4" s="91" t="n">
        <v>0</v>
      </c>
      <c r="AD4" s="91" t="n">
        <v>0</v>
      </c>
      <c r="AE4" s="91" t="n">
        <v>0</v>
      </c>
      <c r="AF4" s="91" t="n">
        <v>0</v>
      </c>
      <c r="AG4" s="91" t="n">
        <v>0</v>
      </c>
      <c r="AH4" s="91" t="n">
        <v>0</v>
      </c>
      <c r="AI4" s="91" t="n">
        <v>0</v>
      </c>
      <c r="AJ4" s="91" t="n">
        <v>0</v>
      </c>
      <c r="AK4" s="91" t="n">
        <v>0</v>
      </c>
      <c r="AL4" s="91" t="n">
        <v>0</v>
      </c>
      <c r="AM4" s="91" t="n">
        <v>0</v>
      </c>
      <c r="AN4" s="91" t="n">
        <v>0</v>
      </c>
      <c r="AO4" s="91" t="n">
        <v>0</v>
      </c>
      <c r="AP4" s="91" t="n">
        <v>0</v>
      </c>
      <c r="AQ4" s="91" t="n">
        <v>0</v>
      </c>
      <c r="AR4" s="91" t="n">
        <v>0</v>
      </c>
      <c r="AS4" s="91" t="n">
        <v>0</v>
      </c>
      <c r="AT4" s="91" t="n">
        <v>0</v>
      </c>
      <c r="AU4" s="91" t="n">
        <v>0</v>
      </c>
      <c r="AV4" s="91" t="n">
        <v>0</v>
      </c>
      <c r="AW4" s="91" t="n">
        <v>0</v>
      </c>
      <c r="AX4" s="91" t="n">
        <v>0</v>
      </c>
      <c r="AY4" s="91" t="n">
        <v>0</v>
      </c>
      <c r="AZ4" s="91" t="n">
        <v>0</v>
      </c>
      <c r="BA4" s="91" t="n">
        <v>0</v>
      </c>
      <c r="BB4" s="91" t="n">
        <v>0</v>
      </c>
      <c r="BC4" s="91" t="n">
        <v>0</v>
      </c>
      <c r="BD4" s="91" t="n">
        <v>0</v>
      </c>
      <c r="BE4" s="91" t="n">
        <v>0</v>
      </c>
      <c r="BF4" s="91" t="n">
        <v>0</v>
      </c>
      <c r="BG4" s="91" t="n">
        <v>0</v>
      </c>
      <c r="BH4" s="91" t="n">
        <v>0</v>
      </c>
      <c r="BI4" s="91" t="n">
        <v>0</v>
      </c>
      <c r="BJ4" s="91" t="n">
        <v>0</v>
      </c>
      <c r="BK4" s="91" t="n">
        <v>0</v>
      </c>
      <c r="BL4" s="91" t="n">
        <v>0</v>
      </c>
      <c r="BM4" s="91" t="n">
        <v>0</v>
      </c>
      <c r="BN4" s="91" t="n">
        <v>0</v>
      </c>
    </row>
    <row r="5">
      <c r="A5" s="40" t="inlineStr">
        <is>
          <t>Common meter rent (eq. distributed)</t>
        </is>
      </c>
      <c r="C5" s="91">
        <f>'July2026-EXPENSE'!$T$9</f>
        <v/>
      </c>
      <c r="D5" s="91">
        <f>'July2026-EXPENSE'!$T$9</f>
        <v/>
      </c>
      <c r="E5" s="91">
        <f>'July2026-EXPENSE'!$T$9</f>
        <v/>
      </c>
      <c r="F5" s="91">
        <f>'July2026-EXPENSE'!$T$9</f>
        <v/>
      </c>
      <c r="G5" s="91">
        <f>'July2026-EXPENSE'!$T$9</f>
        <v/>
      </c>
      <c r="H5" s="91">
        <f>'July2026-EXPENSE'!$T$9</f>
        <v/>
      </c>
      <c r="I5" s="91">
        <f>'July2026-EXPENSE'!$T$9</f>
        <v/>
      </c>
      <c r="J5" s="91">
        <f>'July2026-EXPENSE'!$T$9</f>
        <v/>
      </c>
      <c r="K5" s="91">
        <f>'July2026-EXPENSE'!$T$9</f>
        <v/>
      </c>
      <c r="L5" s="91">
        <f>'July2026-EXPENSE'!$T$9</f>
        <v/>
      </c>
      <c r="M5" s="91">
        <f>'July2026-EXPENSE'!$T$9</f>
        <v/>
      </c>
      <c r="N5" s="91">
        <f>'July2026-EXPENSE'!$T$9</f>
        <v/>
      </c>
      <c r="O5" s="91">
        <f>'July2026-EXPENSE'!$T$9</f>
        <v/>
      </c>
      <c r="P5" s="91">
        <f>'July2026-EXPENSE'!$T$9</f>
        <v/>
      </c>
      <c r="Q5" s="91">
        <f>'July2026-EXPENSE'!$T$9</f>
        <v/>
      </c>
      <c r="R5" s="91">
        <f>'July2026-EXPENSE'!$T$9</f>
        <v/>
      </c>
      <c r="S5" s="91">
        <f>'July2026-EXPENSE'!$T$9</f>
        <v/>
      </c>
      <c r="T5" s="91">
        <f>'July2026-EXPENSE'!$T$9</f>
        <v/>
      </c>
      <c r="U5" s="91">
        <f>'July2026-EXPENSE'!$T$9</f>
        <v/>
      </c>
      <c r="V5" s="91">
        <f>'July2026-EXPENSE'!$T$9</f>
        <v/>
      </c>
      <c r="W5" s="91">
        <f>'July2026-EXPENSE'!$T$9</f>
        <v/>
      </c>
      <c r="X5" s="91">
        <f>'July2026-EXPENSE'!$T$9</f>
        <v/>
      </c>
      <c r="Y5" s="91">
        <f>'July2026-EXPENSE'!$T$9</f>
        <v/>
      </c>
      <c r="Z5" s="91">
        <f>'July2026-EXPENSE'!$T$9</f>
        <v/>
      </c>
      <c r="AA5" s="91">
        <f>'July2026-EXPENSE'!$T$9</f>
        <v/>
      </c>
      <c r="AB5" s="91">
        <f>'July2026-EXPENSE'!$T$9</f>
        <v/>
      </c>
      <c r="AC5" s="91">
        <f>'July2026-EXPENSE'!$T$9</f>
        <v/>
      </c>
      <c r="AD5" s="91">
        <f>'July2026-EXPENSE'!$T$9</f>
        <v/>
      </c>
      <c r="AE5" s="91">
        <f>'July2026-EXPENSE'!$T$9</f>
        <v/>
      </c>
      <c r="AF5" s="91">
        <f>'July2026-EXPENSE'!$T$9</f>
        <v/>
      </c>
      <c r="AG5" s="91">
        <f>'July2026-EXPENSE'!$T$9</f>
        <v/>
      </c>
      <c r="AH5" s="91">
        <f>'July2026-EXPENSE'!$T$9</f>
        <v/>
      </c>
      <c r="AI5" s="91">
        <f>'July2026-EXPENSE'!$T$9</f>
        <v/>
      </c>
      <c r="AJ5" s="91">
        <f>'July2026-EXPENSE'!$T$9</f>
        <v/>
      </c>
      <c r="AK5" s="91">
        <f>'July2026-EXPENSE'!$T$9</f>
        <v/>
      </c>
      <c r="AL5" s="91">
        <f>'July2026-EXPENSE'!$T$9</f>
        <v/>
      </c>
      <c r="AM5" s="91">
        <f>'July2026-EXPENSE'!$T$9</f>
        <v/>
      </c>
      <c r="AN5" s="91">
        <f>'July2026-EXPENSE'!$T$9</f>
        <v/>
      </c>
      <c r="AO5" s="91">
        <f>'July2026-EXPENSE'!$T$9</f>
        <v/>
      </c>
      <c r="AP5" s="91">
        <f>'July2026-EXPENSE'!$T$9</f>
        <v/>
      </c>
      <c r="AQ5" s="91">
        <f>'July2026-EXPENSE'!$T$9</f>
        <v/>
      </c>
      <c r="AR5" s="91">
        <f>'July2026-EXPENSE'!$T$9</f>
        <v/>
      </c>
      <c r="AS5" s="91">
        <f>'July2026-EXPENSE'!$T$9</f>
        <v/>
      </c>
      <c r="AT5" s="91">
        <f>'July2026-EXPENSE'!$T$9</f>
        <v/>
      </c>
      <c r="AU5" s="91">
        <f>'July2026-EXPENSE'!$T$9</f>
        <v/>
      </c>
      <c r="AV5" s="91">
        <f>'July2026-EXPENSE'!$T$9</f>
        <v/>
      </c>
      <c r="AW5" s="91">
        <f>'July2026-EXPENSE'!$T$9</f>
        <v/>
      </c>
      <c r="AX5" s="91">
        <f>'July2026-EXPENSE'!$T$9</f>
        <v/>
      </c>
      <c r="AY5" s="91">
        <f>'July2026-EXPENSE'!$T$9</f>
        <v/>
      </c>
      <c r="AZ5" s="91">
        <f>'July2026-EXPENSE'!$T$9</f>
        <v/>
      </c>
      <c r="BA5" s="91">
        <f>'July2026-EXPENSE'!$T$9</f>
        <v/>
      </c>
      <c r="BB5" s="91">
        <f>'July2026-EXPENSE'!$T$9</f>
        <v/>
      </c>
      <c r="BC5" s="91">
        <f>'July2026-EXPENSE'!$T$9</f>
        <v/>
      </c>
      <c r="BD5" s="91">
        <f>'July2026-EXPENSE'!$T$9</f>
        <v/>
      </c>
      <c r="BE5" s="91">
        <f>'July2026-EXPENSE'!$T$9</f>
        <v/>
      </c>
      <c r="BF5" s="91">
        <f>'July2026-EXPENSE'!$T$9</f>
        <v/>
      </c>
      <c r="BG5" s="91">
        <f>'July2026-EXPENSE'!$T$9</f>
        <v/>
      </c>
      <c r="BH5" s="91">
        <f>'July2026-EXPENSE'!$T$9</f>
        <v/>
      </c>
      <c r="BI5" s="91">
        <f>'July2026-EXPENSE'!$T$9</f>
        <v/>
      </c>
      <c r="BJ5" s="91">
        <f>'July2026-EXPENSE'!$T$9</f>
        <v/>
      </c>
      <c r="BK5" s="91">
        <f>'July2026-EXPENSE'!$T$9</f>
        <v/>
      </c>
      <c r="BL5" s="91">
        <f>'July2026-EXPENSE'!$T$9</f>
        <v/>
      </c>
      <c r="BM5" s="91">
        <f>'July2026-EXPENSE'!$T$9</f>
        <v/>
      </c>
      <c r="BN5" s="91">
        <f>'July2026-EXPENSE'!$T$9</f>
        <v/>
      </c>
    </row>
    <row r="6">
      <c r="A6" s="40" t="inlineStr">
        <is>
          <t>Total water related expense</t>
        </is>
      </c>
      <c r="C6" s="46">
        <f t="array" ref="C6:BN6">TRANSPOSE('July2026-EXPENSE'!J6:J69)</f>
        <v/>
      </c>
      <c r="D6" s="46" t="n">
        <v>0</v>
      </c>
      <c r="E6" s="46" t="n">
        <v>0</v>
      </c>
      <c r="F6" s="46" t="n">
        <v>0</v>
      </c>
      <c r="G6" s="46" t="n">
        <v>0</v>
      </c>
      <c r="H6" s="46" t="n">
        <v>0</v>
      </c>
      <c r="I6" s="46" t="n">
        <v>0</v>
      </c>
      <c r="J6" s="46" t="n">
        <v>0</v>
      </c>
      <c r="K6" s="46" t="n">
        <v>0</v>
      </c>
      <c r="L6" s="46" t="n">
        <v>0</v>
      </c>
      <c r="M6" s="46" t="n">
        <v>0</v>
      </c>
      <c r="N6" s="46" t="n">
        <v>0</v>
      </c>
      <c r="O6" s="46" t="n">
        <v>0</v>
      </c>
      <c r="P6" s="46" t="n">
        <v>0</v>
      </c>
      <c r="Q6" s="46" t="n">
        <v>0</v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0</v>
      </c>
      <c r="AR6" s="46" t="n">
        <v>0</v>
      </c>
      <c r="AS6" s="46" t="n">
        <v>0</v>
      </c>
      <c r="AT6" s="46" t="n">
        <v>0</v>
      </c>
      <c r="AU6" s="46" t="n">
        <v>0</v>
      </c>
      <c r="AV6" s="46" t="n">
        <v>0</v>
      </c>
      <c r="AW6" s="46" t="n">
        <v>0</v>
      </c>
      <c r="AX6" s="46" t="n">
        <v>0</v>
      </c>
      <c r="AY6" s="46" t="n">
        <v>0</v>
      </c>
      <c r="AZ6" s="46" t="n">
        <v>0</v>
      </c>
      <c r="BA6" s="46" t="n">
        <v>0</v>
      </c>
      <c r="BB6" s="46" t="n">
        <v>0</v>
      </c>
      <c r="BC6" s="46" t="n">
        <v>0</v>
      </c>
      <c r="BD6" s="46" t="n">
        <v>0</v>
      </c>
      <c r="BE6" s="46" t="n">
        <v>0</v>
      </c>
      <c r="BF6" s="46" t="n">
        <v>0</v>
      </c>
      <c r="BG6" s="46" t="n">
        <v>0</v>
      </c>
      <c r="BH6" s="46" t="n">
        <v>0</v>
      </c>
      <c r="BI6" s="46" t="n">
        <v>0</v>
      </c>
      <c r="BJ6" s="46" t="n">
        <v>0</v>
      </c>
      <c r="BK6" s="46" t="n">
        <v>0</v>
      </c>
      <c r="BL6" s="46" t="n">
        <v>0</v>
      </c>
      <c r="BM6" s="46" t="n">
        <v>0</v>
      </c>
      <c r="BN6" s="46" t="n">
        <v>0</v>
      </c>
    </row>
    <row r="7">
      <c r="A7" s="40" t="inlineStr">
        <is>
          <t>Society Parking Rent</t>
        </is>
      </c>
      <c r="C7" s="46">
        <f t="array" ref="C7:BN7">TRANSPOSE('July2026-EXPENSE'!L6:L69)</f>
        <v/>
      </c>
      <c r="D7" s="46" t="n">
        <v>0</v>
      </c>
      <c r="E7" s="46" t="n">
        <v>0</v>
      </c>
      <c r="F7" s="46" t="n">
        <v>0</v>
      </c>
      <c r="G7" s="46" t="n">
        <v>0</v>
      </c>
      <c r="H7" s="46" t="n">
        <v>0</v>
      </c>
      <c r="I7" s="46" t="n">
        <v>0</v>
      </c>
      <c r="J7" s="46" t="n">
        <v>0</v>
      </c>
      <c r="K7" s="46" t="n">
        <v>0</v>
      </c>
      <c r="L7" s="46" t="n">
        <v>0</v>
      </c>
      <c r="M7" s="46" t="n">
        <v>0</v>
      </c>
      <c r="N7" s="46" t="n">
        <v>0</v>
      </c>
      <c r="O7" s="46" t="n">
        <v>0</v>
      </c>
      <c r="P7" s="46" t="n">
        <v>0</v>
      </c>
      <c r="Q7" s="46" t="n">
        <v>0</v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s="46" t="n">
        <v>0</v>
      </c>
      <c r="AS7" s="46" t="n">
        <v>0</v>
      </c>
      <c r="AT7" s="46" t="n">
        <v>0</v>
      </c>
      <c r="AU7" s="46" t="n">
        <v>0</v>
      </c>
      <c r="AV7" s="46" t="n">
        <v>0</v>
      </c>
      <c r="AW7" s="46" t="n">
        <v>0</v>
      </c>
      <c r="AX7" s="46" t="n">
        <v>0</v>
      </c>
      <c r="AY7" s="46" t="n">
        <v>0</v>
      </c>
      <c r="AZ7" s="46" t="n">
        <v>0</v>
      </c>
      <c r="BA7" s="46" t="n">
        <v>0</v>
      </c>
      <c r="BB7" s="46" t="n">
        <v>0</v>
      </c>
      <c r="BC7" s="46" t="n">
        <v>0</v>
      </c>
      <c r="BD7" s="46" t="n">
        <v>0</v>
      </c>
      <c r="BE7" s="46" t="n">
        <v>0</v>
      </c>
      <c r="BF7" s="46" t="n">
        <v>0</v>
      </c>
      <c r="BG7" s="46" t="n">
        <v>0</v>
      </c>
      <c r="BH7" s="46" t="n">
        <v>0</v>
      </c>
      <c r="BI7" s="46" t="n">
        <v>0</v>
      </c>
      <c r="BJ7" s="46" t="n">
        <v>0</v>
      </c>
      <c r="BK7" s="46" t="n">
        <v>0</v>
      </c>
      <c r="BL7" s="46" t="n">
        <v>0</v>
      </c>
      <c r="BM7" s="46" t="n">
        <v>0</v>
      </c>
      <c r="BN7" s="46" t="n">
        <v>0</v>
      </c>
    </row>
    <row r="8">
      <c r="A8" s="40" t="inlineStr">
        <is>
          <t>Clubhouse booking fee</t>
        </is>
      </c>
      <c r="C8" s="46">
        <f t="array" ref="C8:BN8">TRANSPOSE('July2026-EXPENSE'!M6:M69)</f>
        <v/>
      </c>
      <c r="D8" s="46" t="n">
        <v>0</v>
      </c>
      <c r="E8" s="46" t="n">
        <v>0</v>
      </c>
      <c r="F8" s="46" t="n">
        <v>0</v>
      </c>
      <c r="G8" s="46" t="n">
        <v>0</v>
      </c>
      <c r="H8" s="46" t="n">
        <v>0</v>
      </c>
      <c r="I8" s="46" t="n">
        <v>0</v>
      </c>
      <c r="J8" s="46" t="n">
        <v>0</v>
      </c>
      <c r="K8" s="46" t="n">
        <v>0</v>
      </c>
      <c r="L8" s="46" t="n">
        <v>0</v>
      </c>
      <c r="M8" s="46" t="n">
        <v>0</v>
      </c>
      <c r="N8" s="46" t="n">
        <v>0</v>
      </c>
      <c r="O8" s="46" t="n">
        <v>0</v>
      </c>
      <c r="P8" s="46" t="n">
        <v>0</v>
      </c>
      <c r="Q8" s="46" t="n">
        <v>0</v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s="46" t="n">
        <v>0</v>
      </c>
      <c r="AS8" s="46" t="n">
        <v>0</v>
      </c>
      <c r="AT8" s="46" t="n">
        <v>0</v>
      </c>
      <c r="AU8" s="46" t="n">
        <v>0</v>
      </c>
      <c r="AV8" s="46" t="n">
        <v>0</v>
      </c>
      <c r="AW8" s="46" t="n">
        <v>0</v>
      </c>
      <c r="AX8" s="46" t="n">
        <v>0</v>
      </c>
      <c r="AY8" s="46" t="n">
        <v>0</v>
      </c>
      <c r="AZ8" s="46" t="n">
        <v>0</v>
      </c>
      <c r="BA8" s="46" t="n">
        <v>0</v>
      </c>
      <c r="BB8" s="46" t="n">
        <v>0</v>
      </c>
      <c r="BC8" s="46" t="n">
        <v>0</v>
      </c>
      <c r="BD8" s="46" t="n">
        <v>0</v>
      </c>
      <c r="BE8" s="46" t="n">
        <v>0</v>
      </c>
      <c r="BF8" s="46" t="n">
        <v>0</v>
      </c>
      <c r="BG8" s="46" t="n">
        <v>0</v>
      </c>
      <c r="BH8" s="46" t="n">
        <v>0</v>
      </c>
      <c r="BI8" s="46" t="n">
        <v>0</v>
      </c>
      <c r="BJ8" s="46" t="n">
        <v>0</v>
      </c>
      <c r="BK8" s="46" t="n">
        <v>0</v>
      </c>
      <c r="BL8" s="46" t="n">
        <v>0</v>
      </c>
      <c r="BM8" s="46" t="n">
        <v>0</v>
      </c>
      <c r="BN8" s="46" t="n">
        <v>0</v>
      </c>
    </row>
    <row r="9">
      <c r="A9" s="40" t="inlineStr">
        <is>
          <t>Moving in/out charges</t>
        </is>
      </c>
      <c r="C9" s="46">
        <f t="array" ref="C9:BN9">TRANSPOSE('July2026-EXPENSE'!N6:N69)</f>
        <v/>
      </c>
      <c r="D9" s="46" t="n">
        <v>0</v>
      </c>
      <c r="E9" s="46" t="n">
        <v>0</v>
      </c>
      <c r="F9" s="46" t="n">
        <v>0</v>
      </c>
      <c r="G9" s="46" t="n">
        <v>0</v>
      </c>
      <c r="H9" s="46" t="n">
        <v>0</v>
      </c>
      <c r="I9" s="46" t="n">
        <v>0</v>
      </c>
      <c r="J9" s="46" t="n">
        <v>0</v>
      </c>
      <c r="K9" s="46" t="n">
        <v>0</v>
      </c>
      <c r="L9" s="46" t="n">
        <v>0</v>
      </c>
      <c r="M9" s="46" t="n">
        <v>0</v>
      </c>
      <c r="N9" s="46" t="n">
        <v>0</v>
      </c>
      <c r="O9" s="46" t="n">
        <v>0</v>
      </c>
      <c r="P9" s="46" t="n">
        <v>0</v>
      </c>
      <c r="Q9" s="46" t="n">
        <v>0</v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0</v>
      </c>
      <c r="AR9" s="46" t="n">
        <v>0</v>
      </c>
      <c r="AS9" s="46" t="n">
        <v>0</v>
      </c>
      <c r="AT9" s="46" t="n">
        <v>0</v>
      </c>
      <c r="AU9" s="46" t="n">
        <v>0</v>
      </c>
      <c r="AV9" s="46" t="n">
        <v>0</v>
      </c>
      <c r="AW9" s="46" t="n">
        <v>0</v>
      </c>
      <c r="AX9" s="46" t="n">
        <v>0</v>
      </c>
      <c r="AY9" s="46" t="n">
        <v>0</v>
      </c>
      <c r="AZ9" s="46" t="n">
        <v>0</v>
      </c>
      <c r="BA9" s="46" t="n">
        <v>0</v>
      </c>
      <c r="BB9" s="46" t="n">
        <v>0</v>
      </c>
      <c r="BC9" s="46" t="n">
        <v>0</v>
      </c>
      <c r="BD9" s="46" t="n">
        <v>0</v>
      </c>
      <c r="BE9" s="46" t="n">
        <v>0</v>
      </c>
      <c r="BF9" s="46" t="n">
        <v>0</v>
      </c>
      <c r="BG9" s="46" t="n">
        <v>0</v>
      </c>
      <c r="BH9" s="46" t="n">
        <v>0</v>
      </c>
      <c r="BI9" s="46" t="n">
        <v>0</v>
      </c>
      <c r="BJ9" s="46" t="n">
        <v>0</v>
      </c>
      <c r="BK9" s="46" t="n">
        <v>0</v>
      </c>
      <c r="BL9" s="46" t="n">
        <v>0</v>
      </c>
      <c r="BM9" s="46" t="n">
        <v>0</v>
      </c>
      <c r="BN9" s="46" t="n">
        <v>0</v>
      </c>
    </row>
    <row r="10">
      <c r="A10" s="40" t="inlineStr">
        <is>
          <t>Gym usage fee</t>
        </is>
      </c>
      <c r="C10" s="46">
        <f t="array" ref="C10:BN10">TRANSPOSE('July2026-EXPENSE'!O6:O69)</f>
        <v/>
      </c>
      <c r="D10" s="46" t="n">
        <v>0</v>
      </c>
      <c r="E10" s="46" t="n">
        <v>0</v>
      </c>
      <c r="F10" s="46" t="n">
        <v>0</v>
      </c>
      <c r="G10" s="46" t="n">
        <v>0</v>
      </c>
      <c r="H10" s="46" t="n">
        <v>0</v>
      </c>
      <c r="I10" s="46" t="n">
        <v>0</v>
      </c>
      <c r="J10" s="46" t="n">
        <v>0</v>
      </c>
      <c r="K10" s="46" t="n">
        <v>0</v>
      </c>
      <c r="L10" s="46" t="n">
        <v>0</v>
      </c>
      <c r="M10" s="46" t="n">
        <v>0</v>
      </c>
      <c r="N10" s="46" t="n">
        <v>0</v>
      </c>
      <c r="O10" s="46" t="n">
        <v>0</v>
      </c>
      <c r="P10" s="46" t="n">
        <v>0</v>
      </c>
      <c r="Q10" s="46" t="n">
        <v>0</v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0</v>
      </c>
      <c r="AR10" s="46" t="n">
        <v>0</v>
      </c>
      <c r="AS10" s="46" t="n">
        <v>0</v>
      </c>
      <c r="AT10" s="46" t="n">
        <v>0</v>
      </c>
      <c r="AU10" s="46" t="n">
        <v>0</v>
      </c>
      <c r="AV10" s="46" t="n">
        <v>0</v>
      </c>
      <c r="AW10" s="46" t="n">
        <v>0</v>
      </c>
      <c r="AX10" s="46" t="n">
        <v>0</v>
      </c>
      <c r="AY10" s="46" t="n">
        <v>0</v>
      </c>
      <c r="AZ10" s="46" t="n">
        <v>0</v>
      </c>
      <c r="BA10" s="46" t="n">
        <v>0</v>
      </c>
      <c r="BB10" s="46" t="n">
        <v>0</v>
      </c>
      <c r="BC10" s="46" t="n">
        <v>0</v>
      </c>
      <c r="BD10" s="46" t="n">
        <v>0</v>
      </c>
      <c r="BE10" s="46" t="n">
        <v>0</v>
      </c>
      <c r="BF10" s="46" t="n">
        <v>0</v>
      </c>
      <c r="BG10" s="46" t="n">
        <v>0</v>
      </c>
      <c r="BH10" s="46" t="n">
        <v>0</v>
      </c>
      <c r="BI10" s="46" t="n">
        <v>0</v>
      </c>
      <c r="BJ10" s="46" t="n">
        <v>0</v>
      </c>
      <c r="BK10" s="46" t="n">
        <v>0</v>
      </c>
      <c r="BL10" s="46" t="n">
        <v>0</v>
      </c>
      <c r="BM10" s="46" t="n">
        <v>0</v>
      </c>
      <c r="BN10" s="46" t="n">
        <v>0</v>
      </c>
    </row>
    <row r="11">
      <c r="A11" s="46">
        <f t="array" ref="A11:A64">TRANSPOSE('ANNUAL-EXPENSE-DETAILS'!B2:BC2)</f>
        <v/>
      </c>
      <c r="B11" s="46">
        <f t="array" ref="B11:B64">TRANSPOSE('ANNUAL-EXPENSE-DETAILS'!B6:BC6)</f>
        <v/>
      </c>
    </row>
    <row r="12">
      <c r="A12" s="46" t="inlineStr">
        <is>
          <t>STP SLUDGE CLEANING
BALAJI</t>
        </is>
      </c>
      <c r="B12" s="46" t="n">
        <v>0</v>
      </c>
    </row>
    <row r="13">
      <c r="A13" s="46" t="inlineStr">
        <is>
          <t>STP MAINTENANCE</t>
        </is>
      </c>
      <c r="B13" s="46" t="n">
        <v>0</v>
      </c>
      <c r="C13" s="40">
        <f>$B13/64</f>
        <v/>
      </c>
      <c r="D13" s="40">
        <f>$B13/64</f>
        <v/>
      </c>
      <c r="E13" s="40">
        <f>$B13/64</f>
        <v/>
      </c>
      <c r="F13" s="40">
        <f>$B13/64</f>
        <v/>
      </c>
      <c r="G13" s="40">
        <f>$B13/64</f>
        <v/>
      </c>
      <c r="H13" s="40">
        <f>$B13/64</f>
        <v/>
      </c>
      <c r="I13" s="40">
        <f>$B13/64</f>
        <v/>
      </c>
      <c r="J13" s="40">
        <f>$B13/64</f>
        <v/>
      </c>
      <c r="K13" s="40">
        <f>$B13/64</f>
        <v/>
      </c>
      <c r="L13" s="40">
        <f>$B13/64</f>
        <v/>
      </c>
      <c r="M13" s="40">
        <f>$B13/64</f>
        <v/>
      </c>
      <c r="N13" s="40">
        <f>$B13/64</f>
        <v/>
      </c>
      <c r="O13" s="40">
        <f>$B13/64</f>
        <v/>
      </c>
      <c r="P13" s="40">
        <f>$B13/64</f>
        <v/>
      </c>
      <c r="Q13" s="40">
        <f>$B13/64</f>
        <v/>
      </c>
      <c r="R13" s="40">
        <f>$B13/64</f>
        <v/>
      </c>
      <c r="S13" s="40">
        <f>$B13/64</f>
        <v/>
      </c>
      <c r="T13" s="40">
        <f>$B13/64</f>
        <v/>
      </c>
      <c r="U13" s="40">
        <f>$B13/64</f>
        <v/>
      </c>
      <c r="V13" s="40">
        <f>$B13/64</f>
        <v/>
      </c>
      <c r="W13" s="40">
        <f>$B13/64</f>
        <v/>
      </c>
      <c r="X13" s="40">
        <f>$B13/64</f>
        <v/>
      </c>
      <c r="Y13" s="40">
        <f>$B13/64</f>
        <v/>
      </c>
      <c r="Z13" s="40">
        <f>$B13/64</f>
        <v/>
      </c>
      <c r="AA13" s="40">
        <f>$B13/64</f>
        <v/>
      </c>
      <c r="AB13" s="40">
        <f>$B13/64</f>
        <v/>
      </c>
      <c r="AC13" s="40">
        <f>$B13/64</f>
        <v/>
      </c>
      <c r="AD13" s="40">
        <f>$B13/64</f>
        <v/>
      </c>
      <c r="AE13" s="40">
        <f>$B13/64</f>
        <v/>
      </c>
      <c r="AF13" s="40">
        <f>$B13/64</f>
        <v/>
      </c>
      <c r="AG13" s="40">
        <f>$B13/64</f>
        <v/>
      </c>
      <c r="AH13" s="40">
        <f>$B13/64</f>
        <v/>
      </c>
      <c r="AI13" s="40">
        <f>$B13/64</f>
        <v/>
      </c>
      <c r="AJ13" s="40">
        <f>$B13/64</f>
        <v/>
      </c>
      <c r="AK13" s="40">
        <f>$B13/64</f>
        <v/>
      </c>
      <c r="AL13" s="40">
        <f>$B13/64</f>
        <v/>
      </c>
      <c r="AM13" s="40">
        <f>$B13/64</f>
        <v/>
      </c>
      <c r="AN13" s="40">
        <f>$B13/64</f>
        <v/>
      </c>
      <c r="AO13" s="40">
        <f>$B13/64</f>
        <v/>
      </c>
      <c r="AP13" s="40">
        <f>$B13/64</f>
        <v/>
      </c>
      <c r="AQ13" s="40">
        <f>$B13/64</f>
        <v/>
      </c>
      <c r="AR13" s="40">
        <f>$B13/64</f>
        <v/>
      </c>
      <c r="AS13" s="40">
        <f>$B13/64</f>
        <v/>
      </c>
      <c r="AT13" s="40">
        <f>$B13/64</f>
        <v/>
      </c>
      <c r="AU13" s="40">
        <f>$B13/64</f>
        <v/>
      </c>
      <c r="AV13" s="40">
        <f>$B13/64</f>
        <v/>
      </c>
      <c r="AW13" s="40">
        <f>$B13/64</f>
        <v/>
      </c>
      <c r="AX13" s="40">
        <f>$B13/64</f>
        <v/>
      </c>
      <c r="AY13" s="40">
        <f>$B13/64</f>
        <v/>
      </c>
      <c r="AZ13" s="40">
        <f>$B13/64</f>
        <v/>
      </c>
      <c r="BA13" s="40">
        <f>$B13/64</f>
        <v/>
      </c>
      <c r="BB13" s="40">
        <f>$B13/64</f>
        <v/>
      </c>
      <c r="BC13" s="40">
        <f>$B13/64</f>
        <v/>
      </c>
      <c r="BD13" s="40">
        <f>$B13/64</f>
        <v/>
      </c>
      <c r="BE13" s="40">
        <f>$B13/64</f>
        <v/>
      </c>
      <c r="BF13" s="40">
        <f>$B13/64</f>
        <v/>
      </c>
      <c r="BG13" s="40">
        <f>$B13/64</f>
        <v/>
      </c>
      <c r="BH13" s="40">
        <f>$B13/64</f>
        <v/>
      </c>
      <c r="BI13" s="40">
        <f>$B13/64</f>
        <v/>
      </c>
      <c r="BJ13" s="40">
        <f>$B13/64</f>
        <v/>
      </c>
      <c r="BK13" s="40">
        <f>$B13/64</f>
        <v/>
      </c>
      <c r="BL13" s="40">
        <f>$B13/64</f>
        <v/>
      </c>
      <c r="BM13" s="40">
        <f>$B13/64</f>
        <v/>
      </c>
      <c r="BN13" s="40">
        <f>$B13/64</f>
        <v/>
      </c>
    </row>
    <row r="14">
      <c r="A14" s="46" t="inlineStr">
        <is>
          <t>STP MATERIALS</t>
        </is>
      </c>
      <c r="B14" s="46" t="n">
        <v>0</v>
      </c>
      <c r="C14" s="40">
        <f>$B14/64</f>
        <v/>
      </c>
      <c r="D14" s="40">
        <f>$B14/64</f>
        <v/>
      </c>
      <c r="E14" s="40">
        <f>$B14/64</f>
        <v/>
      </c>
      <c r="F14" s="40">
        <f>$B14/64</f>
        <v/>
      </c>
      <c r="G14" s="40">
        <f>$B14/64</f>
        <v/>
      </c>
      <c r="H14" s="40">
        <f>$B14/64</f>
        <v/>
      </c>
      <c r="I14" s="40">
        <f>$B14/64</f>
        <v/>
      </c>
      <c r="J14" s="40">
        <f>$B14/64</f>
        <v/>
      </c>
      <c r="K14" s="40">
        <f>$B14/64</f>
        <v/>
      </c>
      <c r="L14" s="40">
        <f>$B14/64</f>
        <v/>
      </c>
      <c r="M14" s="40">
        <f>$B14/64</f>
        <v/>
      </c>
      <c r="N14" s="40">
        <f>$B14/64</f>
        <v/>
      </c>
      <c r="O14" s="40">
        <f>$B14/64</f>
        <v/>
      </c>
      <c r="P14" s="40">
        <f>$B14/64</f>
        <v/>
      </c>
      <c r="Q14" s="40">
        <f>$B14/64</f>
        <v/>
      </c>
      <c r="R14" s="40">
        <f>$B14/64</f>
        <v/>
      </c>
      <c r="S14" s="40">
        <f>$B14/64</f>
        <v/>
      </c>
      <c r="T14" s="40">
        <f>$B14/64</f>
        <v/>
      </c>
      <c r="U14" s="40">
        <f>$B14/64</f>
        <v/>
      </c>
      <c r="V14" s="40">
        <f>$B14/64</f>
        <v/>
      </c>
      <c r="W14" s="40">
        <f>$B14/64</f>
        <v/>
      </c>
      <c r="X14" s="40">
        <f>$B14/64</f>
        <v/>
      </c>
      <c r="Y14" s="40">
        <f>$B14/64</f>
        <v/>
      </c>
      <c r="Z14" s="40">
        <f>$B14/64</f>
        <v/>
      </c>
      <c r="AA14" s="40">
        <f>$B14/64</f>
        <v/>
      </c>
      <c r="AB14" s="40">
        <f>$B14/64</f>
        <v/>
      </c>
      <c r="AC14" s="40">
        <f>$B14/64</f>
        <v/>
      </c>
      <c r="AD14" s="40">
        <f>$B14/64</f>
        <v/>
      </c>
      <c r="AE14" s="40">
        <f>$B14/64</f>
        <v/>
      </c>
      <c r="AF14" s="40">
        <f>$B14/64</f>
        <v/>
      </c>
      <c r="AG14" s="40">
        <f>$B14/64</f>
        <v/>
      </c>
      <c r="AH14" s="40">
        <f>$B14/64</f>
        <v/>
      </c>
      <c r="AI14" s="40">
        <f>$B14/64</f>
        <v/>
      </c>
      <c r="AJ14" s="40">
        <f>$B14/64</f>
        <v/>
      </c>
      <c r="AK14" s="40">
        <f>$B14/64</f>
        <v/>
      </c>
      <c r="AL14" s="40">
        <f>$B14/64</f>
        <v/>
      </c>
      <c r="AM14" s="40">
        <f>$B14/64</f>
        <v/>
      </c>
      <c r="AN14" s="40">
        <f>$B14/64</f>
        <v/>
      </c>
      <c r="AO14" s="40">
        <f>$B14/64</f>
        <v/>
      </c>
      <c r="AP14" s="40">
        <f>$B14/64</f>
        <v/>
      </c>
      <c r="AQ14" s="40">
        <f>$B14/64</f>
        <v/>
      </c>
      <c r="AR14" s="40">
        <f>$B14/64</f>
        <v/>
      </c>
      <c r="AS14" s="40">
        <f>$B14/64</f>
        <v/>
      </c>
      <c r="AT14" s="40">
        <f>$B14/64</f>
        <v/>
      </c>
      <c r="AU14" s="40">
        <f>$B14/64</f>
        <v/>
      </c>
      <c r="AV14" s="40">
        <f>$B14/64</f>
        <v/>
      </c>
      <c r="AW14" s="40">
        <f>$B14/64</f>
        <v/>
      </c>
      <c r="AX14" s="40">
        <f>$B14/64</f>
        <v/>
      </c>
      <c r="AY14" s="40">
        <f>$B14/64</f>
        <v/>
      </c>
      <c r="AZ14" s="40">
        <f>$B14/64</f>
        <v/>
      </c>
      <c r="BA14" s="40">
        <f>$B14/64</f>
        <v/>
      </c>
      <c r="BB14" s="40">
        <f>$B14/64</f>
        <v/>
      </c>
      <c r="BC14" s="40">
        <f>$B14/64</f>
        <v/>
      </c>
      <c r="BD14" s="40">
        <f>$B14/64</f>
        <v/>
      </c>
      <c r="BE14" s="40">
        <f>$B14/64</f>
        <v/>
      </c>
      <c r="BF14" s="40">
        <f>$B14/64</f>
        <v/>
      </c>
      <c r="BG14" s="40">
        <f>$B14/64</f>
        <v/>
      </c>
      <c r="BH14" s="40">
        <f>$B14/64</f>
        <v/>
      </c>
      <c r="BI14" s="40">
        <f>$B14/64</f>
        <v/>
      </c>
      <c r="BJ14" s="40">
        <f>$B14/64</f>
        <v/>
      </c>
      <c r="BK14" s="40">
        <f>$B14/64</f>
        <v/>
      </c>
      <c r="BL14" s="40">
        <f>$B14/64</f>
        <v/>
      </c>
      <c r="BM14" s="40">
        <f>$B14/64</f>
        <v/>
      </c>
      <c r="BN14" s="40">
        <f>$B14/64</f>
        <v/>
      </c>
    </row>
    <row r="15">
      <c r="A15" s="46" t="inlineStr">
        <is>
          <t>STP REPAIR</t>
        </is>
      </c>
      <c r="B15" s="46" t="n">
        <v>0</v>
      </c>
      <c r="C15" s="40">
        <f>$B15/64</f>
        <v/>
      </c>
      <c r="D15" s="40">
        <f>$B15/64</f>
        <v/>
      </c>
      <c r="E15" s="40">
        <f>$B15/64</f>
        <v/>
      </c>
      <c r="F15" s="40">
        <f>$B15/64</f>
        <v/>
      </c>
      <c r="G15" s="40">
        <f>$B15/64</f>
        <v/>
      </c>
      <c r="H15" s="40">
        <f>$B15/64</f>
        <v/>
      </c>
      <c r="I15" s="40">
        <f>$B15/64</f>
        <v/>
      </c>
      <c r="J15" s="40">
        <f>$B15/64</f>
        <v/>
      </c>
      <c r="K15" s="40">
        <f>$B15/64</f>
        <v/>
      </c>
      <c r="L15" s="40">
        <f>$B15/64</f>
        <v/>
      </c>
      <c r="M15" s="40">
        <f>$B15/64</f>
        <v/>
      </c>
      <c r="N15" s="40">
        <f>$B15/64</f>
        <v/>
      </c>
      <c r="O15" s="40">
        <f>$B15/64</f>
        <v/>
      </c>
      <c r="P15" s="40">
        <f>$B15/64</f>
        <v/>
      </c>
      <c r="Q15" s="40">
        <f>$B15/64</f>
        <v/>
      </c>
      <c r="R15" s="40">
        <f>$B15/64</f>
        <v/>
      </c>
      <c r="S15" s="40">
        <f>$B15/64</f>
        <v/>
      </c>
      <c r="T15" s="40">
        <f>$B15/64</f>
        <v/>
      </c>
      <c r="U15" s="40">
        <f>$B15/64</f>
        <v/>
      </c>
      <c r="V15" s="40">
        <f>$B15/64</f>
        <v/>
      </c>
      <c r="W15" s="40">
        <f>$B15/64</f>
        <v/>
      </c>
      <c r="X15" s="40">
        <f>$B15/64</f>
        <v/>
      </c>
      <c r="Y15" s="40">
        <f>$B15/64</f>
        <v/>
      </c>
      <c r="Z15" s="40">
        <f>$B15/64</f>
        <v/>
      </c>
      <c r="AA15" s="40">
        <f>$B15/64</f>
        <v/>
      </c>
      <c r="AB15" s="40">
        <f>$B15/64</f>
        <v/>
      </c>
      <c r="AC15" s="40">
        <f>$B15/64</f>
        <v/>
      </c>
      <c r="AD15" s="40">
        <f>$B15/64</f>
        <v/>
      </c>
      <c r="AE15" s="40">
        <f>$B15/64</f>
        <v/>
      </c>
      <c r="AF15" s="40">
        <f>$B15/64</f>
        <v/>
      </c>
      <c r="AG15" s="40">
        <f>$B15/64</f>
        <v/>
      </c>
      <c r="AH15" s="40">
        <f>$B15/64</f>
        <v/>
      </c>
      <c r="AI15" s="40">
        <f>$B15/64</f>
        <v/>
      </c>
      <c r="AJ15" s="40">
        <f>$B15/64</f>
        <v/>
      </c>
      <c r="AK15" s="40">
        <f>$B15/64</f>
        <v/>
      </c>
      <c r="AL15" s="40">
        <f>$B15/64</f>
        <v/>
      </c>
      <c r="AM15" s="40">
        <f>$B15/64</f>
        <v/>
      </c>
      <c r="AN15" s="40">
        <f>$B15/64</f>
        <v/>
      </c>
      <c r="AO15" s="40">
        <f>$B15/64</f>
        <v/>
      </c>
      <c r="AP15" s="40">
        <f>$B15/64</f>
        <v/>
      </c>
      <c r="AQ15" s="40">
        <f>$B15/64</f>
        <v/>
      </c>
      <c r="AR15" s="40">
        <f>$B15/64</f>
        <v/>
      </c>
      <c r="AS15" s="40">
        <f>$B15/64</f>
        <v/>
      </c>
      <c r="AT15" s="40">
        <f>$B15/64</f>
        <v/>
      </c>
      <c r="AU15" s="40">
        <f>$B15/64</f>
        <v/>
      </c>
      <c r="AV15" s="40">
        <f>$B15/64</f>
        <v/>
      </c>
      <c r="AW15" s="40">
        <f>$B15/64</f>
        <v/>
      </c>
      <c r="AX15" s="40">
        <f>$B15/64</f>
        <v/>
      </c>
      <c r="AY15" s="40">
        <f>$B15/64</f>
        <v/>
      </c>
      <c r="AZ15" s="40">
        <f>$B15/64</f>
        <v/>
      </c>
      <c r="BA15" s="40">
        <f>$B15/64</f>
        <v/>
      </c>
      <c r="BB15" s="40">
        <f>$B15/64</f>
        <v/>
      </c>
      <c r="BC15" s="40">
        <f>$B15/64</f>
        <v/>
      </c>
      <c r="BD15" s="40">
        <f>$B15/64</f>
        <v/>
      </c>
      <c r="BE15" s="40">
        <f>$B15/64</f>
        <v/>
      </c>
      <c r="BF15" s="40">
        <f>$B15/64</f>
        <v/>
      </c>
      <c r="BG15" s="40">
        <f>$B15/64</f>
        <v/>
      </c>
      <c r="BH15" s="40">
        <f>$B15/64</f>
        <v/>
      </c>
      <c r="BI15" s="40">
        <f>$B15/64</f>
        <v/>
      </c>
      <c r="BJ15" s="40">
        <f>$B15/64</f>
        <v/>
      </c>
      <c r="BK15" s="40">
        <f>$B15/64</f>
        <v/>
      </c>
      <c r="BL15" s="40">
        <f>$B15/64</f>
        <v/>
      </c>
      <c r="BM15" s="40">
        <f>$B15/64</f>
        <v/>
      </c>
      <c r="BN15" s="40">
        <f>$B15/64</f>
        <v/>
      </c>
    </row>
    <row r="16">
      <c r="A16" s="46" t="inlineStr">
        <is>
          <t xml:space="preserve">COMMON 
ELECTRICITY BILL
</t>
        </is>
      </c>
      <c r="B16" s="46" t="n">
        <v>0</v>
      </c>
      <c r="C16" s="40">
        <f>$B16/64</f>
        <v/>
      </c>
      <c r="D16" s="40">
        <f>$B16/64</f>
        <v/>
      </c>
      <c r="E16" s="40">
        <f>$B16/64</f>
        <v/>
      </c>
      <c r="F16" s="40">
        <f>$B16/64</f>
        <v/>
      </c>
      <c r="G16" s="40">
        <f>$B16/64</f>
        <v/>
      </c>
      <c r="H16" s="40">
        <f>$B16/64</f>
        <v/>
      </c>
      <c r="I16" s="40">
        <f>$B16/64</f>
        <v/>
      </c>
      <c r="J16" s="40">
        <f>$B16/64</f>
        <v/>
      </c>
      <c r="K16" s="40">
        <f>$B16/64</f>
        <v/>
      </c>
      <c r="L16" s="40">
        <f>$B16/64</f>
        <v/>
      </c>
      <c r="M16" s="40">
        <f>$B16/64</f>
        <v/>
      </c>
      <c r="N16" s="40">
        <f>$B16/64</f>
        <v/>
      </c>
      <c r="O16" s="40">
        <f>$B16/64</f>
        <v/>
      </c>
      <c r="P16" s="40">
        <f>$B16/64</f>
        <v/>
      </c>
      <c r="Q16" s="40">
        <f>$B16/64</f>
        <v/>
      </c>
      <c r="R16" s="40">
        <f>$B16/64</f>
        <v/>
      </c>
      <c r="S16" s="40">
        <f>$B16/64</f>
        <v/>
      </c>
      <c r="T16" s="40">
        <f>$B16/64</f>
        <v/>
      </c>
      <c r="U16" s="40">
        <f>$B16/64</f>
        <v/>
      </c>
      <c r="V16" s="40">
        <f>$B16/64</f>
        <v/>
      </c>
      <c r="W16" s="40">
        <f>$B16/64</f>
        <v/>
      </c>
      <c r="X16" s="40">
        <f>$B16/64</f>
        <v/>
      </c>
      <c r="Y16" s="40">
        <f>$B16/64</f>
        <v/>
      </c>
      <c r="Z16" s="40">
        <f>$B16/64</f>
        <v/>
      </c>
      <c r="AA16" s="40">
        <f>$B16/64</f>
        <v/>
      </c>
      <c r="AB16" s="40">
        <f>$B16/64</f>
        <v/>
      </c>
      <c r="AC16" s="40">
        <f>$B16/64</f>
        <v/>
      </c>
      <c r="AD16" s="40">
        <f>$B16/64</f>
        <v/>
      </c>
      <c r="AE16" s="40">
        <f>$B16/64</f>
        <v/>
      </c>
      <c r="AF16" s="40">
        <f>$B16/64</f>
        <v/>
      </c>
      <c r="AG16" s="40">
        <f>$B16/64</f>
        <v/>
      </c>
      <c r="AH16" s="40">
        <f>$B16/64</f>
        <v/>
      </c>
      <c r="AI16" s="40">
        <f>$B16/64</f>
        <v/>
      </c>
      <c r="AJ16" s="40">
        <f>$B16/64</f>
        <v/>
      </c>
      <c r="AK16" s="40">
        <f>$B16/64</f>
        <v/>
      </c>
      <c r="AL16" s="40">
        <f>$B16/64</f>
        <v/>
      </c>
      <c r="AM16" s="40">
        <f>$B16/64</f>
        <v/>
      </c>
      <c r="AN16" s="40">
        <f>$B16/64</f>
        <v/>
      </c>
      <c r="AO16" s="40">
        <f>$B16/64</f>
        <v/>
      </c>
      <c r="AP16" s="40">
        <f>$B16/64</f>
        <v/>
      </c>
      <c r="AQ16" s="40">
        <f>$B16/64</f>
        <v/>
      </c>
      <c r="AR16" s="40">
        <f>$B16/64</f>
        <v/>
      </c>
      <c r="AS16" s="40">
        <f>$B16/64</f>
        <v/>
      </c>
      <c r="AT16" s="40">
        <f>$B16/64</f>
        <v/>
      </c>
      <c r="AU16" s="40">
        <f>$B16/64</f>
        <v/>
      </c>
      <c r="AV16" s="40">
        <f>$B16/64</f>
        <v/>
      </c>
      <c r="AW16" s="40">
        <f>$B16/64</f>
        <v/>
      </c>
      <c r="AX16" s="40">
        <f>$B16/64</f>
        <v/>
      </c>
      <c r="AY16" s="40">
        <f>$B16/64</f>
        <v/>
      </c>
      <c r="AZ16" s="40">
        <f>$B16/64</f>
        <v/>
      </c>
      <c r="BA16" s="40">
        <f>$B16/64</f>
        <v/>
      </c>
      <c r="BB16" s="40">
        <f>$B16/64</f>
        <v/>
      </c>
      <c r="BC16" s="40">
        <f>$B16/64</f>
        <v/>
      </c>
      <c r="BD16" s="40">
        <f>$B16/64</f>
        <v/>
      </c>
      <c r="BE16" s="40">
        <f>$B16/64</f>
        <v/>
      </c>
      <c r="BF16" s="40">
        <f>$B16/64</f>
        <v/>
      </c>
      <c r="BG16" s="40">
        <f>$B16/64</f>
        <v/>
      </c>
      <c r="BH16" s="40">
        <f>$B16/64</f>
        <v/>
      </c>
      <c r="BI16" s="40">
        <f>$B16/64</f>
        <v/>
      </c>
      <c r="BJ16" s="40">
        <f>$B16/64</f>
        <v/>
      </c>
      <c r="BK16" s="40">
        <f>$B16/64</f>
        <v/>
      </c>
      <c r="BL16" s="40">
        <f>$B16/64</f>
        <v/>
      </c>
      <c r="BM16" s="40">
        <f>$B16/64</f>
        <v/>
      </c>
      <c r="BN16" s="40">
        <f>$B16/64</f>
        <v/>
      </c>
    </row>
    <row r="17">
      <c r="A17" s="46" t="inlineStr">
        <is>
          <t>BECOM Service tax</t>
        </is>
      </c>
      <c r="B17" s="46" t="n">
        <v>0</v>
      </c>
      <c r="C17" s="40">
        <f>$B17/64</f>
        <v/>
      </c>
      <c r="D17" s="40">
        <f>$B17/64</f>
        <v/>
      </c>
      <c r="E17" s="40">
        <f>$B17/64</f>
        <v/>
      </c>
      <c r="F17" s="40">
        <f>$B17/64</f>
        <v/>
      </c>
      <c r="G17" s="40">
        <f>$B17/64</f>
        <v/>
      </c>
      <c r="H17" s="40">
        <f>$B17/64</f>
        <v/>
      </c>
      <c r="I17" s="40">
        <f>$B17/64</f>
        <v/>
      </c>
      <c r="J17" s="40">
        <f>$B17/64</f>
        <v/>
      </c>
      <c r="K17" s="40">
        <f>$B17/64</f>
        <v/>
      </c>
      <c r="L17" s="40">
        <f>$B17/64</f>
        <v/>
      </c>
      <c r="M17" s="40">
        <f>$B17/64</f>
        <v/>
      </c>
      <c r="N17" s="40">
        <f>$B17/64</f>
        <v/>
      </c>
      <c r="O17" s="40">
        <f>$B17/64</f>
        <v/>
      </c>
      <c r="P17" s="40">
        <f>$B17/64</f>
        <v/>
      </c>
      <c r="Q17" s="40">
        <f>$B17/64</f>
        <v/>
      </c>
      <c r="R17" s="40">
        <f>$B17/64</f>
        <v/>
      </c>
      <c r="S17" s="40">
        <f>$B17/64</f>
        <v/>
      </c>
      <c r="T17" s="40">
        <f>$B17/64</f>
        <v/>
      </c>
      <c r="U17" s="40">
        <f>$B17/64</f>
        <v/>
      </c>
      <c r="V17" s="40">
        <f>$B17/64</f>
        <v/>
      </c>
      <c r="W17" s="40">
        <f>$B17/64</f>
        <v/>
      </c>
      <c r="X17" s="40">
        <f>$B17/64</f>
        <v/>
      </c>
      <c r="Y17" s="40">
        <f>$B17/64</f>
        <v/>
      </c>
      <c r="Z17" s="40">
        <f>$B17/64</f>
        <v/>
      </c>
      <c r="AA17" s="40">
        <f>$B17/64</f>
        <v/>
      </c>
      <c r="AB17" s="40">
        <f>$B17/64</f>
        <v/>
      </c>
      <c r="AC17" s="40">
        <f>$B17/64</f>
        <v/>
      </c>
      <c r="AD17" s="40">
        <f>$B17/64</f>
        <v/>
      </c>
      <c r="AE17" s="40">
        <f>$B17/64</f>
        <v/>
      </c>
      <c r="AF17" s="40">
        <f>$B17/64</f>
        <v/>
      </c>
      <c r="AG17" s="40">
        <f>$B17/64</f>
        <v/>
      </c>
      <c r="AH17" s="40">
        <f>$B17/64</f>
        <v/>
      </c>
      <c r="AI17" s="40">
        <f>$B17/64</f>
        <v/>
      </c>
      <c r="AJ17" s="40">
        <f>$B17/64</f>
        <v/>
      </c>
      <c r="AK17" s="40">
        <f>$B17/64</f>
        <v/>
      </c>
      <c r="AL17" s="40">
        <f>$B17/64</f>
        <v/>
      </c>
      <c r="AM17" s="40">
        <f>$B17/64</f>
        <v/>
      </c>
      <c r="AN17" s="40">
        <f>$B17/64</f>
        <v/>
      </c>
      <c r="AO17" s="40">
        <f>$B17/64</f>
        <v/>
      </c>
      <c r="AP17" s="40">
        <f>$B17/64</f>
        <v/>
      </c>
      <c r="AQ17" s="40">
        <f>$B17/64</f>
        <v/>
      </c>
      <c r="AR17" s="40">
        <f>$B17/64</f>
        <v/>
      </c>
      <c r="AS17" s="40">
        <f>$B17/64</f>
        <v/>
      </c>
      <c r="AT17" s="40">
        <f>$B17/64</f>
        <v/>
      </c>
      <c r="AU17" s="40">
        <f>$B17/64</f>
        <v/>
      </c>
      <c r="AV17" s="40">
        <f>$B17/64</f>
        <v/>
      </c>
      <c r="AW17" s="40">
        <f>$B17/64</f>
        <v/>
      </c>
      <c r="AX17" s="40">
        <f>$B17/64</f>
        <v/>
      </c>
      <c r="AY17" s="40">
        <f>$B17/64</f>
        <v/>
      </c>
      <c r="AZ17" s="40">
        <f>$B17/64</f>
        <v/>
      </c>
      <c r="BA17" s="40">
        <f>$B17/64</f>
        <v/>
      </c>
      <c r="BB17" s="40">
        <f>$B17/64</f>
        <v/>
      </c>
      <c r="BC17" s="40">
        <f>$B17/64</f>
        <v/>
      </c>
      <c r="BD17" s="40">
        <f>$B17/64</f>
        <v/>
      </c>
      <c r="BE17" s="40">
        <f>$B17/64</f>
        <v/>
      </c>
      <c r="BF17" s="40">
        <f>$B17/64</f>
        <v/>
      </c>
      <c r="BG17" s="40">
        <f>$B17/64</f>
        <v/>
      </c>
      <c r="BH17" s="40">
        <f>$B17/64</f>
        <v/>
      </c>
      <c r="BI17" s="40">
        <f>$B17/64</f>
        <v/>
      </c>
      <c r="BJ17" s="40">
        <f>$B17/64</f>
        <v/>
      </c>
      <c r="BK17" s="40">
        <f>$B17/64</f>
        <v/>
      </c>
      <c r="BL17" s="40">
        <f>$B17/64</f>
        <v/>
      </c>
      <c r="BM17" s="40">
        <f>$B17/64</f>
        <v/>
      </c>
      <c r="BN17" s="40">
        <f>$B17/64</f>
        <v/>
      </c>
    </row>
    <row r="18">
      <c r="A18" s="46" t="inlineStr">
        <is>
          <t>SECURITY SERVICES</t>
        </is>
      </c>
      <c r="B18" s="46" t="n">
        <v>0</v>
      </c>
      <c r="C18" s="40">
        <f>$B18/64</f>
        <v/>
      </c>
      <c r="D18" s="40">
        <f>$B18/64</f>
        <v/>
      </c>
      <c r="E18" s="40">
        <f>$B18/64</f>
        <v/>
      </c>
      <c r="F18" s="40">
        <f>$B18/64</f>
        <v/>
      </c>
      <c r="G18" s="40">
        <f>$B18/64</f>
        <v/>
      </c>
      <c r="H18" s="40">
        <f>$B18/64</f>
        <v/>
      </c>
      <c r="I18" s="40">
        <f>$B18/64</f>
        <v/>
      </c>
      <c r="J18" s="40">
        <f>$B18/64</f>
        <v/>
      </c>
      <c r="K18" s="40">
        <f>$B18/64</f>
        <v/>
      </c>
      <c r="L18" s="40">
        <f>$B18/64</f>
        <v/>
      </c>
      <c r="M18" s="40">
        <f>$B18/64</f>
        <v/>
      </c>
      <c r="N18" s="40">
        <f>$B18/64</f>
        <v/>
      </c>
      <c r="O18" s="40">
        <f>$B18/64</f>
        <v/>
      </c>
      <c r="P18" s="40">
        <f>$B18/64</f>
        <v/>
      </c>
      <c r="Q18" s="40">
        <f>$B18/64</f>
        <v/>
      </c>
      <c r="R18" s="40">
        <f>$B18/64</f>
        <v/>
      </c>
      <c r="S18" s="40">
        <f>$B18/64</f>
        <v/>
      </c>
      <c r="T18" s="40">
        <f>$B18/64</f>
        <v/>
      </c>
      <c r="U18" s="40">
        <f>$B18/64</f>
        <v/>
      </c>
      <c r="V18" s="40">
        <f>$B18/64</f>
        <v/>
      </c>
      <c r="W18" s="40">
        <f>$B18/64</f>
        <v/>
      </c>
      <c r="X18" s="40">
        <f>$B18/64</f>
        <v/>
      </c>
      <c r="Y18" s="40">
        <f>$B18/64</f>
        <v/>
      </c>
      <c r="Z18" s="40">
        <f>$B18/64</f>
        <v/>
      </c>
      <c r="AA18" s="40">
        <f>$B18/64</f>
        <v/>
      </c>
      <c r="AB18" s="40">
        <f>$B18/64</f>
        <v/>
      </c>
      <c r="AC18" s="40">
        <f>$B18/64</f>
        <v/>
      </c>
      <c r="AD18" s="40">
        <f>$B18/64</f>
        <v/>
      </c>
      <c r="AE18" s="40">
        <f>$B18/64</f>
        <v/>
      </c>
      <c r="AF18" s="40">
        <f>$B18/64</f>
        <v/>
      </c>
      <c r="AG18" s="40">
        <f>$B18/64</f>
        <v/>
      </c>
      <c r="AH18" s="40">
        <f>$B18/64</f>
        <v/>
      </c>
      <c r="AI18" s="40">
        <f>$B18/64</f>
        <v/>
      </c>
      <c r="AJ18" s="40">
        <f>$B18/64</f>
        <v/>
      </c>
      <c r="AK18" s="40">
        <f>$B18/64</f>
        <v/>
      </c>
      <c r="AL18" s="40">
        <f>$B18/64</f>
        <v/>
      </c>
      <c r="AM18" s="40">
        <f>$B18/64</f>
        <v/>
      </c>
      <c r="AN18" s="40">
        <f>$B18/64</f>
        <v/>
      </c>
      <c r="AO18" s="40">
        <f>$B18/64</f>
        <v/>
      </c>
      <c r="AP18" s="40">
        <f>$B18/64</f>
        <v/>
      </c>
      <c r="AQ18" s="40">
        <f>$B18/64</f>
        <v/>
      </c>
      <c r="AR18" s="40">
        <f>$B18/64</f>
        <v/>
      </c>
      <c r="AS18" s="40">
        <f>$B18/64</f>
        <v/>
      </c>
      <c r="AT18" s="40">
        <f>$B18/64</f>
        <v/>
      </c>
      <c r="AU18" s="40">
        <f>$B18/64</f>
        <v/>
      </c>
      <c r="AV18" s="40">
        <f>$B18/64</f>
        <v/>
      </c>
      <c r="AW18" s="40">
        <f>$B18/64</f>
        <v/>
      </c>
      <c r="AX18" s="40">
        <f>$B18/64</f>
        <v/>
      </c>
      <c r="AY18" s="40">
        <f>$B18/64</f>
        <v/>
      </c>
      <c r="AZ18" s="40">
        <f>$B18/64</f>
        <v/>
      </c>
      <c r="BA18" s="40">
        <f>$B18/64</f>
        <v/>
      </c>
      <c r="BB18" s="40">
        <f>$B18/64</f>
        <v/>
      </c>
      <c r="BC18" s="40">
        <f>$B18/64</f>
        <v/>
      </c>
      <c r="BD18" s="40">
        <f>$B18/64</f>
        <v/>
      </c>
      <c r="BE18" s="40">
        <f>$B18/64</f>
        <v/>
      </c>
      <c r="BF18" s="40">
        <f>$B18/64</f>
        <v/>
      </c>
      <c r="BG18" s="40">
        <f>$B18/64</f>
        <v/>
      </c>
      <c r="BH18" s="40">
        <f>$B18/64</f>
        <v/>
      </c>
      <c r="BI18" s="40">
        <f>$B18/64</f>
        <v/>
      </c>
      <c r="BJ18" s="40">
        <f>$B18/64</f>
        <v/>
      </c>
      <c r="BK18" s="40">
        <f>$B18/64</f>
        <v/>
      </c>
      <c r="BL18" s="40">
        <f>$B18/64</f>
        <v/>
      </c>
      <c r="BM18" s="40">
        <f>$B18/64</f>
        <v/>
      </c>
      <c r="BN18" s="40">
        <f>$B18/64</f>
        <v/>
      </c>
    </row>
    <row r="19">
      <c r="A19" s="46" t="inlineStr">
        <is>
          <t>GARBAGE REMOVAL</t>
        </is>
      </c>
      <c r="B19" s="46" t="n">
        <v>0</v>
      </c>
      <c r="C19" s="40">
        <f>$B19/64</f>
        <v/>
      </c>
      <c r="D19" s="40">
        <f>$B19/64</f>
        <v/>
      </c>
      <c r="E19" s="40">
        <f>$B19/64</f>
        <v/>
      </c>
      <c r="F19" s="40">
        <f>$B19/64</f>
        <v/>
      </c>
      <c r="G19" s="40">
        <f>$B19/64</f>
        <v/>
      </c>
      <c r="H19" s="40">
        <f>$B19/64</f>
        <v/>
      </c>
      <c r="I19" s="40">
        <f>$B19/64</f>
        <v/>
      </c>
      <c r="J19" s="40">
        <f>$B19/64</f>
        <v/>
      </c>
      <c r="K19" s="40">
        <f>$B19/64</f>
        <v/>
      </c>
      <c r="L19" s="40">
        <f>$B19/64</f>
        <v/>
      </c>
      <c r="M19" s="40">
        <f>$B19/64</f>
        <v/>
      </c>
      <c r="N19" s="40">
        <f>$B19/64</f>
        <v/>
      </c>
      <c r="O19" s="40">
        <f>$B19/64</f>
        <v/>
      </c>
      <c r="P19" s="40">
        <f>$B19/64</f>
        <v/>
      </c>
      <c r="Q19" s="40">
        <f>$B19/64</f>
        <v/>
      </c>
      <c r="R19" s="40">
        <f>$B19/64</f>
        <v/>
      </c>
      <c r="S19" s="40">
        <f>$B19/64</f>
        <v/>
      </c>
      <c r="T19" s="40">
        <f>$B19/64</f>
        <v/>
      </c>
      <c r="U19" s="40">
        <f>$B19/64</f>
        <v/>
      </c>
      <c r="V19" s="40">
        <f>$B19/64</f>
        <v/>
      </c>
      <c r="W19" s="40">
        <f>$B19/64</f>
        <v/>
      </c>
      <c r="X19" s="40">
        <f>$B19/64</f>
        <v/>
      </c>
      <c r="Y19" s="40">
        <f>$B19/64</f>
        <v/>
      </c>
      <c r="Z19" s="40">
        <f>$B19/64</f>
        <v/>
      </c>
      <c r="AA19" s="40">
        <f>$B19/64</f>
        <v/>
      </c>
      <c r="AB19" s="40">
        <f>$B19/64</f>
        <v/>
      </c>
      <c r="AC19" s="40">
        <f>$B19/64</f>
        <v/>
      </c>
      <c r="AD19" s="40">
        <f>$B19/64</f>
        <v/>
      </c>
      <c r="AE19" s="40">
        <f>$B19/64</f>
        <v/>
      </c>
      <c r="AF19" s="40">
        <f>$B19/64</f>
        <v/>
      </c>
      <c r="AG19" s="40">
        <f>$B19/64</f>
        <v/>
      </c>
      <c r="AH19" s="40">
        <f>$B19/64</f>
        <v/>
      </c>
      <c r="AI19" s="40">
        <f>$B19/64</f>
        <v/>
      </c>
      <c r="AJ19" s="40">
        <f>$B19/64</f>
        <v/>
      </c>
      <c r="AK19" s="40">
        <f>$B19/64</f>
        <v/>
      </c>
      <c r="AL19" s="40">
        <f>$B19/64</f>
        <v/>
      </c>
      <c r="AM19" s="40">
        <f>$B19/64</f>
        <v/>
      </c>
      <c r="AN19" s="40">
        <f>$B19/64</f>
        <v/>
      </c>
      <c r="AO19" s="40">
        <f>$B19/64</f>
        <v/>
      </c>
      <c r="AP19" s="40">
        <f>$B19/64</f>
        <v/>
      </c>
      <c r="AQ19" s="40">
        <f>$B19/64</f>
        <v/>
      </c>
      <c r="AR19" s="40">
        <f>$B19/64</f>
        <v/>
      </c>
      <c r="AS19" s="40">
        <f>$B19/64</f>
        <v/>
      </c>
      <c r="AT19" s="40">
        <f>$B19/64</f>
        <v/>
      </c>
      <c r="AU19" s="40">
        <f>$B19/64</f>
        <v/>
      </c>
      <c r="AV19" s="40">
        <f>$B19/64</f>
        <v/>
      </c>
      <c r="AW19" s="40">
        <f>$B19/64</f>
        <v/>
      </c>
      <c r="AX19" s="40">
        <f>$B19/64</f>
        <v/>
      </c>
      <c r="AY19" s="40">
        <f>$B19/64</f>
        <v/>
      </c>
      <c r="AZ19" s="40">
        <f>$B19/64</f>
        <v/>
      </c>
      <c r="BA19" s="40">
        <f>$B19/64</f>
        <v/>
      </c>
      <c r="BB19" s="40">
        <f>$B19/64</f>
        <v/>
      </c>
      <c r="BC19" s="40">
        <f>$B19/64</f>
        <v/>
      </c>
      <c r="BD19" s="40">
        <f>$B19/64</f>
        <v/>
      </c>
      <c r="BE19" s="40">
        <f>$B19/64</f>
        <v/>
      </c>
      <c r="BF19" s="40">
        <f>$B19/64</f>
        <v/>
      </c>
      <c r="BG19" s="40">
        <f>$B19/64</f>
        <v/>
      </c>
      <c r="BH19" s="40">
        <f>$B19/64</f>
        <v/>
      </c>
      <c r="BI19" s="40">
        <f>$B19/64</f>
        <v/>
      </c>
      <c r="BJ19" s="40">
        <f>$B19/64</f>
        <v/>
      </c>
      <c r="BK19" s="40">
        <f>$B19/64</f>
        <v/>
      </c>
      <c r="BL19" s="40">
        <f>$B19/64</f>
        <v/>
      </c>
      <c r="BM19" s="40">
        <f>$B19/64</f>
        <v/>
      </c>
      <c r="BN19" s="40">
        <f>$B19/64</f>
        <v/>
      </c>
    </row>
    <row r="20">
      <c r="A20" s="46" t="inlineStr">
        <is>
          <t>PETTY CASH</t>
        </is>
      </c>
      <c r="B20" s="46" t="n">
        <v>0</v>
      </c>
      <c r="C20" s="40">
        <f>$B20/64</f>
        <v/>
      </c>
      <c r="D20" s="40">
        <f>$B20/64</f>
        <v/>
      </c>
      <c r="E20" s="40">
        <f>$B20/64</f>
        <v/>
      </c>
      <c r="F20" s="40">
        <f>$B20/64</f>
        <v/>
      </c>
      <c r="G20" s="40">
        <f>$B20/64</f>
        <v/>
      </c>
      <c r="H20" s="40">
        <f>$B20/64</f>
        <v/>
      </c>
      <c r="I20" s="40">
        <f>$B20/64</f>
        <v/>
      </c>
      <c r="J20" s="40">
        <f>$B20/64</f>
        <v/>
      </c>
      <c r="K20" s="40">
        <f>$B20/64</f>
        <v/>
      </c>
      <c r="L20" s="40">
        <f>$B20/64</f>
        <v/>
      </c>
      <c r="M20" s="40">
        <f>$B20/64</f>
        <v/>
      </c>
      <c r="N20" s="40">
        <f>$B20/64</f>
        <v/>
      </c>
      <c r="O20" s="40">
        <f>$B20/64</f>
        <v/>
      </c>
      <c r="P20" s="40">
        <f>$B20/64</f>
        <v/>
      </c>
      <c r="Q20" s="40">
        <f>$B20/64</f>
        <v/>
      </c>
      <c r="R20" s="40">
        <f>$B20/64</f>
        <v/>
      </c>
      <c r="S20" s="40">
        <f>$B20/64</f>
        <v/>
      </c>
      <c r="T20" s="40">
        <f>$B20/64</f>
        <v/>
      </c>
      <c r="U20" s="40">
        <f>$B20/64</f>
        <v/>
      </c>
      <c r="V20" s="40">
        <f>$B20/64</f>
        <v/>
      </c>
      <c r="W20" s="40">
        <f>$B20/64</f>
        <v/>
      </c>
      <c r="X20" s="40">
        <f>$B20/64</f>
        <v/>
      </c>
      <c r="Y20" s="40">
        <f>$B20/64</f>
        <v/>
      </c>
      <c r="Z20" s="40">
        <f>$B20/64</f>
        <v/>
      </c>
      <c r="AA20" s="40">
        <f>$B20/64</f>
        <v/>
      </c>
      <c r="AB20" s="40">
        <f>$B20/64</f>
        <v/>
      </c>
      <c r="AC20" s="40">
        <f>$B20/64</f>
        <v/>
      </c>
      <c r="AD20" s="40">
        <f>$B20/64</f>
        <v/>
      </c>
      <c r="AE20" s="40">
        <f>$B20/64</f>
        <v/>
      </c>
      <c r="AF20" s="40">
        <f>$B20/64</f>
        <v/>
      </c>
      <c r="AG20" s="40">
        <f>$B20/64</f>
        <v/>
      </c>
      <c r="AH20" s="40">
        <f>$B20/64</f>
        <v/>
      </c>
      <c r="AI20" s="40">
        <f>$B20/64</f>
        <v/>
      </c>
      <c r="AJ20" s="40">
        <f>$B20/64</f>
        <v/>
      </c>
      <c r="AK20" s="40">
        <f>$B20/64</f>
        <v/>
      </c>
      <c r="AL20" s="40">
        <f>$B20/64</f>
        <v/>
      </c>
      <c r="AM20" s="40">
        <f>$B20/64</f>
        <v/>
      </c>
      <c r="AN20" s="40">
        <f>$B20/64</f>
        <v/>
      </c>
      <c r="AO20" s="40">
        <f>$B20/64</f>
        <v/>
      </c>
      <c r="AP20" s="40">
        <f>$B20/64</f>
        <v/>
      </c>
      <c r="AQ20" s="40">
        <f>$B20/64</f>
        <v/>
      </c>
      <c r="AR20" s="40">
        <f>$B20/64</f>
        <v/>
      </c>
      <c r="AS20" s="40">
        <f>$B20/64</f>
        <v/>
      </c>
      <c r="AT20" s="40">
        <f>$B20/64</f>
        <v/>
      </c>
      <c r="AU20" s="40">
        <f>$B20/64</f>
        <v/>
      </c>
      <c r="AV20" s="40">
        <f>$B20/64</f>
        <v/>
      </c>
      <c r="AW20" s="40">
        <f>$B20/64</f>
        <v/>
      </c>
      <c r="AX20" s="40">
        <f>$B20/64</f>
        <v/>
      </c>
      <c r="AY20" s="40">
        <f>$B20/64</f>
        <v/>
      </c>
      <c r="AZ20" s="40">
        <f>$B20/64</f>
        <v/>
      </c>
      <c r="BA20" s="40">
        <f>$B20/64</f>
        <v/>
      </c>
      <c r="BB20" s="40">
        <f>$B20/64</f>
        <v/>
      </c>
      <c r="BC20" s="40">
        <f>$B20/64</f>
        <v/>
      </c>
      <c r="BD20" s="40">
        <f>$B20/64</f>
        <v/>
      </c>
      <c r="BE20" s="40">
        <f>$B20/64</f>
        <v/>
      </c>
      <c r="BF20" s="40">
        <f>$B20/64</f>
        <v/>
      </c>
      <c r="BG20" s="40">
        <f>$B20/64</f>
        <v/>
      </c>
      <c r="BH20" s="40">
        <f>$B20/64</f>
        <v/>
      </c>
      <c r="BI20" s="40">
        <f>$B20/64</f>
        <v/>
      </c>
      <c r="BJ20" s="40">
        <f>$B20/64</f>
        <v/>
      </c>
      <c r="BK20" s="40">
        <f>$B20/64</f>
        <v/>
      </c>
      <c r="BL20" s="40">
        <f>$B20/64</f>
        <v/>
      </c>
      <c r="BM20" s="40">
        <f>$B20/64</f>
        <v/>
      </c>
      <c r="BN20" s="40">
        <f>$B20/64</f>
        <v/>
      </c>
    </row>
    <row r="21">
      <c r="A21" s="46" t="inlineStr">
        <is>
          <t>ELEVATOR MAINTENANCE</t>
        </is>
      </c>
      <c r="B21" s="46" t="n">
        <v>0</v>
      </c>
      <c r="C21" s="40">
        <f>$B21/64</f>
        <v/>
      </c>
      <c r="D21" s="40">
        <f>$B21/64</f>
        <v/>
      </c>
      <c r="E21" s="40">
        <f>$B21/64</f>
        <v/>
      </c>
      <c r="F21" s="40">
        <f>$B21/64</f>
        <v/>
      </c>
      <c r="G21" s="40">
        <f>$B21/64</f>
        <v/>
      </c>
      <c r="H21" s="40">
        <f>$B21/64</f>
        <v/>
      </c>
      <c r="I21" s="40">
        <f>$B21/64</f>
        <v/>
      </c>
      <c r="J21" s="40">
        <f>$B21/64</f>
        <v/>
      </c>
      <c r="K21" s="40">
        <f>$B21/64</f>
        <v/>
      </c>
      <c r="L21" s="40">
        <f>$B21/64</f>
        <v/>
      </c>
      <c r="M21" s="40">
        <f>$B21/64</f>
        <v/>
      </c>
      <c r="N21" s="40">
        <f>$B21/64</f>
        <v/>
      </c>
      <c r="O21" s="40">
        <f>$B21/64</f>
        <v/>
      </c>
      <c r="P21" s="40">
        <f>$B21/64</f>
        <v/>
      </c>
      <c r="Q21" s="40">
        <f>$B21/64</f>
        <v/>
      </c>
      <c r="R21" s="40">
        <f>$B21/64</f>
        <v/>
      </c>
      <c r="S21" s="40">
        <f>$B21/64</f>
        <v/>
      </c>
      <c r="T21" s="40">
        <f>$B21/64</f>
        <v/>
      </c>
      <c r="U21" s="40">
        <f>$B21/64</f>
        <v/>
      </c>
      <c r="V21" s="40">
        <f>$B21/64</f>
        <v/>
      </c>
      <c r="W21" s="40">
        <f>$B21/64</f>
        <v/>
      </c>
      <c r="X21" s="40">
        <f>$B21/64</f>
        <v/>
      </c>
      <c r="Y21" s="40">
        <f>$B21/64</f>
        <v/>
      </c>
      <c r="Z21" s="40">
        <f>$B21/64</f>
        <v/>
      </c>
      <c r="AA21" s="40">
        <f>$B21/64</f>
        <v/>
      </c>
      <c r="AB21" s="40">
        <f>$B21/64</f>
        <v/>
      </c>
      <c r="AC21" s="40">
        <f>$B21/64</f>
        <v/>
      </c>
      <c r="AD21" s="40">
        <f>$B21/64</f>
        <v/>
      </c>
      <c r="AE21" s="40">
        <f>$B21/64</f>
        <v/>
      </c>
      <c r="AF21" s="40">
        <f>$B21/64</f>
        <v/>
      </c>
      <c r="AG21" s="40">
        <f>$B21/64</f>
        <v/>
      </c>
      <c r="AH21" s="40">
        <f>$B21/64</f>
        <v/>
      </c>
      <c r="AI21" s="40">
        <f>$B21/64</f>
        <v/>
      </c>
      <c r="AJ21" s="40">
        <f>$B21/64</f>
        <v/>
      </c>
      <c r="AK21" s="40">
        <f>$B21/64</f>
        <v/>
      </c>
      <c r="AL21" s="40">
        <f>$B21/64</f>
        <v/>
      </c>
      <c r="AM21" s="40">
        <f>$B21/64</f>
        <v/>
      </c>
      <c r="AN21" s="40">
        <f>$B21/64</f>
        <v/>
      </c>
      <c r="AO21" s="40">
        <f>$B21/64</f>
        <v/>
      </c>
      <c r="AP21" s="40">
        <f>$B21/64</f>
        <v/>
      </c>
      <c r="AQ21" s="40">
        <f>$B21/64</f>
        <v/>
      </c>
      <c r="AR21" s="40">
        <f>$B21/64</f>
        <v/>
      </c>
      <c r="AS21" s="40">
        <f>$B21/64</f>
        <v/>
      </c>
      <c r="AT21" s="40">
        <f>$B21/64</f>
        <v/>
      </c>
      <c r="AU21" s="40">
        <f>$B21/64</f>
        <v/>
      </c>
      <c r="AV21" s="40">
        <f>$B21/64</f>
        <v/>
      </c>
      <c r="AW21" s="40">
        <f>$B21/64</f>
        <v/>
      </c>
      <c r="AX21" s="40">
        <f>$B21/64</f>
        <v/>
      </c>
      <c r="AY21" s="40">
        <f>$B21/64</f>
        <v/>
      </c>
      <c r="AZ21" s="40">
        <f>$B21/64</f>
        <v/>
      </c>
      <c r="BA21" s="40">
        <f>$B21/64</f>
        <v/>
      </c>
      <c r="BB21" s="40">
        <f>$B21/64</f>
        <v/>
      </c>
      <c r="BC21" s="40">
        <f>$B21/64</f>
        <v/>
      </c>
      <c r="BD21" s="40">
        <f>$B21/64</f>
        <v/>
      </c>
      <c r="BE21" s="40">
        <f>$B21/64</f>
        <v/>
      </c>
      <c r="BF21" s="40">
        <f>$B21/64</f>
        <v/>
      </c>
      <c r="BG21" s="40">
        <f>$B21/64</f>
        <v/>
      </c>
      <c r="BH21" s="40">
        <f>$B21/64</f>
        <v/>
      </c>
      <c r="BI21" s="40">
        <f>$B21/64</f>
        <v/>
      </c>
      <c r="BJ21" s="40">
        <f>$B21/64</f>
        <v/>
      </c>
      <c r="BK21" s="40">
        <f>$B21/64</f>
        <v/>
      </c>
      <c r="BL21" s="40">
        <f>$B21/64</f>
        <v/>
      </c>
      <c r="BM21" s="40">
        <f>$B21/64</f>
        <v/>
      </c>
      <c r="BN21" s="40">
        <f>$B21/64</f>
        <v/>
      </c>
    </row>
    <row r="22">
      <c r="A22" s="46" t="inlineStr">
        <is>
          <t>MOTOR REPAIR</t>
        </is>
      </c>
      <c r="B22" s="46" t="n">
        <v>0</v>
      </c>
      <c r="C22" s="40">
        <f>$B22/64</f>
        <v/>
      </c>
      <c r="D22" s="40">
        <f>$B22/64</f>
        <v/>
      </c>
      <c r="E22" s="40">
        <f>$B22/64</f>
        <v/>
      </c>
      <c r="F22" s="40">
        <f>$B22/64</f>
        <v/>
      </c>
      <c r="G22" s="40">
        <f>$B22/64</f>
        <v/>
      </c>
      <c r="H22" s="40">
        <f>$B22/64</f>
        <v/>
      </c>
      <c r="I22" s="40">
        <f>$B22/64</f>
        <v/>
      </c>
      <c r="J22" s="40">
        <f>$B22/64</f>
        <v/>
      </c>
      <c r="K22" s="40">
        <f>$B22/64</f>
        <v/>
      </c>
      <c r="L22" s="40">
        <f>$B22/64</f>
        <v/>
      </c>
      <c r="M22" s="40">
        <f>$B22/64</f>
        <v/>
      </c>
      <c r="N22" s="40">
        <f>$B22/64</f>
        <v/>
      </c>
      <c r="O22" s="40">
        <f>$B22/64</f>
        <v/>
      </c>
      <c r="P22" s="40">
        <f>$B22/64</f>
        <v/>
      </c>
      <c r="Q22" s="40">
        <f>$B22/64</f>
        <v/>
      </c>
      <c r="R22" s="40">
        <f>$B22/64</f>
        <v/>
      </c>
      <c r="S22" s="40">
        <f>$B22/64</f>
        <v/>
      </c>
      <c r="T22" s="40">
        <f>$B22/64</f>
        <v/>
      </c>
      <c r="U22" s="40">
        <f>$B22/64</f>
        <v/>
      </c>
      <c r="V22" s="40">
        <f>$B22/64</f>
        <v/>
      </c>
      <c r="W22" s="40">
        <f>$B22/64</f>
        <v/>
      </c>
      <c r="X22" s="40">
        <f>$B22/64</f>
        <v/>
      </c>
      <c r="Y22" s="40">
        <f>$B22/64</f>
        <v/>
      </c>
      <c r="Z22" s="40">
        <f>$B22/64</f>
        <v/>
      </c>
      <c r="AA22" s="40">
        <f>$B22/64</f>
        <v/>
      </c>
      <c r="AB22" s="40">
        <f>$B22/64</f>
        <v/>
      </c>
      <c r="AC22" s="40">
        <f>$B22/64</f>
        <v/>
      </c>
      <c r="AD22" s="40">
        <f>$B22/64</f>
        <v/>
      </c>
      <c r="AE22" s="40">
        <f>$B22/64</f>
        <v/>
      </c>
      <c r="AF22" s="40">
        <f>$B22/64</f>
        <v/>
      </c>
      <c r="AG22" s="40">
        <f>$B22/64</f>
        <v/>
      </c>
      <c r="AH22" s="40">
        <f>$B22/64</f>
        <v/>
      </c>
      <c r="AI22" s="40">
        <f>$B22/64</f>
        <v/>
      </c>
      <c r="AJ22" s="40">
        <f>$B22/64</f>
        <v/>
      </c>
      <c r="AK22" s="40">
        <f>$B22/64</f>
        <v/>
      </c>
      <c r="AL22" s="40">
        <f>$B22/64</f>
        <v/>
      </c>
      <c r="AM22" s="40">
        <f>$B22/64</f>
        <v/>
      </c>
      <c r="AN22" s="40">
        <f>$B22/64</f>
        <v/>
      </c>
      <c r="AO22" s="40">
        <f>$B22/64</f>
        <v/>
      </c>
      <c r="AP22" s="40">
        <f>$B22/64</f>
        <v/>
      </c>
      <c r="AQ22" s="40">
        <f>$B22/64</f>
        <v/>
      </c>
      <c r="AR22" s="40">
        <f>$B22/64</f>
        <v/>
      </c>
      <c r="AS22" s="40">
        <f>$B22/64</f>
        <v/>
      </c>
      <c r="AT22" s="40">
        <f>$B22/64</f>
        <v/>
      </c>
      <c r="AU22" s="40">
        <f>$B22/64</f>
        <v/>
      </c>
      <c r="AV22" s="40">
        <f>$B22/64</f>
        <v/>
      </c>
      <c r="AW22" s="40">
        <f>$B22/64</f>
        <v/>
      </c>
      <c r="AX22" s="40">
        <f>$B22/64</f>
        <v/>
      </c>
      <c r="AY22" s="40">
        <f>$B22/64</f>
        <v/>
      </c>
      <c r="AZ22" s="40">
        <f>$B22/64</f>
        <v/>
      </c>
      <c r="BA22" s="40">
        <f>$B22/64</f>
        <v/>
      </c>
      <c r="BB22" s="40">
        <f>$B22/64</f>
        <v/>
      </c>
      <c r="BC22" s="40">
        <f>$B22/64</f>
        <v/>
      </c>
      <c r="BD22" s="40">
        <f>$B22/64</f>
        <v/>
      </c>
      <c r="BE22" s="40">
        <f>$B22/64</f>
        <v/>
      </c>
      <c r="BF22" s="40">
        <f>$B22/64</f>
        <v/>
      </c>
      <c r="BG22" s="40">
        <f>$B22/64</f>
        <v/>
      </c>
      <c r="BH22" s="40">
        <f>$B22/64</f>
        <v/>
      </c>
      <c r="BI22" s="40">
        <f>$B22/64</f>
        <v/>
      </c>
      <c r="BJ22" s="40">
        <f>$B22/64</f>
        <v/>
      </c>
      <c r="BK22" s="40">
        <f>$B22/64</f>
        <v/>
      </c>
      <c r="BL22" s="40">
        <f>$B22/64</f>
        <v/>
      </c>
      <c r="BM22" s="40">
        <f>$B22/64</f>
        <v/>
      </c>
      <c r="BN22" s="40">
        <f>$B22/64</f>
        <v/>
      </c>
    </row>
    <row r="23">
      <c r="A23" s="46" t="inlineStr">
        <is>
          <t>PLUMBING MATERIAL</t>
        </is>
      </c>
      <c r="B23" s="46" t="n">
        <v>0</v>
      </c>
      <c r="C23" s="40">
        <f>$B23/64</f>
        <v/>
      </c>
      <c r="D23" s="40">
        <f>$B23/64</f>
        <v/>
      </c>
      <c r="E23" s="40">
        <f>$B23/64</f>
        <v/>
      </c>
      <c r="F23" s="40">
        <f>$B23/64</f>
        <v/>
      </c>
      <c r="G23" s="40">
        <f>$B23/64</f>
        <v/>
      </c>
      <c r="H23" s="40">
        <f>$B23/64</f>
        <v/>
      </c>
      <c r="I23" s="40">
        <f>$B23/64</f>
        <v/>
      </c>
      <c r="J23" s="40">
        <f>$B23/64</f>
        <v/>
      </c>
      <c r="K23" s="40">
        <f>$B23/64</f>
        <v/>
      </c>
      <c r="L23" s="40">
        <f>$B23/64</f>
        <v/>
      </c>
      <c r="M23" s="40">
        <f>$B23/64</f>
        <v/>
      </c>
      <c r="N23" s="40">
        <f>$B23/64</f>
        <v/>
      </c>
      <c r="O23" s="40">
        <f>$B23/64</f>
        <v/>
      </c>
      <c r="P23" s="40">
        <f>$B23/64</f>
        <v/>
      </c>
      <c r="Q23" s="40">
        <f>$B23/64</f>
        <v/>
      </c>
      <c r="R23" s="40">
        <f>$B23/64</f>
        <v/>
      </c>
      <c r="S23" s="40">
        <f>$B23/64</f>
        <v/>
      </c>
      <c r="T23" s="40">
        <f>$B23/64</f>
        <v/>
      </c>
      <c r="U23" s="40">
        <f>$B23/64</f>
        <v/>
      </c>
      <c r="V23" s="40">
        <f>$B23/64</f>
        <v/>
      </c>
      <c r="W23" s="40">
        <f>$B23/64</f>
        <v/>
      </c>
      <c r="X23" s="40">
        <f>$B23/64</f>
        <v/>
      </c>
      <c r="Y23" s="40">
        <f>$B23/64</f>
        <v/>
      </c>
      <c r="Z23" s="40">
        <f>$B23/64</f>
        <v/>
      </c>
      <c r="AA23" s="40">
        <f>$B23/64</f>
        <v/>
      </c>
      <c r="AB23" s="40">
        <f>$B23/64</f>
        <v/>
      </c>
      <c r="AC23" s="40">
        <f>$B23/64</f>
        <v/>
      </c>
      <c r="AD23" s="40">
        <f>$B23/64</f>
        <v/>
      </c>
      <c r="AE23" s="40">
        <f>$B23/64</f>
        <v/>
      </c>
      <c r="AF23" s="40">
        <f>$B23/64</f>
        <v/>
      </c>
      <c r="AG23" s="40">
        <f>$B23/64</f>
        <v/>
      </c>
      <c r="AH23" s="40">
        <f>$B23/64</f>
        <v/>
      </c>
      <c r="AI23" s="40">
        <f>$B23/64</f>
        <v/>
      </c>
      <c r="AJ23" s="40">
        <f>$B23/64</f>
        <v/>
      </c>
      <c r="AK23" s="40">
        <f>$B23/64</f>
        <v/>
      </c>
      <c r="AL23" s="40">
        <f>$B23/64</f>
        <v/>
      </c>
      <c r="AM23" s="40">
        <f>$B23/64</f>
        <v/>
      </c>
      <c r="AN23" s="40">
        <f>$B23/64</f>
        <v/>
      </c>
      <c r="AO23" s="40">
        <f>$B23/64</f>
        <v/>
      </c>
      <c r="AP23" s="40">
        <f>$B23/64</f>
        <v/>
      </c>
      <c r="AQ23" s="40">
        <f>$B23/64</f>
        <v/>
      </c>
      <c r="AR23" s="40">
        <f>$B23/64</f>
        <v/>
      </c>
      <c r="AS23" s="40">
        <f>$B23/64</f>
        <v/>
      </c>
      <c r="AT23" s="40">
        <f>$B23/64</f>
        <v/>
      </c>
      <c r="AU23" s="40">
        <f>$B23/64</f>
        <v/>
      </c>
      <c r="AV23" s="40">
        <f>$B23/64</f>
        <v/>
      </c>
      <c r="AW23" s="40">
        <f>$B23/64</f>
        <v/>
      </c>
      <c r="AX23" s="40">
        <f>$B23/64</f>
        <v/>
      </c>
      <c r="AY23" s="40">
        <f>$B23/64</f>
        <v/>
      </c>
      <c r="AZ23" s="40">
        <f>$B23/64</f>
        <v/>
      </c>
      <c r="BA23" s="40">
        <f>$B23/64</f>
        <v/>
      </c>
      <c r="BB23" s="40">
        <f>$B23/64</f>
        <v/>
      </c>
      <c r="BC23" s="40">
        <f>$B23/64</f>
        <v/>
      </c>
      <c r="BD23" s="40">
        <f>$B23/64</f>
        <v/>
      </c>
      <c r="BE23" s="40">
        <f>$B23/64</f>
        <v/>
      </c>
      <c r="BF23" s="40">
        <f>$B23/64</f>
        <v/>
      </c>
      <c r="BG23" s="40">
        <f>$B23/64</f>
        <v/>
      </c>
      <c r="BH23" s="40">
        <f>$B23/64</f>
        <v/>
      </c>
      <c r="BI23" s="40">
        <f>$B23/64</f>
        <v/>
      </c>
      <c r="BJ23" s="40">
        <f>$B23/64</f>
        <v/>
      </c>
      <c r="BK23" s="40">
        <f>$B23/64</f>
        <v/>
      </c>
      <c r="BL23" s="40">
        <f>$B23/64</f>
        <v/>
      </c>
      <c r="BM23" s="40">
        <f>$B23/64</f>
        <v/>
      </c>
      <c r="BN23" s="40">
        <f>$B23/64</f>
        <v/>
      </c>
    </row>
    <row r="24">
      <c r="A24" s="46" t="inlineStr">
        <is>
          <t>ELECTRICITY MATERIAL</t>
        </is>
      </c>
      <c r="B24" s="46" t="n">
        <v>0</v>
      </c>
      <c r="C24" s="40">
        <f>$B24/64</f>
        <v/>
      </c>
      <c r="D24" s="40">
        <f>$B24/64</f>
        <v/>
      </c>
      <c r="E24" s="40">
        <f>$B24/64</f>
        <v/>
      </c>
      <c r="F24" s="40">
        <f>$B24/64</f>
        <v/>
      </c>
      <c r="G24" s="40">
        <f>$B24/64</f>
        <v/>
      </c>
      <c r="H24" s="40">
        <f>$B24/64</f>
        <v/>
      </c>
      <c r="I24" s="40">
        <f>$B24/64</f>
        <v/>
      </c>
      <c r="J24" s="40">
        <f>$B24/64</f>
        <v/>
      </c>
      <c r="K24" s="40">
        <f>$B24/64</f>
        <v/>
      </c>
      <c r="L24" s="40">
        <f>$B24/64</f>
        <v/>
      </c>
      <c r="M24" s="40">
        <f>$B24/64</f>
        <v/>
      </c>
      <c r="N24" s="40">
        <f>$B24/64</f>
        <v/>
      </c>
      <c r="O24" s="40">
        <f>$B24/64</f>
        <v/>
      </c>
      <c r="P24" s="40">
        <f>$B24/64</f>
        <v/>
      </c>
      <c r="Q24" s="40">
        <f>$B24/64</f>
        <v/>
      </c>
      <c r="R24" s="40">
        <f>$B24/64</f>
        <v/>
      </c>
      <c r="S24" s="40">
        <f>$B24/64</f>
        <v/>
      </c>
      <c r="T24" s="40">
        <f>$B24/64</f>
        <v/>
      </c>
      <c r="U24" s="40">
        <f>$B24/64</f>
        <v/>
      </c>
      <c r="V24" s="40">
        <f>$B24/64</f>
        <v/>
      </c>
      <c r="W24" s="40">
        <f>$B24/64</f>
        <v/>
      </c>
      <c r="X24" s="40">
        <f>$B24/64</f>
        <v/>
      </c>
      <c r="Y24" s="40">
        <f>$B24/64</f>
        <v/>
      </c>
      <c r="Z24" s="40">
        <f>$B24/64</f>
        <v/>
      </c>
      <c r="AA24" s="40">
        <f>$B24/64</f>
        <v/>
      </c>
      <c r="AB24" s="40">
        <f>$B24/64</f>
        <v/>
      </c>
      <c r="AC24" s="40">
        <f>$B24/64</f>
        <v/>
      </c>
      <c r="AD24" s="40">
        <f>$B24/64</f>
        <v/>
      </c>
      <c r="AE24" s="40">
        <f>$B24/64</f>
        <v/>
      </c>
      <c r="AF24" s="40">
        <f>$B24/64</f>
        <v/>
      </c>
      <c r="AG24" s="40">
        <f>$B24/64</f>
        <v/>
      </c>
      <c r="AH24" s="40">
        <f>$B24/64</f>
        <v/>
      </c>
      <c r="AI24" s="40">
        <f>$B24/64</f>
        <v/>
      </c>
      <c r="AJ24" s="40">
        <f>$B24/64</f>
        <v/>
      </c>
      <c r="AK24" s="40">
        <f>$B24/64</f>
        <v/>
      </c>
      <c r="AL24" s="40">
        <f>$B24/64</f>
        <v/>
      </c>
      <c r="AM24" s="40">
        <f>$B24/64</f>
        <v/>
      </c>
      <c r="AN24" s="40">
        <f>$B24/64</f>
        <v/>
      </c>
      <c r="AO24" s="40">
        <f>$B24/64</f>
        <v/>
      </c>
      <c r="AP24" s="40">
        <f>$B24/64</f>
        <v/>
      </c>
      <c r="AQ24" s="40">
        <f>$B24/64</f>
        <v/>
      </c>
      <c r="AR24" s="40">
        <f>$B24/64</f>
        <v/>
      </c>
      <c r="AS24" s="40">
        <f>$B24/64</f>
        <v/>
      </c>
      <c r="AT24" s="40">
        <f>$B24/64</f>
        <v/>
      </c>
      <c r="AU24" s="40">
        <f>$B24/64</f>
        <v/>
      </c>
      <c r="AV24" s="40">
        <f>$B24/64</f>
        <v/>
      </c>
      <c r="AW24" s="40">
        <f>$B24/64</f>
        <v/>
      </c>
      <c r="AX24" s="40">
        <f>$B24/64</f>
        <v/>
      </c>
      <c r="AY24" s="40">
        <f>$B24/64</f>
        <v/>
      </c>
      <c r="AZ24" s="40">
        <f>$B24/64</f>
        <v/>
      </c>
      <c r="BA24" s="40">
        <f>$B24/64</f>
        <v/>
      </c>
      <c r="BB24" s="40">
        <f>$B24/64</f>
        <v/>
      </c>
      <c r="BC24" s="40">
        <f>$B24/64</f>
        <v/>
      </c>
      <c r="BD24" s="40">
        <f>$B24/64</f>
        <v/>
      </c>
      <c r="BE24" s="40">
        <f>$B24/64</f>
        <v/>
      </c>
      <c r="BF24" s="40">
        <f>$B24/64</f>
        <v/>
      </c>
      <c r="BG24" s="40">
        <f>$B24/64</f>
        <v/>
      </c>
      <c r="BH24" s="40">
        <f>$B24/64</f>
        <v/>
      </c>
      <c r="BI24" s="40">
        <f>$B24/64</f>
        <v/>
      </c>
      <c r="BJ24" s="40">
        <f>$B24/64</f>
        <v/>
      </c>
      <c r="BK24" s="40">
        <f>$B24/64</f>
        <v/>
      </c>
      <c r="BL24" s="40">
        <f>$B24/64</f>
        <v/>
      </c>
      <c r="BM24" s="40">
        <f>$B24/64</f>
        <v/>
      </c>
      <c r="BN24" s="40">
        <f>$B24/64</f>
        <v/>
      </c>
    </row>
    <row r="25">
      <c r="A25" s="46" t="inlineStr">
        <is>
          <t>ELECTRICITY MATERIAL</t>
        </is>
      </c>
      <c r="B25" s="46" t="n">
        <v>0</v>
      </c>
      <c r="C25" s="40">
        <f>$B25/64</f>
        <v/>
      </c>
      <c r="D25" s="40">
        <f>$B25/64</f>
        <v/>
      </c>
      <c r="E25" s="40">
        <f>$B25/64</f>
        <v/>
      </c>
      <c r="F25" s="40">
        <f>$B25/64</f>
        <v/>
      </c>
      <c r="G25" s="40">
        <f>$B25/64</f>
        <v/>
      </c>
      <c r="H25" s="40">
        <f>$B25/64</f>
        <v/>
      </c>
      <c r="I25" s="40">
        <f>$B25/64</f>
        <v/>
      </c>
      <c r="J25" s="40">
        <f>$B25/64</f>
        <v/>
      </c>
      <c r="K25" s="40">
        <f>$B25/64</f>
        <v/>
      </c>
      <c r="L25" s="40">
        <f>$B25/64</f>
        <v/>
      </c>
      <c r="M25" s="40">
        <f>$B25/64</f>
        <v/>
      </c>
      <c r="N25" s="40">
        <f>$B25/64</f>
        <v/>
      </c>
      <c r="O25" s="40">
        <f>$B25/64</f>
        <v/>
      </c>
      <c r="P25" s="40">
        <f>$B25/64</f>
        <v/>
      </c>
      <c r="Q25" s="40">
        <f>$B25/64</f>
        <v/>
      </c>
      <c r="R25" s="40">
        <f>$B25/64</f>
        <v/>
      </c>
      <c r="S25" s="40">
        <f>$B25/64</f>
        <v/>
      </c>
      <c r="T25" s="40">
        <f>$B25/64</f>
        <v/>
      </c>
      <c r="U25" s="40">
        <f>$B25/64</f>
        <v/>
      </c>
      <c r="V25" s="40">
        <f>$B25/64</f>
        <v/>
      </c>
      <c r="W25" s="40">
        <f>$B25/64</f>
        <v/>
      </c>
      <c r="X25" s="40">
        <f>$B25/64</f>
        <v/>
      </c>
      <c r="Y25" s="40">
        <f>$B25/64</f>
        <v/>
      </c>
      <c r="Z25" s="40">
        <f>$B25/64</f>
        <v/>
      </c>
      <c r="AA25" s="40">
        <f>$B25/64</f>
        <v/>
      </c>
      <c r="AB25" s="40">
        <f>$B25/64</f>
        <v/>
      </c>
      <c r="AC25" s="40">
        <f>$B25/64</f>
        <v/>
      </c>
      <c r="AD25" s="40">
        <f>$B25/64</f>
        <v/>
      </c>
      <c r="AE25" s="40">
        <f>$B25/64</f>
        <v/>
      </c>
      <c r="AF25" s="40">
        <f>$B25/64</f>
        <v/>
      </c>
      <c r="AG25" s="40">
        <f>$B25/64</f>
        <v/>
      </c>
      <c r="AH25" s="40">
        <f>$B25/64</f>
        <v/>
      </c>
      <c r="AI25" s="40">
        <f>$B25/64</f>
        <v/>
      </c>
      <c r="AJ25" s="40">
        <f>$B25/64</f>
        <v/>
      </c>
      <c r="AK25" s="40">
        <f>$B25/64</f>
        <v/>
      </c>
      <c r="AL25" s="40">
        <f>$B25/64</f>
        <v/>
      </c>
      <c r="AM25" s="40">
        <f>$B25/64</f>
        <v/>
      </c>
      <c r="AN25" s="40">
        <f>$B25/64</f>
        <v/>
      </c>
      <c r="AO25" s="40">
        <f>$B25/64</f>
        <v/>
      </c>
      <c r="AP25" s="40">
        <f>$B25/64</f>
        <v/>
      </c>
      <c r="AQ25" s="40">
        <f>$B25/64</f>
        <v/>
      </c>
      <c r="AR25" s="40">
        <f>$B25/64</f>
        <v/>
      </c>
      <c r="AS25" s="40">
        <f>$B25/64</f>
        <v/>
      </c>
      <c r="AT25" s="40">
        <f>$B25/64</f>
        <v/>
      </c>
      <c r="AU25" s="40">
        <f>$B25/64</f>
        <v/>
      </c>
      <c r="AV25" s="40">
        <f>$B25/64</f>
        <v/>
      </c>
      <c r="AW25" s="40">
        <f>$B25/64</f>
        <v/>
      </c>
      <c r="AX25" s="40">
        <f>$B25/64</f>
        <v/>
      </c>
      <c r="AY25" s="40">
        <f>$B25/64</f>
        <v/>
      </c>
      <c r="AZ25" s="40">
        <f>$B25/64</f>
        <v/>
      </c>
      <c r="BA25" s="40">
        <f>$B25/64</f>
        <v/>
      </c>
      <c r="BB25" s="40">
        <f>$B25/64</f>
        <v/>
      </c>
      <c r="BC25" s="40">
        <f>$B25/64</f>
        <v/>
      </c>
      <c r="BD25" s="40">
        <f>$B25/64</f>
        <v/>
      </c>
      <c r="BE25" s="40">
        <f>$B25/64</f>
        <v/>
      </c>
      <c r="BF25" s="40">
        <f>$B25/64</f>
        <v/>
      </c>
      <c r="BG25" s="40">
        <f>$B25/64</f>
        <v/>
      </c>
      <c r="BH25" s="40">
        <f>$B25/64</f>
        <v/>
      </c>
      <c r="BI25" s="40">
        <f>$B25/64</f>
        <v/>
      </c>
      <c r="BJ25" s="40">
        <f>$B25/64</f>
        <v/>
      </c>
      <c r="BK25" s="40">
        <f>$B25/64</f>
        <v/>
      </c>
      <c r="BL25" s="40">
        <f>$B25/64</f>
        <v/>
      </c>
      <c r="BM25" s="40">
        <f>$B25/64</f>
        <v/>
      </c>
      <c r="BN25" s="40">
        <f>$B25/64</f>
        <v/>
      </c>
    </row>
    <row r="26">
      <c r="A26" s="46" t="inlineStr">
        <is>
          <t>TRANSFORMER REPAIR</t>
        </is>
      </c>
      <c r="B26" s="46" t="n">
        <v>0</v>
      </c>
      <c r="C26" s="40">
        <f>$B26/64</f>
        <v/>
      </c>
      <c r="D26" s="40">
        <f>$B26/64</f>
        <v/>
      </c>
      <c r="E26" s="40">
        <f>$B26/64</f>
        <v/>
      </c>
      <c r="F26" s="40">
        <f>$B26/64</f>
        <v/>
      </c>
      <c r="G26" s="40">
        <f>$B26/64</f>
        <v/>
      </c>
      <c r="H26" s="40">
        <f>$B26/64</f>
        <v/>
      </c>
      <c r="I26" s="40">
        <f>$B26/64</f>
        <v/>
      </c>
      <c r="J26" s="40">
        <f>$B26/64</f>
        <v/>
      </c>
      <c r="K26" s="40">
        <f>$B26/64</f>
        <v/>
      </c>
      <c r="L26" s="40">
        <f>$B26/64</f>
        <v/>
      </c>
      <c r="M26" s="40">
        <f>$B26/64</f>
        <v/>
      </c>
      <c r="N26" s="40">
        <f>$B26/64</f>
        <v/>
      </c>
      <c r="O26" s="40">
        <f>$B26/64</f>
        <v/>
      </c>
      <c r="P26" s="40">
        <f>$B26/64</f>
        <v/>
      </c>
      <c r="Q26" s="40">
        <f>$B26/64</f>
        <v/>
      </c>
      <c r="R26" s="40">
        <f>$B26/64</f>
        <v/>
      </c>
      <c r="S26" s="40">
        <f>$B26/64</f>
        <v/>
      </c>
      <c r="T26" s="40">
        <f>$B26/64</f>
        <v/>
      </c>
      <c r="U26" s="40">
        <f>$B26/64</f>
        <v/>
      </c>
      <c r="V26" s="40">
        <f>$B26/64</f>
        <v/>
      </c>
      <c r="W26" s="40">
        <f>$B26/64</f>
        <v/>
      </c>
      <c r="X26" s="40">
        <f>$B26/64</f>
        <v/>
      </c>
      <c r="Y26" s="40">
        <f>$B26/64</f>
        <v/>
      </c>
      <c r="Z26" s="40">
        <f>$B26/64</f>
        <v/>
      </c>
      <c r="AA26" s="40">
        <f>$B26/64</f>
        <v/>
      </c>
      <c r="AB26" s="40">
        <f>$B26/64</f>
        <v/>
      </c>
      <c r="AC26" s="40">
        <f>$B26/64</f>
        <v/>
      </c>
      <c r="AD26" s="40">
        <f>$B26/64</f>
        <v/>
      </c>
      <c r="AE26" s="40">
        <f>$B26/64</f>
        <v/>
      </c>
      <c r="AF26" s="40">
        <f>$B26/64</f>
        <v/>
      </c>
      <c r="AG26" s="40">
        <f>$B26/64</f>
        <v/>
      </c>
      <c r="AH26" s="40">
        <f>$B26/64</f>
        <v/>
      </c>
      <c r="AI26" s="40">
        <f>$B26/64</f>
        <v/>
      </c>
      <c r="AJ26" s="40">
        <f>$B26/64</f>
        <v/>
      </c>
      <c r="AK26" s="40">
        <f>$B26/64</f>
        <v/>
      </c>
      <c r="AL26" s="40">
        <f>$B26/64</f>
        <v/>
      </c>
      <c r="AM26" s="40">
        <f>$B26/64</f>
        <v/>
      </c>
      <c r="AN26" s="40">
        <f>$B26/64</f>
        <v/>
      </c>
      <c r="AO26" s="40">
        <f>$B26/64</f>
        <v/>
      </c>
      <c r="AP26" s="40">
        <f>$B26/64</f>
        <v/>
      </c>
      <c r="AQ26" s="40">
        <f>$B26/64</f>
        <v/>
      </c>
      <c r="AR26" s="40">
        <f>$B26/64</f>
        <v/>
      </c>
      <c r="AS26" s="40">
        <f>$B26/64</f>
        <v/>
      </c>
      <c r="AT26" s="40">
        <f>$B26/64</f>
        <v/>
      </c>
      <c r="AU26" s="40">
        <f>$B26/64</f>
        <v/>
      </c>
      <c r="AV26" s="40">
        <f>$B26/64</f>
        <v/>
      </c>
      <c r="AW26" s="40">
        <f>$B26/64</f>
        <v/>
      </c>
      <c r="AX26" s="40">
        <f>$B26/64</f>
        <v/>
      </c>
      <c r="AY26" s="40">
        <f>$B26/64</f>
        <v/>
      </c>
      <c r="AZ26" s="40">
        <f>$B26/64</f>
        <v/>
      </c>
      <c r="BA26" s="40">
        <f>$B26/64</f>
        <v/>
      </c>
      <c r="BB26" s="40">
        <f>$B26/64</f>
        <v/>
      </c>
      <c r="BC26" s="40">
        <f>$B26/64</f>
        <v/>
      </c>
      <c r="BD26" s="40">
        <f>$B26/64</f>
        <v/>
      </c>
      <c r="BE26" s="40">
        <f>$B26/64</f>
        <v/>
      </c>
      <c r="BF26" s="40">
        <f>$B26/64</f>
        <v/>
      </c>
      <c r="BG26" s="40">
        <f>$B26/64</f>
        <v/>
      </c>
      <c r="BH26" s="40">
        <f>$B26/64</f>
        <v/>
      </c>
      <c r="BI26" s="40">
        <f>$B26/64</f>
        <v/>
      </c>
      <c r="BJ26" s="40">
        <f>$B26/64</f>
        <v/>
      </c>
      <c r="BK26" s="40">
        <f>$B26/64</f>
        <v/>
      </c>
      <c r="BL26" s="40">
        <f>$B26/64</f>
        <v/>
      </c>
      <c r="BM26" s="40">
        <f>$B26/64</f>
        <v/>
      </c>
      <c r="BN26" s="40">
        <f>$B26/64</f>
        <v/>
      </c>
    </row>
    <row r="27">
      <c r="A27" s="46" t="inlineStr">
        <is>
          <t>GENERATOR MAINTENANCE
EPITOME</t>
        </is>
      </c>
      <c r="B27" s="46" t="n">
        <v>0</v>
      </c>
      <c r="C27" s="40">
        <f>$B27/64</f>
        <v/>
      </c>
      <c r="D27" s="40">
        <f>$B27/64</f>
        <v/>
      </c>
      <c r="E27" s="40">
        <f>$B27/64</f>
        <v/>
      </c>
      <c r="F27" s="40">
        <f>$B27/64</f>
        <v/>
      </c>
      <c r="G27" s="40">
        <f>$B27/64</f>
        <v/>
      </c>
      <c r="H27" s="40">
        <f>$B27/64</f>
        <v/>
      </c>
      <c r="I27" s="40">
        <f>$B27/64</f>
        <v/>
      </c>
      <c r="J27" s="40">
        <f>$B27/64</f>
        <v/>
      </c>
      <c r="K27" s="40">
        <f>$B27/64</f>
        <v/>
      </c>
      <c r="L27" s="40">
        <f>$B27/64</f>
        <v/>
      </c>
      <c r="M27" s="40">
        <f>$B27/64</f>
        <v/>
      </c>
      <c r="N27" s="40">
        <f>$B27/64</f>
        <v/>
      </c>
      <c r="O27" s="40">
        <f>$B27/64</f>
        <v/>
      </c>
      <c r="P27" s="40">
        <f>$B27/64</f>
        <v/>
      </c>
      <c r="Q27" s="40">
        <f>$B27/64</f>
        <v/>
      </c>
      <c r="R27" s="40">
        <f>$B27/64</f>
        <v/>
      </c>
      <c r="S27" s="40">
        <f>$B27/64</f>
        <v/>
      </c>
      <c r="T27" s="40">
        <f>$B27/64</f>
        <v/>
      </c>
      <c r="U27" s="40">
        <f>$B27/64</f>
        <v/>
      </c>
      <c r="V27" s="40">
        <f>$B27/64</f>
        <v/>
      </c>
      <c r="W27" s="40">
        <f>$B27/64</f>
        <v/>
      </c>
      <c r="X27" s="40">
        <f>$B27/64</f>
        <v/>
      </c>
      <c r="Y27" s="40">
        <f>$B27/64</f>
        <v/>
      </c>
      <c r="Z27" s="40">
        <f>$B27/64</f>
        <v/>
      </c>
      <c r="AA27" s="40">
        <f>$B27/64</f>
        <v/>
      </c>
      <c r="AB27" s="40">
        <f>$B27/64</f>
        <v/>
      </c>
      <c r="AC27" s="40">
        <f>$B27/64</f>
        <v/>
      </c>
      <c r="AD27" s="40">
        <f>$B27/64</f>
        <v/>
      </c>
      <c r="AE27" s="40">
        <f>$B27/64</f>
        <v/>
      </c>
      <c r="AF27" s="40">
        <f>$B27/64</f>
        <v/>
      </c>
      <c r="AG27" s="40">
        <f>$B27/64</f>
        <v/>
      </c>
      <c r="AH27" s="40">
        <f>$B27/64</f>
        <v/>
      </c>
      <c r="AI27" s="40">
        <f>$B27/64</f>
        <v/>
      </c>
      <c r="AJ27" s="40">
        <f>$B27/64</f>
        <v/>
      </c>
      <c r="AK27" s="40">
        <f>$B27/64</f>
        <v/>
      </c>
      <c r="AL27" s="40">
        <f>$B27/64</f>
        <v/>
      </c>
      <c r="AM27" s="40">
        <f>$B27/64</f>
        <v/>
      </c>
      <c r="AN27" s="40">
        <f>$B27/64</f>
        <v/>
      </c>
      <c r="AO27" s="40">
        <f>$B27/64</f>
        <v/>
      </c>
      <c r="AP27" s="40">
        <f>$B27/64</f>
        <v/>
      </c>
      <c r="AQ27" s="40">
        <f>$B27/64</f>
        <v/>
      </c>
      <c r="AR27" s="40">
        <f>$B27/64</f>
        <v/>
      </c>
      <c r="AS27" s="40">
        <f>$B27/64</f>
        <v/>
      </c>
      <c r="AT27" s="40">
        <f>$B27/64</f>
        <v/>
      </c>
      <c r="AU27" s="40">
        <f>$B27/64</f>
        <v/>
      </c>
      <c r="AV27" s="40">
        <f>$B27/64</f>
        <v/>
      </c>
      <c r="AW27" s="40">
        <f>$B27/64</f>
        <v/>
      </c>
      <c r="AX27" s="40">
        <f>$B27/64</f>
        <v/>
      </c>
      <c r="AY27" s="40">
        <f>$B27/64</f>
        <v/>
      </c>
      <c r="AZ27" s="40">
        <f>$B27/64</f>
        <v/>
      </c>
      <c r="BA27" s="40">
        <f>$B27/64</f>
        <v/>
      </c>
      <c r="BB27" s="40">
        <f>$B27/64</f>
        <v/>
      </c>
      <c r="BC27" s="40">
        <f>$B27/64</f>
        <v/>
      </c>
      <c r="BD27" s="40">
        <f>$B27/64</f>
        <v/>
      </c>
      <c r="BE27" s="40">
        <f>$B27/64</f>
        <v/>
      </c>
      <c r="BF27" s="40">
        <f>$B27/64</f>
        <v/>
      </c>
      <c r="BG27" s="40">
        <f>$B27/64</f>
        <v/>
      </c>
      <c r="BH27" s="40">
        <f>$B27/64</f>
        <v/>
      </c>
      <c r="BI27" s="40">
        <f>$B27/64</f>
        <v/>
      </c>
      <c r="BJ27" s="40">
        <f>$B27/64</f>
        <v/>
      </c>
      <c r="BK27" s="40">
        <f>$B27/64</f>
        <v/>
      </c>
      <c r="BL27" s="40">
        <f>$B27/64</f>
        <v/>
      </c>
      <c r="BM27" s="40">
        <f>$B27/64</f>
        <v/>
      </c>
      <c r="BN27" s="40">
        <f>$B27/64</f>
        <v/>
      </c>
    </row>
    <row r="28">
      <c r="A28" s="46" t="inlineStr">
        <is>
          <t>GARDENING</t>
        </is>
      </c>
      <c r="B28" s="46" t="n">
        <v>0</v>
      </c>
      <c r="C28" s="40">
        <f>$B28/64</f>
        <v/>
      </c>
      <c r="D28" s="40">
        <f>$B28/64</f>
        <v/>
      </c>
      <c r="E28" s="40">
        <f>$B28/64</f>
        <v/>
      </c>
      <c r="F28" s="40">
        <f>$B28/64</f>
        <v/>
      </c>
      <c r="G28" s="40">
        <f>$B28/64</f>
        <v/>
      </c>
      <c r="H28" s="40">
        <f>$B28/64</f>
        <v/>
      </c>
      <c r="I28" s="40">
        <f>$B28/64</f>
        <v/>
      </c>
      <c r="J28" s="40">
        <f>$B28/64</f>
        <v/>
      </c>
      <c r="K28" s="40">
        <f>$B28/64</f>
        <v/>
      </c>
      <c r="L28" s="40">
        <f>$B28/64</f>
        <v/>
      </c>
      <c r="M28" s="40">
        <f>$B28/64</f>
        <v/>
      </c>
      <c r="N28" s="40">
        <f>$B28/64</f>
        <v/>
      </c>
      <c r="O28" s="40">
        <f>$B28/64</f>
        <v/>
      </c>
      <c r="P28" s="40">
        <f>$B28/64</f>
        <v/>
      </c>
      <c r="Q28" s="40">
        <f>$B28/64</f>
        <v/>
      </c>
      <c r="R28" s="40">
        <f>$B28/64</f>
        <v/>
      </c>
      <c r="S28" s="40">
        <f>$B28/64</f>
        <v/>
      </c>
      <c r="T28" s="40">
        <f>$B28/64</f>
        <v/>
      </c>
      <c r="U28" s="40">
        <f>$B28/64</f>
        <v/>
      </c>
      <c r="V28" s="40">
        <f>$B28/64</f>
        <v/>
      </c>
      <c r="W28" s="40">
        <f>$B28/64</f>
        <v/>
      </c>
      <c r="X28" s="40">
        <f>$B28/64</f>
        <v/>
      </c>
      <c r="Y28" s="40">
        <f>$B28/64</f>
        <v/>
      </c>
      <c r="Z28" s="40">
        <f>$B28/64</f>
        <v/>
      </c>
      <c r="AA28" s="40">
        <f>$B28/64</f>
        <v/>
      </c>
      <c r="AB28" s="40">
        <f>$B28/64</f>
        <v/>
      </c>
      <c r="AC28" s="40">
        <f>$B28/64</f>
        <v/>
      </c>
      <c r="AD28" s="40">
        <f>$B28/64</f>
        <v/>
      </c>
      <c r="AE28" s="40">
        <f>$B28/64</f>
        <v/>
      </c>
      <c r="AF28" s="40">
        <f>$B28/64</f>
        <v/>
      </c>
      <c r="AG28" s="40">
        <f>$B28/64</f>
        <v/>
      </c>
      <c r="AH28" s="40">
        <f>$B28/64</f>
        <v/>
      </c>
      <c r="AI28" s="40">
        <f>$B28/64</f>
        <v/>
      </c>
      <c r="AJ28" s="40">
        <f>$B28/64</f>
        <v/>
      </c>
      <c r="AK28" s="40">
        <f>$B28/64</f>
        <v/>
      </c>
      <c r="AL28" s="40">
        <f>$B28/64</f>
        <v/>
      </c>
      <c r="AM28" s="40">
        <f>$B28/64</f>
        <v/>
      </c>
      <c r="AN28" s="40">
        <f>$B28/64</f>
        <v/>
      </c>
      <c r="AO28" s="40">
        <f>$B28/64</f>
        <v/>
      </c>
      <c r="AP28" s="40">
        <f>$B28/64</f>
        <v/>
      </c>
      <c r="AQ28" s="40">
        <f>$B28/64</f>
        <v/>
      </c>
      <c r="AR28" s="40">
        <f>$B28/64</f>
        <v/>
      </c>
      <c r="AS28" s="40">
        <f>$B28/64</f>
        <v/>
      </c>
      <c r="AT28" s="40">
        <f>$B28/64</f>
        <v/>
      </c>
      <c r="AU28" s="40">
        <f>$B28/64</f>
        <v/>
      </c>
      <c r="AV28" s="40">
        <f>$B28/64</f>
        <v/>
      </c>
      <c r="AW28" s="40">
        <f>$B28/64</f>
        <v/>
      </c>
      <c r="AX28" s="40">
        <f>$B28/64</f>
        <v/>
      </c>
      <c r="AY28" s="40">
        <f>$B28/64</f>
        <v/>
      </c>
      <c r="AZ28" s="40">
        <f>$B28/64</f>
        <v/>
      </c>
      <c r="BA28" s="40">
        <f>$B28/64</f>
        <v/>
      </c>
      <c r="BB28" s="40">
        <f>$B28/64</f>
        <v/>
      </c>
      <c r="BC28" s="40">
        <f>$B28/64</f>
        <v/>
      </c>
      <c r="BD28" s="40">
        <f>$B28/64</f>
        <v/>
      </c>
      <c r="BE28" s="40">
        <f>$B28/64</f>
        <v/>
      </c>
      <c r="BF28" s="40">
        <f>$B28/64</f>
        <v/>
      </c>
      <c r="BG28" s="40">
        <f>$B28/64</f>
        <v/>
      </c>
      <c r="BH28" s="40">
        <f>$B28/64</f>
        <v/>
      </c>
      <c r="BI28" s="40">
        <f>$B28/64</f>
        <v/>
      </c>
      <c r="BJ28" s="40">
        <f>$B28/64</f>
        <v/>
      </c>
      <c r="BK28" s="40">
        <f>$B28/64</f>
        <v/>
      </c>
      <c r="BL28" s="40">
        <f>$B28/64</f>
        <v/>
      </c>
      <c r="BM28" s="40">
        <f>$B28/64</f>
        <v/>
      </c>
      <c r="BN28" s="40">
        <f>$B28/64</f>
        <v/>
      </c>
    </row>
    <row r="29">
      <c r="A29" s="46" t="inlineStr">
        <is>
          <t>PLUMBER WAGE</t>
        </is>
      </c>
      <c r="B29" s="46" t="n">
        <v>0</v>
      </c>
      <c r="C29" s="40">
        <f>$B29/64</f>
        <v/>
      </c>
      <c r="D29" s="40">
        <f>$B29/64</f>
        <v/>
      </c>
      <c r="E29" s="40">
        <f>$B29/64</f>
        <v/>
      </c>
      <c r="F29" s="40">
        <f>$B29/64</f>
        <v/>
      </c>
      <c r="G29" s="40">
        <f>$B29/64</f>
        <v/>
      </c>
      <c r="H29" s="40">
        <f>$B29/64</f>
        <v/>
      </c>
      <c r="I29" s="40">
        <f>$B29/64</f>
        <v/>
      </c>
      <c r="J29" s="40">
        <f>$B29/64</f>
        <v/>
      </c>
      <c r="K29" s="40">
        <f>$B29/64</f>
        <v/>
      </c>
      <c r="L29" s="40">
        <f>$B29/64</f>
        <v/>
      </c>
      <c r="M29" s="40">
        <f>$B29/64</f>
        <v/>
      </c>
      <c r="N29" s="40">
        <f>$B29/64</f>
        <v/>
      </c>
      <c r="O29" s="40">
        <f>$B29/64</f>
        <v/>
      </c>
      <c r="P29" s="40">
        <f>$B29/64</f>
        <v/>
      </c>
      <c r="Q29" s="40">
        <f>$B29/64</f>
        <v/>
      </c>
      <c r="R29" s="40">
        <f>$B29/64</f>
        <v/>
      </c>
      <c r="S29" s="40">
        <f>$B29/64</f>
        <v/>
      </c>
      <c r="T29" s="40">
        <f>$B29/64</f>
        <v/>
      </c>
      <c r="U29" s="40">
        <f>$B29/64</f>
        <v/>
      </c>
      <c r="V29" s="40">
        <f>$B29/64</f>
        <v/>
      </c>
      <c r="W29" s="40">
        <f>$B29/64</f>
        <v/>
      </c>
      <c r="X29" s="40">
        <f>$B29/64</f>
        <v/>
      </c>
      <c r="Y29" s="40">
        <f>$B29/64</f>
        <v/>
      </c>
      <c r="Z29" s="40">
        <f>$B29/64</f>
        <v/>
      </c>
      <c r="AA29" s="40">
        <f>$B29/64</f>
        <v/>
      </c>
      <c r="AB29" s="40">
        <f>$B29/64</f>
        <v/>
      </c>
      <c r="AC29" s="40">
        <f>$B29/64</f>
        <v/>
      </c>
      <c r="AD29" s="40">
        <f>$B29/64</f>
        <v/>
      </c>
      <c r="AE29" s="40">
        <f>$B29/64</f>
        <v/>
      </c>
      <c r="AF29" s="40">
        <f>$B29/64</f>
        <v/>
      </c>
      <c r="AG29" s="40">
        <f>$B29/64</f>
        <v/>
      </c>
      <c r="AH29" s="40">
        <f>$B29/64</f>
        <v/>
      </c>
      <c r="AI29" s="40">
        <f>$B29/64</f>
        <v/>
      </c>
      <c r="AJ29" s="40">
        <f>$B29/64</f>
        <v/>
      </c>
      <c r="AK29" s="40">
        <f>$B29/64</f>
        <v/>
      </c>
      <c r="AL29" s="40">
        <f>$B29/64</f>
        <v/>
      </c>
      <c r="AM29" s="40">
        <f>$B29/64</f>
        <v/>
      </c>
      <c r="AN29" s="40">
        <f>$B29/64</f>
        <v/>
      </c>
      <c r="AO29" s="40">
        <f>$B29/64</f>
        <v/>
      </c>
      <c r="AP29" s="40">
        <f>$B29/64</f>
        <v/>
      </c>
      <c r="AQ29" s="40">
        <f>$B29/64</f>
        <v/>
      </c>
      <c r="AR29" s="40">
        <f>$B29/64</f>
        <v/>
      </c>
      <c r="AS29" s="40">
        <f>$B29/64</f>
        <v/>
      </c>
      <c r="AT29" s="40">
        <f>$B29/64</f>
        <v/>
      </c>
      <c r="AU29" s="40">
        <f>$B29/64</f>
        <v/>
      </c>
      <c r="AV29" s="40">
        <f>$B29/64</f>
        <v/>
      </c>
      <c r="AW29" s="40">
        <f>$B29/64</f>
        <v/>
      </c>
      <c r="AX29" s="40">
        <f>$B29/64</f>
        <v/>
      </c>
      <c r="AY29" s="40">
        <f>$B29/64</f>
        <v/>
      </c>
      <c r="AZ29" s="40">
        <f>$B29/64</f>
        <v/>
      </c>
      <c r="BA29" s="40">
        <f>$B29/64</f>
        <v/>
      </c>
      <c r="BB29" s="40">
        <f>$B29/64</f>
        <v/>
      </c>
      <c r="BC29" s="40">
        <f>$B29/64</f>
        <v/>
      </c>
      <c r="BD29" s="40">
        <f>$B29/64</f>
        <v/>
      </c>
      <c r="BE29" s="40">
        <f>$B29/64</f>
        <v/>
      </c>
      <c r="BF29" s="40">
        <f>$B29/64</f>
        <v/>
      </c>
      <c r="BG29" s="40">
        <f>$B29/64</f>
        <v/>
      </c>
      <c r="BH29" s="40">
        <f>$B29/64</f>
        <v/>
      </c>
      <c r="BI29" s="40">
        <f>$B29/64</f>
        <v/>
      </c>
      <c r="BJ29" s="40">
        <f>$B29/64</f>
        <v/>
      </c>
      <c r="BK29" s="40">
        <f>$B29/64</f>
        <v/>
      </c>
      <c r="BL29" s="40">
        <f>$B29/64</f>
        <v/>
      </c>
      <c r="BM29" s="40">
        <f>$B29/64</f>
        <v/>
      </c>
      <c r="BN29" s="40">
        <f>$B29/64</f>
        <v/>
      </c>
    </row>
    <row r="30">
      <c r="A30" s="46" t="inlineStr">
        <is>
          <t>ELECTRICIAN WAGE</t>
        </is>
      </c>
      <c r="B30" s="46" t="n">
        <v>0</v>
      </c>
      <c r="C30" s="40">
        <f>$B30/64</f>
        <v/>
      </c>
      <c r="D30" s="40">
        <f>$B30/64</f>
        <v/>
      </c>
      <c r="E30" s="40">
        <f>$B30/64</f>
        <v/>
      </c>
      <c r="F30" s="40">
        <f>$B30/64</f>
        <v/>
      </c>
      <c r="G30" s="40">
        <f>$B30/64</f>
        <v/>
      </c>
      <c r="H30" s="40">
        <f>$B30/64</f>
        <v/>
      </c>
      <c r="I30" s="40">
        <f>$B30/64</f>
        <v/>
      </c>
      <c r="J30" s="40">
        <f>$B30/64</f>
        <v/>
      </c>
      <c r="K30" s="40">
        <f>$B30/64</f>
        <v/>
      </c>
      <c r="L30" s="40">
        <f>$B30/64</f>
        <v/>
      </c>
      <c r="M30" s="40">
        <f>$B30/64</f>
        <v/>
      </c>
      <c r="N30" s="40">
        <f>$B30/64</f>
        <v/>
      </c>
      <c r="O30" s="40">
        <f>$B30/64</f>
        <v/>
      </c>
      <c r="P30" s="40">
        <f>$B30/64</f>
        <v/>
      </c>
      <c r="Q30" s="40">
        <f>$B30/64</f>
        <v/>
      </c>
      <c r="R30" s="40">
        <f>$B30/64</f>
        <v/>
      </c>
      <c r="S30" s="40">
        <f>$B30/64</f>
        <v/>
      </c>
      <c r="T30" s="40">
        <f>$B30/64</f>
        <v/>
      </c>
      <c r="U30" s="40">
        <f>$B30/64</f>
        <v/>
      </c>
      <c r="V30" s="40">
        <f>$B30/64</f>
        <v/>
      </c>
      <c r="W30" s="40">
        <f>$B30/64</f>
        <v/>
      </c>
      <c r="X30" s="40">
        <f>$B30/64</f>
        <v/>
      </c>
      <c r="Y30" s="40">
        <f>$B30/64</f>
        <v/>
      </c>
      <c r="Z30" s="40">
        <f>$B30/64</f>
        <v/>
      </c>
      <c r="AA30" s="40">
        <f>$B30/64</f>
        <v/>
      </c>
      <c r="AB30" s="40">
        <f>$B30/64</f>
        <v/>
      </c>
      <c r="AC30" s="40">
        <f>$B30/64</f>
        <v/>
      </c>
      <c r="AD30" s="40">
        <f>$B30/64</f>
        <v/>
      </c>
      <c r="AE30" s="40">
        <f>$B30/64</f>
        <v/>
      </c>
      <c r="AF30" s="40">
        <f>$B30/64</f>
        <v/>
      </c>
      <c r="AG30" s="40">
        <f>$B30/64</f>
        <v/>
      </c>
      <c r="AH30" s="40">
        <f>$B30/64</f>
        <v/>
      </c>
      <c r="AI30" s="40">
        <f>$B30/64</f>
        <v/>
      </c>
      <c r="AJ30" s="40">
        <f>$B30/64</f>
        <v/>
      </c>
      <c r="AK30" s="40">
        <f>$B30/64</f>
        <v/>
      </c>
      <c r="AL30" s="40">
        <f>$B30/64</f>
        <v/>
      </c>
      <c r="AM30" s="40">
        <f>$B30/64</f>
        <v/>
      </c>
      <c r="AN30" s="40">
        <f>$B30/64</f>
        <v/>
      </c>
      <c r="AO30" s="40">
        <f>$B30/64</f>
        <v/>
      </c>
      <c r="AP30" s="40">
        <f>$B30/64</f>
        <v/>
      </c>
      <c r="AQ30" s="40">
        <f>$B30/64</f>
        <v/>
      </c>
      <c r="AR30" s="40">
        <f>$B30/64</f>
        <v/>
      </c>
      <c r="AS30" s="40">
        <f>$B30/64</f>
        <v/>
      </c>
      <c r="AT30" s="40">
        <f>$B30/64</f>
        <v/>
      </c>
      <c r="AU30" s="40">
        <f>$B30/64</f>
        <v/>
      </c>
      <c r="AV30" s="40">
        <f>$B30/64</f>
        <v/>
      </c>
      <c r="AW30" s="40">
        <f>$B30/64</f>
        <v/>
      </c>
      <c r="AX30" s="40">
        <f>$B30/64</f>
        <v/>
      </c>
      <c r="AY30" s="40">
        <f>$B30/64</f>
        <v/>
      </c>
      <c r="AZ30" s="40">
        <f>$B30/64</f>
        <v/>
      </c>
      <c r="BA30" s="40">
        <f>$B30/64</f>
        <v/>
      </c>
      <c r="BB30" s="40">
        <f>$B30/64</f>
        <v/>
      </c>
      <c r="BC30" s="40">
        <f>$B30/64</f>
        <v/>
      </c>
      <c r="BD30" s="40">
        <f>$B30/64</f>
        <v/>
      </c>
      <c r="BE30" s="40">
        <f>$B30/64</f>
        <v/>
      </c>
      <c r="BF30" s="40">
        <f>$B30/64</f>
        <v/>
      </c>
      <c r="BG30" s="40">
        <f>$B30/64</f>
        <v/>
      </c>
      <c r="BH30" s="40">
        <f>$B30/64</f>
        <v/>
      </c>
      <c r="BI30" s="40">
        <f>$B30/64</f>
        <v/>
      </c>
      <c r="BJ30" s="40">
        <f>$B30/64</f>
        <v/>
      </c>
      <c r="BK30" s="40">
        <f>$B30/64</f>
        <v/>
      </c>
      <c r="BL30" s="40">
        <f>$B30/64</f>
        <v/>
      </c>
      <c r="BM30" s="40">
        <f>$B30/64</f>
        <v/>
      </c>
      <c r="BN30" s="40">
        <f>$B30/64</f>
        <v/>
      </c>
    </row>
    <row r="31">
      <c r="A31" s="46" t="inlineStr">
        <is>
          <t>MANAGER WAGE</t>
        </is>
      </c>
      <c r="B31" s="46" t="n">
        <v>0</v>
      </c>
      <c r="C31" s="40">
        <f>$B31/64</f>
        <v/>
      </c>
      <c r="D31" s="40">
        <f>$B31/64</f>
        <v/>
      </c>
      <c r="E31" s="40">
        <f>$B31/64</f>
        <v/>
      </c>
      <c r="F31" s="40">
        <f>$B31/64</f>
        <v/>
      </c>
      <c r="G31" s="40">
        <f>$B31/64</f>
        <v/>
      </c>
      <c r="H31" s="40">
        <f>$B31/64</f>
        <v/>
      </c>
      <c r="I31" s="40">
        <f>$B31/64</f>
        <v/>
      </c>
      <c r="J31" s="40">
        <f>$B31/64</f>
        <v/>
      </c>
      <c r="K31" s="40">
        <f>$B31/64</f>
        <v/>
      </c>
      <c r="L31" s="40">
        <f>$B31/64</f>
        <v/>
      </c>
      <c r="M31" s="40">
        <f>$B31/64</f>
        <v/>
      </c>
      <c r="N31" s="40">
        <f>$B31/64</f>
        <v/>
      </c>
      <c r="O31" s="40">
        <f>$B31/64</f>
        <v/>
      </c>
      <c r="P31" s="40">
        <f>$B31/64</f>
        <v/>
      </c>
      <c r="Q31" s="40">
        <f>$B31/64</f>
        <v/>
      </c>
      <c r="R31" s="40">
        <f>$B31/64</f>
        <v/>
      </c>
      <c r="S31" s="40">
        <f>$B31/64</f>
        <v/>
      </c>
      <c r="T31" s="40">
        <f>$B31/64</f>
        <v/>
      </c>
      <c r="U31" s="40">
        <f>$B31/64</f>
        <v/>
      </c>
      <c r="V31" s="40">
        <f>$B31/64</f>
        <v/>
      </c>
      <c r="W31" s="40">
        <f>$B31/64</f>
        <v/>
      </c>
      <c r="X31" s="40">
        <f>$B31/64</f>
        <v/>
      </c>
      <c r="Y31" s="40">
        <f>$B31/64</f>
        <v/>
      </c>
      <c r="Z31" s="40">
        <f>$B31/64</f>
        <v/>
      </c>
      <c r="AA31" s="40">
        <f>$B31/64</f>
        <v/>
      </c>
      <c r="AB31" s="40">
        <f>$B31/64</f>
        <v/>
      </c>
      <c r="AC31" s="40">
        <f>$B31/64</f>
        <v/>
      </c>
      <c r="AD31" s="40">
        <f>$B31/64</f>
        <v/>
      </c>
      <c r="AE31" s="40">
        <f>$B31/64</f>
        <v/>
      </c>
      <c r="AF31" s="40">
        <f>$B31/64</f>
        <v/>
      </c>
      <c r="AG31" s="40">
        <f>$B31/64</f>
        <v/>
      </c>
      <c r="AH31" s="40">
        <f>$B31/64</f>
        <v/>
      </c>
      <c r="AI31" s="40">
        <f>$B31/64</f>
        <v/>
      </c>
      <c r="AJ31" s="40">
        <f>$B31/64</f>
        <v/>
      </c>
      <c r="AK31" s="40">
        <f>$B31/64</f>
        <v/>
      </c>
      <c r="AL31" s="40">
        <f>$B31/64</f>
        <v/>
      </c>
      <c r="AM31" s="40">
        <f>$B31/64</f>
        <v/>
      </c>
      <c r="AN31" s="40">
        <f>$B31/64</f>
        <v/>
      </c>
      <c r="AO31" s="40">
        <f>$B31/64</f>
        <v/>
      </c>
      <c r="AP31" s="40">
        <f>$B31/64</f>
        <v/>
      </c>
      <c r="AQ31" s="40">
        <f>$B31/64</f>
        <v/>
      </c>
      <c r="AR31" s="40">
        <f>$B31/64</f>
        <v/>
      </c>
      <c r="AS31" s="40">
        <f>$B31/64</f>
        <v/>
      </c>
      <c r="AT31" s="40">
        <f>$B31/64</f>
        <v/>
      </c>
      <c r="AU31" s="40">
        <f>$B31/64</f>
        <v/>
      </c>
      <c r="AV31" s="40">
        <f>$B31/64</f>
        <v/>
      </c>
      <c r="AW31" s="40">
        <f>$B31/64</f>
        <v/>
      </c>
      <c r="AX31" s="40">
        <f>$B31/64</f>
        <v/>
      </c>
      <c r="AY31" s="40">
        <f>$B31/64</f>
        <v/>
      </c>
      <c r="AZ31" s="40">
        <f>$B31/64</f>
        <v/>
      </c>
      <c r="BA31" s="40">
        <f>$B31/64</f>
        <v/>
      </c>
      <c r="BB31" s="40">
        <f>$B31/64</f>
        <v/>
      </c>
      <c r="BC31" s="40">
        <f>$B31/64</f>
        <v/>
      </c>
      <c r="BD31" s="40">
        <f>$B31/64</f>
        <v/>
      </c>
      <c r="BE31" s="40">
        <f>$B31/64</f>
        <v/>
      </c>
      <c r="BF31" s="40">
        <f>$B31/64</f>
        <v/>
      </c>
      <c r="BG31" s="40">
        <f>$B31/64</f>
        <v/>
      </c>
      <c r="BH31" s="40">
        <f>$B31/64</f>
        <v/>
      </c>
      <c r="BI31" s="40">
        <f>$B31/64</f>
        <v/>
      </c>
      <c r="BJ31" s="40">
        <f>$B31/64</f>
        <v/>
      </c>
      <c r="BK31" s="40">
        <f>$B31/64</f>
        <v/>
      </c>
      <c r="BL31" s="40">
        <f>$B31/64</f>
        <v/>
      </c>
      <c r="BM31" s="40">
        <f>$B31/64</f>
        <v/>
      </c>
      <c r="BN31" s="40">
        <f>$B31/64</f>
        <v/>
      </c>
    </row>
    <row r="32">
      <c r="A32" s="46" t="inlineStr">
        <is>
          <t>TANK AND SUMP CLEANING</t>
        </is>
      </c>
      <c r="B32" s="46" t="n">
        <v>0</v>
      </c>
      <c r="C32" s="40">
        <f>$B32/64</f>
        <v/>
      </c>
      <c r="D32" s="40">
        <f>$B32/64</f>
        <v/>
      </c>
      <c r="E32" s="40">
        <f>$B32/64</f>
        <v/>
      </c>
      <c r="F32" s="40">
        <f>$B32/64</f>
        <v/>
      </c>
      <c r="G32" s="40">
        <f>$B32/64</f>
        <v/>
      </c>
      <c r="H32" s="40">
        <f>$B32/64</f>
        <v/>
      </c>
      <c r="I32" s="40">
        <f>$B32/64</f>
        <v/>
      </c>
      <c r="J32" s="40">
        <f>$B32/64</f>
        <v/>
      </c>
      <c r="K32" s="40">
        <f>$B32/64</f>
        <v/>
      </c>
      <c r="L32" s="40">
        <f>$B32/64</f>
        <v/>
      </c>
      <c r="M32" s="40">
        <f>$B32/64</f>
        <v/>
      </c>
      <c r="N32" s="40">
        <f>$B32/64</f>
        <v/>
      </c>
      <c r="O32" s="40">
        <f>$B32/64</f>
        <v/>
      </c>
      <c r="P32" s="40">
        <f>$B32/64</f>
        <v/>
      </c>
      <c r="Q32" s="40">
        <f>$B32/64</f>
        <v/>
      </c>
      <c r="R32" s="40">
        <f>$B32/64</f>
        <v/>
      </c>
      <c r="S32" s="40">
        <f>$B32/64</f>
        <v/>
      </c>
      <c r="T32" s="40">
        <f>$B32/64</f>
        <v/>
      </c>
      <c r="U32" s="40">
        <f>$B32/64</f>
        <v/>
      </c>
      <c r="V32" s="40">
        <f>$B32/64</f>
        <v/>
      </c>
      <c r="W32" s="40">
        <f>$B32/64</f>
        <v/>
      </c>
      <c r="X32" s="40">
        <f>$B32/64</f>
        <v/>
      </c>
      <c r="Y32" s="40">
        <f>$B32/64</f>
        <v/>
      </c>
      <c r="Z32" s="40">
        <f>$B32/64</f>
        <v/>
      </c>
      <c r="AA32" s="40">
        <f>$B32/64</f>
        <v/>
      </c>
      <c r="AB32" s="40">
        <f>$B32/64</f>
        <v/>
      </c>
      <c r="AC32" s="40">
        <f>$B32/64</f>
        <v/>
      </c>
      <c r="AD32" s="40">
        <f>$B32/64</f>
        <v/>
      </c>
      <c r="AE32" s="40">
        <f>$B32/64</f>
        <v/>
      </c>
      <c r="AF32" s="40">
        <f>$B32/64</f>
        <v/>
      </c>
      <c r="AG32" s="40">
        <f>$B32/64</f>
        <v/>
      </c>
      <c r="AH32" s="40">
        <f>$B32/64</f>
        <v/>
      </c>
      <c r="AI32" s="40">
        <f>$B32/64</f>
        <v/>
      </c>
      <c r="AJ32" s="40">
        <f>$B32/64</f>
        <v/>
      </c>
      <c r="AK32" s="40">
        <f>$B32/64</f>
        <v/>
      </c>
      <c r="AL32" s="40">
        <f>$B32/64</f>
        <v/>
      </c>
      <c r="AM32" s="40">
        <f>$B32/64</f>
        <v/>
      </c>
      <c r="AN32" s="40">
        <f>$B32/64</f>
        <v/>
      </c>
      <c r="AO32" s="40">
        <f>$B32/64</f>
        <v/>
      </c>
      <c r="AP32" s="40">
        <f>$B32/64</f>
        <v/>
      </c>
      <c r="AQ32" s="40">
        <f>$B32/64</f>
        <v/>
      </c>
      <c r="AR32" s="40">
        <f>$B32/64</f>
        <v/>
      </c>
      <c r="AS32" s="40">
        <f>$B32/64</f>
        <v/>
      </c>
      <c r="AT32" s="40">
        <f>$B32/64</f>
        <v/>
      </c>
      <c r="AU32" s="40">
        <f>$B32/64</f>
        <v/>
      </c>
      <c r="AV32" s="40">
        <f>$B32/64</f>
        <v/>
      </c>
      <c r="AW32" s="40">
        <f>$B32/64</f>
        <v/>
      </c>
      <c r="AX32" s="40">
        <f>$B32/64</f>
        <v/>
      </c>
      <c r="AY32" s="40">
        <f>$B32/64</f>
        <v/>
      </c>
      <c r="AZ32" s="40">
        <f>$B32/64</f>
        <v/>
      </c>
      <c r="BA32" s="40">
        <f>$B32/64</f>
        <v/>
      </c>
      <c r="BB32" s="40">
        <f>$B32/64</f>
        <v/>
      </c>
      <c r="BC32" s="40">
        <f>$B32/64</f>
        <v/>
      </c>
      <c r="BD32" s="40">
        <f>$B32/64</f>
        <v/>
      </c>
      <c r="BE32" s="40">
        <f>$B32/64</f>
        <v/>
      </c>
      <c r="BF32" s="40">
        <f>$B32/64</f>
        <v/>
      </c>
      <c r="BG32" s="40">
        <f>$B32/64</f>
        <v/>
      </c>
      <c r="BH32" s="40">
        <f>$B32/64</f>
        <v/>
      </c>
      <c r="BI32" s="40">
        <f>$B32/64</f>
        <v/>
      </c>
      <c r="BJ32" s="40">
        <f>$B32/64</f>
        <v/>
      </c>
      <c r="BK32" s="40">
        <f>$B32/64</f>
        <v/>
      </c>
      <c r="BL32" s="40">
        <f>$B32/64</f>
        <v/>
      </c>
      <c r="BM32" s="40">
        <f>$B32/64</f>
        <v/>
      </c>
      <c r="BN32" s="40">
        <f>$B32/64</f>
        <v/>
      </c>
    </row>
    <row r="33">
      <c r="A33" s="46" t="inlineStr">
        <is>
          <t>SECURITY WATER EXPENSES GREENMART</t>
        </is>
      </c>
      <c r="B33" s="46" t="n">
        <v>0</v>
      </c>
      <c r="C33" s="40">
        <f>$B33/64</f>
        <v/>
      </c>
      <c r="D33" s="40">
        <f>$B33/64</f>
        <v/>
      </c>
      <c r="E33" s="40">
        <f>$B33/64</f>
        <v/>
      </c>
      <c r="F33" s="40">
        <f>$B33/64</f>
        <v/>
      </c>
      <c r="G33" s="40">
        <f>$B33/64</f>
        <v/>
      </c>
      <c r="H33" s="40">
        <f>$B33/64</f>
        <v/>
      </c>
      <c r="I33" s="40">
        <f>$B33/64</f>
        <v/>
      </c>
      <c r="J33" s="40">
        <f>$B33/64</f>
        <v/>
      </c>
      <c r="K33" s="40">
        <f>$B33/64</f>
        <v/>
      </c>
      <c r="L33" s="40">
        <f>$B33/64</f>
        <v/>
      </c>
      <c r="M33" s="40">
        <f>$B33/64</f>
        <v/>
      </c>
      <c r="N33" s="40">
        <f>$B33/64</f>
        <v/>
      </c>
      <c r="O33" s="40">
        <f>$B33/64</f>
        <v/>
      </c>
      <c r="P33" s="40">
        <f>$B33/64</f>
        <v/>
      </c>
      <c r="Q33" s="40">
        <f>$B33/64</f>
        <v/>
      </c>
      <c r="R33" s="40">
        <f>$B33/64</f>
        <v/>
      </c>
      <c r="S33" s="40">
        <f>$B33/64</f>
        <v/>
      </c>
      <c r="T33" s="40">
        <f>$B33/64</f>
        <v/>
      </c>
      <c r="U33" s="40">
        <f>$B33/64</f>
        <v/>
      </c>
      <c r="V33" s="40">
        <f>$B33/64</f>
        <v/>
      </c>
      <c r="W33" s="40">
        <f>$B33/64</f>
        <v/>
      </c>
      <c r="X33" s="40">
        <f>$B33/64</f>
        <v/>
      </c>
      <c r="Y33" s="40">
        <f>$B33/64</f>
        <v/>
      </c>
      <c r="Z33" s="40">
        <f>$B33/64</f>
        <v/>
      </c>
      <c r="AA33" s="40">
        <f>$B33/64</f>
        <v/>
      </c>
      <c r="AB33" s="40">
        <f>$B33/64</f>
        <v/>
      </c>
      <c r="AC33" s="40">
        <f>$B33/64</f>
        <v/>
      </c>
      <c r="AD33" s="40">
        <f>$B33/64</f>
        <v/>
      </c>
      <c r="AE33" s="40">
        <f>$B33/64</f>
        <v/>
      </c>
      <c r="AF33" s="40">
        <f>$B33/64</f>
        <v/>
      </c>
      <c r="AG33" s="40">
        <f>$B33/64</f>
        <v/>
      </c>
      <c r="AH33" s="40">
        <f>$B33/64</f>
        <v/>
      </c>
      <c r="AI33" s="40">
        <f>$B33/64</f>
        <v/>
      </c>
      <c r="AJ33" s="40">
        <f>$B33/64</f>
        <v/>
      </c>
      <c r="AK33" s="40">
        <f>$B33/64</f>
        <v/>
      </c>
      <c r="AL33" s="40">
        <f>$B33/64</f>
        <v/>
      </c>
      <c r="AM33" s="40">
        <f>$B33/64</f>
        <v/>
      </c>
      <c r="AN33" s="40">
        <f>$B33/64</f>
        <v/>
      </c>
      <c r="AO33" s="40">
        <f>$B33/64</f>
        <v/>
      </c>
      <c r="AP33" s="40">
        <f>$B33/64</f>
        <v/>
      </c>
      <c r="AQ33" s="40">
        <f>$B33/64</f>
        <v/>
      </c>
      <c r="AR33" s="40">
        <f>$B33/64</f>
        <v/>
      </c>
      <c r="AS33" s="40">
        <f>$B33/64</f>
        <v/>
      </c>
      <c r="AT33" s="40">
        <f>$B33/64</f>
        <v/>
      </c>
      <c r="AU33" s="40">
        <f>$B33/64</f>
        <v/>
      </c>
      <c r="AV33" s="40">
        <f>$B33/64</f>
        <v/>
      </c>
      <c r="AW33" s="40">
        <f>$B33/64</f>
        <v/>
      </c>
      <c r="AX33" s="40">
        <f>$B33/64</f>
        <v/>
      </c>
      <c r="AY33" s="40">
        <f>$B33/64</f>
        <v/>
      </c>
      <c r="AZ33" s="40">
        <f>$B33/64</f>
        <v/>
      </c>
      <c r="BA33" s="40">
        <f>$B33/64</f>
        <v/>
      </c>
      <c r="BB33" s="40">
        <f>$B33/64</f>
        <v/>
      </c>
      <c r="BC33" s="40">
        <f>$B33/64</f>
        <v/>
      </c>
      <c r="BD33" s="40">
        <f>$B33/64</f>
        <v/>
      </c>
      <c r="BE33" s="40">
        <f>$B33/64</f>
        <v/>
      </c>
      <c r="BF33" s="40">
        <f>$B33/64</f>
        <v/>
      </c>
      <c r="BG33" s="40">
        <f>$B33/64</f>
        <v/>
      </c>
      <c r="BH33" s="40">
        <f>$B33/64</f>
        <v/>
      </c>
      <c r="BI33" s="40">
        <f>$B33/64</f>
        <v/>
      </c>
      <c r="BJ33" s="40">
        <f>$B33/64</f>
        <v/>
      </c>
      <c r="BK33" s="40">
        <f>$B33/64</f>
        <v/>
      </c>
      <c r="BL33" s="40">
        <f>$B33/64</f>
        <v/>
      </c>
      <c r="BM33" s="40">
        <f>$B33/64</f>
        <v/>
      </c>
      <c r="BN33" s="40">
        <f>$B33/64</f>
        <v/>
      </c>
    </row>
    <row r="34">
      <c r="A34" s="46" t="inlineStr">
        <is>
          <t>SWIMMING POOL MOTOR REPAIR</t>
        </is>
      </c>
      <c r="B34" s="46" t="n">
        <v>0</v>
      </c>
      <c r="C34" s="40">
        <f>$B34/64</f>
        <v/>
      </c>
      <c r="D34" s="40">
        <f>$B34/64</f>
        <v/>
      </c>
      <c r="E34" s="40">
        <f>$B34/64</f>
        <v/>
      </c>
      <c r="F34" s="40">
        <f>$B34/64</f>
        <v/>
      </c>
      <c r="G34" s="40">
        <f>$B34/64</f>
        <v/>
      </c>
      <c r="H34" s="40">
        <f>$B34/64</f>
        <v/>
      </c>
      <c r="I34" s="40">
        <f>$B34/64</f>
        <v/>
      </c>
      <c r="J34" s="40">
        <f>$B34/64</f>
        <v/>
      </c>
      <c r="K34" s="40">
        <f>$B34/64</f>
        <v/>
      </c>
      <c r="L34" s="40">
        <f>$B34/64</f>
        <v/>
      </c>
      <c r="M34" s="40">
        <f>$B34/64</f>
        <v/>
      </c>
      <c r="N34" s="40">
        <f>$B34/64</f>
        <v/>
      </c>
      <c r="O34" s="40">
        <f>$B34/64</f>
        <v/>
      </c>
      <c r="P34" s="40">
        <f>$B34/64</f>
        <v/>
      </c>
      <c r="Q34" s="40">
        <f>$B34/64</f>
        <v/>
      </c>
      <c r="R34" s="40">
        <f>$B34/64</f>
        <v/>
      </c>
      <c r="S34" s="40">
        <f>$B34/64</f>
        <v/>
      </c>
      <c r="T34" s="40">
        <f>$B34/64</f>
        <v/>
      </c>
      <c r="U34" s="40">
        <f>$B34/64</f>
        <v/>
      </c>
      <c r="V34" s="40">
        <f>$B34/64</f>
        <v/>
      </c>
      <c r="W34" s="40">
        <f>$B34/64</f>
        <v/>
      </c>
      <c r="X34" s="40">
        <f>$B34/64</f>
        <v/>
      </c>
      <c r="Y34" s="40">
        <f>$B34/64</f>
        <v/>
      </c>
      <c r="Z34" s="40">
        <f>$B34/64</f>
        <v/>
      </c>
      <c r="AA34" s="40">
        <f>$B34/64</f>
        <v/>
      </c>
      <c r="AB34" s="40">
        <f>$B34/64</f>
        <v/>
      </c>
      <c r="AC34" s="40">
        <f>$B34/64</f>
        <v/>
      </c>
      <c r="AD34" s="40">
        <f>$B34/64</f>
        <v/>
      </c>
      <c r="AE34" s="40">
        <f>$B34/64</f>
        <v/>
      </c>
      <c r="AF34" s="40">
        <f>$B34/64</f>
        <v/>
      </c>
      <c r="AG34" s="40">
        <f>$B34/64</f>
        <v/>
      </c>
      <c r="AH34" s="40">
        <f>$B34/64</f>
        <v/>
      </c>
      <c r="AI34" s="40">
        <f>$B34/64</f>
        <v/>
      </c>
      <c r="AJ34" s="40">
        <f>$B34/64</f>
        <v/>
      </c>
      <c r="AK34" s="40">
        <f>$B34/64</f>
        <v/>
      </c>
      <c r="AL34" s="40">
        <f>$B34/64</f>
        <v/>
      </c>
      <c r="AM34" s="40">
        <f>$B34/64</f>
        <v/>
      </c>
      <c r="AN34" s="40">
        <f>$B34/64</f>
        <v/>
      </c>
      <c r="AO34" s="40">
        <f>$B34/64</f>
        <v/>
      </c>
      <c r="AP34" s="40">
        <f>$B34/64</f>
        <v/>
      </c>
      <c r="AQ34" s="40">
        <f>$B34/64</f>
        <v/>
      </c>
      <c r="AR34" s="40">
        <f>$B34/64</f>
        <v/>
      </c>
      <c r="AS34" s="40">
        <f>$B34/64</f>
        <v/>
      </c>
      <c r="AT34" s="40">
        <f>$B34/64</f>
        <v/>
      </c>
      <c r="AU34" s="40">
        <f>$B34/64</f>
        <v/>
      </c>
      <c r="AV34" s="40">
        <f>$B34/64</f>
        <v/>
      </c>
      <c r="AW34" s="40">
        <f>$B34/64</f>
        <v/>
      </c>
      <c r="AX34" s="40">
        <f>$B34/64</f>
        <v/>
      </c>
      <c r="AY34" s="40">
        <f>$B34/64</f>
        <v/>
      </c>
      <c r="AZ34" s="40">
        <f>$B34/64</f>
        <v/>
      </c>
      <c r="BA34" s="40">
        <f>$B34/64</f>
        <v/>
      </c>
      <c r="BB34" s="40">
        <f>$B34/64</f>
        <v/>
      </c>
      <c r="BC34" s="40">
        <f>$B34/64</f>
        <v/>
      </c>
      <c r="BD34" s="40">
        <f>$B34/64</f>
        <v/>
      </c>
      <c r="BE34" s="40">
        <f>$B34/64</f>
        <v/>
      </c>
      <c r="BF34" s="40">
        <f>$B34/64</f>
        <v/>
      </c>
      <c r="BG34" s="40">
        <f>$B34/64</f>
        <v/>
      </c>
      <c r="BH34" s="40">
        <f>$B34/64</f>
        <v/>
      </c>
      <c r="BI34" s="40">
        <f>$B34/64</f>
        <v/>
      </c>
      <c r="BJ34" s="40">
        <f>$B34/64</f>
        <v/>
      </c>
      <c r="BK34" s="40">
        <f>$B34/64</f>
        <v/>
      </c>
      <c r="BL34" s="40">
        <f>$B34/64</f>
        <v/>
      </c>
      <c r="BM34" s="40">
        <f>$B34/64</f>
        <v/>
      </c>
      <c r="BN34" s="40">
        <f>$B34/64</f>
        <v/>
      </c>
    </row>
    <row r="35">
      <c r="A35" s="46" t="inlineStr">
        <is>
          <t>CCTV REPAIR</t>
        </is>
      </c>
      <c r="B35" s="46" t="n">
        <v>0</v>
      </c>
      <c r="C35" s="40">
        <f>$B35/64</f>
        <v/>
      </c>
      <c r="D35" s="40">
        <f>$B35/64</f>
        <v/>
      </c>
      <c r="E35" s="40">
        <f>$B35/64</f>
        <v/>
      </c>
      <c r="F35" s="40">
        <f>$B35/64</f>
        <v/>
      </c>
      <c r="G35" s="40">
        <f>$B35/64</f>
        <v/>
      </c>
      <c r="H35" s="40">
        <f>$B35/64</f>
        <v/>
      </c>
      <c r="I35" s="40">
        <f>$B35/64</f>
        <v/>
      </c>
      <c r="J35" s="40">
        <f>$B35/64</f>
        <v/>
      </c>
      <c r="K35" s="40">
        <f>$B35/64</f>
        <v/>
      </c>
      <c r="L35" s="40">
        <f>$B35/64</f>
        <v/>
      </c>
      <c r="M35" s="40">
        <f>$B35/64</f>
        <v/>
      </c>
      <c r="N35" s="40">
        <f>$B35/64</f>
        <v/>
      </c>
      <c r="O35" s="40">
        <f>$B35/64</f>
        <v/>
      </c>
      <c r="P35" s="40">
        <f>$B35/64</f>
        <v/>
      </c>
      <c r="Q35" s="40">
        <f>$B35/64</f>
        <v/>
      </c>
      <c r="R35" s="40">
        <f>$B35/64</f>
        <v/>
      </c>
      <c r="S35" s="40">
        <f>$B35/64</f>
        <v/>
      </c>
      <c r="T35" s="40">
        <f>$B35/64</f>
        <v/>
      </c>
      <c r="U35" s="40">
        <f>$B35/64</f>
        <v/>
      </c>
      <c r="V35" s="40">
        <f>$B35/64</f>
        <v/>
      </c>
      <c r="W35" s="40">
        <f>$B35/64</f>
        <v/>
      </c>
      <c r="X35" s="40">
        <f>$B35/64</f>
        <v/>
      </c>
      <c r="Y35" s="40">
        <f>$B35/64</f>
        <v/>
      </c>
      <c r="Z35" s="40">
        <f>$B35/64</f>
        <v/>
      </c>
      <c r="AA35" s="40">
        <f>$B35/64</f>
        <v/>
      </c>
      <c r="AB35" s="40">
        <f>$B35/64</f>
        <v/>
      </c>
      <c r="AC35" s="40">
        <f>$B35/64</f>
        <v/>
      </c>
      <c r="AD35" s="40">
        <f>$B35/64</f>
        <v/>
      </c>
      <c r="AE35" s="40">
        <f>$B35/64</f>
        <v/>
      </c>
      <c r="AF35" s="40">
        <f>$B35/64</f>
        <v/>
      </c>
      <c r="AG35" s="40">
        <f>$B35/64</f>
        <v/>
      </c>
      <c r="AH35" s="40">
        <f>$B35/64</f>
        <v/>
      </c>
      <c r="AI35" s="40">
        <f>$B35/64</f>
        <v/>
      </c>
      <c r="AJ35" s="40">
        <f>$B35/64</f>
        <v/>
      </c>
      <c r="AK35" s="40">
        <f>$B35/64</f>
        <v/>
      </c>
      <c r="AL35" s="40">
        <f>$B35/64</f>
        <v/>
      </c>
      <c r="AM35" s="40">
        <f>$B35/64</f>
        <v/>
      </c>
      <c r="AN35" s="40">
        <f>$B35/64</f>
        <v/>
      </c>
      <c r="AO35" s="40">
        <f>$B35/64</f>
        <v/>
      </c>
      <c r="AP35" s="40">
        <f>$B35/64</f>
        <v/>
      </c>
      <c r="AQ35" s="40">
        <f>$B35/64</f>
        <v/>
      </c>
      <c r="AR35" s="40">
        <f>$B35/64</f>
        <v/>
      </c>
      <c r="AS35" s="40">
        <f>$B35/64</f>
        <v/>
      </c>
      <c r="AT35" s="40">
        <f>$B35/64</f>
        <v/>
      </c>
      <c r="AU35" s="40">
        <f>$B35/64</f>
        <v/>
      </c>
      <c r="AV35" s="40">
        <f>$B35/64</f>
        <v/>
      </c>
      <c r="AW35" s="40">
        <f>$B35/64</f>
        <v/>
      </c>
      <c r="AX35" s="40">
        <f>$B35/64</f>
        <v/>
      </c>
      <c r="AY35" s="40">
        <f>$B35/64</f>
        <v/>
      </c>
      <c r="AZ35" s="40">
        <f>$B35/64</f>
        <v/>
      </c>
      <c r="BA35" s="40">
        <f>$B35/64</f>
        <v/>
      </c>
      <c r="BB35" s="40">
        <f>$B35/64</f>
        <v/>
      </c>
      <c r="BC35" s="40">
        <f>$B35/64</f>
        <v/>
      </c>
      <c r="BD35" s="40">
        <f>$B35/64</f>
        <v/>
      </c>
      <c r="BE35" s="40">
        <f>$B35/64</f>
        <v/>
      </c>
      <c r="BF35" s="40">
        <f>$B35/64</f>
        <v/>
      </c>
      <c r="BG35" s="40">
        <f>$B35/64</f>
        <v/>
      </c>
      <c r="BH35" s="40">
        <f>$B35/64</f>
        <v/>
      </c>
      <c r="BI35" s="40">
        <f>$B35/64</f>
        <v/>
      </c>
      <c r="BJ35" s="40">
        <f>$B35/64</f>
        <v/>
      </c>
      <c r="BK35" s="40">
        <f>$B35/64</f>
        <v/>
      </c>
      <c r="BL35" s="40">
        <f>$B35/64</f>
        <v/>
      </c>
      <c r="BM35" s="40">
        <f>$B35/64</f>
        <v/>
      </c>
      <c r="BN35" s="40">
        <f>$B35/64</f>
        <v/>
      </c>
    </row>
    <row r="36">
      <c r="A36" s="46" t="inlineStr">
        <is>
          <t>CCTV monitor</t>
        </is>
      </c>
      <c r="B36" s="46" t="n">
        <v>0</v>
      </c>
      <c r="C36" s="40">
        <f>$B36/64</f>
        <v/>
      </c>
      <c r="D36" s="40">
        <f>$B36/64</f>
        <v/>
      </c>
      <c r="E36" s="40">
        <f>$B36/64</f>
        <v/>
      </c>
      <c r="F36" s="40">
        <f>$B36/64</f>
        <v/>
      </c>
      <c r="G36" s="40">
        <f>$B36/64</f>
        <v/>
      </c>
      <c r="H36" s="40">
        <f>$B36/64</f>
        <v/>
      </c>
      <c r="I36" s="40">
        <f>$B36/64</f>
        <v/>
      </c>
      <c r="J36" s="40">
        <f>$B36/64</f>
        <v/>
      </c>
      <c r="K36" s="40">
        <f>$B36/64</f>
        <v/>
      </c>
      <c r="L36" s="40">
        <f>$B36/64</f>
        <v/>
      </c>
      <c r="M36" s="40">
        <f>$B36/64</f>
        <v/>
      </c>
      <c r="N36" s="40">
        <f>$B36/64</f>
        <v/>
      </c>
      <c r="O36" s="40">
        <f>$B36/64</f>
        <v/>
      </c>
      <c r="P36" s="40">
        <f>$B36/64</f>
        <v/>
      </c>
      <c r="Q36" s="40">
        <f>$B36/64</f>
        <v/>
      </c>
      <c r="R36" s="40">
        <f>$B36/64</f>
        <v/>
      </c>
      <c r="S36" s="40">
        <f>$B36/64</f>
        <v/>
      </c>
      <c r="T36" s="40">
        <f>$B36/64</f>
        <v/>
      </c>
      <c r="U36" s="40">
        <f>$B36/64</f>
        <v/>
      </c>
      <c r="V36" s="40">
        <f>$B36/64</f>
        <v/>
      </c>
      <c r="W36" s="40">
        <f>$B36/64</f>
        <v/>
      </c>
      <c r="X36" s="40">
        <f>$B36/64</f>
        <v/>
      </c>
      <c r="Y36" s="40">
        <f>$B36/64</f>
        <v/>
      </c>
      <c r="Z36" s="40">
        <f>$B36/64</f>
        <v/>
      </c>
      <c r="AA36" s="40">
        <f>$B36/64</f>
        <v/>
      </c>
      <c r="AB36" s="40">
        <f>$B36/64</f>
        <v/>
      </c>
      <c r="AC36" s="40">
        <f>$B36/64</f>
        <v/>
      </c>
      <c r="AD36" s="40">
        <f>$B36/64</f>
        <v/>
      </c>
      <c r="AE36" s="40">
        <f>$B36/64</f>
        <v/>
      </c>
      <c r="AF36" s="40">
        <f>$B36/64</f>
        <v/>
      </c>
      <c r="AG36" s="40">
        <f>$B36/64</f>
        <v/>
      </c>
      <c r="AH36" s="40">
        <f>$B36/64</f>
        <v/>
      </c>
      <c r="AI36" s="40">
        <f>$B36/64</f>
        <v/>
      </c>
      <c r="AJ36" s="40">
        <f>$B36/64</f>
        <v/>
      </c>
      <c r="AK36" s="40">
        <f>$B36/64</f>
        <v/>
      </c>
      <c r="AL36" s="40">
        <f>$B36/64</f>
        <v/>
      </c>
      <c r="AM36" s="40">
        <f>$B36/64</f>
        <v/>
      </c>
      <c r="AN36" s="40">
        <f>$B36/64</f>
        <v/>
      </c>
      <c r="AO36" s="40">
        <f>$B36/64</f>
        <v/>
      </c>
      <c r="AP36" s="40">
        <f>$B36/64</f>
        <v/>
      </c>
      <c r="AQ36" s="40">
        <f>$B36/64</f>
        <v/>
      </c>
      <c r="AR36" s="40">
        <f>$B36/64</f>
        <v/>
      </c>
      <c r="AS36" s="40">
        <f>$B36/64</f>
        <v/>
      </c>
      <c r="AT36" s="40">
        <f>$B36/64</f>
        <v/>
      </c>
      <c r="AU36" s="40">
        <f>$B36/64</f>
        <v/>
      </c>
      <c r="AV36" s="40">
        <f>$B36/64</f>
        <v/>
      </c>
      <c r="AW36" s="40">
        <f>$B36/64</f>
        <v/>
      </c>
      <c r="AX36" s="40">
        <f>$B36/64</f>
        <v/>
      </c>
      <c r="AY36" s="40">
        <f>$B36/64</f>
        <v/>
      </c>
      <c r="AZ36" s="40">
        <f>$B36/64</f>
        <v/>
      </c>
      <c r="BA36" s="40">
        <f>$B36/64</f>
        <v/>
      </c>
      <c r="BB36" s="40">
        <f>$B36/64</f>
        <v/>
      </c>
      <c r="BC36" s="40">
        <f>$B36/64</f>
        <v/>
      </c>
      <c r="BD36" s="40">
        <f>$B36/64</f>
        <v/>
      </c>
      <c r="BE36" s="40">
        <f>$B36/64</f>
        <v/>
      </c>
      <c r="BF36" s="40">
        <f>$B36/64</f>
        <v/>
      </c>
      <c r="BG36" s="40">
        <f>$B36/64</f>
        <v/>
      </c>
      <c r="BH36" s="40">
        <f>$B36/64</f>
        <v/>
      </c>
      <c r="BI36" s="40">
        <f>$B36/64</f>
        <v/>
      </c>
      <c r="BJ36" s="40">
        <f>$B36/64</f>
        <v/>
      </c>
      <c r="BK36" s="40">
        <f>$B36/64</f>
        <v/>
      </c>
      <c r="BL36" s="40">
        <f>$B36/64</f>
        <v/>
      </c>
      <c r="BM36" s="40">
        <f>$B36/64</f>
        <v/>
      </c>
      <c r="BN36" s="40">
        <f>$B36/64</f>
        <v/>
      </c>
    </row>
    <row r="37">
      <c r="A37" s="46" t="inlineStr">
        <is>
          <t xml:space="preserve">WATER PIPE </t>
        </is>
      </c>
      <c r="B37" s="46" t="n">
        <v>0</v>
      </c>
      <c r="C37" s="40">
        <f>$B37/64</f>
        <v/>
      </c>
      <c r="D37" s="40">
        <f>$B37/64</f>
        <v/>
      </c>
      <c r="E37" s="40">
        <f>$B37/64</f>
        <v/>
      </c>
      <c r="F37" s="40">
        <f>$B37/64</f>
        <v/>
      </c>
      <c r="G37" s="40">
        <f>$B37/64</f>
        <v/>
      </c>
      <c r="H37" s="40">
        <f>$B37/64</f>
        <v/>
      </c>
      <c r="I37" s="40">
        <f>$B37/64</f>
        <v/>
      </c>
      <c r="J37" s="40">
        <f>$B37/64</f>
        <v/>
      </c>
      <c r="K37" s="40">
        <f>$B37/64</f>
        <v/>
      </c>
      <c r="L37" s="40">
        <f>$B37/64</f>
        <v/>
      </c>
      <c r="M37" s="40">
        <f>$B37/64</f>
        <v/>
      </c>
      <c r="N37" s="40">
        <f>$B37/64</f>
        <v/>
      </c>
      <c r="O37" s="40">
        <f>$B37/64</f>
        <v/>
      </c>
      <c r="P37" s="40">
        <f>$B37/64</f>
        <v/>
      </c>
      <c r="Q37" s="40">
        <f>$B37/64</f>
        <v/>
      </c>
      <c r="R37" s="40">
        <f>$B37/64</f>
        <v/>
      </c>
      <c r="S37" s="40">
        <f>$B37/64</f>
        <v/>
      </c>
      <c r="T37" s="40">
        <f>$B37/64</f>
        <v/>
      </c>
      <c r="U37" s="40">
        <f>$B37/64</f>
        <v/>
      </c>
      <c r="V37" s="40">
        <f>$B37/64</f>
        <v/>
      </c>
      <c r="W37" s="40">
        <f>$B37/64</f>
        <v/>
      </c>
      <c r="X37" s="40">
        <f>$B37/64</f>
        <v/>
      </c>
      <c r="Y37" s="40">
        <f>$B37/64</f>
        <v/>
      </c>
      <c r="Z37" s="40">
        <f>$B37/64</f>
        <v/>
      </c>
      <c r="AA37" s="40">
        <f>$B37/64</f>
        <v/>
      </c>
      <c r="AB37" s="40">
        <f>$B37/64</f>
        <v/>
      </c>
      <c r="AC37" s="40">
        <f>$B37/64</f>
        <v/>
      </c>
      <c r="AD37" s="40">
        <f>$B37/64</f>
        <v/>
      </c>
      <c r="AE37" s="40">
        <f>$B37/64</f>
        <v/>
      </c>
      <c r="AF37" s="40">
        <f>$B37/64</f>
        <v/>
      </c>
      <c r="AG37" s="40">
        <f>$B37/64</f>
        <v/>
      </c>
      <c r="AH37" s="40">
        <f>$B37/64</f>
        <v/>
      </c>
      <c r="AI37" s="40">
        <f>$B37/64</f>
        <v/>
      </c>
      <c r="AJ37" s="40">
        <f>$B37/64</f>
        <v/>
      </c>
      <c r="AK37" s="40">
        <f>$B37/64</f>
        <v/>
      </c>
      <c r="AL37" s="40">
        <f>$B37/64</f>
        <v/>
      </c>
      <c r="AM37" s="40">
        <f>$B37/64</f>
        <v/>
      </c>
      <c r="AN37" s="40">
        <f>$B37/64</f>
        <v/>
      </c>
      <c r="AO37" s="40">
        <f>$B37/64</f>
        <v/>
      </c>
      <c r="AP37" s="40">
        <f>$B37/64</f>
        <v/>
      </c>
      <c r="AQ37" s="40">
        <f>$B37/64</f>
        <v/>
      </c>
      <c r="AR37" s="40">
        <f>$B37/64</f>
        <v/>
      </c>
      <c r="AS37" s="40">
        <f>$B37/64</f>
        <v/>
      </c>
      <c r="AT37" s="40">
        <f>$B37/64</f>
        <v/>
      </c>
      <c r="AU37" s="40">
        <f>$B37/64</f>
        <v/>
      </c>
      <c r="AV37" s="40">
        <f>$B37/64</f>
        <v/>
      </c>
      <c r="AW37" s="40">
        <f>$B37/64</f>
        <v/>
      </c>
      <c r="AX37" s="40">
        <f>$B37/64</f>
        <v/>
      </c>
      <c r="AY37" s="40">
        <f>$B37/64</f>
        <v/>
      </c>
      <c r="AZ37" s="40">
        <f>$B37/64</f>
        <v/>
      </c>
      <c r="BA37" s="40">
        <f>$B37/64</f>
        <v/>
      </c>
      <c r="BB37" s="40">
        <f>$B37/64</f>
        <v/>
      </c>
      <c r="BC37" s="40">
        <f>$B37/64</f>
        <v/>
      </c>
      <c r="BD37" s="40">
        <f>$B37/64</f>
        <v/>
      </c>
      <c r="BE37" s="40">
        <f>$B37/64</f>
        <v/>
      </c>
      <c r="BF37" s="40">
        <f>$B37/64</f>
        <v/>
      </c>
      <c r="BG37" s="40">
        <f>$B37/64</f>
        <v/>
      </c>
      <c r="BH37" s="40">
        <f>$B37/64</f>
        <v/>
      </c>
      <c r="BI37" s="40">
        <f>$B37/64</f>
        <v/>
      </c>
      <c r="BJ37" s="40">
        <f>$B37/64</f>
        <v/>
      </c>
      <c r="BK37" s="40">
        <f>$B37/64</f>
        <v/>
      </c>
      <c r="BL37" s="40">
        <f>$B37/64</f>
        <v/>
      </c>
      <c r="BM37" s="40">
        <f>$B37/64</f>
        <v/>
      </c>
      <c r="BN37" s="40">
        <f>$B37/64</f>
        <v/>
      </c>
    </row>
    <row r="38">
      <c r="A38" s="46" t="inlineStr">
        <is>
          <t>RAILING FOR STAIRCASE</t>
        </is>
      </c>
      <c r="B38" s="46" t="n">
        <v>0</v>
      </c>
      <c r="C38" s="40">
        <f>$B38/64</f>
        <v/>
      </c>
      <c r="D38" s="40">
        <f>$B38/64</f>
        <v/>
      </c>
      <c r="E38" s="40">
        <f>$B38/64</f>
        <v/>
      </c>
      <c r="F38" s="40">
        <f>$B38/64</f>
        <v/>
      </c>
      <c r="G38" s="40">
        <f>$B38/64</f>
        <v/>
      </c>
      <c r="H38" s="40">
        <f>$B38/64</f>
        <v/>
      </c>
      <c r="I38" s="40">
        <f>$B38/64</f>
        <v/>
      </c>
      <c r="J38" s="40">
        <f>$B38/64</f>
        <v/>
      </c>
      <c r="K38" s="40">
        <f>$B38/64</f>
        <v/>
      </c>
      <c r="L38" s="40">
        <f>$B38/64</f>
        <v/>
      </c>
      <c r="M38" s="40">
        <f>$B38/64</f>
        <v/>
      </c>
      <c r="N38" s="40">
        <f>$B38/64</f>
        <v/>
      </c>
      <c r="O38" s="40">
        <f>$B38/64</f>
        <v/>
      </c>
      <c r="P38" s="40">
        <f>$B38/64</f>
        <v/>
      </c>
      <c r="Q38" s="40">
        <f>$B38/64</f>
        <v/>
      </c>
      <c r="R38" s="40">
        <f>$B38/64</f>
        <v/>
      </c>
      <c r="S38" s="40">
        <f>$B38/64</f>
        <v/>
      </c>
      <c r="T38" s="40">
        <f>$B38/64</f>
        <v/>
      </c>
      <c r="U38" s="40">
        <f>$B38/64</f>
        <v/>
      </c>
      <c r="V38" s="40">
        <f>$B38/64</f>
        <v/>
      </c>
      <c r="W38" s="40">
        <f>$B38/64</f>
        <v/>
      </c>
      <c r="X38" s="40">
        <f>$B38/64</f>
        <v/>
      </c>
      <c r="Y38" s="40">
        <f>$B38/64</f>
        <v/>
      </c>
      <c r="Z38" s="40">
        <f>$B38/64</f>
        <v/>
      </c>
      <c r="AA38" s="40">
        <f>$B38/64</f>
        <v/>
      </c>
      <c r="AB38" s="40">
        <f>$B38/64</f>
        <v/>
      </c>
      <c r="AC38" s="40">
        <f>$B38/64</f>
        <v/>
      </c>
      <c r="AD38" s="40">
        <f>$B38/64</f>
        <v/>
      </c>
      <c r="AE38" s="40">
        <f>$B38/64</f>
        <v/>
      </c>
      <c r="AF38" s="40">
        <f>$B38/64</f>
        <v/>
      </c>
      <c r="AG38" s="40">
        <f>$B38/64</f>
        <v/>
      </c>
      <c r="AH38" s="40">
        <f>$B38/64</f>
        <v/>
      </c>
      <c r="AI38" s="40">
        <f>$B38/64</f>
        <v/>
      </c>
      <c r="AJ38" s="40">
        <f>$B38/64</f>
        <v/>
      </c>
      <c r="AK38" s="40">
        <f>$B38/64</f>
        <v/>
      </c>
      <c r="AL38" s="40">
        <f>$B38/64</f>
        <v/>
      </c>
      <c r="AM38" s="40">
        <f>$B38/64</f>
        <v/>
      </c>
      <c r="AN38" s="40">
        <f>$B38/64</f>
        <v/>
      </c>
      <c r="AO38" s="40">
        <f>$B38/64</f>
        <v/>
      </c>
      <c r="AP38" s="40">
        <f>$B38/64</f>
        <v/>
      </c>
      <c r="AQ38" s="40">
        <f>$B38/64</f>
        <v/>
      </c>
      <c r="AR38" s="40">
        <f>$B38/64</f>
        <v/>
      </c>
      <c r="AS38" s="40">
        <f>$B38/64</f>
        <v/>
      </c>
      <c r="AT38" s="40">
        <f>$B38/64</f>
        <v/>
      </c>
      <c r="AU38" s="40">
        <f>$B38/64</f>
        <v/>
      </c>
      <c r="AV38" s="40">
        <f>$B38/64</f>
        <v/>
      </c>
      <c r="AW38" s="40">
        <f>$B38/64</f>
        <v/>
      </c>
      <c r="AX38" s="40">
        <f>$B38/64</f>
        <v/>
      </c>
      <c r="AY38" s="40">
        <f>$B38/64</f>
        <v/>
      </c>
      <c r="AZ38" s="40">
        <f>$B38/64</f>
        <v/>
      </c>
      <c r="BA38" s="40">
        <f>$B38/64</f>
        <v/>
      </c>
      <c r="BB38" s="40">
        <f>$B38/64</f>
        <v/>
      </c>
      <c r="BC38" s="40">
        <f>$B38/64</f>
        <v/>
      </c>
      <c r="BD38" s="40">
        <f>$B38/64</f>
        <v/>
      </c>
      <c r="BE38" s="40">
        <f>$B38/64</f>
        <v/>
      </c>
      <c r="BF38" s="40">
        <f>$B38/64</f>
        <v/>
      </c>
      <c r="BG38" s="40">
        <f>$B38/64</f>
        <v/>
      </c>
      <c r="BH38" s="40">
        <f>$B38/64</f>
        <v/>
      </c>
      <c r="BI38" s="40">
        <f>$B38/64</f>
        <v/>
      </c>
      <c r="BJ38" s="40">
        <f>$B38/64</f>
        <v/>
      </c>
      <c r="BK38" s="40">
        <f>$B38/64</f>
        <v/>
      </c>
      <c r="BL38" s="40">
        <f>$B38/64</f>
        <v/>
      </c>
      <c r="BM38" s="40">
        <f>$B38/64</f>
        <v/>
      </c>
      <c r="BN38" s="40">
        <f>$B38/64</f>
        <v/>
      </c>
    </row>
    <row r="39">
      <c r="A39" s="46" t="inlineStr">
        <is>
          <t>Play area sand</t>
        </is>
      </c>
      <c r="B39" s="46" t="n">
        <v>0</v>
      </c>
      <c r="C39" s="40">
        <f>$B39/64</f>
        <v/>
      </c>
      <c r="D39" s="40">
        <f>$B39/64</f>
        <v/>
      </c>
      <c r="E39" s="40">
        <f>$B39/64</f>
        <v/>
      </c>
      <c r="F39" s="40">
        <f>$B39/64</f>
        <v/>
      </c>
      <c r="G39" s="40">
        <f>$B39/64</f>
        <v/>
      </c>
      <c r="H39" s="40">
        <f>$B39/64</f>
        <v/>
      </c>
      <c r="I39" s="40">
        <f>$B39/64</f>
        <v/>
      </c>
      <c r="J39" s="40">
        <f>$B39/64</f>
        <v/>
      </c>
      <c r="K39" s="40">
        <f>$B39/64</f>
        <v/>
      </c>
      <c r="L39" s="40">
        <f>$B39/64</f>
        <v/>
      </c>
      <c r="M39" s="40">
        <f>$B39/64</f>
        <v/>
      </c>
      <c r="N39" s="40">
        <f>$B39/64</f>
        <v/>
      </c>
      <c r="O39" s="40">
        <f>$B39/64</f>
        <v/>
      </c>
      <c r="P39" s="40">
        <f>$B39/64</f>
        <v/>
      </c>
      <c r="Q39" s="40">
        <f>$B39/64</f>
        <v/>
      </c>
      <c r="R39" s="40">
        <f>$B39/64</f>
        <v/>
      </c>
      <c r="S39" s="40">
        <f>$B39/64</f>
        <v/>
      </c>
      <c r="T39" s="40">
        <f>$B39/64</f>
        <v/>
      </c>
      <c r="U39" s="40">
        <f>$B39/64</f>
        <v/>
      </c>
      <c r="V39" s="40">
        <f>$B39/64</f>
        <v/>
      </c>
      <c r="W39" s="40">
        <f>$B39/64</f>
        <v/>
      </c>
      <c r="X39" s="40">
        <f>$B39/64</f>
        <v/>
      </c>
      <c r="Y39" s="40">
        <f>$B39/64</f>
        <v/>
      </c>
      <c r="Z39" s="40">
        <f>$B39/64</f>
        <v/>
      </c>
      <c r="AA39" s="40">
        <f>$B39/64</f>
        <v/>
      </c>
      <c r="AB39" s="40">
        <f>$B39/64</f>
        <v/>
      </c>
      <c r="AC39" s="40">
        <f>$B39/64</f>
        <v/>
      </c>
      <c r="AD39" s="40">
        <f>$B39/64</f>
        <v/>
      </c>
      <c r="AE39" s="40">
        <f>$B39/64</f>
        <v/>
      </c>
      <c r="AF39" s="40">
        <f>$B39/64</f>
        <v/>
      </c>
      <c r="AG39" s="40">
        <f>$B39/64</f>
        <v/>
      </c>
      <c r="AH39" s="40">
        <f>$B39/64</f>
        <v/>
      </c>
      <c r="AI39" s="40">
        <f>$B39/64</f>
        <v/>
      </c>
      <c r="AJ39" s="40">
        <f>$B39/64</f>
        <v/>
      </c>
      <c r="AK39" s="40">
        <f>$B39/64</f>
        <v/>
      </c>
      <c r="AL39" s="40">
        <f>$B39/64</f>
        <v/>
      </c>
      <c r="AM39" s="40">
        <f>$B39/64</f>
        <v/>
      </c>
      <c r="AN39" s="40">
        <f>$B39/64</f>
        <v/>
      </c>
      <c r="AO39" s="40">
        <f>$B39/64</f>
        <v/>
      </c>
      <c r="AP39" s="40">
        <f>$B39/64</f>
        <v/>
      </c>
      <c r="AQ39" s="40">
        <f>$B39/64</f>
        <v/>
      </c>
      <c r="AR39" s="40">
        <f>$B39/64</f>
        <v/>
      </c>
      <c r="AS39" s="40">
        <f>$B39/64</f>
        <v/>
      </c>
      <c r="AT39" s="40">
        <f>$B39/64</f>
        <v/>
      </c>
      <c r="AU39" s="40">
        <f>$B39/64</f>
        <v/>
      </c>
      <c r="AV39" s="40">
        <f>$B39/64</f>
        <v/>
      </c>
      <c r="AW39" s="40">
        <f>$B39/64</f>
        <v/>
      </c>
      <c r="AX39" s="40">
        <f>$B39/64</f>
        <v/>
      </c>
      <c r="AY39" s="40">
        <f>$B39/64</f>
        <v/>
      </c>
      <c r="AZ39" s="40">
        <f>$B39/64</f>
        <v/>
      </c>
      <c r="BA39" s="40">
        <f>$B39/64</f>
        <v/>
      </c>
      <c r="BB39" s="40">
        <f>$B39/64</f>
        <v/>
      </c>
      <c r="BC39" s="40">
        <f>$B39/64</f>
        <v/>
      </c>
      <c r="BD39" s="40">
        <f>$B39/64</f>
        <v/>
      </c>
      <c r="BE39" s="40">
        <f>$B39/64</f>
        <v/>
      </c>
      <c r="BF39" s="40">
        <f>$B39/64</f>
        <v/>
      </c>
      <c r="BG39" s="40">
        <f>$B39/64</f>
        <v/>
      </c>
      <c r="BH39" s="40">
        <f>$B39/64</f>
        <v/>
      </c>
      <c r="BI39" s="40">
        <f>$B39/64</f>
        <v/>
      </c>
      <c r="BJ39" s="40">
        <f>$B39/64</f>
        <v/>
      </c>
      <c r="BK39" s="40">
        <f>$B39/64</f>
        <v/>
      </c>
      <c r="BL39" s="40">
        <f>$B39/64</f>
        <v/>
      </c>
      <c r="BM39" s="40">
        <f>$B39/64</f>
        <v/>
      </c>
      <c r="BN39" s="40">
        <f>$B39/64</f>
        <v/>
      </c>
    </row>
    <row r="40">
      <c r="A40" s="46" t="inlineStr">
        <is>
          <t>BARBED WIRE REPAIR</t>
        </is>
      </c>
      <c r="B40" s="46" t="n">
        <v>0</v>
      </c>
      <c r="C40" s="40">
        <f>$B40/64</f>
        <v/>
      </c>
      <c r="D40" s="40">
        <f>$B40/64</f>
        <v/>
      </c>
      <c r="E40" s="40">
        <f>$B40/64</f>
        <v/>
      </c>
      <c r="F40" s="40">
        <f>$B40/64</f>
        <v/>
      </c>
      <c r="G40" s="40">
        <f>$B40/64</f>
        <v/>
      </c>
      <c r="H40" s="40">
        <f>$B40/64</f>
        <v/>
      </c>
      <c r="I40" s="40">
        <f>$B40/64</f>
        <v/>
      </c>
      <c r="J40" s="40">
        <f>$B40/64</f>
        <v/>
      </c>
      <c r="K40" s="40">
        <f>$B40/64</f>
        <v/>
      </c>
      <c r="L40" s="40">
        <f>$B40/64</f>
        <v/>
      </c>
      <c r="M40" s="40">
        <f>$B40/64</f>
        <v/>
      </c>
      <c r="N40" s="40">
        <f>$B40/64</f>
        <v/>
      </c>
      <c r="O40" s="40">
        <f>$B40/64</f>
        <v/>
      </c>
      <c r="P40" s="40">
        <f>$B40/64</f>
        <v/>
      </c>
      <c r="Q40" s="40">
        <f>$B40/64</f>
        <v/>
      </c>
      <c r="R40" s="40">
        <f>$B40/64</f>
        <v/>
      </c>
      <c r="S40" s="40">
        <f>$B40/64</f>
        <v/>
      </c>
      <c r="T40" s="40">
        <f>$B40/64</f>
        <v/>
      </c>
      <c r="U40" s="40">
        <f>$B40/64</f>
        <v/>
      </c>
      <c r="V40" s="40">
        <f>$B40/64</f>
        <v/>
      </c>
      <c r="W40" s="40">
        <f>$B40/64</f>
        <v/>
      </c>
      <c r="X40" s="40">
        <f>$B40/64</f>
        <v/>
      </c>
      <c r="Y40" s="40">
        <f>$B40/64</f>
        <v/>
      </c>
      <c r="Z40" s="40">
        <f>$B40/64</f>
        <v/>
      </c>
      <c r="AA40" s="40">
        <f>$B40/64</f>
        <v/>
      </c>
      <c r="AB40" s="40">
        <f>$B40/64</f>
        <v/>
      </c>
      <c r="AC40" s="40">
        <f>$B40/64</f>
        <v/>
      </c>
      <c r="AD40" s="40">
        <f>$B40/64</f>
        <v/>
      </c>
      <c r="AE40" s="40">
        <f>$B40/64</f>
        <v/>
      </c>
      <c r="AF40" s="40">
        <f>$B40/64</f>
        <v/>
      </c>
      <c r="AG40" s="40">
        <f>$B40/64</f>
        <v/>
      </c>
      <c r="AH40" s="40">
        <f>$B40/64</f>
        <v/>
      </c>
      <c r="AI40" s="40">
        <f>$B40/64</f>
        <v/>
      </c>
      <c r="AJ40" s="40">
        <f>$B40/64</f>
        <v/>
      </c>
      <c r="AK40" s="40">
        <f>$B40/64</f>
        <v/>
      </c>
      <c r="AL40" s="40">
        <f>$B40/64</f>
        <v/>
      </c>
      <c r="AM40" s="40">
        <f>$B40/64</f>
        <v/>
      </c>
      <c r="AN40" s="40">
        <f>$B40/64</f>
        <v/>
      </c>
      <c r="AO40" s="40">
        <f>$B40/64</f>
        <v/>
      </c>
      <c r="AP40" s="40">
        <f>$B40/64</f>
        <v/>
      </c>
      <c r="AQ40" s="40">
        <f>$B40/64</f>
        <v/>
      </c>
      <c r="AR40" s="40">
        <f>$B40/64</f>
        <v/>
      </c>
      <c r="AS40" s="40">
        <f>$B40/64</f>
        <v/>
      </c>
      <c r="AT40" s="40">
        <f>$B40/64</f>
        <v/>
      </c>
      <c r="AU40" s="40">
        <f>$B40/64</f>
        <v/>
      </c>
      <c r="AV40" s="40">
        <f>$B40/64</f>
        <v/>
      </c>
      <c r="AW40" s="40">
        <f>$B40/64</f>
        <v/>
      </c>
      <c r="AX40" s="40">
        <f>$B40/64</f>
        <v/>
      </c>
      <c r="AY40" s="40">
        <f>$B40/64</f>
        <v/>
      </c>
      <c r="AZ40" s="40">
        <f>$B40/64</f>
        <v/>
      </c>
      <c r="BA40" s="40">
        <f>$B40/64</f>
        <v/>
      </c>
      <c r="BB40" s="40">
        <f>$B40/64</f>
        <v/>
      </c>
      <c r="BC40" s="40">
        <f>$B40/64</f>
        <v/>
      </c>
      <c r="BD40" s="40">
        <f>$B40/64</f>
        <v/>
      </c>
      <c r="BE40" s="40">
        <f>$B40/64</f>
        <v/>
      </c>
      <c r="BF40" s="40">
        <f>$B40/64</f>
        <v/>
      </c>
      <c r="BG40" s="40">
        <f>$B40/64</f>
        <v/>
      </c>
      <c r="BH40" s="40">
        <f>$B40/64</f>
        <v/>
      </c>
      <c r="BI40" s="40">
        <f>$B40/64</f>
        <v/>
      </c>
      <c r="BJ40" s="40">
        <f>$B40/64</f>
        <v/>
      </c>
      <c r="BK40" s="40">
        <f>$B40/64</f>
        <v/>
      </c>
      <c r="BL40" s="40">
        <f>$B40/64</f>
        <v/>
      </c>
      <c r="BM40" s="40">
        <f>$B40/64</f>
        <v/>
      </c>
      <c r="BN40" s="40">
        <f>$B40/64</f>
        <v/>
      </c>
    </row>
    <row r="41">
      <c r="A41" s="46" t="inlineStr">
        <is>
          <t>DRIED LEAVES REMOVAL</t>
        </is>
      </c>
      <c r="B41" s="46" t="n">
        <v>0</v>
      </c>
      <c r="C41" s="40">
        <f>$B41/64</f>
        <v/>
      </c>
      <c r="D41" s="40">
        <f>$B41/64</f>
        <v/>
      </c>
      <c r="E41" s="40">
        <f>$B41/64</f>
        <v/>
      </c>
      <c r="F41" s="40">
        <f>$B41/64</f>
        <v/>
      </c>
      <c r="G41" s="40">
        <f>$B41/64</f>
        <v/>
      </c>
      <c r="H41" s="40">
        <f>$B41/64</f>
        <v/>
      </c>
      <c r="I41" s="40">
        <f>$B41/64</f>
        <v/>
      </c>
      <c r="J41" s="40">
        <f>$B41/64</f>
        <v/>
      </c>
      <c r="K41" s="40">
        <f>$B41/64</f>
        <v/>
      </c>
      <c r="L41" s="40">
        <f>$B41/64</f>
        <v/>
      </c>
      <c r="M41" s="40">
        <f>$B41/64</f>
        <v/>
      </c>
      <c r="N41" s="40">
        <f>$B41/64</f>
        <v/>
      </c>
      <c r="O41" s="40">
        <f>$B41/64</f>
        <v/>
      </c>
      <c r="P41" s="40">
        <f>$B41/64</f>
        <v/>
      </c>
      <c r="Q41" s="40">
        <f>$B41/64</f>
        <v/>
      </c>
      <c r="R41" s="40">
        <f>$B41/64</f>
        <v/>
      </c>
      <c r="S41" s="40">
        <f>$B41/64</f>
        <v/>
      </c>
      <c r="T41" s="40">
        <f>$B41/64</f>
        <v/>
      </c>
      <c r="U41" s="40">
        <f>$B41/64</f>
        <v/>
      </c>
      <c r="V41" s="40">
        <f>$B41/64</f>
        <v/>
      </c>
      <c r="W41" s="40">
        <f>$B41/64</f>
        <v/>
      </c>
      <c r="X41" s="40">
        <f>$B41/64</f>
        <v/>
      </c>
      <c r="Y41" s="40">
        <f>$B41/64</f>
        <v/>
      </c>
      <c r="Z41" s="40">
        <f>$B41/64</f>
        <v/>
      </c>
      <c r="AA41" s="40">
        <f>$B41/64</f>
        <v/>
      </c>
      <c r="AB41" s="40">
        <f>$B41/64</f>
        <v/>
      </c>
      <c r="AC41" s="40">
        <f>$B41/64</f>
        <v/>
      </c>
      <c r="AD41" s="40">
        <f>$B41/64</f>
        <v/>
      </c>
      <c r="AE41" s="40">
        <f>$B41/64</f>
        <v/>
      </c>
      <c r="AF41" s="40">
        <f>$B41/64</f>
        <v/>
      </c>
      <c r="AG41" s="40">
        <f>$B41/64</f>
        <v/>
      </c>
      <c r="AH41" s="40">
        <f>$B41/64</f>
        <v/>
      </c>
      <c r="AI41" s="40">
        <f>$B41/64</f>
        <v/>
      </c>
      <c r="AJ41" s="40">
        <f>$B41/64</f>
        <v/>
      </c>
      <c r="AK41" s="40">
        <f>$B41/64</f>
        <v/>
      </c>
      <c r="AL41" s="40">
        <f>$B41/64</f>
        <v/>
      </c>
      <c r="AM41" s="40">
        <f>$B41/64</f>
        <v/>
      </c>
      <c r="AN41" s="40">
        <f>$B41/64</f>
        <v/>
      </c>
      <c r="AO41" s="40">
        <f>$B41/64</f>
        <v/>
      </c>
      <c r="AP41" s="40">
        <f>$B41/64</f>
        <v/>
      </c>
      <c r="AQ41" s="40">
        <f>$B41/64</f>
        <v/>
      </c>
      <c r="AR41" s="40">
        <f>$B41/64</f>
        <v/>
      </c>
      <c r="AS41" s="40">
        <f>$B41/64</f>
        <v/>
      </c>
      <c r="AT41" s="40">
        <f>$B41/64</f>
        <v/>
      </c>
      <c r="AU41" s="40">
        <f>$B41/64</f>
        <v/>
      </c>
      <c r="AV41" s="40">
        <f>$B41/64</f>
        <v/>
      </c>
      <c r="AW41" s="40">
        <f>$B41/64</f>
        <v/>
      </c>
      <c r="AX41" s="40">
        <f>$B41/64</f>
        <v/>
      </c>
      <c r="AY41" s="40">
        <f>$B41/64</f>
        <v/>
      </c>
      <c r="AZ41" s="40">
        <f>$B41/64</f>
        <v/>
      </c>
      <c r="BA41" s="40">
        <f>$B41/64</f>
        <v/>
      </c>
      <c r="BB41" s="40">
        <f>$B41/64</f>
        <v/>
      </c>
      <c r="BC41" s="40">
        <f>$B41/64</f>
        <v/>
      </c>
      <c r="BD41" s="40">
        <f>$B41/64</f>
        <v/>
      </c>
      <c r="BE41" s="40">
        <f>$B41/64</f>
        <v/>
      </c>
      <c r="BF41" s="40">
        <f>$B41/64</f>
        <v/>
      </c>
      <c r="BG41" s="40">
        <f>$B41/64</f>
        <v/>
      </c>
      <c r="BH41" s="40">
        <f>$B41/64</f>
        <v/>
      </c>
      <c r="BI41" s="40">
        <f>$B41/64</f>
        <v/>
      </c>
      <c r="BJ41" s="40">
        <f>$B41/64</f>
        <v/>
      </c>
      <c r="BK41" s="40">
        <f>$B41/64</f>
        <v/>
      </c>
      <c r="BL41" s="40">
        <f>$B41/64</f>
        <v/>
      </c>
      <c r="BM41" s="40">
        <f>$B41/64</f>
        <v/>
      </c>
      <c r="BN41" s="40">
        <f>$B41/64</f>
        <v/>
      </c>
    </row>
    <row r="42">
      <c r="A42" s="46" t="inlineStr">
        <is>
          <t>DRAIN CLEANING</t>
        </is>
      </c>
      <c r="B42" s="46" t="n">
        <v>0</v>
      </c>
      <c r="C42" s="40">
        <f>$B42/64</f>
        <v/>
      </c>
      <c r="D42" s="40">
        <f>$B42/64</f>
        <v/>
      </c>
      <c r="E42" s="40">
        <f>$B42/64</f>
        <v/>
      </c>
      <c r="F42" s="40">
        <f>$B42/64</f>
        <v/>
      </c>
      <c r="G42" s="40">
        <f>$B42/64</f>
        <v/>
      </c>
      <c r="H42" s="40">
        <f>$B42/64</f>
        <v/>
      </c>
      <c r="I42" s="40">
        <f>$B42/64</f>
        <v/>
      </c>
      <c r="J42" s="40">
        <f>$B42/64</f>
        <v/>
      </c>
      <c r="K42" s="40">
        <f>$B42/64</f>
        <v/>
      </c>
      <c r="L42" s="40">
        <f>$B42/64</f>
        <v/>
      </c>
      <c r="M42" s="40">
        <f>$B42/64</f>
        <v/>
      </c>
      <c r="N42" s="40">
        <f>$B42/64</f>
        <v/>
      </c>
      <c r="O42" s="40">
        <f>$B42/64</f>
        <v/>
      </c>
      <c r="P42" s="40">
        <f>$B42/64</f>
        <v/>
      </c>
      <c r="Q42" s="40">
        <f>$B42/64</f>
        <v/>
      </c>
      <c r="R42" s="40">
        <f>$B42/64</f>
        <v/>
      </c>
      <c r="S42" s="40">
        <f>$B42/64</f>
        <v/>
      </c>
      <c r="T42" s="40">
        <f>$B42/64</f>
        <v/>
      </c>
      <c r="U42" s="40">
        <f>$B42/64</f>
        <v/>
      </c>
      <c r="V42" s="40">
        <f>$B42/64</f>
        <v/>
      </c>
      <c r="W42" s="40">
        <f>$B42/64</f>
        <v/>
      </c>
      <c r="X42" s="40">
        <f>$B42/64</f>
        <v/>
      </c>
      <c r="Y42" s="40">
        <f>$B42/64</f>
        <v/>
      </c>
      <c r="Z42" s="40">
        <f>$B42/64</f>
        <v/>
      </c>
      <c r="AA42" s="40">
        <f>$B42/64</f>
        <v/>
      </c>
      <c r="AB42" s="40">
        <f>$B42/64</f>
        <v/>
      </c>
      <c r="AC42" s="40">
        <f>$B42/64</f>
        <v/>
      </c>
      <c r="AD42" s="40">
        <f>$B42/64</f>
        <v/>
      </c>
      <c r="AE42" s="40">
        <f>$B42/64</f>
        <v/>
      </c>
      <c r="AF42" s="40">
        <f>$B42/64</f>
        <v/>
      </c>
      <c r="AG42" s="40">
        <f>$B42/64</f>
        <v/>
      </c>
      <c r="AH42" s="40">
        <f>$B42/64</f>
        <v/>
      </c>
      <c r="AI42" s="40">
        <f>$B42/64</f>
        <v/>
      </c>
      <c r="AJ42" s="40">
        <f>$B42/64</f>
        <v/>
      </c>
      <c r="AK42" s="40">
        <f>$B42/64</f>
        <v/>
      </c>
      <c r="AL42" s="40">
        <f>$B42/64</f>
        <v/>
      </c>
      <c r="AM42" s="40">
        <f>$B42/64</f>
        <v/>
      </c>
      <c r="AN42" s="40">
        <f>$B42/64</f>
        <v/>
      </c>
      <c r="AO42" s="40">
        <f>$B42/64</f>
        <v/>
      </c>
      <c r="AP42" s="40">
        <f>$B42/64</f>
        <v/>
      </c>
      <c r="AQ42" s="40">
        <f>$B42/64</f>
        <v/>
      </c>
      <c r="AR42" s="40">
        <f>$B42/64</f>
        <v/>
      </c>
      <c r="AS42" s="40">
        <f>$B42/64</f>
        <v/>
      </c>
      <c r="AT42" s="40">
        <f>$B42/64</f>
        <v/>
      </c>
      <c r="AU42" s="40">
        <f>$B42/64</f>
        <v/>
      </c>
      <c r="AV42" s="40">
        <f>$B42/64</f>
        <v/>
      </c>
      <c r="AW42" s="40">
        <f>$B42/64</f>
        <v/>
      </c>
      <c r="AX42" s="40">
        <f>$B42/64</f>
        <v/>
      </c>
      <c r="AY42" s="40">
        <f>$B42/64</f>
        <v/>
      </c>
      <c r="AZ42" s="40">
        <f>$B42/64</f>
        <v/>
      </c>
      <c r="BA42" s="40">
        <f>$B42/64</f>
        <v/>
      </c>
      <c r="BB42" s="40">
        <f>$B42/64</f>
        <v/>
      </c>
      <c r="BC42" s="40">
        <f>$B42/64</f>
        <v/>
      </c>
      <c r="BD42" s="40">
        <f>$B42/64</f>
        <v/>
      </c>
      <c r="BE42" s="40">
        <f>$B42/64</f>
        <v/>
      </c>
      <c r="BF42" s="40">
        <f>$B42/64</f>
        <v/>
      </c>
      <c r="BG42" s="40">
        <f>$B42/64</f>
        <v/>
      </c>
      <c r="BH42" s="40">
        <f>$B42/64</f>
        <v/>
      </c>
      <c r="BI42" s="40">
        <f>$B42/64</f>
        <v/>
      </c>
      <c r="BJ42" s="40">
        <f>$B42/64</f>
        <v/>
      </c>
      <c r="BK42" s="40">
        <f>$B42/64</f>
        <v/>
      </c>
      <c r="BL42" s="40">
        <f>$B42/64</f>
        <v/>
      </c>
      <c r="BM42" s="40">
        <f>$B42/64</f>
        <v/>
      </c>
      <c r="BN42" s="40">
        <f>$B42/64</f>
        <v/>
      </c>
    </row>
    <row r="43">
      <c r="A43" s="46" t="inlineStr">
        <is>
          <t>Security room &amp; Play area painting</t>
        </is>
      </c>
      <c r="B43" s="46" t="n">
        <v>0</v>
      </c>
      <c r="C43" s="40">
        <f>$B43/64</f>
        <v/>
      </c>
      <c r="D43" s="40">
        <f>$B43/64</f>
        <v/>
      </c>
      <c r="E43" s="40">
        <f>$B43/64</f>
        <v/>
      </c>
      <c r="F43" s="40">
        <f>$B43/64</f>
        <v/>
      </c>
      <c r="G43" s="40">
        <f>$B43/64</f>
        <v/>
      </c>
      <c r="H43" s="40">
        <f>$B43/64</f>
        <v/>
      </c>
      <c r="I43" s="40">
        <f>$B43/64</f>
        <v/>
      </c>
      <c r="J43" s="40">
        <f>$B43/64</f>
        <v/>
      </c>
      <c r="K43" s="40">
        <f>$B43/64</f>
        <v/>
      </c>
      <c r="L43" s="40">
        <f>$B43/64</f>
        <v/>
      </c>
      <c r="M43" s="40">
        <f>$B43/64</f>
        <v/>
      </c>
      <c r="N43" s="40">
        <f>$B43/64</f>
        <v/>
      </c>
      <c r="O43" s="40">
        <f>$B43/64</f>
        <v/>
      </c>
      <c r="P43" s="40">
        <f>$B43/64</f>
        <v/>
      </c>
      <c r="Q43" s="40">
        <f>$B43/64</f>
        <v/>
      </c>
      <c r="R43" s="40">
        <f>$B43/64</f>
        <v/>
      </c>
      <c r="S43" s="40">
        <f>$B43/64</f>
        <v/>
      </c>
      <c r="T43" s="40">
        <f>$B43/64</f>
        <v/>
      </c>
      <c r="U43" s="40">
        <f>$B43/64</f>
        <v/>
      </c>
      <c r="V43" s="40">
        <f>$B43/64</f>
        <v/>
      </c>
      <c r="W43" s="40">
        <f>$B43/64</f>
        <v/>
      </c>
      <c r="X43" s="40">
        <f>$B43/64</f>
        <v/>
      </c>
      <c r="Y43" s="40">
        <f>$B43/64</f>
        <v/>
      </c>
      <c r="Z43" s="40">
        <f>$B43/64</f>
        <v/>
      </c>
      <c r="AA43" s="40">
        <f>$B43/64</f>
        <v/>
      </c>
      <c r="AB43" s="40">
        <f>$B43/64</f>
        <v/>
      </c>
      <c r="AC43" s="40">
        <f>$B43/64</f>
        <v/>
      </c>
      <c r="AD43" s="40">
        <f>$B43/64</f>
        <v/>
      </c>
      <c r="AE43" s="40">
        <f>$B43/64</f>
        <v/>
      </c>
      <c r="AF43" s="40">
        <f>$B43/64</f>
        <v/>
      </c>
      <c r="AG43" s="40">
        <f>$B43/64</f>
        <v/>
      </c>
      <c r="AH43" s="40">
        <f>$B43/64</f>
        <v/>
      </c>
      <c r="AI43" s="40">
        <f>$B43/64</f>
        <v/>
      </c>
      <c r="AJ43" s="40">
        <f>$B43/64</f>
        <v/>
      </c>
      <c r="AK43" s="40">
        <f>$B43/64</f>
        <v/>
      </c>
      <c r="AL43" s="40">
        <f>$B43/64</f>
        <v/>
      </c>
      <c r="AM43" s="40">
        <f>$B43/64</f>
        <v/>
      </c>
      <c r="AN43" s="40">
        <f>$B43/64</f>
        <v/>
      </c>
      <c r="AO43" s="40">
        <f>$B43/64</f>
        <v/>
      </c>
      <c r="AP43" s="40">
        <f>$B43/64</f>
        <v/>
      </c>
      <c r="AQ43" s="40">
        <f>$B43/64</f>
        <v/>
      </c>
      <c r="AR43" s="40">
        <f>$B43/64</f>
        <v/>
      </c>
      <c r="AS43" s="40">
        <f>$B43/64</f>
        <v/>
      </c>
      <c r="AT43" s="40">
        <f>$B43/64</f>
        <v/>
      </c>
      <c r="AU43" s="40">
        <f>$B43/64</f>
        <v/>
      </c>
      <c r="AV43" s="40">
        <f>$B43/64</f>
        <v/>
      </c>
      <c r="AW43" s="40">
        <f>$B43/64</f>
        <v/>
      </c>
      <c r="AX43" s="40">
        <f>$B43/64</f>
        <v/>
      </c>
      <c r="AY43" s="40">
        <f>$B43/64</f>
        <v/>
      </c>
      <c r="AZ43" s="40">
        <f>$B43/64</f>
        <v/>
      </c>
      <c r="BA43" s="40">
        <f>$B43/64</f>
        <v/>
      </c>
      <c r="BB43" s="40">
        <f>$B43/64</f>
        <v/>
      </c>
      <c r="BC43" s="40">
        <f>$B43/64</f>
        <v/>
      </c>
      <c r="BD43" s="40">
        <f>$B43/64</f>
        <v/>
      </c>
      <c r="BE43" s="40">
        <f>$B43/64</f>
        <v/>
      </c>
      <c r="BF43" s="40">
        <f>$B43/64</f>
        <v/>
      </c>
      <c r="BG43" s="40">
        <f>$B43/64</f>
        <v/>
      </c>
      <c r="BH43" s="40">
        <f>$B43/64</f>
        <v/>
      </c>
      <c r="BI43" s="40">
        <f>$B43/64</f>
        <v/>
      </c>
      <c r="BJ43" s="40">
        <f>$B43/64</f>
        <v/>
      </c>
      <c r="BK43" s="40">
        <f>$B43/64</f>
        <v/>
      </c>
      <c r="BL43" s="40">
        <f>$B43/64</f>
        <v/>
      </c>
      <c r="BM43" s="40">
        <f>$B43/64</f>
        <v/>
      </c>
      <c r="BN43" s="40">
        <f>$B43/64</f>
        <v/>
      </c>
    </row>
    <row r="44">
      <c r="A44" s="46" t="inlineStr">
        <is>
          <t>Play area sand removal &amp; cracks filling</t>
        </is>
      </c>
      <c r="B44" s="46" t="n">
        <v>0</v>
      </c>
      <c r="C44" s="40">
        <f>$B44/64</f>
        <v/>
      </c>
      <c r="D44" s="40">
        <f>$B44/64</f>
        <v/>
      </c>
      <c r="E44" s="40">
        <f>$B44/64</f>
        <v/>
      </c>
      <c r="F44" s="40">
        <f>$B44/64</f>
        <v/>
      </c>
      <c r="G44" s="40">
        <f>$B44/64</f>
        <v/>
      </c>
      <c r="H44" s="40">
        <f>$B44/64</f>
        <v/>
      </c>
      <c r="I44" s="40">
        <f>$B44/64</f>
        <v/>
      </c>
      <c r="J44" s="40">
        <f>$B44/64</f>
        <v/>
      </c>
      <c r="K44" s="40">
        <f>$B44/64</f>
        <v/>
      </c>
      <c r="L44" s="40">
        <f>$B44/64</f>
        <v/>
      </c>
      <c r="M44" s="40">
        <f>$B44/64</f>
        <v/>
      </c>
      <c r="N44" s="40">
        <f>$B44/64</f>
        <v/>
      </c>
      <c r="O44" s="40">
        <f>$B44/64</f>
        <v/>
      </c>
      <c r="P44" s="40">
        <f>$B44/64</f>
        <v/>
      </c>
      <c r="Q44" s="40">
        <f>$B44/64</f>
        <v/>
      </c>
      <c r="R44" s="40">
        <f>$B44/64</f>
        <v/>
      </c>
      <c r="S44" s="40">
        <f>$B44/64</f>
        <v/>
      </c>
      <c r="T44" s="40">
        <f>$B44/64</f>
        <v/>
      </c>
      <c r="U44" s="40">
        <f>$B44/64</f>
        <v/>
      </c>
      <c r="V44" s="40">
        <f>$B44/64</f>
        <v/>
      </c>
      <c r="W44" s="40">
        <f>$B44/64</f>
        <v/>
      </c>
      <c r="X44" s="40">
        <f>$B44/64</f>
        <v/>
      </c>
      <c r="Y44" s="40">
        <f>$B44/64</f>
        <v/>
      </c>
      <c r="Z44" s="40">
        <f>$B44/64</f>
        <v/>
      </c>
      <c r="AA44" s="40">
        <f>$B44/64</f>
        <v/>
      </c>
      <c r="AB44" s="40">
        <f>$B44/64</f>
        <v/>
      </c>
      <c r="AC44" s="40">
        <f>$B44/64</f>
        <v/>
      </c>
      <c r="AD44" s="40">
        <f>$B44/64</f>
        <v/>
      </c>
      <c r="AE44" s="40">
        <f>$B44/64</f>
        <v/>
      </c>
      <c r="AF44" s="40">
        <f>$B44/64</f>
        <v/>
      </c>
      <c r="AG44" s="40">
        <f>$B44/64</f>
        <v/>
      </c>
      <c r="AH44" s="40">
        <f>$B44/64</f>
        <v/>
      </c>
      <c r="AI44" s="40">
        <f>$B44/64</f>
        <v/>
      </c>
      <c r="AJ44" s="40">
        <f>$B44/64</f>
        <v/>
      </c>
      <c r="AK44" s="40">
        <f>$B44/64</f>
        <v/>
      </c>
      <c r="AL44" s="40">
        <f>$B44/64</f>
        <v/>
      </c>
      <c r="AM44" s="40">
        <f>$B44/64</f>
        <v/>
      </c>
      <c r="AN44" s="40">
        <f>$B44/64</f>
        <v/>
      </c>
      <c r="AO44" s="40">
        <f>$B44/64</f>
        <v/>
      </c>
      <c r="AP44" s="40">
        <f>$B44/64</f>
        <v/>
      </c>
      <c r="AQ44" s="40">
        <f>$B44/64</f>
        <v/>
      </c>
      <c r="AR44" s="40">
        <f>$B44/64</f>
        <v/>
      </c>
      <c r="AS44" s="40">
        <f>$B44/64</f>
        <v/>
      </c>
      <c r="AT44" s="40">
        <f>$B44/64</f>
        <v/>
      </c>
      <c r="AU44" s="40">
        <f>$B44/64</f>
        <v/>
      </c>
      <c r="AV44" s="40">
        <f>$B44/64</f>
        <v/>
      </c>
      <c r="AW44" s="40">
        <f>$B44/64</f>
        <v/>
      </c>
      <c r="AX44" s="40">
        <f>$B44/64</f>
        <v/>
      </c>
      <c r="AY44" s="40">
        <f>$B44/64</f>
        <v/>
      </c>
      <c r="AZ44" s="40">
        <f>$B44/64</f>
        <v/>
      </c>
      <c r="BA44" s="40">
        <f>$B44/64</f>
        <v/>
      </c>
      <c r="BB44" s="40">
        <f>$B44/64</f>
        <v/>
      </c>
      <c r="BC44" s="40">
        <f>$B44/64</f>
        <v/>
      </c>
      <c r="BD44" s="40">
        <f>$B44/64</f>
        <v/>
      </c>
      <c r="BE44" s="40">
        <f>$B44/64</f>
        <v/>
      </c>
      <c r="BF44" s="40">
        <f>$B44/64</f>
        <v/>
      </c>
      <c r="BG44" s="40">
        <f>$B44/64</f>
        <v/>
      </c>
      <c r="BH44" s="40">
        <f>$B44/64</f>
        <v/>
      </c>
      <c r="BI44" s="40">
        <f>$B44/64</f>
        <v/>
      </c>
      <c r="BJ44" s="40">
        <f>$B44/64</f>
        <v/>
      </c>
      <c r="BK44" s="40">
        <f>$B44/64</f>
        <v/>
      </c>
      <c r="BL44" s="40">
        <f>$B44/64</f>
        <v/>
      </c>
      <c r="BM44" s="40">
        <f>$B44/64</f>
        <v/>
      </c>
      <c r="BN44" s="40">
        <f>$B44/64</f>
        <v/>
      </c>
    </row>
    <row r="45">
      <c r="A45" s="46" t="inlineStr">
        <is>
          <t>Front garden cleaning and red soil filling</t>
        </is>
      </c>
      <c r="B45" s="46" t="n">
        <v>0</v>
      </c>
      <c r="C45" s="40">
        <f>$B45/64</f>
        <v/>
      </c>
      <c r="D45" s="40">
        <f>$B45/64</f>
        <v/>
      </c>
      <c r="E45" s="40">
        <f>$B45/64</f>
        <v/>
      </c>
      <c r="F45" s="40">
        <f>$B45/64</f>
        <v/>
      </c>
      <c r="G45" s="40">
        <f>$B45/64</f>
        <v/>
      </c>
      <c r="H45" s="40">
        <f>$B45/64</f>
        <v/>
      </c>
      <c r="I45" s="40">
        <f>$B45/64</f>
        <v/>
      </c>
      <c r="J45" s="40">
        <f>$B45/64</f>
        <v/>
      </c>
      <c r="K45" s="40">
        <f>$B45/64</f>
        <v/>
      </c>
      <c r="L45" s="40">
        <f>$B45/64</f>
        <v/>
      </c>
      <c r="M45" s="40">
        <f>$B45/64</f>
        <v/>
      </c>
      <c r="N45" s="40">
        <f>$B45/64</f>
        <v/>
      </c>
      <c r="O45" s="40">
        <f>$B45/64</f>
        <v/>
      </c>
      <c r="P45" s="40">
        <f>$B45/64</f>
        <v/>
      </c>
      <c r="Q45" s="40">
        <f>$B45/64</f>
        <v/>
      </c>
      <c r="R45" s="40">
        <f>$B45/64</f>
        <v/>
      </c>
      <c r="S45" s="40">
        <f>$B45/64</f>
        <v/>
      </c>
      <c r="T45" s="40">
        <f>$B45/64</f>
        <v/>
      </c>
      <c r="U45" s="40">
        <f>$B45/64</f>
        <v/>
      </c>
      <c r="V45" s="40">
        <f>$B45/64</f>
        <v/>
      </c>
      <c r="W45" s="40">
        <f>$B45/64</f>
        <v/>
      </c>
      <c r="X45" s="40">
        <f>$B45/64</f>
        <v/>
      </c>
      <c r="Y45" s="40">
        <f>$B45/64</f>
        <v/>
      </c>
      <c r="Z45" s="40">
        <f>$B45/64</f>
        <v/>
      </c>
      <c r="AA45" s="40">
        <f>$B45/64</f>
        <v/>
      </c>
      <c r="AB45" s="40">
        <f>$B45/64</f>
        <v/>
      </c>
      <c r="AC45" s="40">
        <f>$B45/64</f>
        <v/>
      </c>
      <c r="AD45" s="40">
        <f>$B45/64</f>
        <v/>
      </c>
      <c r="AE45" s="40">
        <f>$B45/64</f>
        <v/>
      </c>
      <c r="AF45" s="40">
        <f>$B45/64</f>
        <v/>
      </c>
      <c r="AG45" s="40">
        <f>$B45/64</f>
        <v/>
      </c>
      <c r="AH45" s="40">
        <f>$B45/64</f>
        <v/>
      </c>
      <c r="AI45" s="40">
        <f>$B45/64</f>
        <v/>
      </c>
      <c r="AJ45" s="40">
        <f>$B45/64</f>
        <v/>
      </c>
      <c r="AK45" s="40">
        <f>$B45/64</f>
        <v/>
      </c>
      <c r="AL45" s="40">
        <f>$B45/64</f>
        <v/>
      </c>
      <c r="AM45" s="40">
        <f>$B45/64</f>
        <v/>
      </c>
      <c r="AN45" s="40">
        <f>$B45/64</f>
        <v/>
      </c>
      <c r="AO45" s="40">
        <f>$B45/64</f>
        <v/>
      </c>
      <c r="AP45" s="40">
        <f>$B45/64</f>
        <v/>
      </c>
      <c r="AQ45" s="40">
        <f>$B45/64</f>
        <v/>
      </c>
      <c r="AR45" s="40">
        <f>$B45/64</f>
        <v/>
      </c>
      <c r="AS45" s="40">
        <f>$B45/64</f>
        <v/>
      </c>
      <c r="AT45" s="40">
        <f>$B45/64</f>
        <v/>
      </c>
      <c r="AU45" s="40">
        <f>$B45/64</f>
        <v/>
      </c>
      <c r="AV45" s="40">
        <f>$B45/64</f>
        <v/>
      </c>
      <c r="AW45" s="40">
        <f>$B45/64</f>
        <v/>
      </c>
      <c r="AX45" s="40">
        <f>$B45/64</f>
        <v/>
      </c>
      <c r="AY45" s="40">
        <f>$B45/64</f>
        <v/>
      </c>
      <c r="AZ45" s="40">
        <f>$B45/64</f>
        <v/>
      </c>
      <c r="BA45" s="40">
        <f>$B45/64</f>
        <v/>
      </c>
      <c r="BB45" s="40">
        <f>$B45/64</f>
        <v/>
      </c>
      <c r="BC45" s="40">
        <f>$B45/64</f>
        <v/>
      </c>
      <c r="BD45" s="40">
        <f>$B45/64</f>
        <v/>
      </c>
      <c r="BE45" s="40">
        <f>$B45/64</f>
        <v/>
      </c>
      <c r="BF45" s="40">
        <f>$B45/64</f>
        <v/>
      </c>
      <c r="BG45" s="40">
        <f>$B45/64</f>
        <v/>
      </c>
      <c r="BH45" s="40">
        <f>$B45/64</f>
        <v/>
      </c>
      <c r="BI45" s="40">
        <f>$B45/64</f>
        <v/>
      </c>
      <c r="BJ45" s="40">
        <f>$B45/64</f>
        <v/>
      </c>
      <c r="BK45" s="40">
        <f>$B45/64</f>
        <v/>
      </c>
      <c r="BL45" s="40">
        <f>$B45/64</f>
        <v/>
      </c>
      <c r="BM45" s="40">
        <f>$B45/64</f>
        <v/>
      </c>
      <c r="BN45" s="40">
        <f>$B45/64</f>
        <v/>
      </c>
    </row>
    <row r="46">
      <c r="A46" s="46" t="inlineStr">
        <is>
          <t>Landscaping work for STP water disposal</t>
        </is>
      </c>
      <c r="B46" s="46" t="n">
        <v>0</v>
      </c>
      <c r="C46" s="40">
        <f>$B46/64</f>
        <v/>
      </c>
      <c r="D46" s="40">
        <f>$B46/64</f>
        <v/>
      </c>
      <c r="E46" s="40">
        <f>$B46/64</f>
        <v/>
      </c>
      <c r="F46" s="40">
        <f>$B46/64</f>
        <v/>
      </c>
      <c r="G46" s="40">
        <f>$B46/64</f>
        <v/>
      </c>
      <c r="H46" s="40">
        <f>$B46/64</f>
        <v/>
      </c>
      <c r="I46" s="40">
        <f>$B46/64</f>
        <v/>
      </c>
      <c r="J46" s="40">
        <f>$B46/64</f>
        <v/>
      </c>
      <c r="K46" s="40">
        <f>$B46/64</f>
        <v/>
      </c>
      <c r="L46" s="40">
        <f>$B46/64</f>
        <v/>
      </c>
      <c r="M46" s="40">
        <f>$B46/64</f>
        <v/>
      </c>
      <c r="N46" s="40">
        <f>$B46/64</f>
        <v/>
      </c>
      <c r="O46" s="40">
        <f>$B46/64</f>
        <v/>
      </c>
      <c r="P46" s="40">
        <f>$B46/64</f>
        <v/>
      </c>
      <c r="Q46" s="40">
        <f>$B46/64</f>
        <v/>
      </c>
      <c r="R46" s="40">
        <f>$B46/64</f>
        <v/>
      </c>
      <c r="S46" s="40">
        <f>$B46/64</f>
        <v/>
      </c>
      <c r="T46" s="40">
        <f>$B46/64</f>
        <v/>
      </c>
      <c r="U46" s="40">
        <f>$B46/64</f>
        <v/>
      </c>
      <c r="V46" s="40">
        <f>$B46/64</f>
        <v/>
      </c>
      <c r="W46" s="40">
        <f>$B46/64</f>
        <v/>
      </c>
      <c r="X46" s="40">
        <f>$B46/64</f>
        <v/>
      </c>
      <c r="Y46" s="40">
        <f>$B46/64</f>
        <v/>
      </c>
      <c r="Z46" s="40">
        <f>$B46/64</f>
        <v/>
      </c>
      <c r="AA46" s="40">
        <f>$B46/64</f>
        <v/>
      </c>
      <c r="AB46" s="40">
        <f>$B46/64</f>
        <v/>
      </c>
      <c r="AC46" s="40">
        <f>$B46/64</f>
        <v/>
      </c>
      <c r="AD46" s="40">
        <f>$B46/64</f>
        <v/>
      </c>
      <c r="AE46" s="40">
        <f>$B46/64</f>
        <v/>
      </c>
      <c r="AF46" s="40">
        <f>$B46/64</f>
        <v/>
      </c>
      <c r="AG46" s="40">
        <f>$B46/64</f>
        <v/>
      </c>
      <c r="AH46" s="40">
        <f>$B46/64</f>
        <v/>
      </c>
      <c r="AI46" s="40">
        <f>$B46/64</f>
        <v/>
      </c>
      <c r="AJ46" s="40">
        <f>$B46/64</f>
        <v/>
      </c>
      <c r="AK46" s="40">
        <f>$B46/64</f>
        <v/>
      </c>
      <c r="AL46" s="40">
        <f>$B46/64</f>
        <v/>
      </c>
      <c r="AM46" s="40">
        <f>$B46/64</f>
        <v/>
      </c>
      <c r="AN46" s="40">
        <f>$B46/64</f>
        <v/>
      </c>
      <c r="AO46" s="40">
        <f>$B46/64</f>
        <v/>
      </c>
      <c r="AP46" s="40">
        <f>$B46/64</f>
        <v/>
      </c>
      <c r="AQ46" s="40">
        <f>$B46/64</f>
        <v/>
      </c>
      <c r="AR46" s="40">
        <f>$B46/64</f>
        <v/>
      </c>
      <c r="AS46" s="40">
        <f>$B46/64</f>
        <v/>
      </c>
      <c r="AT46" s="40">
        <f>$B46/64</f>
        <v/>
      </c>
      <c r="AU46" s="40">
        <f>$B46/64</f>
        <v/>
      </c>
      <c r="AV46" s="40">
        <f>$B46/64</f>
        <v/>
      </c>
      <c r="AW46" s="40">
        <f>$B46/64</f>
        <v/>
      </c>
      <c r="AX46" s="40">
        <f>$B46/64</f>
        <v/>
      </c>
      <c r="AY46" s="40">
        <f>$B46/64</f>
        <v/>
      </c>
      <c r="AZ46" s="40">
        <f>$B46/64</f>
        <v/>
      </c>
      <c r="BA46" s="40">
        <f>$B46/64</f>
        <v/>
      </c>
      <c r="BB46" s="40">
        <f>$B46/64</f>
        <v/>
      </c>
      <c r="BC46" s="40">
        <f>$B46/64</f>
        <v/>
      </c>
      <c r="BD46" s="40">
        <f>$B46/64</f>
        <v/>
      </c>
      <c r="BE46" s="40">
        <f>$B46/64</f>
        <v/>
      </c>
      <c r="BF46" s="40">
        <f>$B46/64</f>
        <v/>
      </c>
      <c r="BG46" s="40">
        <f>$B46/64</f>
        <v/>
      </c>
      <c r="BH46" s="40">
        <f>$B46/64</f>
        <v/>
      </c>
      <c r="BI46" s="40">
        <f>$B46/64</f>
        <v/>
      </c>
      <c r="BJ46" s="40">
        <f>$B46/64</f>
        <v/>
      </c>
      <c r="BK46" s="40">
        <f>$B46/64</f>
        <v/>
      </c>
      <c r="BL46" s="40">
        <f>$B46/64</f>
        <v/>
      </c>
      <c r="BM46" s="40">
        <f>$B46/64</f>
        <v/>
      </c>
      <c r="BN46" s="40">
        <f>$B46/64</f>
        <v/>
      </c>
    </row>
    <row r="47">
      <c r="A47" s="46" t="inlineStr">
        <is>
          <t>ACCOUNTING</t>
        </is>
      </c>
      <c r="B47" s="46" t="n">
        <v>0</v>
      </c>
      <c r="C47" s="40">
        <f>$B47/64</f>
        <v/>
      </c>
      <c r="D47" s="40">
        <f>$B47/64</f>
        <v/>
      </c>
      <c r="E47" s="40">
        <f>$B47/64</f>
        <v/>
      </c>
      <c r="F47" s="40">
        <f>$B47/64</f>
        <v/>
      </c>
      <c r="G47" s="40">
        <f>$B47/64</f>
        <v/>
      </c>
      <c r="H47" s="40">
        <f>$B47/64</f>
        <v/>
      </c>
      <c r="I47" s="40">
        <f>$B47/64</f>
        <v/>
      </c>
      <c r="J47" s="40">
        <f>$B47/64</f>
        <v/>
      </c>
      <c r="K47" s="40">
        <f>$B47/64</f>
        <v/>
      </c>
      <c r="L47" s="40">
        <f>$B47/64</f>
        <v/>
      </c>
      <c r="M47" s="40">
        <f>$B47/64</f>
        <v/>
      </c>
      <c r="N47" s="40">
        <f>$B47/64</f>
        <v/>
      </c>
      <c r="O47" s="40">
        <f>$B47/64</f>
        <v/>
      </c>
      <c r="P47" s="40">
        <f>$B47/64</f>
        <v/>
      </c>
      <c r="Q47" s="40">
        <f>$B47/64</f>
        <v/>
      </c>
      <c r="R47" s="40">
        <f>$B47/64</f>
        <v/>
      </c>
      <c r="S47" s="40">
        <f>$B47/64</f>
        <v/>
      </c>
      <c r="T47" s="40">
        <f>$B47/64</f>
        <v/>
      </c>
      <c r="U47" s="40">
        <f>$B47/64</f>
        <v/>
      </c>
      <c r="V47" s="40">
        <f>$B47/64</f>
        <v/>
      </c>
      <c r="W47" s="40">
        <f>$B47/64</f>
        <v/>
      </c>
      <c r="X47" s="40">
        <f>$B47/64</f>
        <v/>
      </c>
      <c r="Y47" s="40">
        <f>$B47/64</f>
        <v/>
      </c>
      <c r="Z47" s="40">
        <f>$B47/64</f>
        <v/>
      </c>
      <c r="AA47" s="40">
        <f>$B47/64</f>
        <v/>
      </c>
      <c r="AB47" s="40">
        <f>$B47/64</f>
        <v/>
      </c>
      <c r="AC47" s="40">
        <f>$B47/64</f>
        <v/>
      </c>
      <c r="AD47" s="40">
        <f>$B47/64</f>
        <v/>
      </c>
      <c r="AE47" s="40">
        <f>$B47/64</f>
        <v/>
      </c>
      <c r="AF47" s="40">
        <f>$B47/64</f>
        <v/>
      </c>
      <c r="AG47" s="40">
        <f>$B47/64</f>
        <v/>
      </c>
      <c r="AH47" s="40">
        <f>$B47/64</f>
        <v/>
      </c>
      <c r="AI47" s="40">
        <f>$B47/64</f>
        <v/>
      </c>
      <c r="AJ47" s="40">
        <f>$B47/64</f>
        <v/>
      </c>
      <c r="AK47" s="40">
        <f>$B47/64</f>
        <v/>
      </c>
      <c r="AL47" s="40">
        <f>$B47/64</f>
        <v/>
      </c>
      <c r="AM47" s="40">
        <f>$B47/64</f>
        <v/>
      </c>
      <c r="AN47" s="40">
        <f>$B47/64</f>
        <v/>
      </c>
      <c r="AO47" s="40">
        <f>$B47/64</f>
        <v/>
      </c>
      <c r="AP47" s="40">
        <f>$B47/64</f>
        <v/>
      </c>
      <c r="AQ47" s="40">
        <f>$B47/64</f>
        <v/>
      </c>
      <c r="AR47" s="40">
        <f>$B47/64</f>
        <v/>
      </c>
      <c r="AS47" s="40">
        <f>$B47/64</f>
        <v/>
      </c>
      <c r="AT47" s="40">
        <f>$B47/64</f>
        <v/>
      </c>
      <c r="AU47" s="40">
        <f>$B47/64</f>
        <v/>
      </c>
      <c r="AV47" s="40">
        <f>$B47/64</f>
        <v/>
      </c>
      <c r="AW47" s="40">
        <f>$B47/64</f>
        <v/>
      </c>
      <c r="AX47" s="40">
        <f>$B47/64</f>
        <v/>
      </c>
      <c r="AY47" s="40">
        <f>$B47/64</f>
        <v/>
      </c>
      <c r="AZ47" s="40">
        <f>$B47/64</f>
        <v/>
      </c>
      <c r="BA47" s="40">
        <f>$B47/64</f>
        <v/>
      </c>
      <c r="BB47" s="40">
        <f>$B47/64</f>
        <v/>
      </c>
      <c r="BC47" s="40">
        <f>$B47/64</f>
        <v/>
      </c>
      <c r="BD47" s="40">
        <f>$B47/64</f>
        <v/>
      </c>
      <c r="BE47" s="40">
        <f>$B47/64</f>
        <v/>
      </c>
      <c r="BF47" s="40">
        <f>$B47/64</f>
        <v/>
      </c>
      <c r="BG47" s="40">
        <f>$B47/64</f>
        <v/>
      </c>
      <c r="BH47" s="40">
        <f>$B47/64</f>
        <v/>
      </c>
      <c r="BI47" s="40">
        <f>$B47/64</f>
        <v/>
      </c>
      <c r="BJ47" s="40">
        <f>$B47/64</f>
        <v/>
      </c>
      <c r="BK47" s="40">
        <f>$B47/64</f>
        <v/>
      </c>
      <c r="BL47" s="40">
        <f>$B47/64</f>
        <v/>
      </c>
      <c r="BM47" s="40">
        <f>$B47/64</f>
        <v/>
      </c>
      <c r="BN47" s="40">
        <f>$B47/64</f>
        <v/>
      </c>
    </row>
    <row r="48">
      <c r="A48" s="46" t="inlineStr">
        <is>
          <t>Lift Painting</t>
        </is>
      </c>
      <c r="B48" s="46" t="n">
        <v>0</v>
      </c>
      <c r="C48" s="40">
        <f>$B48/64</f>
        <v/>
      </c>
      <c r="D48" s="40">
        <f>$B48/64</f>
        <v/>
      </c>
      <c r="E48" s="40">
        <f>$B48/64</f>
        <v/>
      </c>
      <c r="F48" s="40">
        <f>$B48/64</f>
        <v/>
      </c>
      <c r="G48" s="40">
        <f>$B48/64</f>
        <v/>
      </c>
      <c r="H48" s="40">
        <f>$B48/64</f>
        <v/>
      </c>
      <c r="I48" s="40">
        <f>$B48/64</f>
        <v/>
      </c>
      <c r="J48" s="40">
        <f>$B48/64</f>
        <v/>
      </c>
      <c r="K48" s="40">
        <f>$B48/64</f>
        <v/>
      </c>
      <c r="L48" s="40">
        <f>$B48/64</f>
        <v/>
      </c>
      <c r="M48" s="40">
        <f>$B48/64</f>
        <v/>
      </c>
      <c r="N48" s="40">
        <f>$B48/64</f>
        <v/>
      </c>
      <c r="O48" s="40">
        <f>$B48/64</f>
        <v/>
      </c>
      <c r="P48" s="40">
        <f>$B48/64</f>
        <v/>
      </c>
      <c r="Q48" s="40">
        <f>$B48/64</f>
        <v/>
      </c>
      <c r="R48" s="40">
        <f>$B48/64</f>
        <v/>
      </c>
      <c r="S48" s="40">
        <f>$B48/64</f>
        <v/>
      </c>
      <c r="T48" s="40">
        <f>$B48/64</f>
        <v/>
      </c>
      <c r="U48" s="40">
        <f>$B48/64</f>
        <v/>
      </c>
      <c r="V48" s="40">
        <f>$B48/64</f>
        <v/>
      </c>
      <c r="W48" s="40">
        <f>$B48/64</f>
        <v/>
      </c>
      <c r="X48" s="40">
        <f>$B48/64</f>
        <v/>
      </c>
      <c r="Y48" s="40">
        <f>$B48/64</f>
        <v/>
      </c>
      <c r="Z48" s="40">
        <f>$B48/64</f>
        <v/>
      </c>
      <c r="AA48" s="40">
        <f>$B48/64</f>
        <v/>
      </c>
      <c r="AB48" s="40">
        <f>$B48/64</f>
        <v/>
      </c>
      <c r="AC48" s="40">
        <f>$B48/64</f>
        <v/>
      </c>
      <c r="AD48" s="40">
        <f>$B48/64</f>
        <v/>
      </c>
      <c r="AE48" s="40">
        <f>$B48/64</f>
        <v/>
      </c>
      <c r="AF48" s="40">
        <f>$B48/64</f>
        <v/>
      </c>
      <c r="AG48" s="40">
        <f>$B48/64</f>
        <v/>
      </c>
      <c r="AH48" s="40">
        <f>$B48/64</f>
        <v/>
      </c>
      <c r="AI48" s="40">
        <f>$B48/64</f>
        <v/>
      </c>
      <c r="AJ48" s="40">
        <f>$B48/64</f>
        <v/>
      </c>
      <c r="AK48" s="40">
        <f>$B48/64</f>
        <v/>
      </c>
      <c r="AL48" s="40">
        <f>$B48/64</f>
        <v/>
      </c>
      <c r="AM48" s="40">
        <f>$B48/64</f>
        <v/>
      </c>
      <c r="AN48" s="40">
        <f>$B48/64</f>
        <v/>
      </c>
      <c r="AO48" s="40">
        <f>$B48/64</f>
        <v/>
      </c>
      <c r="AP48" s="40">
        <f>$B48/64</f>
        <v/>
      </c>
      <c r="AQ48" s="40">
        <f>$B48/64</f>
        <v/>
      </c>
      <c r="AR48" s="40">
        <f>$B48/64</f>
        <v/>
      </c>
      <c r="AS48" s="40">
        <f>$B48/64</f>
        <v/>
      </c>
      <c r="AT48" s="40">
        <f>$B48/64</f>
        <v/>
      </c>
      <c r="AU48" s="40">
        <f>$B48/64</f>
        <v/>
      </c>
      <c r="AV48" s="40">
        <f>$B48/64</f>
        <v/>
      </c>
      <c r="AW48" s="40">
        <f>$B48/64</f>
        <v/>
      </c>
      <c r="AX48" s="40">
        <f>$B48/64</f>
        <v/>
      </c>
      <c r="AY48" s="40">
        <f>$B48/64</f>
        <v/>
      </c>
      <c r="AZ48" s="40">
        <f>$B48/64</f>
        <v/>
      </c>
      <c r="BA48" s="40">
        <f>$B48/64</f>
        <v/>
      </c>
      <c r="BB48" s="40">
        <f>$B48/64</f>
        <v/>
      </c>
      <c r="BC48" s="40">
        <f>$B48/64</f>
        <v/>
      </c>
      <c r="BD48" s="40">
        <f>$B48/64</f>
        <v/>
      </c>
      <c r="BE48" s="40">
        <f>$B48/64</f>
        <v/>
      </c>
      <c r="BF48" s="40">
        <f>$B48/64</f>
        <v/>
      </c>
      <c r="BG48" s="40">
        <f>$B48/64</f>
        <v/>
      </c>
      <c r="BH48" s="40">
        <f>$B48/64</f>
        <v/>
      </c>
      <c r="BI48" s="40">
        <f>$B48/64</f>
        <v/>
      </c>
      <c r="BJ48" s="40">
        <f>$B48/64</f>
        <v/>
      </c>
      <c r="BK48" s="40">
        <f>$B48/64</f>
        <v/>
      </c>
      <c r="BL48" s="40">
        <f>$B48/64</f>
        <v/>
      </c>
      <c r="BM48" s="40">
        <f>$B48/64</f>
        <v/>
      </c>
      <c r="BN48" s="40">
        <f>$B48/64</f>
        <v/>
      </c>
    </row>
    <row r="49">
      <c r="A49" s="46" t="inlineStr">
        <is>
          <t>Lift wiring sepration</t>
        </is>
      </c>
      <c r="B49" s="46" t="n">
        <v>0</v>
      </c>
      <c r="C49" s="40">
        <f>$B49/64</f>
        <v/>
      </c>
      <c r="D49" s="40">
        <f>$B49/64</f>
        <v/>
      </c>
      <c r="E49" s="40">
        <f>$B49/64</f>
        <v/>
      </c>
      <c r="F49" s="40">
        <f>$B49/64</f>
        <v/>
      </c>
      <c r="G49" s="40">
        <f>$B49/64</f>
        <v/>
      </c>
      <c r="H49" s="40">
        <f>$B49/64</f>
        <v/>
      </c>
      <c r="I49" s="40">
        <f>$B49/64</f>
        <v/>
      </c>
      <c r="J49" s="40">
        <f>$B49/64</f>
        <v/>
      </c>
      <c r="K49" s="40">
        <f>$B49/64</f>
        <v/>
      </c>
      <c r="L49" s="40">
        <f>$B49/64</f>
        <v/>
      </c>
      <c r="M49" s="40">
        <f>$B49/64</f>
        <v/>
      </c>
      <c r="N49" s="40">
        <f>$B49/64</f>
        <v/>
      </c>
      <c r="O49" s="40">
        <f>$B49/64</f>
        <v/>
      </c>
      <c r="P49" s="40">
        <f>$B49/64</f>
        <v/>
      </c>
      <c r="Q49" s="40">
        <f>$B49/64</f>
        <v/>
      </c>
      <c r="R49" s="40">
        <f>$B49/64</f>
        <v/>
      </c>
      <c r="S49" s="40">
        <f>$B49/64</f>
        <v/>
      </c>
      <c r="T49" s="40">
        <f>$B49/64</f>
        <v/>
      </c>
      <c r="U49" s="40">
        <f>$B49/64</f>
        <v/>
      </c>
      <c r="V49" s="40">
        <f>$B49/64</f>
        <v/>
      </c>
      <c r="W49" s="40">
        <f>$B49/64</f>
        <v/>
      </c>
      <c r="X49" s="40">
        <f>$B49/64</f>
        <v/>
      </c>
      <c r="Y49" s="40">
        <f>$B49/64</f>
        <v/>
      </c>
      <c r="Z49" s="40">
        <f>$B49/64</f>
        <v/>
      </c>
      <c r="AA49" s="40">
        <f>$B49/64</f>
        <v/>
      </c>
      <c r="AB49" s="40">
        <f>$B49/64</f>
        <v/>
      </c>
      <c r="AC49" s="40">
        <f>$B49/64</f>
        <v/>
      </c>
      <c r="AD49" s="40">
        <f>$B49/64</f>
        <v/>
      </c>
      <c r="AE49" s="40">
        <f>$B49/64</f>
        <v/>
      </c>
      <c r="AF49" s="40">
        <f>$B49/64</f>
        <v/>
      </c>
      <c r="AG49" s="40">
        <f>$B49/64</f>
        <v/>
      </c>
      <c r="AH49" s="40">
        <f>$B49/64</f>
        <v/>
      </c>
      <c r="AI49" s="40">
        <f>$B49/64</f>
        <v/>
      </c>
      <c r="AJ49" s="40">
        <f>$B49/64</f>
        <v/>
      </c>
      <c r="AK49" s="40">
        <f>$B49/64</f>
        <v/>
      </c>
      <c r="AL49" s="40">
        <f>$B49/64</f>
        <v/>
      </c>
      <c r="AM49" s="40">
        <f>$B49/64</f>
        <v/>
      </c>
      <c r="AN49" s="40">
        <f>$B49/64</f>
        <v/>
      </c>
      <c r="AO49" s="40">
        <f>$B49/64</f>
        <v/>
      </c>
      <c r="AP49" s="40">
        <f>$B49/64</f>
        <v/>
      </c>
      <c r="AQ49" s="40">
        <f>$B49/64</f>
        <v/>
      </c>
      <c r="AR49" s="40">
        <f>$B49/64</f>
        <v/>
      </c>
      <c r="AS49" s="40">
        <f>$B49/64</f>
        <v/>
      </c>
      <c r="AT49" s="40">
        <f>$B49/64</f>
        <v/>
      </c>
      <c r="AU49" s="40">
        <f>$B49/64</f>
        <v/>
      </c>
      <c r="AV49" s="40">
        <f>$B49/64</f>
        <v/>
      </c>
      <c r="AW49" s="40">
        <f>$B49/64</f>
        <v/>
      </c>
      <c r="AX49" s="40">
        <f>$B49/64</f>
        <v/>
      </c>
      <c r="AY49" s="40">
        <f>$B49/64</f>
        <v/>
      </c>
      <c r="AZ49" s="40">
        <f>$B49/64</f>
        <v/>
      </c>
      <c r="BA49" s="40">
        <f>$B49/64</f>
        <v/>
      </c>
      <c r="BB49" s="40">
        <f>$B49/64</f>
        <v/>
      </c>
      <c r="BC49" s="40">
        <f>$B49/64</f>
        <v/>
      </c>
      <c r="BD49" s="40">
        <f>$B49/64</f>
        <v/>
      </c>
      <c r="BE49" s="40">
        <f>$B49/64</f>
        <v/>
      </c>
      <c r="BF49" s="40">
        <f>$B49/64</f>
        <v/>
      </c>
      <c r="BG49" s="40">
        <f>$B49/64</f>
        <v/>
      </c>
      <c r="BH49" s="40">
        <f>$B49/64</f>
        <v/>
      </c>
      <c r="BI49" s="40">
        <f>$B49/64</f>
        <v/>
      </c>
      <c r="BJ49" s="40">
        <f>$B49/64</f>
        <v/>
      </c>
      <c r="BK49" s="40">
        <f>$B49/64</f>
        <v/>
      </c>
      <c r="BL49" s="40">
        <f>$B49/64</f>
        <v/>
      </c>
      <c r="BM49" s="40">
        <f>$B49/64</f>
        <v/>
      </c>
      <c r="BN49" s="40">
        <f>$B49/64</f>
        <v/>
      </c>
    </row>
    <row r="50">
      <c r="A50" s="46" t="inlineStr">
        <is>
          <t>Earthing repair</t>
        </is>
      </c>
      <c r="B50" s="46" t="n">
        <v>0</v>
      </c>
      <c r="C50" s="40">
        <f>$B50/64</f>
        <v/>
      </c>
      <c r="D50" s="40">
        <f>$B50/64</f>
        <v/>
      </c>
      <c r="E50" s="40">
        <f>$B50/64</f>
        <v/>
      </c>
      <c r="F50" s="40">
        <f>$B50/64</f>
        <v/>
      </c>
      <c r="G50" s="40">
        <f>$B50/64</f>
        <v/>
      </c>
      <c r="H50" s="40">
        <f>$B50/64</f>
        <v/>
      </c>
      <c r="I50" s="40">
        <f>$B50/64</f>
        <v/>
      </c>
      <c r="J50" s="40">
        <f>$B50/64</f>
        <v/>
      </c>
      <c r="K50" s="40">
        <f>$B50/64</f>
        <v/>
      </c>
      <c r="L50" s="40">
        <f>$B50/64</f>
        <v/>
      </c>
      <c r="M50" s="40">
        <f>$B50/64</f>
        <v/>
      </c>
      <c r="N50" s="40">
        <f>$B50/64</f>
        <v/>
      </c>
      <c r="O50" s="40">
        <f>$B50/64</f>
        <v/>
      </c>
      <c r="P50" s="40">
        <f>$B50/64</f>
        <v/>
      </c>
      <c r="Q50" s="40">
        <f>$B50/64</f>
        <v/>
      </c>
      <c r="R50" s="40">
        <f>$B50/64</f>
        <v/>
      </c>
      <c r="S50" s="40">
        <f>$B50/64</f>
        <v/>
      </c>
      <c r="T50" s="40">
        <f>$B50/64</f>
        <v/>
      </c>
      <c r="U50" s="40">
        <f>$B50/64</f>
        <v/>
      </c>
      <c r="V50" s="40">
        <f>$B50/64</f>
        <v/>
      </c>
      <c r="W50" s="40">
        <f>$B50/64</f>
        <v/>
      </c>
      <c r="X50" s="40">
        <f>$B50/64</f>
        <v/>
      </c>
      <c r="Y50" s="40">
        <f>$B50/64</f>
        <v/>
      </c>
      <c r="Z50" s="40">
        <f>$B50/64</f>
        <v/>
      </c>
      <c r="AA50" s="40">
        <f>$B50/64</f>
        <v/>
      </c>
      <c r="AB50" s="40">
        <f>$B50/64</f>
        <v/>
      </c>
      <c r="AC50" s="40">
        <f>$B50/64</f>
        <v/>
      </c>
      <c r="AD50" s="40">
        <f>$B50/64</f>
        <v/>
      </c>
      <c r="AE50" s="40">
        <f>$B50/64</f>
        <v/>
      </c>
      <c r="AF50" s="40">
        <f>$B50/64</f>
        <v/>
      </c>
      <c r="AG50" s="40">
        <f>$B50/64</f>
        <v/>
      </c>
      <c r="AH50" s="40">
        <f>$B50/64</f>
        <v/>
      </c>
      <c r="AI50" s="40">
        <f>$B50/64</f>
        <v/>
      </c>
      <c r="AJ50" s="40">
        <f>$B50/64</f>
        <v/>
      </c>
      <c r="AK50" s="40">
        <f>$B50/64</f>
        <v/>
      </c>
      <c r="AL50" s="40">
        <f>$B50/64</f>
        <v/>
      </c>
      <c r="AM50" s="40">
        <f>$B50/64</f>
        <v/>
      </c>
      <c r="AN50" s="40">
        <f>$B50/64</f>
        <v/>
      </c>
      <c r="AO50" s="40">
        <f>$B50/64</f>
        <v/>
      </c>
      <c r="AP50" s="40">
        <f>$B50/64</f>
        <v/>
      </c>
      <c r="AQ50" s="40">
        <f>$B50/64</f>
        <v/>
      </c>
      <c r="AR50" s="40">
        <f>$B50/64</f>
        <v/>
      </c>
      <c r="AS50" s="40">
        <f>$B50/64</f>
        <v/>
      </c>
      <c r="AT50" s="40">
        <f>$B50/64</f>
        <v/>
      </c>
      <c r="AU50" s="40">
        <f>$B50/64</f>
        <v/>
      </c>
      <c r="AV50" s="40">
        <f>$B50/64</f>
        <v/>
      </c>
      <c r="AW50" s="40">
        <f>$B50/64</f>
        <v/>
      </c>
      <c r="AX50" s="40">
        <f>$B50/64</f>
        <v/>
      </c>
      <c r="AY50" s="40">
        <f>$B50/64</f>
        <v/>
      </c>
      <c r="AZ50" s="40">
        <f>$B50/64</f>
        <v/>
      </c>
      <c r="BA50" s="40">
        <f>$B50/64</f>
        <v/>
      </c>
      <c r="BB50" s="40">
        <f>$B50/64</f>
        <v/>
      </c>
      <c r="BC50" s="40">
        <f>$B50/64</f>
        <v/>
      </c>
      <c r="BD50" s="40">
        <f>$B50/64</f>
        <v/>
      </c>
      <c r="BE50" s="40">
        <f>$B50/64</f>
        <v/>
      </c>
      <c r="BF50" s="40">
        <f>$B50/64</f>
        <v/>
      </c>
      <c r="BG50" s="40">
        <f>$B50/64</f>
        <v/>
      </c>
      <c r="BH50" s="40">
        <f>$B50/64</f>
        <v/>
      </c>
      <c r="BI50" s="40">
        <f>$B50/64</f>
        <v/>
      </c>
      <c r="BJ50" s="40">
        <f>$B50/64</f>
        <v/>
      </c>
      <c r="BK50" s="40">
        <f>$B50/64</f>
        <v/>
      </c>
      <c r="BL50" s="40">
        <f>$B50/64</f>
        <v/>
      </c>
      <c r="BM50" s="40">
        <f>$B50/64</f>
        <v/>
      </c>
      <c r="BN50" s="40">
        <f>$B50/64</f>
        <v/>
      </c>
    </row>
    <row r="51">
      <c r="A51" s="46" t="inlineStr">
        <is>
          <t>Pest Control</t>
        </is>
      </c>
      <c r="B51" s="46" t="n">
        <v>0</v>
      </c>
      <c r="C51" s="40">
        <f>$B51/64</f>
        <v/>
      </c>
      <c r="D51" s="40">
        <f>$B51/64</f>
        <v/>
      </c>
      <c r="E51" s="40">
        <f>$B51/64</f>
        <v/>
      </c>
      <c r="F51" s="40">
        <f>$B51/64</f>
        <v/>
      </c>
      <c r="G51" s="40">
        <f>$B51/64</f>
        <v/>
      </c>
      <c r="H51" s="40">
        <f>$B51/64</f>
        <v/>
      </c>
      <c r="I51" s="40">
        <f>$B51/64</f>
        <v/>
      </c>
      <c r="J51" s="40">
        <f>$B51/64</f>
        <v/>
      </c>
      <c r="K51" s="40">
        <f>$B51/64</f>
        <v/>
      </c>
      <c r="L51" s="40">
        <f>$B51/64</f>
        <v/>
      </c>
      <c r="M51" s="40">
        <f>$B51/64</f>
        <v/>
      </c>
      <c r="N51" s="40">
        <f>$B51/64</f>
        <v/>
      </c>
      <c r="O51" s="40">
        <f>$B51/64</f>
        <v/>
      </c>
      <c r="P51" s="40">
        <f>$B51/64</f>
        <v/>
      </c>
      <c r="Q51" s="40">
        <f>$B51/64</f>
        <v/>
      </c>
      <c r="R51" s="40">
        <f>$B51/64</f>
        <v/>
      </c>
      <c r="S51" s="40">
        <f>$B51/64</f>
        <v/>
      </c>
      <c r="T51" s="40">
        <f>$B51/64</f>
        <v/>
      </c>
      <c r="U51" s="40">
        <f>$B51/64</f>
        <v/>
      </c>
      <c r="V51" s="40">
        <f>$B51/64</f>
        <v/>
      </c>
      <c r="W51" s="40">
        <f>$B51/64</f>
        <v/>
      </c>
      <c r="X51" s="40">
        <f>$B51/64</f>
        <v/>
      </c>
      <c r="Y51" s="40">
        <f>$B51/64</f>
        <v/>
      </c>
      <c r="Z51" s="40">
        <f>$B51/64</f>
        <v/>
      </c>
      <c r="AA51" s="40">
        <f>$B51/64</f>
        <v/>
      </c>
      <c r="AB51" s="40">
        <f>$B51/64</f>
        <v/>
      </c>
      <c r="AC51" s="40">
        <f>$B51/64</f>
        <v/>
      </c>
      <c r="AD51" s="40">
        <f>$B51/64</f>
        <v/>
      </c>
      <c r="AE51" s="40">
        <f>$B51/64</f>
        <v/>
      </c>
      <c r="AF51" s="40">
        <f>$B51/64</f>
        <v/>
      </c>
      <c r="AG51" s="40">
        <f>$B51/64</f>
        <v/>
      </c>
      <c r="AH51" s="40">
        <f>$B51/64</f>
        <v/>
      </c>
      <c r="AI51" s="40">
        <f>$B51/64</f>
        <v/>
      </c>
      <c r="AJ51" s="40">
        <f>$B51/64</f>
        <v/>
      </c>
      <c r="AK51" s="40">
        <f>$B51/64</f>
        <v/>
      </c>
      <c r="AL51" s="40">
        <f>$B51/64</f>
        <v/>
      </c>
      <c r="AM51" s="40">
        <f>$B51/64</f>
        <v/>
      </c>
      <c r="AN51" s="40">
        <f>$B51/64</f>
        <v/>
      </c>
      <c r="AO51" s="40">
        <f>$B51/64</f>
        <v/>
      </c>
      <c r="AP51" s="40">
        <f>$B51/64</f>
        <v/>
      </c>
      <c r="AQ51" s="40">
        <f>$B51/64</f>
        <v/>
      </c>
      <c r="AR51" s="40">
        <f>$B51/64</f>
        <v/>
      </c>
      <c r="AS51" s="40">
        <f>$B51/64</f>
        <v/>
      </c>
      <c r="AT51" s="40">
        <f>$B51/64</f>
        <v/>
      </c>
      <c r="AU51" s="40">
        <f>$B51/64</f>
        <v/>
      </c>
      <c r="AV51" s="40">
        <f>$B51/64</f>
        <v/>
      </c>
      <c r="AW51" s="40">
        <f>$B51/64</f>
        <v/>
      </c>
      <c r="AX51" s="40">
        <f>$B51/64</f>
        <v/>
      </c>
      <c r="AY51" s="40">
        <f>$B51/64</f>
        <v/>
      </c>
      <c r="AZ51" s="40">
        <f>$B51/64</f>
        <v/>
      </c>
      <c r="BA51" s="40">
        <f>$B51/64</f>
        <v/>
      </c>
      <c r="BB51" s="40">
        <f>$B51/64</f>
        <v/>
      </c>
      <c r="BC51" s="40">
        <f>$B51/64</f>
        <v/>
      </c>
      <c r="BD51" s="40">
        <f>$B51/64</f>
        <v/>
      </c>
      <c r="BE51" s="40">
        <f>$B51/64</f>
        <v/>
      </c>
      <c r="BF51" s="40">
        <f>$B51/64</f>
        <v/>
      </c>
      <c r="BG51" s="40">
        <f>$B51/64</f>
        <v/>
      </c>
      <c r="BH51" s="40">
        <f>$B51/64</f>
        <v/>
      </c>
      <c r="BI51" s="40">
        <f>$B51/64</f>
        <v/>
      </c>
      <c r="BJ51" s="40">
        <f>$B51/64</f>
        <v/>
      </c>
      <c r="BK51" s="40">
        <f>$B51/64</f>
        <v/>
      </c>
      <c r="BL51" s="40">
        <f>$B51/64</f>
        <v/>
      </c>
      <c r="BM51" s="40">
        <f>$B51/64</f>
        <v/>
      </c>
      <c r="BN51" s="40">
        <f>$B51/64</f>
        <v/>
      </c>
    </row>
    <row r="52">
      <c r="A52" s="46" t="inlineStr">
        <is>
          <t>Freshwater pipe repair</t>
        </is>
      </c>
      <c r="B52" s="46" t="n">
        <v>0</v>
      </c>
      <c r="C52" s="40">
        <f>$B52/64</f>
        <v/>
      </c>
      <c r="D52" s="40">
        <f>$B52/64</f>
        <v/>
      </c>
      <c r="E52" s="40">
        <f>$B52/64</f>
        <v/>
      </c>
      <c r="F52" s="40">
        <f>$B52/64</f>
        <v/>
      </c>
      <c r="G52" s="40">
        <f>$B52/64</f>
        <v/>
      </c>
      <c r="H52" s="40">
        <f>$B52/64</f>
        <v/>
      </c>
      <c r="I52" s="40">
        <f>$B52/64</f>
        <v/>
      </c>
      <c r="J52" s="40">
        <f>$B52/64</f>
        <v/>
      </c>
      <c r="K52" s="40">
        <f>$B52/64</f>
        <v/>
      </c>
      <c r="L52" s="40">
        <f>$B52/64</f>
        <v/>
      </c>
      <c r="M52" s="40">
        <f>$B52/64</f>
        <v/>
      </c>
      <c r="N52" s="40">
        <f>$B52/64</f>
        <v/>
      </c>
      <c r="O52" s="40">
        <f>$B52/64</f>
        <v/>
      </c>
      <c r="P52" s="40">
        <f>$B52/64</f>
        <v/>
      </c>
      <c r="Q52" s="40">
        <f>$B52/64</f>
        <v/>
      </c>
      <c r="R52" s="40">
        <f>$B52/64</f>
        <v/>
      </c>
      <c r="S52" s="40">
        <f>$B52/64</f>
        <v/>
      </c>
      <c r="T52" s="40">
        <f>$B52/64</f>
        <v/>
      </c>
      <c r="U52" s="40">
        <f>$B52/64</f>
        <v/>
      </c>
      <c r="V52" s="40">
        <f>$B52/64</f>
        <v/>
      </c>
      <c r="W52" s="40">
        <f>$B52/64</f>
        <v/>
      </c>
      <c r="X52" s="40">
        <f>$B52/64</f>
        <v/>
      </c>
      <c r="Y52" s="40">
        <f>$B52/64</f>
        <v/>
      </c>
      <c r="Z52" s="40">
        <f>$B52/64</f>
        <v/>
      </c>
      <c r="AA52" s="40">
        <f>$B52/64</f>
        <v/>
      </c>
      <c r="AB52" s="40">
        <f>$B52/64</f>
        <v/>
      </c>
      <c r="AC52" s="40">
        <f>$B52/64</f>
        <v/>
      </c>
      <c r="AD52" s="40">
        <f>$B52/64</f>
        <v/>
      </c>
      <c r="AE52" s="40">
        <f>$B52/64</f>
        <v/>
      </c>
      <c r="AF52" s="40">
        <f>$B52/64</f>
        <v/>
      </c>
      <c r="AG52" s="40">
        <f>$B52/64</f>
        <v/>
      </c>
      <c r="AH52" s="40">
        <f>$B52/64</f>
        <v/>
      </c>
      <c r="AI52" s="40">
        <f>$B52/64</f>
        <v/>
      </c>
      <c r="AJ52" s="40">
        <f>$B52/64</f>
        <v/>
      </c>
      <c r="AK52" s="40">
        <f>$B52/64</f>
        <v/>
      </c>
      <c r="AL52" s="40">
        <f>$B52/64</f>
        <v/>
      </c>
      <c r="AM52" s="40">
        <f>$B52/64</f>
        <v/>
      </c>
      <c r="AN52" s="40">
        <f>$B52/64</f>
        <v/>
      </c>
      <c r="AO52" s="40">
        <f>$B52/64</f>
        <v/>
      </c>
      <c r="AP52" s="40">
        <f>$B52/64</f>
        <v/>
      </c>
      <c r="AQ52" s="40">
        <f>$B52/64</f>
        <v/>
      </c>
      <c r="AR52" s="40">
        <f>$B52/64</f>
        <v/>
      </c>
      <c r="AS52" s="40">
        <f>$B52/64</f>
        <v/>
      </c>
      <c r="AT52" s="40">
        <f>$B52/64</f>
        <v/>
      </c>
      <c r="AU52" s="40">
        <f>$B52/64</f>
        <v/>
      </c>
      <c r="AV52" s="40">
        <f>$B52/64</f>
        <v/>
      </c>
      <c r="AW52" s="40">
        <f>$B52/64</f>
        <v/>
      </c>
      <c r="AX52" s="40">
        <f>$B52/64</f>
        <v/>
      </c>
      <c r="AY52" s="40">
        <f>$B52/64</f>
        <v/>
      </c>
      <c r="AZ52" s="40">
        <f>$B52/64</f>
        <v/>
      </c>
      <c r="BA52" s="40">
        <f>$B52/64</f>
        <v/>
      </c>
      <c r="BB52" s="40">
        <f>$B52/64</f>
        <v/>
      </c>
      <c r="BC52" s="40">
        <f>$B52/64</f>
        <v/>
      </c>
      <c r="BD52" s="40">
        <f>$B52/64</f>
        <v/>
      </c>
      <c r="BE52" s="40">
        <f>$B52/64</f>
        <v/>
      </c>
      <c r="BF52" s="40">
        <f>$B52/64</f>
        <v/>
      </c>
      <c r="BG52" s="40">
        <f>$B52/64</f>
        <v/>
      </c>
      <c r="BH52" s="40">
        <f>$B52/64</f>
        <v/>
      </c>
      <c r="BI52" s="40">
        <f>$B52/64</f>
        <v/>
      </c>
      <c r="BJ52" s="40">
        <f>$B52/64</f>
        <v/>
      </c>
      <c r="BK52" s="40">
        <f>$B52/64</f>
        <v/>
      </c>
      <c r="BL52" s="40">
        <f>$B52/64</f>
        <v/>
      </c>
      <c r="BM52" s="40">
        <f>$B52/64</f>
        <v/>
      </c>
      <c r="BN52" s="40">
        <f>$B52/64</f>
        <v/>
      </c>
    </row>
    <row r="53">
      <c r="A53" s="46" t="inlineStr">
        <is>
          <t>NBH device replacement</t>
        </is>
      </c>
      <c r="B53" s="46" t="n">
        <v>0</v>
      </c>
      <c r="C53" s="40">
        <f>$B53/64</f>
        <v/>
      </c>
      <c r="D53" s="40">
        <f>$B53/64</f>
        <v/>
      </c>
      <c r="E53" s="40">
        <f>$B53/64</f>
        <v/>
      </c>
      <c r="F53" s="40">
        <f>$B53/64</f>
        <v/>
      </c>
      <c r="G53" s="40">
        <f>$B53/64</f>
        <v/>
      </c>
      <c r="H53" s="40">
        <f>$B53/64</f>
        <v/>
      </c>
      <c r="I53" s="40">
        <f>$B53/64</f>
        <v/>
      </c>
      <c r="J53" s="40">
        <f>$B53/64</f>
        <v/>
      </c>
      <c r="K53" s="40">
        <f>$B53/64</f>
        <v/>
      </c>
      <c r="L53" s="40">
        <f>$B53/64</f>
        <v/>
      </c>
      <c r="M53" s="40">
        <f>$B53/64</f>
        <v/>
      </c>
      <c r="N53" s="40">
        <f>$B53/64</f>
        <v/>
      </c>
      <c r="O53" s="40">
        <f>$B53/64</f>
        <v/>
      </c>
      <c r="P53" s="40">
        <f>$B53/64</f>
        <v/>
      </c>
      <c r="Q53" s="40">
        <f>$B53/64</f>
        <v/>
      </c>
      <c r="R53" s="40">
        <f>$B53/64</f>
        <v/>
      </c>
      <c r="S53" s="40">
        <f>$B53/64</f>
        <v/>
      </c>
      <c r="T53" s="40">
        <f>$B53/64</f>
        <v/>
      </c>
      <c r="U53" s="40">
        <f>$B53/64</f>
        <v/>
      </c>
      <c r="V53" s="40">
        <f>$B53/64</f>
        <v/>
      </c>
      <c r="W53" s="40">
        <f>$B53/64</f>
        <v/>
      </c>
      <c r="X53" s="40">
        <f>$B53/64</f>
        <v/>
      </c>
      <c r="Y53" s="40">
        <f>$B53/64</f>
        <v/>
      </c>
      <c r="Z53" s="40">
        <f>$B53/64</f>
        <v/>
      </c>
      <c r="AA53" s="40">
        <f>$B53/64</f>
        <v/>
      </c>
      <c r="AB53" s="40">
        <f>$B53/64</f>
        <v/>
      </c>
      <c r="AC53" s="40">
        <f>$B53/64</f>
        <v/>
      </c>
      <c r="AD53" s="40">
        <f>$B53/64</f>
        <v/>
      </c>
      <c r="AE53" s="40">
        <f>$B53/64</f>
        <v/>
      </c>
      <c r="AF53" s="40">
        <f>$B53/64</f>
        <v/>
      </c>
      <c r="AG53" s="40">
        <f>$B53/64</f>
        <v/>
      </c>
      <c r="AH53" s="40">
        <f>$B53/64</f>
        <v/>
      </c>
      <c r="AI53" s="40">
        <f>$B53/64</f>
        <v/>
      </c>
      <c r="AJ53" s="40">
        <f>$B53/64</f>
        <v/>
      </c>
      <c r="AK53" s="40">
        <f>$B53/64</f>
        <v/>
      </c>
      <c r="AL53" s="40">
        <f>$B53/64</f>
        <v/>
      </c>
      <c r="AM53" s="40">
        <f>$B53/64</f>
        <v/>
      </c>
      <c r="AN53" s="40">
        <f>$B53/64</f>
        <v/>
      </c>
      <c r="AO53" s="40">
        <f>$B53/64</f>
        <v/>
      </c>
      <c r="AP53" s="40">
        <f>$B53/64</f>
        <v/>
      </c>
      <c r="AQ53" s="40">
        <f>$B53/64</f>
        <v/>
      </c>
      <c r="AR53" s="40">
        <f>$B53/64</f>
        <v/>
      </c>
      <c r="AS53" s="40">
        <f>$B53/64</f>
        <v/>
      </c>
      <c r="AT53" s="40">
        <f>$B53/64</f>
        <v/>
      </c>
      <c r="AU53" s="40">
        <f>$B53/64</f>
        <v/>
      </c>
      <c r="AV53" s="40">
        <f>$B53/64</f>
        <v/>
      </c>
      <c r="AW53" s="40">
        <f>$B53/64</f>
        <v/>
      </c>
      <c r="AX53" s="40">
        <f>$B53/64</f>
        <v/>
      </c>
      <c r="AY53" s="40">
        <f>$B53/64</f>
        <v/>
      </c>
      <c r="AZ53" s="40">
        <f>$B53/64</f>
        <v/>
      </c>
      <c r="BA53" s="40">
        <f>$B53/64</f>
        <v/>
      </c>
      <c r="BB53" s="40">
        <f>$B53/64</f>
        <v/>
      </c>
      <c r="BC53" s="40">
        <f>$B53/64</f>
        <v/>
      </c>
      <c r="BD53" s="40">
        <f>$B53/64</f>
        <v/>
      </c>
      <c r="BE53" s="40">
        <f>$B53/64</f>
        <v/>
      </c>
      <c r="BF53" s="40">
        <f>$B53/64</f>
        <v/>
      </c>
      <c r="BG53" s="40">
        <f>$B53/64</f>
        <v/>
      </c>
      <c r="BH53" s="40">
        <f>$B53/64</f>
        <v/>
      </c>
      <c r="BI53" s="40">
        <f>$B53/64</f>
        <v/>
      </c>
      <c r="BJ53" s="40">
        <f>$B53/64</f>
        <v/>
      </c>
      <c r="BK53" s="40">
        <f>$B53/64</f>
        <v/>
      </c>
      <c r="BL53" s="40">
        <f>$B53/64</f>
        <v/>
      </c>
      <c r="BM53" s="40">
        <f>$B53/64</f>
        <v/>
      </c>
      <c r="BN53" s="40">
        <f>$B53/64</f>
        <v/>
      </c>
    </row>
    <row r="54">
      <c r="A54" s="46" t="inlineStr">
        <is>
          <t>NBH VMS</t>
        </is>
      </c>
      <c r="B54" s="46" t="n">
        <v>0</v>
      </c>
      <c r="C54" s="40">
        <f>$B54/64</f>
        <v/>
      </c>
      <c r="D54" s="40">
        <f>$B54/64</f>
        <v/>
      </c>
      <c r="E54" s="40">
        <f>$B54/64</f>
        <v/>
      </c>
      <c r="F54" s="40">
        <f>$B54/64</f>
        <v/>
      </c>
      <c r="G54" s="40">
        <f>$B54/64</f>
        <v/>
      </c>
      <c r="H54" s="40">
        <f>$B54/64</f>
        <v/>
      </c>
      <c r="I54" s="40">
        <f>$B54/64</f>
        <v/>
      </c>
      <c r="J54" s="40">
        <f>$B54/64</f>
        <v/>
      </c>
      <c r="K54" s="40">
        <f>$B54/64</f>
        <v/>
      </c>
      <c r="L54" s="40">
        <f>$B54/64</f>
        <v/>
      </c>
      <c r="M54" s="40">
        <f>$B54/64</f>
        <v/>
      </c>
      <c r="N54" s="40">
        <f>$B54/64</f>
        <v/>
      </c>
      <c r="O54" s="40">
        <f>$B54/64</f>
        <v/>
      </c>
      <c r="P54" s="40">
        <f>$B54/64</f>
        <v/>
      </c>
      <c r="Q54" s="40">
        <f>$B54/64</f>
        <v/>
      </c>
      <c r="R54" s="40">
        <f>$B54/64</f>
        <v/>
      </c>
      <c r="S54" s="40">
        <f>$B54/64</f>
        <v/>
      </c>
      <c r="T54" s="40">
        <f>$B54/64</f>
        <v/>
      </c>
      <c r="U54" s="40">
        <f>$B54/64</f>
        <v/>
      </c>
      <c r="V54" s="40">
        <f>$B54/64</f>
        <v/>
      </c>
      <c r="W54" s="40">
        <f>$B54/64</f>
        <v/>
      </c>
      <c r="X54" s="40">
        <f>$B54/64</f>
        <v/>
      </c>
      <c r="Y54" s="40">
        <f>$B54/64</f>
        <v/>
      </c>
      <c r="Z54" s="40">
        <f>$B54/64</f>
        <v/>
      </c>
      <c r="AA54" s="40">
        <f>$B54/64</f>
        <v/>
      </c>
      <c r="AB54" s="40">
        <f>$B54/64</f>
        <v/>
      </c>
      <c r="AC54" s="40">
        <f>$B54/64</f>
        <v/>
      </c>
      <c r="AD54" s="40">
        <f>$B54/64</f>
        <v/>
      </c>
      <c r="AE54" s="40">
        <f>$B54/64</f>
        <v/>
      </c>
      <c r="AF54" s="40">
        <f>$B54/64</f>
        <v/>
      </c>
      <c r="AG54" s="40">
        <f>$B54/64</f>
        <v/>
      </c>
      <c r="AH54" s="40">
        <f>$B54/64</f>
        <v/>
      </c>
      <c r="AI54" s="40">
        <f>$B54/64</f>
        <v/>
      </c>
      <c r="AJ54" s="40">
        <f>$B54/64</f>
        <v/>
      </c>
      <c r="AK54" s="40">
        <f>$B54/64</f>
        <v/>
      </c>
      <c r="AL54" s="40">
        <f>$B54/64</f>
        <v/>
      </c>
      <c r="AM54" s="40">
        <f>$B54/64</f>
        <v/>
      </c>
      <c r="AN54" s="40">
        <f>$B54/64</f>
        <v/>
      </c>
      <c r="AO54" s="40">
        <f>$B54/64</f>
        <v/>
      </c>
      <c r="AP54" s="40">
        <f>$B54/64</f>
        <v/>
      </c>
      <c r="AQ54" s="40">
        <f>$B54/64</f>
        <v/>
      </c>
      <c r="AR54" s="40">
        <f>$B54/64</f>
        <v/>
      </c>
      <c r="AS54" s="40">
        <f>$B54/64</f>
        <v/>
      </c>
      <c r="AT54" s="40">
        <f>$B54/64</f>
        <v/>
      </c>
      <c r="AU54" s="40">
        <f>$B54/64</f>
        <v/>
      </c>
      <c r="AV54" s="40">
        <f>$B54/64</f>
        <v/>
      </c>
      <c r="AW54" s="40">
        <f>$B54/64</f>
        <v/>
      </c>
      <c r="AX54" s="40">
        <f>$B54/64</f>
        <v/>
      </c>
      <c r="AY54" s="40">
        <f>$B54/64</f>
        <v/>
      </c>
      <c r="AZ54" s="40">
        <f>$B54/64</f>
        <v/>
      </c>
      <c r="BA54" s="40">
        <f>$B54/64</f>
        <v/>
      </c>
      <c r="BB54" s="40">
        <f>$B54/64</f>
        <v/>
      </c>
      <c r="BC54" s="40">
        <f>$B54/64</f>
        <v/>
      </c>
      <c r="BD54" s="40">
        <f>$B54/64</f>
        <v/>
      </c>
      <c r="BE54" s="40">
        <f>$B54/64</f>
        <v/>
      </c>
      <c r="BF54" s="40">
        <f>$B54/64</f>
        <v/>
      </c>
      <c r="BG54" s="40">
        <f>$B54/64</f>
        <v/>
      </c>
      <c r="BH54" s="40">
        <f>$B54/64</f>
        <v/>
      </c>
      <c r="BI54" s="40">
        <f>$B54/64</f>
        <v/>
      </c>
      <c r="BJ54" s="40">
        <f>$B54/64</f>
        <v/>
      </c>
      <c r="BK54" s="40">
        <f>$B54/64</f>
        <v/>
      </c>
      <c r="BL54" s="40">
        <f>$B54/64</f>
        <v/>
      </c>
      <c r="BM54" s="40">
        <f>$B54/64</f>
        <v/>
      </c>
      <c r="BN54" s="40">
        <f>$B54/64</f>
        <v/>
      </c>
    </row>
    <row r="55">
      <c r="A55" s="46" t="inlineStr">
        <is>
          <t>REPAIRS</t>
        </is>
      </c>
      <c r="B55" s="46" t="n">
        <v>0</v>
      </c>
      <c r="C55" s="40">
        <f>$B55/64</f>
        <v/>
      </c>
      <c r="D55" s="40">
        <f>$B55/64</f>
        <v/>
      </c>
      <c r="E55" s="40">
        <f>$B55/64</f>
        <v/>
      </c>
      <c r="F55" s="40">
        <f>$B55/64</f>
        <v/>
      </c>
      <c r="G55" s="40">
        <f>$B55/64</f>
        <v/>
      </c>
      <c r="H55" s="40">
        <f>$B55/64</f>
        <v/>
      </c>
      <c r="I55" s="40">
        <f>$B55/64</f>
        <v/>
      </c>
      <c r="J55" s="40">
        <f>$B55/64</f>
        <v/>
      </c>
      <c r="K55" s="40">
        <f>$B55/64</f>
        <v/>
      </c>
      <c r="L55" s="40">
        <f>$B55/64</f>
        <v/>
      </c>
      <c r="M55" s="40">
        <f>$B55/64</f>
        <v/>
      </c>
      <c r="N55" s="40">
        <f>$B55/64</f>
        <v/>
      </c>
      <c r="O55" s="40">
        <f>$B55/64</f>
        <v/>
      </c>
      <c r="P55" s="40">
        <f>$B55/64</f>
        <v/>
      </c>
      <c r="Q55" s="40">
        <f>$B55/64</f>
        <v/>
      </c>
      <c r="R55" s="40">
        <f>$B55/64</f>
        <v/>
      </c>
      <c r="S55" s="40">
        <f>$B55/64</f>
        <v/>
      </c>
      <c r="T55" s="40">
        <f>$B55/64</f>
        <v/>
      </c>
      <c r="U55" s="40">
        <f>$B55/64</f>
        <v/>
      </c>
      <c r="V55" s="40">
        <f>$B55/64</f>
        <v/>
      </c>
      <c r="W55" s="40">
        <f>$B55/64</f>
        <v/>
      </c>
      <c r="X55" s="40">
        <f>$B55/64</f>
        <v/>
      </c>
      <c r="Y55" s="40">
        <f>$B55/64</f>
        <v/>
      </c>
      <c r="Z55" s="40">
        <f>$B55/64</f>
        <v/>
      </c>
      <c r="AA55" s="40">
        <f>$B55/64</f>
        <v/>
      </c>
      <c r="AB55" s="40">
        <f>$B55/64</f>
        <v/>
      </c>
      <c r="AC55" s="40">
        <f>$B55/64</f>
        <v/>
      </c>
      <c r="AD55" s="40">
        <f>$B55/64</f>
        <v/>
      </c>
      <c r="AE55" s="40">
        <f>$B55/64</f>
        <v/>
      </c>
      <c r="AF55" s="40">
        <f>$B55/64</f>
        <v/>
      </c>
      <c r="AG55" s="40">
        <f>$B55/64</f>
        <v/>
      </c>
      <c r="AH55" s="40">
        <f>$B55/64</f>
        <v/>
      </c>
      <c r="AI55" s="40">
        <f>$B55/64</f>
        <v/>
      </c>
      <c r="AJ55" s="40">
        <f>$B55/64</f>
        <v/>
      </c>
      <c r="AK55" s="40">
        <f>$B55/64</f>
        <v/>
      </c>
      <c r="AL55" s="40">
        <f>$B55/64</f>
        <v/>
      </c>
      <c r="AM55" s="40">
        <f>$B55/64</f>
        <v/>
      </c>
      <c r="AN55" s="40">
        <f>$B55/64</f>
        <v/>
      </c>
      <c r="AO55" s="40">
        <f>$B55/64</f>
        <v/>
      </c>
      <c r="AP55" s="40">
        <f>$B55/64</f>
        <v/>
      </c>
      <c r="AQ55" s="40">
        <f>$B55/64</f>
        <v/>
      </c>
      <c r="AR55" s="40">
        <f>$B55/64</f>
        <v/>
      </c>
      <c r="AS55" s="40">
        <f>$B55/64</f>
        <v/>
      </c>
      <c r="AT55" s="40">
        <f>$B55/64</f>
        <v/>
      </c>
      <c r="AU55" s="40">
        <f>$B55/64</f>
        <v/>
      </c>
      <c r="AV55" s="40">
        <f>$B55/64</f>
        <v/>
      </c>
      <c r="AW55" s="40">
        <f>$B55/64</f>
        <v/>
      </c>
      <c r="AX55" s="40">
        <f>$B55/64</f>
        <v/>
      </c>
      <c r="AY55" s="40">
        <f>$B55/64</f>
        <v/>
      </c>
      <c r="AZ55" s="40">
        <f>$B55/64</f>
        <v/>
      </c>
      <c r="BA55" s="40">
        <f>$B55/64</f>
        <v/>
      </c>
      <c r="BB55" s="40">
        <f>$B55/64</f>
        <v/>
      </c>
      <c r="BC55" s="40">
        <f>$B55/64</f>
        <v/>
      </c>
      <c r="BD55" s="40">
        <f>$B55/64</f>
        <v/>
      </c>
      <c r="BE55" s="40">
        <f>$B55/64</f>
        <v/>
      </c>
      <c r="BF55" s="40">
        <f>$B55/64</f>
        <v/>
      </c>
      <c r="BG55" s="40">
        <f>$B55/64</f>
        <v/>
      </c>
      <c r="BH55" s="40">
        <f>$B55/64</f>
        <v/>
      </c>
      <c r="BI55" s="40">
        <f>$B55/64</f>
        <v/>
      </c>
      <c r="BJ55" s="40">
        <f>$B55/64</f>
        <v/>
      </c>
      <c r="BK55" s="40">
        <f>$B55/64</f>
        <v/>
      </c>
      <c r="BL55" s="40">
        <f>$B55/64</f>
        <v/>
      </c>
      <c r="BM55" s="40">
        <f>$B55/64</f>
        <v/>
      </c>
      <c r="BN55" s="40">
        <f>$B55/64</f>
        <v/>
      </c>
    </row>
    <row r="56">
      <c r="A56" s="46" t="inlineStr">
        <is>
          <t>Cricket Net</t>
        </is>
      </c>
      <c r="B56" s="46" t="n">
        <v>0</v>
      </c>
      <c r="C56" s="40">
        <f>$B56/64</f>
        <v/>
      </c>
      <c r="D56" s="40">
        <f>$B56/64</f>
        <v/>
      </c>
      <c r="E56" s="40">
        <f>$B56/64</f>
        <v/>
      </c>
      <c r="F56" s="40">
        <f>$B56/64</f>
        <v/>
      </c>
      <c r="G56" s="40">
        <f>$B56/64</f>
        <v/>
      </c>
      <c r="H56" s="40">
        <f>$B56/64</f>
        <v/>
      </c>
      <c r="I56" s="40">
        <f>$B56/64</f>
        <v/>
      </c>
      <c r="J56" s="40">
        <f>$B56/64</f>
        <v/>
      </c>
      <c r="K56" s="40">
        <f>$B56/64</f>
        <v/>
      </c>
      <c r="L56" s="40">
        <f>$B56/64</f>
        <v/>
      </c>
      <c r="M56" s="40">
        <f>$B56/64</f>
        <v/>
      </c>
      <c r="N56" s="40">
        <f>$B56/64</f>
        <v/>
      </c>
      <c r="O56" s="40">
        <f>$B56/64</f>
        <v/>
      </c>
      <c r="P56" s="40">
        <f>$B56/64</f>
        <v/>
      </c>
      <c r="Q56" s="40">
        <f>$B56/64</f>
        <v/>
      </c>
      <c r="R56" s="40">
        <f>$B56/64</f>
        <v/>
      </c>
      <c r="S56" s="40">
        <f>$B56/64</f>
        <v/>
      </c>
      <c r="T56" s="40">
        <f>$B56/64</f>
        <v/>
      </c>
      <c r="U56" s="40">
        <f>$B56/64</f>
        <v/>
      </c>
      <c r="V56" s="40">
        <f>$B56/64</f>
        <v/>
      </c>
      <c r="W56" s="40">
        <f>$B56/64</f>
        <v/>
      </c>
      <c r="X56" s="40">
        <f>$B56/64</f>
        <v/>
      </c>
      <c r="Y56" s="40">
        <f>$B56/64</f>
        <v/>
      </c>
      <c r="Z56" s="40">
        <f>$B56/64</f>
        <v/>
      </c>
      <c r="AA56" s="40">
        <f>$B56/64</f>
        <v/>
      </c>
      <c r="AB56" s="40">
        <f>$B56/64</f>
        <v/>
      </c>
      <c r="AC56" s="40">
        <f>$B56/64</f>
        <v/>
      </c>
      <c r="AD56" s="40">
        <f>$B56/64</f>
        <v/>
      </c>
      <c r="AE56" s="40">
        <f>$B56/64</f>
        <v/>
      </c>
      <c r="AF56" s="40">
        <f>$B56/64</f>
        <v/>
      </c>
      <c r="AG56" s="40">
        <f>$B56/64</f>
        <v/>
      </c>
      <c r="AH56" s="40">
        <f>$B56/64</f>
        <v/>
      </c>
      <c r="AI56" s="40">
        <f>$B56/64</f>
        <v/>
      </c>
      <c r="AJ56" s="40">
        <f>$B56/64</f>
        <v/>
      </c>
      <c r="AK56" s="40">
        <f>$B56/64</f>
        <v/>
      </c>
      <c r="AL56" s="40">
        <f>$B56/64</f>
        <v/>
      </c>
      <c r="AM56" s="40">
        <f>$B56/64</f>
        <v/>
      </c>
      <c r="AN56" s="40">
        <f>$B56/64</f>
        <v/>
      </c>
      <c r="AO56" s="40">
        <f>$B56/64</f>
        <v/>
      </c>
      <c r="AP56" s="40">
        <f>$B56/64</f>
        <v/>
      </c>
      <c r="AQ56" s="40">
        <f>$B56/64</f>
        <v/>
      </c>
      <c r="AR56" s="40">
        <f>$B56/64</f>
        <v/>
      </c>
      <c r="AS56" s="40">
        <f>$B56/64</f>
        <v/>
      </c>
      <c r="AT56" s="40">
        <f>$B56/64</f>
        <v/>
      </c>
      <c r="AU56" s="40">
        <f>$B56/64</f>
        <v/>
      </c>
      <c r="AV56" s="40">
        <f>$B56/64</f>
        <v/>
      </c>
      <c r="AW56" s="40">
        <f>$B56/64</f>
        <v/>
      </c>
      <c r="AX56" s="40">
        <f>$B56/64</f>
        <v/>
      </c>
      <c r="AY56" s="40">
        <f>$B56/64</f>
        <v/>
      </c>
      <c r="AZ56" s="40">
        <f>$B56/64</f>
        <v/>
      </c>
      <c r="BA56" s="40">
        <f>$B56/64</f>
        <v/>
      </c>
      <c r="BB56" s="40">
        <f>$B56/64</f>
        <v/>
      </c>
      <c r="BC56" s="40">
        <f>$B56/64</f>
        <v/>
      </c>
      <c r="BD56" s="40">
        <f>$B56/64</f>
        <v/>
      </c>
      <c r="BE56" s="40">
        <f>$B56/64</f>
        <v/>
      </c>
      <c r="BF56" s="40">
        <f>$B56/64</f>
        <v/>
      </c>
      <c r="BG56" s="40">
        <f>$B56/64</f>
        <v/>
      </c>
      <c r="BH56" s="40">
        <f>$B56/64</f>
        <v/>
      </c>
      <c r="BI56" s="40">
        <f>$B56/64</f>
        <v/>
      </c>
      <c r="BJ56" s="40">
        <f>$B56/64</f>
        <v/>
      </c>
      <c r="BK56" s="40">
        <f>$B56/64</f>
        <v/>
      </c>
      <c r="BL56" s="40">
        <f>$B56/64</f>
        <v/>
      </c>
      <c r="BM56" s="40">
        <f>$B56/64</f>
        <v/>
      </c>
      <c r="BN56" s="40">
        <f>$B56/64</f>
        <v/>
      </c>
    </row>
    <row r="57">
      <c r="A57" s="46" t="inlineStr">
        <is>
          <t>LOOK AHEAD EXPENSE</t>
        </is>
      </c>
      <c r="B57" s="46" t="n">
        <v>0</v>
      </c>
      <c r="C57" s="40">
        <f>$B57/64</f>
        <v/>
      </c>
      <c r="D57" s="40">
        <f>$B57/64</f>
        <v/>
      </c>
      <c r="E57" s="40">
        <f>$B57/64</f>
        <v/>
      </c>
      <c r="F57" s="40">
        <f>$B57/64</f>
        <v/>
      </c>
      <c r="G57" s="40">
        <f>$B57/64</f>
        <v/>
      </c>
      <c r="H57" s="40">
        <f>$B57/64</f>
        <v/>
      </c>
      <c r="I57" s="40">
        <f>$B57/64</f>
        <v/>
      </c>
      <c r="J57" s="40">
        <f>$B57/64</f>
        <v/>
      </c>
      <c r="K57" s="40">
        <f>$B57/64</f>
        <v/>
      </c>
      <c r="L57" s="40">
        <f>$B57/64</f>
        <v/>
      </c>
      <c r="M57" s="40">
        <f>$B57/64</f>
        <v/>
      </c>
      <c r="N57" s="40">
        <f>$B57/64</f>
        <v/>
      </c>
      <c r="O57" s="40">
        <f>$B57/64</f>
        <v/>
      </c>
      <c r="P57" s="40">
        <f>$B57/64</f>
        <v/>
      </c>
      <c r="Q57" s="40">
        <f>$B57/64</f>
        <v/>
      </c>
      <c r="R57" s="40">
        <f>$B57/64</f>
        <v/>
      </c>
      <c r="S57" s="40">
        <f>$B57/64</f>
        <v/>
      </c>
      <c r="T57" s="40">
        <f>$B57/64</f>
        <v/>
      </c>
      <c r="U57" s="40">
        <f>$B57/64</f>
        <v/>
      </c>
      <c r="V57" s="40">
        <f>$B57/64</f>
        <v/>
      </c>
      <c r="W57" s="40">
        <f>$B57/64</f>
        <v/>
      </c>
      <c r="X57" s="40">
        <f>$B57/64</f>
        <v/>
      </c>
      <c r="Y57" s="40">
        <f>$B57/64</f>
        <v/>
      </c>
      <c r="Z57" s="40">
        <f>$B57/64</f>
        <v/>
      </c>
      <c r="AA57" s="40">
        <f>$B57/64</f>
        <v/>
      </c>
      <c r="AB57" s="40">
        <f>$B57/64</f>
        <v/>
      </c>
      <c r="AC57" s="40">
        <f>$B57/64</f>
        <v/>
      </c>
      <c r="AD57" s="40">
        <f>$B57/64</f>
        <v/>
      </c>
      <c r="AE57" s="40">
        <f>$B57/64</f>
        <v/>
      </c>
      <c r="AF57" s="40">
        <f>$B57/64</f>
        <v/>
      </c>
      <c r="AG57" s="40">
        <f>$B57/64</f>
        <v/>
      </c>
      <c r="AH57" s="40">
        <f>$B57/64</f>
        <v/>
      </c>
      <c r="AI57" s="40">
        <f>$B57/64</f>
        <v/>
      </c>
      <c r="AJ57" s="40">
        <f>$B57/64</f>
        <v/>
      </c>
      <c r="AK57" s="40">
        <f>$B57/64</f>
        <v/>
      </c>
      <c r="AL57" s="40">
        <f>$B57/64</f>
        <v/>
      </c>
      <c r="AM57" s="40">
        <f>$B57/64</f>
        <v/>
      </c>
      <c r="AN57" s="40">
        <f>$B57/64</f>
        <v/>
      </c>
      <c r="AO57" s="40">
        <f>$B57/64</f>
        <v/>
      </c>
      <c r="AP57" s="40">
        <f>$B57/64</f>
        <v/>
      </c>
      <c r="AQ57" s="40">
        <f>$B57/64</f>
        <v/>
      </c>
      <c r="AR57" s="40">
        <f>$B57/64</f>
        <v/>
      </c>
      <c r="AS57" s="40">
        <f>$B57/64</f>
        <v/>
      </c>
      <c r="AT57" s="40">
        <f>$B57/64</f>
        <v/>
      </c>
      <c r="AU57" s="40">
        <f>$B57/64</f>
        <v/>
      </c>
      <c r="AV57" s="40">
        <f>$B57/64</f>
        <v/>
      </c>
      <c r="AW57" s="40">
        <f>$B57/64</f>
        <v/>
      </c>
      <c r="AX57" s="40">
        <f>$B57/64</f>
        <v/>
      </c>
      <c r="AY57" s="40">
        <f>$B57/64</f>
        <v/>
      </c>
      <c r="AZ57" s="40">
        <f>$B57/64</f>
        <v/>
      </c>
      <c r="BA57" s="40">
        <f>$B57/64</f>
        <v/>
      </c>
      <c r="BB57" s="40">
        <f>$B57/64</f>
        <v/>
      </c>
      <c r="BC57" s="40">
        <f>$B57/64</f>
        <v/>
      </c>
      <c r="BD57" s="40">
        <f>$B57/64</f>
        <v/>
      </c>
      <c r="BE57" s="40">
        <f>$B57/64</f>
        <v/>
      </c>
      <c r="BF57" s="40">
        <f>$B57/64</f>
        <v/>
      </c>
      <c r="BG57" s="40">
        <f>$B57/64</f>
        <v/>
      </c>
      <c r="BH57" s="40">
        <f>$B57/64</f>
        <v/>
      </c>
      <c r="BI57" s="40">
        <f>$B57/64</f>
        <v/>
      </c>
      <c r="BJ57" s="40">
        <f>$B57/64</f>
        <v/>
      </c>
      <c r="BK57" s="40">
        <f>$B57/64</f>
        <v/>
      </c>
      <c r="BL57" s="40">
        <f>$B57/64</f>
        <v/>
      </c>
      <c r="BM57" s="40">
        <f>$B57/64</f>
        <v/>
      </c>
      <c r="BN57" s="40">
        <f>$B57/64</f>
        <v/>
      </c>
    </row>
    <row r="58">
      <c r="A58" s="46" t="inlineStr">
        <is>
          <t>Rear bondary cleaning</t>
        </is>
      </c>
      <c r="B58" s="46" t="n">
        <v>0</v>
      </c>
      <c r="C58" s="40">
        <f>$B58/64</f>
        <v/>
      </c>
      <c r="D58" s="40">
        <f>$B58/64</f>
        <v/>
      </c>
      <c r="E58" s="40">
        <f>$B58/64</f>
        <v/>
      </c>
      <c r="F58" s="40">
        <f>$B58/64</f>
        <v/>
      </c>
      <c r="G58" s="40">
        <f>$B58/64</f>
        <v/>
      </c>
      <c r="H58" s="40">
        <f>$B58/64</f>
        <v/>
      </c>
      <c r="I58" s="40">
        <f>$B58/64</f>
        <v/>
      </c>
      <c r="J58" s="40">
        <f>$B58/64</f>
        <v/>
      </c>
      <c r="K58" s="40">
        <f>$B58/64</f>
        <v/>
      </c>
      <c r="L58" s="40">
        <f>$B58/64</f>
        <v/>
      </c>
      <c r="M58" s="40">
        <f>$B58/64</f>
        <v/>
      </c>
      <c r="N58" s="40">
        <f>$B58/64</f>
        <v/>
      </c>
      <c r="O58" s="40">
        <f>$B58/64</f>
        <v/>
      </c>
      <c r="P58" s="40">
        <f>$B58/64</f>
        <v/>
      </c>
      <c r="Q58" s="40">
        <f>$B58/64</f>
        <v/>
      </c>
      <c r="R58" s="40">
        <f>$B58/64</f>
        <v/>
      </c>
      <c r="S58" s="40">
        <f>$B58/64</f>
        <v/>
      </c>
      <c r="T58" s="40">
        <f>$B58/64</f>
        <v/>
      </c>
      <c r="U58" s="40">
        <f>$B58/64</f>
        <v/>
      </c>
      <c r="V58" s="40">
        <f>$B58/64</f>
        <v/>
      </c>
      <c r="W58" s="40">
        <f>$B58/64</f>
        <v/>
      </c>
      <c r="X58" s="40">
        <f>$B58/64</f>
        <v/>
      </c>
      <c r="Y58" s="40">
        <f>$B58/64</f>
        <v/>
      </c>
      <c r="Z58" s="40">
        <f>$B58/64</f>
        <v/>
      </c>
      <c r="AA58" s="40">
        <f>$B58/64</f>
        <v/>
      </c>
      <c r="AB58" s="40">
        <f>$B58/64</f>
        <v/>
      </c>
      <c r="AC58" s="40">
        <f>$B58/64</f>
        <v/>
      </c>
      <c r="AD58" s="40">
        <f>$B58/64</f>
        <v/>
      </c>
      <c r="AE58" s="40">
        <f>$B58/64</f>
        <v/>
      </c>
      <c r="AF58" s="40">
        <f>$B58/64</f>
        <v/>
      </c>
      <c r="AG58" s="40">
        <f>$B58/64</f>
        <v/>
      </c>
      <c r="AH58" s="40">
        <f>$B58/64</f>
        <v/>
      </c>
      <c r="AI58" s="40">
        <f>$B58/64</f>
        <v/>
      </c>
      <c r="AJ58" s="40">
        <f>$B58/64</f>
        <v/>
      </c>
      <c r="AK58" s="40">
        <f>$B58/64</f>
        <v/>
      </c>
      <c r="AL58" s="40">
        <f>$B58/64</f>
        <v/>
      </c>
      <c r="AM58" s="40">
        <f>$B58/64</f>
        <v/>
      </c>
      <c r="AN58" s="40">
        <f>$B58/64</f>
        <v/>
      </c>
      <c r="AO58" s="40">
        <f>$B58/64</f>
        <v/>
      </c>
      <c r="AP58" s="40">
        <f>$B58/64</f>
        <v/>
      </c>
      <c r="AQ58" s="40">
        <f>$B58/64</f>
        <v/>
      </c>
      <c r="AR58" s="40">
        <f>$B58/64</f>
        <v/>
      </c>
      <c r="AS58" s="40">
        <f>$B58/64</f>
        <v/>
      </c>
      <c r="AT58" s="40">
        <f>$B58/64</f>
        <v/>
      </c>
      <c r="AU58" s="40">
        <f>$B58/64</f>
        <v/>
      </c>
      <c r="AV58" s="40">
        <f>$B58/64</f>
        <v/>
      </c>
      <c r="AW58" s="40">
        <f>$B58/64</f>
        <v/>
      </c>
      <c r="AX58" s="40">
        <f>$B58/64</f>
        <v/>
      </c>
      <c r="AY58" s="40">
        <f>$B58/64</f>
        <v/>
      </c>
      <c r="AZ58" s="40">
        <f>$B58/64</f>
        <v/>
      </c>
      <c r="BA58" s="40">
        <f>$B58/64</f>
        <v/>
      </c>
      <c r="BB58" s="40">
        <f>$B58/64</f>
        <v/>
      </c>
      <c r="BC58" s="40">
        <f>$B58/64</f>
        <v/>
      </c>
      <c r="BD58" s="40">
        <f>$B58/64</f>
        <v/>
      </c>
      <c r="BE58" s="40">
        <f>$B58/64</f>
        <v/>
      </c>
      <c r="BF58" s="40">
        <f>$B58/64</f>
        <v/>
      </c>
      <c r="BG58" s="40">
        <f>$B58/64</f>
        <v/>
      </c>
      <c r="BH58" s="40">
        <f>$B58/64</f>
        <v/>
      </c>
      <c r="BI58" s="40">
        <f>$B58/64</f>
        <v/>
      </c>
      <c r="BJ58" s="40">
        <f>$B58/64</f>
        <v/>
      </c>
      <c r="BK58" s="40">
        <f>$B58/64</f>
        <v/>
      </c>
      <c r="BL58" s="40">
        <f>$B58/64</f>
        <v/>
      </c>
      <c r="BM58" s="40">
        <f>$B58/64</f>
        <v/>
      </c>
      <c r="BN58" s="40">
        <f>$B58/64</f>
        <v/>
      </c>
    </row>
    <row r="59">
      <c r="A59" s="46" t="inlineStr">
        <is>
          <t>9,7,8,11 series terrace pipe repairs</t>
        </is>
      </c>
      <c r="B59" s="46" t="n">
        <v>0</v>
      </c>
      <c r="C59" s="40">
        <f>$B59/64</f>
        <v/>
      </c>
      <c r="D59" s="40">
        <f>$B59/64</f>
        <v/>
      </c>
      <c r="E59" s="40">
        <f>$B59/64</f>
        <v/>
      </c>
      <c r="F59" s="40">
        <f>$B59/64</f>
        <v/>
      </c>
      <c r="G59" s="40">
        <f>$B59/64</f>
        <v/>
      </c>
      <c r="H59" s="40">
        <f>$B59/64</f>
        <v/>
      </c>
      <c r="I59" s="40">
        <f>$B59/64</f>
        <v/>
      </c>
      <c r="J59" s="40">
        <f>$B59/64</f>
        <v/>
      </c>
      <c r="K59" s="40">
        <f>$B59/64</f>
        <v/>
      </c>
      <c r="L59" s="40">
        <f>$B59/64</f>
        <v/>
      </c>
      <c r="M59" s="40">
        <f>$B59/64</f>
        <v/>
      </c>
      <c r="N59" s="40">
        <f>$B59/64</f>
        <v/>
      </c>
      <c r="O59" s="40">
        <f>$B59/64</f>
        <v/>
      </c>
      <c r="P59" s="40">
        <f>$B59/64</f>
        <v/>
      </c>
      <c r="Q59" s="40">
        <f>$B59/64</f>
        <v/>
      </c>
      <c r="R59" s="40">
        <f>$B59/64</f>
        <v/>
      </c>
      <c r="S59" s="40">
        <f>$B59/64</f>
        <v/>
      </c>
      <c r="T59" s="40">
        <f>$B59/64</f>
        <v/>
      </c>
      <c r="U59" s="40">
        <f>$B59/64</f>
        <v/>
      </c>
      <c r="V59" s="40">
        <f>$B59/64</f>
        <v/>
      </c>
      <c r="W59" s="40">
        <f>$B59/64</f>
        <v/>
      </c>
      <c r="X59" s="40">
        <f>$B59/64</f>
        <v/>
      </c>
      <c r="Y59" s="40">
        <f>$B59/64</f>
        <v/>
      </c>
      <c r="Z59" s="40">
        <f>$B59/64</f>
        <v/>
      </c>
      <c r="AA59" s="40">
        <f>$B59/64</f>
        <v/>
      </c>
      <c r="AB59" s="40">
        <f>$B59/64</f>
        <v/>
      </c>
      <c r="AC59" s="40">
        <f>$B59/64</f>
        <v/>
      </c>
      <c r="AD59" s="40">
        <f>$B59/64</f>
        <v/>
      </c>
      <c r="AE59" s="40">
        <f>$B59/64</f>
        <v/>
      </c>
      <c r="AF59" s="40">
        <f>$B59/64</f>
        <v/>
      </c>
      <c r="AG59" s="40">
        <f>$B59/64</f>
        <v/>
      </c>
      <c r="AH59" s="40">
        <f>$B59/64</f>
        <v/>
      </c>
      <c r="AI59" s="40">
        <f>$B59/64</f>
        <v/>
      </c>
      <c r="AJ59" s="40">
        <f>$B59/64</f>
        <v/>
      </c>
      <c r="AK59" s="40">
        <f>$B59/64</f>
        <v/>
      </c>
      <c r="AL59" s="40">
        <f>$B59/64</f>
        <v/>
      </c>
      <c r="AM59" s="40">
        <f>$B59/64</f>
        <v/>
      </c>
      <c r="AN59" s="40">
        <f>$B59/64</f>
        <v/>
      </c>
      <c r="AO59" s="40">
        <f>$B59/64</f>
        <v/>
      </c>
      <c r="AP59" s="40">
        <f>$B59/64</f>
        <v/>
      </c>
      <c r="AQ59" s="40">
        <f>$B59/64</f>
        <v/>
      </c>
      <c r="AR59" s="40">
        <f>$B59/64</f>
        <v/>
      </c>
      <c r="AS59" s="40">
        <f>$B59/64</f>
        <v/>
      </c>
      <c r="AT59" s="40">
        <f>$B59/64</f>
        <v/>
      </c>
      <c r="AU59" s="40">
        <f>$B59/64</f>
        <v/>
      </c>
      <c r="AV59" s="40">
        <f>$B59/64</f>
        <v/>
      </c>
      <c r="AW59" s="40">
        <f>$B59/64</f>
        <v/>
      </c>
      <c r="AX59" s="40">
        <f>$B59/64</f>
        <v/>
      </c>
      <c r="AY59" s="40">
        <f>$B59/64</f>
        <v/>
      </c>
      <c r="AZ59" s="40">
        <f>$B59/64</f>
        <v/>
      </c>
      <c r="BA59" s="40">
        <f>$B59/64</f>
        <v/>
      </c>
      <c r="BB59" s="40">
        <f>$B59/64</f>
        <v/>
      </c>
      <c r="BC59" s="40">
        <f>$B59/64</f>
        <v/>
      </c>
      <c r="BD59" s="40">
        <f>$B59/64</f>
        <v/>
      </c>
      <c r="BE59" s="40">
        <f>$B59/64</f>
        <v/>
      </c>
      <c r="BF59" s="40">
        <f>$B59/64</f>
        <v/>
      </c>
      <c r="BG59" s="40">
        <f>$B59/64</f>
        <v/>
      </c>
      <c r="BH59" s="40">
        <f>$B59/64</f>
        <v/>
      </c>
      <c r="BI59" s="40">
        <f>$B59/64</f>
        <v/>
      </c>
      <c r="BJ59" s="40">
        <f>$B59/64</f>
        <v/>
      </c>
      <c r="BK59" s="40">
        <f>$B59/64</f>
        <v/>
      </c>
      <c r="BL59" s="40">
        <f>$B59/64</f>
        <v/>
      </c>
      <c r="BM59" s="40">
        <f>$B59/64</f>
        <v/>
      </c>
      <c r="BN59" s="40">
        <f>$B59/64</f>
        <v/>
      </c>
    </row>
    <row r="60">
      <c r="A60" s="46" t="inlineStr">
        <is>
          <t>Speed Breaker near the gate</t>
        </is>
      </c>
      <c r="B60" s="46" t="n">
        <v>0</v>
      </c>
      <c r="C60" s="40">
        <f>$B60/64</f>
        <v/>
      </c>
      <c r="D60" s="40">
        <f>$B60/64</f>
        <v/>
      </c>
      <c r="E60" s="40">
        <f>$B60/64</f>
        <v/>
      </c>
      <c r="F60" s="40">
        <f>$B60/64</f>
        <v/>
      </c>
      <c r="G60" s="40">
        <f>$B60/64</f>
        <v/>
      </c>
      <c r="H60" s="40">
        <f>$B60/64</f>
        <v/>
      </c>
      <c r="I60" s="40">
        <f>$B60/64</f>
        <v/>
      </c>
      <c r="J60" s="40">
        <f>$B60/64</f>
        <v/>
      </c>
      <c r="K60" s="40">
        <f>$B60/64</f>
        <v/>
      </c>
      <c r="L60" s="40">
        <f>$B60/64</f>
        <v/>
      </c>
      <c r="M60" s="40">
        <f>$B60/64</f>
        <v/>
      </c>
      <c r="N60" s="40">
        <f>$B60/64</f>
        <v/>
      </c>
      <c r="O60" s="40">
        <f>$B60/64</f>
        <v/>
      </c>
      <c r="P60" s="40">
        <f>$B60/64</f>
        <v/>
      </c>
      <c r="Q60" s="40">
        <f>$B60/64</f>
        <v/>
      </c>
      <c r="R60" s="40">
        <f>$B60/64</f>
        <v/>
      </c>
      <c r="S60" s="40">
        <f>$B60/64</f>
        <v/>
      </c>
      <c r="T60" s="40">
        <f>$B60/64</f>
        <v/>
      </c>
      <c r="U60" s="40">
        <f>$B60/64</f>
        <v/>
      </c>
      <c r="V60" s="40">
        <f>$B60/64</f>
        <v/>
      </c>
      <c r="W60" s="40">
        <f>$B60/64</f>
        <v/>
      </c>
      <c r="X60" s="40">
        <f>$B60/64</f>
        <v/>
      </c>
      <c r="Y60" s="40">
        <f>$B60/64</f>
        <v/>
      </c>
      <c r="Z60" s="40">
        <f>$B60/64</f>
        <v/>
      </c>
      <c r="AA60" s="40">
        <f>$B60/64</f>
        <v/>
      </c>
      <c r="AB60" s="40">
        <f>$B60/64</f>
        <v/>
      </c>
      <c r="AC60" s="40">
        <f>$B60/64</f>
        <v/>
      </c>
      <c r="AD60" s="40">
        <f>$B60/64</f>
        <v/>
      </c>
      <c r="AE60" s="40">
        <f>$B60/64</f>
        <v/>
      </c>
      <c r="AF60" s="40">
        <f>$B60/64</f>
        <v/>
      </c>
      <c r="AG60" s="40">
        <f>$B60/64</f>
        <v/>
      </c>
      <c r="AH60" s="40">
        <f>$B60/64</f>
        <v/>
      </c>
      <c r="AI60" s="40">
        <f>$B60/64</f>
        <v/>
      </c>
      <c r="AJ60" s="40">
        <f>$B60/64</f>
        <v/>
      </c>
      <c r="AK60" s="40">
        <f>$B60/64</f>
        <v/>
      </c>
      <c r="AL60" s="40">
        <f>$B60/64</f>
        <v/>
      </c>
      <c r="AM60" s="40">
        <f>$B60/64</f>
        <v/>
      </c>
      <c r="AN60" s="40">
        <f>$B60/64</f>
        <v/>
      </c>
      <c r="AO60" s="40">
        <f>$B60/64</f>
        <v/>
      </c>
      <c r="AP60" s="40">
        <f>$B60/64</f>
        <v/>
      </c>
      <c r="AQ60" s="40">
        <f>$B60/64</f>
        <v/>
      </c>
      <c r="AR60" s="40">
        <f>$B60/64</f>
        <v/>
      </c>
      <c r="AS60" s="40">
        <f>$B60/64</f>
        <v/>
      </c>
      <c r="AT60" s="40">
        <f>$B60/64</f>
        <v/>
      </c>
      <c r="AU60" s="40">
        <f>$B60/64</f>
        <v/>
      </c>
      <c r="AV60" s="40">
        <f>$B60/64</f>
        <v/>
      </c>
      <c r="AW60" s="40">
        <f>$B60/64</f>
        <v/>
      </c>
      <c r="AX60" s="40">
        <f>$B60/64</f>
        <v/>
      </c>
      <c r="AY60" s="40">
        <f>$B60/64</f>
        <v/>
      </c>
      <c r="AZ60" s="40">
        <f>$B60/64</f>
        <v/>
      </c>
      <c r="BA60" s="40">
        <f>$B60/64</f>
        <v/>
      </c>
      <c r="BB60" s="40">
        <f>$B60/64</f>
        <v/>
      </c>
      <c r="BC60" s="40">
        <f>$B60/64</f>
        <v/>
      </c>
      <c r="BD60" s="40">
        <f>$B60/64</f>
        <v/>
      </c>
      <c r="BE60" s="40">
        <f>$B60/64</f>
        <v/>
      </c>
      <c r="BF60" s="40">
        <f>$B60/64</f>
        <v/>
      </c>
      <c r="BG60" s="40">
        <f>$B60/64</f>
        <v/>
      </c>
      <c r="BH60" s="40">
        <f>$B60/64</f>
        <v/>
      </c>
      <c r="BI60" s="40">
        <f>$B60/64</f>
        <v/>
      </c>
      <c r="BJ60" s="40">
        <f>$B60/64</f>
        <v/>
      </c>
      <c r="BK60" s="40">
        <f>$B60/64</f>
        <v/>
      </c>
      <c r="BL60" s="40">
        <f>$B60/64</f>
        <v/>
      </c>
      <c r="BM60" s="40">
        <f>$B60/64</f>
        <v/>
      </c>
      <c r="BN60" s="40">
        <f>$B60/64</f>
        <v/>
      </c>
    </row>
    <row r="61">
      <c r="A61" s="93" t="inlineStr">
        <is>
          <t>Gym Equipment Repairs</t>
        </is>
      </c>
      <c r="B61" s="94" t="n">
        <v>0</v>
      </c>
      <c r="C61" s="95">
        <f>SUM(C6,C13:C60)</f>
        <v/>
      </c>
      <c r="D61" s="95">
        <f>SUM(D6,D13:D60)</f>
        <v/>
      </c>
      <c r="E61" s="95">
        <f>SUM(E6,E13:E60)</f>
        <v/>
      </c>
      <c r="F61" s="95">
        <f>SUM(F6,F13:F60)</f>
        <v/>
      </c>
      <c r="G61" s="95">
        <f>SUM(G6,G13:G60)</f>
        <v/>
      </c>
      <c r="H61" s="95">
        <f>SUM(H6,H13:H60)</f>
        <v/>
      </c>
      <c r="I61" s="95">
        <f>SUM(I6,I13:I60)</f>
        <v/>
      </c>
      <c r="J61" s="95">
        <f>SUM(J6,J13:J60)</f>
        <v/>
      </c>
      <c r="K61" s="95">
        <f>SUM(K6,K13:K60)</f>
        <v/>
      </c>
      <c r="L61" s="95">
        <f>SUM(L6,L13:L60)</f>
        <v/>
      </c>
      <c r="M61" s="95">
        <f>SUM(M6,M13:M60)</f>
        <v/>
      </c>
      <c r="N61" s="95">
        <f>SUM(N6,N13:N60)</f>
        <v/>
      </c>
      <c r="O61" s="95">
        <f>SUM(O6,O13:O60)</f>
        <v/>
      </c>
      <c r="P61" s="95">
        <f>SUM(P6,P13:P60)</f>
        <v/>
      </c>
      <c r="Q61" s="95">
        <f>SUM(Q6,Q13:Q60)</f>
        <v/>
      </c>
      <c r="R61" s="95">
        <f>SUM(R6,R13:R60)</f>
        <v/>
      </c>
      <c r="S61" s="95">
        <f>SUM(S6,S13:S60)</f>
        <v/>
      </c>
      <c r="T61" s="95">
        <f>SUM(T6,T13:T60)</f>
        <v/>
      </c>
      <c r="U61" s="95">
        <f>SUM(U6,U13:U60)</f>
        <v/>
      </c>
      <c r="V61" s="95">
        <f>SUM(V6,V13:V60)</f>
        <v/>
      </c>
      <c r="W61" s="95">
        <f>SUM(W6,W13:W60)</f>
        <v/>
      </c>
      <c r="X61" s="95">
        <f>SUM(X6,X13:X60)</f>
        <v/>
      </c>
      <c r="Y61" s="95">
        <f>SUM(Y6,Y13:Y60)</f>
        <v/>
      </c>
      <c r="Z61" s="95">
        <f>SUM(Z6,Z13:Z60)</f>
        <v/>
      </c>
      <c r="AA61" s="95">
        <f>SUM(AA6,AA13:AA60)</f>
        <v/>
      </c>
      <c r="AB61" s="95">
        <f>SUM(AB6,AB13:AB60)</f>
        <v/>
      </c>
      <c r="AC61" s="95">
        <f>SUM(AC6,AC13:AC60)</f>
        <v/>
      </c>
      <c r="AD61" s="95">
        <f>SUM(AD6,AD13:AD60)</f>
        <v/>
      </c>
      <c r="AE61" s="95">
        <f>SUM(AE6,AE13:AE60)</f>
        <v/>
      </c>
      <c r="AF61" s="95">
        <f>SUM(AF6,AF13:AF60)</f>
        <v/>
      </c>
      <c r="AG61" s="95">
        <f>SUM(AG6,AG13:AG60)</f>
        <v/>
      </c>
      <c r="AH61" s="95">
        <f>SUM(AH6,AH13:AH60)</f>
        <v/>
      </c>
      <c r="AI61" s="95">
        <f>SUM(AI6,AI13:AI60)</f>
        <v/>
      </c>
      <c r="AJ61" s="95">
        <f>SUM(AJ6,AJ13:AJ60)</f>
        <v/>
      </c>
      <c r="AK61" s="95">
        <f>SUM(AK6,AK13:AK60)</f>
        <v/>
      </c>
      <c r="AL61" s="95">
        <f>SUM(AL6,AL13:AL60)</f>
        <v/>
      </c>
      <c r="AM61" s="95">
        <f>SUM(AM6,AM13:AM60)</f>
        <v/>
      </c>
      <c r="AN61" s="95">
        <f>SUM(AN6,AN13:AN60)</f>
        <v/>
      </c>
      <c r="AO61" s="95">
        <f>SUM(AO6,AO13:AO60)</f>
        <v/>
      </c>
      <c r="AP61" s="95">
        <f>SUM(AP6,AP13:AP60)</f>
        <v/>
      </c>
      <c r="AQ61" s="95">
        <f>SUM(AQ6,AQ13:AQ60)</f>
        <v/>
      </c>
      <c r="AR61" s="95">
        <f>SUM(AR6,AR13:AR60)</f>
        <v/>
      </c>
      <c r="AS61" s="95">
        <f>SUM(AS6,AS13:AS60)</f>
        <v/>
      </c>
      <c r="AT61" s="95">
        <f>SUM(AT6,AT13:AT60)</f>
        <v/>
      </c>
      <c r="AU61" s="95">
        <f>SUM(AU6,AU13:AU60)</f>
        <v/>
      </c>
      <c r="AV61" s="95">
        <f>SUM(AV6,AV13:AV60)</f>
        <v/>
      </c>
      <c r="AW61" s="95">
        <f>SUM(AW6,AW13:AW60)</f>
        <v/>
      </c>
      <c r="AX61" s="95">
        <f>SUM(AX6,AX13:AX60)</f>
        <v/>
      </c>
      <c r="AY61" s="95">
        <f>SUM(AY6,AY13:AY60)</f>
        <v/>
      </c>
      <c r="AZ61" s="95">
        <f>SUM(AZ6,AZ13:AZ60)</f>
        <v/>
      </c>
      <c r="BA61" s="95">
        <f>SUM(BA6,BA13:BA60)</f>
        <v/>
      </c>
      <c r="BB61" s="95">
        <f>SUM(BB6,BB13:BB60)</f>
        <v/>
      </c>
      <c r="BC61" s="95">
        <f>SUM(BC6,BC13:BC60)</f>
        <v/>
      </c>
      <c r="BD61" s="95">
        <f>SUM(BD6,BD13:BD60)</f>
        <v/>
      </c>
      <c r="BE61" s="95">
        <f>SUM(BE6,BE13:BE60)</f>
        <v/>
      </c>
      <c r="BF61" s="95">
        <f>SUM(BF6,BF13:BF60)</f>
        <v/>
      </c>
      <c r="BG61" s="95">
        <f>SUM(BG6,BG13:BG60)</f>
        <v/>
      </c>
      <c r="BH61" s="95">
        <f>SUM(BH6,BH13:BH60)</f>
        <v/>
      </c>
      <c r="BI61" s="95">
        <f>SUM(BI6,BI13:BI60)</f>
        <v/>
      </c>
      <c r="BJ61" s="95">
        <f>SUM(BJ6,BJ13:BJ60)</f>
        <v/>
      </c>
      <c r="BK61" s="95">
        <f>SUM(BK6,BK13:BK60)</f>
        <v/>
      </c>
      <c r="BL61" s="95">
        <f>SUM(BL6,BL13:BL60)</f>
        <v/>
      </c>
      <c r="BM61" s="95">
        <f>SUM(BM6,BM13:BM60)</f>
        <v/>
      </c>
      <c r="BN61" s="95">
        <f>SUM(BN6,BN13:BN60)</f>
        <v/>
      </c>
    </row>
    <row r="62">
      <c r="A62" s="46" t="inlineStr">
        <is>
          <t>Additional Waste Disposal</t>
        </is>
      </c>
      <c r="B62" s="46" t="n">
        <v>0</v>
      </c>
    </row>
    <row r="63">
      <c r="A63" s="46" t="inlineStr">
        <is>
          <t>Swimming Pool Cleaning</t>
        </is>
      </c>
      <c r="B63" s="46" t="n">
        <v>0</v>
      </c>
    </row>
    <row r="64">
      <c r="A64" s="46" t="inlineStr">
        <is>
          <t>HOUSE KEEPING MATERIALS</t>
        </is>
      </c>
      <c r="B64" s="46" t="n">
        <v>0</v>
      </c>
    </row>
  </sheetData>
  <autoFilter ref="A1:BN61">
    <filterColumn colId="2" hiddenButton="0" showButton="1">
      <filters>
        <filter val="0.98%"/>
        <filter val="103.125"/>
        <filter val="109.375"/>
        <filter val="140.625"/>
        <filter val="156.25"/>
        <filter val="2360"/>
        <filter val="25"/>
        <filter val="353.43"/>
        <filter val="4,320.91"/>
        <filter val="452.8125"/>
        <filter val="458.734375"/>
        <filter val="46.875"/>
        <filter val="468.75"/>
        <filter val="5,496.71"/>
        <filter val="5.52"/>
        <filter val="51.5625"/>
        <filter val="748.61"/>
        <filter val="78.125"/>
        <filter val="93.75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I66"/>
  <sheetViews>
    <sheetView workbookViewId="0">
      <selection activeCell="A1" sqref="A1"/>
    </sheetView>
  </sheetViews>
  <sheetFormatPr baseColWidth="10" defaultColWidth="14.5" defaultRowHeight="15" customHeight="1"/>
  <cols>
    <col width="24.33203125" customWidth="1" style="251" min="2" max="2"/>
    <col width="30.83203125" customWidth="1" style="251" min="3" max="3"/>
    <col width="16" customWidth="1" style="251" min="4" max="4"/>
    <col width="32.6640625" customWidth="1" style="251" min="5" max="5"/>
    <col width="24.5" customWidth="1" style="251" min="6" max="6"/>
    <col width="18.5" customWidth="1" style="251" min="7" max="7"/>
    <col width="20.5" customWidth="1" style="251" min="8" max="8"/>
    <col width="20.33203125" customWidth="1" style="251" min="9" max="9"/>
    <col width="13.5" customWidth="1" style="251" min="10" max="10"/>
    <col width="16.1640625" customWidth="1" style="251" min="11" max="11"/>
    <col width="20.5" customWidth="1" style="251" min="12" max="12"/>
    <col width="17.5" customWidth="1" style="251" min="13" max="13"/>
    <col width="14.33203125" customWidth="1" style="251" min="14" max="14"/>
    <col width="10.5" customWidth="1" style="251" min="15" max="15"/>
    <col width="15.5" customWidth="1" style="251" min="16" max="16"/>
    <col width="17.1640625" customWidth="1" style="251" min="17" max="17"/>
    <col width="17.5" customWidth="1" style="251" min="18" max="18"/>
    <col width="18.5" customWidth="1" style="251" min="19" max="19"/>
    <col width="11.5" customWidth="1" style="251" min="20" max="20"/>
    <col width="23.1640625" customWidth="1" style="251" min="21" max="21"/>
    <col width="14.1640625" customWidth="1" style="251" min="22" max="22"/>
    <col width="19.5" customWidth="1" style="251" min="23" max="23"/>
    <col width="20.5" customWidth="1" style="251" min="24" max="24"/>
    <col width="25.1640625" customWidth="1" style="251" min="59" max="60"/>
  </cols>
  <sheetData>
    <row r="1">
      <c r="A1" s="40">
        <f t="array" ref="A1:BI66">TRANSPOSE('July2026-EXPENSE-Flatwise'!A1:BN61)</f>
        <v/>
      </c>
      <c r="B1" s="40" t="inlineStr">
        <is>
          <t>Water consumption (Litres)</t>
        </is>
      </c>
      <c r="C1" s="40" t="inlineStr">
        <is>
          <t>Water consumption (%age of total)</t>
        </is>
      </c>
      <c r="D1" s="40" t="inlineStr">
        <is>
          <t>Water meter rent</t>
        </is>
      </c>
      <c r="E1" s="40" t="inlineStr">
        <is>
          <t>Common meter rent (eq. distributed)</t>
        </is>
      </c>
      <c r="F1" s="40" t="inlineStr">
        <is>
          <t>Total water related expense</t>
        </is>
      </c>
      <c r="G1" s="40" t="inlineStr">
        <is>
          <t>Society Parking Rent</t>
        </is>
      </c>
      <c r="H1" s="40" t="inlineStr">
        <is>
          <t>Clubhouse booking fee</t>
        </is>
      </c>
      <c r="I1" s="40" t="inlineStr">
        <is>
          <t>Moving in/out charges</t>
        </is>
      </c>
      <c r="J1" s="40" t="inlineStr">
        <is>
          <t>Gym usage fee</t>
        </is>
      </c>
      <c r="K1" s="46" t="inlineStr">
        <is>
          <t>DRINKING WATER
SLN WATER SUP</t>
        </is>
      </c>
      <c r="L1" s="46" t="inlineStr">
        <is>
          <t>STP SLUDGE CLEANING
BALAJI</t>
        </is>
      </c>
      <c r="M1" s="46" t="inlineStr">
        <is>
          <t>STP MAINTENANCE</t>
        </is>
      </c>
      <c r="N1" s="46" t="inlineStr">
        <is>
          <t>STP MATERIALS</t>
        </is>
      </c>
      <c r="O1" s="46" t="inlineStr">
        <is>
          <t>STP REPAIR</t>
        </is>
      </c>
      <c r="P1" s="46" t="inlineStr">
        <is>
          <t xml:space="preserve">COMMON 
ELECTRICITY BILL
</t>
        </is>
      </c>
      <c r="Q1" s="46" t="inlineStr">
        <is>
          <t>BECOM Service tax</t>
        </is>
      </c>
      <c r="R1" s="46" t="inlineStr">
        <is>
          <t>SECURITY SERVICES</t>
        </is>
      </c>
      <c r="S1" s="46" t="inlineStr">
        <is>
          <t>GARBAGE REMOVAL</t>
        </is>
      </c>
      <c r="T1" s="46" t="inlineStr">
        <is>
          <t>PETTY CASH</t>
        </is>
      </c>
      <c r="U1" s="46" t="inlineStr">
        <is>
          <t>ELEVATOR MAINTENANCE</t>
        </is>
      </c>
      <c r="V1" s="46" t="inlineStr">
        <is>
          <t>MOTOR REPAIR</t>
        </is>
      </c>
      <c r="W1" s="46" t="inlineStr">
        <is>
          <t>PLUMBING MATERIAL</t>
        </is>
      </c>
      <c r="X1" s="46" t="inlineStr">
        <is>
          <t>ELECTRICITY MATERIAL</t>
        </is>
      </c>
      <c r="Y1" s="46" t="inlineStr">
        <is>
          <t>ELECTRICITY MATERIAL</t>
        </is>
      </c>
      <c r="Z1" s="46" t="inlineStr">
        <is>
          <t>TRANSFORMER REPAIR</t>
        </is>
      </c>
      <c r="AA1" s="46" t="inlineStr">
        <is>
          <t>GENERATOR MAINTENANCE
EPITOME</t>
        </is>
      </c>
      <c r="AB1" s="46" t="inlineStr">
        <is>
          <t>GARDENING</t>
        </is>
      </c>
      <c r="AC1" s="46" t="inlineStr">
        <is>
          <t>PLUMBER WAGE</t>
        </is>
      </c>
      <c r="AD1" s="46" t="inlineStr">
        <is>
          <t>ELECTRICIAN WAGE</t>
        </is>
      </c>
      <c r="AE1" s="46" t="inlineStr">
        <is>
          <t>MANAGER WAGE</t>
        </is>
      </c>
      <c r="AF1" s="46" t="inlineStr">
        <is>
          <t>TANK AND SUMP CLEANING</t>
        </is>
      </c>
      <c r="AG1" s="46" t="inlineStr">
        <is>
          <t>SECURITY WATER EXPENSES GREENMART</t>
        </is>
      </c>
      <c r="AH1" s="46" t="inlineStr">
        <is>
          <t>SWIMMING POOL MOTOR REPAIR</t>
        </is>
      </c>
      <c r="AI1" s="46" t="inlineStr">
        <is>
          <t>CCTV REPAIR</t>
        </is>
      </c>
      <c r="AJ1" s="46" t="inlineStr">
        <is>
          <t>CCTV monitor</t>
        </is>
      </c>
      <c r="AK1" s="46" t="inlineStr">
        <is>
          <t xml:space="preserve">WATER PIPE </t>
        </is>
      </c>
      <c r="AL1" s="46" t="inlineStr">
        <is>
          <t>RAILING FOR STAIRCASE</t>
        </is>
      </c>
      <c r="AM1" s="46" t="inlineStr">
        <is>
          <t>Play area sand</t>
        </is>
      </c>
      <c r="AN1" s="46" t="inlineStr">
        <is>
          <t>BARBED WIRE REPAIR</t>
        </is>
      </c>
      <c r="AO1" s="46" t="inlineStr">
        <is>
          <t>DRIED LEAVES REMOVAL</t>
        </is>
      </c>
      <c r="AP1" s="46" t="inlineStr">
        <is>
          <t>DRAIN CLEANING</t>
        </is>
      </c>
      <c r="AQ1" s="46" t="inlineStr">
        <is>
          <t>Security room &amp; Play area painting</t>
        </is>
      </c>
      <c r="AR1" s="46" t="inlineStr">
        <is>
          <t>Play area sand removal &amp; cracks filling</t>
        </is>
      </c>
      <c r="AS1" s="46" t="inlineStr">
        <is>
          <t>Front garden cleaning and red soil filling</t>
        </is>
      </c>
      <c r="AT1" s="46" t="inlineStr">
        <is>
          <t>Landscaping work for STP water disposal</t>
        </is>
      </c>
      <c r="AU1" s="46" t="inlineStr">
        <is>
          <t>ACCOUNTING</t>
        </is>
      </c>
      <c r="AV1" s="46" t="inlineStr">
        <is>
          <t>Lift Painting</t>
        </is>
      </c>
      <c r="AW1" s="46" t="inlineStr">
        <is>
          <t>Lift wiring sepration</t>
        </is>
      </c>
      <c r="AX1" s="46" t="inlineStr">
        <is>
          <t>Earthing repair</t>
        </is>
      </c>
      <c r="AY1" s="46" t="inlineStr">
        <is>
          <t>Pest Control</t>
        </is>
      </c>
      <c r="AZ1" s="46" t="inlineStr">
        <is>
          <t>Freshwater pipe repair</t>
        </is>
      </c>
      <c r="BA1" s="46" t="inlineStr">
        <is>
          <t>NBH device replacement</t>
        </is>
      </c>
      <c r="BB1" s="46" t="inlineStr">
        <is>
          <t>NBH VMS</t>
        </is>
      </c>
      <c r="BC1" s="46" t="inlineStr">
        <is>
          <t>REPAIRS</t>
        </is>
      </c>
      <c r="BD1" s="46" t="inlineStr">
        <is>
          <t>Cricket Net</t>
        </is>
      </c>
      <c r="BE1" s="46" t="inlineStr">
        <is>
          <t>LOOK AHEAD EXPENSE</t>
        </is>
      </c>
      <c r="BF1" s="46" t="inlineStr">
        <is>
          <t>Rear bondary cleaning</t>
        </is>
      </c>
      <c r="BG1" s="46" t="inlineStr">
        <is>
          <t>9,7,8,11 series terrace pipe repairs</t>
        </is>
      </c>
      <c r="BH1" s="46" t="inlineStr">
        <is>
          <t>Speed Breaker near the gate</t>
        </is>
      </c>
      <c r="BI1" s="46" t="inlineStr">
        <is>
          <t>Gym Equipment Repairs</t>
        </is>
      </c>
    </row>
    <row r="2">
      <c r="A2" s="40" t="n">
        <v>0</v>
      </c>
      <c r="B2" s="40" t="n">
        <v>0</v>
      </c>
      <c r="C2" s="40" t="n">
        <v>0</v>
      </c>
      <c r="D2" s="40" t="n">
        <v>0</v>
      </c>
      <c r="E2" s="40" t="n">
        <v>0</v>
      </c>
      <c r="F2" s="40" t="n">
        <v>0</v>
      </c>
      <c r="G2" s="40" t="n">
        <v>0</v>
      </c>
      <c r="H2" s="40" t="n">
        <v>0</v>
      </c>
      <c r="I2" s="40" t="n">
        <v>0</v>
      </c>
      <c r="J2" s="40" t="n">
        <v>0</v>
      </c>
      <c r="K2" s="46" t="n">
        <v>0</v>
      </c>
      <c r="L2" s="46" t="n">
        <v>0</v>
      </c>
      <c r="M2" s="46" t="n">
        <v>0</v>
      </c>
      <c r="N2" s="46" t="n">
        <v>0</v>
      </c>
      <c r="O2" s="46" t="n">
        <v>0</v>
      </c>
      <c r="P2" s="46" t="n">
        <v>0</v>
      </c>
      <c r="Q2" s="46" t="n">
        <v>0</v>
      </c>
      <c r="R2" s="46" t="n">
        <v>0</v>
      </c>
      <c r="S2" s="46" t="n">
        <v>0</v>
      </c>
      <c r="T2" s="46" t="n">
        <v>0</v>
      </c>
      <c r="U2" s="46" t="n">
        <v>0</v>
      </c>
      <c r="V2" s="46" t="n">
        <v>0</v>
      </c>
      <c r="W2" s="46" t="n">
        <v>0</v>
      </c>
      <c r="X2" s="46" t="n">
        <v>0</v>
      </c>
      <c r="Y2" s="46" t="n">
        <v>0</v>
      </c>
      <c r="Z2" s="46" t="n">
        <v>0</v>
      </c>
      <c r="AA2" s="46" t="n">
        <v>0</v>
      </c>
      <c r="AB2" s="46" t="n">
        <v>0</v>
      </c>
      <c r="AC2" s="46" t="n">
        <v>0</v>
      </c>
      <c r="AD2" s="46" t="n">
        <v>0</v>
      </c>
      <c r="AE2" s="46" t="n">
        <v>0</v>
      </c>
      <c r="AF2" s="46" t="n">
        <v>0</v>
      </c>
      <c r="AG2" s="46" t="n">
        <v>0</v>
      </c>
      <c r="AH2" s="46" t="n">
        <v>0</v>
      </c>
      <c r="AI2" s="46" t="n">
        <v>0</v>
      </c>
      <c r="AJ2" s="46" t="n">
        <v>0</v>
      </c>
      <c r="AK2" s="46" t="n">
        <v>0</v>
      </c>
      <c r="AL2" s="46" t="n">
        <v>0</v>
      </c>
      <c r="AM2" s="46" t="n">
        <v>0</v>
      </c>
      <c r="AN2" s="46" t="n">
        <v>0</v>
      </c>
      <c r="AO2" s="46" t="n">
        <v>0</v>
      </c>
      <c r="AP2" s="46" t="n">
        <v>0</v>
      </c>
      <c r="AQ2" s="46" t="n">
        <v>0</v>
      </c>
      <c r="AR2" s="46" t="n">
        <v>0</v>
      </c>
      <c r="AS2" s="46" t="n">
        <v>0</v>
      </c>
      <c r="AT2" s="46" t="n">
        <v>0</v>
      </c>
      <c r="AU2" s="46" t="n">
        <v>0</v>
      </c>
      <c r="AV2" s="46" t="n">
        <v>0</v>
      </c>
      <c r="AW2" s="46" t="n">
        <v>0</v>
      </c>
      <c r="AX2" s="46" t="n">
        <v>0</v>
      </c>
      <c r="AY2" s="46" t="n">
        <v>0</v>
      </c>
      <c r="AZ2" s="46" t="n">
        <v>0</v>
      </c>
      <c r="BA2" s="46" t="n">
        <v>0</v>
      </c>
      <c r="BB2" s="46" t="n">
        <v>0</v>
      </c>
      <c r="BC2" s="46" t="n">
        <v>0</v>
      </c>
      <c r="BD2" s="46" t="n">
        <v>0</v>
      </c>
      <c r="BE2" s="46" t="n">
        <v>0</v>
      </c>
      <c r="BF2" s="46" t="n">
        <v>0</v>
      </c>
      <c r="BG2" s="46" t="n">
        <v>0</v>
      </c>
      <c r="BH2" s="46" t="n">
        <v>0</v>
      </c>
      <c r="BI2" s="40" t="n">
        <v>0</v>
      </c>
    </row>
    <row r="3">
      <c r="A3" s="40" t="inlineStr">
        <is>
          <t>F1</t>
        </is>
      </c>
      <c r="B3" s="46" t="n">
        <v>0</v>
      </c>
      <c r="C3" s="96" t="n">
        <v>0</v>
      </c>
      <c r="D3" s="46" t="n">
        <v>0</v>
      </c>
      <c r="E3" s="46" t="n">
        <v>0</v>
      </c>
      <c r="F3" s="46" t="n">
        <v>0</v>
      </c>
      <c r="G3" s="46" t="n">
        <v>0</v>
      </c>
      <c r="H3" s="46" t="n">
        <v>0</v>
      </c>
      <c r="I3" s="46" t="n">
        <v>0</v>
      </c>
      <c r="J3" s="46" t="n">
        <v>0</v>
      </c>
      <c r="K3" s="40" t="n">
        <v>0</v>
      </c>
      <c r="L3" s="40" t="n">
        <v>0</v>
      </c>
      <c r="M3" s="40" t="n">
        <v>0</v>
      </c>
      <c r="N3" s="40" t="n">
        <v>0</v>
      </c>
      <c r="O3" s="40" t="n">
        <v>0</v>
      </c>
      <c r="P3" s="40" t="n">
        <v>0</v>
      </c>
      <c r="Q3" s="40" t="n">
        <v>0</v>
      </c>
      <c r="R3" s="40" t="n">
        <v>0</v>
      </c>
      <c r="S3" s="40" t="n">
        <v>0</v>
      </c>
      <c r="T3" s="40" t="n">
        <v>0</v>
      </c>
      <c r="U3" s="40" t="n">
        <v>0</v>
      </c>
      <c r="V3" s="40" t="n">
        <v>0</v>
      </c>
      <c r="W3" s="40" t="n">
        <v>0</v>
      </c>
      <c r="X3" s="40" t="n">
        <v>0</v>
      </c>
      <c r="Y3" s="40" t="n">
        <v>0</v>
      </c>
      <c r="Z3" s="40" t="n">
        <v>0</v>
      </c>
      <c r="AA3" s="40" t="n">
        <v>0</v>
      </c>
      <c r="AB3" s="40" t="n">
        <v>0</v>
      </c>
      <c r="AC3" s="40" t="n">
        <v>0</v>
      </c>
      <c r="AD3" s="40" t="n">
        <v>0</v>
      </c>
      <c r="AE3" s="40" t="n">
        <v>0</v>
      </c>
      <c r="AF3" s="40" t="n">
        <v>0</v>
      </c>
      <c r="AG3" s="40" t="n">
        <v>0</v>
      </c>
      <c r="AH3" s="40" t="n">
        <v>0</v>
      </c>
      <c r="AI3" s="40" t="n">
        <v>0</v>
      </c>
      <c r="AJ3" s="40" t="n">
        <v>0</v>
      </c>
      <c r="AK3" s="40" t="n">
        <v>0</v>
      </c>
      <c r="AL3" s="40" t="n">
        <v>0</v>
      </c>
      <c r="AM3" s="40" t="n">
        <v>0</v>
      </c>
      <c r="AN3" s="40" t="n">
        <v>0</v>
      </c>
      <c r="AO3" s="40" t="n">
        <v>0</v>
      </c>
      <c r="AP3" s="40" t="n">
        <v>0</v>
      </c>
      <c r="AQ3" s="40" t="n">
        <v>0</v>
      </c>
      <c r="AR3" s="40" t="n">
        <v>0</v>
      </c>
      <c r="AS3" s="40" t="n">
        <v>0</v>
      </c>
      <c r="AT3" s="40" t="n">
        <v>0</v>
      </c>
      <c r="AU3" s="40" t="n">
        <v>0</v>
      </c>
      <c r="AV3" s="40" t="n">
        <v>0</v>
      </c>
      <c r="AW3" s="40" t="n">
        <v>0</v>
      </c>
      <c r="AX3" s="40" t="n">
        <v>0</v>
      </c>
      <c r="AY3" s="40" t="n">
        <v>0</v>
      </c>
      <c r="AZ3" s="40" t="n">
        <v>0</v>
      </c>
      <c r="BA3" s="40" t="n">
        <v>0</v>
      </c>
      <c r="BB3" s="40" t="n">
        <v>0</v>
      </c>
      <c r="BC3" s="40" t="n">
        <v>0</v>
      </c>
      <c r="BD3" s="40" t="n">
        <v>0</v>
      </c>
      <c r="BE3" s="40" t="n">
        <v>0</v>
      </c>
      <c r="BF3" s="40" t="n">
        <v>0</v>
      </c>
      <c r="BG3" s="40" t="n">
        <v>0</v>
      </c>
      <c r="BH3" s="40" t="n">
        <v>0</v>
      </c>
      <c r="BI3" s="46" t="n">
        <v>0</v>
      </c>
    </row>
    <row r="4">
      <c r="A4" s="40" t="inlineStr">
        <is>
          <t>F2</t>
        </is>
      </c>
      <c r="B4" s="46" t="n">
        <v>0</v>
      </c>
      <c r="C4" s="96" t="n">
        <v>0</v>
      </c>
      <c r="D4" s="46" t="n">
        <v>0</v>
      </c>
      <c r="E4" s="46" t="n">
        <v>0</v>
      </c>
      <c r="F4" s="46" t="n">
        <v>0</v>
      </c>
      <c r="G4" s="46" t="n">
        <v>0</v>
      </c>
      <c r="H4" s="46" t="n">
        <v>0</v>
      </c>
      <c r="I4" s="46" t="n">
        <v>0</v>
      </c>
      <c r="J4" s="46" t="n">
        <v>0</v>
      </c>
      <c r="K4" s="40" t="n">
        <v>0</v>
      </c>
      <c r="L4" s="40" t="n">
        <v>0</v>
      </c>
      <c r="M4" s="40" t="n">
        <v>0</v>
      </c>
      <c r="N4" s="40" t="n">
        <v>0</v>
      </c>
      <c r="O4" s="40" t="n">
        <v>0</v>
      </c>
      <c r="P4" s="40" t="n">
        <v>0</v>
      </c>
      <c r="Q4" s="40" t="n">
        <v>0</v>
      </c>
      <c r="R4" s="40" t="n">
        <v>0</v>
      </c>
      <c r="S4" s="40" t="n">
        <v>0</v>
      </c>
      <c r="T4" s="40" t="n">
        <v>0</v>
      </c>
      <c r="U4" s="40" t="n">
        <v>0</v>
      </c>
      <c r="V4" s="40" t="n">
        <v>0</v>
      </c>
      <c r="W4" s="40" t="n">
        <v>0</v>
      </c>
      <c r="X4" s="40" t="n">
        <v>0</v>
      </c>
      <c r="Y4" s="40" t="n">
        <v>0</v>
      </c>
      <c r="Z4" s="40" t="n">
        <v>0</v>
      </c>
      <c r="AA4" s="40" t="n">
        <v>0</v>
      </c>
      <c r="AB4" s="40" t="n">
        <v>0</v>
      </c>
      <c r="AC4" s="40" t="n">
        <v>0</v>
      </c>
      <c r="AD4" s="40" t="n">
        <v>0</v>
      </c>
      <c r="AE4" s="40" t="n">
        <v>0</v>
      </c>
      <c r="AF4" s="40" t="n">
        <v>0</v>
      </c>
      <c r="AG4" s="40" t="n">
        <v>0</v>
      </c>
      <c r="AH4" s="40" t="n">
        <v>0</v>
      </c>
      <c r="AI4" s="40" t="n">
        <v>0</v>
      </c>
      <c r="AJ4" s="40" t="n">
        <v>0</v>
      </c>
      <c r="AK4" s="40" t="n">
        <v>0</v>
      </c>
      <c r="AL4" s="40" t="n">
        <v>0</v>
      </c>
      <c r="AM4" s="40" t="n">
        <v>0</v>
      </c>
      <c r="AN4" s="40" t="n">
        <v>0</v>
      </c>
      <c r="AO4" s="40" t="n">
        <v>0</v>
      </c>
      <c r="AP4" s="40" t="n">
        <v>0</v>
      </c>
      <c r="AQ4" s="40" t="n">
        <v>0</v>
      </c>
      <c r="AR4" s="40" t="n">
        <v>0</v>
      </c>
      <c r="AS4" s="40" t="n">
        <v>0</v>
      </c>
      <c r="AT4" s="40" t="n">
        <v>0</v>
      </c>
      <c r="AU4" s="40" t="n">
        <v>0</v>
      </c>
      <c r="AV4" s="40" t="n">
        <v>0</v>
      </c>
      <c r="AW4" s="40" t="n">
        <v>0</v>
      </c>
      <c r="AX4" s="40" t="n">
        <v>0</v>
      </c>
      <c r="AY4" s="40" t="n">
        <v>0</v>
      </c>
      <c r="AZ4" s="40" t="n">
        <v>0</v>
      </c>
      <c r="BA4" s="40" t="n">
        <v>0</v>
      </c>
      <c r="BB4" s="40" t="n">
        <v>0</v>
      </c>
      <c r="BC4" s="40" t="n">
        <v>0</v>
      </c>
      <c r="BD4" s="40" t="n">
        <v>0</v>
      </c>
      <c r="BE4" s="40" t="n">
        <v>0</v>
      </c>
      <c r="BF4" s="40" t="n">
        <v>0</v>
      </c>
      <c r="BG4" s="40" t="n">
        <v>0</v>
      </c>
      <c r="BH4" s="40" t="n">
        <v>0</v>
      </c>
      <c r="BI4" s="46" t="n">
        <v>0</v>
      </c>
    </row>
    <row r="5">
      <c r="A5" s="40" t="inlineStr">
        <is>
          <t>F3</t>
        </is>
      </c>
      <c r="B5" s="46" t="n">
        <v>0</v>
      </c>
      <c r="C5" s="96" t="n">
        <v>0</v>
      </c>
      <c r="D5" s="46" t="n">
        <v>0</v>
      </c>
      <c r="E5" s="46" t="n">
        <v>0</v>
      </c>
      <c r="F5" s="46" t="n">
        <v>0</v>
      </c>
      <c r="G5" s="46" t="n">
        <v>0</v>
      </c>
      <c r="H5" s="46" t="n">
        <v>0</v>
      </c>
      <c r="I5" s="46" t="n">
        <v>0</v>
      </c>
      <c r="J5" s="46" t="n">
        <v>0</v>
      </c>
      <c r="K5" s="40" t="n">
        <v>0</v>
      </c>
      <c r="L5" s="40" t="n">
        <v>0</v>
      </c>
      <c r="M5" s="40" t="n">
        <v>0</v>
      </c>
      <c r="N5" s="40" t="n">
        <v>0</v>
      </c>
      <c r="O5" s="40" t="n">
        <v>0</v>
      </c>
      <c r="P5" s="40" t="n">
        <v>0</v>
      </c>
      <c r="Q5" s="40" t="n">
        <v>0</v>
      </c>
      <c r="R5" s="40" t="n">
        <v>0</v>
      </c>
      <c r="S5" s="40" t="n">
        <v>0</v>
      </c>
      <c r="T5" s="40" t="n">
        <v>0</v>
      </c>
      <c r="U5" s="40" t="n">
        <v>0</v>
      </c>
      <c r="V5" s="40" t="n">
        <v>0</v>
      </c>
      <c r="W5" s="40" t="n">
        <v>0</v>
      </c>
      <c r="X5" s="40" t="n">
        <v>0</v>
      </c>
      <c r="Y5" s="40" t="n">
        <v>0</v>
      </c>
      <c r="Z5" s="40" t="n">
        <v>0</v>
      </c>
      <c r="AA5" s="40" t="n">
        <v>0</v>
      </c>
      <c r="AB5" s="40" t="n">
        <v>0</v>
      </c>
      <c r="AC5" s="40" t="n">
        <v>0</v>
      </c>
      <c r="AD5" s="40" t="n">
        <v>0</v>
      </c>
      <c r="AE5" s="40" t="n">
        <v>0</v>
      </c>
      <c r="AF5" s="40" t="n">
        <v>0</v>
      </c>
      <c r="AG5" s="40" t="n">
        <v>0</v>
      </c>
      <c r="AH5" s="40" t="n">
        <v>0</v>
      </c>
      <c r="AI5" s="40" t="n">
        <v>0</v>
      </c>
      <c r="AJ5" s="40" t="n">
        <v>0</v>
      </c>
      <c r="AK5" s="40" t="n">
        <v>0</v>
      </c>
      <c r="AL5" s="40" t="n">
        <v>0</v>
      </c>
      <c r="AM5" s="40" t="n">
        <v>0</v>
      </c>
      <c r="AN5" s="40" t="n">
        <v>0</v>
      </c>
      <c r="AO5" s="40" t="n">
        <v>0</v>
      </c>
      <c r="AP5" s="40" t="n">
        <v>0</v>
      </c>
      <c r="AQ5" s="40" t="n">
        <v>0</v>
      </c>
      <c r="AR5" s="40" t="n">
        <v>0</v>
      </c>
      <c r="AS5" s="40" t="n">
        <v>0</v>
      </c>
      <c r="AT5" s="40" t="n">
        <v>0</v>
      </c>
      <c r="AU5" s="40" t="n">
        <v>0</v>
      </c>
      <c r="AV5" s="40" t="n">
        <v>0</v>
      </c>
      <c r="AW5" s="40" t="n">
        <v>0</v>
      </c>
      <c r="AX5" s="40" t="n">
        <v>0</v>
      </c>
      <c r="AY5" s="40" t="n">
        <v>0</v>
      </c>
      <c r="AZ5" s="40" t="n">
        <v>0</v>
      </c>
      <c r="BA5" s="40" t="n">
        <v>0</v>
      </c>
      <c r="BB5" s="40" t="n">
        <v>0</v>
      </c>
      <c r="BC5" s="40" t="n">
        <v>0</v>
      </c>
      <c r="BD5" s="40" t="n">
        <v>0</v>
      </c>
      <c r="BE5" s="40" t="n">
        <v>0</v>
      </c>
      <c r="BF5" s="40" t="n">
        <v>0</v>
      </c>
      <c r="BG5" s="40" t="n">
        <v>0</v>
      </c>
      <c r="BH5" s="40" t="n">
        <v>0</v>
      </c>
      <c r="BI5" s="46" t="n">
        <v>0</v>
      </c>
    </row>
    <row r="6">
      <c r="A6" s="40" t="inlineStr">
        <is>
          <t>F4</t>
        </is>
      </c>
      <c r="B6" s="46" t="n">
        <v>0</v>
      </c>
      <c r="C6" s="96" t="n">
        <v>0</v>
      </c>
      <c r="D6" s="46" t="n">
        <v>0</v>
      </c>
      <c r="E6" s="46" t="n">
        <v>0</v>
      </c>
      <c r="F6" s="46" t="n">
        <v>0</v>
      </c>
      <c r="G6" s="46" t="n">
        <v>0</v>
      </c>
      <c r="H6" s="46" t="n">
        <v>0</v>
      </c>
      <c r="I6" s="46" t="n">
        <v>0</v>
      </c>
      <c r="J6" s="46" t="n">
        <v>0</v>
      </c>
      <c r="K6" s="40" t="n">
        <v>0</v>
      </c>
      <c r="L6" s="40" t="n">
        <v>0</v>
      </c>
      <c r="M6" s="40" t="n">
        <v>0</v>
      </c>
      <c r="N6" s="40" t="n">
        <v>0</v>
      </c>
      <c r="O6" s="40" t="n">
        <v>0</v>
      </c>
      <c r="P6" s="40" t="n">
        <v>0</v>
      </c>
      <c r="Q6" s="40" t="n">
        <v>0</v>
      </c>
      <c r="R6" s="40" t="n">
        <v>0</v>
      </c>
      <c r="S6" s="40" t="n">
        <v>0</v>
      </c>
      <c r="T6" s="40" t="n">
        <v>0</v>
      </c>
      <c r="U6" s="40" t="n">
        <v>0</v>
      </c>
      <c r="V6" s="40" t="n">
        <v>0</v>
      </c>
      <c r="W6" s="40" t="n">
        <v>0</v>
      </c>
      <c r="X6" s="40" t="n">
        <v>0</v>
      </c>
      <c r="Y6" s="40" t="n">
        <v>0</v>
      </c>
      <c r="Z6" s="40" t="n">
        <v>0</v>
      </c>
      <c r="AA6" s="40" t="n">
        <v>0</v>
      </c>
      <c r="AB6" s="40" t="n">
        <v>0</v>
      </c>
      <c r="AC6" s="40" t="n">
        <v>0</v>
      </c>
      <c r="AD6" s="40" t="n">
        <v>0</v>
      </c>
      <c r="AE6" s="40" t="n">
        <v>0</v>
      </c>
      <c r="AF6" s="40" t="n">
        <v>0</v>
      </c>
      <c r="AG6" s="40" t="n">
        <v>0</v>
      </c>
      <c r="AH6" s="40" t="n">
        <v>0</v>
      </c>
      <c r="AI6" s="40" t="n">
        <v>0</v>
      </c>
      <c r="AJ6" s="40" t="n">
        <v>0</v>
      </c>
      <c r="AK6" s="40" t="n">
        <v>0</v>
      </c>
      <c r="AL6" s="40" t="n">
        <v>0</v>
      </c>
      <c r="AM6" s="40" t="n">
        <v>0</v>
      </c>
      <c r="AN6" s="40" t="n">
        <v>0</v>
      </c>
      <c r="AO6" s="40" t="n">
        <v>0</v>
      </c>
      <c r="AP6" s="40" t="n">
        <v>0</v>
      </c>
      <c r="AQ6" s="40" t="n">
        <v>0</v>
      </c>
      <c r="AR6" s="40" t="n">
        <v>0</v>
      </c>
      <c r="AS6" s="40" t="n">
        <v>0</v>
      </c>
      <c r="AT6" s="40" t="n">
        <v>0</v>
      </c>
      <c r="AU6" s="40" t="n">
        <v>0</v>
      </c>
      <c r="AV6" s="40" t="n">
        <v>0</v>
      </c>
      <c r="AW6" s="40" t="n">
        <v>0</v>
      </c>
      <c r="AX6" s="40" t="n">
        <v>0</v>
      </c>
      <c r="AY6" s="40" t="n">
        <v>0</v>
      </c>
      <c r="AZ6" s="40" t="n">
        <v>0</v>
      </c>
      <c r="BA6" s="40" t="n">
        <v>0</v>
      </c>
      <c r="BB6" s="40" t="n">
        <v>0</v>
      </c>
      <c r="BC6" s="40" t="n">
        <v>0</v>
      </c>
      <c r="BD6" s="40" t="n">
        <v>0</v>
      </c>
      <c r="BE6" s="40" t="n">
        <v>0</v>
      </c>
      <c r="BF6" s="40" t="n">
        <v>0</v>
      </c>
      <c r="BG6" s="40" t="n">
        <v>0</v>
      </c>
      <c r="BH6" s="40" t="n">
        <v>0</v>
      </c>
      <c r="BI6" s="46" t="n">
        <v>0</v>
      </c>
    </row>
    <row r="7">
      <c r="A7" s="40" t="inlineStr">
        <is>
          <t>F5</t>
        </is>
      </c>
      <c r="B7" s="46" t="n">
        <v>0</v>
      </c>
      <c r="C7" s="96" t="n">
        <v>0</v>
      </c>
      <c r="D7" s="46" t="n">
        <v>0</v>
      </c>
      <c r="E7" s="46" t="n">
        <v>0</v>
      </c>
      <c r="F7" s="46" t="n">
        <v>0</v>
      </c>
      <c r="G7" s="46" t="n">
        <v>0</v>
      </c>
      <c r="H7" s="46" t="n">
        <v>0</v>
      </c>
      <c r="I7" s="46" t="n">
        <v>0</v>
      </c>
      <c r="J7" s="46" t="n">
        <v>0</v>
      </c>
      <c r="K7" s="40" t="n">
        <v>0</v>
      </c>
      <c r="L7" s="40" t="n">
        <v>0</v>
      </c>
      <c r="M7" s="40" t="n">
        <v>0</v>
      </c>
      <c r="N7" s="40" t="n">
        <v>0</v>
      </c>
      <c r="O7" s="40" t="n">
        <v>0</v>
      </c>
      <c r="P7" s="40" t="n">
        <v>0</v>
      </c>
      <c r="Q7" s="40" t="n">
        <v>0</v>
      </c>
      <c r="R7" s="40" t="n">
        <v>0</v>
      </c>
      <c r="S7" s="40" t="n">
        <v>0</v>
      </c>
      <c r="T7" s="40" t="n">
        <v>0</v>
      </c>
      <c r="U7" s="40" t="n">
        <v>0</v>
      </c>
      <c r="V7" s="40" t="n">
        <v>0</v>
      </c>
      <c r="W7" s="40" t="n">
        <v>0</v>
      </c>
      <c r="X7" s="40" t="n">
        <v>0</v>
      </c>
      <c r="Y7" s="40" t="n">
        <v>0</v>
      </c>
      <c r="Z7" s="40" t="n">
        <v>0</v>
      </c>
      <c r="AA7" s="40" t="n">
        <v>0</v>
      </c>
      <c r="AB7" s="40" t="n">
        <v>0</v>
      </c>
      <c r="AC7" s="40" t="n">
        <v>0</v>
      </c>
      <c r="AD7" s="40" t="n">
        <v>0</v>
      </c>
      <c r="AE7" s="40" t="n">
        <v>0</v>
      </c>
      <c r="AF7" s="40" t="n">
        <v>0</v>
      </c>
      <c r="AG7" s="40" t="n">
        <v>0</v>
      </c>
      <c r="AH7" s="40" t="n">
        <v>0</v>
      </c>
      <c r="AI7" s="40" t="n">
        <v>0</v>
      </c>
      <c r="AJ7" s="40" t="n">
        <v>0</v>
      </c>
      <c r="AK7" s="40" t="n">
        <v>0</v>
      </c>
      <c r="AL7" s="40" t="n">
        <v>0</v>
      </c>
      <c r="AM7" s="40" t="n">
        <v>0</v>
      </c>
      <c r="AN7" s="40" t="n">
        <v>0</v>
      </c>
      <c r="AO7" s="40" t="n">
        <v>0</v>
      </c>
      <c r="AP7" s="40" t="n">
        <v>0</v>
      </c>
      <c r="AQ7" s="40" t="n">
        <v>0</v>
      </c>
      <c r="AR7" s="40" t="n">
        <v>0</v>
      </c>
      <c r="AS7" s="40" t="n">
        <v>0</v>
      </c>
      <c r="AT7" s="40" t="n">
        <v>0</v>
      </c>
      <c r="AU7" s="40" t="n">
        <v>0</v>
      </c>
      <c r="AV7" s="40" t="n">
        <v>0</v>
      </c>
      <c r="AW7" s="40" t="n">
        <v>0</v>
      </c>
      <c r="AX7" s="40" t="n">
        <v>0</v>
      </c>
      <c r="AY7" s="40" t="n">
        <v>0</v>
      </c>
      <c r="AZ7" s="40" t="n">
        <v>0</v>
      </c>
      <c r="BA7" s="40" t="n">
        <v>0</v>
      </c>
      <c r="BB7" s="40" t="n">
        <v>0</v>
      </c>
      <c r="BC7" s="40" t="n">
        <v>0</v>
      </c>
      <c r="BD7" s="40" t="n">
        <v>0</v>
      </c>
      <c r="BE7" s="40" t="n">
        <v>0</v>
      </c>
      <c r="BF7" s="40" t="n">
        <v>0</v>
      </c>
      <c r="BG7" s="40" t="n">
        <v>0</v>
      </c>
      <c r="BH7" s="40" t="n">
        <v>0</v>
      </c>
      <c r="BI7" s="46" t="n">
        <v>0</v>
      </c>
    </row>
    <row r="8">
      <c r="A8" s="40" t="inlineStr">
        <is>
          <t>F6</t>
        </is>
      </c>
      <c r="B8" s="46" t="n">
        <v>0</v>
      </c>
      <c r="C8" s="96" t="n">
        <v>0</v>
      </c>
      <c r="D8" s="46" t="n">
        <v>0</v>
      </c>
      <c r="E8" s="46" t="n">
        <v>0</v>
      </c>
      <c r="F8" s="46" t="n">
        <v>0</v>
      </c>
      <c r="G8" s="46" t="n">
        <v>0</v>
      </c>
      <c r="H8" s="46" t="n">
        <v>0</v>
      </c>
      <c r="I8" s="46" t="n">
        <v>0</v>
      </c>
      <c r="J8" s="46" t="n">
        <v>0</v>
      </c>
      <c r="K8" s="40" t="n">
        <v>0</v>
      </c>
      <c r="L8" s="40" t="n">
        <v>0</v>
      </c>
      <c r="M8" s="40" t="n">
        <v>0</v>
      </c>
      <c r="N8" s="40" t="n">
        <v>0</v>
      </c>
      <c r="O8" s="40" t="n">
        <v>0</v>
      </c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0" t="n">
        <v>0</v>
      </c>
      <c r="V8" s="40" t="n">
        <v>0</v>
      </c>
      <c r="W8" s="40" t="n">
        <v>0</v>
      </c>
      <c r="X8" s="40" t="n">
        <v>0</v>
      </c>
      <c r="Y8" s="40" t="n">
        <v>0</v>
      </c>
      <c r="Z8" s="40" t="n">
        <v>0</v>
      </c>
      <c r="AA8" s="40" t="n">
        <v>0</v>
      </c>
      <c r="AB8" s="40" t="n">
        <v>0</v>
      </c>
      <c r="AC8" s="40" t="n">
        <v>0</v>
      </c>
      <c r="AD8" s="40" t="n">
        <v>0</v>
      </c>
      <c r="AE8" s="40" t="n">
        <v>0</v>
      </c>
      <c r="AF8" s="40" t="n">
        <v>0</v>
      </c>
      <c r="AG8" s="40" t="n">
        <v>0</v>
      </c>
      <c r="AH8" s="40" t="n">
        <v>0</v>
      </c>
      <c r="AI8" s="40" t="n">
        <v>0</v>
      </c>
      <c r="AJ8" s="40" t="n">
        <v>0</v>
      </c>
      <c r="AK8" s="40" t="n">
        <v>0</v>
      </c>
      <c r="AL8" s="40" t="n">
        <v>0</v>
      </c>
      <c r="AM8" s="40" t="n">
        <v>0</v>
      </c>
      <c r="AN8" s="40" t="n">
        <v>0</v>
      </c>
      <c r="AO8" s="40" t="n">
        <v>0</v>
      </c>
      <c r="AP8" s="40" t="n">
        <v>0</v>
      </c>
      <c r="AQ8" s="40" t="n">
        <v>0</v>
      </c>
      <c r="AR8" s="40" t="n">
        <v>0</v>
      </c>
      <c r="AS8" s="40" t="n">
        <v>0</v>
      </c>
      <c r="AT8" s="40" t="n">
        <v>0</v>
      </c>
      <c r="AU8" s="40" t="n">
        <v>0</v>
      </c>
      <c r="AV8" s="40" t="n">
        <v>0</v>
      </c>
      <c r="AW8" s="40" t="n">
        <v>0</v>
      </c>
      <c r="AX8" s="40" t="n">
        <v>0</v>
      </c>
      <c r="AY8" s="40" t="n">
        <v>0</v>
      </c>
      <c r="AZ8" s="40" t="n">
        <v>0</v>
      </c>
      <c r="BA8" s="40" t="n">
        <v>0</v>
      </c>
      <c r="BB8" s="40" t="n">
        <v>0</v>
      </c>
      <c r="BC8" s="40" t="n">
        <v>0</v>
      </c>
      <c r="BD8" s="40" t="n">
        <v>0</v>
      </c>
      <c r="BE8" s="40" t="n">
        <v>0</v>
      </c>
      <c r="BF8" s="40" t="n">
        <v>0</v>
      </c>
      <c r="BG8" s="40" t="n">
        <v>0</v>
      </c>
      <c r="BH8" s="40" t="n">
        <v>0</v>
      </c>
      <c r="BI8" s="46" t="n">
        <v>0</v>
      </c>
    </row>
    <row r="9">
      <c r="A9" s="40" t="inlineStr">
        <is>
          <t>F7</t>
        </is>
      </c>
      <c r="B9" s="46" t="n">
        <v>0</v>
      </c>
      <c r="C9" s="96" t="n">
        <v>0</v>
      </c>
      <c r="D9" s="46" t="n">
        <v>0</v>
      </c>
      <c r="E9" s="46" t="n">
        <v>0</v>
      </c>
      <c r="F9" s="46" t="n">
        <v>0</v>
      </c>
      <c r="G9" s="46" t="n">
        <v>0</v>
      </c>
      <c r="H9" s="46" t="n">
        <v>0</v>
      </c>
      <c r="I9" s="46" t="n">
        <v>0</v>
      </c>
      <c r="J9" s="46" t="n">
        <v>0</v>
      </c>
      <c r="K9" s="40" t="n">
        <v>0</v>
      </c>
      <c r="L9" s="40" t="n">
        <v>0</v>
      </c>
      <c r="M9" s="40" t="n">
        <v>0</v>
      </c>
      <c r="N9" s="40" t="n">
        <v>0</v>
      </c>
      <c r="O9" s="40" t="n">
        <v>0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0" t="n">
        <v>0</v>
      </c>
      <c r="V9" s="40" t="n">
        <v>0</v>
      </c>
      <c r="W9" s="40" t="n">
        <v>0</v>
      </c>
      <c r="X9" s="40" t="n">
        <v>0</v>
      </c>
      <c r="Y9" s="40" t="n">
        <v>0</v>
      </c>
      <c r="Z9" s="40" t="n">
        <v>0</v>
      </c>
      <c r="AA9" s="40" t="n">
        <v>0</v>
      </c>
      <c r="AB9" s="40" t="n">
        <v>0</v>
      </c>
      <c r="AC9" s="40" t="n">
        <v>0</v>
      </c>
      <c r="AD9" s="40" t="n">
        <v>0</v>
      </c>
      <c r="AE9" s="40" t="n">
        <v>0</v>
      </c>
      <c r="AF9" s="40" t="n">
        <v>0</v>
      </c>
      <c r="AG9" s="40" t="n">
        <v>0</v>
      </c>
      <c r="AH9" s="40" t="n">
        <v>0</v>
      </c>
      <c r="AI9" s="40" t="n">
        <v>0</v>
      </c>
      <c r="AJ9" s="40" t="n">
        <v>0</v>
      </c>
      <c r="AK9" s="40" t="n">
        <v>0</v>
      </c>
      <c r="AL9" s="40" t="n">
        <v>0</v>
      </c>
      <c r="AM9" s="40" t="n">
        <v>0</v>
      </c>
      <c r="AN9" s="40" t="n">
        <v>0</v>
      </c>
      <c r="AO9" s="40" t="n">
        <v>0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</v>
      </c>
      <c r="BG9" s="40" t="n">
        <v>0</v>
      </c>
      <c r="BH9" s="40" t="n">
        <v>0</v>
      </c>
      <c r="BI9" s="46" t="n">
        <v>0</v>
      </c>
    </row>
    <row r="10">
      <c r="A10" s="40" t="inlineStr">
        <is>
          <t>F8</t>
        </is>
      </c>
      <c r="B10" s="46" t="n">
        <v>0</v>
      </c>
      <c r="C10" s="96" t="n">
        <v>0</v>
      </c>
      <c r="D10" s="46" t="n">
        <v>0</v>
      </c>
      <c r="E10" s="46" t="n">
        <v>0</v>
      </c>
      <c r="F10" s="46" t="n">
        <v>0</v>
      </c>
      <c r="G10" s="46" t="n">
        <v>0</v>
      </c>
      <c r="H10" s="46" t="n">
        <v>0</v>
      </c>
      <c r="I10" s="46" t="n">
        <v>0</v>
      </c>
      <c r="J10" s="46" t="n">
        <v>0</v>
      </c>
      <c r="K10" s="40" t="n">
        <v>0</v>
      </c>
      <c r="L10" s="40" t="n">
        <v>0</v>
      </c>
      <c r="M10" s="40" t="n">
        <v>0</v>
      </c>
      <c r="N10" s="40" t="n">
        <v>0</v>
      </c>
      <c r="O10" s="40" t="n">
        <v>0</v>
      </c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0" t="n">
        <v>0</v>
      </c>
      <c r="V10" s="40" t="n">
        <v>0</v>
      </c>
      <c r="W10" s="40" t="n">
        <v>0</v>
      </c>
      <c r="X10" s="40" t="n">
        <v>0</v>
      </c>
      <c r="Y10" s="40" t="n">
        <v>0</v>
      </c>
      <c r="Z10" s="40" t="n">
        <v>0</v>
      </c>
      <c r="AA10" s="40" t="n">
        <v>0</v>
      </c>
      <c r="AB10" s="40" t="n">
        <v>0</v>
      </c>
      <c r="AC10" s="40" t="n">
        <v>0</v>
      </c>
      <c r="AD10" s="40" t="n">
        <v>0</v>
      </c>
      <c r="AE10" s="40" t="n">
        <v>0</v>
      </c>
      <c r="AF10" s="40" t="n">
        <v>0</v>
      </c>
      <c r="AG10" s="40" t="n">
        <v>0</v>
      </c>
      <c r="AH10" s="40" t="n">
        <v>0</v>
      </c>
      <c r="AI10" s="40" t="n">
        <v>0</v>
      </c>
      <c r="AJ10" s="40" t="n">
        <v>0</v>
      </c>
      <c r="AK10" s="40" t="n">
        <v>0</v>
      </c>
      <c r="AL10" s="40" t="n">
        <v>0</v>
      </c>
      <c r="AM10" s="40" t="n">
        <v>0</v>
      </c>
      <c r="AN10" s="40" t="n">
        <v>0</v>
      </c>
      <c r="AO10" s="40" t="n">
        <v>0</v>
      </c>
      <c r="AP10" s="40" t="n">
        <v>0</v>
      </c>
      <c r="AQ10" s="40" t="n">
        <v>0</v>
      </c>
      <c r="AR10" s="40" t="n">
        <v>0</v>
      </c>
      <c r="AS10" s="40" t="n">
        <v>0</v>
      </c>
      <c r="AT10" s="40" t="n">
        <v>0</v>
      </c>
      <c r="AU10" s="40" t="n">
        <v>0</v>
      </c>
      <c r="AV10" s="40" t="n">
        <v>0</v>
      </c>
      <c r="AW10" s="40" t="n">
        <v>0</v>
      </c>
      <c r="AX10" s="40" t="n">
        <v>0</v>
      </c>
      <c r="AY10" s="40" t="n">
        <v>0</v>
      </c>
      <c r="AZ10" s="40" t="n">
        <v>0</v>
      </c>
      <c r="BA10" s="40" t="n">
        <v>0</v>
      </c>
      <c r="BB10" s="40" t="n">
        <v>0</v>
      </c>
      <c r="BC10" s="40" t="n">
        <v>0</v>
      </c>
      <c r="BD10" s="40" t="n">
        <v>0</v>
      </c>
      <c r="BE10" s="40" t="n">
        <v>0</v>
      </c>
      <c r="BF10" s="40" t="n">
        <v>0</v>
      </c>
      <c r="BG10" s="40" t="n">
        <v>0</v>
      </c>
      <c r="BH10" s="40" t="n">
        <v>0</v>
      </c>
      <c r="BI10" s="46" t="n">
        <v>0</v>
      </c>
    </row>
    <row r="11">
      <c r="A11" s="40" t="inlineStr">
        <is>
          <t>F9</t>
        </is>
      </c>
      <c r="B11" s="46" t="n">
        <v>0</v>
      </c>
      <c r="C11" s="96" t="n">
        <v>0</v>
      </c>
      <c r="D11" s="46" t="n">
        <v>0</v>
      </c>
      <c r="E11" s="46" t="n">
        <v>0</v>
      </c>
      <c r="F11" s="46" t="n">
        <v>0</v>
      </c>
      <c r="G11" s="46" t="n">
        <v>0</v>
      </c>
      <c r="H11" s="46" t="n">
        <v>0</v>
      </c>
      <c r="I11" s="46" t="n">
        <v>0</v>
      </c>
      <c r="J11" s="46" t="n">
        <v>0</v>
      </c>
      <c r="K11" s="40" t="n">
        <v>0</v>
      </c>
      <c r="L11" s="40" t="n">
        <v>0</v>
      </c>
      <c r="M11" s="40" t="n">
        <v>0</v>
      </c>
      <c r="N11" s="40" t="n">
        <v>0</v>
      </c>
      <c r="O11" s="40" t="n">
        <v>0</v>
      </c>
      <c r="P11" s="40" t="n">
        <v>0</v>
      </c>
      <c r="Q11" s="40" t="n">
        <v>0</v>
      </c>
      <c r="R11" s="40" t="n">
        <v>0</v>
      </c>
      <c r="S11" s="40" t="n">
        <v>0</v>
      </c>
      <c r="T11" s="40" t="n">
        <v>0</v>
      </c>
      <c r="U11" s="40" t="n">
        <v>0</v>
      </c>
      <c r="V11" s="40" t="n">
        <v>0</v>
      </c>
      <c r="W11" s="40" t="n">
        <v>0</v>
      </c>
      <c r="X11" s="40" t="n">
        <v>0</v>
      </c>
      <c r="Y11" s="40" t="n">
        <v>0</v>
      </c>
      <c r="Z11" s="40" t="n">
        <v>0</v>
      </c>
      <c r="AA11" s="40" t="n">
        <v>0</v>
      </c>
      <c r="AB11" s="40" t="n">
        <v>0</v>
      </c>
      <c r="AC11" s="40" t="n">
        <v>0</v>
      </c>
      <c r="AD11" s="40" t="n">
        <v>0</v>
      </c>
      <c r="AE11" s="40" t="n">
        <v>0</v>
      </c>
      <c r="AF11" s="40" t="n">
        <v>0</v>
      </c>
      <c r="AG11" s="40" t="n">
        <v>0</v>
      </c>
      <c r="AH11" s="40" t="n">
        <v>0</v>
      </c>
      <c r="AI11" s="40" t="n">
        <v>0</v>
      </c>
      <c r="AJ11" s="40" t="n">
        <v>0</v>
      </c>
      <c r="AK11" s="40" t="n">
        <v>0</v>
      </c>
      <c r="AL11" s="40" t="n">
        <v>0</v>
      </c>
      <c r="AM11" s="40" t="n">
        <v>0</v>
      </c>
      <c r="AN11" s="40" t="n">
        <v>0</v>
      </c>
      <c r="AO11" s="40" t="n">
        <v>0</v>
      </c>
      <c r="AP11" s="40" t="n">
        <v>0</v>
      </c>
      <c r="AQ11" s="40" t="n">
        <v>0</v>
      </c>
      <c r="AR11" s="40" t="n">
        <v>0</v>
      </c>
      <c r="AS11" s="40" t="n">
        <v>0</v>
      </c>
      <c r="AT11" s="40" t="n">
        <v>0</v>
      </c>
      <c r="AU11" s="40" t="n">
        <v>0</v>
      </c>
      <c r="AV11" s="40" t="n">
        <v>0</v>
      </c>
      <c r="AW11" s="40" t="n">
        <v>0</v>
      </c>
      <c r="AX11" s="40" t="n">
        <v>0</v>
      </c>
      <c r="AY11" s="40" t="n">
        <v>0</v>
      </c>
      <c r="AZ11" s="40" t="n">
        <v>0</v>
      </c>
      <c r="BA11" s="40" t="n">
        <v>0</v>
      </c>
      <c r="BB11" s="40" t="n">
        <v>0</v>
      </c>
      <c r="BC11" s="40" t="n">
        <v>0</v>
      </c>
      <c r="BD11" s="40" t="n">
        <v>0</v>
      </c>
      <c r="BE11" s="40" t="n">
        <v>0</v>
      </c>
      <c r="BF11" s="40" t="n">
        <v>0</v>
      </c>
      <c r="BG11" s="40" t="n">
        <v>0</v>
      </c>
      <c r="BH11" s="40" t="n">
        <v>0</v>
      </c>
      <c r="BI11" s="46" t="n">
        <v>0</v>
      </c>
    </row>
    <row r="12">
      <c r="A12" s="40" t="inlineStr">
        <is>
          <t>F10</t>
        </is>
      </c>
      <c r="B12" s="46" t="n">
        <v>0</v>
      </c>
      <c r="C12" s="96" t="n">
        <v>0</v>
      </c>
      <c r="D12" s="46" t="n">
        <v>0</v>
      </c>
      <c r="E12" s="46" t="n">
        <v>0</v>
      </c>
      <c r="F12" s="46" t="n">
        <v>0</v>
      </c>
      <c r="G12" s="46" t="n">
        <v>0</v>
      </c>
      <c r="H12" s="46" t="n">
        <v>0</v>
      </c>
      <c r="I12" s="46" t="n">
        <v>0</v>
      </c>
      <c r="J12" s="46" t="n">
        <v>0</v>
      </c>
      <c r="K12" s="40" t="n">
        <v>0</v>
      </c>
      <c r="L12" s="40" t="n">
        <v>0</v>
      </c>
      <c r="M12" s="40" t="n">
        <v>0</v>
      </c>
      <c r="N12" s="40" t="n">
        <v>0</v>
      </c>
      <c r="O12" s="40" t="n">
        <v>0</v>
      </c>
      <c r="P12" s="40" t="n">
        <v>0</v>
      </c>
      <c r="Q12" s="40" t="n">
        <v>0</v>
      </c>
      <c r="R12" s="40" t="n">
        <v>0</v>
      </c>
      <c r="S12" s="40" t="n">
        <v>0</v>
      </c>
      <c r="T12" s="40" t="n">
        <v>0</v>
      </c>
      <c r="U12" s="40" t="n">
        <v>0</v>
      </c>
      <c r="V12" s="40" t="n">
        <v>0</v>
      </c>
      <c r="W12" s="40" t="n">
        <v>0</v>
      </c>
      <c r="X12" s="40" t="n">
        <v>0</v>
      </c>
      <c r="Y12" s="40" t="n">
        <v>0</v>
      </c>
      <c r="Z12" s="40" t="n">
        <v>0</v>
      </c>
      <c r="AA12" s="40" t="n">
        <v>0</v>
      </c>
      <c r="AB12" s="40" t="n">
        <v>0</v>
      </c>
      <c r="AC12" s="40" t="n">
        <v>0</v>
      </c>
      <c r="AD12" s="40" t="n">
        <v>0</v>
      </c>
      <c r="AE12" s="40" t="n">
        <v>0</v>
      </c>
      <c r="AF12" s="40" t="n">
        <v>0</v>
      </c>
      <c r="AG12" s="40" t="n">
        <v>0</v>
      </c>
      <c r="AH12" s="40" t="n">
        <v>0</v>
      </c>
      <c r="AI12" s="40" t="n">
        <v>0</v>
      </c>
      <c r="AJ12" s="40" t="n">
        <v>0</v>
      </c>
      <c r="AK12" s="40" t="n">
        <v>0</v>
      </c>
      <c r="AL12" s="40" t="n">
        <v>0</v>
      </c>
      <c r="AM12" s="40" t="n">
        <v>0</v>
      </c>
      <c r="AN12" s="40" t="n">
        <v>0</v>
      </c>
      <c r="AO12" s="40" t="n">
        <v>0</v>
      </c>
      <c r="AP12" s="40" t="n">
        <v>0</v>
      </c>
      <c r="AQ12" s="40" t="n">
        <v>0</v>
      </c>
      <c r="AR12" s="40" t="n">
        <v>0</v>
      </c>
      <c r="AS12" s="40" t="n">
        <v>0</v>
      </c>
      <c r="AT12" s="40" t="n">
        <v>0</v>
      </c>
      <c r="AU12" s="40" t="n">
        <v>0</v>
      </c>
      <c r="AV12" s="40" t="n">
        <v>0</v>
      </c>
      <c r="AW12" s="40" t="n">
        <v>0</v>
      </c>
      <c r="AX12" s="40" t="n">
        <v>0</v>
      </c>
      <c r="AY12" s="40" t="n">
        <v>0</v>
      </c>
      <c r="AZ12" s="40" t="n">
        <v>0</v>
      </c>
      <c r="BA12" s="40" t="n">
        <v>0</v>
      </c>
      <c r="BB12" s="40" t="n">
        <v>0</v>
      </c>
      <c r="BC12" s="40" t="n">
        <v>0</v>
      </c>
      <c r="BD12" s="40" t="n">
        <v>0</v>
      </c>
      <c r="BE12" s="40" t="n">
        <v>0</v>
      </c>
      <c r="BF12" s="40" t="n">
        <v>0</v>
      </c>
      <c r="BG12" s="40" t="n">
        <v>0</v>
      </c>
      <c r="BH12" s="40" t="n">
        <v>0</v>
      </c>
      <c r="BI12" s="46" t="n">
        <v>0</v>
      </c>
    </row>
    <row r="13">
      <c r="A13" s="40" t="inlineStr">
        <is>
          <t>F11</t>
        </is>
      </c>
      <c r="B13" s="46" t="n">
        <v>0</v>
      </c>
      <c r="C13" s="96" t="n">
        <v>0</v>
      </c>
      <c r="D13" s="46" t="n">
        <v>0</v>
      </c>
      <c r="E13" s="46" t="n">
        <v>0</v>
      </c>
      <c r="F13" s="46" t="n">
        <v>0</v>
      </c>
      <c r="G13" s="46" t="n">
        <v>0</v>
      </c>
      <c r="H13" s="46" t="n">
        <v>0</v>
      </c>
      <c r="I13" s="46" t="n">
        <v>0</v>
      </c>
      <c r="J13" s="46" t="n">
        <v>0</v>
      </c>
      <c r="K13" s="40" t="n">
        <v>0</v>
      </c>
      <c r="L13" s="40" t="n">
        <v>0</v>
      </c>
      <c r="M13" s="40" t="n">
        <v>0</v>
      </c>
      <c r="N13" s="40" t="n">
        <v>0</v>
      </c>
      <c r="O13" s="40" t="n">
        <v>0</v>
      </c>
      <c r="P13" s="40" t="n">
        <v>0</v>
      </c>
      <c r="Q13" s="40" t="n">
        <v>0</v>
      </c>
      <c r="R13" s="40" t="n">
        <v>0</v>
      </c>
      <c r="S13" s="40" t="n">
        <v>0</v>
      </c>
      <c r="T13" s="40" t="n">
        <v>0</v>
      </c>
      <c r="U13" s="40" t="n">
        <v>0</v>
      </c>
      <c r="V13" s="40" t="n">
        <v>0</v>
      </c>
      <c r="W13" s="40" t="n">
        <v>0</v>
      </c>
      <c r="X13" s="40" t="n">
        <v>0</v>
      </c>
      <c r="Y13" s="40" t="n">
        <v>0</v>
      </c>
      <c r="Z13" s="40" t="n">
        <v>0</v>
      </c>
      <c r="AA13" s="40" t="n">
        <v>0</v>
      </c>
      <c r="AB13" s="40" t="n">
        <v>0</v>
      </c>
      <c r="AC13" s="40" t="n">
        <v>0</v>
      </c>
      <c r="AD13" s="40" t="n">
        <v>0</v>
      </c>
      <c r="AE13" s="40" t="n">
        <v>0</v>
      </c>
      <c r="AF13" s="40" t="n">
        <v>0</v>
      </c>
      <c r="AG13" s="40" t="n">
        <v>0</v>
      </c>
      <c r="AH13" s="40" t="n">
        <v>0</v>
      </c>
      <c r="AI13" s="40" t="n">
        <v>0</v>
      </c>
      <c r="AJ13" s="40" t="n">
        <v>0</v>
      </c>
      <c r="AK13" s="40" t="n">
        <v>0</v>
      </c>
      <c r="AL13" s="40" t="n">
        <v>0</v>
      </c>
      <c r="AM13" s="40" t="n">
        <v>0</v>
      </c>
      <c r="AN13" s="40" t="n">
        <v>0</v>
      </c>
      <c r="AO13" s="40" t="n">
        <v>0</v>
      </c>
      <c r="AP13" s="40" t="n">
        <v>0</v>
      </c>
      <c r="AQ13" s="40" t="n">
        <v>0</v>
      </c>
      <c r="AR13" s="40" t="n">
        <v>0</v>
      </c>
      <c r="AS13" s="40" t="n">
        <v>0</v>
      </c>
      <c r="AT13" s="40" t="n">
        <v>0</v>
      </c>
      <c r="AU13" s="40" t="n">
        <v>0</v>
      </c>
      <c r="AV13" s="40" t="n">
        <v>0</v>
      </c>
      <c r="AW13" s="40" t="n">
        <v>0</v>
      </c>
      <c r="AX13" s="40" t="n">
        <v>0</v>
      </c>
      <c r="AY13" s="40" t="n">
        <v>0</v>
      </c>
      <c r="AZ13" s="40" t="n">
        <v>0</v>
      </c>
      <c r="BA13" s="40" t="n">
        <v>0</v>
      </c>
      <c r="BB13" s="40" t="n">
        <v>0</v>
      </c>
      <c r="BC13" s="40" t="n">
        <v>0</v>
      </c>
      <c r="BD13" s="40" t="n">
        <v>0</v>
      </c>
      <c r="BE13" s="40" t="n">
        <v>0</v>
      </c>
      <c r="BF13" s="40" t="n">
        <v>0</v>
      </c>
      <c r="BG13" s="40" t="n">
        <v>0</v>
      </c>
      <c r="BH13" s="40" t="n">
        <v>0</v>
      </c>
      <c r="BI13" s="46" t="n">
        <v>0</v>
      </c>
    </row>
    <row r="14">
      <c r="A14" s="40" t="inlineStr">
        <is>
          <t>F12</t>
        </is>
      </c>
      <c r="B14" s="46" t="n">
        <v>0</v>
      </c>
      <c r="C14" s="96" t="n">
        <v>0</v>
      </c>
      <c r="D14" s="46" t="n">
        <v>0</v>
      </c>
      <c r="E14" s="46" t="n">
        <v>0</v>
      </c>
      <c r="F14" s="46" t="n">
        <v>0</v>
      </c>
      <c r="G14" s="46" t="n">
        <v>0</v>
      </c>
      <c r="H14" s="46" t="n">
        <v>0</v>
      </c>
      <c r="I14" s="46" t="n">
        <v>0</v>
      </c>
      <c r="J14" s="46" t="n">
        <v>0</v>
      </c>
      <c r="K14" s="40" t="n">
        <v>0</v>
      </c>
      <c r="L14" s="40" t="n">
        <v>0</v>
      </c>
      <c r="M14" s="40" t="n">
        <v>0</v>
      </c>
      <c r="N14" s="40" t="n">
        <v>0</v>
      </c>
      <c r="O14" s="40" t="n">
        <v>0</v>
      </c>
      <c r="P14" s="40" t="n">
        <v>0</v>
      </c>
      <c r="Q14" s="40" t="n">
        <v>0</v>
      </c>
      <c r="R14" s="40" t="n">
        <v>0</v>
      </c>
      <c r="S14" s="40" t="n">
        <v>0</v>
      </c>
      <c r="T14" s="40" t="n">
        <v>0</v>
      </c>
      <c r="U14" s="40" t="n">
        <v>0</v>
      </c>
      <c r="V14" s="40" t="n">
        <v>0</v>
      </c>
      <c r="W14" s="40" t="n">
        <v>0</v>
      </c>
      <c r="X14" s="40" t="n">
        <v>0</v>
      </c>
      <c r="Y14" s="40" t="n">
        <v>0</v>
      </c>
      <c r="Z14" s="40" t="n">
        <v>0</v>
      </c>
      <c r="AA14" s="40" t="n">
        <v>0</v>
      </c>
      <c r="AB14" s="40" t="n">
        <v>0</v>
      </c>
      <c r="AC14" s="40" t="n">
        <v>0</v>
      </c>
      <c r="AD14" s="40" t="n">
        <v>0</v>
      </c>
      <c r="AE14" s="40" t="n">
        <v>0</v>
      </c>
      <c r="AF14" s="40" t="n">
        <v>0</v>
      </c>
      <c r="AG14" s="40" t="n">
        <v>0</v>
      </c>
      <c r="AH14" s="40" t="n">
        <v>0</v>
      </c>
      <c r="AI14" s="40" t="n">
        <v>0</v>
      </c>
      <c r="AJ14" s="40" t="n">
        <v>0</v>
      </c>
      <c r="AK14" s="40" t="n">
        <v>0</v>
      </c>
      <c r="AL14" s="40" t="n">
        <v>0</v>
      </c>
      <c r="AM14" s="40" t="n">
        <v>0</v>
      </c>
      <c r="AN14" s="40" t="n">
        <v>0</v>
      </c>
      <c r="AO14" s="40" t="n">
        <v>0</v>
      </c>
      <c r="AP14" s="40" t="n">
        <v>0</v>
      </c>
      <c r="AQ14" s="40" t="n">
        <v>0</v>
      </c>
      <c r="AR14" s="40" t="n">
        <v>0</v>
      </c>
      <c r="AS14" s="40" t="n">
        <v>0</v>
      </c>
      <c r="AT14" s="40" t="n">
        <v>0</v>
      </c>
      <c r="AU14" s="40" t="n">
        <v>0</v>
      </c>
      <c r="AV14" s="40" t="n">
        <v>0</v>
      </c>
      <c r="AW14" s="40" t="n">
        <v>0</v>
      </c>
      <c r="AX14" s="40" t="n">
        <v>0</v>
      </c>
      <c r="AY14" s="40" t="n">
        <v>0</v>
      </c>
      <c r="AZ14" s="40" t="n">
        <v>0</v>
      </c>
      <c r="BA14" s="40" t="n">
        <v>0</v>
      </c>
      <c r="BB14" s="40" t="n">
        <v>0</v>
      </c>
      <c r="BC14" s="40" t="n">
        <v>0</v>
      </c>
      <c r="BD14" s="40" t="n">
        <v>0</v>
      </c>
      <c r="BE14" s="40" t="n">
        <v>0</v>
      </c>
      <c r="BF14" s="40" t="n">
        <v>0</v>
      </c>
      <c r="BG14" s="40" t="n">
        <v>0</v>
      </c>
      <c r="BH14" s="40" t="n">
        <v>0</v>
      </c>
      <c r="BI14" s="46" t="n">
        <v>0</v>
      </c>
    </row>
    <row r="15">
      <c r="A15" s="40" t="inlineStr">
        <is>
          <t>F13</t>
        </is>
      </c>
      <c r="B15" s="46" t="n">
        <v>0</v>
      </c>
      <c r="C15" s="96" t="n">
        <v>0</v>
      </c>
      <c r="D15" s="46" t="n">
        <v>0</v>
      </c>
      <c r="E15" s="46" t="n">
        <v>0</v>
      </c>
      <c r="F15" s="46" t="n">
        <v>0</v>
      </c>
      <c r="G15" s="46" t="n">
        <v>0</v>
      </c>
      <c r="H15" s="46" t="n">
        <v>0</v>
      </c>
      <c r="I15" s="46" t="n">
        <v>0</v>
      </c>
      <c r="J15" s="46" t="n">
        <v>0</v>
      </c>
      <c r="K15" s="40" t="n">
        <v>0</v>
      </c>
      <c r="L15" s="40" t="n">
        <v>0</v>
      </c>
      <c r="M15" s="40" t="n">
        <v>0</v>
      </c>
      <c r="N15" s="40" t="n">
        <v>0</v>
      </c>
      <c r="O15" s="40" t="n">
        <v>0</v>
      </c>
      <c r="P15" s="40" t="n">
        <v>0</v>
      </c>
      <c r="Q15" s="40" t="n">
        <v>0</v>
      </c>
      <c r="R15" s="40" t="n">
        <v>0</v>
      </c>
      <c r="S15" s="40" t="n">
        <v>0</v>
      </c>
      <c r="T15" s="40" t="n">
        <v>0</v>
      </c>
      <c r="U15" s="40" t="n">
        <v>0</v>
      </c>
      <c r="V15" s="40" t="n">
        <v>0</v>
      </c>
      <c r="W15" s="40" t="n">
        <v>0</v>
      </c>
      <c r="X15" s="40" t="n">
        <v>0</v>
      </c>
      <c r="Y15" s="40" t="n">
        <v>0</v>
      </c>
      <c r="Z15" s="40" t="n">
        <v>0</v>
      </c>
      <c r="AA15" s="40" t="n">
        <v>0</v>
      </c>
      <c r="AB15" s="40" t="n">
        <v>0</v>
      </c>
      <c r="AC15" s="40" t="n">
        <v>0</v>
      </c>
      <c r="AD15" s="40" t="n">
        <v>0</v>
      </c>
      <c r="AE15" s="40" t="n">
        <v>0</v>
      </c>
      <c r="AF15" s="40" t="n">
        <v>0</v>
      </c>
      <c r="AG15" s="40" t="n">
        <v>0</v>
      </c>
      <c r="AH15" s="40" t="n">
        <v>0</v>
      </c>
      <c r="AI15" s="40" t="n">
        <v>0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0</v>
      </c>
      <c r="AX15" s="40" t="n">
        <v>0</v>
      </c>
      <c r="AY15" s="40" t="n">
        <v>0</v>
      </c>
      <c r="AZ15" s="40" t="n">
        <v>0</v>
      </c>
      <c r="BA15" s="40" t="n">
        <v>0</v>
      </c>
      <c r="BB15" s="40" t="n">
        <v>0</v>
      </c>
      <c r="BC15" s="40" t="n">
        <v>0</v>
      </c>
      <c r="BD15" s="40" t="n">
        <v>0</v>
      </c>
      <c r="BE15" s="40" t="n">
        <v>0</v>
      </c>
      <c r="BF15" s="40" t="n">
        <v>0</v>
      </c>
      <c r="BG15" s="40" t="n">
        <v>0</v>
      </c>
      <c r="BH15" s="40" t="n">
        <v>0</v>
      </c>
      <c r="BI15" s="46" t="n">
        <v>0</v>
      </c>
    </row>
    <row r="16">
      <c r="A16" s="40" t="inlineStr">
        <is>
          <t>F14</t>
        </is>
      </c>
      <c r="B16" s="46" t="n">
        <v>0</v>
      </c>
      <c r="C16" s="96" t="n">
        <v>0</v>
      </c>
      <c r="D16" s="46" t="n">
        <v>0</v>
      </c>
      <c r="E16" s="46" t="n">
        <v>0</v>
      </c>
      <c r="F16" s="46" t="n">
        <v>0</v>
      </c>
      <c r="G16" s="46" t="n">
        <v>0</v>
      </c>
      <c r="H16" s="46" t="n">
        <v>0</v>
      </c>
      <c r="I16" s="46" t="n">
        <v>0</v>
      </c>
      <c r="J16" s="46" t="n">
        <v>0</v>
      </c>
      <c r="K16" s="40" t="n">
        <v>0</v>
      </c>
      <c r="L16" s="40" t="n">
        <v>0</v>
      </c>
      <c r="M16" s="40" t="n">
        <v>0</v>
      </c>
      <c r="N16" s="40" t="n">
        <v>0</v>
      </c>
      <c r="O16" s="40" t="n">
        <v>0</v>
      </c>
      <c r="P16" s="40" t="n">
        <v>0</v>
      </c>
      <c r="Q16" s="40" t="n">
        <v>0</v>
      </c>
      <c r="R16" s="40" t="n">
        <v>0</v>
      </c>
      <c r="S16" s="40" t="n">
        <v>0</v>
      </c>
      <c r="T16" s="40" t="n">
        <v>0</v>
      </c>
      <c r="U16" s="40" t="n">
        <v>0</v>
      </c>
      <c r="V16" s="40" t="n">
        <v>0</v>
      </c>
      <c r="W16" s="40" t="n">
        <v>0</v>
      </c>
      <c r="X16" s="40" t="n">
        <v>0</v>
      </c>
      <c r="Y16" s="40" t="n">
        <v>0</v>
      </c>
      <c r="Z16" s="40" t="n">
        <v>0</v>
      </c>
      <c r="AA16" s="40" t="n">
        <v>0</v>
      </c>
      <c r="AB16" s="40" t="n">
        <v>0</v>
      </c>
      <c r="AC16" s="40" t="n">
        <v>0</v>
      </c>
      <c r="AD16" s="40" t="n">
        <v>0</v>
      </c>
      <c r="AE16" s="40" t="n">
        <v>0</v>
      </c>
      <c r="AF16" s="40" t="n">
        <v>0</v>
      </c>
      <c r="AG16" s="40" t="n">
        <v>0</v>
      </c>
      <c r="AH16" s="40" t="n">
        <v>0</v>
      </c>
      <c r="AI16" s="40" t="n">
        <v>0</v>
      </c>
      <c r="AJ16" s="40" t="n">
        <v>0</v>
      </c>
      <c r="AK16" s="40" t="n">
        <v>0</v>
      </c>
      <c r="AL16" s="40" t="n">
        <v>0</v>
      </c>
      <c r="AM16" s="40" t="n">
        <v>0</v>
      </c>
      <c r="AN16" s="40" t="n">
        <v>0</v>
      </c>
      <c r="AO16" s="40" t="n">
        <v>0</v>
      </c>
      <c r="AP16" s="40" t="n">
        <v>0</v>
      </c>
      <c r="AQ16" s="40" t="n">
        <v>0</v>
      </c>
      <c r="AR16" s="40" t="n">
        <v>0</v>
      </c>
      <c r="AS16" s="40" t="n">
        <v>0</v>
      </c>
      <c r="AT16" s="40" t="n">
        <v>0</v>
      </c>
      <c r="AU16" s="40" t="n">
        <v>0</v>
      </c>
      <c r="AV16" s="40" t="n">
        <v>0</v>
      </c>
      <c r="AW16" s="40" t="n">
        <v>0</v>
      </c>
      <c r="AX16" s="40" t="n">
        <v>0</v>
      </c>
      <c r="AY16" s="40" t="n">
        <v>0</v>
      </c>
      <c r="AZ16" s="40" t="n">
        <v>0</v>
      </c>
      <c r="BA16" s="40" t="n">
        <v>0</v>
      </c>
      <c r="BB16" s="40" t="n">
        <v>0</v>
      </c>
      <c r="BC16" s="40" t="n">
        <v>0</v>
      </c>
      <c r="BD16" s="40" t="n">
        <v>0</v>
      </c>
      <c r="BE16" s="40" t="n">
        <v>0</v>
      </c>
      <c r="BF16" s="40" t="n">
        <v>0</v>
      </c>
      <c r="BG16" s="40" t="n">
        <v>0</v>
      </c>
      <c r="BH16" s="40" t="n">
        <v>0</v>
      </c>
      <c r="BI16" s="46" t="n">
        <v>0</v>
      </c>
    </row>
    <row r="17">
      <c r="A17" s="40" t="inlineStr">
        <is>
          <t>F15</t>
        </is>
      </c>
      <c r="B17" s="46" t="n">
        <v>0</v>
      </c>
      <c r="C17" s="96" t="n">
        <v>0</v>
      </c>
      <c r="D17" s="46" t="n">
        <v>0</v>
      </c>
      <c r="E17" s="46" t="n">
        <v>0</v>
      </c>
      <c r="F17" s="46" t="n">
        <v>0</v>
      </c>
      <c r="G17" s="46" t="n">
        <v>0</v>
      </c>
      <c r="H17" s="46" t="n">
        <v>0</v>
      </c>
      <c r="I17" s="46" t="n">
        <v>0</v>
      </c>
      <c r="J17" s="46" t="n">
        <v>0</v>
      </c>
      <c r="K17" s="40" t="n">
        <v>0</v>
      </c>
      <c r="L17" s="40" t="n">
        <v>0</v>
      </c>
      <c r="M17" s="40" t="n">
        <v>0</v>
      </c>
      <c r="N17" s="40" t="n">
        <v>0</v>
      </c>
      <c r="O17" s="40" t="n">
        <v>0</v>
      </c>
      <c r="P17" s="40" t="n">
        <v>0</v>
      </c>
      <c r="Q17" s="40" t="n">
        <v>0</v>
      </c>
      <c r="R17" s="40" t="n">
        <v>0</v>
      </c>
      <c r="S17" s="40" t="n">
        <v>0</v>
      </c>
      <c r="T17" s="40" t="n">
        <v>0</v>
      </c>
      <c r="U17" s="40" t="n">
        <v>0</v>
      </c>
      <c r="V17" s="40" t="n">
        <v>0</v>
      </c>
      <c r="W17" s="40" t="n">
        <v>0</v>
      </c>
      <c r="X17" s="40" t="n">
        <v>0</v>
      </c>
      <c r="Y17" s="40" t="n">
        <v>0</v>
      </c>
      <c r="Z17" s="40" t="n">
        <v>0</v>
      </c>
      <c r="AA17" s="40" t="n">
        <v>0</v>
      </c>
      <c r="AB17" s="40" t="n">
        <v>0</v>
      </c>
      <c r="AC17" s="40" t="n">
        <v>0</v>
      </c>
      <c r="AD17" s="40" t="n">
        <v>0</v>
      </c>
      <c r="AE17" s="40" t="n">
        <v>0</v>
      </c>
      <c r="AF17" s="40" t="n">
        <v>0</v>
      </c>
      <c r="AG17" s="40" t="n">
        <v>0</v>
      </c>
      <c r="AH17" s="40" t="n">
        <v>0</v>
      </c>
      <c r="AI17" s="40" t="n">
        <v>0</v>
      </c>
      <c r="AJ17" s="40" t="n">
        <v>0</v>
      </c>
      <c r="AK17" s="40" t="n">
        <v>0</v>
      </c>
      <c r="AL17" s="40" t="n">
        <v>0</v>
      </c>
      <c r="AM17" s="40" t="n">
        <v>0</v>
      </c>
      <c r="AN17" s="40" t="n">
        <v>0</v>
      </c>
      <c r="AO17" s="40" t="n">
        <v>0</v>
      </c>
      <c r="AP17" s="40" t="n">
        <v>0</v>
      </c>
      <c r="AQ17" s="40" t="n">
        <v>0</v>
      </c>
      <c r="AR17" s="40" t="n">
        <v>0</v>
      </c>
      <c r="AS17" s="40" t="n">
        <v>0</v>
      </c>
      <c r="AT17" s="40" t="n">
        <v>0</v>
      </c>
      <c r="AU17" s="40" t="n">
        <v>0</v>
      </c>
      <c r="AV17" s="40" t="n">
        <v>0</v>
      </c>
      <c r="AW17" s="40" t="n">
        <v>0</v>
      </c>
      <c r="AX17" s="40" t="n">
        <v>0</v>
      </c>
      <c r="AY17" s="40" t="n">
        <v>0</v>
      </c>
      <c r="AZ17" s="40" t="n">
        <v>0</v>
      </c>
      <c r="BA17" s="40" t="n">
        <v>0</v>
      </c>
      <c r="BB17" s="40" t="n">
        <v>0</v>
      </c>
      <c r="BC17" s="40" t="n">
        <v>0</v>
      </c>
      <c r="BD17" s="40" t="n">
        <v>0</v>
      </c>
      <c r="BE17" s="40" t="n">
        <v>0</v>
      </c>
      <c r="BF17" s="40" t="n">
        <v>0</v>
      </c>
      <c r="BG17" s="40" t="n">
        <v>0</v>
      </c>
      <c r="BH17" s="40" t="n">
        <v>0</v>
      </c>
      <c r="BI17" s="46" t="n">
        <v>0</v>
      </c>
    </row>
    <row r="18">
      <c r="A18" s="40" t="inlineStr">
        <is>
          <t>F16</t>
        </is>
      </c>
      <c r="B18" s="46" t="n">
        <v>0</v>
      </c>
      <c r="C18" s="96" t="n">
        <v>0</v>
      </c>
      <c r="D18" s="46" t="n">
        <v>0</v>
      </c>
      <c r="E18" s="46" t="n">
        <v>0</v>
      </c>
      <c r="F18" s="46" t="n">
        <v>0</v>
      </c>
      <c r="G18" s="46" t="n">
        <v>0</v>
      </c>
      <c r="H18" s="46" t="n">
        <v>0</v>
      </c>
      <c r="I18" s="46" t="n">
        <v>0</v>
      </c>
      <c r="J18" s="46" t="n">
        <v>0</v>
      </c>
      <c r="K18" s="40" t="n">
        <v>0</v>
      </c>
      <c r="L18" s="40" t="n">
        <v>0</v>
      </c>
      <c r="M18" s="40" t="n">
        <v>0</v>
      </c>
      <c r="N18" s="40" t="n">
        <v>0</v>
      </c>
      <c r="O18" s="40" t="n">
        <v>0</v>
      </c>
      <c r="P18" s="40" t="n">
        <v>0</v>
      </c>
      <c r="Q18" s="40" t="n">
        <v>0</v>
      </c>
      <c r="R18" s="40" t="n">
        <v>0</v>
      </c>
      <c r="S18" s="40" t="n">
        <v>0</v>
      </c>
      <c r="T18" s="40" t="n">
        <v>0</v>
      </c>
      <c r="U18" s="40" t="n">
        <v>0</v>
      </c>
      <c r="V18" s="40" t="n">
        <v>0</v>
      </c>
      <c r="W18" s="40" t="n">
        <v>0</v>
      </c>
      <c r="X18" s="40" t="n">
        <v>0</v>
      </c>
      <c r="Y18" s="40" t="n">
        <v>0</v>
      </c>
      <c r="Z18" s="40" t="n">
        <v>0</v>
      </c>
      <c r="AA18" s="40" t="n">
        <v>0</v>
      </c>
      <c r="AB18" s="40" t="n">
        <v>0</v>
      </c>
      <c r="AC18" s="40" t="n">
        <v>0</v>
      </c>
      <c r="AD18" s="40" t="n">
        <v>0</v>
      </c>
      <c r="AE18" s="40" t="n">
        <v>0</v>
      </c>
      <c r="AF18" s="40" t="n">
        <v>0</v>
      </c>
      <c r="AG18" s="40" t="n">
        <v>0</v>
      </c>
      <c r="AH18" s="40" t="n">
        <v>0</v>
      </c>
      <c r="AI18" s="40" t="n">
        <v>0</v>
      </c>
      <c r="AJ18" s="40" t="n">
        <v>0</v>
      </c>
      <c r="AK18" s="40" t="n">
        <v>0</v>
      </c>
      <c r="AL18" s="40" t="n">
        <v>0</v>
      </c>
      <c r="AM18" s="40" t="n">
        <v>0</v>
      </c>
      <c r="AN18" s="40" t="n">
        <v>0</v>
      </c>
      <c r="AO18" s="40" t="n">
        <v>0</v>
      </c>
      <c r="AP18" s="40" t="n">
        <v>0</v>
      </c>
      <c r="AQ18" s="40" t="n">
        <v>0</v>
      </c>
      <c r="AR18" s="40" t="n">
        <v>0</v>
      </c>
      <c r="AS18" s="40" t="n">
        <v>0</v>
      </c>
      <c r="AT18" s="40" t="n">
        <v>0</v>
      </c>
      <c r="AU18" s="40" t="n">
        <v>0</v>
      </c>
      <c r="AV18" s="40" t="n">
        <v>0</v>
      </c>
      <c r="AW18" s="40" t="n">
        <v>0</v>
      </c>
      <c r="AX18" s="40" t="n">
        <v>0</v>
      </c>
      <c r="AY18" s="40" t="n">
        <v>0</v>
      </c>
      <c r="AZ18" s="40" t="n">
        <v>0</v>
      </c>
      <c r="BA18" s="40" t="n">
        <v>0</v>
      </c>
      <c r="BB18" s="40" t="n">
        <v>0</v>
      </c>
      <c r="BC18" s="40" t="n">
        <v>0</v>
      </c>
      <c r="BD18" s="40" t="n">
        <v>0</v>
      </c>
      <c r="BE18" s="40" t="n">
        <v>0</v>
      </c>
      <c r="BF18" s="40" t="n">
        <v>0</v>
      </c>
      <c r="BG18" s="40" t="n">
        <v>0</v>
      </c>
      <c r="BH18" s="40" t="n">
        <v>0</v>
      </c>
      <c r="BI18" s="46" t="n">
        <v>0</v>
      </c>
    </row>
    <row r="19">
      <c r="A19" s="40" t="inlineStr">
        <is>
          <t>G1</t>
        </is>
      </c>
      <c r="B19" s="46" t="n">
        <v>0</v>
      </c>
      <c r="C19" s="96" t="n">
        <v>0</v>
      </c>
      <c r="D19" s="46" t="n">
        <v>0</v>
      </c>
      <c r="E19" s="46" t="n">
        <v>0</v>
      </c>
      <c r="F19" s="46" t="n">
        <v>0</v>
      </c>
      <c r="G19" s="46" t="n">
        <v>0</v>
      </c>
      <c r="H19" s="46" t="n">
        <v>0</v>
      </c>
      <c r="I19" s="46" t="n">
        <v>0</v>
      </c>
      <c r="J19" s="46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0" t="n">
        <v>0</v>
      </c>
      <c r="V19" s="40" t="n">
        <v>0</v>
      </c>
      <c r="W19" s="40" t="n">
        <v>0</v>
      </c>
      <c r="X19" s="40" t="n">
        <v>0</v>
      </c>
      <c r="Y19" s="40" t="n">
        <v>0</v>
      </c>
      <c r="Z19" s="40" t="n">
        <v>0</v>
      </c>
      <c r="AA19" s="40" t="n">
        <v>0</v>
      </c>
      <c r="AB19" s="40" t="n">
        <v>0</v>
      </c>
      <c r="AC19" s="40" t="n">
        <v>0</v>
      </c>
      <c r="AD19" s="40" t="n">
        <v>0</v>
      </c>
      <c r="AE19" s="40" t="n">
        <v>0</v>
      </c>
      <c r="AF19" s="40" t="n">
        <v>0</v>
      </c>
      <c r="AG19" s="40" t="n">
        <v>0</v>
      </c>
      <c r="AH19" s="40" t="n">
        <v>0</v>
      </c>
      <c r="AI19" s="40" t="n">
        <v>0</v>
      </c>
      <c r="AJ19" s="40" t="n">
        <v>0</v>
      </c>
      <c r="AK19" s="40" t="n">
        <v>0</v>
      </c>
      <c r="AL19" s="40" t="n">
        <v>0</v>
      </c>
      <c r="AM19" s="40" t="n">
        <v>0</v>
      </c>
      <c r="AN19" s="40" t="n">
        <v>0</v>
      </c>
      <c r="AO19" s="40" t="n">
        <v>0</v>
      </c>
      <c r="AP19" s="40" t="n">
        <v>0</v>
      </c>
      <c r="AQ19" s="40" t="n">
        <v>0</v>
      </c>
      <c r="AR19" s="40" t="n">
        <v>0</v>
      </c>
      <c r="AS19" s="40" t="n">
        <v>0</v>
      </c>
      <c r="AT19" s="40" t="n">
        <v>0</v>
      </c>
      <c r="AU19" s="40" t="n">
        <v>0</v>
      </c>
      <c r="AV19" s="40" t="n">
        <v>0</v>
      </c>
      <c r="AW19" s="40" t="n">
        <v>0</v>
      </c>
      <c r="AX19" s="40" t="n">
        <v>0</v>
      </c>
      <c r="AY19" s="40" t="n">
        <v>0</v>
      </c>
      <c r="AZ19" s="40" t="n">
        <v>0</v>
      </c>
      <c r="BA19" s="40" t="n">
        <v>0</v>
      </c>
      <c r="BB19" s="40" t="n">
        <v>0</v>
      </c>
      <c r="BC19" s="40" t="n">
        <v>0</v>
      </c>
      <c r="BD19" s="40" t="n">
        <v>0</v>
      </c>
      <c r="BE19" s="40" t="n">
        <v>0</v>
      </c>
      <c r="BF19" s="40" t="n">
        <v>0</v>
      </c>
      <c r="BG19" s="40" t="n">
        <v>0</v>
      </c>
      <c r="BH19" s="40" t="n">
        <v>0</v>
      </c>
      <c r="BI19" s="46" t="n">
        <v>0</v>
      </c>
    </row>
    <row r="20">
      <c r="A20" s="40" t="inlineStr">
        <is>
          <t>G2</t>
        </is>
      </c>
      <c r="B20" s="46" t="n">
        <v>0</v>
      </c>
      <c r="C20" s="96" t="n">
        <v>0</v>
      </c>
      <c r="D20" s="46" t="n">
        <v>0</v>
      </c>
      <c r="E20" s="46" t="n">
        <v>0</v>
      </c>
      <c r="F20" s="46" t="n">
        <v>0</v>
      </c>
      <c r="G20" s="46" t="n">
        <v>0</v>
      </c>
      <c r="H20" s="46" t="n">
        <v>0</v>
      </c>
      <c r="I20" s="46" t="n">
        <v>0</v>
      </c>
      <c r="J20" s="46" t="n">
        <v>0</v>
      </c>
      <c r="K20" s="40" t="n">
        <v>0</v>
      </c>
      <c r="L20" s="40" t="n">
        <v>0</v>
      </c>
      <c r="M20" s="40" t="n">
        <v>0</v>
      </c>
      <c r="N20" s="40" t="n">
        <v>0</v>
      </c>
      <c r="O20" s="40" t="n">
        <v>0</v>
      </c>
      <c r="P20" s="40" t="n">
        <v>0</v>
      </c>
      <c r="Q20" s="40" t="n">
        <v>0</v>
      </c>
      <c r="R20" s="40" t="n">
        <v>0</v>
      </c>
      <c r="S20" s="40" t="n">
        <v>0</v>
      </c>
      <c r="T20" s="40" t="n">
        <v>0</v>
      </c>
      <c r="U20" s="40" t="n">
        <v>0</v>
      </c>
      <c r="V20" s="40" t="n">
        <v>0</v>
      </c>
      <c r="W20" s="40" t="n">
        <v>0</v>
      </c>
      <c r="X20" s="40" t="n">
        <v>0</v>
      </c>
      <c r="Y20" s="40" t="n">
        <v>0</v>
      </c>
      <c r="Z20" s="40" t="n">
        <v>0</v>
      </c>
      <c r="AA20" s="40" t="n">
        <v>0</v>
      </c>
      <c r="AB20" s="40" t="n">
        <v>0</v>
      </c>
      <c r="AC20" s="40" t="n">
        <v>0</v>
      </c>
      <c r="AD20" s="40" t="n">
        <v>0</v>
      </c>
      <c r="AE20" s="40" t="n">
        <v>0</v>
      </c>
      <c r="AF20" s="40" t="n">
        <v>0</v>
      </c>
      <c r="AG20" s="40" t="n">
        <v>0</v>
      </c>
      <c r="AH20" s="40" t="n">
        <v>0</v>
      </c>
      <c r="AI20" s="40" t="n">
        <v>0</v>
      </c>
      <c r="AJ20" s="40" t="n">
        <v>0</v>
      </c>
      <c r="AK20" s="40" t="n">
        <v>0</v>
      </c>
      <c r="AL20" s="40" t="n">
        <v>0</v>
      </c>
      <c r="AM20" s="40" t="n">
        <v>0</v>
      </c>
      <c r="AN20" s="40" t="n">
        <v>0</v>
      </c>
      <c r="AO20" s="40" t="n">
        <v>0</v>
      </c>
      <c r="AP20" s="40" t="n">
        <v>0</v>
      </c>
      <c r="AQ20" s="40" t="n">
        <v>0</v>
      </c>
      <c r="AR20" s="40" t="n">
        <v>0</v>
      </c>
      <c r="AS20" s="40" t="n">
        <v>0</v>
      </c>
      <c r="AT20" s="40" t="n">
        <v>0</v>
      </c>
      <c r="AU20" s="40" t="n">
        <v>0</v>
      </c>
      <c r="AV20" s="40" t="n">
        <v>0</v>
      </c>
      <c r="AW20" s="40" t="n">
        <v>0</v>
      </c>
      <c r="AX20" s="40" t="n">
        <v>0</v>
      </c>
      <c r="AY20" s="40" t="n">
        <v>0</v>
      </c>
      <c r="AZ20" s="40" t="n">
        <v>0</v>
      </c>
      <c r="BA20" s="40" t="n">
        <v>0</v>
      </c>
      <c r="BB20" s="40" t="n">
        <v>0</v>
      </c>
      <c r="BC20" s="40" t="n">
        <v>0</v>
      </c>
      <c r="BD20" s="40" t="n">
        <v>0</v>
      </c>
      <c r="BE20" s="40" t="n">
        <v>0</v>
      </c>
      <c r="BF20" s="40" t="n">
        <v>0</v>
      </c>
      <c r="BG20" s="40" t="n">
        <v>0</v>
      </c>
      <c r="BH20" s="40" t="n">
        <v>0</v>
      </c>
      <c r="BI20" s="46" t="n">
        <v>0</v>
      </c>
    </row>
    <row r="21">
      <c r="A21" s="40" t="inlineStr">
        <is>
          <t>G3</t>
        </is>
      </c>
      <c r="B21" s="46" t="n">
        <v>0</v>
      </c>
      <c r="C21" s="96" t="n">
        <v>0</v>
      </c>
      <c r="D21" s="46" t="n">
        <v>0</v>
      </c>
      <c r="E21" s="46" t="n">
        <v>0</v>
      </c>
      <c r="F21" s="46" t="n">
        <v>0</v>
      </c>
      <c r="G21" s="46" t="n">
        <v>0</v>
      </c>
      <c r="H21" s="46" t="n">
        <v>0</v>
      </c>
      <c r="I21" s="46" t="n">
        <v>0</v>
      </c>
      <c r="J21" s="46" t="n">
        <v>0</v>
      </c>
      <c r="K21" s="40" t="n">
        <v>0</v>
      </c>
      <c r="L21" s="40" t="n">
        <v>0</v>
      </c>
      <c r="M21" s="40" t="n">
        <v>0</v>
      </c>
      <c r="N21" s="40" t="n">
        <v>0</v>
      </c>
      <c r="O21" s="40" t="n">
        <v>0</v>
      </c>
      <c r="P21" s="40" t="n">
        <v>0</v>
      </c>
      <c r="Q21" s="40" t="n">
        <v>0</v>
      </c>
      <c r="R21" s="40" t="n">
        <v>0</v>
      </c>
      <c r="S21" s="40" t="n">
        <v>0</v>
      </c>
      <c r="T21" s="40" t="n">
        <v>0</v>
      </c>
      <c r="U21" s="40" t="n">
        <v>0</v>
      </c>
      <c r="V21" s="40" t="n">
        <v>0</v>
      </c>
      <c r="W21" s="40" t="n">
        <v>0</v>
      </c>
      <c r="X21" s="40" t="n">
        <v>0</v>
      </c>
      <c r="Y21" s="40" t="n">
        <v>0</v>
      </c>
      <c r="Z21" s="40" t="n">
        <v>0</v>
      </c>
      <c r="AA21" s="40" t="n">
        <v>0</v>
      </c>
      <c r="AB21" s="40" t="n">
        <v>0</v>
      </c>
      <c r="AC21" s="40" t="n">
        <v>0</v>
      </c>
      <c r="AD21" s="40" t="n">
        <v>0</v>
      </c>
      <c r="AE21" s="40" t="n">
        <v>0</v>
      </c>
      <c r="AF21" s="40" t="n">
        <v>0</v>
      </c>
      <c r="AG21" s="40" t="n">
        <v>0</v>
      </c>
      <c r="AH21" s="40" t="n">
        <v>0</v>
      </c>
      <c r="AI21" s="40" t="n">
        <v>0</v>
      </c>
      <c r="AJ21" s="40" t="n">
        <v>0</v>
      </c>
      <c r="AK21" s="40" t="n">
        <v>0</v>
      </c>
      <c r="AL21" s="40" t="n">
        <v>0</v>
      </c>
      <c r="AM21" s="40" t="n">
        <v>0</v>
      </c>
      <c r="AN21" s="40" t="n">
        <v>0</v>
      </c>
      <c r="AO21" s="40" t="n">
        <v>0</v>
      </c>
      <c r="AP21" s="40" t="n">
        <v>0</v>
      </c>
      <c r="AQ21" s="40" t="n">
        <v>0</v>
      </c>
      <c r="AR21" s="40" t="n">
        <v>0</v>
      </c>
      <c r="AS21" s="40" t="n">
        <v>0</v>
      </c>
      <c r="AT21" s="40" t="n">
        <v>0</v>
      </c>
      <c r="AU21" s="40" t="n">
        <v>0</v>
      </c>
      <c r="AV21" s="40" t="n">
        <v>0</v>
      </c>
      <c r="AW21" s="40" t="n">
        <v>0</v>
      </c>
      <c r="AX21" s="40" t="n">
        <v>0</v>
      </c>
      <c r="AY21" s="40" t="n">
        <v>0</v>
      </c>
      <c r="AZ21" s="40" t="n">
        <v>0</v>
      </c>
      <c r="BA21" s="40" t="n">
        <v>0</v>
      </c>
      <c r="BB21" s="40" t="n">
        <v>0</v>
      </c>
      <c r="BC21" s="40" t="n">
        <v>0</v>
      </c>
      <c r="BD21" s="40" t="n">
        <v>0</v>
      </c>
      <c r="BE21" s="40" t="n">
        <v>0</v>
      </c>
      <c r="BF21" s="40" t="n">
        <v>0</v>
      </c>
      <c r="BG21" s="40" t="n">
        <v>0</v>
      </c>
      <c r="BH21" s="40" t="n">
        <v>0</v>
      </c>
      <c r="BI21" s="46" t="n">
        <v>0</v>
      </c>
    </row>
    <row r="22">
      <c r="A22" s="40" t="inlineStr">
        <is>
          <t>G4</t>
        </is>
      </c>
      <c r="B22" s="46" t="n">
        <v>0</v>
      </c>
      <c r="C22" s="96" t="n">
        <v>0</v>
      </c>
      <c r="D22" s="46" t="n">
        <v>0</v>
      </c>
      <c r="E22" s="46" t="n">
        <v>0</v>
      </c>
      <c r="F22" s="46" t="n">
        <v>0</v>
      </c>
      <c r="G22" s="46" t="n">
        <v>0</v>
      </c>
      <c r="H22" s="46" t="n">
        <v>0</v>
      </c>
      <c r="I22" s="46" t="n">
        <v>0</v>
      </c>
      <c r="J22" s="46" t="n">
        <v>0</v>
      </c>
      <c r="K22" s="40" t="n">
        <v>0</v>
      </c>
      <c r="L22" s="40" t="n">
        <v>0</v>
      </c>
      <c r="M22" s="40" t="n">
        <v>0</v>
      </c>
      <c r="N22" s="40" t="n">
        <v>0</v>
      </c>
      <c r="O22" s="40" t="n">
        <v>0</v>
      </c>
      <c r="P22" s="40" t="n">
        <v>0</v>
      </c>
      <c r="Q22" s="40" t="n">
        <v>0</v>
      </c>
      <c r="R22" s="40" t="n">
        <v>0</v>
      </c>
      <c r="S22" s="40" t="n">
        <v>0</v>
      </c>
      <c r="T22" s="40" t="n">
        <v>0</v>
      </c>
      <c r="U22" s="40" t="n">
        <v>0</v>
      </c>
      <c r="V22" s="40" t="n">
        <v>0</v>
      </c>
      <c r="W22" s="40" t="n">
        <v>0</v>
      </c>
      <c r="X22" s="40" t="n">
        <v>0</v>
      </c>
      <c r="Y22" s="40" t="n">
        <v>0</v>
      </c>
      <c r="Z22" s="40" t="n">
        <v>0</v>
      </c>
      <c r="AA22" s="40" t="n">
        <v>0</v>
      </c>
      <c r="AB22" s="40" t="n">
        <v>0</v>
      </c>
      <c r="AC22" s="40" t="n">
        <v>0</v>
      </c>
      <c r="AD22" s="40" t="n">
        <v>0</v>
      </c>
      <c r="AE22" s="40" t="n">
        <v>0</v>
      </c>
      <c r="AF22" s="40" t="n">
        <v>0</v>
      </c>
      <c r="AG22" s="40" t="n">
        <v>0</v>
      </c>
      <c r="AH22" s="40" t="n">
        <v>0</v>
      </c>
      <c r="AI22" s="40" t="n">
        <v>0</v>
      </c>
      <c r="AJ22" s="40" t="n">
        <v>0</v>
      </c>
      <c r="AK22" s="40" t="n">
        <v>0</v>
      </c>
      <c r="AL22" s="40" t="n">
        <v>0</v>
      </c>
      <c r="AM22" s="40" t="n">
        <v>0</v>
      </c>
      <c r="AN22" s="40" t="n">
        <v>0</v>
      </c>
      <c r="AO22" s="40" t="n">
        <v>0</v>
      </c>
      <c r="AP22" s="40" t="n">
        <v>0</v>
      </c>
      <c r="AQ22" s="40" t="n">
        <v>0</v>
      </c>
      <c r="AR22" s="40" t="n">
        <v>0</v>
      </c>
      <c r="AS22" s="40" t="n">
        <v>0</v>
      </c>
      <c r="AT22" s="40" t="n">
        <v>0</v>
      </c>
      <c r="AU22" s="40" t="n">
        <v>0</v>
      </c>
      <c r="AV22" s="40" t="n">
        <v>0</v>
      </c>
      <c r="AW22" s="40" t="n">
        <v>0</v>
      </c>
      <c r="AX22" s="40" t="n">
        <v>0</v>
      </c>
      <c r="AY22" s="40" t="n">
        <v>0</v>
      </c>
      <c r="AZ22" s="40" t="n">
        <v>0</v>
      </c>
      <c r="BA22" s="40" t="n">
        <v>0</v>
      </c>
      <c r="BB22" s="40" t="n">
        <v>0</v>
      </c>
      <c r="BC22" s="40" t="n">
        <v>0</v>
      </c>
      <c r="BD22" s="40" t="n">
        <v>0</v>
      </c>
      <c r="BE22" s="40" t="n">
        <v>0</v>
      </c>
      <c r="BF22" s="40" t="n">
        <v>0</v>
      </c>
      <c r="BG22" s="40" t="n">
        <v>0</v>
      </c>
      <c r="BH22" s="40" t="n">
        <v>0</v>
      </c>
      <c r="BI22" s="46" t="n">
        <v>0</v>
      </c>
    </row>
    <row r="23">
      <c r="A23" s="40" t="inlineStr">
        <is>
          <t>G5</t>
        </is>
      </c>
      <c r="B23" s="46" t="n">
        <v>0</v>
      </c>
      <c r="C23" s="96" t="n">
        <v>0</v>
      </c>
      <c r="D23" s="46" t="n">
        <v>0</v>
      </c>
      <c r="E23" s="46" t="n">
        <v>0</v>
      </c>
      <c r="F23" s="46" t="n">
        <v>0</v>
      </c>
      <c r="G23" s="46" t="n">
        <v>0</v>
      </c>
      <c r="H23" s="46" t="n">
        <v>0</v>
      </c>
      <c r="I23" s="46" t="n">
        <v>0</v>
      </c>
      <c r="J23" s="46" t="n">
        <v>0</v>
      </c>
      <c r="K23" s="40" t="n">
        <v>0</v>
      </c>
      <c r="L23" s="40" t="n">
        <v>0</v>
      </c>
      <c r="M23" s="40" t="n">
        <v>0</v>
      </c>
      <c r="N23" s="40" t="n">
        <v>0</v>
      </c>
      <c r="O23" s="40" t="n">
        <v>0</v>
      </c>
      <c r="P23" s="40" t="n">
        <v>0</v>
      </c>
      <c r="Q23" s="40" t="n">
        <v>0</v>
      </c>
      <c r="R23" s="40" t="n">
        <v>0</v>
      </c>
      <c r="S23" s="40" t="n">
        <v>0</v>
      </c>
      <c r="T23" s="40" t="n">
        <v>0</v>
      </c>
      <c r="U23" s="40" t="n">
        <v>0</v>
      </c>
      <c r="V23" s="40" t="n">
        <v>0</v>
      </c>
      <c r="W23" s="40" t="n">
        <v>0</v>
      </c>
      <c r="X23" s="40" t="n">
        <v>0</v>
      </c>
      <c r="Y23" s="40" t="n">
        <v>0</v>
      </c>
      <c r="Z23" s="40" t="n">
        <v>0</v>
      </c>
      <c r="AA23" s="40" t="n">
        <v>0</v>
      </c>
      <c r="AB23" s="40" t="n">
        <v>0</v>
      </c>
      <c r="AC23" s="40" t="n">
        <v>0</v>
      </c>
      <c r="AD23" s="40" t="n">
        <v>0</v>
      </c>
      <c r="AE23" s="40" t="n">
        <v>0</v>
      </c>
      <c r="AF23" s="40" t="n">
        <v>0</v>
      </c>
      <c r="AG23" s="40" t="n">
        <v>0</v>
      </c>
      <c r="AH23" s="40" t="n">
        <v>0</v>
      </c>
      <c r="AI23" s="40" t="n">
        <v>0</v>
      </c>
      <c r="AJ23" s="40" t="n">
        <v>0</v>
      </c>
      <c r="AK23" s="40" t="n">
        <v>0</v>
      </c>
      <c r="AL23" s="40" t="n">
        <v>0</v>
      </c>
      <c r="AM23" s="40" t="n">
        <v>0</v>
      </c>
      <c r="AN23" s="40" t="n">
        <v>0</v>
      </c>
      <c r="AO23" s="40" t="n">
        <v>0</v>
      </c>
      <c r="AP23" s="40" t="n">
        <v>0</v>
      </c>
      <c r="AQ23" s="40" t="n">
        <v>0</v>
      </c>
      <c r="AR23" s="40" t="n">
        <v>0</v>
      </c>
      <c r="AS23" s="40" t="n">
        <v>0</v>
      </c>
      <c r="AT23" s="40" t="n">
        <v>0</v>
      </c>
      <c r="AU23" s="40" t="n">
        <v>0</v>
      </c>
      <c r="AV23" s="40" t="n">
        <v>0</v>
      </c>
      <c r="AW23" s="40" t="n">
        <v>0</v>
      </c>
      <c r="AX23" s="40" t="n">
        <v>0</v>
      </c>
      <c r="AY23" s="40" t="n">
        <v>0</v>
      </c>
      <c r="AZ23" s="40" t="n">
        <v>0</v>
      </c>
      <c r="BA23" s="40" t="n">
        <v>0</v>
      </c>
      <c r="BB23" s="40" t="n">
        <v>0</v>
      </c>
      <c r="BC23" s="40" t="n">
        <v>0</v>
      </c>
      <c r="BD23" s="40" t="n">
        <v>0</v>
      </c>
      <c r="BE23" s="40" t="n">
        <v>0</v>
      </c>
      <c r="BF23" s="40" t="n">
        <v>0</v>
      </c>
      <c r="BG23" s="40" t="n">
        <v>0</v>
      </c>
      <c r="BH23" s="40" t="n">
        <v>0</v>
      </c>
      <c r="BI23" s="46" t="n">
        <v>0</v>
      </c>
    </row>
    <row r="24">
      <c r="A24" s="40" t="inlineStr">
        <is>
          <t>G6</t>
        </is>
      </c>
      <c r="B24" s="46" t="n">
        <v>0</v>
      </c>
      <c r="C24" s="96" t="n">
        <v>0</v>
      </c>
      <c r="D24" s="46" t="n">
        <v>0</v>
      </c>
      <c r="E24" s="46" t="n">
        <v>0</v>
      </c>
      <c r="F24" s="46" t="n">
        <v>0</v>
      </c>
      <c r="G24" s="46" t="n">
        <v>0</v>
      </c>
      <c r="H24" s="46" t="n">
        <v>0</v>
      </c>
      <c r="I24" s="46" t="n">
        <v>0</v>
      </c>
      <c r="J24" s="46" t="n">
        <v>0</v>
      </c>
      <c r="K24" s="40" t="n">
        <v>0</v>
      </c>
      <c r="L24" s="40" t="n">
        <v>0</v>
      </c>
      <c r="M24" s="40" t="n">
        <v>0</v>
      </c>
      <c r="N24" s="40" t="n">
        <v>0</v>
      </c>
      <c r="O24" s="40" t="n">
        <v>0</v>
      </c>
      <c r="P24" s="40" t="n">
        <v>0</v>
      </c>
      <c r="Q24" s="40" t="n">
        <v>0</v>
      </c>
      <c r="R24" s="40" t="n">
        <v>0</v>
      </c>
      <c r="S24" s="40" t="n">
        <v>0</v>
      </c>
      <c r="T24" s="40" t="n">
        <v>0</v>
      </c>
      <c r="U24" s="40" t="n">
        <v>0</v>
      </c>
      <c r="V24" s="40" t="n">
        <v>0</v>
      </c>
      <c r="W24" s="40" t="n">
        <v>0</v>
      </c>
      <c r="X24" s="40" t="n">
        <v>0</v>
      </c>
      <c r="Y24" s="40" t="n">
        <v>0</v>
      </c>
      <c r="Z24" s="40" t="n">
        <v>0</v>
      </c>
      <c r="AA24" s="40" t="n">
        <v>0</v>
      </c>
      <c r="AB24" s="40" t="n">
        <v>0</v>
      </c>
      <c r="AC24" s="40" t="n">
        <v>0</v>
      </c>
      <c r="AD24" s="40" t="n">
        <v>0</v>
      </c>
      <c r="AE24" s="40" t="n">
        <v>0</v>
      </c>
      <c r="AF24" s="40" t="n">
        <v>0</v>
      </c>
      <c r="AG24" s="40" t="n">
        <v>0</v>
      </c>
      <c r="AH24" s="40" t="n">
        <v>0</v>
      </c>
      <c r="AI24" s="40" t="n">
        <v>0</v>
      </c>
      <c r="AJ24" s="40" t="n">
        <v>0</v>
      </c>
      <c r="AK24" s="40" t="n">
        <v>0</v>
      </c>
      <c r="AL24" s="40" t="n">
        <v>0</v>
      </c>
      <c r="AM24" s="40" t="n">
        <v>0</v>
      </c>
      <c r="AN24" s="40" t="n">
        <v>0</v>
      </c>
      <c r="AO24" s="40" t="n">
        <v>0</v>
      </c>
      <c r="AP24" s="40" t="n">
        <v>0</v>
      </c>
      <c r="AQ24" s="40" t="n">
        <v>0</v>
      </c>
      <c r="AR24" s="40" t="n">
        <v>0</v>
      </c>
      <c r="AS24" s="40" t="n">
        <v>0</v>
      </c>
      <c r="AT24" s="40" t="n">
        <v>0</v>
      </c>
      <c r="AU24" s="40" t="n">
        <v>0</v>
      </c>
      <c r="AV24" s="40" t="n">
        <v>0</v>
      </c>
      <c r="AW24" s="40" t="n">
        <v>0</v>
      </c>
      <c r="AX24" s="40" t="n">
        <v>0</v>
      </c>
      <c r="AY24" s="40" t="n">
        <v>0</v>
      </c>
      <c r="AZ24" s="40" t="n">
        <v>0</v>
      </c>
      <c r="BA24" s="40" t="n">
        <v>0</v>
      </c>
      <c r="BB24" s="40" t="n">
        <v>0</v>
      </c>
      <c r="BC24" s="40" t="n">
        <v>0</v>
      </c>
      <c r="BD24" s="40" t="n">
        <v>0</v>
      </c>
      <c r="BE24" s="40" t="n">
        <v>0</v>
      </c>
      <c r="BF24" s="40" t="n">
        <v>0</v>
      </c>
      <c r="BG24" s="40" t="n">
        <v>0</v>
      </c>
      <c r="BH24" s="40" t="n">
        <v>0</v>
      </c>
      <c r="BI24" s="46" t="n">
        <v>0</v>
      </c>
    </row>
    <row r="25">
      <c r="A25" s="40" t="inlineStr">
        <is>
          <t>G7</t>
        </is>
      </c>
      <c r="B25" s="46" t="n">
        <v>0</v>
      </c>
      <c r="C25" s="96" t="n">
        <v>0</v>
      </c>
      <c r="D25" s="46" t="n">
        <v>0</v>
      </c>
      <c r="E25" s="46" t="n">
        <v>0</v>
      </c>
      <c r="F25" s="46" t="n">
        <v>0</v>
      </c>
      <c r="G25" s="46" t="n">
        <v>0</v>
      </c>
      <c r="H25" s="46" t="n">
        <v>0</v>
      </c>
      <c r="I25" s="46" t="n">
        <v>0</v>
      </c>
      <c r="J25" s="46" t="n">
        <v>0</v>
      </c>
      <c r="K25" s="40" t="n">
        <v>0</v>
      </c>
      <c r="L25" s="40" t="n">
        <v>0</v>
      </c>
      <c r="M25" s="40" t="n">
        <v>0</v>
      </c>
      <c r="N25" s="40" t="n">
        <v>0</v>
      </c>
      <c r="O25" s="40" t="n">
        <v>0</v>
      </c>
      <c r="P25" s="40" t="n">
        <v>0</v>
      </c>
      <c r="Q25" s="40" t="n">
        <v>0</v>
      </c>
      <c r="R25" s="40" t="n">
        <v>0</v>
      </c>
      <c r="S25" s="40" t="n">
        <v>0</v>
      </c>
      <c r="T25" s="40" t="n">
        <v>0</v>
      </c>
      <c r="U25" s="40" t="n">
        <v>0</v>
      </c>
      <c r="V25" s="40" t="n">
        <v>0</v>
      </c>
      <c r="W25" s="40" t="n">
        <v>0</v>
      </c>
      <c r="X25" s="40" t="n">
        <v>0</v>
      </c>
      <c r="Y25" s="40" t="n">
        <v>0</v>
      </c>
      <c r="Z25" s="40" t="n">
        <v>0</v>
      </c>
      <c r="AA25" s="40" t="n">
        <v>0</v>
      </c>
      <c r="AB25" s="40" t="n">
        <v>0</v>
      </c>
      <c r="AC25" s="40" t="n">
        <v>0</v>
      </c>
      <c r="AD25" s="40" t="n">
        <v>0</v>
      </c>
      <c r="AE25" s="40" t="n">
        <v>0</v>
      </c>
      <c r="AF25" s="40" t="n">
        <v>0</v>
      </c>
      <c r="AG25" s="40" t="n">
        <v>0</v>
      </c>
      <c r="AH25" s="40" t="n">
        <v>0</v>
      </c>
      <c r="AI25" s="40" t="n">
        <v>0</v>
      </c>
      <c r="AJ25" s="40" t="n">
        <v>0</v>
      </c>
      <c r="AK25" s="40" t="n">
        <v>0</v>
      </c>
      <c r="AL25" s="40" t="n">
        <v>0</v>
      </c>
      <c r="AM25" s="40" t="n">
        <v>0</v>
      </c>
      <c r="AN25" s="40" t="n">
        <v>0</v>
      </c>
      <c r="AO25" s="40" t="n">
        <v>0</v>
      </c>
      <c r="AP25" s="40" t="n">
        <v>0</v>
      </c>
      <c r="AQ25" s="40" t="n">
        <v>0</v>
      </c>
      <c r="AR25" s="40" t="n">
        <v>0</v>
      </c>
      <c r="AS25" s="40" t="n">
        <v>0</v>
      </c>
      <c r="AT25" s="40" t="n">
        <v>0</v>
      </c>
      <c r="AU25" s="40" t="n">
        <v>0</v>
      </c>
      <c r="AV25" s="40" t="n">
        <v>0</v>
      </c>
      <c r="AW25" s="40" t="n">
        <v>0</v>
      </c>
      <c r="AX25" s="40" t="n">
        <v>0</v>
      </c>
      <c r="AY25" s="40" t="n">
        <v>0</v>
      </c>
      <c r="AZ25" s="40" t="n">
        <v>0</v>
      </c>
      <c r="BA25" s="40" t="n">
        <v>0</v>
      </c>
      <c r="BB25" s="40" t="n">
        <v>0</v>
      </c>
      <c r="BC25" s="40" t="n">
        <v>0</v>
      </c>
      <c r="BD25" s="40" t="n">
        <v>0</v>
      </c>
      <c r="BE25" s="40" t="n">
        <v>0</v>
      </c>
      <c r="BF25" s="40" t="n">
        <v>0</v>
      </c>
      <c r="BG25" s="40" t="n">
        <v>0</v>
      </c>
      <c r="BH25" s="40" t="n">
        <v>0</v>
      </c>
      <c r="BI25" s="46" t="n">
        <v>0</v>
      </c>
    </row>
    <row r="26">
      <c r="A26" s="40" t="inlineStr">
        <is>
          <t>G8</t>
        </is>
      </c>
      <c r="B26" s="46" t="n">
        <v>0</v>
      </c>
      <c r="C26" s="96" t="n">
        <v>0</v>
      </c>
      <c r="D26" s="46" t="n">
        <v>0</v>
      </c>
      <c r="E26" s="46" t="n">
        <v>0</v>
      </c>
      <c r="F26" s="46" t="n">
        <v>0</v>
      </c>
      <c r="G26" s="46" t="n">
        <v>0</v>
      </c>
      <c r="H26" s="46" t="n">
        <v>0</v>
      </c>
      <c r="I26" s="46" t="n">
        <v>0</v>
      </c>
      <c r="J26" s="46" t="n">
        <v>0</v>
      </c>
      <c r="K26" s="40" t="n">
        <v>0</v>
      </c>
      <c r="L26" s="40" t="n">
        <v>0</v>
      </c>
      <c r="M26" s="40" t="n">
        <v>0</v>
      </c>
      <c r="N26" s="40" t="n">
        <v>0</v>
      </c>
      <c r="O26" s="40" t="n">
        <v>0</v>
      </c>
      <c r="P26" s="40" t="n">
        <v>0</v>
      </c>
      <c r="Q26" s="40" t="n">
        <v>0</v>
      </c>
      <c r="R26" s="40" t="n">
        <v>0</v>
      </c>
      <c r="S26" s="40" t="n">
        <v>0</v>
      </c>
      <c r="T26" s="40" t="n">
        <v>0</v>
      </c>
      <c r="U26" s="40" t="n">
        <v>0</v>
      </c>
      <c r="V26" s="40" t="n">
        <v>0</v>
      </c>
      <c r="W26" s="40" t="n">
        <v>0</v>
      </c>
      <c r="X26" s="40" t="n">
        <v>0</v>
      </c>
      <c r="Y26" s="40" t="n">
        <v>0</v>
      </c>
      <c r="Z26" s="40" t="n">
        <v>0</v>
      </c>
      <c r="AA26" s="40" t="n">
        <v>0</v>
      </c>
      <c r="AB26" s="40" t="n">
        <v>0</v>
      </c>
      <c r="AC26" s="40" t="n">
        <v>0</v>
      </c>
      <c r="AD26" s="40" t="n">
        <v>0</v>
      </c>
      <c r="AE26" s="40" t="n">
        <v>0</v>
      </c>
      <c r="AF26" s="40" t="n">
        <v>0</v>
      </c>
      <c r="AG26" s="40" t="n">
        <v>0</v>
      </c>
      <c r="AH26" s="40" t="n">
        <v>0</v>
      </c>
      <c r="AI26" s="40" t="n">
        <v>0</v>
      </c>
      <c r="AJ26" s="40" t="n">
        <v>0</v>
      </c>
      <c r="AK26" s="40" t="n">
        <v>0</v>
      </c>
      <c r="AL26" s="40" t="n">
        <v>0</v>
      </c>
      <c r="AM26" s="40" t="n">
        <v>0</v>
      </c>
      <c r="AN26" s="40" t="n">
        <v>0</v>
      </c>
      <c r="AO26" s="40" t="n">
        <v>0</v>
      </c>
      <c r="AP26" s="40" t="n">
        <v>0</v>
      </c>
      <c r="AQ26" s="40" t="n">
        <v>0</v>
      </c>
      <c r="AR26" s="40" t="n">
        <v>0</v>
      </c>
      <c r="AS26" s="40" t="n">
        <v>0</v>
      </c>
      <c r="AT26" s="40" t="n">
        <v>0</v>
      </c>
      <c r="AU26" s="40" t="n">
        <v>0</v>
      </c>
      <c r="AV26" s="40" t="n">
        <v>0</v>
      </c>
      <c r="AW26" s="40" t="n">
        <v>0</v>
      </c>
      <c r="AX26" s="40" t="n">
        <v>0</v>
      </c>
      <c r="AY26" s="40" t="n">
        <v>0</v>
      </c>
      <c r="AZ26" s="40" t="n">
        <v>0</v>
      </c>
      <c r="BA26" s="40" t="n">
        <v>0</v>
      </c>
      <c r="BB26" s="40" t="n">
        <v>0</v>
      </c>
      <c r="BC26" s="40" t="n">
        <v>0</v>
      </c>
      <c r="BD26" s="40" t="n">
        <v>0</v>
      </c>
      <c r="BE26" s="40" t="n">
        <v>0</v>
      </c>
      <c r="BF26" s="40" t="n">
        <v>0</v>
      </c>
      <c r="BG26" s="40" t="n">
        <v>0</v>
      </c>
      <c r="BH26" s="40" t="n">
        <v>0</v>
      </c>
      <c r="BI26" s="46" t="n">
        <v>0</v>
      </c>
    </row>
    <row r="27">
      <c r="A27" s="40" t="inlineStr">
        <is>
          <t>G9</t>
        </is>
      </c>
      <c r="B27" s="46" t="n">
        <v>0</v>
      </c>
      <c r="C27" s="96" t="n">
        <v>0</v>
      </c>
      <c r="D27" s="46" t="n">
        <v>0</v>
      </c>
      <c r="E27" s="46" t="n">
        <v>0</v>
      </c>
      <c r="F27" s="46" t="n">
        <v>0</v>
      </c>
      <c r="G27" s="46" t="n">
        <v>0</v>
      </c>
      <c r="H27" s="46" t="n">
        <v>0</v>
      </c>
      <c r="I27" s="46" t="n">
        <v>0</v>
      </c>
      <c r="J27" s="46" t="n">
        <v>0</v>
      </c>
      <c r="K27" s="40" t="n">
        <v>0</v>
      </c>
      <c r="L27" s="40" t="n">
        <v>0</v>
      </c>
      <c r="M27" s="40" t="n">
        <v>0</v>
      </c>
      <c r="N27" s="40" t="n">
        <v>0</v>
      </c>
      <c r="O27" s="40" t="n">
        <v>0</v>
      </c>
      <c r="P27" s="40" t="n">
        <v>0</v>
      </c>
      <c r="Q27" s="40" t="n">
        <v>0</v>
      </c>
      <c r="R27" s="40" t="n">
        <v>0</v>
      </c>
      <c r="S27" s="40" t="n">
        <v>0</v>
      </c>
      <c r="T27" s="40" t="n">
        <v>0</v>
      </c>
      <c r="U27" s="40" t="n">
        <v>0</v>
      </c>
      <c r="V27" s="40" t="n">
        <v>0</v>
      </c>
      <c r="W27" s="40" t="n">
        <v>0</v>
      </c>
      <c r="X27" s="40" t="n">
        <v>0</v>
      </c>
      <c r="Y27" s="40" t="n">
        <v>0</v>
      </c>
      <c r="Z27" s="40" t="n">
        <v>0</v>
      </c>
      <c r="AA27" s="40" t="n">
        <v>0</v>
      </c>
      <c r="AB27" s="40" t="n">
        <v>0</v>
      </c>
      <c r="AC27" s="40" t="n">
        <v>0</v>
      </c>
      <c r="AD27" s="40" t="n">
        <v>0</v>
      </c>
      <c r="AE27" s="40" t="n">
        <v>0</v>
      </c>
      <c r="AF27" s="40" t="n">
        <v>0</v>
      </c>
      <c r="AG27" s="40" t="n">
        <v>0</v>
      </c>
      <c r="AH27" s="40" t="n">
        <v>0</v>
      </c>
      <c r="AI27" s="40" t="n">
        <v>0</v>
      </c>
      <c r="AJ27" s="40" t="n">
        <v>0</v>
      </c>
      <c r="AK27" s="40" t="n">
        <v>0</v>
      </c>
      <c r="AL27" s="40" t="n">
        <v>0</v>
      </c>
      <c r="AM27" s="40" t="n">
        <v>0</v>
      </c>
      <c r="AN27" s="40" t="n">
        <v>0</v>
      </c>
      <c r="AO27" s="40" t="n">
        <v>0</v>
      </c>
      <c r="AP27" s="40" t="n">
        <v>0</v>
      </c>
      <c r="AQ27" s="40" t="n">
        <v>0</v>
      </c>
      <c r="AR27" s="40" t="n">
        <v>0</v>
      </c>
      <c r="AS27" s="40" t="n">
        <v>0</v>
      </c>
      <c r="AT27" s="40" t="n">
        <v>0</v>
      </c>
      <c r="AU27" s="40" t="n">
        <v>0</v>
      </c>
      <c r="AV27" s="40" t="n">
        <v>0</v>
      </c>
      <c r="AW27" s="40" t="n">
        <v>0</v>
      </c>
      <c r="AX27" s="40" t="n">
        <v>0</v>
      </c>
      <c r="AY27" s="40" t="n">
        <v>0</v>
      </c>
      <c r="AZ27" s="40" t="n">
        <v>0</v>
      </c>
      <c r="BA27" s="40" t="n">
        <v>0</v>
      </c>
      <c r="BB27" s="40" t="n">
        <v>0</v>
      </c>
      <c r="BC27" s="40" t="n">
        <v>0</v>
      </c>
      <c r="BD27" s="40" t="n">
        <v>0</v>
      </c>
      <c r="BE27" s="40" t="n">
        <v>0</v>
      </c>
      <c r="BF27" s="40" t="n">
        <v>0</v>
      </c>
      <c r="BG27" s="40" t="n">
        <v>0</v>
      </c>
      <c r="BH27" s="40" t="n">
        <v>0</v>
      </c>
      <c r="BI27" s="46" t="n">
        <v>0</v>
      </c>
    </row>
    <row r="28">
      <c r="A28" s="40" t="inlineStr">
        <is>
          <t>G10</t>
        </is>
      </c>
      <c r="B28" s="46" t="n">
        <v>0</v>
      </c>
      <c r="C28" s="96" t="n">
        <v>0</v>
      </c>
      <c r="D28" s="46" t="n">
        <v>0</v>
      </c>
      <c r="E28" s="46" t="n">
        <v>0</v>
      </c>
      <c r="F28" s="46" t="n">
        <v>0</v>
      </c>
      <c r="G28" s="46" t="n">
        <v>0</v>
      </c>
      <c r="H28" s="46" t="n">
        <v>0</v>
      </c>
      <c r="I28" s="46" t="n">
        <v>0</v>
      </c>
      <c r="J28" s="46" t="n">
        <v>0</v>
      </c>
      <c r="K28" s="40" t="n">
        <v>0</v>
      </c>
      <c r="L28" s="40" t="n">
        <v>0</v>
      </c>
      <c r="M28" s="40" t="n">
        <v>0</v>
      </c>
      <c r="N28" s="40" t="n">
        <v>0</v>
      </c>
      <c r="O28" s="40" t="n">
        <v>0</v>
      </c>
      <c r="P28" s="40" t="n">
        <v>0</v>
      </c>
      <c r="Q28" s="40" t="n">
        <v>0</v>
      </c>
      <c r="R28" s="40" t="n">
        <v>0</v>
      </c>
      <c r="S28" s="40" t="n">
        <v>0</v>
      </c>
      <c r="T28" s="40" t="n">
        <v>0</v>
      </c>
      <c r="U28" s="40" t="n">
        <v>0</v>
      </c>
      <c r="V28" s="40" t="n">
        <v>0</v>
      </c>
      <c r="W28" s="40" t="n">
        <v>0</v>
      </c>
      <c r="X28" s="40" t="n">
        <v>0</v>
      </c>
      <c r="Y28" s="40" t="n">
        <v>0</v>
      </c>
      <c r="Z28" s="40" t="n">
        <v>0</v>
      </c>
      <c r="AA28" s="40" t="n">
        <v>0</v>
      </c>
      <c r="AB28" s="40" t="n">
        <v>0</v>
      </c>
      <c r="AC28" s="40" t="n">
        <v>0</v>
      </c>
      <c r="AD28" s="40" t="n">
        <v>0</v>
      </c>
      <c r="AE28" s="40" t="n">
        <v>0</v>
      </c>
      <c r="AF28" s="40" t="n">
        <v>0</v>
      </c>
      <c r="AG28" s="40" t="n">
        <v>0</v>
      </c>
      <c r="AH28" s="40" t="n">
        <v>0</v>
      </c>
      <c r="AI28" s="40" t="n">
        <v>0</v>
      </c>
      <c r="AJ28" s="40" t="n">
        <v>0</v>
      </c>
      <c r="AK28" s="40" t="n">
        <v>0</v>
      </c>
      <c r="AL28" s="40" t="n">
        <v>0</v>
      </c>
      <c r="AM28" s="40" t="n">
        <v>0</v>
      </c>
      <c r="AN28" s="40" t="n">
        <v>0</v>
      </c>
      <c r="AO28" s="40" t="n">
        <v>0</v>
      </c>
      <c r="AP28" s="40" t="n">
        <v>0</v>
      </c>
      <c r="AQ28" s="40" t="n">
        <v>0</v>
      </c>
      <c r="AR28" s="40" t="n">
        <v>0</v>
      </c>
      <c r="AS28" s="40" t="n">
        <v>0</v>
      </c>
      <c r="AT28" s="40" t="n">
        <v>0</v>
      </c>
      <c r="AU28" s="40" t="n">
        <v>0</v>
      </c>
      <c r="AV28" s="40" t="n">
        <v>0</v>
      </c>
      <c r="AW28" s="40" t="n">
        <v>0</v>
      </c>
      <c r="AX28" s="40" t="n">
        <v>0</v>
      </c>
      <c r="AY28" s="40" t="n">
        <v>0</v>
      </c>
      <c r="AZ28" s="40" t="n">
        <v>0</v>
      </c>
      <c r="BA28" s="40" t="n">
        <v>0</v>
      </c>
      <c r="BB28" s="40" t="n">
        <v>0</v>
      </c>
      <c r="BC28" s="40" t="n">
        <v>0</v>
      </c>
      <c r="BD28" s="40" t="n">
        <v>0</v>
      </c>
      <c r="BE28" s="40" t="n">
        <v>0</v>
      </c>
      <c r="BF28" s="40" t="n">
        <v>0</v>
      </c>
      <c r="BG28" s="40" t="n">
        <v>0</v>
      </c>
      <c r="BH28" s="40" t="n">
        <v>0</v>
      </c>
      <c r="BI28" s="46" t="n">
        <v>0</v>
      </c>
    </row>
    <row r="29">
      <c r="A29" s="40" t="inlineStr">
        <is>
          <t>G11</t>
        </is>
      </c>
      <c r="B29" s="46" t="n">
        <v>0</v>
      </c>
      <c r="C29" s="96" t="n">
        <v>0</v>
      </c>
      <c r="D29" s="46" t="n">
        <v>0</v>
      </c>
      <c r="E29" s="46" t="n">
        <v>0</v>
      </c>
      <c r="F29" s="46" t="n">
        <v>0</v>
      </c>
      <c r="G29" s="46" t="n">
        <v>0</v>
      </c>
      <c r="H29" s="46" t="n">
        <v>0</v>
      </c>
      <c r="I29" s="46" t="n">
        <v>0</v>
      </c>
      <c r="J29" s="46" t="n">
        <v>0</v>
      </c>
      <c r="K29" s="40" t="n">
        <v>0</v>
      </c>
      <c r="L29" s="40" t="n">
        <v>0</v>
      </c>
      <c r="M29" s="40" t="n">
        <v>0</v>
      </c>
      <c r="N29" s="40" t="n">
        <v>0</v>
      </c>
      <c r="O29" s="40" t="n">
        <v>0</v>
      </c>
      <c r="P29" s="40" t="n">
        <v>0</v>
      </c>
      <c r="Q29" s="40" t="n">
        <v>0</v>
      </c>
      <c r="R29" s="40" t="n">
        <v>0</v>
      </c>
      <c r="S29" s="40" t="n">
        <v>0</v>
      </c>
      <c r="T29" s="40" t="n">
        <v>0</v>
      </c>
      <c r="U29" s="40" t="n">
        <v>0</v>
      </c>
      <c r="V29" s="40" t="n">
        <v>0</v>
      </c>
      <c r="W29" s="40" t="n">
        <v>0</v>
      </c>
      <c r="X29" s="40" t="n">
        <v>0</v>
      </c>
      <c r="Y29" s="40" t="n">
        <v>0</v>
      </c>
      <c r="Z29" s="40" t="n">
        <v>0</v>
      </c>
      <c r="AA29" s="40" t="n">
        <v>0</v>
      </c>
      <c r="AB29" s="40" t="n">
        <v>0</v>
      </c>
      <c r="AC29" s="40" t="n">
        <v>0</v>
      </c>
      <c r="AD29" s="40" t="n">
        <v>0</v>
      </c>
      <c r="AE29" s="40" t="n">
        <v>0</v>
      </c>
      <c r="AF29" s="40" t="n">
        <v>0</v>
      </c>
      <c r="AG29" s="40" t="n">
        <v>0</v>
      </c>
      <c r="AH29" s="40" t="n">
        <v>0</v>
      </c>
      <c r="AI29" s="40" t="n">
        <v>0</v>
      </c>
      <c r="AJ29" s="40" t="n">
        <v>0</v>
      </c>
      <c r="AK29" s="40" t="n">
        <v>0</v>
      </c>
      <c r="AL29" s="40" t="n">
        <v>0</v>
      </c>
      <c r="AM29" s="40" t="n">
        <v>0</v>
      </c>
      <c r="AN29" s="40" t="n">
        <v>0</v>
      </c>
      <c r="AO29" s="40" t="n">
        <v>0</v>
      </c>
      <c r="AP29" s="40" t="n">
        <v>0</v>
      </c>
      <c r="AQ29" s="40" t="n">
        <v>0</v>
      </c>
      <c r="AR29" s="40" t="n">
        <v>0</v>
      </c>
      <c r="AS29" s="40" t="n">
        <v>0</v>
      </c>
      <c r="AT29" s="40" t="n">
        <v>0</v>
      </c>
      <c r="AU29" s="40" t="n">
        <v>0</v>
      </c>
      <c r="AV29" s="40" t="n">
        <v>0</v>
      </c>
      <c r="AW29" s="40" t="n">
        <v>0</v>
      </c>
      <c r="AX29" s="40" t="n">
        <v>0</v>
      </c>
      <c r="AY29" s="40" t="n">
        <v>0</v>
      </c>
      <c r="AZ29" s="40" t="n">
        <v>0</v>
      </c>
      <c r="BA29" s="40" t="n">
        <v>0</v>
      </c>
      <c r="BB29" s="40" t="n">
        <v>0</v>
      </c>
      <c r="BC29" s="40" t="n">
        <v>0</v>
      </c>
      <c r="BD29" s="40" t="n">
        <v>0</v>
      </c>
      <c r="BE29" s="40" t="n">
        <v>0</v>
      </c>
      <c r="BF29" s="40" t="n">
        <v>0</v>
      </c>
      <c r="BG29" s="40" t="n">
        <v>0</v>
      </c>
      <c r="BH29" s="40" t="n">
        <v>0</v>
      </c>
      <c r="BI29" s="46" t="n">
        <v>0</v>
      </c>
    </row>
    <row r="30">
      <c r="A30" s="40" t="inlineStr">
        <is>
          <t>G12</t>
        </is>
      </c>
      <c r="B30" s="46" t="n">
        <v>0</v>
      </c>
      <c r="C30" s="96" t="n">
        <v>0</v>
      </c>
      <c r="D30" s="46" t="n">
        <v>0</v>
      </c>
      <c r="E30" s="46" t="n">
        <v>0</v>
      </c>
      <c r="F30" s="46" t="n">
        <v>0</v>
      </c>
      <c r="G30" s="46" t="n">
        <v>0</v>
      </c>
      <c r="H30" s="46" t="n">
        <v>0</v>
      </c>
      <c r="I30" s="46" t="n">
        <v>0</v>
      </c>
      <c r="J30" s="46" t="n">
        <v>0</v>
      </c>
      <c r="K30" s="40" t="n">
        <v>0</v>
      </c>
      <c r="L30" s="40" t="n">
        <v>0</v>
      </c>
      <c r="M30" s="40" t="n">
        <v>0</v>
      </c>
      <c r="N30" s="40" t="n">
        <v>0</v>
      </c>
      <c r="O30" s="40" t="n">
        <v>0</v>
      </c>
      <c r="P30" s="40" t="n">
        <v>0</v>
      </c>
      <c r="Q30" s="40" t="n">
        <v>0</v>
      </c>
      <c r="R30" s="40" t="n">
        <v>0</v>
      </c>
      <c r="S30" s="40" t="n">
        <v>0</v>
      </c>
      <c r="T30" s="40" t="n">
        <v>0</v>
      </c>
      <c r="U30" s="40" t="n">
        <v>0</v>
      </c>
      <c r="V30" s="40" t="n">
        <v>0</v>
      </c>
      <c r="W30" s="40" t="n">
        <v>0</v>
      </c>
      <c r="X30" s="40" t="n">
        <v>0</v>
      </c>
      <c r="Y30" s="40" t="n">
        <v>0</v>
      </c>
      <c r="Z30" s="40" t="n">
        <v>0</v>
      </c>
      <c r="AA30" s="40" t="n">
        <v>0</v>
      </c>
      <c r="AB30" s="40" t="n">
        <v>0</v>
      </c>
      <c r="AC30" s="40" t="n">
        <v>0</v>
      </c>
      <c r="AD30" s="40" t="n">
        <v>0</v>
      </c>
      <c r="AE30" s="40" t="n">
        <v>0</v>
      </c>
      <c r="AF30" s="40" t="n">
        <v>0</v>
      </c>
      <c r="AG30" s="40" t="n">
        <v>0</v>
      </c>
      <c r="AH30" s="40" t="n">
        <v>0</v>
      </c>
      <c r="AI30" s="40" t="n">
        <v>0</v>
      </c>
      <c r="AJ30" s="40" t="n">
        <v>0</v>
      </c>
      <c r="AK30" s="40" t="n">
        <v>0</v>
      </c>
      <c r="AL30" s="40" t="n">
        <v>0</v>
      </c>
      <c r="AM30" s="40" t="n">
        <v>0</v>
      </c>
      <c r="AN30" s="40" t="n">
        <v>0</v>
      </c>
      <c r="AO30" s="40" t="n">
        <v>0</v>
      </c>
      <c r="AP30" s="40" t="n">
        <v>0</v>
      </c>
      <c r="AQ30" s="40" t="n">
        <v>0</v>
      </c>
      <c r="AR30" s="40" t="n">
        <v>0</v>
      </c>
      <c r="AS30" s="40" t="n">
        <v>0</v>
      </c>
      <c r="AT30" s="40" t="n">
        <v>0</v>
      </c>
      <c r="AU30" s="40" t="n">
        <v>0</v>
      </c>
      <c r="AV30" s="40" t="n">
        <v>0</v>
      </c>
      <c r="AW30" s="40" t="n">
        <v>0</v>
      </c>
      <c r="AX30" s="40" t="n">
        <v>0</v>
      </c>
      <c r="AY30" s="40" t="n">
        <v>0</v>
      </c>
      <c r="AZ30" s="40" t="n">
        <v>0</v>
      </c>
      <c r="BA30" s="40" t="n">
        <v>0</v>
      </c>
      <c r="BB30" s="40" t="n">
        <v>0</v>
      </c>
      <c r="BC30" s="40" t="n">
        <v>0</v>
      </c>
      <c r="BD30" s="40" t="n">
        <v>0</v>
      </c>
      <c r="BE30" s="40" t="n">
        <v>0</v>
      </c>
      <c r="BF30" s="40" t="n">
        <v>0</v>
      </c>
      <c r="BG30" s="40" t="n">
        <v>0</v>
      </c>
      <c r="BH30" s="40" t="n">
        <v>0</v>
      </c>
      <c r="BI30" s="46" t="n">
        <v>0</v>
      </c>
    </row>
    <row r="31">
      <c r="A31" s="40" t="inlineStr">
        <is>
          <t>G13</t>
        </is>
      </c>
      <c r="B31" s="46" t="n">
        <v>0</v>
      </c>
      <c r="C31" s="96" t="n">
        <v>0</v>
      </c>
      <c r="D31" s="46" t="n">
        <v>0</v>
      </c>
      <c r="E31" s="46" t="n">
        <v>0</v>
      </c>
      <c r="F31" s="46" t="n">
        <v>0</v>
      </c>
      <c r="G31" s="46" t="n">
        <v>0</v>
      </c>
      <c r="H31" s="46" t="n">
        <v>0</v>
      </c>
      <c r="I31" s="46" t="n">
        <v>0</v>
      </c>
      <c r="J31" s="46" t="n">
        <v>0</v>
      </c>
      <c r="K31" s="40" t="n">
        <v>0</v>
      </c>
      <c r="L31" s="40" t="n">
        <v>0</v>
      </c>
      <c r="M31" s="40" t="n">
        <v>0</v>
      </c>
      <c r="N31" s="40" t="n">
        <v>0</v>
      </c>
      <c r="O31" s="40" t="n">
        <v>0</v>
      </c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0" t="n">
        <v>0</v>
      </c>
      <c r="V31" s="40" t="n">
        <v>0</v>
      </c>
      <c r="W31" s="40" t="n">
        <v>0</v>
      </c>
      <c r="X31" s="40" t="n">
        <v>0</v>
      </c>
      <c r="Y31" s="40" t="n">
        <v>0</v>
      </c>
      <c r="Z31" s="40" t="n">
        <v>0</v>
      </c>
      <c r="AA31" s="40" t="n">
        <v>0</v>
      </c>
      <c r="AB31" s="40" t="n">
        <v>0</v>
      </c>
      <c r="AC31" s="40" t="n">
        <v>0</v>
      </c>
      <c r="AD31" s="40" t="n">
        <v>0</v>
      </c>
      <c r="AE31" s="40" t="n">
        <v>0</v>
      </c>
      <c r="AF31" s="40" t="n">
        <v>0</v>
      </c>
      <c r="AG31" s="40" t="n">
        <v>0</v>
      </c>
      <c r="AH31" s="40" t="n">
        <v>0</v>
      </c>
      <c r="AI31" s="40" t="n">
        <v>0</v>
      </c>
      <c r="AJ31" s="40" t="n">
        <v>0</v>
      </c>
      <c r="AK31" s="40" t="n">
        <v>0</v>
      </c>
      <c r="AL31" s="40" t="n">
        <v>0</v>
      </c>
      <c r="AM31" s="40" t="n">
        <v>0</v>
      </c>
      <c r="AN31" s="40" t="n">
        <v>0</v>
      </c>
      <c r="AO31" s="40" t="n">
        <v>0</v>
      </c>
      <c r="AP31" s="40" t="n">
        <v>0</v>
      </c>
      <c r="AQ31" s="40" t="n">
        <v>0</v>
      </c>
      <c r="AR31" s="40" t="n">
        <v>0</v>
      </c>
      <c r="AS31" s="40" t="n">
        <v>0</v>
      </c>
      <c r="AT31" s="40" t="n">
        <v>0</v>
      </c>
      <c r="AU31" s="40" t="n">
        <v>0</v>
      </c>
      <c r="AV31" s="40" t="n">
        <v>0</v>
      </c>
      <c r="AW31" s="40" t="n">
        <v>0</v>
      </c>
      <c r="AX31" s="40" t="n">
        <v>0</v>
      </c>
      <c r="AY31" s="40" t="n">
        <v>0</v>
      </c>
      <c r="AZ31" s="40" t="n">
        <v>0</v>
      </c>
      <c r="BA31" s="40" t="n">
        <v>0</v>
      </c>
      <c r="BB31" s="40" t="n">
        <v>0</v>
      </c>
      <c r="BC31" s="40" t="n">
        <v>0</v>
      </c>
      <c r="BD31" s="40" t="n">
        <v>0</v>
      </c>
      <c r="BE31" s="40" t="n">
        <v>0</v>
      </c>
      <c r="BF31" s="40" t="n">
        <v>0</v>
      </c>
      <c r="BG31" s="40" t="n">
        <v>0</v>
      </c>
      <c r="BH31" s="40" t="n">
        <v>0</v>
      </c>
      <c r="BI31" s="46" t="n">
        <v>0</v>
      </c>
    </row>
    <row r="32">
      <c r="A32" s="40" t="inlineStr">
        <is>
          <t>G14</t>
        </is>
      </c>
      <c r="B32" s="46" t="n">
        <v>0</v>
      </c>
      <c r="C32" s="96" t="n">
        <v>0</v>
      </c>
      <c r="D32" s="46" t="n">
        <v>0</v>
      </c>
      <c r="E32" s="46" t="n">
        <v>0</v>
      </c>
      <c r="F32" s="46" t="n">
        <v>0</v>
      </c>
      <c r="G32" s="46" t="n">
        <v>0</v>
      </c>
      <c r="H32" s="46" t="n">
        <v>0</v>
      </c>
      <c r="I32" s="46" t="n">
        <v>0</v>
      </c>
      <c r="J32" s="46" t="n">
        <v>0</v>
      </c>
      <c r="K32" s="40" t="n">
        <v>0</v>
      </c>
      <c r="L32" s="40" t="n">
        <v>0</v>
      </c>
      <c r="M32" s="40" t="n">
        <v>0</v>
      </c>
      <c r="N32" s="40" t="n">
        <v>0</v>
      </c>
      <c r="O32" s="40" t="n">
        <v>0</v>
      </c>
      <c r="P32" s="40" t="n">
        <v>0</v>
      </c>
      <c r="Q32" s="40" t="n">
        <v>0</v>
      </c>
      <c r="R32" s="40" t="n">
        <v>0</v>
      </c>
      <c r="S32" s="40" t="n">
        <v>0</v>
      </c>
      <c r="T32" s="40" t="n">
        <v>0</v>
      </c>
      <c r="U32" s="40" t="n">
        <v>0</v>
      </c>
      <c r="V32" s="40" t="n">
        <v>0</v>
      </c>
      <c r="W32" s="40" t="n">
        <v>0</v>
      </c>
      <c r="X32" s="40" t="n">
        <v>0</v>
      </c>
      <c r="Y32" s="40" t="n">
        <v>0</v>
      </c>
      <c r="Z32" s="40" t="n">
        <v>0</v>
      </c>
      <c r="AA32" s="40" t="n">
        <v>0</v>
      </c>
      <c r="AB32" s="40" t="n">
        <v>0</v>
      </c>
      <c r="AC32" s="40" t="n">
        <v>0</v>
      </c>
      <c r="AD32" s="40" t="n">
        <v>0</v>
      </c>
      <c r="AE32" s="40" t="n">
        <v>0</v>
      </c>
      <c r="AF32" s="40" t="n">
        <v>0</v>
      </c>
      <c r="AG32" s="40" t="n">
        <v>0</v>
      </c>
      <c r="AH32" s="40" t="n">
        <v>0</v>
      </c>
      <c r="AI32" s="40" t="n">
        <v>0</v>
      </c>
      <c r="AJ32" s="40" t="n">
        <v>0</v>
      </c>
      <c r="AK32" s="40" t="n">
        <v>0</v>
      </c>
      <c r="AL32" s="40" t="n">
        <v>0</v>
      </c>
      <c r="AM32" s="40" t="n">
        <v>0</v>
      </c>
      <c r="AN32" s="40" t="n">
        <v>0</v>
      </c>
      <c r="AO32" s="40" t="n">
        <v>0</v>
      </c>
      <c r="AP32" s="40" t="n">
        <v>0</v>
      </c>
      <c r="AQ32" s="40" t="n">
        <v>0</v>
      </c>
      <c r="AR32" s="40" t="n">
        <v>0</v>
      </c>
      <c r="AS32" s="40" t="n">
        <v>0</v>
      </c>
      <c r="AT32" s="40" t="n">
        <v>0</v>
      </c>
      <c r="AU32" s="40" t="n">
        <v>0</v>
      </c>
      <c r="AV32" s="40" t="n">
        <v>0</v>
      </c>
      <c r="AW32" s="40" t="n">
        <v>0</v>
      </c>
      <c r="AX32" s="40" t="n">
        <v>0</v>
      </c>
      <c r="AY32" s="40" t="n">
        <v>0</v>
      </c>
      <c r="AZ32" s="40" t="n">
        <v>0</v>
      </c>
      <c r="BA32" s="40" t="n">
        <v>0</v>
      </c>
      <c r="BB32" s="40" t="n">
        <v>0</v>
      </c>
      <c r="BC32" s="40" t="n">
        <v>0</v>
      </c>
      <c r="BD32" s="40" t="n">
        <v>0</v>
      </c>
      <c r="BE32" s="40" t="n">
        <v>0</v>
      </c>
      <c r="BF32" s="40" t="n">
        <v>0</v>
      </c>
      <c r="BG32" s="40" t="n">
        <v>0</v>
      </c>
      <c r="BH32" s="40" t="n">
        <v>0</v>
      </c>
      <c r="BI32" s="46" t="n">
        <v>0</v>
      </c>
    </row>
    <row r="33">
      <c r="A33" s="40" t="inlineStr">
        <is>
          <t>G15</t>
        </is>
      </c>
      <c r="B33" s="46" t="n">
        <v>0</v>
      </c>
      <c r="C33" s="96" t="n">
        <v>0</v>
      </c>
      <c r="D33" s="46" t="n">
        <v>0</v>
      </c>
      <c r="E33" s="46" t="n">
        <v>0</v>
      </c>
      <c r="F33" s="46" t="n">
        <v>0</v>
      </c>
      <c r="G33" s="46" t="n">
        <v>0</v>
      </c>
      <c r="H33" s="46" t="n">
        <v>0</v>
      </c>
      <c r="I33" s="46" t="n">
        <v>0</v>
      </c>
      <c r="J33" s="46" t="n">
        <v>0</v>
      </c>
      <c r="K33" s="40" t="n">
        <v>0</v>
      </c>
      <c r="L33" s="40" t="n">
        <v>0</v>
      </c>
      <c r="M33" s="40" t="n">
        <v>0</v>
      </c>
      <c r="N33" s="40" t="n">
        <v>0</v>
      </c>
      <c r="O33" s="40" t="n">
        <v>0</v>
      </c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0" t="n">
        <v>0</v>
      </c>
      <c r="V33" s="40" t="n">
        <v>0</v>
      </c>
      <c r="W33" s="40" t="n">
        <v>0</v>
      </c>
      <c r="X33" s="40" t="n">
        <v>0</v>
      </c>
      <c r="Y33" s="40" t="n">
        <v>0</v>
      </c>
      <c r="Z33" s="40" t="n">
        <v>0</v>
      </c>
      <c r="AA33" s="40" t="n">
        <v>0</v>
      </c>
      <c r="AB33" s="40" t="n">
        <v>0</v>
      </c>
      <c r="AC33" s="40" t="n">
        <v>0</v>
      </c>
      <c r="AD33" s="40" t="n">
        <v>0</v>
      </c>
      <c r="AE33" s="40" t="n">
        <v>0</v>
      </c>
      <c r="AF33" s="40" t="n">
        <v>0</v>
      </c>
      <c r="AG33" s="40" t="n">
        <v>0</v>
      </c>
      <c r="AH33" s="40" t="n">
        <v>0</v>
      </c>
      <c r="AI33" s="40" t="n">
        <v>0</v>
      </c>
      <c r="AJ33" s="40" t="n">
        <v>0</v>
      </c>
      <c r="AK33" s="40" t="n">
        <v>0</v>
      </c>
      <c r="AL33" s="40" t="n">
        <v>0</v>
      </c>
      <c r="AM33" s="40" t="n">
        <v>0</v>
      </c>
      <c r="AN33" s="40" t="n">
        <v>0</v>
      </c>
      <c r="AO33" s="40" t="n">
        <v>0</v>
      </c>
      <c r="AP33" s="40" t="n">
        <v>0</v>
      </c>
      <c r="AQ33" s="40" t="n">
        <v>0</v>
      </c>
      <c r="AR33" s="40" t="n">
        <v>0</v>
      </c>
      <c r="AS33" s="40" t="n">
        <v>0</v>
      </c>
      <c r="AT33" s="40" t="n">
        <v>0</v>
      </c>
      <c r="AU33" s="40" t="n">
        <v>0</v>
      </c>
      <c r="AV33" s="40" t="n">
        <v>0</v>
      </c>
      <c r="AW33" s="40" t="n">
        <v>0</v>
      </c>
      <c r="AX33" s="40" t="n">
        <v>0</v>
      </c>
      <c r="AY33" s="40" t="n">
        <v>0</v>
      </c>
      <c r="AZ33" s="40" t="n">
        <v>0</v>
      </c>
      <c r="BA33" s="40" t="n">
        <v>0</v>
      </c>
      <c r="BB33" s="40" t="n">
        <v>0</v>
      </c>
      <c r="BC33" s="40" t="n">
        <v>0</v>
      </c>
      <c r="BD33" s="40" t="n">
        <v>0</v>
      </c>
      <c r="BE33" s="40" t="n">
        <v>0</v>
      </c>
      <c r="BF33" s="40" t="n">
        <v>0</v>
      </c>
      <c r="BG33" s="40" t="n">
        <v>0</v>
      </c>
      <c r="BH33" s="40" t="n">
        <v>0</v>
      </c>
      <c r="BI33" s="46" t="n">
        <v>0</v>
      </c>
    </row>
    <row r="34">
      <c r="A34" s="40" t="inlineStr">
        <is>
          <t>G16</t>
        </is>
      </c>
      <c r="B34" s="46" t="n">
        <v>0</v>
      </c>
      <c r="C34" s="96" t="n">
        <v>0</v>
      </c>
      <c r="D34" s="46" t="n">
        <v>0</v>
      </c>
      <c r="E34" s="46" t="n">
        <v>0</v>
      </c>
      <c r="F34" s="46" t="n">
        <v>0</v>
      </c>
      <c r="G34" s="46" t="n">
        <v>0</v>
      </c>
      <c r="H34" s="46" t="n">
        <v>0</v>
      </c>
      <c r="I34" s="46" t="n">
        <v>0</v>
      </c>
      <c r="J34" s="46" t="n">
        <v>0</v>
      </c>
      <c r="K34" s="40" t="n">
        <v>0</v>
      </c>
      <c r="L34" s="40" t="n">
        <v>0</v>
      </c>
      <c r="M34" s="40" t="n">
        <v>0</v>
      </c>
      <c r="N34" s="40" t="n">
        <v>0</v>
      </c>
      <c r="O34" s="40" t="n">
        <v>0</v>
      </c>
      <c r="P34" s="40" t="n">
        <v>0</v>
      </c>
      <c r="Q34" s="40" t="n">
        <v>0</v>
      </c>
      <c r="R34" s="40" t="n">
        <v>0</v>
      </c>
      <c r="S34" s="40" t="n">
        <v>0</v>
      </c>
      <c r="T34" s="40" t="n">
        <v>0</v>
      </c>
      <c r="U34" s="40" t="n">
        <v>0</v>
      </c>
      <c r="V34" s="40" t="n">
        <v>0</v>
      </c>
      <c r="W34" s="40" t="n">
        <v>0</v>
      </c>
      <c r="X34" s="40" t="n">
        <v>0</v>
      </c>
      <c r="Y34" s="40" t="n">
        <v>0</v>
      </c>
      <c r="Z34" s="40" t="n">
        <v>0</v>
      </c>
      <c r="AA34" s="40" t="n">
        <v>0</v>
      </c>
      <c r="AB34" s="40" t="n">
        <v>0</v>
      </c>
      <c r="AC34" s="40" t="n">
        <v>0</v>
      </c>
      <c r="AD34" s="40" t="n">
        <v>0</v>
      </c>
      <c r="AE34" s="40" t="n">
        <v>0</v>
      </c>
      <c r="AF34" s="40" t="n">
        <v>0</v>
      </c>
      <c r="AG34" s="40" t="n">
        <v>0</v>
      </c>
      <c r="AH34" s="40" t="n">
        <v>0</v>
      </c>
      <c r="AI34" s="40" t="n">
        <v>0</v>
      </c>
      <c r="AJ34" s="40" t="n">
        <v>0</v>
      </c>
      <c r="AK34" s="40" t="n">
        <v>0</v>
      </c>
      <c r="AL34" s="40" t="n">
        <v>0</v>
      </c>
      <c r="AM34" s="40" t="n">
        <v>0</v>
      </c>
      <c r="AN34" s="40" t="n">
        <v>0</v>
      </c>
      <c r="AO34" s="40" t="n">
        <v>0</v>
      </c>
      <c r="AP34" s="40" t="n">
        <v>0</v>
      </c>
      <c r="AQ34" s="40" t="n">
        <v>0</v>
      </c>
      <c r="AR34" s="40" t="n">
        <v>0</v>
      </c>
      <c r="AS34" s="40" t="n">
        <v>0</v>
      </c>
      <c r="AT34" s="40" t="n">
        <v>0</v>
      </c>
      <c r="AU34" s="40" t="n">
        <v>0</v>
      </c>
      <c r="AV34" s="40" t="n">
        <v>0</v>
      </c>
      <c r="AW34" s="40" t="n">
        <v>0</v>
      </c>
      <c r="AX34" s="40" t="n">
        <v>0</v>
      </c>
      <c r="AY34" s="40" t="n">
        <v>0</v>
      </c>
      <c r="AZ34" s="40" t="n">
        <v>0</v>
      </c>
      <c r="BA34" s="40" t="n">
        <v>0</v>
      </c>
      <c r="BB34" s="40" t="n">
        <v>0</v>
      </c>
      <c r="BC34" s="40" t="n">
        <v>0</v>
      </c>
      <c r="BD34" s="40" t="n">
        <v>0</v>
      </c>
      <c r="BE34" s="40" t="n">
        <v>0</v>
      </c>
      <c r="BF34" s="40" t="n">
        <v>0</v>
      </c>
      <c r="BG34" s="40" t="n">
        <v>0</v>
      </c>
      <c r="BH34" s="40" t="n">
        <v>0</v>
      </c>
      <c r="BI34" s="46" t="n">
        <v>0</v>
      </c>
    </row>
    <row r="35">
      <c r="A35" s="40" t="inlineStr">
        <is>
          <t>S1</t>
        </is>
      </c>
      <c r="B35" s="46" t="n">
        <v>0</v>
      </c>
      <c r="C35" s="96" t="n">
        <v>0</v>
      </c>
      <c r="D35" s="46" t="n">
        <v>0</v>
      </c>
      <c r="E35" s="46" t="n">
        <v>0</v>
      </c>
      <c r="F35" s="46" t="n">
        <v>0</v>
      </c>
      <c r="G35" s="46" t="n">
        <v>0</v>
      </c>
      <c r="H35" s="46" t="n">
        <v>0</v>
      </c>
      <c r="I35" s="46" t="n">
        <v>0</v>
      </c>
      <c r="J35" s="46" t="n">
        <v>0</v>
      </c>
      <c r="K35" s="40" t="n">
        <v>0</v>
      </c>
      <c r="L35" s="40" t="n">
        <v>0</v>
      </c>
      <c r="M35" s="40" t="n">
        <v>0</v>
      </c>
      <c r="N35" s="40" t="n">
        <v>0</v>
      </c>
      <c r="O35" s="40" t="n">
        <v>0</v>
      </c>
      <c r="P35" s="40" t="n">
        <v>0</v>
      </c>
      <c r="Q35" s="40" t="n">
        <v>0</v>
      </c>
      <c r="R35" s="40" t="n">
        <v>0</v>
      </c>
      <c r="S35" s="40" t="n">
        <v>0</v>
      </c>
      <c r="T35" s="40" t="n">
        <v>0</v>
      </c>
      <c r="U35" s="40" t="n">
        <v>0</v>
      </c>
      <c r="V35" s="40" t="n">
        <v>0</v>
      </c>
      <c r="W35" s="40" t="n">
        <v>0</v>
      </c>
      <c r="X35" s="40" t="n">
        <v>0</v>
      </c>
      <c r="Y35" s="40" t="n">
        <v>0</v>
      </c>
      <c r="Z35" s="40" t="n">
        <v>0</v>
      </c>
      <c r="AA35" s="40" t="n">
        <v>0</v>
      </c>
      <c r="AB35" s="40" t="n">
        <v>0</v>
      </c>
      <c r="AC35" s="40" t="n">
        <v>0</v>
      </c>
      <c r="AD35" s="40" t="n">
        <v>0</v>
      </c>
      <c r="AE35" s="40" t="n">
        <v>0</v>
      </c>
      <c r="AF35" s="40" t="n">
        <v>0</v>
      </c>
      <c r="AG35" s="40" t="n">
        <v>0</v>
      </c>
      <c r="AH35" s="40" t="n">
        <v>0</v>
      </c>
      <c r="AI35" s="40" t="n">
        <v>0</v>
      </c>
      <c r="AJ35" s="40" t="n">
        <v>0</v>
      </c>
      <c r="AK35" s="40" t="n">
        <v>0</v>
      </c>
      <c r="AL35" s="40" t="n">
        <v>0</v>
      </c>
      <c r="AM35" s="40" t="n">
        <v>0</v>
      </c>
      <c r="AN35" s="40" t="n">
        <v>0</v>
      </c>
      <c r="AO35" s="40" t="n">
        <v>0</v>
      </c>
      <c r="AP35" s="40" t="n">
        <v>0</v>
      </c>
      <c r="AQ35" s="40" t="n">
        <v>0</v>
      </c>
      <c r="AR35" s="40" t="n">
        <v>0</v>
      </c>
      <c r="AS35" s="40" t="n">
        <v>0</v>
      </c>
      <c r="AT35" s="40" t="n">
        <v>0</v>
      </c>
      <c r="AU35" s="40" t="n">
        <v>0</v>
      </c>
      <c r="AV35" s="40" t="n">
        <v>0</v>
      </c>
      <c r="AW35" s="40" t="n">
        <v>0</v>
      </c>
      <c r="AX35" s="40" t="n">
        <v>0</v>
      </c>
      <c r="AY35" s="40" t="n">
        <v>0</v>
      </c>
      <c r="AZ35" s="40" t="n">
        <v>0</v>
      </c>
      <c r="BA35" s="40" t="n">
        <v>0</v>
      </c>
      <c r="BB35" s="40" t="n">
        <v>0</v>
      </c>
      <c r="BC35" s="40" t="n">
        <v>0</v>
      </c>
      <c r="BD35" s="40" t="n">
        <v>0</v>
      </c>
      <c r="BE35" s="40" t="n">
        <v>0</v>
      </c>
      <c r="BF35" s="40" t="n">
        <v>0</v>
      </c>
      <c r="BG35" s="40" t="n">
        <v>0</v>
      </c>
      <c r="BH35" s="40" t="n">
        <v>0</v>
      </c>
      <c r="BI35" s="46" t="n">
        <v>0</v>
      </c>
    </row>
    <row r="36">
      <c r="A36" s="40" t="inlineStr">
        <is>
          <t>S2</t>
        </is>
      </c>
      <c r="B36" s="46" t="n">
        <v>0</v>
      </c>
      <c r="C36" s="96" t="n">
        <v>0</v>
      </c>
      <c r="D36" s="46" t="n">
        <v>0</v>
      </c>
      <c r="E36" s="46" t="n">
        <v>0</v>
      </c>
      <c r="F36" s="46" t="n">
        <v>0</v>
      </c>
      <c r="G36" s="46" t="n">
        <v>0</v>
      </c>
      <c r="H36" s="46" t="n">
        <v>0</v>
      </c>
      <c r="I36" s="46" t="n">
        <v>0</v>
      </c>
      <c r="J36" s="46" t="n">
        <v>0</v>
      </c>
      <c r="K36" s="40" t="n">
        <v>0</v>
      </c>
      <c r="L36" s="40" t="n">
        <v>0</v>
      </c>
      <c r="M36" s="40" t="n">
        <v>0</v>
      </c>
      <c r="N36" s="40" t="n">
        <v>0</v>
      </c>
      <c r="O36" s="40" t="n">
        <v>0</v>
      </c>
      <c r="P36" s="40" t="n">
        <v>0</v>
      </c>
      <c r="Q36" s="40" t="n">
        <v>0</v>
      </c>
      <c r="R36" s="40" t="n">
        <v>0</v>
      </c>
      <c r="S36" s="40" t="n">
        <v>0</v>
      </c>
      <c r="T36" s="40" t="n">
        <v>0</v>
      </c>
      <c r="U36" s="40" t="n">
        <v>0</v>
      </c>
      <c r="V36" s="40" t="n">
        <v>0</v>
      </c>
      <c r="W36" s="40" t="n">
        <v>0</v>
      </c>
      <c r="X36" s="40" t="n">
        <v>0</v>
      </c>
      <c r="Y36" s="40" t="n">
        <v>0</v>
      </c>
      <c r="Z36" s="40" t="n">
        <v>0</v>
      </c>
      <c r="AA36" s="40" t="n">
        <v>0</v>
      </c>
      <c r="AB36" s="40" t="n">
        <v>0</v>
      </c>
      <c r="AC36" s="40" t="n">
        <v>0</v>
      </c>
      <c r="AD36" s="40" t="n">
        <v>0</v>
      </c>
      <c r="AE36" s="40" t="n">
        <v>0</v>
      </c>
      <c r="AF36" s="40" t="n">
        <v>0</v>
      </c>
      <c r="AG36" s="40" t="n">
        <v>0</v>
      </c>
      <c r="AH36" s="40" t="n">
        <v>0</v>
      </c>
      <c r="AI36" s="40" t="n">
        <v>0</v>
      </c>
      <c r="AJ36" s="40" t="n">
        <v>0</v>
      </c>
      <c r="AK36" s="40" t="n">
        <v>0</v>
      </c>
      <c r="AL36" s="40" t="n">
        <v>0</v>
      </c>
      <c r="AM36" s="40" t="n">
        <v>0</v>
      </c>
      <c r="AN36" s="40" t="n">
        <v>0</v>
      </c>
      <c r="AO36" s="40" t="n">
        <v>0</v>
      </c>
      <c r="AP36" s="40" t="n">
        <v>0</v>
      </c>
      <c r="AQ36" s="40" t="n">
        <v>0</v>
      </c>
      <c r="AR36" s="40" t="n">
        <v>0</v>
      </c>
      <c r="AS36" s="40" t="n">
        <v>0</v>
      </c>
      <c r="AT36" s="40" t="n">
        <v>0</v>
      </c>
      <c r="AU36" s="40" t="n">
        <v>0</v>
      </c>
      <c r="AV36" s="40" t="n">
        <v>0</v>
      </c>
      <c r="AW36" s="40" t="n">
        <v>0</v>
      </c>
      <c r="AX36" s="40" t="n">
        <v>0</v>
      </c>
      <c r="AY36" s="40" t="n">
        <v>0</v>
      </c>
      <c r="AZ36" s="40" t="n">
        <v>0</v>
      </c>
      <c r="BA36" s="40" t="n">
        <v>0</v>
      </c>
      <c r="BB36" s="40" t="n">
        <v>0</v>
      </c>
      <c r="BC36" s="40" t="n">
        <v>0</v>
      </c>
      <c r="BD36" s="40" t="n">
        <v>0</v>
      </c>
      <c r="BE36" s="40" t="n">
        <v>0</v>
      </c>
      <c r="BF36" s="40" t="n">
        <v>0</v>
      </c>
      <c r="BG36" s="40" t="n">
        <v>0</v>
      </c>
      <c r="BH36" s="40" t="n">
        <v>0</v>
      </c>
      <c r="BI36" s="46" t="n">
        <v>0</v>
      </c>
    </row>
    <row r="37">
      <c r="A37" s="40" t="inlineStr">
        <is>
          <t>S3</t>
        </is>
      </c>
      <c r="B37" s="46" t="n">
        <v>0</v>
      </c>
      <c r="C37" s="96" t="n">
        <v>0</v>
      </c>
      <c r="D37" s="46" t="n">
        <v>0</v>
      </c>
      <c r="E37" s="46" t="n">
        <v>0</v>
      </c>
      <c r="F37" s="46" t="n">
        <v>0</v>
      </c>
      <c r="G37" s="46" t="n">
        <v>0</v>
      </c>
      <c r="H37" s="46" t="n">
        <v>0</v>
      </c>
      <c r="I37" s="46" t="n">
        <v>0</v>
      </c>
      <c r="J37" s="46" t="n">
        <v>0</v>
      </c>
      <c r="K37" s="40" t="n">
        <v>0</v>
      </c>
      <c r="L37" s="40" t="n">
        <v>0</v>
      </c>
      <c r="M37" s="40" t="n">
        <v>0</v>
      </c>
      <c r="N37" s="40" t="n">
        <v>0</v>
      </c>
      <c r="O37" s="40" t="n">
        <v>0</v>
      </c>
      <c r="P37" s="40" t="n">
        <v>0</v>
      </c>
      <c r="Q37" s="40" t="n">
        <v>0</v>
      </c>
      <c r="R37" s="40" t="n">
        <v>0</v>
      </c>
      <c r="S37" s="40" t="n">
        <v>0</v>
      </c>
      <c r="T37" s="40" t="n">
        <v>0</v>
      </c>
      <c r="U37" s="40" t="n">
        <v>0</v>
      </c>
      <c r="V37" s="40" t="n">
        <v>0</v>
      </c>
      <c r="W37" s="40" t="n">
        <v>0</v>
      </c>
      <c r="X37" s="40" t="n">
        <v>0</v>
      </c>
      <c r="Y37" s="40" t="n">
        <v>0</v>
      </c>
      <c r="Z37" s="40" t="n">
        <v>0</v>
      </c>
      <c r="AA37" s="40" t="n">
        <v>0</v>
      </c>
      <c r="AB37" s="40" t="n">
        <v>0</v>
      </c>
      <c r="AC37" s="40" t="n">
        <v>0</v>
      </c>
      <c r="AD37" s="40" t="n">
        <v>0</v>
      </c>
      <c r="AE37" s="40" t="n">
        <v>0</v>
      </c>
      <c r="AF37" s="40" t="n">
        <v>0</v>
      </c>
      <c r="AG37" s="40" t="n">
        <v>0</v>
      </c>
      <c r="AH37" s="40" t="n">
        <v>0</v>
      </c>
      <c r="AI37" s="40" t="n">
        <v>0</v>
      </c>
      <c r="AJ37" s="40" t="n">
        <v>0</v>
      </c>
      <c r="AK37" s="40" t="n">
        <v>0</v>
      </c>
      <c r="AL37" s="40" t="n">
        <v>0</v>
      </c>
      <c r="AM37" s="40" t="n">
        <v>0</v>
      </c>
      <c r="AN37" s="40" t="n">
        <v>0</v>
      </c>
      <c r="AO37" s="40" t="n">
        <v>0</v>
      </c>
      <c r="AP37" s="40" t="n">
        <v>0</v>
      </c>
      <c r="AQ37" s="40" t="n">
        <v>0</v>
      </c>
      <c r="AR37" s="40" t="n">
        <v>0</v>
      </c>
      <c r="AS37" s="40" t="n">
        <v>0</v>
      </c>
      <c r="AT37" s="40" t="n">
        <v>0</v>
      </c>
      <c r="AU37" s="40" t="n">
        <v>0</v>
      </c>
      <c r="AV37" s="40" t="n">
        <v>0</v>
      </c>
      <c r="AW37" s="40" t="n">
        <v>0</v>
      </c>
      <c r="AX37" s="40" t="n">
        <v>0</v>
      </c>
      <c r="AY37" s="40" t="n">
        <v>0</v>
      </c>
      <c r="AZ37" s="40" t="n">
        <v>0</v>
      </c>
      <c r="BA37" s="40" t="n">
        <v>0</v>
      </c>
      <c r="BB37" s="40" t="n">
        <v>0</v>
      </c>
      <c r="BC37" s="40" t="n">
        <v>0</v>
      </c>
      <c r="BD37" s="40" t="n">
        <v>0</v>
      </c>
      <c r="BE37" s="40" t="n">
        <v>0</v>
      </c>
      <c r="BF37" s="40" t="n">
        <v>0</v>
      </c>
      <c r="BG37" s="40" t="n">
        <v>0</v>
      </c>
      <c r="BH37" s="40" t="n">
        <v>0</v>
      </c>
      <c r="BI37" s="46" t="n">
        <v>0</v>
      </c>
    </row>
    <row r="38">
      <c r="A38" s="40" t="inlineStr">
        <is>
          <t>S4</t>
        </is>
      </c>
      <c r="B38" s="46" t="n">
        <v>0</v>
      </c>
      <c r="C38" s="96" t="n">
        <v>0</v>
      </c>
      <c r="D38" s="46" t="n">
        <v>0</v>
      </c>
      <c r="E38" s="46" t="n">
        <v>0</v>
      </c>
      <c r="F38" s="46" t="n">
        <v>0</v>
      </c>
      <c r="G38" s="46" t="n">
        <v>0</v>
      </c>
      <c r="H38" s="46" t="n">
        <v>0</v>
      </c>
      <c r="I38" s="46" t="n">
        <v>0</v>
      </c>
      <c r="J38" s="46" t="n">
        <v>0</v>
      </c>
      <c r="K38" s="40" t="n">
        <v>0</v>
      </c>
      <c r="L38" s="40" t="n">
        <v>0</v>
      </c>
      <c r="M38" s="40" t="n">
        <v>0</v>
      </c>
      <c r="N38" s="40" t="n">
        <v>0</v>
      </c>
      <c r="O38" s="40" t="n">
        <v>0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0" t="n">
        <v>0</v>
      </c>
      <c r="V38" s="40" t="n">
        <v>0</v>
      </c>
      <c r="W38" s="40" t="n">
        <v>0</v>
      </c>
      <c r="X38" s="40" t="n">
        <v>0</v>
      </c>
      <c r="Y38" s="40" t="n">
        <v>0</v>
      </c>
      <c r="Z38" s="40" t="n">
        <v>0</v>
      </c>
      <c r="AA38" s="40" t="n">
        <v>0</v>
      </c>
      <c r="AB38" s="40" t="n">
        <v>0</v>
      </c>
      <c r="AC38" s="40" t="n">
        <v>0</v>
      </c>
      <c r="AD38" s="40" t="n">
        <v>0</v>
      </c>
      <c r="AE38" s="40" t="n">
        <v>0</v>
      </c>
      <c r="AF38" s="40" t="n">
        <v>0</v>
      </c>
      <c r="AG38" s="40" t="n">
        <v>0</v>
      </c>
      <c r="AH38" s="40" t="n">
        <v>0</v>
      </c>
      <c r="AI38" s="40" t="n">
        <v>0</v>
      </c>
      <c r="AJ38" s="40" t="n">
        <v>0</v>
      </c>
      <c r="AK38" s="40" t="n">
        <v>0</v>
      </c>
      <c r="AL38" s="40" t="n">
        <v>0</v>
      </c>
      <c r="AM38" s="40" t="n">
        <v>0</v>
      </c>
      <c r="AN38" s="40" t="n">
        <v>0</v>
      </c>
      <c r="AO38" s="40" t="n">
        <v>0</v>
      </c>
      <c r="AP38" s="40" t="n">
        <v>0</v>
      </c>
      <c r="AQ38" s="40" t="n">
        <v>0</v>
      </c>
      <c r="AR38" s="40" t="n">
        <v>0</v>
      </c>
      <c r="AS38" s="40" t="n">
        <v>0</v>
      </c>
      <c r="AT38" s="40" t="n">
        <v>0</v>
      </c>
      <c r="AU38" s="40" t="n">
        <v>0</v>
      </c>
      <c r="AV38" s="40" t="n">
        <v>0</v>
      </c>
      <c r="AW38" s="40" t="n">
        <v>0</v>
      </c>
      <c r="AX38" s="40" t="n">
        <v>0</v>
      </c>
      <c r="AY38" s="40" t="n">
        <v>0</v>
      </c>
      <c r="AZ38" s="40" t="n">
        <v>0</v>
      </c>
      <c r="BA38" s="40" t="n">
        <v>0</v>
      </c>
      <c r="BB38" s="40" t="n">
        <v>0</v>
      </c>
      <c r="BC38" s="40" t="n">
        <v>0</v>
      </c>
      <c r="BD38" s="40" t="n">
        <v>0</v>
      </c>
      <c r="BE38" s="40" t="n">
        <v>0</v>
      </c>
      <c r="BF38" s="40" t="n">
        <v>0</v>
      </c>
      <c r="BG38" s="40" t="n">
        <v>0</v>
      </c>
      <c r="BH38" s="40" t="n">
        <v>0</v>
      </c>
      <c r="BI38" s="46" t="n">
        <v>0</v>
      </c>
    </row>
    <row r="39">
      <c r="A39" s="40" t="inlineStr">
        <is>
          <t>S5</t>
        </is>
      </c>
      <c r="B39" s="46" t="n">
        <v>0</v>
      </c>
      <c r="C39" s="96" t="n">
        <v>0</v>
      </c>
      <c r="D39" s="46" t="n">
        <v>0</v>
      </c>
      <c r="E39" s="46" t="n">
        <v>0</v>
      </c>
      <c r="F39" s="46" t="n">
        <v>0</v>
      </c>
      <c r="G39" s="46" t="n">
        <v>0</v>
      </c>
      <c r="H39" s="46" t="n">
        <v>0</v>
      </c>
      <c r="I39" s="46" t="n">
        <v>0</v>
      </c>
      <c r="J39" s="46" t="n">
        <v>0</v>
      </c>
      <c r="K39" s="40" t="n">
        <v>0</v>
      </c>
      <c r="L39" s="40" t="n">
        <v>0</v>
      </c>
      <c r="M39" s="40" t="n">
        <v>0</v>
      </c>
      <c r="N39" s="40" t="n">
        <v>0</v>
      </c>
      <c r="O39" s="40" t="n">
        <v>0</v>
      </c>
      <c r="P39" s="40" t="n">
        <v>0</v>
      </c>
      <c r="Q39" s="40" t="n">
        <v>0</v>
      </c>
      <c r="R39" s="40" t="n">
        <v>0</v>
      </c>
      <c r="S39" s="40" t="n">
        <v>0</v>
      </c>
      <c r="T39" s="40" t="n">
        <v>0</v>
      </c>
      <c r="U39" s="40" t="n">
        <v>0</v>
      </c>
      <c r="V39" s="40" t="n">
        <v>0</v>
      </c>
      <c r="W39" s="40" t="n">
        <v>0</v>
      </c>
      <c r="X39" s="40" t="n">
        <v>0</v>
      </c>
      <c r="Y39" s="40" t="n">
        <v>0</v>
      </c>
      <c r="Z39" s="40" t="n">
        <v>0</v>
      </c>
      <c r="AA39" s="40" t="n">
        <v>0</v>
      </c>
      <c r="AB39" s="40" t="n">
        <v>0</v>
      </c>
      <c r="AC39" s="40" t="n">
        <v>0</v>
      </c>
      <c r="AD39" s="40" t="n">
        <v>0</v>
      </c>
      <c r="AE39" s="40" t="n">
        <v>0</v>
      </c>
      <c r="AF39" s="40" t="n">
        <v>0</v>
      </c>
      <c r="AG39" s="40" t="n">
        <v>0</v>
      </c>
      <c r="AH39" s="40" t="n">
        <v>0</v>
      </c>
      <c r="AI39" s="40" t="n">
        <v>0</v>
      </c>
      <c r="AJ39" s="40" t="n">
        <v>0</v>
      </c>
      <c r="AK39" s="40" t="n">
        <v>0</v>
      </c>
      <c r="AL39" s="40" t="n">
        <v>0</v>
      </c>
      <c r="AM39" s="40" t="n">
        <v>0</v>
      </c>
      <c r="AN39" s="40" t="n">
        <v>0</v>
      </c>
      <c r="AO39" s="40" t="n">
        <v>0</v>
      </c>
      <c r="AP39" s="40" t="n">
        <v>0</v>
      </c>
      <c r="AQ39" s="40" t="n">
        <v>0</v>
      </c>
      <c r="AR39" s="40" t="n">
        <v>0</v>
      </c>
      <c r="AS39" s="40" t="n">
        <v>0</v>
      </c>
      <c r="AT39" s="40" t="n">
        <v>0</v>
      </c>
      <c r="AU39" s="40" t="n">
        <v>0</v>
      </c>
      <c r="AV39" s="40" t="n">
        <v>0</v>
      </c>
      <c r="AW39" s="40" t="n">
        <v>0</v>
      </c>
      <c r="AX39" s="40" t="n">
        <v>0</v>
      </c>
      <c r="AY39" s="40" t="n">
        <v>0</v>
      </c>
      <c r="AZ39" s="40" t="n">
        <v>0</v>
      </c>
      <c r="BA39" s="40" t="n">
        <v>0</v>
      </c>
      <c r="BB39" s="40" t="n">
        <v>0</v>
      </c>
      <c r="BC39" s="40" t="n">
        <v>0</v>
      </c>
      <c r="BD39" s="40" t="n">
        <v>0</v>
      </c>
      <c r="BE39" s="40" t="n">
        <v>0</v>
      </c>
      <c r="BF39" s="40" t="n">
        <v>0</v>
      </c>
      <c r="BG39" s="40" t="n">
        <v>0</v>
      </c>
      <c r="BH39" s="40" t="n">
        <v>0</v>
      </c>
      <c r="BI39" s="46" t="n">
        <v>0</v>
      </c>
    </row>
    <row r="40">
      <c r="A40" s="40" t="inlineStr">
        <is>
          <t>S6</t>
        </is>
      </c>
      <c r="B40" s="46" t="n">
        <v>0</v>
      </c>
      <c r="C40" s="96" t="n">
        <v>0</v>
      </c>
      <c r="D40" s="46" t="n">
        <v>0</v>
      </c>
      <c r="E40" s="46" t="n">
        <v>0</v>
      </c>
      <c r="F40" s="46" t="n">
        <v>0</v>
      </c>
      <c r="G40" s="46" t="n">
        <v>0</v>
      </c>
      <c r="H40" s="46" t="n">
        <v>0</v>
      </c>
      <c r="I40" s="46" t="n">
        <v>0</v>
      </c>
      <c r="J40" s="46" t="n">
        <v>0</v>
      </c>
      <c r="K40" s="40" t="n">
        <v>0</v>
      </c>
      <c r="L40" s="40" t="n">
        <v>0</v>
      </c>
      <c r="M40" s="40" t="n">
        <v>0</v>
      </c>
      <c r="N40" s="40" t="n">
        <v>0</v>
      </c>
      <c r="O40" s="40" t="n">
        <v>0</v>
      </c>
      <c r="P40" s="40" t="n">
        <v>0</v>
      </c>
      <c r="Q40" s="40" t="n">
        <v>0</v>
      </c>
      <c r="R40" s="40" t="n">
        <v>0</v>
      </c>
      <c r="S40" s="40" t="n">
        <v>0</v>
      </c>
      <c r="T40" s="40" t="n">
        <v>0</v>
      </c>
      <c r="U40" s="40" t="n">
        <v>0</v>
      </c>
      <c r="V40" s="40" t="n">
        <v>0</v>
      </c>
      <c r="W40" s="40" t="n">
        <v>0</v>
      </c>
      <c r="X40" s="40" t="n">
        <v>0</v>
      </c>
      <c r="Y40" s="40" t="n">
        <v>0</v>
      </c>
      <c r="Z40" s="40" t="n">
        <v>0</v>
      </c>
      <c r="AA40" s="40" t="n">
        <v>0</v>
      </c>
      <c r="AB40" s="40" t="n">
        <v>0</v>
      </c>
      <c r="AC40" s="40" t="n">
        <v>0</v>
      </c>
      <c r="AD40" s="40" t="n">
        <v>0</v>
      </c>
      <c r="AE40" s="40" t="n">
        <v>0</v>
      </c>
      <c r="AF40" s="40" t="n">
        <v>0</v>
      </c>
      <c r="AG40" s="40" t="n">
        <v>0</v>
      </c>
      <c r="AH40" s="40" t="n">
        <v>0</v>
      </c>
      <c r="AI40" s="40" t="n">
        <v>0</v>
      </c>
      <c r="AJ40" s="40" t="n">
        <v>0</v>
      </c>
      <c r="AK40" s="40" t="n">
        <v>0</v>
      </c>
      <c r="AL40" s="40" t="n">
        <v>0</v>
      </c>
      <c r="AM40" s="40" t="n">
        <v>0</v>
      </c>
      <c r="AN40" s="40" t="n">
        <v>0</v>
      </c>
      <c r="AO40" s="40" t="n">
        <v>0</v>
      </c>
      <c r="AP40" s="40" t="n">
        <v>0</v>
      </c>
      <c r="AQ40" s="40" t="n">
        <v>0</v>
      </c>
      <c r="AR40" s="40" t="n">
        <v>0</v>
      </c>
      <c r="AS40" s="40" t="n">
        <v>0</v>
      </c>
      <c r="AT40" s="40" t="n">
        <v>0</v>
      </c>
      <c r="AU40" s="40" t="n">
        <v>0</v>
      </c>
      <c r="AV40" s="40" t="n">
        <v>0</v>
      </c>
      <c r="AW40" s="40" t="n">
        <v>0</v>
      </c>
      <c r="AX40" s="40" t="n">
        <v>0</v>
      </c>
      <c r="AY40" s="40" t="n">
        <v>0</v>
      </c>
      <c r="AZ40" s="40" t="n">
        <v>0</v>
      </c>
      <c r="BA40" s="40" t="n">
        <v>0</v>
      </c>
      <c r="BB40" s="40" t="n">
        <v>0</v>
      </c>
      <c r="BC40" s="40" t="n">
        <v>0</v>
      </c>
      <c r="BD40" s="40" t="n">
        <v>0</v>
      </c>
      <c r="BE40" s="40" t="n">
        <v>0</v>
      </c>
      <c r="BF40" s="40" t="n">
        <v>0</v>
      </c>
      <c r="BG40" s="40" t="n">
        <v>0</v>
      </c>
      <c r="BH40" s="40" t="n">
        <v>0</v>
      </c>
      <c r="BI40" s="46" t="n">
        <v>0</v>
      </c>
    </row>
    <row r="41">
      <c r="A41" s="40" t="inlineStr">
        <is>
          <t>S7</t>
        </is>
      </c>
      <c r="B41" s="46" t="n">
        <v>0</v>
      </c>
      <c r="C41" s="96" t="n">
        <v>0</v>
      </c>
      <c r="D41" s="46" t="n">
        <v>0</v>
      </c>
      <c r="E41" s="46" t="n">
        <v>0</v>
      </c>
      <c r="F41" s="46" t="n">
        <v>0</v>
      </c>
      <c r="G41" s="46" t="n">
        <v>0</v>
      </c>
      <c r="H41" s="46" t="n">
        <v>0</v>
      </c>
      <c r="I41" s="46" t="n">
        <v>0</v>
      </c>
      <c r="J41" s="46" t="n">
        <v>0</v>
      </c>
      <c r="K41" s="40" t="n">
        <v>0</v>
      </c>
      <c r="L41" s="40" t="n">
        <v>0</v>
      </c>
      <c r="M41" s="40" t="n">
        <v>0</v>
      </c>
      <c r="N41" s="40" t="n">
        <v>0</v>
      </c>
      <c r="O41" s="40" t="n">
        <v>0</v>
      </c>
      <c r="P41" s="40" t="n">
        <v>0</v>
      </c>
      <c r="Q41" s="40" t="n">
        <v>0</v>
      </c>
      <c r="R41" s="40" t="n">
        <v>0</v>
      </c>
      <c r="S41" s="40" t="n">
        <v>0</v>
      </c>
      <c r="T41" s="40" t="n">
        <v>0</v>
      </c>
      <c r="U41" s="40" t="n">
        <v>0</v>
      </c>
      <c r="V41" s="40" t="n">
        <v>0</v>
      </c>
      <c r="W41" s="40" t="n">
        <v>0</v>
      </c>
      <c r="X41" s="40" t="n">
        <v>0</v>
      </c>
      <c r="Y41" s="40" t="n">
        <v>0</v>
      </c>
      <c r="Z41" s="40" t="n">
        <v>0</v>
      </c>
      <c r="AA41" s="40" t="n">
        <v>0</v>
      </c>
      <c r="AB41" s="40" t="n">
        <v>0</v>
      </c>
      <c r="AC41" s="40" t="n">
        <v>0</v>
      </c>
      <c r="AD41" s="40" t="n">
        <v>0</v>
      </c>
      <c r="AE41" s="40" t="n">
        <v>0</v>
      </c>
      <c r="AF41" s="40" t="n">
        <v>0</v>
      </c>
      <c r="AG41" s="40" t="n">
        <v>0</v>
      </c>
      <c r="AH41" s="40" t="n">
        <v>0</v>
      </c>
      <c r="AI41" s="40" t="n">
        <v>0</v>
      </c>
      <c r="AJ41" s="40" t="n">
        <v>0</v>
      </c>
      <c r="AK41" s="40" t="n">
        <v>0</v>
      </c>
      <c r="AL41" s="40" t="n">
        <v>0</v>
      </c>
      <c r="AM41" s="40" t="n">
        <v>0</v>
      </c>
      <c r="AN41" s="40" t="n">
        <v>0</v>
      </c>
      <c r="AO41" s="40" t="n">
        <v>0</v>
      </c>
      <c r="AP41" s="40" t="n">
        <v>0</v>
      </c>
      <c r="AQ41" s="40" t="n">
        <v>0</v>
      </c>
      <c r="AR41" s="40" t="n">
        <v>0</v>
      </c>
      <c r="AS41" s="40" t="n">
        <v>0</v>
      </c>
      <c r="AT41" s="40" t="n">
        <v>0</v>
      </c>
      <c r="AU41" s="40" t="n">
        <v>0</v>
      </c>
      <c r="AV41" s="40" t="n">
        <v>0</v>
      </c>
      <c r="AW41" s="40" t="n">
        <v>0</v>
      </c>
      <c r="AX41" s="40" t="n">
        <v>0</v>
      </c>
      <c r="AY41" s="40" t="n">
        <v>0</v>
      </c>
      <c r="AZ41" s="40" t="n">
        <v>0</v>
      </c>
      <c r="BA41" s="40" t="n">
        <v>0</v>
      </c>
      <c r="BB41" s="40" t="n">
        <v>0</v>
      </c>
      <c r="BC41" s="40" t="n">
        <v>0</v>
      </c>
      <c r="BD41" s="40" t="n">
        <v>0</v>
      </c>
      <c r="BE41" s="40" t="n">
        <v>0</v>
      </c>
      <c r="BF41" s="40" t="n">
        <v>0</v>
      </c>
      <c r="BG41" s="40" t="n">
        <v>0</v>
      </c>
      <c r="BH41" s="40" t="n">
        <v>0</v>
      </c>
      <c r="BI41" s="46" t="n">
        <v>0</v>
      </c>
    </row>
    <row r="42">
      <c r="A42" s="40" t="inlineStr">
        <is>
          <t>S8</t>
        </is>
      </c>
      <c r="B42" s="46" t="n">
        <v>0</v>
      </c>
      <c r="C42" s="96" t="n">
        <v>0</v>
      </c>
      <c r="D42" s="46" t="n">
        <v>0</v>
      </c>
      <c r="E42" s="46" t="n">
        <v>0</v>
      </c>
      <c r="F42" s="46" t="n">
        <v>0</v>
      </c>
      <c r="G42" s="46" t="n">
        <v>0</v>
      </c>
      <c r="H42" s="46" t="n">
        <v>0</v>
      </c>
      <c r="I42" s="46" t="n">
        <v>0</v>
      </c>
      <c r="J42" s="46" t="n">
        <v>0</v>
      </c>
      <c r="K42" s="40" t="n">
        <v>0</v>
      </c>
      <c r="L42" s="40" t="n">
        <v>0</v>
      </c>
      <c r="M42" s="40" t="n">
        <v>0</v>
      </c>
      <c r="N42" s="40" t="n">
        <v>0</v>
      </c>
      <c r="O42" s="40" t="n">
        <v>0</v>
      </c>
      <c r="P42" s="40" t="n">
        <v>0</v>
      </c>
      <c r="Q42" s="40" t="n">
        <v>0</v>
      </c>
      <c r="R42" s="40" t="n">
        <v>0</v>
      </c>
      <c r="S42" s="40" t="n">
        <v>0</v>
      </c>
      <c r="T42" s="40" t="n">
        <v>0</v>
      </c>
      <c r="U42" s="40" t="n">
        <v>0</v>
      </c>
      <c r="V42" s="40" t="n">
        <v>0</v>
      </c>
      <c r="W42" s="40" t="n">
        <v>0</v>
      </c>
      <c r="X42" s="40" t="n">
        <v>0</v>
      </c>
      <c r="Y42" s="40" t="n">
        <v>0</v>
      </c>
      <c r="Z42" s="40" t="n">
        <v>0</v>
      </c>
      <c r="AA42" s="40" t="n">
        <v>0</v>
      </c>
      <c r="AB42" s="40" t="n">
        <v>0</v>
      </c>
      <c r="AC42" s="40" t="n">
        <v>0</v>
      </c>
      <c r="AD42" s="40" t="n">
        <v>0</v>
      </c>
      <c r="AE42" s="40" t="n">
        <v>0</v>
      </c>
      <c r="AF42" s="40" t="n">
        <v>0</v>
      </c>
      <c r="AG42" s="40" t="n">
        <v>0</v>
      </c>
      <c r="AH42" s="40" t="n">
        <v>0</v>
      </c>
      <c r="AI42" s="40" t="n">
        <v>0</v>
      </c>
      <c r="AJ42" s="40" t="n">
        <v>0</v>
      </c>
      <c r="AK42" s="40" t="n">
        <v>0</v>
      </c>
      <c r="AL42" s="40" t="n">
        <v>0</v>
      </c>
      <c r="AM42" s="40" t="n">
        <v>0</v>
      </c>
      <c r="AN42" s="40" t="n">
        <v>0</v>
      </c>
      <c r="AO42" s="40" t="n">
        <v>0</v>
      </c>
      <c r="AP42" s="40" t="n">
        <v>0</v>
      </c>
      <c r="AQ42" s="40" t="n">
        <v>0</v>
      </c>
      <c r="AR42" s="40" t="n">
        <v>0</v>
      </c>
      <c r="AS42" s="40" t="n">
        <v>0</v>
      </c>
      <c r="AT42" s="40" t="n">
        <v>0</v>
      </c>
      <c r="AU42" s="40" t="n">
        <v>0</v>
      </c>
      <c r="AV42" s="40" t="n">
        <v>0</v>
      </c>
      <c r="AW42" s="40" t="n">
        <v>0</v>
      </c>
      <c r="AX42" s="40" t="n">
        <v>0</v>
      </c>
      <c r="AY42" s="40" t="n">
        <v>0</v>
      </c>
      <c r="AZ42" s="40" t="n">
        <v>0</v>
      </c>
      <c r="BA42" s="40" t="n">
        <v>0</v>
      </c>
      <c r="BB42" s="40" t="n">
        <v>0</v>
      </c>
      <c r="BC42" s="40" t="n">
        <v>0</v>
      </c>
      <c r="BD42" s="40" t="n">
        <v>0</v>
      </c>
      <c r="BE42" s="40" t="n">
        <v>0</v>
      </c>
      <c r="BF42" s="40" t="n">
        <v>0</v>
      </c>
      <c r="BG42" s="40" t="n">
        <v>0</v>
      </c>
      <c r="BH42" s="40" t="n">
        <v>0</v>
      </c>
      <c r="BI42" s="46" t="n">
        <v>0</v>
      </c>
    </row>
    <row r="43">
      <c r="A43" s="40" t="inlineStr">
        <is>
          <t>S9</t>
        </is>
      </c>
      <c r="B43" s="46" t="n">
        <v>0</v>
      </c>
      <c r="C43" s="96" t="n">
        <v>0</v>
      </c>
      <c r="D43" s="46" t="n">
        <v>0</v>
      </c>
      <c r="E43" s="46" t="n">
        <v>0</v>
      </c>
      <c r="F43" s="46" t="n">
        <v>0</v>
      </c>
      <c r="G43" s="46" t="n">
        <v>0</v>
      </c>
      <c r="H43" s="46" t="n">
        <v>0</v>
      </c>
      <c r="I43" s="46" t="n">
        <v>0</v>
      </c>
      <c r="J43" s="46" t="n">
        <v>0</v>
      </c>
      <c r="K43" s="40" t="n">
        <v>0</v>
      </c>
      <c r="L43" s="40" t="n">
        <v>0</v>
      </c>
      <c r="M43" s="40" t="n">
        <v>0</v>
      </c>
      <c r="N43" s="40" t="n">
        <v>0</v>
      </c>
      <c r="O43" s="40" t="n">
        <v>0</v>
      </c>
      <c r="P43" s="40" t="n">
        <v>0</v>
      </c>
      <c r="Q43" s="40" t="n">
        <v>0</v>
      </c>
      <c r="R43" s="40" t="n">
        <v>0</v>
      </c>
      <c r="S43" s="40" t="n">
        <v>0</v>
      </c>
      <c r="T43" s="40" t="n">
        <v>0</v>
      </c>
      <c r="U43" s="40" t="n">
        <v>0</v>
      </c>
      <c r="V43" s="40" t="n">
        <v>0</v>
      </c>
      <c r="W43" s="40" t="n">
        <v>0</v>
      </c>
      <c r="X43" s="40" t="n">
        <v>0</v>
      </c>
      <c r="Y43" s="40" t="n">
        <v>0</v>
      </c>
      <c r="Z43" s="40" t="n">
        <v>0</v>
      </c>
      <c r="AA43" s="40" t="n">
        <v>0</v>
      </c>
      <c r="AB43" s="40" t="n">
        <v>0</v>
      </c>
      <c r="AC43" s="40" t="n">
        <v>0</v>
      </c>
      <c r="AD43" s="40" t="n">
        <v>0</v>
      </c>
      <c r="AE43" s="40" t="n">
        <v>0</v>
      </c>
      <c r="AF43" s="40" t="n">
        <v>0</v>
      </c>
      <c r="AG43" s="40" t="n">
        <v>0</v>
      </c>
      <c r="AH43" s="40" t="n">
        <v>0</v>
      </c>
      <c r="AI43" s="40" t="n">
        <v>0</v>
      </c>
      <c r="AJ43" s="40" t="n">
        <v>0</v>
      </c>
      <c r="AK43" s="40" t="n">
        <v>0</v>
      </c>
      <c r="AL43" s="40" t="n">
        <v>0</v>
      </c>
      <c r="AM43" s="40" t="n">
        <v>0</v>
      </c>
      <c r="AN43" s="40" t="n">
        <v>0</v>
      </c>
      <c r="AO43" s="40" t="n">
        <v>0</v>
      </c>
      <c r="AP43" s="40" t="n">
        <v>0</v>
      </c>
      <c r="AQ43" s="40" t="n">
        <v>0</v>
      </c>
      <c r="AR43" s="40" t="n">
        <v>0</v>
      </c>
      <c r="AS43" s="40" t="n">
        <v>0</v>
      </c>
      <c r="AT43" s="40" t="n">
        <v>0</v>
      </c>
      <c r="AU43" s="40" t="n">
        <v>0</v>
      </c>
      <c r="AV43" s="40" t="n">
        <v>0</v>
      </c>
      <c r="AW43" s="40" t="n">
        <v>0</v>
      </c>
      <c r="AX43" s="40" t="n">
        <v>0</v>
      </c>
      <c r="AY43" s="40" t="n">
        <v>0</v>
      </c>
      <c r="AZ43" s="40" t="n">
        <v>0</v>
      </c>
      <c r="BA43" s="40" t="n">
        <v>0</v>
      </c>
      <c r="BB43" s="40" t="n">
        <v>0</v>
      </c>
      <c r="BC43" s="40" t="n">
        <v>0</v>
      </c>
      <c r="BD43" s="40" t="n">
        <v>0</v>
      </c>
      <c r="BE43" s="40" t="n">
        <v>0</v>
      </c>
      <c r="BF43" s="40" t="n">
        <v>0</v>
      </c>
      <c r="BG43" s="40" t="n">
        <v>0</v>
      </c>
      <c r="BH43" s="40" t="n">
        <v>0</v>
      </c>
      <c r="BI43" s="46" t="n">
        <v>0</v>
      </c>
    </row>
    <row r="44">
      <c r="A44" s="40" t="inlineStr">
        <is>
          <t>S10</t>
        </is>
      </c>
      <c r="B44" s="46" t="n">
        <v>0</v>
      </c>
      <c r="C44" s="96" t="n">
        <v>0</v>
      </c>
      <c r="D44" s="46" t="n">
        <v>0</v>
      </c>
      <c r="E44" s="46" t="n">
        <v>0</v>
      </c>
      <c r="F44" s="46" t="n">
        <v>0</v>
      </c>
      <c r="G44" s="46" t="n">
        <v>0</v>
      </c>
      <c r="H44" s="46" t="n">
        <v>0</v>
      </c>
      <c r="I44" s="46" t="n">
        <v>0</v>
      </c>
      <c r="J44" s="46" t="n">
        <v>0</v>
      </c>
      <c r="K44" s="40" t="n">
        <v>0</v>
      </c>
      <c r="L44" s="40" t="n">
        <v>0</v>
      </c>
      <c r="M44" s="40" t="n">
        <v>0</v>
      </c>
      <c r="N44" s="40" t="n">
        <v>0</v>
      </c>
      <c r="O44" s="40" t="n">
        <v>0</v>
      </c>
      <c r="P44" s="40" t="n">
        <v>0</v>
      </c>
      <c r="Q44" s="40" t="n">
        <v>0</v>
      </c>
      <c r="R44" s="40" t="n">
        <v>0</v>
      </c>
      <c r="S44" s="40" t="n">
        <v>0</v>
      </c>
      <c r="T44" s="40" t="n">
        <v>0</v>
      </c>
      <c r="U44" s="40" t="n">
        <v>0</v>
      </c>
      <c r="V44" s="40" t="n">
        <v>0</v>
      </c>
      <c r="W44" s="40" t="n">
        <v>0</v>
      </c>
      <c r="X44" s="40" t="n">
        <v>0</v>
      </c>
      <c r="Y44" s="40" t="n">
        <v>0</v>
      </c>
      <c r="Z44" s="40" t="n">
        <v>0</v>
      </c>
      <c r="AA44" s="40" t="n">
        <v>0</v>
      </c>
      <c r="AB44" s="40" t="n">
        <v>0</v>
      </c>
      <c r="AC44" s="40" t="n">
        <v>0</v>
      </c>
      <c r="AD44" s="40" t="n">
        <v>0</v>
      </c>
      <c r="AE44" s="40" t="n">
        <v>0</v>
      </c>
      <c r="AF44" s="40" t="n">
        <v>0</v>
      </c>
      <c r="AG44" s="40" t="n">
        <v>0</v>
      </c>
      <c r="AH44" s="40" t="n">
        <v>0</v>
      </c>
      <c r="AI44" s="40" t="n">
        <v>0</v>
      </c>
      <c r="AJ44" s="40" t="n">
        <v>0</v>
      </c>
      <c r="AK44" s="40" t="n">
        <v>0</v>
      </c>
      <c r="AL44" s="40" t="n">
        <v>0</v>
      </c>
      <c r="AM44" s="40" t="n">
        <v>0</v>
      </c>
      <c r="AN44" s="40" t="n">
        <v>0</v>
      </c>
      <c r="AO44" s="40" t="n">
        <v>0</v>
      </c>
      <c r="AP44" s="40" t="n">
        <v>0</v>
      </c>
      <c r="AQ44" s="40" t="n">
        <v>0</v>
      </c>
      <c r="AR44" s="40" t="n">
        <v>0</v>
      </c>
      <c r="AS44" s="40" t="n">
        <v>0</v>
      </c>
      <c r="AT44" s="40" t="n">
        <v>0</v>
      </c>
      <c r="AU44" s="40" t="n">
        <v>0</v>
      </c>
      <c r="AV44" s="40" t="n">
        <v>0</v>
      </c>
      <c r="AW44" s="40" t="n">
        <v>0</v>
      </c>
      <c r="AX44" s="40" t="n">
        <v>0</v>
      </c>
      <c r="AY44" s="40" t="n">
        <v>0</v>
      </c>
      <c r="AZ44" s="40" t="n">
        <v>0</v>
      </c>
      <c r="BA44" s="40" t="n">
        <v>0</v>
      </c>
      <c r="BB44" s="40" t="n">
        <v>0</v>
      </c>
      <c r="BC44" s="40" t="n">
        <v>0</v>
      </c>
      <c r="BD44" s="40" t="n">
        <v>0</v>
      </c>
      <c r="BE44" s="40" t="n">
        <v>0</v>
      </c>
      <c r="BF44" s="40" t="n">
        <v>0</v>
      </c>
      <c r="BG44" s="40" t="n">
        <v>0</v>
      </c>
      <c r="BH44" s="40" t="n">
        <v>0</v>
      </c>
      <c r="BI44" s="46" t="n">
        <v>0</v>
      </c>
    </row>
    <row r="45">
      <c r="A45" s="40" t="inlineStr">
        <is>
          <t>S11</t>
        </is>
      </c>
      <c r="B45" s="46" t="n">
        <v>0</v>
      </c>
      <c r="C45" s="96" t="n">
        <v>0</v>
      </c>
      <c r="D45" s="46" t="n">
        <v>0</v>
      </c>
      <c r="E45" s="46" t="n">
        <v>0</v>
      </c>
      <c r="F45" s="46" t="n">
        <v>0</v>
      </c>
      <c r="G45" s="46" t="n">
        <v>0</v>
      </c>
      <c r="H45" s="46" t="n">
        <v>0</v>
      </c>
      <c r="I45" s="46" t="n">
        <v>0</v>
      </c>
      <c r="J45" s="46" t="n">
        <v>0</v>
      </c>
      <c r="K45" s="40" t="n">
        <v>0</v>
      </c>
      <c r="L45" s="40" t="n">
        <v>0</v>
      </c>
      <c r="M45" s="40" t="n">
        <v>0</v>
      </c>
      <c r="N45" s="40" t="n">
        <v>0</v>
      </c>
      <c r="O45" s="40" t="n">
        <v>0</v>
      </c>
      <c r="P45" s="40" t="n">
        <v>0</v>
      </c>
      <c r="Q45" s="40" t="n">
        <v>0</v>
      </c>
      <c r="R45" s="40" t="n">
        <v>0</v>
      </c>
      <c r="S45" s="40" t="n">
        <v>0</v>
      </c>
      <c r="T45" s="40" t="n">
        <v>0</v>
      </c>
      <c r="U45" s="40" t="n">
        <v>0</v>
      </c>
      <c r="V45" s="40" t="n">
        <v>0</v>
      </c>
      <c r="W45" s="40" t="n">
        <v>0</v>
      </c>
      <c r="X45" s="40" t="n">
        <v>0</v>
      </c>
      <c r="Y45" s="40" t="n">
        <v>0</v>
      </c>
      <c r="Z45" s="40" t="n">
        <v>0</v>
      </c>
      <c r="AA45" s="40" t="n">
        <v>0</v>
      </c>
      <c r="AB45" s="40" t="n">
        <v>0</v>
      </c>
      <c r="AC45" s="40" t="n">
        <v>0</v>
      </c>
      <c r="AD45" s="40" t="n">
        <v>0</v>
      </c>
      <c r="AE45" s="40" t="n">
        <v>0</v>
      </c>
      <c r="AF45" s="40" t="n">
        <v>0</v>
      </c>
      <c r="AG45" s="40" t="n">
        <v>0</v>
      </c>
      <c r="AH45" s="40" t="n">
        <v>0</v>
      </c>
      <c r="AI45" s="40" t="n">
        <v>0</v>
      </c>
      <c r="AJ45" s="40" t="n">
        <v>0</v>
      </c>
      <c r="AK45" s="40" t="n">
        <v>0</v>
      </c>
      <c r="AL45" s="40" t="n">
        <v>0</v>
      </c>
      <c r="AM45" s="40" t="n">
        <v>0</v>
      </c>
      <c r="AN45" s="40" t="n">
        <v>0</v>
      </c>
      <c r="AO45" s="40" t="n">
        <v>0</v>
      </c>
      <c r="AP45" s="40" t="n">
        <v>0</v>
      </c>
      <c r="AQ45" s="40" t="n">
        <v>0</v>
      </c>
      <c r="AR45" s="40" t="n">
        <v>0</v>
      </c>
      <c r="AS45" s="40" t="n">
        <v>0</v>
      </c>
      <c r="AT45" s="40" t="n">
        <v>0</v>
      </c>
      <c r="AU45" s="40" t="n">
        <v>0</v>
      </c>
      <c r="AV45" s="40" t="n">
        <v>0</v>
      </c>
      <c r="AW45" s="40" t="n">
        <v>0</v>
      </c>
      <c r="AX45" s="40" t="n">
        <v>0</v>
      </c>
      <c r="AY45" s="40" t="n">
        <v>0</v>
      </c>
      <c r="AZ45" s="40" t="n">
        <v>0</v>
      </c>
      <c r="BA45" s="40" t="n">
        <v>0</v>
      </c>
      <c r="BB45" s="40" t="n">
        <v>0</v>
      </c>
      <c r="BC45" s="40" t="n">
        <v>0</v>
      </c>
      <c r="BD45" s="40" t="n">
        <v>0</v>
      </c>
      <c r="BE45" s="40" t="n">
        <v>0</v>
      </c>
      <c r="BF45" s="40" t="n">
        <v>0</v>
      </c>
      <c r="BG45" s="40" t="n">
        <v>0</v>
      </c>
      <c r="BH45" s="40" t="n">
        <v>0</v>
      </c>
      <c r="BI45" s="46" t="n">
        <v>0</v>
      </c>
    </row>
    <row r="46">
      <c r="A46" s="40" t="inlineStr">
        <is>
          <t>S12</t>
        </is>
      </c>
      <c r="B46" s="46" t="n">
        <v>0</v>
      </c>
      <c r="C46" s="96" t="n">
        <v>0</v>
      </c>
      <c r="D46" s="46" t="n">
        <v>0</v>
      </c>
      <c r="E46" s="46" t="n">
        <v>0</v>
      </c>
      <c r="F46" s="46" t="n">
        <v>0</v>
      </c>
      <c r="G46" s="46" t="n">
        <v>0</v>
      </c>
      <c r="H46" s="46" t="n">
        <v>0</v>
      </c>
      <c r="I46" s="46" t="n">
        <v>0</v>
      </c>
      <c r="J46" s="46" t="n">
        <v>0</v>
      </c>
      <c r="K46" s="40" t="n">
        <v>0</v>
      </c>
      <c r="L46" s="40" t="n">
        <v>0</v>
      </c>
      <c r="M46" s="40" t="n">
        <v>0</v>
      </c>
      <c r="N46" s="40" t="n">
        <v>0</v>
      </c>
      <c r="O46" s="40" t="n">
        <v>0</v>
      </c>
      <c r="P46" s="40" t="n">
        <v>0</v>
      </c>
      <c r="Q46" s="40" t="n">
        <v>0</v>
      </c>
      <c r="R46" s="40" t="n">
        <v>0</v>
      </c>
      <c r="S46" s="40" t="n">
        <v>0</v>
      </c>
      <c r="T46" s="40" t="n">
        <v>0</v>
      </c>
      <c r="U46" s="40" t="n">
        <v>0</v>
      </c>
      <c r="V46" s="40" t="n">
        <v>0</v>
      </c>
      <c r="W46" s="40" t="n">
        <v>0</v>
      </c>
      <c r="X46" s="40" t="n">
        <v>0</v>
      </c>
      <c r="Y46" s="40" t="n">
        <v>0</v>
      </c>
      <c r="Z46" s="40" t="n">
        <v>0</v>
      </c>
      <c r="AA46" s="40" t="n">
        <v>0</v>
      </c>
      <c r="AB46" s="40" t="n">
        <v>0</v>
      </c>
      <c r="AC46" s="40" t="n">
        <v>0</v>
      </c>
      <c r="AD46" s="40" t="n">
        <v>0</v>
      </c>
      <c r="AE46" s="40" t="n">
        <v>0</v>
      </c>
      <c r="AF46" s="40" t="n">
        <v>0</v>
      </c>
      <c r="AG46" s="40" t="n">
        <v>0</v>
      </c>
      <c r="AH46" s="40" t="n">
        <v>0</v>
      </c>
      <c r="AI46" s="40" t="n">
        <v>0</v>
      </c>
      <c r="AJ46" s="40" t="n">
        <v>0</v>
      </c>
      <c r="AK46" s="40" t="n">
        <v>0</v>
      </c>
      <c r="AL46" s="40" t="n">
        <v>0</v>
      </c>
      <c r="AM46" s="40" t="n">
        <v>0</v>
      </c>
      <c r="AN46" s="40" t="n">
        <v>0</v>
      </c>
      <c r="AO46" s="40" t="n">
        <v>0</v>
      </c>
      <c r="AP46" s="40" t="n">
        <v>0</v>
      </c>
      <c r="AQ46" s="40" t="n">
        <v>0</v>
      </c>
      <c r="AR46" s="40" t="n">
        <v>0</v>
      </c>
      <c r="AS46" s="40" t="n">
        <v>0</v>
      </c>
      <c r="AT46" s="40" t="n">
        <v>0</v>
      </c>
      <c r="AU46" s="40" t="n">
        <v>0</v>
      </c>
      <c r="AV46" s="40" t="n">
        <v>0</v>
      </c>
      <c r="AW46" s="40" t="n">
        <v>0</v>
      </c>
      <c r="AX46" s="40" t="n">
        <v>0</v>
      </c>
      <c r="AY46" s="40" t="n">
        <v>0</v>
      </c>
      <c r="AZ46" s="40" t="n">
        <v>0</v>
      </c>
      <c r="BA46" s="40" t="n">
        <v>0</v>
      </c>
      <c r="BB46" s="40" t="n">
        <v>0</v>
      </c>
      <c r="BC46" s="40" t="n">
        <v>0</v>
      </c>
      <c r="BD46" s="40" t="n">
        <v>0</v>
      </c>
      <c r="BE46" s="40" t="n">
        <v>0</v>
      </c>
      <c r="BF46" s="40" t="n">
        <v>0</v>
      </c>
      <c r="BG46" s="40" t="n">
        <v>0</v>
      </c>
      <c r="BH46" s="40" t="n">
        <v>0</v>
      </c>
      <c r="BI46" s="46" t="n">
        <v>0</v>
      </c>
    </row>
    <row r="47">
      <c r="A47" s="40" t="inlineStr">
        <is>
          <t>S13</t>
        </is>
      </c>
      <c r="B47" s="46" t="n">
        <v>0</v>
      </c>
      <c r="C47" s="96" t="n">
        <v>0</v>
      </c>
      <c r="D47" s="46" t="n">
        <v>0</v>
      </c>
      <c r="E47" s="46" t="n">
        <v>0</v>
      </c>
      <c r="F47" s="46" t="n">
        <v>0</v>
      </c>
      <c r="G47" s="46" t="n">
        <v>0</v>
      </c>
      <c r="H47" s="46" t="n">
        <v>0</v>
      </c>
      <c r="I47" s="46" t="n">
        <v>0</v>
      </c>
      <c r="J47" s="46" t="n">
        <v>0</v>
      </c>
      <c r="K47" s="40" t="n">
        <v>0</v>
      </c>
      <c r="L47" s="40" t="n">
        <v>0</v>
      </c>
      <c r="M47" s="40" t="n">
        <v>0</v>
      </c>
      <c r="N47" s="40" t="n">
        <v>0</v>
      </c>
      <c r="O47" s="40" t="n">
        <v>0</v>
      </c>
      <c r="P47" s="40" t="n">
        <v>0</v>
      </c>
      <c r="Q47" s="40" t="n">
        <v>0</v>
      </c>
      <c r="R47" s="40" t="n">
        <v>0</v>
      </c>
      <c r="S47" s="40" t="n">
        <v>0</v>
      </c>
      <c r="T47" s="40" t="n">
        <v>0</v>
      </c>
      <c r="U47" s="40" t="n">
        <v>0</v>
      </c>
      <c r="V47" s="40" t="n">
        <v>0</v>
      </c>
      <c r="W47" s="40" t="n">
        <v>0</v>
      </c>
      <c r="X47" s="40" t="n">
        <v>0</v>
      </c>
      <c r="Y47" s="40" t="n">
        <v>0</v>
      </c>
      <c r="Z47" s="40" t="n">
        <v>0</v>
      </c>
      <c r="AA47" s="40" t="n">
        <v>0</v>
      </c>
      <c r="AB47" s="40" t="n">
        <v>0</v>
      </c>
      <c r="AC47" s="40" t="n">
        <v>0</v>
      </c>
      <c r="AD47" s="40" t="n">
        <v>0</v>
      </c>
      <c r="AE47" s="40" t="n">
        <v>0</v>
      </c>
      <c r="AF47" s="40" t="n">
        <v>0</v>
      </c>
      <c r="AG47" s="40" t="n">
        <v>0</v>
      </c>
      <c r="AH47" s="40" t="n">
        <v>0</v>
      </c>
      <c r="AI47" s="40" t="n">
        <v>0</v>
      </c>
      <c r="AJ47" s="40" t="n">
        <v>0</v>
      </c>
      <c r="AK47" s="40" t="n">
        <v>0</v>
      </c>
      <c r="AL47" s="40" t="n">
        <v>0</v>
      </c>
      <c r="AM47" s="40" t="n">
        <v>0</v>
      </c>
      <c r="AN47" s="40" t="n">
        <v>0</v>
      </c>
      <c r="AO47" s="40" t="n">
        <v>0</v>
      </c>
      <c r="AP47" s="40" t="n">
        <v>0</v>
      </c>
      <c r="AQ47" s="40" t="n">
        <v>0</v>
      </c>
      <c r="AR47" s="40" t="n">
        <v>0</v>
      </c>
      <c r="AS47" s="40" t="n">
        <v>0</v>
      </c>
      <c r="AT47" s="40" t="n">
        <v>0</v>
      </c>
      <c r="AU47" s="40" t="n">
        <v>0</v>
      </c>
      <c r="AV47" s="40" t="n">
        <v>0</v>
      </c>
      <c r="AW47" s="40" t="n">
        <v>0</v>
      </c>
      <c r="AX47" s="40" t="n">
        <v>0</v>
      </c>
      <c r="AY47" s="40" t="n">
        <v>0</v>
      </c>
      <c r="AZ47" s="40" t="n">
        <v>0</v>
      </c>
      <c r="BA47" s="40" t="n">
        <v>0</v>
      </c>
      <c r="BB47" s="40" t="n">
        <v>0</v>
      </c>
      <c r="BC47" s="40" t="n">
        <v>0</v>
      </c>
      <c r="BD47" s="40" t="n">
        <v>0</v>
      </c>
      <c r="BE47" s="40" t="n">
        <v>0</v>
      </c>
      <c r="BF47" s="40" t="n">
        <v>0</v>
      </c>
      <c r="BG47" s="40" t="n">
        <v>0</v>
      </c>
      <c r="BH47" s="40" t="n">
        <v>0</v>
      </c>
      <c r="BI47" s="46" t="n">
        <v>0</v>
      </c>
    </row>
    <row r="48">
      <c r="A48" s="40" t="inlineStr">
        <is>
          <t>S14</t>
        </is>
      </c>
      <c r="B48" s="46" t="n">
        <v>0</v>
      </c>
      <c r="C48" s="96" t="n">
        <v>0</v>
      </c>
      <c r="D48" s="46" t="n">
        <v>0</v>
      </c>
      <c r="E48" s="46" t="n">
        <v>0</v>
      </c>
      <c r="F48" s="46" t="n">
        <v>0</v>
      </c>
      <c r="G48" s="46" t="n">
        <v>0</v>
      </c>
      <c r="H48" s="46" t="n">
        <v>0</v>
      </c>
      <c r="I48" s="46" t="n">
        <v>0</v>
      </c>
      <c r="J48" s="46" t="n">
        <v>0</v>
      </c>
      <c r="K48" s="40" t="n">
        <v>0</v>
      </c>
      <c r="L48" s="40" t="n">
        <v>0</v>
      </c>
      <c r="M48" s="40" t="n">
        <v>0</v>
      </c>
      <c r="N48" s="40" t="n">
        <v>0</v>
      </c>
      <c r="O48" s="40" t="n">
        <v>0</v>
      </c>
      <c r="P48" s="40" t="n">
        <v>0</v>
      </c>
      <c r="Q48" s="40" t="n">
        <v>0</v>
      </c>
      <c r="R48" s="40" t="n">
        <v>0</v>
      </c>
      <c r="S48" s="40" t="n">
        <v>0</v>
      </c>
      <c r="T48" s="40" t="n">
        <v>0</v>
      </c>
      <c r="U48" s="40" t="n">
        <v>0</v>
      </c>
      <c r="V48" s="40" t="n">
        <v>0</v>
      </c>
      <c r="W48" s="40" t="n">
        <v>0</v>
      </c>
      <c r="X48" s="40" t="n">
        <v>0</v>
      </c>
      <c r="Y48" s="40" t="n">
        <v>0</v>
      </c>
      <c r="Z48" s="40" t="n">
        <v>0</v>
      </c>
      <c r="AA48" s="40" t="n">
        <v>0</v>
      </c>
      <c r="AB48" s="40" t="n">
        <v>0</v>
      </c>
      <c r="AC48" s="40" t="n">
        <v>0</v>
      </c>
      <c r="AD48" s="40" t="n">
        <v>0</v>
      </c>
      <c r="AE48" s="40" t="n">
        <v>0</v>
      </c>
      <c r="AF48" s="40" t="n">
        <v>0</v>
      </c>
      <c r="AG48" s="40" t="n">
        <v>0</v>
      </c>
      <c r="AH48" s="40" t="n">
        <v>0</v>
      </c>
      <c r="AI48" s="40" t="n">
        <v>0</v>
      </c>
      <c r="AJ48" s="40" t="n">
        <v>0</v>
      </c>
      <c r="AK48" s="40" t="n">
        <v>0</v>
      </c>
      <c r="AL48" s="40" t="n">
        <v>0</v>
      </c>
      <c r="AM48" s="40" t="n">
        <v>0</v>
      </c>
      <c r="AN48" s="40" t="n">
        <v>0</v>
      </c>
      <c r="AO48" s="40" t="n">
        <v>0</v>
      </c>
      <c r="AP48" s="40" t="n">
        <v>0</v>
      </c>
      <c r="AQ48" s="40" t="n">
        <v>0</v>
      </c>
      <c r="AR48" s="40" t="n">
        <v>0</v>
      </c>
      <c r="AS48" s="40" t="n">
        <v>0</v>
      </c>
      <c r="AT48" s="40" t="n">
        <v>0</v>
      </c>
      <c r="AU48" s="40" t="n">
        <v>0</v>
      </c>
      <c r="AV48" s="40" t="n">
        <v>0</v>
      </c>
      <c r="AW48" s="40" t="n">
        <v>0</v>
      </c>
      <c r="AX48" s="40" t="n">
        <v>0</v>
      </c>
      <c r="AY48" s="40" t="n">
        <v>0</v>
      </c>
      <c r="AZ48" s="40" t="n">
        <v>0</v>
      </c>
      <c r="BA48" s="40" t="n">
        <v>0</v>
      </c>
      <c r="BB48" s="40" t="n">
        <v>0</v>
      </c>
      <c r="BC48" s="40" t="n">
        <v>0</v>
      </c>
      <c r="BD48" s="40" t="n">
        <v>0</v>
      </c>
      <c r="BE48" s="40" t="n">
        <v>0</v>
      </c>
      <c r="BF48" s="40" t="n">
        <v>0</v>
      </c>
      <c r="BG48" s="40" t="n">
        <v>0</v>
      </c>
      <c r="BH48" s="40" t="n">
        <v>0</v>
      </c>
      <c r="BI48" s="46" t="n">
        <v>0</v>
      </c>
    </row>
    <row r="49">
      <c r="A49" s="40" t="inlineStr">
        <is>
          <t>S15</t>
        </is>
      </c>
      <c r="B49" s="46" t="n">
        <v>0</v>
      </c>
      <c r="C49" s="96" t="n">
        <v>0</v>
      </c>
      <c r="D49" s="46" t="n">
        <v>0</v>
      </c>
      <c r="E49" s="46" t="n">
        <v>0</v>
      </c>
      <c r="F49" s="46" t="n">
        <v>0</v>
      </c>
      <c r="G49" s="46" t="n">
        <v>0</v>
      </c>
      <c r="H49" s="46" t="n">
        <v>0</v>
      </c>
      <c r="I49" s="46" t="n">
        <v>0</v>
      </c>
      <c r="J49" s="46" t="n">
        <v>0</v>
      </c>
      <c r="K49" s="40" t="n">
        <v>0</v>
      </c>
      <c r="L49" s="40" t="n">
        <v>0</v>
      </c>
      <c r="M49" s="40" t="n">
        <v>0</v>
      </c>
      <c r="N49" s="40" t="n">
        <v>0</v>
      </c>
      <c r="O49" s="40" t="n">
        <v>0</v>
      </c>
      <c r="P49" s="40" t="n">
        <v>0</v>
      </c>
      <c r="Q49" s="40" t="n">
        <v>0</v>
      </c>
      <c r="R49" s="40" t="n">
        <v>0</v>
      </c>
      <c r="S49" s="40" t="n">
        <v>0</v>
      </c>
      <c r="T49" s="40" t="n">
        <v>0</v>
      </c>
      <c r="U49" s="40" t="n">
        <v>0</v>
      </c>
      <c r="V49" s="40" t="n">
        <v>0</v>
      </c>
      <c r="W49" s="40" t="n">
        <v>0</v>
      </c>
      <c r="X49" s="40" t="n">
        <v>0</v>
      </c>
      <c r="Y49" s="40" t="n">
        <v>0</v>
      </c>
      <c r="Z49" s="40" t="n">
        <v>0</v>
      </c>
      <c r="AA49" s="40" t="n">
        <v>0</v>
      </c>
      <c r="AB49" s="40" t="n">
        <v>0</v>
      </c>
      <c r="AC49" s="40" t="n">
        <v>0</v>
      </c>
      <c r="AD49" s="40" t="n">
        <v>0</v>
      </c>
      <c r="AE49" s="40" t="n">
        <v>0</v>
      </c>
      <c r="AF49" s="40" t="n">
        <v>0</v>
      </c>
      <c r="AG49" s="40" t="n">
        <v>0</v>
      </c>
      <c r="AH49" s="40" t="n">
        <v>0</v>
      </c>
      <c r="AI49" s="40" t="n">
        <v>0</v>
      </c>
      <c r="AJ49" s="40" t="n">
        <v>0</v>
      </c>
      <c r="AK49" s="40" t="n">
        <v>0</v>
      </c>
      <c r="AL49" s="40" t="n">
        <v>0</v>
      </c>
      <c r="AM49" s="40" t="n">
        <v>0</v>
      </c>
      <c r="AN49" s="40" t="n">
        <v>0</v>
      </c>
      <c r="AO49" s="40" t="n">
        <v>0</v>
      </c>
      <c r="AP49" s="40" t="n">
        <v>0</v>
      </c>
      <c r="AQ49" s="40" t="n">
        <v>0</v>
      </c>
      <c r="AR49" s="40" t="n">
        <v>0</v>
      </c>
      <c r="AS49" s="40" t="n">
        <v>0</v>
      </c>
      <c r="AT49" s="40" t="n">
        <v>0</v>
      </c>
      <c r="AU49" s="40" t="n">
        <v>0</v>
      </c>
      <c r="AV49" s="40" t="n">
        <v>0</v>
      </c>
      <c r="AW49" s="40" t="n">
        <v>0</v>
      </c>
      <c r="AX49" s="40" t="n">
        <v>0</v>
      </c>
      <c r="AY49" s="40" t="n">
        <v>0</v>
      </c>
      <c r="AZ49" s="40" t="n">
        <v>0</v>
      </c>
      <c r="BA49" s="40" t="n">
        <v>0</v>
      </c>
      <c r="BB49" s="40" t="n">
        <v>0</v>
      </c>
      <c r="BC49" s="40" t="n">
        <v>0</v>
      </c>
      <c r="BD49" s="40" t="n">
        <v>0</v>
      </c>
      <c r="BE49" s="40" t="n">
        <v>0</v>
      </c>
      <c r="BF49" s="40" t="n">
        <v>0</v>
      </c>
      <c r="BG49" s="40" t="n">
        <v>0</v>
      </c>
      <c r="BH49" s="40" t="n">
        <v>0</v>
      </c>
      <c r="BI49" s="46" t="n">
        <v>0</v>
      </c>
    </row>
    <row r="50">
      <c r="A50" s="40" t="inlineStr">
        <is>
          <t>S16</t>
        </is>
      </c>
      <c r="B50" s="46" t="n">
        <v>0</v>
      </c>
      <c r="C50" s="96" t="n">
        <v>0</v>
      </c>
      <c r="D50" s="46" t="n">
        <v>0</v>
      </c>
      <c r="E50" s="46" t="n">
        <v>0</v>
      </c>
      <c r="F50" s="46" t="n">
        <v>0</v>
      </c>
      <c r="G50" s="46" t="n">
        <v>0</v>
      </c>
      <c r="H50" s="46" t="n">
        <v>0</v>
      </c>
      <c r="I50" s="46" t="n">
        <v>0</v>
      </c>
      <c r="J50" s="46" t="n">
        <v>0</v>
      </c>
      <c r="K50" s="40" t="n">
        <v>0</v>
      </c>
      <c r="L50" s="40" t="n">
        <v>0</v>
      </c>
      <c r="M50" s="40" t="n">
        <v>0</v>
      </c>
      <c r="N50" s="40" t="n">
        <v>0</v>
      </c>
      <c r="O50" s="40" t="n">
        <v>0</v>
      </c>
      <c r="P50" s="40" t="n">
        <v>0</v>
      </c>
      <c r="Q50" s="40" t="n">
        <v>0</v>
      </c>
      <c r="R50" s="40" t="n">
        <v>0</v>
      </c>
      <c r="S50" s="40" t="n">
        <v>0</v>
      </c>
      <c r="T50" s="40" t="n">
        <v>0</v>
      </c>
      <c r="U50" s="40" t="n">
        <v>0</v>
      </c>
      <c r="V50" s="40" t="n">
        <v>0</v>
      </c>
      <c r="W50" s="40" t="n">
        <v>0</v>
      </c>
      <c r="X50" s="40" t="n">
        <v>0</v>
      </c>
      <c r="Y50" s="40" t="n">
        <v>0</v>
      </c>
      <c r="Z50" s="40" t="n">
        <v>0</v>
      </c>
      <c r="AA50" s="40" t="n">
        <v>0</v>
      </c>
      <c r="AB50" s="40" t="n">
        <v>0</v>
      </c>
      <c r="AC50" s="40" t="n">
        <v>0</v>
      </c>
      <c r="AD50" s="40" t="n">
        <v>0</v>
      </c>
      <c r="AE50" s="40" t="n">
        <v>0</v>
      </c>
      <c r="AF50" s="40" t="n">
        <v>0</v>
      </c>
      <c r="AG50" s="40" t="n">
        <v>0</v>
      </c>
      <c r="AH50" s="40" t="n">
        <v>0</v>
      </c>
      <c r="AI50" s="40" t="n">
        <v>0</v>
      </c>
      <c r="AJ50" s="40" t="n">
        <v>0</v>
      </c>
      <c r="AK50" s="40" t="n">
        <v>0</v>
      </c>
      <c r="AL50" s="40" t="n">
        <v>0</v>
      </c>
      <c r="AM50" s="40" t="n">
        <v>0</v>
      </c>
      <c r="AN50" s="40" t="n">
        <v>0</v>
      </c>
      <c r="AO50" s="40" t="n">
        <v>0</v>
      </c>
      <c r="AP50" s="40" t="n">
        <v>0</v>
      </c>
      <c r="AQ50" s="40" t="n">
        <v>0</v>
      </c>
      <c r="AR50" s="40" t="n">
        <v>0</v>
      </c>
      <c r="AS50" s="40" t="n">
        <v>0</v>
      </c>
      <c r="AT50" s="40" t="n">
        <v>0</v>
      </c>
      <c r="AU50" s="40" t="n">
        <v>0</v>
      </c>
      <c r="AV50" s="40" t="n">
        <v>0</v>
      </c>
      <c r="AW50" s="40" t="n">
        <v>0</v>
      </c>
      <c r="AX50" s="40" t="n">
        <v>0</v>
      </c>
      <c r="AY50" s="40" t="n">
        <v>0</v>
      </c>
      <c r="AZ50" s="40" t="n">
        <v>0</v>
      </c>
      <c r="BA50" s="40" t="n">
        <v>0</v>
      </c>
      <c r="BB50" s="40" t="n">
        <v>0</v>
      </c>
      <c r="BC50" s="40" t="n">
        <v>0</v>
      </c>
      <c r="BD50" s="40" t="n">
        <v>0</v>
      </c>
      <c r="BE50" s="40" t="n">
        <v>0</v>
      </c>
      <c r="BF50" s="40" t="n">
        <v>0</v>
      </c>
      <c r="BG50" s="40" t="n">
        <v>0</v>
      </c>
      <c r="BH50" s="40" t="n">
        <v>0</v>
      </c>
      <c r="BI50" s="46" t="n">
        <v>0</v>
      </c>
    </row>
    <row r="51">
      <c r="A51" s="40" t="inlineStr">
        <is>
          <t>T1</t>
        </is>
      </c>
      <c r="B51" s="46" t="n">
        <v>0</v>
      </c>
      <c r="C51" s="96" t="n">
        <v>0</v>
      </c>
      <c r="D51" s="46" t="n">
        <v>0</v>
      </c>
      <c r="E51" s="46" t="n">
        <v>0</v>
      </c>
      <c r="F51" s="46" t="n">
        <v>0</v>
      </c>
      <c r="G51" s="46" t="n">
        <v>0</v>
      </c>
      <c r="H51" s="46" t="n">
        <v>0</v>
      </c>
      <c r="I51" s="46" t="n">
        <v>0</v>
      </c>
      <c r="J51" s="46" t="n">
        <v>0</v>
      </c>
      <c r="K51" s="40" t="n">
        <v>0</v>
      </c>
      <c r="L51" s="40" t="n">
        <v>0</v>
      </c>
      <c r="M51" s="40" t="n">
        <v>0</v>
      </c>
      <c r="N51" s="40" t="n">
        <v>0</v>
      </c>
      <c r="O51" s="40" t="n">
        <v>0</v>
      </c>
      <c r="P51" s="40" t="n">
        <v>0</v>
      </c>
      <c r="Q51" s="40" t="n">
        <v>0</v>
      </c>
      <c r="R51" s="40" t="n">
        <v>0</v>
      </c>
      <c r="S51" s="40" t="n">
        <v>0</v>
      </c>
      <c r="T51" s="40" t="n">
        <v>0</v>
      </c>
      <c r="U51" s="40" t="n">
        <v>0</v>
      </c>
      <c r="V51" s="40" t="n">
        <v>0</v>
      </c>
      <c r="W51" s="40" t="n">
        <v>0</v>
      </c>
      <c r="X51" s="40" t="n">
        <v>0</v>
      </c>
      <c r="Y51" s="40" t="n">
        <v>0</v>
      </c>
      <c r="Z51" s="40" t="n">
        <v>0</v>
      </c>
      <c r="AA51" s="40" t="n">
        <v>0</v>
      </c>
      <c r="AB51" s="40" t="n">
        <v>0</v>
      </c>
      <c r="AC51" s="40" t="n">
        <v>0</v>
      </c>
      <c r="AD51" s="40" t="n">
        <v>0</v>
      </c>
      <c r="AE51" s="40" t="n">
        <v>0</v>
      </c>
      <c r="AF51" s="40" t="n">
        <v>0</v>
      </c>
      <c r="AG51" s="40" t="n">
        <v>0</v>
      </c>
      <c r="AH51" s="40" t="n">
        <v>0</v>
      </c>
      <c r="AI51" s="40" t="n">
        <v>0</v>
      </c>
      <c r="AJ51" s="40" t="n">
        <v>0</v>
      </c>
      <c r="AK51" s="40" t="n">
        <v>0</v>
      </c>
      <c r="AL51" s="40" t="n">
        <v>0</v>
      </c>
      <c r="AM51" s="40" t="n">
        <v>0</v>
      </c>
      <c r="AN51" s="40" t="n">
        <v>0</v>
      </c>
      <c r="AO51" s="40" t="n">
        <v>0</v>
      </c>
      <c r="AP51" s="40" t="n">
        <v>0</v>
      </c>
      <c r="AQ51" s="40" t="n">
        <v>0</v>
      </c>
      <c r="AR51" s="40" t="n">
        <v>0</v>
      </c>
      <c r="AS51" s="40" t="n">
        <v>0</v>
      </c>
      <c r="AT51" s="40" t="n">
        <v>0</v>
      </c>
      <c r="AU51" s="40" t="n">
        <v>0</v>
      </c>
      <c r="AV51" s="40" t="n">
        <v>0</v>
      </c>
      <c r="AW51" s="40" t="n">
        <v>0</v>
      </c>
      <c r="AX51" s="40" t="n">
        <v>0</v>
      </c>
      <c r="AY51" s="40" t="n">
        <v>0</v>
      </c>
      <c r="AZ51" s="40" t="n">
        <v>0</v>
      </c>
      <c r="BA51" s="40" t="n">
        <v>0</v>
      </c>
      <c r="BB51" s="40" t="n">
        <v>0</v>
      </c>
      <c r="BC51" s="40" t="n">
        <v>0</v>
      </c>
      <c r="BD51" s="40" t="n">
        <v>0</v>
      </c>
      <c r="BE51" s="40" t="n">
        <v>0</v>
      </c>
      <c r="BF51" s="40" t="n">
        <v>0</v>
      </c>
      <c r="BG51" s="40" t="n">
        <v>0</v>
      </c>
      <c r="BH51" s="40" t="n">
        <v>0</v>
      </c>
      <c r="BI51" s="46" t="n">
        <v>0</v>
      </c>
    </row>
    <row r="52">
      <c r="A52" s="40" t="inlineStr">
        <is>
          <t>T2</t>
        </is>
      </c>
      <c r="B52" s="46" t="n">
        <v>0</v>
      </c>
      <c r="C52" s="96" t="n">
        <v>0</v>
      </c>
      <c r="D52" s="46" t="n">
        <v>0</v>
      </c>
      <c r="E52" s="46" t="n">
        <v>0</v>
      </c>
      <c r="F52" s="46" t="n">
        <v>0</v>
      </c>
      <c r="G52" s="46" t="n">
        <v>0</v>
      </c>
      <c r="H52" s="46" t="n">
        <v>0</v>
      </c>
      <c r="I52" s="46" t="n">
        <v>0</v>
      </c>
      <c r="J52" s="46" t="n">
        <v>0</v>
      </c>
      <c r="K52" s="40" t="n">
        <v>0</v>
      </c>
      <c r="L52" s="40" t="n">
        <v>0</v>
      </c>
      <c r="M52" s="40" t="n">
        <v>0</v>
      </c>
      <c r="N52" s="40" t="n">
        <v>0</v>
      </c>
      <c r="O52" s="40" t="n">
        <v>0</v>
      </c>
      <c r="P52" s="40" t="n">
        <v>0</v>
      </c>
      <c r="Q52" s="40" t="n">
        <v>0</v>
      </c>
      <c r="R52" s="40" t="n">
        <v>0</v>
      </c>
      <c r="S52" s="40" t="n">
        <v>0</v>
      </c>
      <c r="T52" s="40" t="n">
        <v>0</v>
      </c>
      <c r="U52" s="40" t="n">
        <v>0</v>
      </c>
      <c r="V52" s="40" t="n">
        <v>0</v>
      </c>
      <c r="W52" s="40" t="n">
        <v>0</v>
      </c>
      <c r="X52" s="40" t="n">
        <v>0</v>
      </c>
      <c r="Y52" s="40" t="n">
        <v>0</v>
      </c>
      <c r="Z52" s="40" t="n">
        <v>0</v>
      </c>
      <c r="AA52" s="40" t="n">
        <v>0</v>
      </c>
      <c r="AB52" s="40" t="n">
        <v>0</v>
      </c>
      <c r="AC52" s="40" t="n">
        <v>0</v>
      </c>
      <c r="AD52" s="40" t="n">
        <v>0</v>
      </c>
      <c r="AE52" s="40" t="n">
        <v>0</v>
      </c>
      <c r="AF52" s="40" t="n">
        <v>0</v>
      </c>
      <c r="AG52" s="40" t="n">
        <v>0</v>
      </c>
      <c r="AH52" s="40" t="n">
        <v>0</v>
      </c>
      <c r="AI52" s="40" t="n">
        <v>0</v>
      </c>
      <c r="AJ52" s="40" t="n">
        <v>0</v>
      </c>
      <c r="AK52" s="40" t="n">
        <v>0</v>
      </c>
      <c r="AL52" s="40" t="n">
        <v>0</v>
      </c>
      <c r="AM52" s="40" t="n">
        <v>0</v>
      </c>
      <c r="AN52" s="40" t="n">
        <v>0</v>
      </c>
      <c r="AO52" s="40" t="n">
        <v>0</v>
      </c>
      <c r="AP52" s="40" t="n">
        <v>0</v>
      </c>
      <c r="AQ52" s="40" t="n">
        <v>0</v>
      </c>
      <c r="AR52" s="40" t="n">
        <v>0</v>
      </c>
      <c r="AS52" s="40" t="n">
        <v>0</v>
      </c>
      <c r="AT52" s="40" t="n">
        <v>0</v>
      </c>
      <c r="AU52" s="40" t="n">
        <v>0</v>
      </c>
      <c r="AV52" s="40" t="n">
        <v>0</v>
      </c>
      <c r="AW52" s="40" t="n">
        <v>0</v>
      </c>
      <c r="AX52" s="40" t="n">
        <v>0</v>
      </c>
      <c r="AY52" s="40" t="n">
        <v>0</v>
      </c>
      <c r="AZ52" s="40" t="n">
        <v>0</v>
      </c>
      <c r="BA52" s="40" t="n">
        <v>0</v>
      </c>
      <c r="BB52" s="40" t="n">
        <v>0</v>
      </c>
      <c r="BC52" s="40" t="n">
        <v>0</v>
      </c>
      <c r="BD52" s="40" t="n">
        <v>0</v>
      </c>
      <c r="BE52" s="40" t="n">
        <v>0</v>
      </c>
      <c r="BF52" s="40" t="n">
        <v>0</v>
      </c>
      <c r="BG52" s="40" t="n">
        <v>0</v>
      </c>
      <c r="BH52" s="40" t="n">
        <v>0</v>
      </c>
      <c r="BI52" s="46" t="n">
        <v>0</v>
      </c>
    </row>
    <row r="53">
      <c r="A53" s="40" t="inlineStr">
        <is>
          <t>T3</t>
        </is>
      </c>
      <c r="B53" s="46" t="n">
        <v>0</v>
      </c>
      <c r="C53" s="96" t="n">
        <v>0</v>
      </c>
      <c r="D53" s="46" t="n">
        <v>0</v>
      </c>
      <c r="E53" s="46" t="n">
        <v>0</v>
      </c>
      <c r="F53" s="46" t="n">
        <v>0</v>
      </c>
      <c r="G53" s="46" t="n">
        <v>0</v>
      </c>
      <c r="H53" s="46" t="n">
        <v>0</v>
      </c>
      <c r="I53" s="46" t="n">
        <v>0</v>
      </c>
      <c r="J53" s="46" t="n">
        <v>0</v>
      </c>
      <c r="K53" s="40" t="n">
        <v>0</v>
      </c>
      <c r="L53" s="40" t="n">
        <v>0</v>
      </c>
      <c r="M53" s="40" t="n">
        <v>0</v>
      </c>
      <c r="N53" s="40" t="n">
        <v>0</v>
      </c>
      <c r="O53" s="40" t="n">
        <v>0</v>
      </c>
      <c r="P53" s="40" t="n">
        <v>0</v>
      </c>
      <c r="Q53" s="40" t="n">
        <v>0</v>
      </c>
      <c r="R53" s="40" t="n">
        <v>0</v>
      </c>
      <c r="S53" s="40" t="n">
        <v>0</v>
      </c>
      <c r="T53" s="40" t="n">
        <v>0</v>
      </c>
      <c r="U53" s="40" t="n">
        <v>0</v>
      </c>
      <c r="V53" s="40" t="n">
        <v>0</v>
      </c>
      <c r="W53" s="40" t="n">
        <v>0</v>
      </c>
      <c r="X53" s="40" t="n">
        <v>0</v>
      </c>
      <c r="Y53" s="40" t="n">
        <v>0</v>
      </c>
      <c r="Z53" s="40" t="n">
        <v>0</v>
      </c>
      <c r="AA53" s="40" t="n">
        <v>0</v>
      </c>
      <c r="AB53" s="40" t="n">
        <v>0</v>
      </c>
      <c r="AC53" s="40" t="n">
        <v>0</v>
      </c>
      <c r="AD53" s="40" t="n">
        <v>0</v>
      </c>
      <c r="AE53" s="40" t="n">
        <v>0</v>
      </c>
      <c r="AF53" s="40" t="n">
        <v>0</v>
      </c>
      <c r="AG53" s="40" t="n">
        <v>0</v>
      </c>
      <c r="AH53" s="40" t="n">
        <v>0</v>
      </c>
      <c r="AI53" s="40" t="n">
        <v>0</v>
      </c>
      <c r="AJ53" s="40" t="n">
        <v>0</v>
      </c>
      <c r="AK53" s="40" t="n">
        <v>0</v>
      </c>
      <c r="AL53" s="40" t="n">
        <v>0</v>
      </c>
      <c r="AM53" s="40" t="n">
        <v>0</v>
      </c>
      <c r="AN53" s="40" t="n">
        <v>0</v>
      </c>
      <c r="AO53" s="40" t="n">
        <v>0</v>
      </c>
      <c r="AP53" s="40" t="n">
        <v>0</v>
      </c>
      <c r="AQ53" s="40" t="n">
        <v>0</v>
      </c>
      <c r="AR53" s="40" t="n">
        <v>0</v>
      </c>
      <c r="AS53" s="40" t="n">
        <v>0</v>
      </c>
      <c r="AT53" s="40" t="n">
        <v>0</v>
      </c>
      <c r="AU53" s="40" t="n">
        <v>0</v>
      </c>
      <c r="AV53" s="40" t="n">
        <v>0</v>
      </c>
      <c r="AW53" s="40" t="n">
        <v>0</v>
      </c>
      <c r="AX53" s="40" t="n">
        <v>0</v>
      </c>
      <c r="AY53" s="40" t="n">
        <v>0</v>
      </c>
      <c r="AZ53" s="40" t="n">
        <v>0</v>
      </c>
      <c r="BA53" s="40" t="n">
        <v>0</v>
      </c>
      <c r="BB53" s="40" t="n">
        <v>0</v>
      </c>
      <c r="BC53" s="40" t="n">
        <v>0</v>
      </c>
      <c r="BD53" s="40" t="n">
        <v>0</v>
      </c>
      <c r="BE53" s="40" t="n">
        <v>0</v>
      </c>
      <c r="BF53" s="40" t="n">
        <v>0</v>
      </c>
      <c r="BG53" s="40" t="n">
        <v>0</v>
      </c>
      <c r="BH53" s="40" t="n">
        <v>0</v>
      </c>
      <c r="BI53" s="46" t="n">
        <v>0</v>
      </c>
    </row>
    <row r="54">
      <c r="A54" s="40" t="inlineStr">
        <is>
          <t>T4</t>
        </is>
      </c>
      <c r="B54" s="46" t="n">
        <v>0</v>
      </c>
      <c r="C54" s="96" t="n">
        <v>0</v>
      </c>
      <c r="D54" s="46" t="n">
        <v>0</v>
      </c>
      <c r="E54" s="46" t="n">
        <v>0</v>
      </c>
      <c r="F54" s="46" t="n">
        <v>0</v>
      </c>
      <c r="G54" s="46" t="n">
        <v>0</v>
      </c>
      <c r="H54" s="46" t="n">
        <v>0</v>
      </c>
      <c r="I54" s="46" t="n">
        <v>0</v>
      </c>
      <c r="J54" s="46" t="n">
        <v>0</v>
      </c>
      <c r="K54" s="40" t="n">
        <v>0</v>
      </c>
      <c r="L54" s="40" t="n">
        <v>0</v>
      </c>
      <c r="M54" s="40" t="n">
        <v>0</v>
      </c>
      <c r="N54" s="40" t="n">
        <v>0</v>
      </c>
      <c r="O54" s="40" t="n">
        <v>0</v>
      </c>
      <c r="P54" s="40" t="n">
        <v>0</v>
      </c>
      <c r="Q54" s="40" t="n">
        <v>0</v>
      </c>
      <c r="R54" s="40" t="n">
        <v>0</v>
      </c>
      <c r="S54" s="40" t="n">
        <v>0</v>
      </c>
      <c r="T54" s="40" t="n">
        <v>0</v>
      </c>
      <c r="U54" s="40" t="n">
        <v>0</v>
      </c>
      <c r="V54" s="40" t="n">
        <v>0</v>
      </c>
      <c r="W54" s="40" t="n">
        <v>0</v>
      </c>
      <c r="X54" s="40" t="n">
        <v>0</v>
      </c>
      <c r="Y54" s="40" t="n">
        <v>0</v>
      </c>
      <c r="Z54" s="40" t="n">
        <v>0</v>
      </c>
      <c r="AA54" s="40" t="n">
        <v>0</v>
      </c>
      <c r="AB54" s="40" t="n">
        <v>0</v>
      </c>
      <c r="AC54" s="40" t="n">
        <v>0</v>
      </c>
      <c r="AD54" s="40" t="n">
        <v>0</v>
      </c>
      <c r="AE54" s="40" t="n">
        <v>0</v>
      </c>
      <c r="AF54" s="40" t="n">
        <v>0</v>
      </c>
      <c r="AG54" s="40" t="n">
        <v>0</v>
      </c>
      <c r="AH54" s="40" t="n">
        <v>0</v>
      </c>
      <c r="AI54" s="40" t="n">
        <v>0</v>
      </c>
      <c r="AJ54" s="40" t="n">
        <v>0</v>
      </c>
      <c r="AK54" s="40" t="n">
        <v>0</v>
      </c>
      <c r="AL54" s="40" t="n">
        <v>0</v>
      </c>
      <c r="AM54" s="40" t="n">
        <v>0</v>
      </c>
      <c r="AN54" s="40" t="n">
        <v>0</v>
      </c>
      <c r="AO54" s="40" t="n">
        <v>0</v>
      </c>
      <c r="AP54" s="40" t="n">
        <v>0</v>
      </c>
      <c r="AQ54" s="40" t="n">
        <v>0</v>
      </c>
      <c r="AR54" s="40" t="n">
        <v>0</v>
      </c>
      <c r="AS54" s="40" t="n">
        <v>0</v>
      </c>
      <c r="AT54" s="40" t="n">
        <v>0</v>
      </c>
      <c r="AU54" s="40" t="n">
        <v>0</v>
      </c>
      <c r="AV54" s="40" t="n">
        <v>0</v>
      </c>
      <c r="AW54" s="40" t="n">
        <v>0</v>
      </c>
      <c r="AX54" s="40" t="n">
        <v>0</v>
      </c>
      <c r="AY54" s="40" t="n">
        <v>0</v>
      </c>
      <c r="AZ54" s="40" t="n">
        <v>0</v>
      </c>
      <c r="BA54" s="40" t="n">
        <v>0</v>
      </c>
      <c r="BB54" s="40" t="n">
        <v>0</v>
      </c>
      <c r="BC54" s="40" t="n">
        <v>0</v>
      </c>
      <c r="BD54" s="40" t="n">
        <v>0</v>
      </c>
      <c r="BE54" s="40" t="n">
        <v>0</v>
      </c>
      <c r="BF54" s="40" t="n">
        <v>0</v>
      </c>
      <c r="BG54" s="40" t="n">
        <v>0</v>
      </c>
      <c r="BH54" s="40" t="n">
        <v>0</v>
      </c>
      <c r="BI54" s="46" t="n">
        <v>0</v>
      </c>
    </row>
    <row r="55">
      <c r="A55" s="40" t="inlineStr">
        <is>
          <t>T5</t>
        </is>
      </c>
      <c r="B55" s="46" t="n">
        <v>0</v>
      </c>
      <c r="C55" s="96" t="n">
        <v>0</v>
      </c>
      <c r="D55" s="46" t="n">
        <v>0</v>
      </c>
      <c r="E55" s="46" t="n">
        <v>0</v>
      </c>
      <c r="F55" s="46" t="n">
        <v>0</v>
      </c>
      <c r="G55" s="46" t="n">
        <v>0</v>
      </c>
      <c r="H55" s="46" t="n">
        <v>0</v>
      </c>
      <c r="I55" s="46" t="n">
        <v>0</v>
      </c>
      <c r="J55" s="46" t="n">
        <v>0</v>
      </c>
      <c r="K55" s="40" t="n">
        <v>0</v>
      </c>
      <c r="L55" s="40" t="n">
        <v>0</v>
      </c>
      <c r="M55" s="40" t="n">
        <v>0</v>
      </c>
      <c r="N55" s="40" t="n">
        <v>0</v>
      </c>
      <c r="O55" s="40" t="n">
        <v>0</v>
      </c>
      <c r="P55" s="40" t="n">
        <v>0</v>
      </c>
      <c r="Q55" s="40" t="n">
        <v>0</v>
      </c>
      <c r="R55" s="40" t="n">
        <v>0</v>
      </c>
      <c r="S55" s="40" t="n">
        <v>0</v>
      </c>
      <c r="T55" s="40" t="n">
        <v>0</v>
      </c>
      <c r="U55" s="40" t="n">
        <v>0</v>
      </c>
      <c r="V55" s="40" t="n">
        <v>0</v>
      </c>
      <c r="W55" s="40" t="n">
        <v>0</v>
      </c>
      <c r="X55" s="40" t="n">
        <v>0</v>
      </c>
      <c r="Y55" s="40" t="n">
        <v>0</v>
      </c>
      <c r="Z55" s="40" t="n">
        <v>0</v>
      </c>
      <c r="AA55" s="40" t="n">
        <v>0</v>
      </c>
      <c r="AB55" s="40" t="n">
        <v>0</v>
      </c>
      <c r="AC55" s="40" t="n">
        <v>0</v>
      </c>
      <c r="AD55" s="40" t="n">
        <v>0</v>
      </c>
      <c r="AE55" s="40" t="n">
        <v>0</v>
      </c>
      <c r="AF55" s="40" t="n">
        <v>0</v>
      </c>
      <c r="AG55" s="40" t="n">
        <v>0</v>
      </c>
      <c r="AH55" s="40" t="n">
        <v>0</v>
      </c>
      <c r="AI55" s="40" t="n">
        <v>0</v>
      </c>
      <c r="AJ55" s="40" t="n">
        <v>0</v>
      </c>
      <c r="AK55" s="40" t="n">
        <v>0</v>
      </c>
      <c r="AL55" s="40" t="n">
        <v>0</v>
      </c>
      <c r="AM55" s="40" t="n">
        <v>0</v>
      </c>
      <c r="AN55" s="40" t="n">
        <v>0</v>
      </c>
      <c r="AO55" s="40" t="n">
        <v>0</v>
      </c>
      <c r="AP55" s="40" t="n">
        <v>0</v>
      </c>
      <c r="AQ55" s="40" t="n">
        <v>0</v>
      </c>
      <c r="AR55" s="40" t="n">
        <v>0</v>
      </c>
      <c r="AS55" s="40" t="n">
        <v>0</v>
      </c>
      <c r="AT55" s="40" t="n">
        <v>0</v>
      </c>
      <c r="AU55" s="40" t="n">
        <v>0</v>
      </c>
      <c r="AV55" s="40" t="n">
        <v>0</v>
      </c>
      <c r="AW55" s="40" t="n">
        <v>0</v>
      </c>
      <c r="AX55" s="40" t="n">
        <v>0</v>
      </c>
      <c r="AY55" s="40" t="n">
        <v>0</v>
      </c>
      <c r="AZ55" s="40" t="n">
        <v>0</v>
      </c>
      <c r="BA55" s="40" t="n">
        <v>0</v>
      </c>
      <c r="BB55" s="40" t="n">
        <v>0</v>
      </c>
      <c r="BC55" s="40" t="n">
        <v>0</v>
      </c>
      <c r="BD55" s="40" t="n">
        <v>0</v>
      </c>
      <c r="BE55" s="40" t="n">
        <v>0</v>
      </c>
      <c r="BF55" s="40" t="n">
        <v>0</v>
      </c>
      <c r="BG55" s="40" t="n">
        <v>0</v>
      </c>
      <c r="BH55" s="40" t="n">
        <v>0</v>
      </c>
      <c r="BI55" s="46" t="n">
        <v>0</v>
      </c>
    </row>
    <row r="56">
      <c r="A56" s="40" t="inlineStr">
        <is>
          <t>T6</t>
        </is>
      </c>
      <c r="B56" s="46" t="n">
        <v>0</v>
      </c>
      <c r="C56" s="96" t="n">
        <v>0</v>
      </c>
      <c r="D56" s="46" t="n">
        <v>0</v>
      </c>
      <c r="E56" s="46" t="n">
        <v>0</v>
      </c>
      <c r="F56" s="46" t="n">
        <v>0</v>
      </c>
      <c r="G56" s="46" t="n">
        <v>0</v>
      </c>
      <c r="H56" s="46" t="n">
        <v>0</v>
      </c>
      <c r="I56" s="46" t="n">
        <v>0</v>
      </c>
      <c r="J56" s="46" t="n">
        <v>0</v>
      </c>
      <c r="K56" s="40" t="n">
        <v>0</v>
      </c>
      <c r="L56" s="40" t="n">
        <v>0</v>
      </c>
      <c r="M56" s="40" t="n">
        <v>0</v>
      </c>
      <c r="N56" s="40" t="n">
        <v>0</v>
      </c>
      <c r="O56" s="40" t="n">
        <v>0</v>
      </c>
      <c r="P56" s="40" t="n">
        <v>0</v>
      </c>
      <c r="Q56" s="40" t="n">
        <v>0</v>
      </c>
      <c r="R56" s="40" t="n">
        <v>0</v>
      </c>
      <c r="S56" s="40" t="n">
        <v>0</v>
      </c>
      <c r="T56" s="40" t="n">
        <v>0</v>
      </c>
      <c r="U56" s="40" t="n">
        <v>0</v>
      </c>
      <c r="V56" s="40" t="n">
        <v>0</v>
      </c>
      <c r="W56" s="40" t="n">
        <v>0</v>
      </c>
      <c r="X56" s="40" t="n">
        <v>0</v>
      </c>
      <c r="Y56" s="40" t="n">
        <v>0</v>
      </c>
      <c r="Z56" s="40" t="n">
        <v>0</v>
      </c>
      <c r="AA56" s="40" t="n">
        <v>0</v>
      </c>
      <c r="AB56" s="40" t="n">
        <v>0</v>
      </c>
      <c r="AC56" s="40" t="n">
        <v>0</v>
      </c>
      <c r="AD56" s="40" t="n">
        <v>0</v>
      </c>
      <c r="AE56" s="40" t="n">
        <v>0</v>
      </c>
      <c r="AF56" s="40" t="n">
        <v>0</v>
      </c>
      <c r="AG56" s="40" t="n">
        <v>0</v>
      </c>
      <c r="AH56" s="40" t="n">
        <v>0</v>
      </c>
      <c r="AI56" s="40" t="n">
        <v>0</v>
      </c>
      <c r="AJ56" s="40" t="n">
        <v>0</v>
      </c>
      <c r="AK56" s="40" t="n">
        <v>0</v>
      </c>
      <c r="AL56" s="40" t="n">
        <v>0</v>
      </c>
      <c r="AM56" s="40" t="n">
        <v>0</v>
      </c>
      <c r="AN56" s="40" t="n">
        <v>0</v>
      </c>
      <c r="AO56" s="40" t="n">
        <v>0</v>
      </c>
      <c r="AP56" s="40" t="n">
        <v>0</v>
      </c>
      <c r="AQ56" s="40" t="n">
        <v>0</v>
      </c>
      <c r="AR56" s="40" t="n">
        <v>0</v>
      </c>
      <c r="AS56" s="40" t="n">
        <v>0</v>
      </c>
      <c r="AT56" s="40" t="n">
        <v>0</v>
      </c>
      <c r="AU56" s="40" t="n">
        <v>0</v>
      </c>
      <c r="AV56" s="40" t="n">
        <v>0</v>
      </c>
      <c r="AW56" s="40" t="n">
        <v>0</v>
      </c>
      <c r="AX56" s="40" t="n">
        <v>0</v>
      </c>
      <c r="AY56" s="40" t="n">
        <v>0</v>
      </c>
      <c r="AZ56" s="40" t="n">
        <v>0</v>
      </c>
      <c r="BA56" s="40" t="n">
        <v>0</v>
      </c>
      <c r="BB56" s="40" t="n">
        <v>0</v>
      </c>
      <c r="BC56" s="40" t="n">
        <v>0</v>
      </c>
      <c r="BD56" s="40" t="n">
        <v>0</v>
      </c>
      <c r="BE56" s="40" t="n">
        <v>0</v>
      </c>
      <c r="BF56" s="40" t="n">
        <v>0</v>
      </c>
      <c r="BG56" s="40" t="n">
        <v>0</v>
      </c>
      <c r="BH56" s="40" t="n">
        <v>0</v>
      </c>
      <c r="BI56" s="46" t="n">
        <v>0</v>
      </c>
    </row>
    <row r="57">
      <c r="A57" s="40" t="inlineStr">
        <is>
          <t>T7</t>
        </is>
      </c>
      <c r="B57" s="46" t="n">
        <v>0</v>
      </c>
      <c r="C57" s="96" t="n">
        <v>0</v>
      </c>
      <c r="D57" s="46" t="n">
        <v>0</v>
      </c>
      <c r="E57" s="46" t="n">
        <v>0</v>
      </c>
      <c r="F57" s="46" t="n">
        <v>0</v>
      </c>
      <c r="G57" s="46" t="n">
        <v>0</v>
      </c>
      <c r="H57" s="46" t="n">
        <v>0</v>
      </c>
      <c r="I57" s="46" t="n">
        <v>0</v>
      </c>
      <c r="J57" s="46" t="n">
        <v>0</v>
      </c>
      <c r="K57" s="40" t="n">
        <v>0</v>
      </c>
      <c r="L57" s="40" t="n">
        <v>0</v>
      </c>
      <c r="M57" s="40" t="n">
        <v>0</v>
      </c>
      <c r="N57" s="40" t="n">
        <v>0</v>
      </c>
      <c r="O57" s="40" t="n">
        <v>0</v>
      </c>
      <c r="P57" s="40" t="n">
        <v>0</v>
      </c>
      <c r="Q57" s="40" t="n">
        <v>0</v>
      </c>
      <c r="R57" s="40" t="n">
        <v>0</v>
      </c>
      <c r="S57" s="40" t="n">
        <v>0</v>
      </c>
      <c r="T57" s="40" t="n">
        <v>0</v>
      </c>
      <c r="U57" s="40" t="n">
        <v>0</v>
      </c>
      <c r="V57" s="40" t="n">
        <v>0</v>
      </c>
      <c r="W57" s="40" t="n">
        <v>0</v>
      </c>
      <c r="X57" s="40" t="n">
        <v>0</v>
      </c>
      <c r="Y57" s="40" t="n">
        <v>0</v>
      </c>
      <c r="Z57" s="40" t="n">
        <v>0</v>
      </c>
      <c r="AA57" s="40" t="n">
        <v>0</v>
      </c>
      <c r="AB57" s="40" t="n">
        <v>0</v>
      </c>
      <c r="AC57" s="40" t="n">
        <v>0</v>
      </c>
      <c r="AD57" s="40" t="n">
        <v>0</v>
      </c>
      <c r="AE57" s="40" t="n">
        <v>0</v>
      </c>
      <c r="AF57" s="40" t="n">
        <v>0</v>
      </c>
      <c r="AG57" s="40" t="n">
        <v>0</v>
      </c>
      <c r="AH57" s="40" t="n">
        <v>0</v>
      </c>
      <c r="AI57" s="40" t="n">
        <v>0</v>
      </c>
      <c r="AJ57" s="40" t="n">
        <v>0</v>
      </c>
      <c r="AK57" s="40" t="n">
        <v>0</v>
      </c>
      <c r="AL57" s="40" t="n">
        <v>0</v>
      </c>
      <c r="AM57" s="40" t="n">
        <v>0</v>
      </c>
      <c r="AN57" s="40" t="n">
        <v>0</v>
      </c>
      <c r="AO57" s="40" t="n">
        <v>0</v>
      </c>
      <c r="AP57" s="40" t="n">
        <v>0</v>
      </c>
      <c r="AQ57" s="40" t="n">
        <v>0</v>
      </c>
      <c r="AR57" s="40" t="n">
        <v>0</v>
      </c>
      <c r="AS57" s="40" t="n">
        <v>0</v>
      </c>
      <c r="AT57" s="40" t="n">
        <v>0</v>
      </c>
      <c r="AU57" s="40" t="n">
        <v>0</v>
      </c>
      <c r="AV57" s="40" t="n">
        <v>0</v>
      </c>
      <c r="AW57" s="40" t="n">
        <v>0</v>
      </c>
      <c r="AX57" s="40" t="n">
        <v>0</v>
      </c>
      <c r="AY57" s="40" t="n">
        <v>0</v>
      </c>
      <c r="AZ57" s="40" t="n">
        <v>0</v>
      </c>
      <c r="BA57" s="40" t="n">
        <v>0</v>
      </c>
      <c r="BB57" s="40" t="n">
        <v>0</v>
      </c>
      <c r="BC57" s="40" t="n">
        <v>0</v>
      </c>
      <c r="BD57" s="40" t="n">
        <v>0</v>
      </c>
      <c r="BE57" s="40" t="n">
        <v>0</v>
      </c>
      <c r="BF57" s="40" t="n">
        <v>0</v>
      </c>
      <c r="BG57" s="40" t="n">
        <v>0</v>
      </c>
      <c r="BH57" s="40" t="n">
        <v>0</v>
      </c>
      <c r="BI57" s="46" t="n">
        <v>0</v>
      </c>
    </row>
    <row r="58">
      <c r="A58" s="40" t="inlineStr">
        <is>
          <t>T8</t>
        </is>
      </c>
      <c r="B58" s="46" t="n">
        <v>0</v>
      </c>
      <c r="C58" s="96" t="n">
        <v>0</v>
      </c>
      <c r="D58" s="46" t="n">
        <v>0</v>
      </c>
      <c r="E58" s="46" t="n">
        <v>0</v>
      </c>
      <c r="F58" s="46" t="n">
        <v>0</v>
      </c>
      <c r="G58" s="46" t="n">
        <v>0</v>
      </c>
      <c r="H58" s="46" t="n">
        <v>0</v>
      </c>
      <c r="I58" s="46" t="n">
        <v>0</v>
      </c>
      <c r="J58" s="46" t="n">
        <v>0</v>
      </c>
      <c r="K58" s="40" t="n">
        <v>0</v>
      </c>
      <c r="L58" s="40" t="n">
        <v>0</v>
      </c>
      <c r="M58" s="40" t="n">
        <v>0</v>
      </c>
      <c r="N58" s="40" t="n">
        <v>0</v>
      </c>
      <c r="O58" s="40" t="n">
        <v>0</v>
      </c>
      <c r="P58" s="40" t="n">
        <v>0</v>
      </c>
      <c r="Q58" s="40" t="n">
        <v>0</v>
      </c>
      <c r="R58" s="40" t="n">
        <v>0</v>
      </c>
      <c r="S58" s="40" t="n">
        <v>0</v>
      </c>
      <c r="T58" s="40" t="n">
        <v>0</v>
      </c>
      <c r="U58" s="40" t="n">
        <v>0</v>
      </c>
      <c r="V58" s="40" t="n">
        <v>0</v>
      </c>
      <c r="W58" s="40" t="n">
        <v>0</v>
      </c>
      <c r="X58" s="40" t="n">
        <v>0</v>
      </c>
      <c r="Y58" s="40" t="n">
        <v>0</v>
      </c>
      <c r="Z58" s="40" t="n">
        <v>0</v>
      </c>
      <c r="AA58" s="40" t="n">
        <v>0</v>
      </c>
      <c r="AB58" s="40" t="n">
        <v>0</v>
      </c>
      <c r="AC58" s="40" t="n">
        <v>0</v>
      </c>
      <c r="AD58" s="40" t="n">
        <v>0</v>
      </c>
      <c r="AE58" s="40" t="n">
        <v>0</v>
      </c>
      <c r="AF58" s="40" t="n">
        <v>0</v>
      </c>
      <c r="AG58" s="40" t="n">
        <v>0</v>
      </c>
      <c r="AH58" s="40" t="n">
        <v>0</v>
      </c>
      <c r="AI58" s="40" t="n">
        <v>0</v>
      </c>
      <c r="AJ58" s="40" t="n">
        <v>0</v>
      </c>
      <c r="AK58" s="40" t="n">
        <v>0</v>
      </c>
      <c r="AL58" s="40" t="n">
        <v>0</v>
      </c>
      <c r="AM58" s="40" t="n">
        <v>0</v>
      </c>
      <c r="AN58" s="40" t="n">
        <v>0</v>
      </c>
      <c r="AO58" s="40" t="n">
        <v>0</v>
      </c>
      <c r="AP58" s="40" t="n">
        <v>0</v>
      </c>
      <c r="AQ58" s="40" t="n">
        <v>0</v>
      </c>
      <c r="AR58" s="40" t="n">
        <v>0</v>
      </c>
      <c r="AS58" s="40" t="n">
        <v>0</v>
      </c>
      <c r="AT58" s="40" t="n">
        <v>0</v>
      </c>
      <c r="AU58" s="40" t="n">
        <v>0</v>
      </c>
      <c r="AV58" s="40" t="n">
        <v>0</v>
      </c>
      <c r="AW58" s="40" t="n">
        <v>0</v>
      </c>
      <c r="AX58" s="40" t="n">
        <v>0</v>
      </c>
      <c r="AY58" s="40" t="n">
        <v>0</v>
      </c>
      <c r="AZ58" s="40" t="n">
        <v>0</v>
      </c>
      <c r="BA58" s="40" t="n">
        <v>0</v>
      </c>
      <c r="BB58" s="40" t="n">
        <v>0</v>
      </c>
      <c r="BC58" s="40" t="n">
        <v>0</v>
      </c>
      <c r="BD58" s="40" t="n">
        <v>0</v>
      </c>
      <c r="BE58" s="40" t="n">
        <v>0</v>
      </c>
      <c r="BF58" s="40" t="n">
        <v>0</v>
      </c>
      <c r="BG58" s="40" t="n">
        <v>0</v>
      </c>
      <c r="BH58" s="40" t="n">
        <v>0</v>
      </c>
      <c r="BI58" s="46" t="n">
        <v>0</v>
      </c>
    </row>
    <row r="59">
      <c r="A59" s="40" t="inlineStr">
        <is>
          <t>T9</t>
        </is>
      </c>
      <c r="B59" s="46" t="n">
        <v>0</v>
      </c>
      <c r="C59" s="96" t="n">
        <v>0</v>
      </c>
      <c r="D59" s="46" t="n">
        <v>0</v>
      </c>
      <c r="E59" s="46" t="n">
        <v>0</v>
      </c>
      <c r="F59" s="46" t="n">
        <v>0</v>
      </c>
      <c r="G59" s="46" t="n">
        <v>0</v>
      </c>
      <c r="H59" s="46" t="n">
        <v>0</v>
      </c>
      <c r="I59" s="46" t="n">
        <v>0</v>
      </c>
      <c r="J59" s="46" t="n">
        <v>0</v>
      </c>
      <c r="K59" s="40" t="n">
        <v>0</v>
      </c>
      <c r="L59" s="40" t="n">
        <v>0</v>
      </c>
      <c r="M59" s="40" t="n">
        <v>0</v>
      </c>
      <c r="N59" s="40" t="n">
        <v>0</v>
      </c>
      <c r="O59" s="40" t="n">
        <v>0</v>
      </c>
      <c r="P59" s="40" t="n">
        <v>0</v>
      </c>
      <c r="Q59" s="40" t="n">
        <v>0</v>
      </c>
      <c r="R59" s="40" t="n">
        <v>0</v>
      </c>
      <c r="S59" s="40" t="n">
        <v>0</v>
      </c>
      <c r="T59" s="40" t="n">
        <v>0</v>
      </c>
      <c r="U59" s="40" t="n">
        <v>0</v>
      </c>
      <c r="V59" s="40" t="n">
        <v>0</v>
      </c>
      <c r="W59" s="40" t="n">
        <v>0</v>
      </c>
      <c r="X59" s="40" t="n">
        <v>0</v>
      </c>
      <c r="Y59" s="40" t="n">
        <v>0</v>
      </c>
      <c r="Z59" s="40" t="n">
        <v>0</v>
      </c>
      <c r="AA59" s="40" t="n">
        <v>0</v>
      </c>
      <c r="AB59" s="40" t="n">
        <v>0</v>
      </c>
      <c r="AC59" s="40" t="n">
        <v>0</v>
      </c>
      <c r="AD59" s="40" t="n">
        <v>0</v>
      </c>
      <c r="AE59" s="40" t="n">
        <v>0</v>
      </c>
      <c r="AF59" s="40" t="n">
        <v>0</v>
      </c>
      <c r="AG59" s="40" t="n">
        <v>0</v>
      </c>
      <c r="AH59" s="40" t="n">
        <v>0</v>
      </c>
      <c r="AI59" s="40" t="n">
        <v>0</v>
      </c>
      <c r="AJ59" s="40" t="n">
        <v>0</v>
      </c>
      <c r="AK59" s="40" t="n">
        <v>0</v>
      </c>
      <c r="AL59" s="40" t="n">
        <v>0</v>
      </c>
      <c r="AM59" s="40" t="n">
        <v>0</v>
      </c>
      <c r="AN59" s="40" t="n">
        <v>0</v>
      </c>
      <c r="AO59" s="40" t="n">
        <v>0</v>
      </c>
      <c r="AP59" s="40" t="n">
        <v>0</v>
      </c>
      <c r="AQ59" s="40" t="n">
        <v>0</v>
      </c>
      <c r="AR59" s="40" t="n">
        <v>0</v>
      </c>
      <c r="AS59" s="40" t="n">
        <v>0</v>
      </c>
      <c r="AT59" s="40" t="n">
        <v>0</v>
      </c>
      <c r="AU59" s="40" t="n">
        <v>0</v>
      </c>
      <c r="AV59" s="40" t="n">
        <v>0</v>
      </c>
      <c r="AW59" s="40" t="n">
        <v>0</v>
      </c>
      <c r="AX59" s="40" t="n">
        <v>0</v>
      </c>
      <c r="AY59" s="40" t="n">
        <v>0</v>
      </c>
      <c r="AZ59" s="40" t="n">
        <v>0</v>
      </c>
      <c r="BA59" s="40" t="n">
        <v>0</v>
      </c>
      <c r="BB59" s="40" t="n">
        <v>0</v>
      </c>
      <c r="BC59" s="40" t="n">
        <v>0</v>
      </c>
      <c r="BD59" s="40" t="n">
        <v>0</v>
      </c>
      <c r="BE59" s="40" t="n">
        <v>0</v>
      </c>
      <c r="BF59" s="40" t="n">
        <v>0</v>
      </c>
      <c r="BG59" s="40" t="n">
        <v>0</v>
      </c>
      <c r="BH59" s="40" t="n">
        <v>0</v>
      </c>
      <c r="BI59" s="46" t="n">
        <v>0</v>
      </c>
    </row>
    <row r="60">
      <c r="A60" s="40" t="inlineStr">
        <is>
          <t>T10</t>
        </is>
      </c>
      <c r="B60" s="46" t="n">
        <v>0</v>
      </c>
      <c r="C60" s="96" t="n">
        <v>0</v>
      </c>
      <c r="D60" s="46" t="n">
        <v>0</v>
      </c>
      <c r="E60" s="46" t="n">
        <v>0</v>
      </c>
      <c r="F60" s="46" t="n">
        <v>0</v>
      </c>
      <c r="G60" s="46" t="n">
        <v>0</v>
      </c>
      <c r="H60" s="46" t="n">
        <v>0</v>
      </c>
      <c r="I60" s="46" t="n">
        <v>0</v>
      </c>
      <c r="J60" s="46" t="n">
        <v>0</v>
      </c>
      <c r="K60" s="40" t="n">
        <v>0</v>
      </c>
      <c r="L60" s="40" t="n">
        <v>0</v>
      </c>
      <c r="M60" s="40" t="n">
        <v>0</v>
      </c>
      <c r="N60" s="40" t="n">
        <v>0</v>
      </c>
      <c r="O60" s="40" t="n">
        <v>0</v>
      </c>
      <c r="P60" s="40" t="n">
        <v>0</v>
      </c>
      <c r="Q60" s="40" t="n">
        <v>0</v>
      </c>
      <c r="R60" s="40" t="n">
        <v>0</v>
      </c>
      <c r="S60" s="40" t="n">
        <v>0</v>
      </c>
      <c r="T60" s="40" t="n">
        <v>0</v>
      </c>
      <c r="U60" s="40" t="n">
        <v>0</v>
      </c>
      <c r="V60" s="40" t="n">
        <v>0</v>
      </c>
      <c r="W60" s="40" t="n">
        <v>0</v>
      </c>
      <c r="X60" s="40" t="n">
        <v>0</v>
      </c>
      <c r="Y60" s="40" t="n">
        <v>0</v>
      </c>
      <c r="Z60" s="40" t="n">
        <v>0</v>
      </c>
      <c r="AA60" s="40" t="n">
        <v>0</v>
      </c>
      <c r="AB60" s="40" t="n">
        <v>0</v>
      </c>
      <c r="AC60" s="40" t="n">
        <v>0</v>
      </c>
      <c r="AD60" s="40" t="n">
        <v>0</v>
      </c>
      <c r="AE60" s="40" t="n">
        <v>0</v>
      </c>
      <c r="AF60" s="40" t="n">
        <v>0</v>
      </c>
      <c r="AG60" s="40" t="n">
        <v>0</v>
      </c>
      <c r="AH60" s="40" t="n">
        <v>0</v>
      </c>
      <c r="AI60" s="40" t="n">
        <v>0</v>
      </c>
      <c r="AJ60" s="40" t="n">
        <v>0</v>
      </c>
      <c r="AK60" s="40" t="n">
        <v>0</v>
      </c>
      <c r="AL60" s="40" t="n">
        <v>0</v>
      </c>
      <c r="AM60" s="40" t="n">
        <v>0</v>
      </c>
      <c r="AN60" s="40" t="n">
        <v>0</v>
      </c>
      <c r="AO60" s="40" t="n">
        <v>0</v>
      </c>
      <c r="AP60" s="40" t="n">
        <v>0</v>
      </c>
      <c r="AQ60" s="40" t="n">
        <v>0</v>
      </c>
      <c r="AR60" s="40" t="n">
        <v>0</v>
      </c>
      <c r="AS60" s="40" t="n">
        <v>0</v>
      </c>
      <c r="AT60" s="40" t="n">
        <v>0</v>
      </c>
      <c r="AU60" s="40" t="n">
        <v>0</v>
      </c>
      <c r="AV60" s="40" t="n">
        <v>0</v>
      </c>
      <c r="AW60" s="40" t="n">
        <v>0</v>
      </c>
      <c r="AX60" s="40" t="n">
        <v>0</v>
      </c>
      <c r="AY60" s="40" t="n">
        <v>0</v>
      </c>
      <c r="AZ60" s="40" t="n">
        <v>0</v>
      </c>
      <c r="BA60" s="40" t="n">
        <v>0</v>
      </c>
      <c r="BB60" s="40" t="n">
        <v>0</v>
      </c>
      <c r="BC60" s="40" t="n">
        <v>0</v>
      </c>
      <c r="BD60" s="40" t="n">
        <v>0</v>
      </c>
      <c r="BE60" s="40" t="n">
        <v>0</v>
      </c>
      <c r="BF60" s="40" t="n">
        <v>0</v>
      </c>
      <c r="BG60" s="40" t="n">
        <v>0</v>
      </c>
      <c r="BH60" s="40" t="n">
        <v>0</v>
      </c>
      <c r="BI60" s="46" t="n">
        <v>0</v>
      </c>
    </row>
    <row r="61">
      <c r="A61" s="40" t="inlineStr">
        <is>
          <t>T11</t>
        </is>
      </c>
      <c r="B61" s="46" t="n">
        <v>0</v>
      </c>
      <c r="C61" s="96" t="n">
        <v>0</v>
      </c>
      <c r="D61" s="46" t="n">
        <v>0</v>
      </c>
      <c r="E61" s="46" t="n">
        <v>0</v>
      </c>
      <c r="F61" s="46" t="n">
        <v>0</v>
      </c>
      <c r="G61" s="46" t="n">
        <v>0</v>
      </c>
      <c r="H61" s="46" t="n">
        <v>0</v>
      </c>
      <c r="I61" s="46" t="n">
        <v>0</v>
      </c>
      <c r="J61" s="46" t="n">
        <v>0</v>
      </c>
      <c r="K61" s="40" t="n">
        <v>0</v>
      </c>
      <c r="L61" s="40" t="n">
        <v>0</v>
      </c>
      <c r="M61" s="40" t="n">
        <v>0</v>
      </c>
      <c r="N61" s="40" t="n">
        <v>0</v>
      </c>
      <c r="O61" s="40" t="n">
        <v>0</v>
      </c>
      <c r="P61" s="40" t="n">
        <v>0</v>
      </c>
      <c r="Q61" s="40" t="n">
        <v>0</v>
      </c>
      <c r="R61" s="40" t="n">
        <v>0</v>
      </c>
      <c r="S61" s="40" t="n">
        <v>0</v>
      </c>
      <c r="T61" s="40" t="n">
        <v>0</v>
      </c>
      <c r="U61" s="40" t="n">
        <v>0</v>
      </c>
      <c r="V61" s="40" t="n">
        <v>0</v>
      </c>
      <c r="W61" s="40" t="n">
        <v>0</v>
      </c>
      <c r="X61" s="40" t="n">
        <v>0</v>
      </c>
      <c r="Y61" s="40" t="n">
        <v>0</v>
      </c>
      <c r="Z61" s="40" t="n">
        <v>0</v>
      </c>
      <c r="AA61" s="40" t="n">
        <v>0</v>
      </c>
      <c r="AB61" s="40" t="n">
        <v>0</v>
      </c>
      <c r="AC61" s="40" t="n">
        <v>0</v>
      </c>
      <c r="AD61" s="40" t="n">
        <v>0</v>
      </c>
      <c r="AE61" s="40" t="n">
        <v>0</v>
      </c>
      <c r="AF61" s="40" t="n">
        <v>0</v>
      </c>
      <c r="AG61" s="40" t="n">
        <v>0</v>
      </c>
      <c r="AH61" s="40" t="n">
        <v>0</v>
      </c>
      <c r="AI61" s="40" t="n">
        <v>0</v>
      </c>
      <c r="AJ61" s="40" t="n">
        <v>0</v>
      </c>
      <c r="AK61" s="40" t="n">
        <v>0</v>
      </c>
      <c r="AL61" s="40" t="n">
        <v>0</v>
      </c>
      <c r="AM61" s="40" t="n">
        <v>0</v>
      </c>
      <c r="AN61" s="40" t="n">
        <v>0</v>
      </c>
      <c r="AO61" s="40" t="n">
        <v>0</v>
      </c>
      <c r="AP61" s="40" t="n">
        <v>0</v>
      </c>
      <c r="AQ61" s="40" t="n">
        <v>0</v>
      </c>
      <c r="AR61" s="40" t="n">
        <v>0</v>
      </c>
      <c r="AS61" s="40" t="n">
        <v>0</v>
      </c>
      <c r="AT61" s="40" t="n">
        <v>0</v>
      </c>
      <c r="AU61" s="40" t="n">
        <v>0</v>
      </c>
      <c r="AV61" s="40" t="n">
        <v>0</v>
      </c>
      <c r="AW61" s="40" t="n">
        <v>0</v>
      </c>
      <c r="AX61" s="40" t="n">
        <v>0</v>
      </c>
      <c r="AY61" s="40" t="n">
        <v>0</v>
      </c>
      <c r="AZ61" s="40" t="n">
        <v>0</v>
      </c>
      <c r="BA61" s="40" t="n">
        <v>0</v>
      </c>
      <c r="BB61" s="40" t="n">
        <v>0</v>
      </c>
      <c r="BC61" s="40" t="n">
        <v>0</v>
      </c>
      <c r="BD61" s="40" t="n">
        <v>0</v>
      </c>
      <c r="BE61" s="40" t="n">
        <v>0</v>
      </c>
      <c r="BF61" s="40" t="n">
        <v>0</v>
      </c>
      <c r="BG61" s="40" t="n">
        <v>0</v>
      </c>
      <c r="BH61" s="40" t="n">
        <v>0</v>
      </c>
      <c r="BI61" s="46" t="n">
        <v>0</v>
      </c>
    </row>
    <row r="62">
      <c r="A62" s="40" t="inlineStr">
        <is>
          <t>T12</t>
        </is>
      </c>
      <c r="B62" s="46" t="n">
        <v>0</v>
      </c>
      <c r="C62" s="96" t="n">
        <v>0</v>
      </c>
      <c r="D62" s="46" t="n">
        <v>0</v>
      </c>
      <c r="E62" s="46" t="n">
        <v>0</v>
      </c>
      <c r="F62" s="46" t="n">
        <v>0</v>
      </c>
      <c r="G62" s="46" t="n">
        <v>0</v>
      </c>
      <c r="H62" s="46" t="n">
        <v>0</v>
      </c>
      <c r="I62" s="46" t="n">
        <v>0</v>
      </c>
      <c r="J62" s="46" t="n">
        <v>0</v>
      </c>
      <c r="K62" s="40" t="n">
        <v>0</v>
      </c>
      <c r="L62" s="40" t="n">
        <v>0</v>
      </c>
      <c r="M62" s="40" t="n">
        <v>0</v>
      </c>
      <c r="N62" s="40" t="n">
        <v>0</v>
      </c>
      <c r="O62" s="40" t="n">
        <v>0</v>
      </c>
      <c r="P62" s="40" t="n">
        <v>0</v>
      </c>
      <c r="Q62" s="40" t="n">
        <v>0</v>
      </c>
      <c r="R62" s="40" t="n">
        <v>0</v>
      </c>
      <c r="S62" s="40" t="n">
        <v>0</v>
      </c>
      <c r="T62" s="40" t="n">
        <v>0</v>
      </c>
      <c r="U62" s="40" t="n">
        <v>0</v>
      </c>
      <c r="V62" s="40" t="n">
        <v>0</v>
      </c>
      <c r="W62" s="40" t="n">
        <v>0</v>
      </c>
      <c r="X62" s="40" t="n">
        <v>0</v>
      </c>
      <c r="Y62" s="40" t="n">
        <v>0</v>
      </c>
      <c r="Z62" s="40" t="n">
        <v>0</v>
      </c>
      <c r="AA62" s="40" t="n">
        <v>0</v>
      </c>
      <c r="AB62" s="40" t="n">
        <v>0</v>
      </c>
      <c r="AC62" s="40" t="n">
        <v>0</v>
      </c>
      <c r="AD62" s="40" t="n">
        <v>0</v>
      </c>
      <c r="AE62" s="40" t="n">
        <v>0</v>
      </c>
      <c r="AF62" s="40" t="n">
        <v>0</v>
      </c>
      <c r="AG62" s="40" t="n">
        <v>0</v>
      </c>
      <c r="AH62" s="40" t="n">
        <v>0</v>
      </c>
      <c r="AI62" s="40" t="n">
        <v>0</v>
      </c>
      <c r="AJ62" s="40" t="n">
        <v>0</v>
      </c>
      <c r="AK62" s="40" t="n">
        <v>0</v>
      </c>
      <c r="AL62" s="40" t="n">
        <v>0</v>
      </c>
      <c r="AM62" s="40" t="n">
        <v>0</v>
      </c>
      <c r="AN62" s="40" t="n">
        <v>0</v>
      </c>
      <c r="AO62" s="40" t="n">
        <v>0</v>
      </c>
      <c r="AP62" s="40" t="n">
        <v>0</v>
      </c>
      <c r="AQ62" s="40" t="n">
        <v>0</v>
      </c>
      <c r="AR62" s="40" t="n">
        <v>0</v>
      </c>
      <c r="AS62" s="40" t="n">
        <v>0</v>
      </c>
      <c r="AT62" s="40" t="n">
        <v>0</v>
      </c>
      <c r="AU62" s="40" t="n">
        <v>0</v>
      </c>
      <c r="AV62" s="40" t="n">
        <v>0</v>
      </c>
      <c r="AW62" s="40" t="n">
        <v>0</v>
      </c>
      <c r="AX62" s="40" t="n">
        <v>0</v>
      </c>
      <c r="AY62" s="40" t="n">
        <v>0</v>
      </c>
      <c r="AZ62" s="40" t="n">
        <v>0</v>
      </c>
      <c r="BA62" s="40" t="n">
        <v>0</v>
      </c>
      <c r="BB62" s="40" t="n">
        <v>0</v>
      </c>
      <c r="BC62" s="40" t="n">
        <v>0</v>
      </c>
      <c r="BD62" s="40" t="n">
        <v>0</v>
      </c>
      <c r="BE62" s="40" t="n">
        <v>0</v>
      </c>
      <c r="BF62" s="40" t="n">
        <v>0</v>
      </c>
      <c r="BG62" s="40" t="n">
        <v>0</v>
      </c>
      <c r="BH62" s="40" t="n">
        <v>0</v>
      </c>
      <c r="BI62" s="46" t="n">
        <v>0</v>
      </c>
    </row>
    <row r="63">
      <c r="A63" s="40" t="inlineStr">
        <is>
          <t>T13</t>
        </is>
      </c>
      <c r="B63" s="46" t="n">
        <v>0</v>
      </c>
      <c r="C63" s="96" t="n">
        <v>0</v>
      </c>
      <c r="D63" s="46" t="n">
        <v>0</v>
      </c>
      <c r="E63" s="46" t="n">
        <v>0</v>
      </c>
      <c r="F63" s="46" t="n">
        <v>0</v>
      </c>
      <c r="G63" s="46" t="n">
        <v>0</v>
      </c>
      <c r="H63" s="46" t="n">
        <v>0</v>
      </c>
      <c r="I63" s="46" t="n">
        <v>0</v>
      </c>
      <c r="J63" s="46" t="n">
        <v>0</v>
      </c>
      <c r="K63" s="40" t="n">
        <v>0</v>
      </c>
      <c r="L63" s="40" t="n">
        <v>0</v>
      </c>
      <c r="M63" s="40" t="n">
        <v>0</v>
      </c>
      <c r="N63" s="40" t="n">
        <v>0</v>
      </c>
      <c r="O63" s="40" t="n">
        <v>0</v>
      </c>
      <c r="P63" s="40" t="n">
        <v>0</v>
      </c>
      <c r="Q63" s="40" t="n">
        <v>0</v>
      </c>
      <c r="R63" s="40" t="n">
        <v>0</v>
      </c>
      <c r="S63" s="40" t="n">
        <v>0</v>
      </c>
      <c r="T63" s="40" t="n">
        <v>0</v>
      </c>
      <c r="U63" s="40" t="n">
        <v>0</v>
      </c>
      <c r="V63" s="40" t="n">
        <v>0</v>
      </c>
      <c r="W63" s="40" t="n">
        <v>0</v>
      </c>
      <c r="X63" s="40" t="n">
        <v>0</v>
      </c>
      <c r="Y63" s="40" t="n">
        <v>0</v>
      </c>
      <c r="Z63" s="40" t="n">
        <v>0</v>
      </c>
      <c r="AA63" s="40" t="n">
        <v>0</v>
      </c>
      <c r="AB63" s="40" t="n">
        <v>0</v>
      </c>
      <c r="AC63" s="40" t="n">
        <v>0</v>
      </c>
      <c r="AD63" s="40" t="n">
        <v>0</v>
      </c>
      <c r="AE63" s="40" t="n">
        <v>0</v>
      </c>
      <c r="AF63" s="40" t="n">
        <v>0</v>
      </c>
      <c r="AG63" s="40" t="n">
        <v>0</v>
      </c>
      <c r="AH63" s="40" t="n">
        <v>0</v>
      </c>
      <c r="AI63" s="40" t="n">
        <v>0</v>
      </c>
      <c r="AJ63" s="40" t="n">
        <v>0</v>
      </c>
      <c r="AK63" s="40" t="n">
        <v>0</v>
      </c>
      <c r="AL63" s="40" t="n">
        <v>0</v>
      </c>
      <c r="AM63" s="40" t="n">
        <v>0</v>
      </c>
      <c r="AN63" s="40" t="n">
        <v>0</v>
      </c>
      <c r="AO63" s="40" t="n">
        <v>0</v>
      </c>
      <c r="AP63" s="40" t="n">
        <v>0</v>
      </c>
      <c r="AQ63" s="40" t="n">
        <v>0</v>
      </c>
      <c r="AR63" s="40" t="n">
        <v>0</v>
      </c>
      <c r="AS63" s="40" t="n">
        <v>0</v>
      </c>
      <c r="AT63" s="40" t="n">
        <v>0</v>
      </c>
      <c r="AU63" s="40" t="n">
        <v>0</v>
      </c>
      <c r="AV63" s="40" t="n">
        <v>0</v>
      </c>
      <c r="AW63" s="40" t="n">
        <v>0</v>
      </c>
      <c r="AX63" s="40" t="n">
        <v>0</v>
      </c>
      <c r="AY63" s="40" t="n">
        <v>0</v>
      </c>
      <c r="AZ63" s="40" t="n">
        <v>0</v>
      </c>
      <c r="BA63" s="40" t="n">
        <v>0</v>
      </c>
      <c r="BB63" s="40" t="n">
        <v>0</v>
      </c>
      <c r="BC63" s="40" t="n">
        <v>0</v>
      </c>
      <c r="BD63" s="40" t="n">
        <v>0</v>
      </c>
      <c r="BE63" s="40" t="n">
        <v>0</v>
      </c>
      <c r="BF63" s="40" t="n">
        <v>0</v>
      </c>
      <c r="BG63" s="40" t="n">
        <v>0</v>
      </c>
      <c r="BH63" s="40" t="n">
        <v>0</v>
      </c>
      <c r="BI63" s="46" t="n">
        <v>0</v>
      </c>
    </row>
    <row r="64">
      <c r="A64" s="40" t="inlineStr">
        <is>
          <t>T14</t>
        </is>
      </c>
      <c r="B64" s="46" t="n">
        <v>0</v>
      </c>
      <c r="C64" s="96" t="n">
        <v>0</v>
      </c>
      <c r="D64" s="46" t="n">
        <v>0</v>
      </c>
      <c r="E64" s="46" t="n">
        <v>0</v>
      </c>
      <c r="F64" s="46" t="n">
        <v>0</v>
      </c>
      <c r="G64" s="46" t="n">
        <v>0</v>
      </c>
      <c r="H64" s="46" t="n">
        <v>0</v>
      </c>
      <c r="I64" s="46" t="n">
        <v>0</v>
      </c>
      <c r="J64" s="46" t="n">
        <v>0</v>
      </c>
      <c r="K64" s="40" t="n">
        <v>0</v>
      </c>
      <c r="L64" s="40" t="n">
        <v>0</v>
      </c>
      <c r="M64" s="40" t="n">
        <v>0</v>
      </c>
      <c r="N64" s="40" t="n">
        <v>0</v>
      </c>
      <c r="O64" s="40" t="n">
        <v>0</v>
      </c>
      <c r="P64" s="40" t="n">
        <v>0</v>
      </c>
      <c r="Q64" s="40" t="n">
        <v>0</v>
      </c>
      <c r="R64" s="40" t="n">
        <v>0</v>
      </c>
      <c r="S64" s="40" t="n">
        <v>0</v>
      </c>
      <c r="T64" s="40" t="n">
        <v>0</v>
      </c>
      <c r="U64" s="40" t="n">
        <v>0</v>
      </c>
      <c r="V64" s="40" t="n">
        <v>0</v>
      </c>
      <c r="W64" s="40" t="n">
        <v>0</v>
      </c>
      <c r="X64" s="40" t="n">
        <v>0</v>
      </c>
      <c r="Y64" s="40" t="n">
        <v>0</v>
      </c>
      <c r="Z64" s="40" t="n">
        <v>0</v>
      </c>
      <c r="AA64" s="40" t="n">
        <v>0</v>
      </c>
      <c r="AB64" s="40" t="n">
        <v>0</v>
      </c>
      <c r="AC64" s="40" t="n">
        <v>0</v>
      </c>
      <c r="AD64" s="40" t="n">
        <v>0</v>
      </c>
      <c r="AE64" s="40" t="n">
        <v>0</v>
      </c>
      <c r="AF64" s="40" t="n">
        <v>0</v>
      </c>
      <c r="AG64" s="40" t="n">
        <v>0</v>
      </c>
      <c r="AH64" s="40" t="n">
        <v>0</v>
      </c>
      <c r="AI64" s="40" t="n">
        <v>0</v>
      </c>
      <c r="AJ64" s="40" t="n">
        <v>0</v>
      </c>
      <c r="AK64" s="40" t="n">
        <v>0</v>
      </c>
      <c r="AL64" s="40" t="n">
        <v>0</v>
      </c>
      <c r="AM64" s="40" t="n">
        <v>0</v>
      </c>
      <c r="AN64" s="40" t="n">
        <v>0</v>
      </c>
      <c r="AO64" s="40" t="n">
        <v>0</v>
      </c>
      <c r="AP64" s="40" t="n">
        <v>0</v>
      </c>
      <c r="AQ64" s="40" t="n">
        <v>0</v>
      </c>
      <c r="AR64" s="40" t="n">
        <v>0</v>
      </c>
      <c r="AS64" s="40" t="n">
        <v>0</v>
      </c>
      <c r="AT64" s="40" t="n">
        <v>0</v>
      </c>
      <c r="AU64" s="40" t="n">
        <v>0</v>
      </c>
      <c r="AV64" s="40" t="n">
        <v>0</v>
      </c>
      <c r="AW64" s="40" t="n">
        <v>0</v>
      </c>
      <c r="AX64" s="40" t="n">
        <v>0</v>
      </c>
      <c r="AY64" s="40" t="n">
        <v>0</v>
      </c>
      <c r="AZ64" s="40" t="n">
        <v>0</v>
      </c>
      <c r="BA64" s="40" t="n">
        <v>0</v>
      </c>
      <c r="BB64" s="40" t="n">
        <v>0</v>
      </c>
      <c r="BC64" s="40" t="n">
        <v>0</v>
      </c>
      <c r="BD64" s="40" t="n">
        <v>0</v>
      </c>
      <c r="BE64" s="40" t="n">
        <v>0</v>
      </c>
      <c r="BF64" s="40" t="n">
        <v>0</v>
      </c>
      <c r="BG64" s="40" t="n">
        <v>0</v>
      </c>
      <c r="BH64" s="40" t="n">
        <v>0</v>
      </c>
      <c r="BI64" s="46" t="n">
        <v>0</v>
      </c>
    </row>
    <row r="65">
      <c r="A65" s="40" t="inlineStr">
        <is>
          <t>T15</t>
        </is>
      </c>
      <c r="B65" s="46" t="n">
        <v>0</v>
      </c>
      <c r="C65" s="96" t="n">
        <v>0</v>
      </c>
      <c r="D65" s="46" t="n">
        <v>0</v>
      </c>
      <c r="E65" s="46" t="n">
        <v>0</v>
      </c>
      <c r="F65" s="46" t="n">
        <v>0</v>
      </c>
      <c r="G65" s="46" t="n">
        <v>0</v>
      </c>
      <c r="H65" s="46" t="n">
        <v>0</v>
      </c>
      <c r="I65" s="46" t="n">
        <v>0</v>
      </c>
      <c r="J65" s="46" t="n">
        <v>0</v>
      </c>
      <c r="K65" s="40" t="n">
        <v>0</v>
      </c>
      <c r="L65" s="40" t="n">
        <v>0</v>
      </c>
      <c r="M65" s="40" t="n">
        <v>0</v>
      </c>
      <c r="N65" s="40" t="n">
        <v>0</v>
      </c>
      <c r="O65" s="40" t="n">
        <v>0</v>
      </c>
      <c r="P65" s="40" t="n">
        <v>0</v>
      </c>
      <c r="Q65" s="40" t="n">
        <v>0</v>
      </c>
      <c r="R65" s="40" t="n">
        <v>0</v>
      </c>
      <c r="S65" s="40" t="n">
        <v>0</v>
      </c>
      <c r="T65" s="40" t="n">
        <v>0</v>
      </c>
      <c r="U65" s="40" t="n">
        <v>0</v>
      </c>
      <c r="V65" s="40" t="n">
        <v>0</v>
      </c>
      <c r="W65" s="40" t="n">
        <v>0</v>
      </c>
      <c r="X65" s="40" t="n">
        <v>0</v>
      </c>
      <c r="Y65" s="40" t="n">
        <v>0</v>
      </c>
      <c r="Z65" s="40" t="n">
        <v>0</v>
      </c>
      <c r="AA65" s="40" t="n">
        <v>0</v>
      </c>
      <c r="AB65" s="40" t="n">
        <v>0</v>
      </c>
      <c r="AC65" s="40" t="n">
        <v>0</v>
      </c>
      <c r="AD65" s="40" t="n">
        <v>0</v>
      </c>
      <c r="AE65" s="40" t="n">
        <v>0</v>
      </c>
      <c r="AF65" s="40" t="n">
        <v>0</v>
      </c>
      <c r="AG65" s="40" t="n">
        <v>0</v>
      </c>
      <c r="AH65" s="40" t="n">
        <v>0</v>
      </c>
      <c r="AI65" s="40" t="n">
        <v>0</v>
      </c>
      <c r="AJ65" s="40" t="n">
        <v>0</v>
      </c>
      <c r="AK65" s="40" t="n">
        <v>0</v>
      </c>
      <c r="AL65" s="40" t="n">
        <v>0</v>
      </c>
      <c r="AM65" s="40" t="n">
        <v>0</v>
      </c>
      <c r="AN65" s="40" t="n">
        <v>0</v>
      </c>
      <c r="AO65" s="40" t="n">
        <v>0</v>
      </c>
      <c r="AP65" s="40" t="n">
        <v>0</v>
      </c>
      <c r="AQ65" s="40" t="n">
        <v>0</v>
      </c>
      <c r="AR65" s="40" t="n">
        <v>0</v>
      </c>
      <c r="AS65" s="40" t="n">
        <v>0</v>
      </c>
      <c r="AT65" s="40" t="n">
        <v>0</v>
      </c>
      <c r="AU65" s="40" t="n">
        <v>0</v>
      </c>
      <c r="AV65" s="40" t="n">
        <v>0</v>
      </c>
      <c r="AW65" s="40" t="n">
        <v>0</v>
      </c>
      <c r="AX65" s="40" t="n">
        <v>0</v>
      </c>
      <c r="AY65" s="40" t="n">
        <v>0</v>
      </c>
      <c r="AZ65" s="40" t="n">
        <v>0</v>
      </c>
      <c r="BA65" s="40" t="n">
        <v>0</v>
      </c>
      <c r="BB65" s="40" t="n">
        <v>0</v>
      </c>
      <c r="BC65" s="40" t="n">
        <v>0</v>
      </c>
      <c r="BD65" s="40" t="n">
        <v>0</v>
      </c>
      <c r="BE65" s="40" t="n">
        <v>0</v>
      </c>
      <c r="BF65" s="40" t="n">
        <v>0</v>
      </c>
      <c r="BG65" s="40" t="n">
        <v>0</v>
      </c>
      <c r="BH65" s="40" t="n">
        <v>0</v>
      </c>
      <c r="BI65" s="46" t="n">
        <v>0</v>
      </c>
    </row>
    <row r="66">
      <c r="A66" s="40" t="inlineStr">
        <is>
          <t>T16</t>
        </is>
      </c>
      <c r="B66" s="46" t="n">
        <v>0</v>
      </c>
      <c r="C66" s="96" t="n">
        <v>0</v>
      </c>
      <c r="D66" s="46" t="n">
        <v>0</v>
      </c>
      <c r="E66" s="46" t="n">
        <v>0</v>
      </c>
      <c r="F66" s="46" t="n">
        <v>0</v>
      </c>
      <c r="G66" s="46" t="n">
        <v>0</v>
      </c>
      <c r="H66" s="46" t="n">
        <v>0</v>
      </c>
      <c r="I66" s="46" t="n">
        <v>0</v>
      </c>
      <c r="J66" s="46" t="n">
        <v>0</v>
      </c>
      <c r="K66" s="40" t="n">
        <v>0</v>
      </c>
      <c r="L66" s="40" t="n">
        <v>0</v>
      </c>
      <c r="M66" s="40" t="n">
        <v>0</v>
      </c>
      <c r="N66" s="40" t="n">
        <v>0</v>
      </c>
      <c r="O66" s="40" t="n">
        <v>0</v>
      </c>
      <c r="P66" s="40" t="n">
        <v>0</v>
      </c>
      <c r="Q66" s="40" t="n">
        <v>0</v>
      </c>
      <c r="R66" s="40" t="n">
        <v>0</v>
      </c>
      <c r="S66" s="40" t="n">
        <v>0</v>
      </c>
      <c r="T66" s="40" t="n">
        <v>0</v>
      </c>
      <c r="U66" s="40" t="n">
        <v>0</v>
      </c>
      <c r="V66" s="40" t="n">
        <v>0</v>
      </c>
      <c r="W66" s="40" t="n">
        <v>0</v>
      </c>
      <c r="X66" s="40" t="n">
        <v>0</v>
      </c>
      <c r="Y66" s="40" t="n">
        <v>0</v>
      </c>
      <c r="Z66" s="40" t="n">
        <v>0</v>
      </c>
      <c r="AA66" s="40" t="n">
        <v>0</v>
      </c>
      <c r="AB66" s="40" t="n">
        <v>0</v>
      </c>
      <c r="AC66" s="40" t="n">
        <v>0</v>
      </c>
      <c r="AD66" s="40" t="n">
        <v>0</v>
      </c>
      <c r="AE66" s="40" t="n">
        <v>0</v>
      </c>
      <c r="AF66" s="40" t="n">
        <v>0</v>
      </c>
      <c r="AG66" s="40" t="n">
        <v>0</v>
      </c>
      <c r="AH66" s="40" t="n">
        <v>0</v>
      </c>
      <c r="AI66" s="40" t="n">
        <v>0</v>
      </c>
      <c r="AJ66" s="40" t="n">
        <v>0</v>
      </c>
      <c r="AK66" s="40" t="n">
        <v>0</v>
      </c>
      <c r="AL66" s="40" t="n">
        <v>0</v>
      </c>
      <c r="AM66" s="40" t="n">
        <v>0</v>
      </c>
      <c r="AN66" s="40" t="n">
        <v>0</v>
      </c>
      <c r="AO66" s="40" t="n">
        <v>0</v>
      </c>
      <c r="AP66" s="40" t="n">
        <v>0</v>
      </c>
      <c r="AQ66" s="40" t="n">
        <v>0</v>
      </c>
      <c r="AR66" s="40" t="n">
        <v>0</v>
      </c>
      <c r="AS66" s="40" t="n">
        <v>0</v>
      </c>
      <c r="AT66" s="40" t="n">
        <v>0</v>
      </c>
      <c r="AU66" s="40" t="n">
        <v>0</v>
      </c>
      <c r="AV66" s="40" t="n">
        <v>0</v>
      </c>
      <c r="AW66" s="40" t="n">
        <v>0</v>
      </c>
      <c r="AX66" s="40" t="n">
        <v>0</v>
      </c>
      <c r="AY66" s="40" t="n">
        <v>0</v>
      </c>
      <c r="AZ66" s="40" t="n">
        <v>0</v>
      </c>
      <c r="BA66" s="40" t="n">
        <v>0</v>
      </c>
      <c r="BB66" s="40" t="n">
        <v>0</v>
      </c>
      <c r="BC66" s="40" t="n">
        <v>0</v>
      </c>
      <c r="BD66" s="40" t="n">
        <v>0</v>
      </c>
      <c r="BE66" s="40" t="n">
        <v>0</v>
      </c>
      <c r="BF66" s="40" t="n">
        <v>0</v>
      </c>
      <c r="BG66" s="40" t="n">
        <v>0</v>
      </c>
      <c r="BH66" s="40" t="n">
        <v>0</v>
      </c>
      <c r="BI66" s="46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D3" s="87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86" t="n"/>
      <c r="E4" s="46" t="n"/>
      <c r="F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86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0" t="n"/>
      <c r="D7" s="87" t="n"/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0" t="n"/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73" t="n"/>
      <c r="D9" s="86" t="n"/>
      <c r="F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73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F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2" t="n"/>
      <c r="D16" s="86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C23" s="40" t="n"/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73" t="n"/>
      <c r="D24" s="86" t="n"/>
      <c r="F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Chandramouli</t>
        </is>
      </c>
      <c r="C26" s="73" t="n"/>
      <c r="D26" s="86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6" t="n"/>
      <c r="D27" s="87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73" t="n"/>
      <c r="D28" s="86" t="n"/>
      <c r="F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C30" s="40" t="n"/>
      <c r="D30" s="87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2" t="n"/>
      <c r="D31" s="86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0" t="n"/>
      <c r="D36" s="87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86" t="n"/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F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2" t="n"/>
      <c r="D44" s="86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E48" s="40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86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F51" s="86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F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F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6" t="n"/>
      <c r="D57" s="87" t="n"/>
      <c r="F57" s="86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7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73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86" t="n"/>
      <c r="F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C62" s="40" t="n"/>
      <c r="D62" s="49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73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86" t="n"/>
      <c r="F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86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50.83203125" customWidth="1" style="251" min="2" max="2"/>
    <col width="19.5" customWidth="1" style="251" min="3" max="18"/>
    <col width="53.83203125" customWidth="1" style="251" min="19" max="19"/>
    <col width="15.1640625" customWidth="1" style="251" min="20" max="20"/>
  </cols>
  <sheetData>
    <row r="1" ht="16.5" customHeight="1" s="251">
      <c r="A1" s="97" t="n"/>
      <c r="B1" s="271" t="inlineStr">
        <is>
          <t>AUG 2026 EXPENSES</t>
        </is>
      </c>
      <c r="C1" s="272" t="n"/>
      <c r="D1" s="272" t="n"/>
      <c r="E1" s="272" t="n"/>
      <c r="F1" s="272" t="n"/>
      <c r="G1" s="272" t="n"/>
      <c r="H1" s="272" t="n"/>
      <c r="I1" s="272" t="n"/>
      <c r="J1" s="272" t="n"/>
      <c r="K1" s="272" t="n"/>
      <c r="L1" s="272" t="n"/>
      <c r="M1" s="272" t="n"/>
      <c r="N1" s="272" t="n"/>
      <c r="O1" s="272" t="n"/>
      <c r="P1" s="272" t="n"/>
      <c r="Q1" s="272" t="n"/>
      <c r="R1" s="272" t="n"/>
      <c r="S1" s="272" t="n"/>
      <c r="T1" s="273" t="n"/>
    </row>
    <row r="2" ht="58.5" customHeight="1" s="251">
      <c r="A2" s="97" t="inlineStr">
        <is>
          <t>FLAT #</t>
        </is>
      </c>
      <c r="B2" s="98" t="n">
        <v>1</v>
      </c>
      <c r="C2" s="98" t="inlineStr">
        <is>
          <t>WATER USED IN LTRS</t>
        </is>
      </c>
      <c r="D2" s="98" t="inlineStr">
        <is>
          <t>COMMON AREA EQUALLY DEVIDED</t>
        </is>
      </c>
      <c r="E2" s="98" t="inlineStr">
        <is>
          <t>TOTAL FRESH WATER CONSUMED</t>
        </is>
      </c>
      <c r="F2" s="98" t="inlineStr">
        <is>
          <t>%OF TOTAL USED</t>
        </is>
      </c>
      <c r="G2" s="98" t="inlineStr">
        <is>
          <t>WATER EXPENSE SHARING BY %</t>
        </is>
      </c>
      <c r="H2" s="98" t="inlineStr">
        <is>
          <t>#METERS</t>
        </is>
      </c>
      <c r="I2" s="98" t="inlineStr">
        <is>
          <t>METER RENT</t>
        </is>
      </c>
      <c r="J2" s="98" t="inlineStr">
        <is>
          <t>COMMON AREA METER RENT + WATER EXPENSE+ FLAT METER RENT</t>
        </is>
      </c>
      <c r="K2" s="98" t="inlineStr">
        <is>
          <t>FIXED EXPENSE SHARE</t>
        </is>
      </c>
      <c r="L2" s="98" t="inlineStr">
        <is>
          <t>PARKING FEE</t>
        </is>
      </c>
      <c r="M2" s="98" t="inlineStr">
        <is>
          <t>CLUB HOUSE BOOKING</t>
        </is>
      </c>
      <c r="N2" s="98" t="inlineStr">
        <is>
          <t>SHIFTING FEE</t>
        </is>
      </c>
      <c r="O2" s="98" t="inlineStr">
        <is>
          <t>GYM USAGE FEE</t>
        </is>
      </c>
      <c r="P2" s="98" t="n"/>
      <c r="Q2" s="98" t="n"/>
      <c r="R2" s="98" t="inlineStr">
        <is>
          <t>TOTAL EXPENSE TO BE PAID</t>
        </is>
      </c>
      <c r="S2" s="98" t="n"/>
      <c r="T2" s="98" t="n"/>
    </row>
    <row r="3" ht="12.75" customHeight="1" s="251">
      <c r="A3" s="97" t="inlineStr">
        <is>
          <t>CH</t>
        </is>
      </c>
      <c r="B3" s="99" t="inlineStr">
        <is>
          <t>MPFOWA</t>
        </is>
      </c>
      <c r="C3" s="97" t="n"/>
      <c r="D3" s="97" t="n">
        <v>0</v>
      </c>
      <c r="E3" s="97" t="n"/>
      <c r="F3" s="97" t="n"/>
      <c r="G3" s="97" t="n"/>
      <c r="H3" s="97" t="n">
        <v>1</v>
      </c>
      <c r="I3" s="97">
        <f>T7</f>
        <v/>
      </c>
      <c r="J3" s="97" t="n"/>
      <c r="K3" s="97" t="n"/>
      <c r="L3" s="52" t="n"/>
      <c r="M3" s="97" t="n"/>
      <c r="N3" s="97" t="n"/>
      <c r="O3" s="97" t="n"/>
      <c r="P3" s="97" t="n"/>
      <c r="Q3" s="97" t="n"/>
      <c r="R3" s="97" t="n"/>
      <c r="S3" s="98" t="n"/>
      <c r="T3" s="97" t="n"/>
    </row>
    <row r="4" ht="12.75" customHeight="1" s="251">
      <c r="A4" s="97" t="inlineStr">
        <is>
          <t>GYM</t>
        </is>
      </c>
      <c r="B4" s="99" t="inlineStr">
        <is>
          <t>MPFOWA</t>
        </is>
      </c>
      <c r="C4" s="97" t="n"/>
      <c r="D4" s="97" t="n">
        <v>0</v>
      </c>
      <c r="E4" s="97" t="n"/>
      <c r="F4" s="97" t="n"/>
      <c r="G4" s="97" t="n"/>
      <c r="H4" s="97" t="n">
        <v>1</v>
      </c>
      <c r="I4" s="97">
        <f>T7</f>
        <v/>
      </c>
      <c r="J4" s="97" t="n"/>
      <c r="K4" s="97" t="n"/>
      <c r="L4" s="52" t="n"/>
      <c r="M4" s="97" t="n"/>
      <c r="N4" s="97" t="n"/>
      <c r="O4" s="97" t="n"/>
      <c r="P4" s="97" t="n"/>
      <c r="Q4" s="97" t="n"/>
      <c r="R4" s="97" t="n"/>
      <c r="S4" s="100" t="inlineStr">
        <is>
          <t>TOTAL FIXED EXPENSE</t>
        </is>
      </c>
      <c r="T4" s="101">
        <f>'ANNUAL-EXPENSE-DETAILS'!BF7</f>
        <v/>
      </c>
    </row>
    <row r="5" ht="12.75" customHeight="1" s="251">
      <c r="A5" s="97" t="inlineStr">
        <is>
          <t>BSMT</t>
        </is>
      </c>
      <c r="B5" s="99" t="inlineStr">
        <is>
          <t>MPFOWA</t>
        </is>
      </c>
      <c r="C5" s="97" t="n"/>
      <c r="D5" s="97" t="n">
        <v>0</v>
      </c>
      <c r="E5" s="97" t="n"/>
      <c r="F5" s="97" t="n"/>
      <c r="G5" s="97" t="n"/>
      <c r="H5" s="97" t="n">
        <v>1</v>
      </c>
      <c r="I5" s="97">
        <f>T7</f>
        <v/>
      </c>
      <c r="J5" s="97" t="n"/>
      <c r="K5" s="97" t="n"/>
      <c r="L5" s="52" t="n"/>
      <c r="M5" s="97" t="n"/>
      <c r="N5" s="97" t="n"/>
      <c r="O5" s="97" t="n"/>
      <c r="P5" s="97" t="n"/>
      <c r="Q5" s="97" t="n"/>
      <c r="R5" s="97" t="n"/>
      <c r="S5" s="100" t="inlineStr">
        <is>
          <t>TOTAL WATER EXPENSE</t>
        </is>
      </c>
      <c r="T5" s="101">
        <f>'ANNUAL-EXPENSE-DETAILS'!BE7</f>
        <v/>
      </c>
    </row>
    <row r="6" ht="12.75" customHeight="1" s="251">
      <c r="A6" s="97" t="inlineStr">
        <is>
          <t>F1</t>
        </is>
      </c>
      <c r="B6" s="13" t="inlineStr">
        <is>
          <t>Shailesh Srivastava / Azeem Nawaz</t>
        </is>
      </c>
      <c r="C6" s="9" t="n">
        <v>0</v>
      </c>
      <c r="D6" s="97">
        <f>SUM($C$3:$C$5)/64</f>
        <v/>
      </c>
      <c r="E6" s="97">
        <f>C6+D6</f>
        <v/>
      </c>
      <c r="F6" s="97">
        <f>IF($C$70=0, 0, E6/$C$70)</f>
        <v/>
      </c>
      <c r="G6" s="97">
        <f>F6*$T$5</f>
        <v/>
      </c>
      <c r="H6" s="97" t="n">
        <v>3</v>
      </c>
      <c r="I6" s="97">
        <f>$T$7*H6</f>
        <v/>
      </c>
      <c r="J6" s="97">
        <f>G6+$T$9+I6</f>
        <v/>
      </c>
      <c r="K6" s="97">
        <f>$T$11/64</f>
        <v/>
      </c>
      <c r="L6" s="14" t="n">
        <v>0</v>
      </c>
      <c r="M6" s="97" t="n">
        <v>0</v>
      </c>
      <c r="N6" s="97" t="n">
        <v>0</v>
      </c>
      <c r="O6" s="97" t="n">
        <v>0</v>
      </c>
      <c r="P6" s="97" t="n"/>
      <c r="Q6" s="97" t="n"/>
      <c r="R6" s="97">
        <f>(J6+K6+L6+M6+N6+O6)*$B$2</f>
        <v/>
      </c>
      <c r="S6" s="98" t="n"/>
      <c r="T6" s="97" t="n"/>
    </row>
    <row r="7" ht="12.75" customHeight="1" s="251">
      <c r="A7" s="97" t="inlineStr">
        <is>
          <t>F2</t>
        </is>
      </c>
      <c r="B7" s="13" t="inlineStr">
        <is>
          <t>Shanthanu</t>
        </is>
      </c>
      <c r="C7" s="9" t="n">
        <v>0</v>
      </c>
      <c r="D7" s="97">
        <f>SUM($C$3:$C$5)/64</f>
        <v/>
      </c>
      <c r="E7" s="97">
        <f>C7+D7</f>
        <v/>
      </c>
      <c r="F7" s="97">
        <f>IF($C$70=0, 0, E7/$C$70)</f>
        <v/>
      </c>
      <c r="G7" s="97">
        <f>F7*$T$5</f>
        <v/>
      </c>
      <c r="H7" s="97" t="n">
        <v>4</v>
      </c>
      <c r="I7" s="97">
        <f>$T$7*H7</f>
        <v/>
      </c>
      <c r="J7" s="97">
        <f>G7+$T$9+I7</f>
        <v/>
      </c>
      <c r="K7" s="97">
        <f>$T$11/64</f>
        <v/>
      </c>
      <c r="L7" s="7" t="n">
        <v>0</v>
      </c>
      <c r="M7" s="97" t="n">
        <v>0</v>
      </c>
      <c r="N7" s="97" t="n">
        <v>0</v>
      </c>
      <c r="O7" s="97" t="n">
        <v>0</v>
      </c>
      <c r="P7" s="97" t="n"/>
      <c r="Q7" s="97" t="n"/>
      <c r="R7" s="97">
        <f>(J7+K7+L7+M7+N7+O7)*$B$2</f>
        <v/>
      </c>
      <c r="S7" s="98" t="inlineStr">
        <is>
          <t>RENT PER METER</t>
        </is>
      </c>
      <c r="T7" s="17" t="n">
        <v>117.811659</v>
      </c>
    </row>
    <row r="8" ht="12.75" customHeight="1" s="251">
      <c r="A8" s="97" t="inlineStr">
        <is>
          <t>F3</t>
        </is>
      </c>
      <c r="B8" s="13" t="inlineStr">
        <is>
          <t>Samrat Kar</t>
        </is>
      </c>
      <c r="C8" s="9" t="n">
        <v>0</v>
      </c>
      <c r="D8" s="97">
        <f>SUM($C$3:$C$5)/64</f>
        <v/>
      </c>
      <c r="E8" s="97">
        <f>C8+D8</f>
        <v/>
      </c>
      <c r="F8" s="97">
        <f>IF($C$70=0, 0, E8/$C$70)</f>
        <v/>
      </c>
      <c r="G8" s="97">
        <f>F8*$T$5</f>
        <v/>
      </c>
      <c r="H8" s="97" t="n">
        <v>4</v>
      </c>
      <c r="I8" s="97">
        <f>$T$7*H8</f>
        <v/>
      </c>
      <c r="J8" s="97">
        <f>G8+$T$9+I8</f>
        <v/>
      </c>
      <c r="K8" s="97">
        <f>$T$11/64</f>
        <v/>
      </c>
      <c r="L8" s="7" t="n">
        <v>0</v>
      </c>
      <c r="M8" s="97" t="n">
        <v>0</v>
      </c>
      <c r="N8" s="97" t="n">
        <v>0</v>
      </c>
      <c r="O8" s="97" t="n">
        <v>0</v>
      </c>
      <c r="P8" s="97" t="n"/>
      <c r="Q8" s="97" t="n"/>
      <c r="R8" s="97">
        <f>(J8+K8+L8+M8+N8+O8)*$B$2</f>
        <v/>
      </c>
      <c r="S8" s="98" t="inlineStr">
        <is>
          <t>COMMON AREA METER RENT</t>
        </is>
      </c>
      <c r="T8" s="97">
        <f>$T$7*3</f>
        <v/>
      </c>
    </row>
    <row r="9" ht="12.75" customHeight="1" s="251">
      <c r="A9" s="97" t="inlineStr">
        <is>
          <t>F4</t>
        </is>
      </c>
      <c r="B9" s="13" t="inlineStr">
        <is>
          <t>Renu R</t>
        </is>
      </c>
      <c r="C9" s="9" t="n">
        <v>0</v>
      </c>
      <c r="D9" s="97">
        <f>SUM($C$3:$C$5)/64</f>
        <v/>
      </c>
      <c r="E9" s="97">
        <f>C9+D9</f>
        <v/>
      </c>
      <c r="F9" s="97">
        <f>IF($C$70=0, 0, E9/$C$70)</f>
        <v/>
      </c>
      <c r="G9" s="97">
        <f>F9*$T$5</f>
        <v/>
      </c>
      <c r="H9" s="97" t="n">
        <v>4</v>
      </c>
      <c r="I9" s="97">
        <f>$T$7*H9</f>
        <v/>
      </c>
      <c r="J9" s="97">
        <f>G9+$T$9+I9</f>
        <v/>
      </c>
      <c r="K9" s="97">
        <f>$T$11/64</f>
        <v/>
      </c>
      <c r="L9" s="7" t="n">
        <v>0</v>
      </c>
      <c r="M9" s="97" t="n">
        <v>0</v>
      </c>
      <c r="N9" s="97" t="n">
        <v>0</v>
      </c>
      <c r="O9" s="97" t="n">
        <v>0</v>
      </c>
      <c r="P9" s="97" t="n"/>
      <c r="Q9" s="97" t="n"/>
      <c r="R9" s="97">
        <f>(J9+K9+L9+M9+N9+O9)*$B$2</f>
        <v/>
      </c>
      <c r="S9" s="102" t="inlineStr">
        <is>
          <t>COMMON AREA METER RENT/FLAT</t>
        </is>
      </c>
      <c r="T9" s="103">
        <f>T8/64</f>
        <v/>
      </c>
    </row>
    <row r="10" ht="12.75" customHeight="1" s="251">
      <c r="A10" s="97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97">
        <f>SUM($C$3:$C$5)/64</f>
        <v/>
      </c>
      <c r="E10" s="97">
        <f>C10+D10</f>
        <v/>
      </c>
      <c r="F10" s="97">
        <f>IF($C$70=0, 0, E10/$C$70)</f>
        <v/>
      </c>
      <c r="G10" s="97">
        <f>F10*$T$5</f>
        <v/>
      </c>
      <c r="H10" s="97" t="n">
        <v>3</v>
      </c>
      <c r="I10" s="97">
        <f>$T$7*H10</f>
        <v/>
      </c>
      <c r="J10" s="97">
        <f>G10+$T$9+I10</f>
        <v/>
      </c>
      <c r="K10" s="97">
        <f>$T$11/64</f>
        <v/>
      </c>
      <c r="L10" s="7" t="n">
        <v>0</v>
      </c>
      <c r="M10" s="97" t="n">
        <v>0</v>
      </c>
      <c r="N10" s="97" t="n">
        <v>0</v>
      </c>
      <c r="O10" s="97" t="n">
        <v>0</v>
      </c>
      <c r="P10" s="97" t="n"/>
      <c r="Q10" s="97" t="n"/>
      <c r="R10" s="97">
        <f>(J10+K10+L10+M10+N10+O10)*$B$2</f>
        <v/>
      </c>
      <c r="S10" s="98" t="n"/>
      <c r="T10" s="97" t="n"/>
    </row>
    <row r="11" ht="12.75" customHeight="1" s="251">
      <c r="A11" s="97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97">
        <f>SUM($C$3:$C$5)/64</f>
        <v/>
      </c>
      <c r="E11" s="97">
        <f>C11+D11</f>
        <v/>
      </c>
      <c r="F11" s="97">
        <f>IF($C$70=0, 0, E11/$C$70)</f>
        <v/>
      </c>
      <c r="G11" s="97">
        <f>F11*$T$5</f>
        <v/>
      </c>
      <c r="H11" s="97" t="n">
        <v>3</v>
      </c>
      <c r="I11" s="97">
        <f>$T$7*H11</f>
        <v/>
      </c>
      <c r="J11" s="97">
        <f>G11+$T$9+I11</f>
        <v/>
      </c>
      <c r="K11" s="97">
        <f>$T$11/64</f>
        <v/>
      </c>
      <c r="L11" s="7" t="n">
        <v>0</v>
      </c>
      <c r="M11" s="97" t="n">
        <v>0</v>
      </c>
      <c r="N11" s="97" t="n">
        <v>0</v>
      </c>
      <c r="O11" s="97" t="n">
        <v>0</v>
      </c>
      <c r="P11" s="97" t="n"/>
      <c r="Q11" s="97" t="n"/>
      <c r="R11" s="97">
        <f>(J11+K11+L11+M11+N11+O11)*$B$2</f>
        <v/>
      </c>
      <c r="S11" s="102" t="inlineStr">
        <is>
          <t>TOTAL FIXED EXPENSE</t>
        </is>
      </c>
      <c r="T11" s="103">
        <f>'ANNUAL-EXPENSE-DETAILS'!BF7</f>
        <v/>
      </c>
    </row>
    <row r="12" ht="12.75" customHeight="1" s="251">
      <c r="A12" s="97" t="inlineStr">
        <is>
          <t>F7</t>
        </is>
      </c>
      <c r="B12" s="13" t="inlineStr">
        <is>
          <t>Vimal NK</t>
        </is>
      </c>
      <c r="C12" s="9" t="n">
        <v>0</v>
      </c>
      <c r="D12" s="97">
        <f>SUM($C$3:$C$5)/64</f>
        <v/>
      </c>
      <c r="E12" s="97">
        <f>C12+D12</f>
        <v/>
      </c>
      <c r="F12" s="97">
        <f>IF($C$70=0, 0, E12/$C$70)</f>
        <v/>
      </c>
      <c r="G12" s="97">
        <f>F12*$T$5</f>
        <v/>
      </c>
      <c r="H12" s="97" t="n">
        <v>3</v>
      </c>
      <c r="I12" s="97">
        <f>$T$7*H12</f>
        <v/>
      </c>
      <c r="J12" s="97">
        <f>G12+$T$9+I12</f>
        <v/>
      </c>
      <c r="K12" s="97">
        <f>$T$11/64</f>
        <v/>
      </c>
      <c r="L12" s="7" t="n">
        <v>0</v>
      </c>
      <c r="M12" s="97" t="n">
        <v>0</v>
      </c>
      <c r="N12" s="97" t="n">
        <v>0</v>
      </c>
      <c r="O12" s="97" t="n">
        <v>0</v>
      </c>
      <c r="P12" s="97" t="n"/>
      <c r="Q12" s="97" t="n"/>
      <c r="R12" s="97">
        <f>(J12+K12+L12+M12+N12+O12)*$B$2</f>
        <v/>
      </c>
      <c r="S12" s="98" t="n"/>
      <c r="T12" s="97" t="n"/>
    </row>
    <row r="13" ht="12.75" customHeight="1" s="251">
      <c r="A13" s="97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97">
        <f>SUM($C$3:$C$5)/64</f>
        <v/>
      </c>
      <c r="E13" s="97">
        <f>C13+D13</f>
        <v/>
      </c>
      <c r="F13" s="97">
        <f>IF($C$70=0, 0, E13/$C$70)</f>
        <v/>
      </c>
      <c r="G13" s="97">
        <f>F13*$T$5</f>
        <v/>
      </c>
      <c r="H13" s="97" t="n">
        <v>3</v>
      </c>
      <c r="I13" s="97">
        <f>$T$7*H13</f>
        <v/>
      </c>
      <c r="J13" s="97">
        <f>G13+$T$9+I13</f>
        <v/>
      </c>
      <c r="K13" s="97">
        <f>$T$11/64</f>
        <v/>
      </c>
      <c r="L13" s="7" t="n">
        <v>0</v>
      </c>
      <c r="M13" s="97" t="n">
        <v>0</v>
      </c>
      <c r="N13" s="97" t="n">
        <v>0</v>
      </c>
      <c r="O13" s="97" t="n">
        <v>0</v>
      </c>
      <c r="P13" s="97" t="n"/>
      <c r="Q13" s="97" t="n"/>
      <c r="R13" s="97">
        <f>(J13+K13+L13+M13+N13+O13)*$B$2</f>
        <v/>
      </c>
      <c r="S13" s="61" t="inlineStr">
        <is>
          <t>BALANCE IN ACCOUNT ON 31-AUG-2022</t>
        </is>
      </c>
      <c r="T13" s="63" t="n"/>
    </row>
    <row r="14" ht="12.75" customHeight="1" s="251">
      <c r="A14" s="97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97">
        <f>SUM($C$3:$C$5)/64</f>
        <v/>
      </c>
      <c r="E14" s="97">
        <f>C14+D14</f>
        <v/>
      </c>
      <c r="F14" s="97">
        <f>IF($C$70=0, 0, E14/$C$70)</f>
        <v/>
      </c>
      <c r="G14" s="97">
        <f>F14*$T$5</f>
        <v/>
      </c>
      <c r="H14" s="97" t="n">
        <v>4</v>
      </c>
      <c r="I14" s="97">
        <f>$T$7*H14</f>
        <v/>
      </c>
      <c r="J14" s="97">
        <f>G14+$T$9+I14</f>
        <v/>
      </c>
      <c r="K14" s="97">
        <f>$T$11/64</f>
        <v/>
      </c>
      <c r="L14" s="7" t="n">
        <v>0</v>
      </c>
      <c r="M14" s="97" t="n">
        <v>0</v>
      </c>
      <c r="N14" s="97" t="n">
        <v>0</v>
      </c>
      <c r="O14" s="97" t="n">
        <v>0</v>
      </c>
      <c r="P14" s="97" t="n"/>
      <c r="Q14" s="97" t="n"/>
      <c r="R14" s="97">
        <f>(J14+K14+L14+M14+N14+O14)*$B$2</f>
        <v/>
      </c>
      <c r="S14" s="61" t="inlineStr">
        <is>
          <t>TOTAL NON MAINTENANCE CORPUS COLLECTION</t>
        </is>
      </c>
      <c r="T14" s="63" t="n"/>
    </row>
    <row r="15" ht="12.75" customHeight="1" s="251">
      <c r="A15" s="97" t="inlineStr">
        <is>
          <t>F10</t>
        </is>
      </c>
      <c r="B15" s="13" t="inlineStr">
        <is>
          <t>Aby Thomas</t>
        </is>
      </c>
      <c r="C15" s="9" t="n">
        <v>0</v>
      </c>
      <c r="D15" s="97">
        <f>SUM($C$3:$C$5)/64</f>
        <v/>
      </c>
      <c r="E15" s="97">
        <f>C15+D15</f>
        <v/>
      </c>
      <c r="F15" s="97">
        <f>IF($C$70=0, 0, E15/$C$70)</f>
        <v/>
      </c>
      <c r="G15" s="97">
        <f>F15*$T$5</f>
        <v/>
      </c>
      <c r="H15" s="97" t="n">
        <v>3</v>
      </c>
      <c r="I15" s="97">
        <f>$T$7*H15</f>
        <v/>
      </c>
      <c r="J15" s="97">
        <f>G15+$T$9+I15</f>
        <v/>
      </c>
      <c r="K15" s="97">
        <f>$T$11/64</f>
        <v/>
      </c>
      <c r="L15" s="7" t="n">
        <v>0</v>
      </c>
      <c r="M15" s="97" t="n">
        <v>0</v>
      </c>
      <c r="N15" s="97" t="n">
        <v>0</v>
      </c>
      <c r="O15" s="97" t="n">
        <v>0</v>
      </c>
      <c r="P15" s="97" t="n"/>
      <c r="Q15" s="97" t="n"/>
      <c r="R15" s="97">
        <f>(J15+K15+L15+M15+N15+O15)*$B$2</f>
        <v/>
      </c>
      <c r="S15" s="61" t="inlineStr">
        <is>
          <t>TOTAL FD DONE</t>
        </is>
      </c>
      <c r="T15" s="63" t="n"/>
    </row>
    <row r="16" ht="12.75" customHeight="1" s="251">
      <c r="A16" s="97" t="inlineStr">
        <is>
          <t>F11</t>
        </is>
      </c>
      <c r="B16" s="13" t="inlineStr">
        <is>
          <t>Niwin Anto</t>
        </is>
      </c>
      <c r="C16" s="9" t="n">
        <v>0</v>
      </c>
      <c r="D16" s="97">
        <f>SUM($C$3:$C$5)/64</f>
        <v/>
      </c>
      <c r="E16" s="97">
        <f>C16+D16</f>
        <v/>
      </c>
      <c r="F16" s="97">
        <f>IF($C$70=0, 0, E16/$C$70)</f>
        <v/>
      </c>
      <c r="G16" s="97">
        <f>F16*$T$5</f>
        <v/>
      </c>
      <c r="H16" s="97" t="n">
        <v>3</v>
      </c>
      <c r="I16" s="97">
        <f>$T$7*H16</f>
        <v/>
      </c>
      <c r="J16" s="97">
        <f>G16+$T$9+I16</f>
        <v/>
      </c>
      <c r="K16" s="97">
        <f>$T$11/64</f>
        <v/>
      </c>
      <c r="L16" s="7" t="n">
        <v>0</v>
      </c>
      <c r="M16" s="97" t="n">
        <v>0</v>
      </c>
      <c r="N16" s="97" t="n">
        <v>0</v>
      </c>
      <c r="O16" s="97" t="n">
        <v>0</v>
      </c>
      <c r="P16" s="97" t="n"/>
      <c r="Q16" s="97" t="n"/>
      <c r="R16" s="97">
        <f>(J16+K16+L16+M16+N16+O16)*$B$2</f>
        <v/>
      </c>
      <c r="S16" s="64" t="inlineStr">
        <is>
          <t>AMOUNT AVAILABLE FOR NON MAINTENANCE CORPUS IN CURRENT AC</t>
        </is>
      </c>
      <c r="T16" s="65">
        <f>T14-T15</f>
        <v/>
      </c>
    </row>
    <row r="17" ht="12.75" customHeight="1" s="251">
      <c r="A17" s="97" t="inlineStr">
        <is>
          <t>F12</t>
        </is>
      </c>
      <c r="B17" s="13" t="inlineStr">
        <is>
          <t>Anirudh Singh</t>
        </is>
      </c>
      <c r="C17" s="9" t="n">
        <v>0</v>
      </c>
      <c r="D17" s="97">
        <f>SUM($C$3:$C$5)/64</f>
        <v/>
      </c>
      <c r="E17" s="97">
        <f>C17+D17</f>
        <v/>
      </c>
      <c r="F17" s="97">
        <f>IF($C$70=0, 0, E17/$C$70)</f>
        <v/>
      </c>
      <c r="G17" s="97">
        <f>F17*$T$5</f>
        <v/>
      </c>
      <c r="H17" s="97" t="n">
        <v>3</v>
      </c>
      <c r="I17" s="97">
        <f>$T$7*H17</f>
        <v/>
      </c>
      <c r="J17" s="97">
        <f>G17+$T$9+I17</f>
        <v/>
      </c>
      <c r="K17" s="97">
        <f>$T$11/64</f>
        <v/>
      </c>
      <c r="L17" s="7" t="n">
        <v>0</v>
      </c>
      <c r="M17" s="97" t="n">
        <v>0</v>
      </c>
      <c r="N17" s="97" t="n">
        <v>0</v>
      </c>
      <c r="O17" s="97" t="n">
        <v>0</v>
      </c>
      <c r="P17" s="97" t="n"/>
      <c r="Q17" s="97" t="n"/>
      <c r="R17" s="97">
        <f>(J17+K17+L17+M17+N17+O17)*$B$2</f>
        <v/>
      </c>
      <c r="S17" s="66" t="inlineStr">
        <is>
          <t>AMOUNT AVAILABLE FOR MAINTENANCE</t>
        </is>
      </c>
      <c r="T17" s="67">
        <f>T13-T16</f>
        <v/>
      </c>
    </row>
    <row r="18" ht="12.75" customHeight="1" s="251">
      <c r="A18" s="97" t="inlineStr">
        <is>
          <t>F13</t>
        </is>
      </c>
      <c r="B18" s="13" t="inlineStr">
        <is>
          <t>Sanchay Saxena</t>
        </is>
      </c>
      <c r="C18" s="9" t="n">
        <v>0</v>
      </c>
      <c r="D18" s="97">
        <f>SUM($C$3:$C$5)/64</f>
        <v/>
      </c>
      <c r="E18" s="97">
        <f>C18+D18</f>
        <v/>
      </c>
      <c r="F18" s="97">
        <f>IF($C$70=0, 0, E18/$C$70)</f>
        <v/>
      </c>
      <c r="G18" s="97">
        <f>F18*$T$5</f>
        <v/>
      </c>
      <c r="H18" s="97" t="n">
        <v>4</v>
      </c>
      <c r="I18" s="97">
        <f>$T$7*H18</f>
        <v/>
      </c>
      <c r="J18" s="97">
        <f>G18+$T$9+I18</f>
        <v/>
      </c>
      <c r="K18" s="97">
        <f>$T$11/64</f>
        <v/>
      </c>
      <c r="L18" s="7" t="n">
        <v>0</v>
      </c>
      <c r="M18" s="97" t="n">
        <v>0</v>
      </c>
      <c r="N18" s="97" t="n">
        <v>0</v>
      </c>
      <c r="O18" s="97" t="n">
        <v>0</v>
      </c>
      <c r="P18" s="97" t="n"/>
      <c r="Q18" s="97" t="n"/>
      <c r="R18" s="97">
        <f>(J18+K18+L18+M18+N18+O18)*$B$2</f>
        <v/>
      </c>
      <c r="S18" s="98" t="n"/>
      <c r="T18" s="97" t="n"/>
    </row>
    <row r="19" ht="12.75" customHeight="1" s="251">
      <c r="A19" s="97" t="inlineStr">
        <is>
          <t>F14</t>
        </is>
      </c>
      <c r="B19" s="13" t="inlineStr">
        <is>
          <t>Hemant Patel</t>
        </is>
      </c>
      <c r="C19" s="9" t="n">
        <v>0</v>
      </c>
      <c r="D19" s="97">
        <f>SUM($C$3:$C$5)/64</f>
        <v/>
      </c>
      <c r="E19" s="97">
        <f>C19+D19</f>
        <v/>
      </c>
      <c r="F19" s="97">
        <f>IF($C$70=0, 0, E19/$C$70)</f>
        <v/>
      </c>
      <c r="G19" s="97">
        <f>F19*$T$5</f>
        <v/>
      </c>
      <c r="H19" s="97" t="n">
        <v>4</v>
      </c>
      <c r="I19" s="97">
        <f>$T$7*H19</f>
        <v/>
      </c>
      <c r="J19" s="97">
        <f>G19+$T$9+I19</f>
        <v/>
      </c>
      <c r="K19" s="97">
        <f>$T$11/64</f>
        <v/>
      </c>
      <c r="L19" s="7" t="n">
        <v>0</v>
      </c>
      <c r="M19" s="97" t="n">
        <v>0</v>
      </c>
      <c r="N19" s="97" t="n">
        <v>0</v>
      </c>
      <c r="O19" s="97" t="n">
        <v>0</v>
      </c>
      <c r="P19" s="97" t="n"/>
      <c r="Q19" s="97" t="n"/>
      <c r="R19" s="97">
        <f>(J19+K19+L19+M19+N19+O19)*$B$2</f>
        <v/>
      </c>
      <c r="S19" s="98" t="n"/>
      <c r="T19" s="97" t="n"/>
    </row>
    <row r="20" ht="12.75" customHeight="1" s="251">
      <c r="A20" s="97" t="inlineStr">
        <is>
          <t>F15</t>
        </is>
      </c>
      <c r="B20" s="13" t="inlineStr">
        <is>
          <t>Senthil.Vijayaragavan</t>
        </is>
      </c>
      <c r="C20" s="9" t="n">
        <v>0</v>
      </c>
      <c r="D20" s="97">
        <f>SUM($C$3:$C$5)/64</f>
        <v/>
      </c>
      <c r="E20" s="97">
        <f>C20+D20</f>
        <v/>
      </c>
      <c r="F20" s="97">
        <f>IF($C$70=0, 0, E20/$C$70)</f>
        <v/>
      </c>
      <c r="G20" s="97">
        <f>F20*$T$5</f>
        <v/>
      </c>
      <c r="H20" s="97" t="n">
        <v>4</v>
      </c>
      <c r="I20" s="97">
        <f>$T$7*H20</f>
        <v/>
      </c>
      <c r="J20" s="97">
        <f>G20+$T$9+I20</f>
        <v/>
      </c>
      <c r="K20" s="97">
        <f>$T$11/64</f>
        <v/>
      </c>
      <c r="L20" s="7" t="n">
        <v>0</v>
      </c>
      <c r="M20" s="97" t="n">
        <v>0</v>
      </c>
      <c r="N20" s="97" t="n">
        <v>0</v>
      </c>
      <c r="O20" s="97" t="n">
        <v>0</v>
      </c>
      <c r="P20" s="97" t="n"/>
      <c r="Q20" s="97" t="n"/>
      <c r="R20" s="97">
        <f>(J20+K20+L20+M20+N20+O20)*$B$2</f>
        <v/>
      </c>
      <c r="S20" s="102" t="inlineStr">
        <is>
          <t>TOTAL WATER METER RENT (INR)</t>
        </is>
      </c>
      <c r="T20" s="103">
        <f>I70</f>
        <v/>
      </c>
    </row>
    <row r="21" ht="12.75" customHeight="1" s="251">
      <c r="A21" s="97" t="inlineStr">
        <is>
          <t>F16</t>
        </is>
      </c>
      <c r="B21" s="13" t="inlineStr">
        <is>
          <t>Sreeja Sudharma</t>
        </is>
      </c>
      <c r="C21" s="9" t="n">
        <v>0</v>
      </c>
      <c r="D21" s="97">
        <f>SUM($C$3:$C$5)/64</f>
        <v/>
      </c>
      <c r="E21" s="97">
        <f>C21+D21</f>
        <v/>
      </c>
      <c r="F21" s="97">
        <f>IF($C$70=0, 0, E21/$C$70)</f>
        <v/>
      </c>
      <c r="G21" s="97">
        <f>F21*$T$5</f>
        <v/>
      </c>
      <c r="H21" s="97" t="n">
        <v>3</v>
      </c>
      <c r="I21" s="97">
        <f>$T$7*H21</f>
        <v/>
      </c>
      <c r="J21" s="97">
        <f>G21+$T$9+I21</f>
        <v/>
      </c>
      <c r="K21" s="97">
        <f>$T$11/64</f>
        <v/>
      </c>
      <c r="L21" s="7" t="n">
        <v>0</v>
      </c>
      <c r="M21" s="97" t="n">
        <v>0</v>
      </c>
      <c r="N21" s="97" t="n">
        <v>0</v>
      </c>
      <c r="O21" s="97" t="n">
        <v>0</v>
      </c>
      <c r="P21" s="97" t="n"/>
      <c r="Q21" s="97" t="n"/>
      <c r="R21" s="97">
        <f>(J21+K21+L21+M21+N21+O21)*$B$2</f>
        <v/>
      </c>
      <c r="S21" s="98" t="n"/>
      <c r="T21" s="97" t="n"/>
    </row>
    <row r="22" ht="12.75" customHeight="1" s="251">
      <c r="A22" s="97" t="inlineStr">
        <is>
          <t>G1</t>
        </is>
      </c>
      <c r="B22" s="13" t="inlineStr">
        <is>
          <t>Venkataramanan C</t>
        </is>
      </c>
      <c r="C22" s="9" t="n">
        <v>0</v>
      </c>
      <c r="D22" s="97">
        <f>SUM($C$3:$C$5)/64</f>
        <v/>
      </c>
      <c r="E22" s="97">
        <f>C22+D22</f>
        <v/>
      </c>
      <c r="F22" s="97">
        <f>IF($C$70=0, 0, E22/$C$70)</f>
        <v/>
      </c>
      <c r="G22" s="97">
        <f>F22*$T$5</f>
        <v/>
      </c>
      <c r="H22" s="97" t="n">
        <v>3</v>
      </c>
      <c r="I22" s="97">
        <f>$T$7*H22</f>
        <v/>
      </c>
      <c r="J22" s="97">
        <f>G22+$T$9+I22</f>
        <v/>
      </c>
      <c r="K22" s="97">
        <f>$T$11/64</f>
        <v/>
      </c>
      <c r="L22" s="7" t="n">
        <v>0</v>
      </c>
      <c r="M22" s="97" t="n">
        <v>0</v>
      </c>
      <c r="N22" s="97" t="n">
        <v>0</v>
      </c>
      <c r="O22" s="97" t="n">
        <v>0</v>
      </c>
      <c r="P22" s="97" t="n"/>
      <c r="Q22" s="97" t="n"/>
      <c r="R22" s="97">
        <f>(J22+K22+L22+M22+N22+O22)*$B$2</f>
        <v/>
      </c>
      <c r="S22" s="98" t="n"/>
      <c r="T22" s="97" t="n"/>
    </row>
    <row r="23" ht="12.75" customHeight="1" s="251">
      <c r="A23" s="97" t="inlineStr">
        <is>
          <t>G2</t>
        </is>
      </c>
      <c r="B23" s="13" t="inlineStr">
        <is>
          <t>Kaushik Kasibhatla</t>
        </is>
      </c>
      <c r="C23" s="9" t="n">
        <v>0</v>
      </c>
      <c r="D23" s="97">
        <f>SUM($C$3:$C$5)/64</f>
        <v/>
      </c>
      <c r="E23" s="97">
        <f>C23+D23</f>
        <v/>
      </c>
      <c r="F23" s="97">
        <f>IF($C$70=0, 0, E23/$C$70)</f>
        <v/>
      </c>
      <c r="G23" s="97">
        <f>F23*$T$5</f>
        <v/>
      </c>
      <c r="H23" s="97" t="n">
        <v>4</v>
      </c>
      <c r="I23" s="97">
        <f>$T$7*H23</f>
        <v/>
      </c>
      <c r="J23" s="97">
        <f>G23+$T$9+I23</f>
        <v/>
      </c>
      <c r="K23" s="97">
        <f>$T$11/64</f>
        <v/>
      </c>
      <c r="L23" s="7" t="n">
        <v>0</v>
      </c>
      <c r="M23" s="97" t="n">
        <v>0</v>
      </c>
      <c r="N23" s="97" t="n">
        <v>0</v>
      </c>
      <c r="O23" s="97" t="n">
        <v>0</v>
      </c>
      <c r="P23" s="97" t="n"/>
      <c r="Q23" s="97" t="n"/>
      <c r="R23" s="97">
        <f>(J23+K23+L23+M23+N23+O23)*$B$2</f>
        <v/>
      </c>
      <c r="S23" s="98" t="n"/>
      <c r="T23" s="97" t="n"/>
    </row>
    <row r="24" ht="12.75" customHeight="1" s="251">
      <c r="A24" s="97" t="inlineStr">
        <is>
          <t>G3</t>
        </is>
      </c>
      <c r="B24" s="13" t="inlineStr">
        <is>
          <t>Balakrishnan</t>
        </is>
      </c>
      <c r="C24" s="9" t="n">
        <v>0</v>
      </c>
      <c r="D24" s="97">
        <f>SUM($C$3:$C$5)/64</f>
        <v/>
      </c>
      <c r="E24" s="97">
        <f>C24+D24</f>
        <v/>
      </c>
      <c r="F24" s="97">
        <f>IF($C$70=0, 0, E24/$C$70)</f>
        <v/>
      </c>
      <c r="G24" s="97">
        <f>F24*$T$5</f>
        <v/>
      </c>
      <c r="H24" s="97" t="n">
        <v>4</v>
      </c>
      <c r="I24" s="97">
        <f>$T$7*H24</f>
        <v/>
      </c>
      <c r="J24" s="97">
        <f>G24+$T$9+I24</f>
        <v/>
      </c>
      <c r="K24" s="97">
        <f>$T$11/64</f>
        <v/>
      </c>
      <c r="L24" s="7" t="n">
        <v>0</v>
      </c>
      <c r="M24" s="97" t="n">
        <v>0</v>
      </c>
      <c r="N24" s="97" t="n">
        <v>0</v>
      </c>
      <c r="O24" s="97" t="n">
        <v>0</v>
      </c>
      <c r="P24" s="97" t="n"/>
      <c r="Q24" s="97" t="n"/>
      <c r="R24" s="97">
        <f>(J24+K24+L24+M24+N24+O24)*$B$2</f>
        <v/>
      </c>
      <c r="S24" s="98" t="n"/>
      <c r="T24" s="97" t="n"/>
    </row>
    <row r="25" ht="12.75" customHeight="1" s="251">
      <c r="A25" s="97" t="inlineStr">
        <is>
          <t>G4</t>
        </is>
      </c>
      <c r="B25" s="13" t="inlineStr">
        <is>
          <t>Ashwin Pandith</t>
        </is>
      </c>
      <c r="C25" s="9" t="n">
        <v>0</v>
      </c>
      <c r="D25" s="97">
        <f>SUM($C$3:$C$5)/64</f>
        <v/>
      </c>
      <c r="E25" s="97">
        <f>C25+D25</f>
        <v/>
      </c>
      <c r="F25" s="97">
        <f>IF($C$70=0, 0, E25/$C$70)</f>
        <v/>
      </c>
      <c r="G25" s="97">
        <f>F25*$T$5</f>
        <v/>
      </c>
      <c r="H25" s="97" t="n">
        <v>4</v>
      </c>
      <c r="I25" s="97">
        <f>$T$7*H25</f>
        <v/>
      </c>
      <c r="J25" s="97">
        <f>G25+$T$9+I25</f>
        <v/>
      </c>
      <c r="K25" s="97">
        <f>$T$11/64</f>
        <v/>
      </c>
      <c r="L25" s="7" t="n">
        <v>0</v>
      </c>
      <c r="M25" s="97" t="n">
        <v>0</v>
      </c>
      <c r="N25" s="97" t="n">
        <v>0</v>
      </c>
      <c r="O25" s="97" t="n">
        <v>0</v>
      </c>
      <c r="P25" s="97" t="n"/>
      <c r="Q25" s="97" t="n"/>
      <c r="R25" s="97">
        <f>(J25+K25+L25+M25+N25+O25)*$B$2</f>
        <v/>
      </c>
      <c r="S25" s="98" t="n"/>
      <c r="T25" s="97" t="n"/>
    </row>
    <row r="26" ht="12.75" customHeight="1" s="251">
      <c r="A26" s="97" t="inlineStr">
        <is>
          <t>G5</t>
        </is>
      </c>
      <c r="B26" s="13" t="inlineStr">
        <is>
          <t>Mayank Phophaliya</t>
        </is>
      </c>
      <c r="C26" s="9" t="n">
        <v>0</v>
      </c>
      <c r="D26" s="97">
        <f>SUM($C$3:$C$5)/64</f>
        <v/>
      </c>
      <c r="E26" s="97">
        <f>C26+D26</f>
        <v/>
      </c>
      <c r="F26" s="97">
        <f>IF($C$70=0, 0, E26/$C$70)</f>
        <v/>
      </c>
      <c r="G26" s="97">
        <f>F26*$T$5</f>
        <v/>
      </c>
      <c r="H26" s="97" t="n">
        <v>3</v>
      </c>
      <c r="I26" s="97">
        <f>$T$7*H26</f>
        <v/>
      </c>
      <c r="J26" s="97">
        <f>G26+$T$9+I26</f>
        <v/>
      </c>
      <c r="K26" s="97">
        <f>$T$11/64</f>
        <v/>
      </c>
      <c r="L26" s="7" t="n">
        <v>0</v>
      </c>
      <c r="M26" s="97" t="n">
        <v>0</v>
      </c>
      <c r="N26" s="97" t="n">
        <v>0</v>
      </c>
      <c r="O26" s="97" t="n">
        <v>0</v>
      </c>
      <c r="P26" s="97" t="n"/>
      <c r="Q26" s="97" t="n"/>
      <c r="R26" s="97">
        <f>(J26+K26+L26+M26+N26+O26)*$B$2</f>
        <v/>
      </c>
      <c r="S26" s="98" t="n"/>
      <c r="T26" s="97" t="n"/>
    </row>
    <row r="27" ht="12.75" customHeight="1" s="251">
      <c r="A27" s="97" t="inlineStr">
        <is>
          <t>G6</t>
        </is>
      </c>
      <c r="B27" s="13" t="inlineStr">
        <is>
          <t>Mohit Daga</t>
        </is>
      </c>
      <c r="C27" s="9" t="n">
        <v>0</v>
      </c>
      <c r="D27" s="97">
        <f>SUM($C$3:$C$5)/64</f>
        <v/>
      </c>
      <c r="E27" s="97">
        <f>C27+D27</f>
        <v/>
      </c>
      <c r="F27" s="97">
        <f>IF($C$70=0, 0, E27/$C$70)</f>
        <v/>
      </c>
      <c r="G27" s="97">
        <f>F27*$T$5</f>
        <v/>
      </c>
      <c r="H27" s="97" t="n">
        <v>3</v>
      </c>
      <c r="I27" s="97">
        <f>$T$7*H27</f>
        <v/>
      </c>
      <c r="J27" s="97">
        <f>G27+$T$9+I27</f>
        <v/>
      </c>
      <c r="K27" s="97">
        <f>$T$11/64</f>
        <v/>
      </c>
      <c r="L27" s="7" t="n">
        <v>0</v>
      </c>
      <c r="M27" s="97" t="n">
        <v>0</v>
      </c>
      <c r="N27" s="97" t="n">
        <v>0</v>
      </c>
      <c r="O27" s="97" t="n">
        <v>0</v>
      </c>
      <c r="P27" s="97" t="n"/>
      <c r="Q27" s="97" t="n"/>
      <c r="R27" s="97">
        <f>(J27+K27+L27+M27+N27+O27)*$B$2</f>
        <v/>
      </c>
      <c r="S27" s="98" t="n"/>
      <c r="T27" s="97" t="n"/>
    </row>
    <row r="28" ht="12.75" customHeight="1" s="251">
      <c r="A28" s="97" t="inlineStr">
        <is>
          <t>G7</t>
        </is>
      </c>
      <c r="B28" s="13" t="inlineStr">
        <is>
          <t>Prince Richfield</t>
        </is>
      </c>
      <c r="C28" s="9" t="n">
        <v>0</v>
      </c>
      <c r="D28" s="97">
        <f>SUM($C$3:$C$5)/64</f>
        <v/>
      </c>
      <c r="E28" s="97">
        <f>C28+D28</f>
        <v/>
      </c>
      <c r="F28" s="97">
        <f>IF($C$70=0, 0, E28/$C$70)</f>
        <v/>
      </c>
      <c r="G28" s="97">
        <f>F28*$T$5</f>
        <v/>
      </c>
      <c r="H28" s="97" t="n">
        <v>3</v>
      </c>
      <c r="I28" s="97">
        <f>$T$7*H28</f>
        <v/>
      </c>
      <c r="J28" s="97">
        <f>G28+$T$9+I28</f>
        <v/>
      </c>
      <c r="K28" s="97">
        <f>$T$11/64</f>
        <v/>
      </c>
      <c r="L28" s="7" t="n">
        <v>0</v>
      </c>
      <c r="M28" s="97" t="n">
        <v>0</v>
      </c>
      <c r="N28" s="97" t="n">
        <v>0</v>
      </c>
      <c r="O28" s="97" t="n">
        <v>0</v>
      </c>
      <c r="P28" s="97" t="n"/>
      <c r="Q28" s="97" t="n"/>
      <c r="R28" s="97">
        <f>(J28+K28+L28+M28+N28+O28)*$B$2</f>
        <v/>
      </c>
      <c r="S28" s="98" t="n"/>
      <c r="T28" s="97" t="n"/>
    </row>
    <row r="29" ht="12.75" customHeight="1" s="251">
      <c r="A29" s="97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97">
        <f>SUM($C$3:$C$5)/64</f>
        <v/>
      </c>
      <c r="E29" s="97">
        <f>C29+D29</f>
        <v/>
      </c>
      <c r="F29" s="97">
        <f>IF($C$70=0, 0, E29/$C$70)</f>
        <v/>
      </c>
      <c r="G29" s="97">
        <f>F29*$T$5</f>
        <v/>
      </c>
      <c r="H29" s="97" t="n">
        <v>3</v>
      </c>
      <c r="I29" s="97">
        <f>$T$7*H29</f>
        <v/>
      </c>
      <c r="J29" s="97">
        <f>G29+$T$9+I29</f>
        <v/>
      </c>
      <c r="K29" s="97">
        <f>$T$11/64</f>
        <v/>
      </c>
      <c r="L29" s="7" t="n">
        <v>0</v>
      </c>
      <c r="M29" s="97" t="n">
        <v>0</v>
      </c>
      <c r="N29" s="97" t="n">
        <v>0</v>
      </c>
      <c r="O29" s="97" t="n">
        <v>0</v>
      </c>
      <c r="P29" s="97" t="n"/>
      <c r="Q29" s="97" t="n"/>
      <c r="R29" s="97">
        <f>(J29+K29+L29+M29+N29+O29)*$B$2</f>
        <v/>
      </c>
      <c r="S29" s="98" t="n"/>
      <c r="T29" s="97" t="n"/>
    </row>
    <row r="30" ht="12.75" customHeight="1" s="251">
      <c r="A30" s="97" t="inlineStr">
        <is>
          <t>G9</t>
        </is>
      </c>
      <c r="B30" s="13" t="inlineStr">
        <is>
          <t>Chandramouli</t>
        </is>
      </c>
      <c r="C30" s="9" t="n">
        <v>0</v>
      </c>
      <c r="D30" s="97">
        <f>SUM($C$3:$C$5)/64</f>
        <v/>
      </c>
      <c r="E30" s="97">
        <f>C30+D30</f>
        <v/>
      </c>
      <c r="F30" s="97">
        <f>IF($C$70=0, 0, E30/$C$70)</f>
        <v/>
      </c>
      <c r="G30" s="97">
        <f>F30*$T$5</f>
        <v/>
      </c>
      <c r="H30" s="97" t="n">
        <v>5</v>
      </c>
      <c r="I30" s="97">
        <f>$T$7*H30</f>
        <v/>
      </c>
      <c r="J30" s="97">
        <f>G30+$T$9+I30</f>
        <v/>
      </c>
      <c r="K30" s="97">
        <f>$T$11/64</f>
        <v/>
      </c>
      <c r="L30" s="7" t="n">
        <v>0</v>
      </c>
      <c r="M30" s="97" t="n">
        <v>0</v>
      </c>
      <c r="N30" s="97" t="n">
        <v>0</v>
      </c>
      <c r="O30" s="97" t="n">
        <v>0</v>
      </c>
      <c r="P30" s="97" t="n"/>
      <c r="Q30" s="97" t="n"/>
      <c r="R30" s="97">
        <f>(J30+K30+L30+M30+N30+O30)*$B$2</f>
        <v/>
      </c>
      <c r="S30" s="98" t="n"/>
      <c r="T30" s="97" t="n"/>
    </row>
    <row r="31" ht="12.75" customHeight="1" s="251">
      <c r="A31" s="97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97">
        <f>SUM($C$3:$C$5)/64</f>
        <v/>
      </c>
      <c r="E31" s="97">
        <f>C31+D31</f>
        <v/>
      </c>
      <c r="F31" s="97">
        <f>IF($C$70=0, 0, E31/$C$70)</f>
        <v/>
      </c>
      <c r="G31" s="97">
        <f>F31*$T$5</f>
        <v/>
      </c>
      <c r="H31" s="97" t="n">
        <v>3</v>
      </c>
      <c r="I31" s="97">
        <f>$T$7*H31</f>
        <v/>
      </c>
      <c r="J31" s="97">
        <f>G31+$T$9+I31</f>
        <v/>
      </c>
      <c r="K31" s="97">
        <f>$T$11/64</f>
        <v/>
      </c>
      <c r="L31" s="7" t="n">
        <v>0</v>
      </c>
      <c r="M31" s="97" t="n">
        <v>0</v>
      </c>
      <c r="N31" s="97" t="n">
        <v>0</v>
      </c>
      <c r="O31" s="97" t="n">
        <v>0</v>
      </c>
      <c r="P31" s="97" t="n"/>
      <c r="Q31" s="97" t="n"/>
      <c r="R31" s="97">
        <f>(J31+K31+L31+M31+N31+O31)*$B$2</f>
        <v/>
      </c>
      <c r="S31" s="98" t="n"/>
      <c r="T31" s="97" t="n"/>
    </row>
    <row r="32" ht="12.75" customHeight="1" s="251">
      <c r="A32" s="97" t="inlineStr">
        <is>
          <t>G11</t>
        </is>
      </c>
      <c r="B32" s="13" t="inlineStr">
        <is>
          <t>Ketan Verlekar</t>
        </is>
      </c>
      <c r="C32" s="9" t="n">
        <v>0</v>
      </c>
      <c r="D32" s="97">
        <f>SUM($C$3:$C$5)/64</f>
        <v/>
      </c>
      <c r="E32" s="97">
        <f>C32+D32</f>
        <v/>
      </c>
      <c r="F32" s="97">
        <f>IF($C$70=0, 0, E32/$C$70)</f>
        <v/>
      </c>
      <c r="G32" s="97">
        <f>F32*$T$5</f>
        <v/>
      </c>
      <c r="H32" s="97" t="n">
        <v>3</v>
      </c>
      <c r="I32" s="97">
        <f>$T$7*H32</f>
        <v/>
      </c>
      <c r="J32" s="97">
        <f>G32+$T$9+I32</f>
        <v/>
      </c>
      <c r="K32" s="97">
        <f>$T$11/64</f>
        <v/>
      </c>
      <c r="L32" s="7" t="n">
        <v>0</v>
      </c>
      <c r="M32" s="97" t="n">
        <v>0</v>
      </c>
      <c r="N32" s="97" t="n">
        <v>0</v>
      </c>
      <c r="O32" s="97" t="n">
        <v>0</v>
      </c>
      <c r="P32" s="97" t="n"/>
      <c r="Q32" s="97" t="n"/>
      <c r="R32" s="97">
        <f>(J32+K32+L32+M32+N32+O32)*$B$2</f>
        <v/>
      </c>
      <c r="S32" s="98" t="n"/>
      <c r="T32" s="97" t="n"/>
    </row>
    <row r="33" ht="12.75" customHeight="1" s="251">
      <c r="A33" s="97" t="inlineStr">
        <is>
          <t>G12</t>
        </is>
      </c>
      <c r="B33" s="13" t="inlineStr">
        <is>
          <t>Shyam Nair</t>
        </is>
      </c>
      <c r="C33" s="9" t="n">
        <v>0</v>
      </c>
      <c r="D33" s="97">
        <f>SUM($C$3:$C$5)/64</f>
        <v/>
      </c>
      <c r="E33" s="97">
        <f>C33+D33</f>
        <v/>
      </c>
      <c r="F33" s="97">
        <f>IF($C$70=0, 0, E33/$C$70)</f>
        <v/>
      </c>
      <c r="G33" s="97">
        <f>F33*$T$5</f>
        <v/>
      </c>
      <c r="H33" s="97" t="n">
        <v>3</v>
      </c>
      <c r="I33" s="97">
        <f>$T$7*H33</f>
        <v/>
      </c>
      <c r="J33" s="97">
        <f>G33+$T$9+I33</f>
        <v/>
      </c>
      <c r="K33" s="97">
        <f>$T$11/64</f>
        <v/>
      </c>
      <c r="L33" s="7" t="n">
        <v>0</v>
      </c>
      <c r="M33" s="97" t="n">
        <v>0</v>
      </c>
      <c r="N33" s="97" t="n">
        <v>0</v>
      </c>
      <c r="O33" s="97" t="n">
        <v>0</v>
      </c>
      <c r="P33" s="97" t="n"/>
      <c r="Q33" s="97" t="n"/>
      <c r="R33" s="97">
        <f>(J33+K33+L33+M33+N33+O33)*$B$2</f>
        <v/>
      </c>
      <c r="S33" s="98" t="n"/>
      <c r="T33" s="97" t="n"/>
    </row>
    <row r="34" ht="12.75" customHeight="1" s="251">
      <c r="A34" s="97" t="inlineStr">
        <is>
          <t>G13</t>
        </is>
      </c>
      <c r="B34" s="13" t="inlineStr">
        <is>
          <t>Ajai.B</t>
        </is>
      </c>
      <c r="C34" s="9" t="n">
        <v>0</v>
      </c>
      <c r="D34" s="97">
        <f>SUM($C$3:$C$5)/64</f>
        <v/>
      </c>
      <c r="E34" s="97">
        <f>C34+D34</f>
        <v/>
      </c>
      <c r="F34" s="97">
        <f>IF($C$70=0, 0, E34/$C$70)</f>
        <v/>
      </c>
      <c r="G34" s="97">
        <f>F34*$T$5</f>
        <v/>
      </c>
      <c r="H34" s="97" t="n">
        <v>4</v>
      </c>
      <c r="I34" s="97">
        <f>$T$7*H34</f>
        <v/>
      </c>
      <c r="J34" s="97">
        <f>G34+$T$9+I34</f>
        <v/>
      </c>
      <c r="K34" s="97">
        <f>$T$11/64</f>
        <v/>
      </c>
      <c r="L34" s="7" t="n">
        <v>0</v>
      </c>
      <c r="M34" s="97" t="n">
        <v>0</v>
      </c>
      <c r="N34" s="97" t="n">
        <v>0</v>
      </c>
      <c r="O34" s="97" t="n">
        <v>0</v>
      </c>
      <c r="P34" s="97" t="n"/>
      <c r="Q34" s="97" t="n"/>
      <c r="R34" s="97">
        <f>(J34+K34+L34+M34+N34+O34)*$B$2</f>
        <v/>
      </c>
      <c r="S34" s="98" t="n"/>
      <c r="T34" s="97" t="n"/>
    </row>
    <row r="35" ht="12.75" customHeight="1" s="251">
      <c r="A35" s="97" t="inlineStr">
        <is>
          <t>G14</t>
        </is>
      </c>
      <c r="B35" s="13" t="inlineStr">
        <is>
          <t>Surajit Borah</t>
        </is>
      </c>
      <c r="C35" s="9" t="n">
        <v>0</v>
      </c>
      <c r="D35" s="97">
        <f>SUM($C$3:$C$5)/64</f>
        <v/>
      </c>
      <c r="E35" s="97">
        <f>C35+D35</f>
        <v/>
      </c>
      <c r="F35" s="97">
        <f>IF($C$70=0, 0, E35/$C$70)</f>
        <v/>
      </c>
      <c r="G35" s="97">
        <f>F35*$T$5</f>
        <v/>
      </c>
      <c r="H35" s="97" t="n">
        <v>4</v>
      </c>
      <c r="I35" s="97">
        <f>$T$7*H35</f>
        <v/>
      </c>
      <c r="J35" s="97">
        <f>G35+$T$9+I35</f>
        <v/>
      </c>
      <c r="K35" s="97">
        <f>$T$11/64</f>
        <v/>
      </c>
      <c r="L35" s="7" t="n">
        <v>0</v>
      </c>
      <c r="M35" s="97" t="n">
        <v>0</v>
      </c>
      <c r="N35" s="97" t="n">
        <v>0</v>
      </c>
      <c r="O35" s="97" t="n">
        <v>0</v>
      </c>
      <c r="P35" s="97" t="n"/>
      <c r="Q35" s="97" t="n"/>
      <c r="R35" s="97">
        <f>(J35+K35+L35+M35+N35+O35)*$B$2</f>
        <v/>
      </c>
      <c r="S35" s="98" t="n"/>
      <c r="T35" s="97" t="n"/>
    </row>
    <row r="36" ht="12.75" customHeight="1" s="251">
      <c r="A36" s="97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97">
        <f>SUM($C$3:$C$5)/64</f>
        <v/>
      </c>
      <c r="E36" s="97">
        <f>C36+D36</f>
        <v/>
      </c>
      <c r="F36" s="97">
        <f>IF($C$70=0, 0, E36/$C$70)</f>
        <v/>
      </c>
      <c r="G36" s="97">
        <f>F36*$T$5</f>
        <v/>
      </c>
      <c r="H36" s="97" t="n">
        <v>4</v>
      </c>
      <c r="I36" s="97">
        <f>$T$7*H36</f>
        <v/>
      </c>
      <c r="J36" s="97">
        <f>G36+$T$9+I36</f>
        <v/>
      </c>
      <c r="K36" s="97">
        <f>$T$11/64</f>
        <v/>
      </c>
      <c r="L36" s="7" t="n">
        <v>0</v>
      </c>
      <c r="M36" s="97" t="n">
        <v>0</v>
      </c>
      <c r="N36" s="97" t="n">
        <v>0</v>
      </c>
      <c r="O36" s="97" t="n">
        <v>0</v>
      </c>
      <c r="P36" s="97" t="n"/>
      <c r="Q36" s="97" t="n"/>
      <c r="R36" s="97">
        <f>(J36+K36+L36+M36+N36+O36)*$B$2</f>
        <v/>
      </c>
      <c r="S36" s="98" t="n"/>
      <c r="T36" s="97" t="n"/>
    </row>
    <row r="37" ht="12.75" customHeight="1" s="251">
      <c r="A37" s="97" t="inlineStr">
        <is>
          <t>G16</t>
        </is>
      </c>
      <c r="B37" s="13" t="inlineStr">
        <is>
          <t>Praveen Ganesan</t>
        </is>
      </c>
      <c r="C37" s="9" t="n">
        <v>0</v>
      </c>
      <c r="D37" s="97">
        <f>SUM($C$3:$C$5)/64</f>
        <v/>
      </c>
      <c r="E37" s="97">
        <f>C37+D37</f>
        <v/>
      </c>
      <c r="F37" s="97">
        <f>IF($C$70=0, 0, E37/$C$70)</f>
        <v/>
      </c>
      <c r="G37" s="97">
        <f>F37*$T$5</f>
        <v/>
      </c>
      <c r="H37" s="97" t="n">
        <v>3</v>
      </c>
      <c r="I37" s="97">
        <f>$T$7*H37</f>
        <v/>
      </c>
      <c r="J37" s="97">
        <f>G37+$T$9+I37</f>
        <v/>
      </c>
      <c r="K37" s="97">
        <f>$T$11/64</f>
        <v/>
      </c>
      <c r="L37" s="7" t="n">
        <v>0</v>
      </c>
      <c r="M37" s="97" t="n">
        <v>0</v>
      </c>
      <c r="N37" s="97" t="n">
        <v>0</v>
      </c>
      <c r="O37" s="97" t="n">
        <v>0</v>
      </c>
      <c r="P37" s="97" t="n"/>
      <c r="Q37" s="97" t="n"/>
      <c r="R37" s="97">
        <f>(J37+K37+L37+M37+N37+O37)*$B$2</f>
        <v/>
      </c>
      <c r="S37" s="98" t="n"/>
      <c r="T37" s="97" t="n"/>
    </row>
    <row r="38" ht="12.75" customHeight="1" s="251">
      <c r="A38" s="97" t="inlineStr">
        <is>
          <t>S1</t>
        </is>
      </c>
      <c r="B38" s="13" t="inlineStr">
        <is>
          <t>S.N.Behera</t>
        </is>
      </c>
      <c r="C38" s="9" t="n">
        <v>0</v>
      </c>
      <c r="D38" s="97">
        <f>SUM($C$3:$C$5)/64</f>
        <v/>
      </c>
      <c r="E38" s="97">
        <f>C38+D38</f>
        <v/>
      </c>
      <c r="F38" s="97">
        <f>IF($C$70=0, 0, E38/$C$70)</f>
        <v/>
      </c>
      <c r="G38" s="97">
        <f>F38*$T$5</f>
        <v/>
      </c>
      <c r="H38" s="97" t="n">
        <v>3</v>
      </c>
      <c r="I38" s="97">
        <f>$T$7*H38</f>
        <v/>
      </c>
      <c r="J38" s="97">
        <f>G38+$T$9+I38</f>
        <v/>
      </c>
      <c r="K38" s="97">
        <f>$T$11/64</f>
        <v/>
      </c>
      <c r="L38" s="7" t="n">
        <v>0</v>
      </c>
      <c r="M38" s="97" t="n">
        <v>0</v>
      </c>
      <c r="N38" s="97" t="n">
        <v>0</v>
      </c>
      <c r="O38" s="97" t="n">
        <v>0</v>
      </c>
      <c r="P38" s="97" t="n"/>
      <c r="Q38" s="97" t="n"/>
      <c r="R38" s="97">
        <f>(J38+K38+L38+M38+N38+O38)*$B$2</f>
        <v/>
      </c>
      <c r="S38" s="98" t="n"/>
      <c r="T38" s="97" t="n"/>
    </row>
    <row r="39" ht="12.75" customHeight="1" s="251">
      <c r="A39" s="97" t="inlineStr">
        <is>
          <t>S2</t>
        </is>
      </c>
      <c r="B39" s="13" t="inlineStr">
        <is>
          <t>Sonal Singh</t>
        </is>
      </c>
      <c r="C39" s="9" t="n">
        <v>0</v>
      </c>
      <c r="D39" s="97">
        <f>SUM($C$3:$C$5)/64</f>
        <v/>
      </c>
      <c r="E39" s="97">
        <f>C39+D39</f>
        <v/>
      </c>
      <c r="F39" s="97">
        <f>IF($C$70=0, 0, E39/$C$70)</f>
        <v/>
      </c>
      <c r="G39" s="97">
        <f>F39*$T$5</f>
        <v/>
      </c>
      <c r="H39" s="97" t="n">
        <v>4</v>
      </c>
      <c r="I39" s="97">
        <f>$T$7*H39</f>
        <v/>
      </c>
      <c r="J39" s="97">
        <f>G39+$T$9+I39</f>
        <v/>
      </c>
      <c r="K39" s="97">
        <f>$T$11/64</f>
        <v/>
      </c>
      <c r="L39" s="7" t="n">
        <v>0</v>
      </c>
      <c r="M39" s="97" t="n">
        <v>0</v>
      </c>
      <c r="N39" s="97" t="n">
        <v>0</v>
      </c>
      <c r="O39" s="97" t="n">
        <v>0</v>
      </c>
      <c r="P39" s="97" t="n"/>
      <c r="Q39" s="97" t="n"/>
      <c r="R39" s="97">
        <f>(J39+K39+L39+M39+N39+O39)*$B$2</f>
        <v/>
      </c>
      <c r="S39" s="98" t="n"/>
      <c r="T39" s="97" t="n"/>
    </row>
    <row r="40" ht="12.75" customHeight="1" s="251">
      <c r="A40" s="97" t="inlineStr">
        <is>
          <t>S3</t>
        </is>
      </c>
      <c r="B40" s="13" t="inlineStr">
        <is>
          <t>Koteswararao</t>
        </is>
      </c>
      <c r="C40" s="9" t="n">
        <v>0</v>
      </c>
      <c r="D40" s="97">
        <f>SUM($C$3:$C$5)/64</f>
        <v/>
      </c>
      <c r="E40" s="97">
        <f>C40+D40</f>
        <v/>
      </c>
      <c r="F40" s="97">
        <f>IF($C$70=0, 0, E40/$C$70)</f>
        <v/>
      </c>
      <c r="G40" s="97">
        <f>F40*$T$5</f>
        <v/>
      </c>
      <c r="H40" s="97" t="n">
        <v>4</v>
      </c>
      <c r="I40" s="97">
        <f>$T$7*H40</f>
        <v/>
      </c>
      <c r="J40" s="97">
        <f>G40+$T$9+I40</f>
        <v/>
      </c>
      <c r="K40" s="97">
        <f>$T$11/64</f>
        <v/>
      </c>
      <c r="L40" s="7" t="n">
        <v>0</v>
      </c>
      <c r="M40" s="97" t="n">
        <v>0</v>
      </c>
      <c r="N40" s="97" t="n">
        <v>0</v>
      </c>
      <c r="O40" s="97" t="n">
        <v>0</v>
      </c>
      <c r="P40" s="97" t="n"/>
      <c r="Q40" s="97" t="n"/>
      <c r="R40" s="97">
        <f>(J40+K40+L40+M40+N40+O40)*$B$2</f>
        <v/>
      </c>
      <c r="S40" s="98" t="n"/>
      <c r="T40" s="97" t="n"/>
    </row>
    <row r="41" ht="12.75" customHeight="1" s="251">
      <c r="A41" s="97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97">
        <f>SUM($C$3:$C$5)/64</f>
        <v/>
      </c>
      <c r="E41" s="97">
        <f>C41+D41</f>
        <v/>
      </c>
      <c r="F41" s="97">
        <f>IF($C$70=0, 0, E41/$C$70)</f>
        <v/>
      </c>
      <c r="G41" s="97">
        <f>F41*$T$5</f>
        <v/>
      </c>
      <c r="H41" s="97" t="n">
        <v>3</v>
      </c>
      <c r="I41" s="97">
        <f>$T$7*H41</f>
        <v/>
      </c>
      <c r="J41" s="97">
        <f>G41+$T$9+I41</f>
        <v/>
      </c>
      <c r="K41" s="97">
        <f>$T$11/64</f>
        <v/>
      </c>
      <c r="L41" s="7" t="n">
        <v>0</v>
      </c>
      <c r="M41" s="97" t="n">
        <v>0</v>
      </c>
      <c r="N41" s="97" t="n">
        <v>0</v>
      </c>
      <c r="O41" s="97" t="n">
        <v>0</v>
      </c>
      <c r="P41" s="97" t="n"/>
      <c r="Q41" s="97" t="n"/>
      <c r="R41" s="97">
        <f>(J41+K41+L41+M41+N41+O41)*$B$2</f>
        <v/>
      </c>
      <c r="S41" s="98" t="n"/>
      <c r="T41" s="97" t="n"/>
    </row>
    <row r="42" ht="12.75" customHeight="1" s="251">
      <c r="A42" s="97" t="inlineStr">
        <is>
          <t>S5</t>
        </is>
      </c>
      <c r="B42" s="13" t="inlineStr">
        <is>
          <t>Abhishek Gopalakrishnan</t>
        </is>
      </c>
      <c r="C42" s="9" t="n">
        <v>0</v>
      </c>
      <c r="D42" s="97">
        <f>SUM($C$3:$C$5)/64</f>
        <v/>
      </c>
      <c r="E42" s="97">
        <f>C42+D42</f>
        <v/>
      </c>
      <c r="F42" s="97">
        <f>IF($C$70=0, 0, E42/$C$70)</f>
        <v/>
      </c>
      <c r="G42" s="97">
        <f>F42*$T$5</f>
        <v/>
      </c>
      <c r="H42" s="97" t="n">
        <v>3</v>
      </c>
      <c r="I42" s="97">
        <f>$T$7*H42</f>
        <v/>
      </c>
      <c r="J42" s="97">
        <f>G42+$T$9+I42</f>
        <v/>
      </c>
      <c r="K42" s="97">
        <f>$T$11/64</f>
        <v/>
      </c>
      <c r="L42" s="7" t="n">
        <v>0</v>
      </c>
      <c r="M42" s="97" t="n">
        <v>0</v>
      </c>
      <c r="N42" s="97" t="n">
        <v>0</v>
      </c>
      <c r="O42" s="97" t="n">
        <v>0</v>
      </c>
      <c r="P42" s="97" t="n"/>
      <c r="Q42" s="97" t="n"/>
      <c r="R42" s="97">
        <f>(J42+K42+L42+M42+N42+O42)*$B$2</f>
        <v/>
      </c>
      <c r="S42" s="98" t="n"/>
      <c r="T42" s="97" t="n"/>
    </row>
    <row r="43" ht="12.75" customHeight="1" s="251">
      <c r="A43" s="97" t="inlineStr">
        <is>
          <t>S6</t>
        </is>
      </c>
      <c r="B43" s="30" t="inlineStr">
        <is>
          <t>Vivek Dhingra / Pratyush Das</t>
        </is>
      </c>
      <c r="C43" s="9" t="n">
        <v>0</v>
      </c>
      <c r="D43" s="97">
        <f>SUM($C$3:$C$5)/64</f>
        <v/>
      </c>
      <c r="E43" s="97">
        <f>C43+D43</f>
        <v/>
      </c>
      <c r="F43" s="97">
        <f>IF($C$70=0, 0, E43/$C$70)</f>
        <v/>
      </c>
      <c r="G43" s="97">
        <f>F43*$T$5</f>
        <v/>
      </c>
      <c r="H43" s="97" t="n">
        <v>3</v>
      </c>
      <c r="I43" s="97">
        <f>$T$7*H43</f>
        <v/>
      </c>
      <c r="J43" s="97">
        <f>G43+$T$9+I43</f>
        <v/>
      </c>
      <c r="K43" s="97">
        <f>$T$11/64</f>
        <v/>
      </c>
      <c r="L43" s="7" t="n">
        <v>0</v>
      </c>
      <c r="M43" s="97" t="n">
        <v>0</v>
      </c>
      <c r="N43" s="97" t="n">
        <v>0</v>
      </c>
      <c r="O43" s="97" t="n">
        <v>0</v>
      </c>
      <c r="P43" s="97" t="n"/>
      <c r="Q43" s="97" t="n"/>
      <c r="R43" s="97">
        <f>(J43+K43+L43+M43+N43+O43)*$B$2</f>
        <v/>
      </c>
      <c r="S43" s="98" t="n"/>
      <c r="T43" s="97" t="n"/>
    </row>
    <row r="44" ht="12.75" customHeight="1" s="251">
      <c r="A44" s="97" t="inlineStr">
        <is>
          <t>S7</t>
        </is>
      </c>
      <c r="B44" s="13" t="inlineStr">
        <is>
          <t>Harish B</t>
        </is>
      </c>
      <c r="C44" s="9" t="n">
        <v>0</v>
      </c>
      <c r="D44" s="97">
        <f>SUM($C$3:$C$5)/64</f>
        <v/>
      </c>
      <c r="E44" s="97">
        <f>C44+D44</f>
        <v/>
      </c>
      <c r="F44" s="97">
        <f>IF($C$70=0, 0, E44/$C$70)</f>
        <v/>
      </c>
      <c r="G44" s="97">
        <f>F44*$T$5</f>
        <v/>
      </c>
      <c r="H44" s="97" t="n">
        <v>3</v>
      </c>
      <c r="I44" s="97">
        <f>$T$7*H44</f>
        <v/>
      </c>
      <c r="J44" s="97">
        <f>G44+$T$9+I44</f>
        <v/>
      </c>
      <c r="K44" s="97">
        <f>$T$11/64</f>
        <v/>
      </c>
      <c r="L44" s="7" t="n">
        <v>0</v>
      </c>
      <c r="M44" s="97" t="n">
        <v>0</v>
      </c>
      <c r="N44" s="97" t="n">
        <v>0</v>
      </c>
      <c r="O44" s="97" t="n">
        <v>0</v>
      </c>
      <c r="P44" s="97" t="n"/>
      <c r="Q44" s="97" t="n"/>
      <c r="R44" s="97">
        <f>(J44+K44+L44+M44+N44+O44)*$B$2</f>
        <v/>
      </c>
      <c r="S44" s="98" t="n"/>
      <c r="T44" s="97" t="n"/>
    </row>
    <row r="45" ht="12.75" customHeight="1" s="251">
      <c r="A45" s="97" t="inlineStr">
        <is>
          <t>S8</t>
        </is>
      </c>
      <c r="B45" s="13" t="inlineStr">
        <is>
          <t>Irudayaraj Alwin</t>
        </is>
      </c>
      <c r="C45" s="9" t="n">
        <v>0</v>
      </c>
      <c r="D45" s="97">
        <f>SUM($C$3:$C$5)/64</f>
        <v/>
      </c>
      <c r="E45" s="97">
        <f>C45+D45</f>
        <v/>
      </c>
      <c r="F45" s="97">
        <f>IF($C$70=0, 0, E45/$C$70)</f>
        <v/>
      </c>
      <c r="G45" s="97">
        <f>F45*$T$5</f>
        <v/>
      </c>
      <c r="H45" s="97" t="n">
        <v>3</v>
      </c>
      <c r="I45" s="97">
        <f>$T$7*H45</f>
        <v/>
      </c>
      <c r="J45" s="97">
        <f>G45+$T$9+I45</f>
        <v/>
      </c>
      <c r="K45" s="97">
        <f>$T$11/64</f>
        <v/>
      </c>
      <c r="L45" s="7" t="n">
        <v>0</v>
      </c>
      <c r="M45" s="97" t="n">
        <v>0</v>
      </c>
      <c r="N45" s="97" t="n">
        <v>0</v>
      </c>
      <c r="O45" s="97" t="n">
        <v>0</v>
      </c>
      <c r="P45" s="97" t="n"/>
      <c r="Q45" s="97" t="n"/>
      <c r="R45" s="97">
        <f>(J45+K45+L45+M45+N45+O45)*$B$2</f>
        <v/>
      </c>
      <c r="S45" s="98" t="n"/>
      <c r="T45" s="97" t="n"/>
    </row>
    <row r="46" ht="12.75" customHeight="1" s="251">
      <c r="A46" s="97" t="inlineStr">
        <is>
          <t>S9</t>
        </is>
      </c>
      <c r="B46" s="13" t="inlineStr">
        <is>
          <t>Pawan GS</t>
        </is>
      </c>
      <c r="C46" s="9" t="n">
        <v>0</v>
      </c>
      <c r="D46" s="97">
        <f>SUM($C$3:$C$5)/64</f>
        <v/>
      </c>
      <c r="E46" s="97">
        <f>C46+D46</f>
        <v/>
      </c>
      <c r="F46" s="97">
        <f>IF($C$70=0, 0, E46/$C$70)</f>
        <v/>
      </c>
      <c r="G46" s="97">
        <f>F46*$T$5</f>
        <v/>
      </c>
      <c r="H46" s="97" t="n">
        <v>4</v>
      </c>
      <c r="I46" s="97">
        <f>$T$7*H46</f>
        <v/>
      </c>
      <c r="J46" s="97">
        <f>G46+$T$9+I46</f>
        <v/>
      </c>
      <c r="K46" s="97">
        <f>$T$11/64</f>
        <v/>
      </c>
      <c r="L46" s="7" t="n">
        <v>0</v>
      </c>
      <c r="M46" s="97" t="n">
        <v>0</v>
      </c>
      <c r="N46" s="97" t="n">
        <v>0</v>
      </c>
      <c r="O46" s="97" t="n">
        <v>0</v>
      </c>
      <c r="P46" s="97" t="n"/>
      <c r="Q46" s="97" t="n"/>
      <c r="R46" s="97">
        <f>(J46+K46+L46+M46+N46+O46)*$B$2</f>
        <v/>
      </c>
      <c r="S46" s="98" t="n"/>
      <c r="T46" s="97" t="n"/>
    </row>
    <row r="47" ht="12.75" customHeight="1" s="251">
      <c r="A47" s="97" t="inlineStr">
        <is>
          <t>S10</t>
        </is>
      </c>
      <c r="B47" s="13" t="inlineStr">
        <is>
          <t>Lakshmikanth</t>
        </is>
      </c>
      <c r="C47" s="9" t="n">
        <v>0</v>
      </c>
      <c r="D47" s="97">
        <f>SUM($C$3:$C$5)/64</f>
        <v/>
      </c>
      <c r="E47" s="97">
        <f>C47+D47</f>
        <v/>
      </c>
      <c r="F47" s="97">
        <f>IF($C$70=0, 0, E47/$C$70)</f>
        <v/>
      </c>
      <c r="G47" s="97">
        <f>F47*$T$5</f>
        <v/>
      </c>
      <c r="H47" s="97" t="n">
        <v>3</v>
      </c>
      <c r="I47" s="97">
        <f>$T$7*H47</f>
        <v/>
      </c>
      <c r="J47" s="97">
        <f>G47+$T$9+I47</f>
        <v/>
      </c>
      <c r="K47" s="97">
        <f>$T$11/64</f>
        <v/>
      </c>
      <c r="L47" s="7" t="n">
        <v>0</v>
      </c>
      <c r="M47" s="97" t="n">
        <v>0</v>
      </c>
      <c r="N47" s="97" t="n">
        <v>0</v>
      </c>
      <c r="O47" s="97" t="n">
        <v>0</v>
      </c>
      <c r="P47" s="97" t="n"/>
      <c r="Q47" s="97" t="n"/>
      <c r="R47" s="97">
        <f>(J47+K47+L47+M47+N47+O47)*$B$2</f>
        <v/>
      </c>
      <c r="S47" s="98" t="n"/>
      <c r="T47" s="97" t="n"/>
    </row>
    <row r="48" ht="12.75" customHeight="1" s="251">
      <c r="A48" s="97" t="inlineStr">
        <is>
          <t>S11</t>
        </is>
      </c>
      <c r="B48" s="13" t="inlineStr">
        <is>
          <t>Gowrish Patnaik / Somananth GM</t>
        </is>
      </c>
      <c r="C48" s="9" t="n">
        <v>0</v>
      </c>
      <c r="D48" s="97">
        <f>SUM($C$3:$C$5)/64</f>
        <v/>
      </c>
      <c r="E48" s="97">
        <f>C48+D48</f>
        <v/>
      </c>
      <c r="F48" s="97">
        <f>IF($C$70=0, 0, E48/$C$70)</f>
        <v/>
      </c>
      <c r="G48" s="97">
        <f>F48*$T$5</f>
        <v/>
      </c>
      <c r="H48" s="97" t="n">
        <v>3</v>
      </c>
      <c r="I48" s="97">
        <f>$T$7*H48</f>
        <v/>
      </c>
      <c r="J48" s="97">
        <f>G48+$T$9+I48</f>
        <v/>
      </c>
      <c r="K48" s="97">
        <f>$T$11/64</f>
        <v/>
      </c>
      <c r="L48" s="7" t="n">
        <v>0</v>
      </c>
      <c r="M48" s="97" t="n">
        <v>0</v>
      </c>
      <c r="N48" s="97" t="n">
        <v>0</v>
      </c>
      <c r="O48" s="97" t="n">
        <v>0</v>
      </c>
      <c r="P48" s="97" t="n"/>
      <c r="Q48" s="97" t="n"/>
      <c r="R48" s="97">
        <f>(J48+K48+L48+M48+N48+O48)*$B$2</f>
        <v/>
      </c>
      <c r="S48" s="98" t="n"/>
      <c r="T48" s="97" t="n"/>
    </row>
    <row r="49" ht="12.75" customHeight="1" s="251">
      <c r="A49" s="97" t="inlineStr">
        <is>
          <t>S12</t>
        </is>
      </c>
      <c r="B49" s="13" t="inlineStr">
        <is>
          <t>Saovik Mondal</t>
        </is>
      </c>
      <c r="C49" s="9" t="n">
        <v>0</v>
      </c>
      <c r="D49" s="97">
        <f>SUM($C$3:$C$5)/64</f>
        <v/>
      </c>
      <c r="E49" s="97">
        <f>C49+D49</f>
        <v/>
      </c>
      <c r="F49" s="97">
        <f>IF($C$70=0, 0, E49/$C$70)</f>
        <v/>
      </c>
      <c r="G49" s="97">
        <f>F49*$T$5</f>
        <v/>
      </c>
      <c r="H49" s="97" t="n">
        <v>3</v>
      </c>
      <c r="I49" s="97">
        <f>$T$7*H49</f>
        <v/>
      </c>
      <c r="J49" s="97">
        <f>G49+$T$9+I49</f>
        <v/>
      </c>
      <c r="K49" s="97">
        <f>$T$11/64</f>
        <v/>
      </c>
      <c r="L49" s="7" t="n">
        <v>0</v>
      </c>
      <c r="M49" s="97" t="n">
        <v>0</v>
      </c>
      <c r="N49" s="97" t="n">
        <v>0</v>
      </c>
      <c r="O49" s="97" t="n">
        <v>0</v>
      </c>
      <c r="P49" s="97" t="n"/>
      <c r="Q49" s="97" t="n"/>
      <c r="R49" s="97">
        <f>(J49+K49+L49+M49+N49+O49)*$B$2</f>
        <v/>
      </c>
      <c r="S49" s="98" t="n"/>
      <c r="T49" s="97" t="n"/>
    </row>
    <row r="50" ht="12.75" customHeight="1" s="251">
      <c r="A50" s="97" t="inlineStr">
        <is>
          <t>S13</t>
        </is>
      </c>
      <c r="B50" s="13" t="inlineStr">
        <is>
          <t>Ramadevi S.</t>
        </is>
      </c>
      <c r="C50" s="9" t="n">
        <v>0</v>
      </c>
      <c r="D50" s="97">
        <f>SUM($C$3:$C$5)/64</f>
        <v/>
      </c>
      <c r="E50" s="97">
        <f>C50+D50</f>
        <v/>
      </c>
      <c r="F50" s="97">
        <f>IF($C$70=0, 0, E50/$C$70)</f>
        <v/>
      </c>
      <c r="G50" s="97">
        <f>F50*$T$5</f>
        <v/>
      </c>
      <c r="H50" s="97" t="n">
        <v>4</v>
      </c>
      <c r="I50" s="97">
        <f>$T$7*H50</f>
        <v/>
      </c>
      <c r="J50" s="97">
        <f>G50+$T$9+I50</f>
        <v/>
      </c>
      <c r="K50" s="97">
        <f>$T$11/64</f>
        <v/>
      </c>
      <c r="L50" s="7" t="n">
        <v>0</v>
      </c>
      <c r="M50" s="97" t="n">
        <v>0</v>
      </c>
      <c r="N50" s="97" t="n">
        <v>0</v>
      </c>
      <c r="O50" s="97" t="n">
        <v>0</v>
      </c>
      <c r="P50" s="97" t="n"/>
      <c r="Q50" s="97" t="n"/>
      <c r="R50" s="97">
        <f>(J50+K50+L50+M50+N50+O50)*$B$2</f>
        <v/>
      </c>
      <c r="S50" s="98" t="n"/>
      <c r="T50" s="97" t="n"/>
    </row>
    <row r="51" ht="12.75" customHeight="1" s="251">
      <c r="A51" s="97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97">
        <f>SUM($C$3:$C$5)/64</f>
        <v/>
      </c>
      <c r="E51" s="97">
        <f>C51+D51</f>
        <v/>
      </c>
      <c r="F51" s="97">
        <f>IF($C$70=0, 0, E51/$C$70)</f>
        <v/>
      </c>
      <c r="G51" s="97">
        <f>F51*$T$5</f>
        <v/>
      </c>
      <c r="H51" s="97" t="n">
        <v>4</v>
      </c>
      <c r="I51" s="97">
        <f>$T$7*H51</f>
        <v/>
      </c>
      <c r="J51" s="97">
        <f>G51+$T$9+I51</f>
        <v/>
      </c>
      <c r="K51" s="97">
        <f>$T$11/64</f>
        <v/>
      </c>
      <c r="L51" s="7" t="n">
        <v>0</v>
      </c>
      <c r="M51" s="97" t="n">
        <v>0</v>
      </c>
      <c r="N51" s="97" t="n">
        <v>0</v>
      </c>
      <c r="O51" s="97" t="n">
        <v>0</v>
      </c>
      <c r="P51" s="97" t="n"/>
      <c r="Q51" s="97" t="n"/>
      <c r="R51" s="97">
        <f>(J51+K51+L51+M51+N51+O51)*$B$2</f>
        <v/>
      </c>
      <c r="S51" s="98" t="n"/>
      <c r="T51" s="97" t="n"/>
    </row>
    <row r="52" ht="12.75" customHeight="1" s="251">
      <c r="A52" s="97" t="inlineStr">
        <is>
          <t>S15</t>
        </is>
      </c>
      <c r="B52" s="13" t="inlineStr">
        <is>
          <t>Manas Dasgupta</t>
        </is>
      </c>
      <c r="C52" s="9" t="n">
        <v>0</v>
      </c>
      <c r="D52" s="97">
        <f>SUM($C$3:$C$5)/64</f>
        <v/>
      </c>
      <c r="E52" s="97">
        <f>C52+D52</f>
        <v/>
      </c>
      <c r="F52" s="97">
        <f>IF($C$70=0, 0, E52/$C$70)</f>
        <v/>
      </c>
      <c r="G52" s="97">
        <f>F52*$T$5</f>
        <v/>
      </c>
      <c r="H52" s="97" t="n">
        <v>4</v>
      </c>
      <c r="I52" s="97">
        <f>$T$7*H52</f>
        <v/>
      </c>
      <c r="J52" s="97">
        <f>G52+$T$9+I52</f>
        <v/>
      </c>
      <c r="K52" s="97">
        <f>$T$11/64</f>
        <v/>
      </c>
      <c r="L52" s="7" t="n">
        <v>0</v>
      </c>
      <c r="M52" s="97" t="n">
        <v>0</v>
      </c>
      <c r="N52" s="97" t="n">
        <v>0</v>
      </c>
      <c r="O52" s="97" t="n">
        <v>0</v>
      </c>
      <c r="P52" s="97" t="n"/>
      <c r="Q52" s="97" t="n"/>
      <c r="R52" s="97">
        <f>(J52+K52+L52+M52+N52+O52)*$B$2</f>
        <v/>
      </c>
      <c r="S52" s="98" t="n"/>
      <c r="T52" s="97" t="n"/>
    </row>
    <row r="53" ht="12.75" customHeight="1" s="251">
      <c r="A53" s="97" t="inlineStr">
        <is>
          <t>S16</t>
        </is>
      </c>
      <c r="B53" s="13" t="inlineStr">
        <is>
          <t>Devendra Singh Rawat / Nancy</t>
        </is>
      </c>
      <c r="C53" s="9" t="n">
        <v>0</v>
      </c>
      <c r="D53" s="97">
        <f>SUM($C$3:$C$5)/64</f>
        <v/>
      </c>
      <c r="E53" s="97">
        <f>C53+D53</f>
        <v/>
      </c>
      <c r="F53" s="97">
        <f>IF($C$70=0, 0, E53/$C$70)</f>
        <v/>
      </c>
      <c r="G53" s="97">
        <f>F53*$T$5</f>
        <v/>
      </c>
      <c r="H53" s="97" t="n">
        <v>3</v>
      </c>
      <c r="I53" s="97">
        <f>$T$7*H53</f>
        <v/>
      </c>
      <c r="J53" s="97">
        <f>G53+$T$9+I53</f>
        <v/>
      </c>
      <c r="K53" s="97">
        <f>$T$11/64</f>
        <v/>
      </c>
      <c r="L53" s="7" t="n">
        <v>0</v>
      </c>
      <c r="M53" s="97" t="n">
        <v>0</v>
      </c>
      <c r="N53" s="97" t="n">
        <v>0</v>
      </c>
      <c r="O53" s="97" t="n">
        <v>0</v>
      </c>
      <c r="P53" s="97" t="n"/>
      <c r="Q53" s="97" t="n"/>
      <c r="R53" s="97">
        <f>(J53+K53+L53+M53+N53+O53)*$B$2</f>
        <v/>
      </c>
      <c r="S53" s="98" t="n"/>
      <c r="T53" s="97" t="n"/>
    </row>
    <row r="54" ht="12.75" customHeight="1" s="251">
      <c r="A54" s="97" t="inlineStr">
        <is>
          <t>T1</t>
        </is>
      </c>
      <c r="B54" s="13" t="inlineStr">
        <is>
          <t>Prashant Sikdar</t>
        </is>
      </c>
      <c r="C54" s="9" t="n">
        <v>0</v>
      </c>
      <c r="D54" s="97">
        <f>SUM($C$3:$C$5)/64</f>
        <v/>
      </c>
      <c r="E54" s="97">
        <f>C54+D54</f>
        <v/>
      </c>
      <c r="F54" s="97">
        <f>IF($C$70=0, 0, E54/$C$70)</f>
        <v/>
      </c>
      <c r="G54" s="97">
        <f>F54*$T$5</f>
        <v/>
      </c>
      <c r="H54" s="97" t="n">
        <v>3</v>
      </c>
      <c r="I54" s="97">
        <f>$T$7*H54</f>
        <v/>
      </c>
      <c r="J54" s="97">
        <f>G54+$T$9+I54</f>
        <v/>
      </c>
      <c r="K54" s="97">
        <f>$T$11/64</f>
        <v/>
      </c>
      <c r="L54" s="7" t="n">
        <v>0</v>
      </c>
      <c r="M54" s="97" t="n">
        <v>0</v>
      </c>
      <c r="N54" s="97" t="n">
        <v>0</v>
      </c>
      <c r="O54" s="97" t="n">
        <v>0</v>
      </c>
      <c r="P54" s="97" t="n"/>
      <c r="Q54" s="97" t="n"/>
      <c r="R54" s="97">
        <f>(J54+K54+L54+M54+N54+O54)*$B$2</f>
        <v/>
      </c>
      <c r="S54" s="98" t="n"/>
      <c r="T54" s="97" t="n"/>
    </row>
    <row r="55" ht="12.75" customHeight="1" s="251">
      <c r="A55" s="97" t="inlineStr">
        <is>
          <t>T2</t>
        </is>
      </c>
      <c r="B55" s="13" t="inlineStr">
        <is>
          <t>Kunal Mehta</t>
        </is>
      </c>
      <c r="C55" s="9" t="n">
        <v>0</v>
      </c>
      <c r="D55" s="97">
        <f>SUM($C$3:$C$5)/64</f>
        <v/>
      </c>
      <c r="E55" s="97">
        <f>C55+D55</f>
        <v/>
      </c>
      <c r="F55" s="97">
        <f>IF($C$70=0, 0, E55/$C$70)</f>
        <v/>
      </c>
      <c r="G55" s="97">
        <f>F55*$T$5</f>
        <v/>
      </c>
      <c r="H55" s="97" t="n">
        <v>4</v>
      </c>
      <c r="I55" s="97">
        <f>$T$7*H55</f>
        <v/>
      </c>
      <c r="J55" s="97">
        <f>G55+$T$9+I55</f>
        <v/>
      </c>
      <c r="K55" s="97">
        <f>$T$11/64</f>
        <v/>
      </c>
      <c r="L55" s="7" t="n">
        <v>0</v>
      </c>
      <c r="M55" s="97" t="n">
        <v>0</v>
      </c>
      <c r="N55" s="97" t="n">
        <v>0</v>
      </c>
      <c r="O55" s="97" t="n">
        <v>0</v>
      </c>
      <c r="P55" s="97" t="n"/>
      <c r="Q55" s="97" t="n"/>
      <c r="R55" s="97">
        <f>(J55+K55+L55+M55+N55+O55)*$B$2</f>
        <v/>
      </c>
      <c r="S55" s="98" t="n"/>
      <c r="T55" s="97" t="n"/>
    </row>
    <row r="56" ht="12.75" customHeight="1" s="251">
      <c r="A56" s="97" t="inlineStr">
        <is>
          <t>T3</t>
        </is>
      </c>
      <c r="B56" s="13" t="inlineStr">
        <is>
          <t>Kapil Garg</t>
        </is>
      </c>
      <c r="C56" s="9" t="n">
        <v>0</v>
      </c>
      <c r="D56" s="97">
        <f>SUM($C$3:$C$5)/64</f>
        <v/>
      </c>
      <c r="E56" s="97">
        <f>C56+D56</f>
        <v/>
      </c>
      <c r="F56" s="97">
        <f>IF($C$70=0, 0, E56/$C$70)</f>
        <v/>
      </c>
      <c r="G56" s="97">
        <f>F56*$T$5</f>
        <v/>
      </c>
      <c r="H56" s="97" t="n">
        <v>4</v>
      </c>
      <c r="I56" s="97">
        <f>$T$7*H56</f>
        <v/>
      </c>
      <c r="J56" s="97">
        <f>G56+$T$9+I56</f>
        <v/>
      </c>
      <c r="K56" s="97">
        <f>$T$11/64</f>
        <v/>
      </c>
      <c r="L56" s="7" t="n">
        <v>0</v>
      </c>
      <c r="M56" s="97" t="n">
        <v>0</v>
      </c>
      <c r="N56" s="97" t="n">
        <v>0</v>
      </c>
      <c r="O56" s="97" t="n">
        <v>0</v>
      </c>
      <c r="P56" s="97" t="n"/>
      <c r="Q56" s="97" t="n"/>
      <c r="R56" s="97">
        <f>(J56+K56+L56+M56+N56+O56)*$B$2</f>
        <v/>
      </c>
      <c r="S56" s="98" t="n"/>
      <c r="T56" s="97" t="n"/>
    </row>
    <row r="57" ht="12.75" customHeight="1" s="251">
      <c r="A57" s="97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97">
        <f>SUM($C$3:$C$5)/64</f>
        <v/>
      </c>
      <c r="E57" s="97">
        <f>C57+D57</f>
        <v/>
      </c>
      <c r="F57" s="97">
        <f>IF($C$70=0, 0, E57/$C$70)</f>
        <v/>
      </c>
      <c r="G57" s="97">
        <f>F57*$T$5</f>
        <v/>
      </c>
      <c r="H57" s="97" t="n">
        <v>4</v>
      </c>
      <c r="I57" s="97">
        <f>$T$7*H57</f>
        <v/>
      </c>
      <c r="J57" s="97">
        <f>G57+$T$9+I57</f>
        <v/>
      </c>
      <c r="K57" s="97">
        <f>$T$11/64</f>
        <v/>
      </c>
      <c r="L57" s="7" t="n">
        <v>0</v>
      </c>
      <c r="M57" s="97" t="n">
        <v>0</v>
      </c>
      <c r="N57" s="97" t="n">
        <v>0</v>
      </c>
      <c r="O57" s="97" t="n">
        <v>0</v>
      </c>
      <c r="P57" s="97" t="n"/>
      <c r="Q57" s="97" t="n"/>
      <c r="R57" s="97">
        <f>(J57+K57+L57+M57+N57+O57)*$B$2</f>
        <v/>
      </c>
      <c r="S57" s="98" t="n"/>
      <c r="T57" s="97" t="n"/>
    </row>
    <row r="58" ht="12.75" customHeight="1" s="251">
      <c r="A58" s="97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97">
        <f>SUM($C$3:$C$5)/64</f>
        <v/>
      </c>
      <c r="E58" s="97">
        <f>C58+D58</f>
        <v/>
      </c>
      <c r="F58" s="97">
        <f>IF($C$70=0, 0, E58/$C$70)</f>
        <v/>
      </c>
      <c r="G58" s="97">
        <f>F58*$T$5</f>
        <v/>
      </c>
      <c r="H58" s="97" t="n">
        <v>3</v>
      </c>
      <c r="I58" s="97">
        <f>$T$7*H58</f>
        <v/>
      </c>
      <c r="J58" s="97">
        <f>G58+$T$9+I58</f>
        <v/>
      </c>
      <c r="K58" s="97">
        <f>$T$11/64</f>
        <v/>
      </c>
      <c r="L58" s="7" t="n">
        <v>0</v>
      </c>
      <c r="M58" s="97" t="n">
        <v>0</v>
      </c>
      <c r="N58" s="97" t="n">
        <v>0</v>
      </c>
      <c r="O58" s="97" t="n">
        <v>0</v>
      </c>
      <c r="P58" s="97" t="n"/>
      <c r="Q58" s="97" t="n"/>
      <c r="R58" s="97">
        <f>(J58+K58+L58+M58+N58+O58)*$B$2</f>
        <v/>
      </c>
      <c r="S58" s="98" t="n"/>
      <c r="T58" s="97" t="n"/>
    </row>
    <row r="59" ht="12.75" customHeight="1" s="251">
      <c r="A59" s="97" t="inlineStr">
        <is>
          <t>T6</t>
        </is>
      </c>
      <c r="B59" s="13" t="inlineStr">
        <is>
          <t>Mythili Ramesh</t>
        </is>
      </c>
      <c r="C59" s="9" t="n">
        <v>0</v>
      </c>
      <c r="D59" s="97">
        <f>SUM($C$3:$C$5)/64</f>
        <v/>
      </c>
      <c r="E59" s="97">
        <f>C59+D59</f>
        <v/>
      </c>
      <c r="F59" s="97">
        <f>IF($C$70=0, 0, E59/$C$70)</f>
        <v/>
      </c>
      <c r="G59" s="97">
        <f>F59*$T$5</f>
        <v/>
      </c>
      <c r="H59" s="97" t="n">
        <v>3</v>
      </c>
      <c r="I59" s="97">
        <f>$T$7*H59</f>
        <v/>
      </c>
      <c r="J59" s="97">
        <f>G59+$T$9+I59</f>
        <v/>
      </c>
      <c r="K59" s="97">
        <f>$T$11/64</f>
        <v/>
      </c>
      <c r="L59" s="7" t="n">
        <v>0</v>
      </c>
      <c r="M59" s="97" t="n">
        <v>0</v>
      </c>
      <c r="N59" s="97" t="n">
        <v>0</v>
      </c>
      <c r="O59" s="97" t="n">
        <v>0</v>
      </c>
      <c r="P59" s="97" t="n"/>
      <c r="Q59" s="97" t="n"/>
      <c r="R59" s="97">
        <f>(J59+K59+L59+M59+N59+O59)*$B$2</f>
        <v/>
      </c>
      <c r="S59" s="98" t="n"/>
      <c r="T59" s="97" t="n"/>
    </row>
    <row r="60" ht="12.75" customHeight="1" s="251">
      <c r="A60" s="97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97">
        <f>SUM($C$3:$C$5)/64</f>
        <v/>
      </c>
      <c r="E60" s="97">
        <f>C60+D60</f>
        <v/>
      </c>
      <c r="F60" s="97">
        <f>IF($C$70=0, 0, E60/$C$70)</f>
        <v/>
      </c>
      <c r="G60" s="97">
        <f>F60*$T$5</f>
        <v/>
      </c>
      <c r="H60" s="97" t="n">
        <v>3</v>
      </c>
      <c r="I60" s="97">
        <f>$T$7*H60</f>
        <v/>
      </c>
      <c r="J60" s="97">
        <f>G60+$T$9+I60</f>
        <v/>
      </c>
      <c r="K60" s="97">
        <f>$T$11/64</f>
        <v/>
      </c>
      <c r="L60" s="7" t="n">
        <v>0</v>
      </c>
      <c r="M60" s="97" t="n">
        <v>0</v>
      </c>
      <c r="N60" s="97" t="n">
        <v>0</v>
      </c>
      <c r="O60" s="97" t="n">
        <v>0</v>
      </c>
      <c r="P60" s="97" t="n"/>
      <c r="Q60" s="97" t="n"/>
      <c r="R60" s="97">
        <f>(J60+K60+L60+M60+N60+O60)*$B$2</f>
        <v/>
      </c>
      <c r="S60" s="98" t="n"/>
      <c r="T60" s="97" t="n"/>
    </row>
    <row r="61" ht="12.75" customHeight="1" s="251">
      <c r="A61" s="97" t="inlineStr">
        <is>
          <t>T8</t>
        </is>
      </c>
      <c r="B61" s="13" t="inlineStr">
        <is>
          <t>Lalit Kumar Sharma</t>
        </is>
      </c>
      <c r="C61" s="9" t="n">
        <v>0</v>
      </c>
      <c r="D61" s="97">
        <f>SUM($C$3:$C$5)/64</f>
        <v/>
      </c>
      <c r="E61" s="97">
        <f>C61+D61</f>
        <v/>
      </c>
      <c r="F61" s="97">
        <f>IF($C$70=0, 0, E61/$C$70)</f>
        <v/>
      </c>
      <c r="G61" s="97">
        <f>F61*$T$5</f>
        <v/>
      </c>
      <c r="H61" s="97" t="n">
        <v>3</v>
      </c>
      <c r="I61" s="97">
        <f>$T$7*H61</f>
        <v/>
      </c>
      <c r="J61" s="97">
        <f>G61+$T$9+I61</f>
        <v/>
      </c>
      <c r="K61" s="97">
        <f>$T$11/64</f>
        <v/>
      </c>
      <c r="L61" s="7" t="n">
        <v>0</v>
      </c>
      <c r="M61" s="97" t="n">
        <v>0</v>
      </c>
      <c r="N61" s="97" t="n">
        <v>0</v>
      </c>
      <c r="O61" s="97" t="n">
        <v>0</v>
      </c>
      <c r="P61" s="97" t="n"/>
      <c r="Q61" s="97" t="n"/>
      <c r="R61" s="97">
        <f>(J61+K61+L61+M61+N61+O61)*$B$2</f>
        <v/>
      </c>
      <c r="S61" s="98" t="n"/>
      <c r="T61" s="97" t="n"/>
    </row>
    <row r="62" ht="12.75" customHeight="1" s="251">
      <c r="A62" s="97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97">
        <f>SUM($C$3:$C$5)/64</f>
        <v/>
      </c>
      <c r="E62" s="97">
        <f>C62+D62</f>
        <v/>
      </c>
      <c r="F62" s="97">
        <f>IF($C$70=0, 0, E62/$C$70)</f>
        <v/>
      </c>
      <c r="G62" s="97">
        <f>F62*$T$5</f>
        <v/>
      </c>
      <c r="H62" s="97" t="n">
        <v>4</v>
      </c>
      <c r="I62" s="97">
        <f>$T$7*H62</f>
        <v/>
      </c>
      <c r="J62" s="97">
        <f>G62+$T$9+I62</f>
        <v/>
      </c>
      <c r="K62" s="97">
        <f>$T$11/64</f>
        <v/>
      </c>
      <c r="L62" s="7" t="n">
        <v>0</v>
      </c>
      <c r="M62" s="97" t="n">
        <v>0</v>
      </c>
      <c r="N62" s="97" t="n">
        <v>0</v>
      </c>
      <c r="O62" s="97" t="n">
        <v>0</v>
      </c>
      <c r="P62" s="97" t="n"/>
      <c r="Q62" s="97" t="n"/>
      <c r="R62" s="97">
        <f>(J62+K62+L62+M62+N62+O62)*$B$2</f>
        <v/>
      </c>
      <c r="S62" s="98" t="n"/>
      <c r="T62" s="97" t="n"/>
    </row>
    <row r="63" ht="12.75" customHeight="1" s="251">
      <c r="A63" s="97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97">
        <f>SUM($C$3:$C$5)/64</f>
        <v/>
      </c>
      <c r="E63" s="97">
        <f>C63+D63</f>
        <v/>
      </c>
      <c r="F63" s="97">
        <f>IF($C$70=0, 0, E63/$C$70)</f>
        <v/>
      </c>
      <c r="G63" s="97">
        <f>F63*$T$5</f>
        <v/>
      </c>
      <c r="H63" s="97" t="n">
        <v>3</v>
      </c>
      <c r="I63" s="97">
        <f>$T$7*H63</f>
        <v/>
      </c>
      <c r="J63" s="97">
        <f>G63+$T$9+I63</f>
        <v/>
      </c>
      <c r="K63" s="97">
        <f>$T$11/64</f>
        <v/>
      </c>
      <c r="L63" s="7" t="n">
        <v>0</v>
      </c>
      <c r="M63" s="97" t="n">
        <v>0</v>
      </c>
      <c r="N63" s="97" t="n">
        <v>0</v>
      </c>
      <c r="O63" s="97" t="n">
        <v>0</v>
      </c>
      <c r="P63" s="97" t="n"/>
      <c r="Q63" s="97" t="n"/>
      <c r="R63" s="97">
        <f>(J63+K63+L63+M63+N63+O63)*$B$2</f>
        <v/>
      </c>
      <c r="S63" s="98" t="n"/>
      <c r="T63" s="97" t="n"/>
    </row>
    <row r="64" ht="12.75" customHeight="1" s="251">
      <c r="A64" s="97" t="inlineStr">
        <is>
          <t>T11</t>
        </is>
      </c>
      <c r="B64" s="13" t="inlineStr">
        <is>
          <t>Arvind Balasubramanian</t>
        </is>
      </c>
      <c r="C64" s="9" t="n">
        <v>0</v>
      </c>
      <c r="D64" s="97">
        <f>SUM($C$3:$C$5)/64</f>
        <v/>
      </c>
      <c r="E64" s="97">
        <f>C64+D64</f>
        <v/>
      </c>
      <c r="F64" s="97">
        <f>IF($C$70=0, 0, E64/$C$70)</f>
        <v/>
      </c>
      <c r="G64" s="97">
        <f>F64*$T$5</f>
        <v/>
      </c>
      <c r="H64" s="97" t="n">
        <v>3</v>
      </c>
      <c r="I64" s="97">
        <f>$T$7*H64</f>
        <v/>
      </c>
      <c r="J64" s="97">
        <f>G64+$T$9+I64</f>
        <v/>
      </c>
      <c r="K64" s="97">
        <f>$T$11/64</f>
        <v/>
      </c>
      <c r="L64" s="7" t="n">
        <v>0</v>
      </c>
      <c r="M64" s="97" t="n">
        <v>0</v>
      </c>
      <c r="N64" s="97" t="n">
        <v>0</v>
      </c>
      <c r="O64" s="97" t="n">
        <v>0</v>
      </c>
      <c r="P64" s="97" t="n"/>
      <c r="Q64" s="97" t="n"/>
      <c r="R64" s="97">
        <f>(J64+K64+L64+M64+N64+O64)*$B$2</f>
        <v/>
      </c>
      <c r="S64" s="98" t="n"/>
      <c r="T64" s="97" t="n"/>
    </row>
    <row r="65" ht="12.75" customHeight="1" s="251">
      <c r="A65" s="97" t="inlineStr">
        <is>
          <t>T12</t>
        </is>
      </c>
      <c r="B65" s="13" t="inlineStr">
        <is>
          <t>Prasenjit</t>
        </is>
      </c>
      <c r="C65" s="9" t="n">
        <v>0</v>
      </c>
      <c r="D65" s="97">
        <f>SUM($C$3:$C$5)/64</f>
        <v/>
      </c>
      <c r="E65" s="97">
        <f>C65+D65</f>
        <v/>
      </c>
      <c r="F65" s="97">
        <f>IF($C$70=0, 0, E65/$C$70)</f>
        <v/>
      </c>
      <c r="G65" s="97">
        <f>F65*$T$5</f>
        <v/>
      </c>
      <c r="H65" s="97" t="n">
        <v>3</v>
      </c>
      <c r="I65" s="97">
        <f>$T$7*H65</f>
        <v/>
      </c>
      <c r="J65" s="97">
        <f>G65+$T$9+I65</f>
        <v/>
      </c>
      <c r="K65" s="97">
        <f>$T$11/64</f>
        <v/>
      </c>
      <c r="L65" s="7" t="n">
        <v>0</v>
      </c>
      <c r="M65" s="97" t="n">
        <v>0</v>
      </c>
      <c r="N65" s="97" t="n">
        <v>0</v>
      </c>
      <c r="O65" s="97" t="n">
        <v>0</v>
      </c>
      <c r="P65" s="97" t="n"/>
      <c r="Q65" s="97" t="n"/>
      <c r="R65" s="97">
        <f>(J65+K65+L65+M65+N65+O65)*$B$2</f>
        <v/>
      </c>
      <c r="S65" s="98" t="n"/>
      <c r="T65" s="97" t="n"/>
    </row>
    <row r="66" ht="12.75" customHeight="1" s="251">
      <c r="A66" s="97" t="inlineStr">
        <is>
          <t>T13</t>
        </is>
      </c>
      <c r="B66" s="13" t="inlineStr">
        <is>
          <t>Rahul Kumar</t>
        </is>
      </c>
      <c r="C66" s="9" t="n">
        <v>0</v>
      </c>
      <c r="D66" s="97">
        <f>SUM($C$3:$C$5)/64</f>
        <v/>
      </c>
      <c r="E66" s="97">
        <f>C66+D66</f>
        <v/>
      </c>
      <c r="F66" s="97">
        <f>IF($C$70=0, 0, E66/$C$70)</f>
        <v/>
      </c>
      <c r="G66" s="97">
        <f>F66*$T$5</f>
        <v/>
      </c>
      <c r="H66" s="97" t="n">
        <v>4</v>
      </c>
      <c r="I66" s="97">
        <f>$T$7*H66</f>
        <v/>
      </c>
      <c r="J66" s="97">
        <f>G66+$T$9+I66</f>
        <v/>
      </c>
      <c r="K66" s="97">
        <f>$T$11/64</f>
        <v/>
      </c>
      <c r="L66" s="7" t="n">
        <v>0</v>
      </c>
      <c r="M66" s="97" t="n">
        <v>0</v>
      </c>
      <c r="N66" s="97" t="n">
        <v>0</v>
      </c>
      <c r="O66" s="97" t="n">
        <v>0</v>
      </c>
      <c r="P66" s="97" t="n"/>
      <c r="Q66" s="97" t="n"/>
      <c r="R66" s="97">
        <f>(J66+K66+L66+M66+N66+O66)*$B$2</f>
        <v/>
      </c>
      <c r="S66" s="98" t="n"/>
      <c r="T66" s="97" t="n"/>
    </row>
    <row r="67" ht="12.75" customHeight="1" s="251">
      <c r="A67" s="97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97">
        <f>SUM($C$3:$C$5)/64</f>
        <v/>
      </c>
      <c r="E67" s="97">
        <f>C67+D67</f>
        <v/>
      </c>
      <c r="F67" s="97">
        <f>IF($C$70=0, 0, E67/$C$70)</f>
        <v/>
      </c>
      <c r="G67" s="97">
        <f>F67*$T$5</f>
        <v/>
      </c>
      <c r="H67" s="97" t="n">
        <v>4</v>
      </c>
      <c r="I67" s="97">
        <f>$T$7*H67</f>
        <v/>
      </c>
      <c r="J67" s="97">
        <f>G67+$T$9+I67</f>
        <v/>
      </c>
      <c r="K67" s="97">
        <f>$T$11/64</f>
        <v/>
      </c>
      <c r="L67" s="7" t="n">
        <v>0</v>
      </c>
      <c r="M67" s="97" t="n">
        <v>0</v>
      </c>
      <c r="N67" s="97" t="n">
        <v>0</v>
      </c>
      <c r="O67" s="97" t="n">
        <v>0</v>
      </c>
      <c r="P67" s="97" t="n"/>
      <c r="Q67" s="97" t="n"/>
      <c r="R67" s="97">
        <f>(J67+K67+L67+M67+N67+O67)*$B$2</f>
        <v/>
      </c>
      <c r="S67" s="98" t="n"/>
      <c r="T67" s="97" t="n"/>
    </row>
    <row r="68" ht="12.75" customHeight="1" s="251">
      <c r="A68" s="97" t="inlineStr">
        <is>
          <t>T15</t>
        </is>
      </c>
      <c r="B68" s="13" t="inlineStr">
        <is>
          <t>Trevor</t>
        </is>
      </c>
      <c r="C68" s="9" t="n">
        <v>0</v>
      </c>
      <c r="D68" s="97">
        <f>SUM($C$3:$C$5)/64</f>
        <v/>
      </c>
      <c r="E68" s="97">
        <f>C68+D68</f>
        <v/>
      </c>
      <c r="F68" s="97">
        <f>IF($C$70=0, 0, E68/$C$70)</f>
        <v/>
      </c>
      <c r="G68" s="97">
        <f>F68*$T$5</f>
        <v/>
      </c>
      <c r="H68" s="97" t="n">
        <v>4</v>
      </c>
      <c r="I68" s="97">
        <f>$T$7*H68</f>
        <v/>
      </c>
      <c r="J68" s="97">
        <f>G68+$T$9+I68</f>
        <v/>
      </c>
      <c r="K68" s="97">
        <f>$T$11/64</f>
        <v/>
      </c>
      <c r="L68" s="7" t="n">
        <v>0</v>
      </c>
      <c r="M68" s="97" t="n">
        <v>0</v>
      </c>
      <c r="N68" s="97" t="n">
        <v>0</v>
      </c>
      <c r="O68" s="97" t="n">
        <v>0</v>
      </c>
      <c r="P68" s="97" t="n"/>
      <c r="Q68" s="97" t="n"/>
      <c r="R68" s="97">
        <f>(J68+K68+L68+M68+N68+O68)*$B$2</f>
        <v/>
      </c>
      <c r="S68" s="98" t="n"/>
      <c r="T68" s="97" t="n"/>
    </row>
    <row r="69" ht="12.75" customHeight="1" s="251">
      <c r="A69" s="97" t="inlineStr">
        <is>
          <t>T16</t>
        </is>
      </c>
      <c r="B69" s="13" t="inlineStr">
        <is>
          <t>Madhusoodanan P.R.</t>
        </is>
      </c>
      <c r="C69" s="9" t="n">
        <v>0</v>
      </c>
      <c r="D69" s="97">
        <f>SUM($C$3:$C$5)/64</f>
        <v/>
      </c>
      <c r="E69" s="97">
        <f>C69+D69</f>
        <v/>
      </c>
      <c r="F69" s="97">
        <f>IF($C$70=0, 0, E69/$C$70)</f>
        <v/>
      </c>
      <c r="G69" s="97">
        <f>F69*$T$5</f>
        <v/>
      </c>
      <c r="H69" s="97" t="n">
        <v>3</v>
      </c>
      <c r="I69" s="97">
        <f>$T$7*H69</f>
        <v/>
      </c>
      <c r="J69" s="97">
        <f>G69+$T$9+I69</f>
        <v/>
      </c>
      <c r="K69" s="97">
        <f>$T$11/64</f>
        <v/>
      </c>
      <c r="L69" s="7" t="n">
        <v>0</v>
      </c>
      <c r="M69" s="97" t="n">
        <v>0</v>
      </c>
      <c r="N69" s="97" t="n">
        <v>0</v>
      </c>
      <c r="O69" s="97" t="n">
        <v>0</v>
      </c>
      <c r="P69" s="97" t="n"/>
      <c r="Q69" s="97" t="n"/>
      <c r="R69" s="97">
        <f>(J69+K69+L69+M69+N69+O69)*$B$2</f>
        <v/>
      </c>
      <c r="S69" s="98" t="n"/>
      <c r="T69" s="97" t="n"/>
    </row>
    <row r="70" ht="12.75" customHeight="1" s="251">
      <c r="A70" s="97" t="n"/>
      <c r="B70" s="99" t="inlineStr">
        <is>
          <t>TOTAL</t>
        </is>
      </c>
      <c r="C70" s="97">
        <f>SUM(C3:C69)</f>
        <v/>
      </c>
      <c r="D70" s="97">
        <f>SUM(D3:D69)</f>
        <v/>
      </c>
      <c r="E70" s="97">
        <f>SUM(E3:E69)</f>
        <v/>
      </c>
      <c r="F70" s="97">
        <f>IF($C$70=0, 0, E70/$C$70)</f>
        <v/>
      </c>
      <c r="G70" s="97">
        <f>SUM(G3:G69)</f>
        <v/>
      </c>
      <c r="H70" s="97">
        <f>SUM(H3:H69)</f>
        <v/>
      </c>
      <c r="I70" s="97">
        <f>SUM(I3:I69)</f>
        <v/>
      </c>
      <c r="J70" s="97">
        <f>SUM(J3:J69)</f>
        <v/>
      </c>
      <c r="K70" s="97">
        <f>SUM(K3:K69)</f>
        <v/>
      </c>
      <c r="L70" s="97">
        <f>SUM(L3:L69)</f>
        <v/>
      </c>
      <c r="M70" s="97">
        <f>SUM(M3:M69)</f>
        <v/>
      </c>
      <c r="N70" s="97">
        <f>SUM(N3:N69)</f>
        <v/>
      </c>
      <c r="O70" s="97">
        <f>SUM(O3:O69)</f>
        <v/>
      </c>
      <c r="P70" s="97" t="n"/>
      <c r="Q70" s="97" t="n"/>
      <c r="R70" s="97">
        <f>SUM(R3:R69)</f>
        <v/>
      </c>
      <c r="S70" s="98" t="n"/>
      <c r="T70" s="97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D3" s="87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86" t="n"/>
      <c r="E4" s="46" t="n"/>
      <c r="F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86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0" t="n"/>
      <c r="D7" s="87" t="n"/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0" t="n"/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73" t="n"/>
      <c r="D9" s="86" t="n"/>
      <c r="F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73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Debashis Ghoshal / Manisha Ghoshal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F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2" t="n"/>
      <c r="D16" s="86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73" t="n"/>
      <c r="D24" s="86" t="n"/>
      <c r="F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Ankur Agarwal</t>
        </is>
      </c>
      <c r="C26" s="73" t="n"/>
      <c r="D26" s="86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6" t="n"/>
      <c r="D27" s="87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73" t="n"/>
      <c r="D28" s="86" t="n"/>
      <c r="F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87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2" t="n"/>
      <c r="D31" s="86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0" t="n"/>
      <c r="D36" s="87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86" t="n"/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F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2" t="n"/>
      <c r="D44" s="86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C47" s="40" t="n"/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86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F51" s="86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F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E53" s="40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E55" s="40" t="n"/>
      <c r="F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6" t="n"/>
      <c r="D57" s="87" t="n"/>
      <c r="F57" s="86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7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73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86" t="n"/>
      <c r="F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D62" s="49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73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86" t="n"/>
      <c r="F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86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43.1640625" customWidth="1" style="251" min="2" max="2"/>
    <col width="17.5" customWidth="1" style="251" min="3" max="10"/>
    <col width="12.83203125" customWidth="1" style="251" min="11" max="11"/>
    <col width="15" customWidth="1" style="251" min="12" max="12"/>
    <col width="14.83203125" customWidth="1" style="251" min="13" max="13"/>
    <col width="14.5" customWidth="1" style="251" min="14" max="14"/>
    <col width="13.6640625" customWidth="1" style="251" min="15" max="15"/>
    <col width="14.33203125" customWidth="1" style="251" min="16" max="18"/>
    <col width="53.5" customWidth="1" style="251" min="19" max="19"/>
    <col width="15.1640625" customWidth="1" style="251" min="20" max="20"/>
  </cols>
  <sheetData>
    <row r="1" ht="16.5" customHeight="1" s="251">
      <c r="A1" s="104" t="n"/>
      <c r="B1" s="274" t="inlineStr">
        <is>
          <t>SEPTEMBER 2026 EXPENSES</t>
        </is>
      </c>
      <c r="C1" s="275" t="n"/>
      <c r="D1" s="275" t="n"/>
      <c r="E1" s="275" t="n"/>
      <c r="F1" s="275" t="n"/>
      <c r="G1" s="275" t="n"/>
      <c r="H1" s="275" t="n"/>
      <c r="I1" s="275" t="n"/>
      <c r="J1" s="275" t="n"/>
      <c r="K1" s="275" t="n"/>
      <c r="L1" s="275" t="n"/>
      <c r="M1" s="275" t="n"/>
      <c r="N1" s="275" t="n"/>
      <c r="O1" s="275" t="n"/>
      <c r="P1" s="275" t="n"/>
      <c r="Q1" s="275" t="n"/>
      <c r="R1" s="275" t="n"/>
      <c r="S1" s="275" t="n"/>
      <c r="T1" s="276" t="n"/>
    </row>
    <row r="2" ht="58.5" customHeight="1" s="251">
      <c r="A2" s="104" t="inlineStr">
        <is>
          <t>FLAT #</t>
        </is>
      </c>
      <c r="B2" s="105" t="n">
        <v>1</v>
      </c>
      <c r="C2" s="105" t="inlineStr">
        <is>
          <t>WATER USED IN LTRS</t>
        </is>
      </c>
      <c r="D2" s="105" t="inlineStr">
        <is>
          <t>COMMON AREA EQUALLY DEVIDED</t>
        </is>
      </c>
      <c r="E2" s="105" t="inlineStr">
        <is>
          <t>TOTAL FRESH WATER CONSUMED</t>
        </is>
      </c>
      <c r="F2" s="105" t="inlineStr">
        <is>
          <t>%OF TOTAL USED</t>
        </is>
      </c>
      <c r="G2" s="105" t="inlineStr">
        <is>
          <t>WATER EXPENSE SHARING BY %</t>
        </is>
      </c>
      <c r="H2" s="105" t="inlineStr">
        <is>
          <t>#METERS</t>
        </is>
      </c>
      <c r="I2" s="105" t="inlineStr">
        <is>
          <t>METER RENT (INR)</t>
        </is>
      </c>
      <c r="J2" s="105" t="inlineStr">
        <is>
          <t>COMMON AREA METER RENT + WATER EXPENSE+ FLAT METER RENT</t>
        </is>
      </c>
      <c r="K2" s="105" t="inlineStr">
        <is>
          <t>FIXED EXPENSE SHARE</t>
        </is>
      </c>
      <c r="L2" s="105" t="inlineStr">
        <is>
          <t>PARKING FEE</t>
        </is>
      </c>
      <c r="M2" s="105" t="inlineStr">
        <is>
          <t>CLUB HOUSE BOOKING</t>
        </is>
      </c>
      <c r="N2" s="105" t="inlineStr">
        <is>
          <t>SHIFTING FEE</t>
        </is>
      </c>
      <c r="O2" s="105" t="inlineStr">
        <is>
          <t>GYM USAGE FEE</t>
        </is>
      </c>
      <c r="P2" s="106" t="n"/>
      <c r="Q2" s="106" t="n"/>
      <c r="R2" s="106" t="inlineStr">
        <is>
          <t>TOTAL EXPENSE TO BE PAID</t>
        </is>
      </c>
      <c r="S2" s="107" t="n"/>
      <c r="T2" s="107" t="n"/>
    </row>
    <row r="3" ht="12.75" customHeight="1" s="251">
      <c r="A3" s="104" t="inlineStr">
        <is>
          <t>CH</t>
        </is>
      </c>
      <c r="B3" s="108" t="inlineStr">
        <is>
          <t>MPFOWA</t>
        </is>
      </c>
      <c r="C3" s="104" t="n">
        <v>0</v>
      </c>
      <c r="D3" s="104" t="n">
        <v>0</v>
      </c>
      <c r="E3" s="104" t="n"/>
      <c r="F3" s="104" t="n"/>
      <c r="G3" s="104" t="n"/>
      <c r="H3" s="104" t="n">
        <v>1</v>
      </c>
      <c r="I3" s="104">
        <f>T7</f>
        <v/>
      </c>
      <c r="J3" s="104" t="n"/>
      <c r="K3" s="104" t="n"/>
      <c r="L3" s="109" t="n"/>
      <c r="M3" s="104" t="n"/>
      <c r="N3" s="104" t="n"/>
      <c r="O3" s="104" t="n"/>
      <c r="P3" s="109" t="n"/>
      <c r="Q3" s="109" t="n"/>
      <c r="R3" s="109" t="n"/>
      <c r="S3" s="107" t="n"/>
      <c r="T3" s="110" t="n"/>
    </row>
    <row r="4" ht="12.75" customHeight="1" s="251">
      <c r="A4" s="104" t="inlineStr">
        <is>
          <t>GYM</t>
        </is>
      </c>
      <c r="B4" s="108" t="inlineStr">
        <is>
          <t>MPFOWA</t>
        </is>
      </c>
      <c r="C4" s="104" t="n">
        <v>0</v>
      </c>
      <c r="D4" s="104" t="n">
        <v>0</v>
      </c>
      <c r="E4" s="104" t="n"/>
      <c r="F4" s="104" t="n"/>
      <c r="G4" s="104" t="n"/>
      <c r="H4" s="104" t="n">
        <v>1</v>
      </c>
      <c r="I4" s="104">
        <f>T7</f>
        <v/>
      </c>
      <c r="J4" s="104" t="n"/>
      <c r="K4" s="104" t="n"/>
      <c r="L4" s="109" t="n"/>
      <c r="M4" s="104" t="n"/>
      <c r="N4" s="104" t="n"/>
      <c r="O4" s="104" t="n"/>
      <c r="P4" s="109" t="n"/>
      <c r="Q4" s="109" t="n"/>
      <c r="R4" s="109" t="n"/>
      <c r="S4" s="111" t="inlineStr">
        <is>
          <t>TOTAL FIXED EXPENSE</t>
        </is>
      </c>
      <c r="T4" s="112">
        <f>'ANNUAL-EXPENSE-DETAILS'!BF8</f>
        <v/>
      </c>
    </row>
    <row r="5" ht="12.75" customHeight="1" s="251">
      <c r="A5" s="104" t="inlineStr">
        <is>
          <t>BSMT</t>
        </is>
      </c>
      <c r="B5" s="108" t="inlineStr">
        <is>
          <t>MPFOWA</t>
        </is>
      </c>
      <c r="C5" s="104" t="n">
        <v>0</v>
      </c>
      <c r="D5" s="104" t="n">
        <v>0</v>
      </c>
      <c r="E5" s="104" t="n"/>
      <c r="F5" s="104" t="n"/>
      <c r="G5" s="104" t="n"/>
      <c r="H5" s="104" t="n">
        <v>1</v>
      </c>
      <c r="I5" s="104">
        <f>T7</f>
        <v/>
      </c>
      <c r="J5" s="104" t="n"/>
      <c r="K5" s="104" t="n"/>
      <c r="L5" s="109" t="n"/>
      <c r="M5" s="104" t="n"/>
      <c r="N5" s="104" t="n"/>
      <c r="O5" s="104" t="n"/>
      <c r="P5" s="109" t="n"/>
      <c r="Q5" s="109" t="n"/>
      <c r="R5" s="109" t="n"/>
      <c r="S5" s="111" t="inlineStr">
        <is>
          <t>TOTAL WATER EXPENSE</t>
        </is>
      </c>
      <c r="T5" s="112">
        <f>'ANNUAL-EXPENSE-DETAILS'!BE8</f>
        <v/>
      </c>
    </row>
    <row r="6" ht="12.75" customHeight="1" s="251">
      <c r="A6" s="104" t="inlineStr">
        <is>
          <t>F1</t>
        </is>
      </c>
      <c r="B6" s="13" t="inlineStr">
        <is>
          <t>Shailesh Srivastava / Azeem Nawaz</t>
        </is>
      </c>
      <c r="C6" s="9" t="n">
        <v>0</v>
      </c>
      <c r="D6" s="104">
        <f>SUM($C$3:$C$5)/64</f>
        <v/>
      </c>
      <c r="E6" s="104">
        <f>C6+D6</f>
        <v/>
      </c>
      <c r="F6" s="104">
        <f>IF($C$70=0, 0, E6/$C$70)</f>
        <v/>
      </c>
      <c r="G6" s="104">
        <f>F6*$T$5</f>
        <v/>
      </c>
      <c r="H6" s="104" t="n">
        <v>3</v>
      </c>
      <c r="I6" s="104">
        <f>$T$7*H6</f>
        <v/>
      </c>
      <c r="J6" s="104">
        <f>G6+$T$9+I6</f>
        <v/>
      </c>
      <c r="K6" s="104">
        <f>$T$11/64</f>
        <v/>
      </c>
      <c r="L6" s="14" t="n">
        <v>0</v>
      </c>
      <c r="M6" s="104" t="n">
        <v>0</v>
      </c>
      <c r="N6" s="104" t="n">
        <v>0</v>
      </c>
      <c r="O6" s="104" t="n">
        <v>0</v>
      </c>
      <c r="P6" s="109" t="n"/>
      <c r="Q6" s="109" t="n"/>
      <c r="R6" s="109">
        <f>(J6+K6+L6+M6+N6+O6)*$B$2</f>
        <v/>
      </c>
      <c r="S6" s="107" t="n"/>
      <c r="T6" s="110" t="n"/>
    </row>
    <row r="7" ht="12.75" customHeight="1" s="251">
      <c r="A7" s="104" t="inlineStr">
        <is>
          <t>F2</t>
        </is>
      </c>
      <c r="B7" s="13" t="inlineStr">
        <is>
          <t>Shanthanu</t>
        </is>
      </c>
      <c r="C7" s="9" t="n">
        <v>0</v>
      </c>
      <c r="D7" s="104">
        <f>SUM($C$3:$C$5)/64</f>
        <v/>
      </c>
      <c r="E7" s="104">
        <f>C7+D7</f>
        <v/>
      </c>
      <c r="F7" s="104">
        <f>IF($C$70=0, 0, E7/$C$70)</f>
        <v/>
      </c>
      <c r="G7" s="104">
        <f>F7*$T$5</f>
        <v/>
      </c>
      <c r="H7" s="104" t="n">
        <v>4</v>
      </c>
      <c r="I7" s="104">
        <f>$T$7*H7</f>
        <v/>
      </c>
      <c r="J7" s="104">
        <f>G7+$T$9+I7</f>
        <v/>
      </c>
      <c r="K7" s="104">
        <f>$T$11/64</f>
        <v/>
      </c>
      <c r="L7" s="7" t="n">
        <v>0</v>
      </c>
      <c r="M7" s="104" t="n">
        <v>0</v>
      </c>
      <c r="N7" s="104" t="n">
        <v>0</v>
      </c>
      <c r="O7" s="104" t="n">
        <v>0</v>
      </c>
      <c r="P7" s="109" t="n"/>
      <c r="Q7" s="109" t="n"/>
      <c r="R7" s="109">
        <f>(J7+K7+L7+M7+N7+O7)*$B$2</f>
        <v/>
      </c>
      <c r="S7" s="107" t="inlineStr">
        <is>
          <t>RENT PER METER</t>
        </is>
      </c>
      <c r="T7" s="17" t="n">
        <v>117.811659</v>
      </c>
    </row>
    <row r="8" ht="12.75" customHeight="1" s="251">
      <c r="A8" s="104" t="inlineStr">
        <is>
          <t>F3</t>
        </is>
      </c>
      <c r="B8" s="13" t="inlineStr">
        <is>
          <t>Samrat Kar</t>
        </is>
      </c>
      <c r="C8" s="9" t="n">
        <v>0</v>
      </c>
      <c r="D8" s="104">
        <f>SUM($C$3:$C$5)/64</f>
        <v/>
      </c>
      <c r="E8" s="104">
        <f>C8+D8</f>
        <v/>
      </c>
      <c r="F8" s="104">
        <f>IF($C$70=0, 0, E8/$C$70)</f>
        <v/>
      </c>
      <c r="G8" s="104">
        <f>F8*$T$5</f>
        <v/>
      </c>
      <c r="H8" s="104" t="n">
        <v>4</v>
      </c>
      <c r="I8" s="104">
        <f>$T$7*H8</f>
        <v/>
      </c>
      <c r="J8" s="104">
        <f>G8+$T$9+I8</f>
        <v/>
      </c>
      <c r="K8" s="104">
        <f>$T$11/64</f>
        <v/>
      </c>
      <c r="L8" s="7" t="n">
        <v>0</v>
      </c>
      <c r="M8" s="104" t="n">
        <v>0</v>
      </c>
      <c r="N8" s="104" t="n">
        <v>0</v>
      </c>
      <c r="O8" s="104" t="n">
        <v>0</v>
      </c>
      <c r="P8" s="109" t="n"/>
      <c r="Q8" s="109" t="n"/>
      <c r="R8" s="109">
        <f>(J8+K8+L8+M8+N8+O8)*$B$2</f>
        <v/>
      </c>
      <c r="S8" s="107" t="inlineStr">
        <is>
          <t>COMMON AREA METER RENT (INR)</t>
        </is>
      </c>
      <c r="T8" s="110">
        <f>$T$7*3</f>
        <v/>
      </c>
    </row>
    <row r="9" ht="12.75" customHeight="1" s="251">
      <c r="A9" s="104" t="inlineStr">
        <is>
          <t>F4</t>
        </is>
      </c>
      <c r="B9" s="13" t="inlineStr">
        <is>
          <t>Renu R</t>
        </is>
      </c>
      <c r="C9" s="9" t="n">
        <v>0</v>
      </c>
      <c r="D9" s="104">
        <f>SUM($C$3:$C$5)/64</f>
        <v/>
      </c>
      <c r="E9" s="104">
        <f>C9+D9</f>
        <v/>
      </c>
      <c r="F9" s="104">
        <f>IF($C$70=0, 0, E9/$C$70)</f>
        <v/>
      </c>
      <c r="G9" s="104">
        <f>F9*$T$5</f>
        <v/>
      </c>
      <c r="H9" s="104" t="n">
        <v>4</v>
      </c>
      <c r="I9" s="104">
        <f>$T$7*H9</f>
        <v/>
      </c>
      <c r="J9" s="104">
        <f>G9+$T$9+I9</f>
        <v/>
      </c>
      <c r="K9" s="104">
        <f>$T$11/64</f>
        <v/>
      </c>
      <c r="L9" s="7" t="n">
        <v>0</v>
      </c>
      <c r="M9" s="104" t="n">
        <v>0</v>
      </c>
      <c r="N9" s="104" t="n">
        <v>0</v>
      </c>
      <c r="O9" s="104" t="n">
        <v>0</v>
      </c>
      <c r="P9" s="109" t="n"/>
      <c r="Q9" s="109" t="n"/>
      <c r="R9" s="109">
        <f>(J9+K9+L9+M9+N9+O9)*$B$2</f>
        <v/>
      </c>
      <c r="S9" s="113" t="inlineStr">
        <is>
          <t>COMMON AREA METER RENT/FLAT</t>
        </is>
      </c>
      <c r="T9" s="114">
        <f>T8/64</f>
        <v/>
      </c>
    </row>
    <row r="10" ht="12.75" customHeight="1" s="251">
      <c r="A10" s="104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04">
        <f>SUM($C$3:$C$5)/64</f>
        <v/>
      </c>
      <c r="E10" s="104">
        <f>C10+D10</f>
        <v/>
      </c>
      <c r="F10" s="104">
        <f>IF($C$70=0, 0, E10/$C$70)</f>
        <v/>
      </c>
      <c r="G10" s="104">
        <f>F10*$T$5</f>
        <v/>
      </c>
      <c r="H10" s="104" t="n">
        <v>3</v>
      </c>
      <c r="I10" s="104">
        <f>$T$7*H10</f>
        <v/>
      </c>
      <c r="J10" s="104">
        <f>G10+$T$9+I10</f>
        <v/>
      </c>
      <c r="K10" s="104">
        <f>$T$11/64</f>
        <v/>
      </c>
      <c r="L10" s="7" t="n">
        <v>0</v>
      </c>
      <c r="M10" s="104" t="n">
        <v>0</v>
      </c>
      <c r="N10" s="104" t="n">
        <v>0</v>
      </c>
      <c r="O10" s="104" t="n">
        <v>0</v>
      </c>
      <c r="P10" s="109" t="n"/>
      <c r="Q10" s="109" t="n"/>
      <c r="R10" s="109">
        <f>(J10+K10+L10+M10+N10+O10)*$B$2</f>
        <v/>
      </c>
      <c r="S10" s="107" t="n"/>
      <c r="T10" s="110" t="n"/>
    </row>
    <row r="11" ht="12.75" customHeight="1" s="251">
      <c r="A11" s="104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04">
        <f>SUM($C$3:$C$5)/64</f>
        <v/>
      </c>
      <c r="E11" s="104">
        <f>C11+D11</f>
        <v/>
      </c>
      <c r="F11" s="104">
        <f>IF($C$70=0, 0, E11/$C$70)</f>
        <v/>
      </c>
      <c r="G11" s="104">
        <f>F11*$T$5</f>
        <v/>
      </c>
      <c r="H11" s="104" t="n">
        <v>3</v>
      </c>
      <c r="I11" s="104">
        <f>$T$7*H11</f>
        <v/>
      </c>
      <c r="J11" s="104">
        <f>G11+$T$9+I11</f>
        <v/>
      </c>
      <c r="K11" s="104">
        <f>$T$11/64</f>
        <v/>
      </c>
      <c r="L11" s="7" t="n">
        <v>0</v>
      </c>
      <c r="M11" s="104" t="n">
        <v>0</v>
      </c>
      <c r="N11" s="104" t="n">
        <v>0</v>
      </c>
      <c r="O11" s="104" t="n">
        <v>0</v>
      </c>
      <c r="P11" s="109" t="n"/>
      <c r="Q11" s="109" t="n"/>
      <c r="R11" s="109">
        <f>(J11+K11+L11+M11+N11+O11)*$B$2</f>
        <v/>
      </c>
      <c r="S11" s="113" t="inlineStr">
        <is>
          <t>TOTAL FIXED EXPENSE</t>
        </is>
      </c>
      <c r="T11" s="114">
        <f>'ANNUAL-EXPENSE-DETAILS'!BF8</f>
        <v/>
      </c>
    </row>
    <row r="12" ht="12.75" customHeight="1" s="251">
      <c r="A12" s="104" t="inlineStr">
        <is>
          <t>F7</t>
        </is>
      </c>
      <c r="B12" s="13" t="inlineStr">
        <is>
          <t>Vimal NK</t>
        </is>
      </c>
      <c r="C12" s="9" t="n">
        <v>0</v>
      </c>
      <c r="D12" s="104">
        <f>SUM($C$3:$C$5)/64</f>
        <v/>
      </c>
      <c r="E12" s="104">
        <f>C12+D12</f>
        <v/>
      </c>
      <c r="F12" s="104">
        <f>IF($C$70=0, 0, E12/$C$70)</f>
        <v/>
      </c>
      <c r="G12" s="104">
        <f>F12*$T$5</f>
        <v/>
      </c>
      <c r="H12" s="104" t="n">
        <v>3</v>
      </c>
      <c r="I12" s="104">
        <f>$T$7*H12</f>
        <v/>
      </c>
      <c r="J12" s="104">
        <f>G12+$T$9+I12</f>
        <v/>
      </c>
      <c r="K12" s="104">
        <f>$T$11/64</f>
        <v/>
      </c>
      <c r="L12" s="7" t="n">
        <v>0</v>
      </c>
      <c r="M12" s="104" t="n">
        <v>0</v>
      </c>
      <c r="N12" s="104" t="n">
        <v>0</v>
      </c>
      <c r="O12" s="104" t="n">
        <v>0</v>
      </c>
      <c r="P12" s="109" t="n"/>
      <c r="Q12" s="109" t="n"/>
      <c r="R12" s="109">
        <f>(J12+K12+L12+M12+N12+O12)*$B$2</f>
        <v/>
      </c>
      <c r="S12" s="107" t="n"/>
      <c r="T12" s="110" t="n"/>
    </row>
    <row r="13" ht="12.75" customHeight="1" s="251">
      <c r="A13" s="104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04">
        <f>SUM($C$3:$C$5)/64</f>
        <v/>
      </c>
      <c r="E13" s="104">
        <f>C13+D13</f>
        <v/>
      </c>
      <c r="F13" s="104">
        <f>IF($C$70=0, 0, E13/$C$70)</f>
        <v/>
      </c>
      <c r="G13" s="104">
        <f>F13*$T$5</f>
        <v/>
      </c>
      <c r="H13" s="104" t="n">
        <v>3</v>
      </c>
      <c r="I13" s="104">
        <f>$T$7*H13</f>
        <v/>
      </c>
      <c r="J13" s="104">
        <f>G13+$T$9+I13</f>
        <v/>
      </c>
      <c r="K13" s="104">
        <f>$T$11/64</f>
        <v/>
      </c>
      <c r="L13" s="7" t="n">
        <v>0</v>
      </c>
      <c r="M13" s="104" t="n">
        <v>0</v>
      </c>
      <c r="N13" s="104" t="n">
        <v>0</v>
      </c>
      <c r="O13" s="104" t="n">
        <v>0</v>
      </c>
      <c r="P13" s="109" t="n"/>
      <c r="Q13" s="109" t="n"/>
      <c r="R13" s="109">
        <f>(J13+K13+L13+M13+N13+O13)*$B$2</f>
        <v/>
      </c>
      <c r="S13" s="115" t="n"/>
      <c r="T13" s="116" t="n"/>
    </row>
    <row r="14" ht="12.75" customHeight="1" s="251">
      <c r="A14" s="104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04">
        <f>SUM($C$3:$C$5)/64</f>
        <v/>
      </c>
      <c r="E14" s="104">
        <f>C14+D14</f>
        <v/>
      </c>
      <c r="F14" s="104">
        <f>IF($C$70=0, 0, E14/$C$70)</f>
        <v/>
      </c>
      <c r="G14" s="104">
        <f>F14*$T$5</f>
        <v/>
      </c>
      <c r="H14" s="104" t="n">
        <v>4</v>
      </c>
      <c r="I14" s="104">
        <f>$T$7*H14</f>
        <v/>
      </c>
      <c r="J14" s="104">
        <f>G14+$T$9+I14</f>
        <v/>
      </c>
      <c r="K14" s="104">
        <f>$T$11/64</f>
        <v/>
      </c>
      <c r="L14" s="7" t="n">
        <v>0</v>
      </c>
      <c r="M14" s="104" t="n">
        <v>0</v>
      </c>
      <c r="N14" s="104" t="n">
        <v>0</v>
      </c>
      <c r="O14" s="104" t="n">
        <v>0</v>
      </c>
      <c r="P14" s="109" t="n"/>
      <c r="Q14" s="109" t="n"/>
      <c r="R14" s="109">
        <f>(J14+K14+L14+M14+N14+O14)*$B$2</f>
        <v/>
      </c>
      <c r="S14" s="107" t="n"/>
      <c r="T14" s="110" t="n"/>
    </row>
    <row r="15" ht="12.75" customHeight="1" s="251">
      <c r="A15" s="104" t="inlineStr">
        <is>
          <t>F10</t>
        </is>
      </c>
      <c r="B15" s="13" t="inlineStr">
        <is>
          <t>Aby Thomas</t>
        </is>
      </c>
      <c r="C15" s="9" t="n">
        <v>0</v>
      </c>
      <c r="D15" s="104">
        <f>SUM($C$3:$C$5)/64</f>
        <v/>
      </c>
      <c r="E15" s="104">
        <f>C15+D15</f>
        <v/>
      </c>
      <c r="F15" s="104">
        <f>IF($C$70=0, 0, E15/$C$70)</f>
        <v/>
      </c>
      <c r="G15" s="104">
        <f>F15*$T$5</f>
        <v/>
      </c>
      <c r="H15" s="104" t="n">
        <v>3</v>
      </c>
      <c r="I15" s="104">
        <f>$T$7*H15</f>
        <v/>
      </c>
      <c r="J15" s="104">
        <f>G15+$T$9+I15</f>
        <v/>
      </c>
      <c r="K15" s="104">
        <f>$T$11/64</f>
        <v/>
      </c>
      <c r="L15" s="7" t="n">
        <v>0</v>
      </c>
      <c r="M15" s="104" t="n">
        <v>0</v>
      </c>
      <c r="N15" s="104" t="n">
        <v>0</v>
      </c>
      <c r="O15" s="104" t="n">
        <v>0</v>
      </c>
      <c r="P15" s="109" t="n"/>
      <c r="Q15" s="109" t="n"/>
      <c r="R15" s="109">
        <f>(J15+K15+L15+M15+N15+O15)*$B$2</f>
        <v/>
      </c>
      <c r="S15" s="61" t="inlineStr">
        <is>
          <t>BALANCE IN ACCOUNT ON 30-SEP-2022</t>
        </is>
      </c>
      <c r="T15" s="63" t="n"/>
    </row>
    <row r="16" ht="12.75" customHeight="1" s="251">
      <c r="A16" s="104" t="inlineStr">
        <is>
          <t>F11</t>
        </is>
      </c>
      <c r="B16" s="13" t="inlineStr">
        <is>
          <t>Niwin Anto</t>
        </is>
      </c>
      <c r="C16" s="9" t="n">
        <v>0</v>
      </c>
      <c r="D16" s="104">
        <f>SUM($C$3:$C$5)/64</f>
        <v/>
      </c>
      <c r="E16" s="104">
        <f>C16+D16</f>
        <v/>
      </c>
      <c r="F16" s="104">
        <f>IF($C$70=0, 0, E16/$C$70)</f>
        <v/>
      </c>
      <c r="G16" s="104">
        <f>F16*$T$5</f>
        <v/>
      </c>
      <c r="H16" s="104" t="n">
        <v>3</v>
      </c>
      <c r="I16" s="104">
        <f>$T$7*H16</f>
        <v/>
      </c>
      <c r="J16" s="104">
        <f>G16+$T$9+I16</f>
        <v/>
      </c>
      <c r="K16" s="104">
        <f>$T$11/64</f>
        <v/>
      </c>
      <c r="L16" s="7" t="n">
        <v>0</v>
      </c>
      <c r="M16" s="104" t="n">
        <v>0</v>
      </c>
      <c r="N16" s="104" t="n">
        <v>0</v>
      </c>
      <c r="O16" s="104" t="n">
        <v>0</v>
      </c>
      <c r="P16" s="109" t="n"/>
      <c r="Q16" s="109" t="n"/>
      <c r="R16" s="109">
        <f>(J16+K16+L16+M16+N16+O16)*$B$2</f>
        <v/>
      </c>
      <c r="S16" s="61" t="inlineStr">
        <is>
          <t>TOTAL NON MAINTENANCE CORPUS COLLECTION</t>
        </is>
      </c>
      <c r="T16" s="63" t="n"/>
    </row>
    <row r="17" ht="12.75" customHeight="1" s="251">
      <c r="A17" s="104" t="inlineStr">
        <is>
          <t>F12</t>
        </is>
      </c>
      <c r="B17" s="13" t="inlineStr">
        <is>
          <t>Anirudh Singh</t>
        </is>
      </c>
      <c r="C17" s="9" t="n">
        <v>0</v>
      </c>
      <c r="D17" s="104">
        <f>SUM($C$3:$C$5)/64</f>
        <v/>
      </c>
      <c r="E17" s="104">
        <f>C17+D17</f>
        <v/>
      </c>
      <c r="F17" s="104">
        <f>IF($C$70=0, 0, E17/$C$70)</f>
        <v/>
      </c>
      <c r="G17" s="104">
        <f>F17*$T$5</f>
        <v/>
      </c>
      <c r="H17" s="104" t="n">
        <v>3</v>
      </c>
      <c r="I17" s="104">
        <f>$T$7*H17</f>
        <v/>
      </c>
      <c r="J17" s="104">
        <f>G17+$T$9+I17</f>
        <v/>
      </c>
      <c r="K17" s="104">
        <f>$T$11/64</f>
        <v/>
      </c>
      <c r="L17" s="7" t="n">
        <v>0</v>
      </c>
      <c r="M17" s="104" t="n">
        <v>0</v>
      </c>
      <c r="N17" s="104" t="n">
        <v>0</v>
      </c>
      <c r="O17" s="104" t="n">
        <v>0</v>
      </c>
      <c r="P17" s="109" t="n"/>
      <c r="Q17" s="109" t="n"/>
      <c r="R17" s="109">
        <f>(J17+K17+L17+M17+N17+O17)*$B$2</f>
        <v/>
      </c>
      <c r="S17" s="61" t="inlineStr">
        <is>
          <t>TOTAL FD DONE</t>
        </is>
      </c>
      <c r="T17" s="63" t="n"/>
    </row>
    <row r="18" ht="12.75" customHeight="1" s="251">
      <c r="A18" s="104" t="inlineStr">
        <is>
          <t>F13</t>
        </is>
      </c>
      <c r="B18" s="13" t="inlineStr">
        <is>
          <t>Sanchay Saxena</t>
        </is>
      </c>
      <c r="C18" s="9" t="n">
        <v>0</v>
      </c>
      <c r="D18" s="104">
        <f>SUM($C$3:$C$5)/64</f>
        <v/>
      </c>
      <c r="E18" s="104">
        <f>C18+D18</f>
        <v/>
      </c>
      <c r="F18" s="104">
        <f>IF($C$70=0, 0, E18/$C$70)</f>
        <v/>
      </c>
      <c r="G18" s="104">
        <f>F18*$T$5</f>
        <v/>
      </c>
      <c r="H18" s="104" t="n">
        <v>4</v>
      </c>
      <c r="I18" s="104">
        <f>$T$7*H18</f>
        <v/>
      </c>
      <c r="J18" s="104">
        <f>G18+$T$9+I18</f>
        <v/>
      </c>
      <c r="K18" s="104">
        <f>$T$11/64</f>
        <v/>
      </c>
      <c r="L18" s="7" t="n">
        <v>0</v>
      </c>
      <c r="M18" s="104" t="n">
        <v>0</v>
      </c>
      <c r="N18" s="104" t="n">
        <v>0</v>
      </c>
      <c r="O18" s="104" t="n">
        <v>0</v>
      </c>
      <c r="P18" s="109" t="n"/>
      <c r="Q18" s="109" t="n"/>
      <c r="R18" s="109">
        <f>(J18+K18+L18+M18+N18+O18)*$B$2</f>
        <v/>
      </c>
      <c r="S18" s="64" t="inlineStr">
        <is>
          <t>AMOUNT AVAILABLE FOR NON MAINTENANCE CORPUS IN CURRENT AC</t>
        </is>
      </c>
      <c r="T18" s="65">
        <f>T16-T17</f>
        <v/>
      </c>
    </row>
    <row r="19" ht="12.75" customHeight="1" s="251">
      <c r="A19" s="104" t="inlineStr">
        <is>
          <t>F14</t>
        </is>
      </c>
      <c r="B19" s="13" t="inlineStr">
        <is>
          <t>Hemant Patel</t>
        </is>
      </c>
      <c r="C19" s="9" t="n">
        <v>0</v>
      </c>
      <c r="D19" s="104">
        <f>SUM($C$3:$C$5)/64</f>
        <v/>
      </c>
      <c r="E19" s="104">
        <f>C19+D19</f>
        <v/>
      </c>
      <c r="F19" s="104">
        <f>IF($C$70=0, 0, E19/$C$70)</f>
        <v/>
      </c>
      <c r="G19" s="104">
        <f>F19*$T$5</f>
        <v/>
      </c>
      <c r="H19" s="104" t="n">
        <v>4</v>
      </c>
      <c r="I19" s="104">
        <f>$T$7*H19</f>
        <v/>
      </c>
      <c r="J19" s="104">
        <f>G19+$T$9+I19</f>
        <v/>
      </c>
      <c r="K19" s="104">
        <f>$T$11/64</f>
        <v/>
      </c>
      <c r="L19" s="7" t="n">
        <v>0</v>
      </c>
      <c r="M19" s="104" t="n">
        <v>0</v>
      </c>
      <c r="N19" s="104" t="n">
        <v>0</v>
      </c>
      <c r="O19" s="104" t="n">
        <v>0</v>
      </c>
      <c r="P19" s="109" t="n"/>
      <c r="Q19" s="109" t="n"/>
      <c r="R19" s="109">
        <f>(J19+K19+L19+M19+N19+O19)*$B$2</f>
        <v/>
      </c>
      <c r="S19" s="66" t="inlineStr">
        <is>
          <t>AMOUNT AVAILABLE FOR MAINTENANCE</t>
        </is>
      </c>
      <c r="T19" s="67">
        <f>T15-T18</f>
        <v/>
      </c>
    </row>
    <row r="20" ht="12.75" customHeight="1" s="251">
      <c r="A20" s="104" t="inlineStr">
        <is>
          <t>F15</t>
        </is>
      </c>
      <c r="B20" s="13" t="inlineStr">
        <is>
          <t>Senthil.Vijayaragavan</t>
        </is>
      </c>
      <c r="C20" s="9" t="n">
        <v>0</v>
      </c>
      <c r="D20" s="104">
        <f>SUM($C$3:$C$5)/64</f>
        <v/>
      </c>
      <c r="E20" s="104">
        <f>C20+D20</f>
        <v/>
      </c>
      <c r="F20" s="104">
        <f>IF($C$70=0, 0, E20/$C$70)</f>
        <v/>
      </c>
      <c r="G20" s="104">
        <f>F20*$T$5</f>
        <v/>
      </c>
      <c r="H20" s="104" t="n">
        <v>4</v>
      </c>
      <c r="I20" s="104">
        <f>$T$7*H20</f>
        <v/>
      </c>
      <c r="J20" s="104">
        <f>G20+$T$9+I20</f>
        <v/>
      </c>
      <c r="K20" s="104">
        <f>$T$11/64</f>
        <v/>
      </c>
      <c r="L20" s="7" t="n">
        <v>0</v>
      </c>
      <c r="M20" s="104" t="n">
        <v>0</v>
      </c>
      <c r="N20" s="104" t="n">
        <v>0</v>
      </c>
      <c r="O20" s="104" t="n">
        <v>0</v>
      </c>
      <c r="P20" s="109" t="n"/>
      <c r="Q20" s="109" t="n"/>
      <c r="R20" s="109">
        <f>(J20+K20+L20+M20+N20+O20)*$B$2</f>
        <v/>
      </c>
      <c r="S20" s="66" t="inlineStr">
        <is>
          <t>TOTAL EXPENSE FOR THE MONTH</t>
        </is>
      </c>
      <c r="T20" s="67">
        <f>'ANNUAL-EXPENSE-DETAILS'!BH8</f>
        <v/>
      </c>
    </row>
    <row r="21" ht="12.75" customHeight="1" s="251">
      <c r="A21" s="104" t="inlineStr">
        <is>
          <t>F16</t>
        </is>
      </c>
      <c r="B21" s="13" t="inlineStr">
        <is>
          <t>Sreeja Sudharma</t>
        </is>
      </c>
      <c r="C21" s="9" t="n">
        <v>0</v>
      </c>
      <c r="D21" s="104">
        <f>SUM($C$3:$C$5)/64</f>
        <v/>
      </c>
      <c r="E21" s="104">
        <f>C21+D21</f>
        <v/>
      </c>
      <c r="F21" s="104">
        <f>IF($C$70=0, 0, E21/$C$70)</f>
        <v/>
      </c>
      <c r="G21" s="104">
        <f>F21*$T$5</f>
        <v/>
      </c>
      <c r="H21" s="104" t="n">
        <v>3</v>
      </c>
      <c r="I21" s="104">
        <f>$T$7*H21</f>
        <v/>
      </c>
      <c r="J21" s="104">
        <f>G21+$T$9+I21</f>
        <v/>
      </c>
      <c r="K21" s="104">
        <f>$T$11/64</f>
        <v/>
      </c>
      <c r="L21" s="7" t="n">
        <v>0</v>
      </c>
      <c r="M21" s="104" t="n">
        <v>0</v>
      </c>
      <c r="N21" s="104" t="n">
        <v>0</v>
      </c>
      <c r="O21" s="104" t="n">
        <v>0</v>
      </c>
      <c r="P21" s="109" t="n"/>
      <c r="Q21" s="109" t="n"/>
      <c r="R21" s="109">
        <f>(J21+K21+L21+M21+N21+O21)*$B$2</f>
        <v/>
      </c>
      <c r="S21" s="66" t="n"/>
      <c r="T21" s="67" t="n"/>
    </row>
    <row r="22" ht="12.75" customHeight="1" s="251">
      <c r="A22" s="104" t="inlineStr">
        <is>
          <t>G1</t>
        </is>
      </c>
      <c r="B22" s="13" t="inlineStr">
        <is>
          <t>Venkataramanan C</t>
        </is>
      </c>
      <c r="C22" s="9" t="n">
        <v>0</v>
      </c>
      <c r="D22" s="104">
        <f>SUM($C$3:$C$5)/64</f>
        <v/>
      </c>
      <c r="E22" s="104">
        <f>C22+D22</f>
        <v/>
      </c>
      <c r="F22" s="104">
        <f>IF($C$70=0, 0, E22/$C$70)</f>
        <v/>
      </c>
      <c r="G22" s="104">
        <f>F22*$T$5</f>
        <v/>
      </c>
      <c r="H22" s="104" t="n">
        <v>3</v>
      </c>
      <c r="I22" s="104">
        <f>$T$7*H22</f>
        <v/>
      </c>
      <c r="J22" s="104">
        <f>G22+$T$9+I22</f>
        <v/>
      </c>
      <c r="K22" s="104">
        <f>$T$11/64</f>
        <v/>
      </c>
      <c r="L22" s="7" t="n">
        <v>0</v>
      </c>
      <c r="M22" s="104" t="n">
        <v>0</v>
      </c>
      <c r="N22" s="104" t="n">
        <v>0</v>
      </c>
      <c r="O22" s="104" t="n">
        <v>0</v>
      </c>
      <c r="P22" s="109" t="n"/>
      <c r="Q22" s="109" t="n"/>
      <c r="R22" s="109">
        <f>(J22+K22+L22+M22+N22+O22)*$B$2</f>
        <v/>
      </c>
      <c r="S22" s="107" t="n"/>
      <c r="T22" s="107" t="n"/>
    </row>
    <row r="23" ht="12.75" customHeight="1" s="251">
      <c r="A23" s="104" t="inlineStr">
        <is>
          <t>G2</t>
        </is>
      </c>
      <c r="B23" s="13" t="inlineStr">
        <is>
          <t>Kaushik Kasibhatla</t>
        </is>
      </c>
      <c r="C23" s="9" t="n">
        <v>0</v>
      </c>
      <c r="D23" s="104">
        <f>SUM($C$3:$C$5)/64</f>
        <v/>
      </c>
      <c r="E23" s="104">
        <f>C23+D23</f>
        <v/>
      </c>
      <c r="F23" s="104">
        <f>IF($C$70=0, 0, E23/$C$70)</f>
        <v/>
      </c>
      <c r="G23" s="104">
        <f>F23*$T$5</f>
        <v/>
      </c>
      <c r="H23" s="104" t="n">
        <v>4</v>
      </c>
      <c r="I23" s="104">
        <f>$T$7*H23</f>
        <v/>
      </c>
      <c r="J23" s="104">
        <f>G23+$T$9+I23</f>
        <v/>
      </c>
      <c r="K23" s="104">
        <f>$T$11/64</f>
        <v/>
      </c>
      <c r="L23" s="7" t="n">
        <v>0</v>
      </c>
      <c r="M23" s="104" t="n">
        <v>0</v>
      </c>
      <c r="N23" s="104" t="n">
        <v>0</v>
      </c>
      <c r="O23" s="104" t="n">
        <v>0</v>
      </c>
      <c r="P23" s="109" t="n"/>
      <c r="Q23" s="109" t="n"/>
      <c r="R23" s="109">
        <f>(J23+K23+L23+M23+N23+O23)*$B$2</f>
        <v/>
      </c>
      <c r="S23" s="107" t="n"/>
      <c r="T23" s="107" t="n"/>
    </row>
    <row r="24" ht="12.75" customHeight="1" s="251">
      <c r="A24" s="104" t="inlineStr">
        <is>
          <t>G3</t>
        </is>
      </c>
      <c r="B24" s="13" t="inlineStr">
        <is>
          <t>Balakrishnan</t>
        </is>
      </c>
      <c r="C24" s="9" t="n">
        <v>0</v>
      </c>
      <c r="D24" s="104">
        <f>SUM($C$3:$C$5)/64</f>
        <v/>
      </c>
      <c r="E24" s="104">
        <f>C24+D24</f>
        <v/>
      </c>
      <c r="F24" s="104">
        <f>IF($C$70=0, 0, E24/$C$70)</f>
        <v/>
      </c>
      <c r="G24" s="104">
        <f>F24*$T$5</f>
        <v/>
      </c>
      <c r="H24" s="104" t="n">
        <v>4</v>
      </c>
      <c r="I24" s="104">
        <f>$T$7*H24</f>
        <v/>
      </c>
      <c r="J24" s="104">
        <f>G24+$T$9+I24</f>
        <v/>
      </c>
      <c r="K24" s="104">
        <f>$T$11/64</f>
        <v/>
      </c>
      <c r="L24" s="7" t="n">
        <v>0</v>
      </c>
      <c r="M24" s="104" t="n">
        <v>0</v>
      </c>
      <c r="N24" s="104" t="n">
        <v>0</v>
      </c>
      <c r="O24" s="104" t="n">
        <v>0</v>
      </c>
      <c r="P24" s="109" t="n"/>
      <c r="Q24" s="109" t="n"/>
      <c r="R24" s="109">
        <f>(J24+K24+L24+M24+N24+O24)*$B$2</f>
        <v/>
      </c>
      <c r="S24" s="107" t="n"/>
      <c r="T24" s="110" t="n"/>
    </row>
    <row r="25" ht="12.75" customHeight="1" s="251">
      <c r="A25" s="104" t="inlineStr">
        <is>
          <t>G4</t>
        </is>
      </c>
      <c r="B25" s="13" t="inlineStr">
        <is>
          <t>Ashwin Pandith</t>
        </is>
      </c>
      <c r="C25" s="9" t="n">
        <v>0</v>
      </c>
      <c r="D25" s="104">
        <f>SUM($C$3:$C$5)/64</f>
        <v/>
      </c>
      <c r="E25" s="104">
        <f>C25+D25</f>
        <v/>
      </c>
      <c r="F25" s="104">
        <f>IF($C$70=0, 0, E25/$C$70)</f>
        <v/>
      </c>
      <c r="G25" s="104">
        <f>F25*$T$5</f>
        <v/>
      </c>
      <c r="H25" s="104" t="n">
        <v>4</v>
      </c>
      <c r="I25" s="104">
        <f>$T$7*H25</f>
        <v/>
      </c>
      <c r="J25" s="104">
        <f>G25+$T$9+I25</f>
        <v/>
      </c>
      <c r="K25" s="104">
        <f>$T$11/64</f>
        <v/>
      </c>
      <c r="L25" s="7" t="n">
        <v>0</v>
      </c>
      <c r="M25" s="104" t="n">
        <v>0</v>
      </c>
      <c r="N25" s="104" t="n">
        <v>0</v>
      </c>
      <c r="O25" s="104" t="n">
        <v>0</v>
      </c>
      <c r="P25" s="109" t="n"/>
      <c r="Q25" s="109" t="n"/>
      <c r="R25" s="109">
        <f>(J25+K25+L25+M25+N25+O25)*$B$2</f>
        <v/>
      </c>
      <c r="S25" s="107" t="n"/>
      <c r="T25" s="110" t="n"/>
    </row>
    <row r="26" ht="12.75" customHeight="1" s="251">
      <c r="A26" s="104" t="inlineStr">
        <is>
          <t>G5</t>
        </is>
      </c>
      <c r="B26" s="13" t="inlineStr">
        <is>
          <t>Mayank Phophaliya</t>
        </is>
      </c>
      <c r="C26" s="9" t="n">
        <v>0</v>
      </c>
      <c r="D26" s="104">
        <f>SUM($C$3:$C$5)/64</f>
        <v/>
      </c>
      <c r="E26" s="104">
        <f>C26+D26</f>
        <v/>
      </c>
      <c r="F26" s="104">
        <f>IF($C$70=0, 0, E26/$C$70)</f>
        <v/>
      </c>
      <c r="G26" s="104">
        <f>F26*$T$5</f>
        <v/>
      </c>
      <c r="H26" s="104" t="n">
        <v>3</v>
      </c>
      <c r="I26" s="104">
        <f>$T$7*H26</f>
        <v/>
      </c>
      <c r="J26" s="104">
        <f>G26+$T$9+I26</f>
        <v/>
      </c>
      <c r="K26" s="104">
        <f>$T$11/64</f>
        <v/>
      </c>
      <c r="L26" s="7" t="n">
        <v>0</v>
      </c>
      <c r="M26" s="104" t="n">
        <v>0</v>
      </c>
      <c r="N26" s="104" t="n">
        <v>0</v>
      </c>
      <c r="O26" s="104" t="n">
        <v>0</v>
      </c>
      <c r="P26" s="109" t="n"/>
      <c r="Q26" s="109" t="n"/>
      <c r="R26" s="109">
        <f>(J26+K26+L26+M26+N26+O26)*$B$2</f>
        <v/>
      </c>
      <c r="S26" s="107" t="n"/>
      <c r="T26" s="110" t="n"/>
    </row>
    <row r="27" ht="12.75" customHeight="1" s="251">
      <c r="A27" s="104" t="inlineStr">
        <is>
          <t>G6</t>
        </is>
      </c>
      <c r="B27" s="13" t="inlineStr">
        <is>
          <t>Mohit Daga</t>
        </is>
      </c>
      <c r="C27" s="9" t="n">
        <v>0</v>
      </c>
      <c r="D27" s="104">
        <f>SUM($C$3:$C$5)/64</f>
        <v/>
      </c>
      <c r="E27" s="104">
        <f>C27+D27</f>
        <v/>
      </c>
      <c r="F27" s="104">
        <f>IF($C$70=0, 0, E27/$C$70)</f>
        <v/>
      </c>
      <c r="G27" s="104">
        <f>F27*$T$5</f>
        <v/>
      </c>
      <c r="H27" s="104" t="n">
        <v>3</v>
      </c>
      <c r="I27" s="104">
        <f>$T$7*H27</f>
        <v/>
      </c>
      <c r="J27" s="104">
        <f>G27+$T$9+I27</f>
        <v/>
      </c>
      <c r="K27" s="104">
        <f>$T$11/64</f>
        <v/>
      </c>
      <c r="L27" s="7" t="n">
        <v>0</v>
      </c>
      <c r="M27" s="104" t="n">
        <v>0</v>
      </c>
      <c r="N27" s="104" t="n">
        <v>0</v>
      </c>
      <c r="O27" s="104" t="n">
        <v>0</v>
      </c>
      <c r="P27" s="109" t="n"/>
      <c r="Q27" s="109" t="n"/>
      <c r="R27" s="109">
        <f>(J27+K27+L27+M27+N27+O27)*$B$2</f>
        <v/>
      </c>
      <c r="S27" s="107" t="n"/>
      <c r="T27" s="110" t="n"/>
    </row>
    <row r="28" ht="12.75" customHeight="1" s="251">
      <c r="A28" s="104" t="inlineStr">
        <is>
          <t>G7</t>
        </is>
      </c>
      <c r="B28" s="13" t="inlineStr">
        <is>
          <t>Prince Richfield</t>
        </is>
      </c>
      <c r="C28" s="9" t="n">
        <v>0</v>
      </c>
      <c r="D28" s="104">
        <f>SUM($C$3:$C$5)/64</f>
        <v/>
      </c>
      <c r="E28" s="104">
        <f>C28+D28</f>
        <v/>
      </c>
      <c r="F28" s="104">
        <f>IF($C$70=0, 0, E28/$C$70)</f>
        <v/>
      </c>
      <c r="G28" s="104">
        <f>F28*$T$5</f>
        <v/>
      </c>
      <c r="H28" s="104" t="n">
        <v>3</v>
      </c>
      <c r="I28" s="104">
        <f>$T$7*H28</f>
        <v/>
      </c>
      <c r="J28" s="104">
        <f>G28+$T$9+I28</f>
        <v/>
      </c>
      <c r="K28" s="104">
        <f>$T$11/64</f>
        <v/>
      </c>
      <c r="L28" s="7" t="n">
        <v>0</v>
      </c>
      <c r="M28" s="104" t="n">
        <v>0</v>
      </c>
      <c r="N28" s="104" t="n">
        <v>0</v>
      </c>
      <c r="O28" s="104" t="n">
        <v>0</v>
      </c>
      <c r="P28" s="109" t="n"/>
      <c r="Q28" s="109" t="n"/>
      <c r="R28" s="109">
        <f>(J28+K28+L28+M28+N28+O28)*$B$2</f>
        <v/>
      </c>
      <c r="S28" s="107" t="n"/>
      <c r="T28" s="110" t="n"/>
    </row>
    <row r="29" ht="12.75" customHeight="1" s="251">
      <c r="A29" s="104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04">
        <f>SUM($C$3:$C$5)/64</f>
        <v/>
      </c>
      <c r="E29" s="104">
        <f>C29+D29</f>
        <v/>
      </c>
      <c r="F29" s="104">
        <f>IF($C$70=0, 0, E29/$C$70)</f>
        <v/>
      </c>
      <c r="G29" s="104">
        <f>F29*$T$5</f>
        <v/>
      </c>
      <c r="H29" s="104" t="n">
        <v>3</v>
      </c>
      <c r="I29" s="104">
        <f>$T$7*H29</f>
        <v/>
      </c>
      <c r="J29" s="104">
        <f>G29+$T$9+I29</f>
        <v/>
      </c>
      <c r="K29" s="104">
        <f>$T$11/64</f>
        <v/>
      </c>
      <c r="L29" s="7" t="n">
        <v>0</v>
      </c>
      <c r="M29" s="104" t="n">
        <v>0</v>
      </c>
      <c r="N29" s="104" t="n">
        <v>0</v>
      </c>
      <c r="O29" s="104" t="n">
        <v>0</v>
      </c>
      <c r="P29" s="109" t="n"/>
      <c r="Q29" s="109" t="n"/>
      <c r="R29" s="109">
        <f>(J29+K29+L29+M29+N29+O29)*$B$2</f>
        <v/>
      </c>
      <c r="S29" s="107" t="n"/>
      <c r="T29" s="110" t="n"/>
    </row>
    <row r="30" ht="12.75" customHeight="1" s="251">
      <c r="A30" s="104" t="inlineStr">
        <is>
          <t>G9</t>
        </is>
      </c>
      <c r="B30" s="13" t="inlineStr">
        <is>
          <t>Chandramouli</t>
        </is>
      </c>
      <c r="C30" s="9" t="n">
        <v>0</v>
      </c>
      <c r="D30" s="104">
        <f>SUM($C$3:$C$5)/64</f>
        <v/>
      </c>
      <c r="E30" s="104">
        <f>C30+D30</f>
        <v/>
      </c>
      <c r="F30" s="104">
        <f>IF($C$70=0, 0, E30/$C$70)</f>
        <v/>
      </c>
      <c r="G30" s="104">
        <f>F30*$T$5</f>
        <v/>
      </c>
      <c r="H30" s="104" t="n">
        <v>5</v>
      </c>
      <c r="I30" s="104">
        <f>$T$7*H30</f>
        <v/>
      </c>
      <c r="J30" s="104">
        <f>G30+$T$9+I30</f>
        <v/>
      </c>
      <c r="K30" s="104">
        <f>$T$11/64</f>
        <v/>
      </c>
      <c r="L30" s="7" t="n">
        <v>0</v>
      </c>
      <c r="M30" s="104" t="n">
        <v>0</v>
      </c>
      <c r="N30" s="104" t="n">
        <v>0</v>
      </c>
      <c r="O30" s="104" t="n">
        <v>0</v>
      </c>
      <c r="P30" s="109" t="n"/>
      <c r="Q30" s="109" t="n"/>
      <c r="R30" s="109">
        <f>(J30+K30+L30+M30+N30+O30)*$B$2</f>
        <v/>
      </c>
      <c r="S30" s="107" t="n"/>
      <c r="T30" s="110" t="n"/>
    </row>
    <row r="31" ht="12.75" customHeight="1" s="251">
      <c r="A31" s="104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104">
        <f>SUM($C$3:$C$5)/64</f>
        <v/>
      </c>
      <c r="E31" s="104">
        <f>C31+D31</f>
        <v/>
      </c>
      <c r="F31" s="104">
        <f>IF($C$70=0, 0, E31/$C$70)</f>
        <v/>
      </c>
      <c r="G31" s="104">
        <f>F31*$T$5</f>
        <v/>
      </c>
      <c r="H31" s="104" t="n">
        <v>3</v>
      </c>
      <c r="I31" s="104">
        <f>$T$7*H31</f>
        <v/>
      </c>
      <c r="J31" s="104">
        <f>G31+$T$9+I31</f>
        <v/>
      </c>
      <c r="K31" s="104">
        <f>$T$11/64</f>
        <v/>
      </c>
      <c r="L31" s="7" t="n">
        <v>0</v>
      </c>
      <c r="M31" s="104" t="n">
        <v>0</v>
      </c>
      <c r="N31" s="104" t="n">
        <v>0</v>
      </c>
      <c r="O31" s="104" t="n">
        <v>0</v>
      </c>
      <c r="P31" s="109" t="n"/>
      <c r="Q31" s="109" t="n"/>
      <c r="R31" s="109">
        <f>(J31+K31+L31+M31+N31+O31)*$B$2</f>
        <v/>
      </c>
      <c r="S31" s="107" t="n"/>
      <c r="T31" s="110" t="n"/>
    </row>
    <row r="32" ht="12.75" customHeight="1" s="251">
      <c r="A32" s="104" t="inlineStr">
        <is>
          <t>G11</t>
        </is>
      </c>
      <c r="B32" s="13" t="inlineStr">
        <is>
          <t>Ketan Verlekar</t>
        </is>
      </c>
      <c r="C32" s="9" t="n">
        <v>0</v>
      </c>
      <c r="D32" s="104">
        <f>SUM($C$3:$C$5)/64</f>
        <v/>
      </c>
      <c r="E32" s="104">
        <f>C32+D32</f>
        <v/>
      </c>
      <c r="F32" s="104">
        <f>IF($C$70=0, 0, E32/$C$70)</f>
        <v/>
      </c>
      <c r="G32" s="104">
        <f>F32*$T$5</f>
        <v/>
      </c>
      <c r="H32" s="104" t="n">
        <v>3</v>
      </c>
      <c r="I32" s="104">
        <f>$T$7*H32</f>
        <v/>
      </c>
      <c r="J32" s="104">
        <f>G32+$T$9+I32</f>
        <v/>
      </c>
      <c r="K32" s="104">
        <f>$T$11/64</f>
        <v/>
      </c>
      <c r="L32" s="7" t="n">
        <v>0</v>
      </c>
      <c r="M32" s="104" t="n">
        <v>0</v>
      </c>
      <c r="N32" s="104" t="n">
        <v>0</v>
      </c>
      <c r="O32" s="104" t="n">
        <v>0</v>
      </c>
      <c r="P32" s="109" t="n"/>
      <c r="Q32" s="109" t="n"/>
      <c r="R32" s="109">
        <f>(J32+K32+L32+M32+N32+O32)*$B$2</f>
        <v/>
      </c>
      <c r="S32" s="107" t="n"/>
      <c r="T32" s="110" t="n"/>
    </row>
    <row r="33" ht="12.75" customHeight="1" s="251">
      <c r="A33" s="104" t="inlineStr">
        <is>
          <t>G12</t>
        </is>
      </c>
      <c r="B33" s="13" t="inlineStr">
        <is>
          <t>Shyam Nair</t>
        </is>
      </c>
      <c r="C33" s="9" t="n">
        <v>0</v>
      </c>
      <c r="D33" s="104">
        <f>SUM($C$3:$C$5)/64</f>
        <v/>
      </c>
      <c r="E33" s="104">
        <f>C33+D33</f>
        <v/>
      </c>
      <c r="F33" s="104">
        <f>IF($C$70=0, 0, E33/$C$70)</f>
        <v/>
      </c>
      <c r="G33" s="104">
        <f>F33*$T$5</f>
        <v/>
      </c>
      <c r="H33" s="104" t="n">
        <v>3</v>
      </c>
      <c r="I33" s="104">
        <f>$T$7*H33</f>
        <v/>
      </c>
      <c r="J33" s="104">
        <f>G33+$T$9+I33</f>
        <v/>
      </c>
      <c r="K33" s="104">
        <f>$T$11/64</f>
        <v/>
      </c>
      <c r="L33" s="7" t="n">
        <v>0</v>
      </c>
      <c r="M33" s="104" t="n">
        <v>0</v>
      </c>
      <c r="N33" s="104" t="n">
        <v>0</v>
      </c>
      <c r="O33" s="104" t="n">
        <v>0</v>
      </c>
      <c r="P33" s="109" t="n"/>
      <c r="Q33" s="109" t="n"/>
      <c r="R33" s="109">
        <f>(J33+K33+L33+M33+N33+O33)*$B$2</f>
        <v/>
      </c>
      <c r="S33" s="107" t="n"/>
      <c r="T33" s="110" t="n"/>
    </row>
    <row r="34" ht="12.75" customHeight="1" s="251">
      <c r="A34" s="104" t="inlineStr">
        <is>
          <t>G13</t>
        </is>
      </c>
      <c r="B34" s="13" t="inlineStr">
        <is>
          <t>Ajai.B</t>
        </is>
      </c>
      <c r="C34" s="9" t="n">
        <v>0</v>
      </c>
      <c r="D34" s="104">
        <f>SUM($C$3:$C$5)/64</f>
        <v/>
      </c>
      <c r="E34" s="104">
        <f>C34+D34</f>
        <v/>
      </c>
      <c r="F34" s="104">
        <f>IF($C$70=0, 0, E34/$C$70)</f>
        <v/>
      </c>
      <c r="G34" s="104">
        <f>F34*$T$5</f>
        <v/>
      </c>
      <c r="H34" s="104" t="n">
        <v>4</v>
      </c>
      <c r="I34" s="104">
        <f>$T$7*H34</f>
        <v/>
      </c>
      <c r="J34" s="104">
        <f>G34+$T$9+I34</f>
        <v/>
      </c>
      <c r="K34" s="104">
        <f>$T$11/64</f>
        <v/>
      </c>
      <c r="L34" s="7" t="n">
        <v>0</v>
      </c>
      <c r="M34" s="104" t="n">
        <v>0</v>
      </c>
      <c r="N34" s="104" t="n">
        <v>0</v>
      </c>
      <c r="O34" s="104" t="n">
        <v>0</v>
      </c>
      <c r="P34" s="109" t="n"/>
      <c r="Q34" s="109" t="n"/>
      <c r="R34" s="109">
        <f>(J34+K34+L34+M34+N34+O34)*$B$2</f>
        <v/>
      </c>
      <c r="S34" s="107" t="n"/>
      <c r="T34" s="110" t="n"/>
    </row>
    <row r="35" ht="12.75" customHeight="1" s="251">
      <c r="A35" s="104" t="inlineStr">
        <is>
          <t>G14</t>
        </is>
      </c>
      <c r="B35" s="13" t="inlineStr">
        <is>
          <t>Surajit Borah</t>
        </is>
      </c>
      <c r="C35" s="9" t="n">
        <v>0</v>
      </c>
      <c r="D35" s="104">
        <f>SUM($C$3:$C$5)/64</f>
        <v/>
      </c>
      <c r="E35" s="104">
        <f>C35+D35</f>
        <v/>
      </c>
      <c r="F35" s="104">
        <f>IF($C$70=0, 0, E35/$C$70)</f>
        <v/>
      </c>
      <c r="G35" s="104">
        <f>F35*$T$5</f>
        <v/>
      </c>
      <c r="H35" s="104" t="n">
        <v>4</v>
      </c>
      <c r="I35" s="104">
        <f>$T$7*H35</f>
        <v/>
      </c>
      <c r="J35" s="104">
        <f>G35+$T$9+I35</f>
        <v/>
      </c>
      <c r="K35" s="104">
        <f>$T$11/64</f>
        <v/>
      </c>
      <c r="L35" s="7" t="n">
        <v>0</v>
      </c>
      <c r="M35" s="104" t="n">
        <v>0</v>
      </c>
      <c r="N35" s="104" t="n">
        <v>0</v>
      </c>
      <c r="O35" s="104" t="n">
        <v>0</v>
      </c>
      <c r="P35" s="109" t="n"/>
      <c r="Q35" s="109" t="n"/>
      <c r="R35" s="109">
        <f>(J35+K35+L35+M35+N35+O35)*$B$2</f>
        <v/>
      </c>
      <c r="S35" s="107" t="n"/>
      <c r="T35" s="110" t="n"/>
    </row>
    <row r="36" ht="12.75" customHeight="1" s="251">
      <c r="A36" s="104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04">
        <f>SUM($C$3:$C$5)/64</f>
        <v/>
      </c>
      <c r="E36" s="104">
        <f>C36+D36</f>
        <v/>
      </c>
      <c r="F36" s="104">
        <f>IF($C$70=0, 0, E36/$C$70)</f>
        <v/>
      </c>
      <c r="G36" s="104">
        <f>F36*$T$5</f>
        <v/>
      </c>
      <c r="H36" s="104" t="n">
        <v>4</v>
      </c>
      <c r="I36" s="104">
        <f>$T$7*H36</f>
        <v/>
      </c>
      <c r="J36" s="104">
        <f>G36+$T$9+I36</f>
        <v/>
      </c>
      <c r="K36" s="104">
        <f>$T$11/64</f>
        <v/>
      </c>
      <c r="L36" s="7" t="n">
        <v>0</v>
      </c>
      <c r="M36" s="104" t="n">
        <v>0</v>
      </c>
      <c r="N36" s="104" t="n">
        <v>0</v>
      </c>
      <c r="O36" s="104" t="n">
        <v>0</v>
      </c>
      <c r="P36" s="109" t="n"/>
      <c r="Q36" s="109" t="n"/>
      <c r="R36" s="109">
        <f>(J36+K36+L36+M36+N36+O36)*$B$2</f>
        <v/>
      </c>
      <c r="S36" s="107" t="n"/>
      <c r="T36" s="110" t="n"/>
    </row>
    <row r="37" ht="12.75" customHeight="1" s="251">
      <c r="A37" s="104" t="inlineStr">
        <is>
          <t>G16</t>
        </is>
      </c>
      <c r="B37" s="13" t="inlineStr">
        <is>
          <t>Praveen Ganesan</t>
        </is>
      </c>
      <c r="C37" s="9" t="n">
        <v>0</v>
      </c>
      <c r="D37" s="104">
        <f>SUM($C$3:$C$5)/64</f>
        <v/>
      </c>
      <c r="E37" s="104">
        <f>C37+D37</f>
        <v/>
      </c>
      <c r="F37" s="104">
        <f>IF($C$70=0, 0, E37/$C$70)</f>
        <v/>
      </c>
      <c r="G37" s="104">
        <f>F37*$T$5</f>
        <v/>
      </c>
      <c r="H37" s="104" t="n">
        <v>3</v>
      </c>
      <c r="I37" s="104">
        <f>$T$7*H37</f>
        <v/>
      </c>
      <c r="J37" s="104">
        <f>G37+$T$9+I37</f>
        <v/>
      </c>
      <c r="K37" s="104">
        <f>$T$11/64</f>
        <v/>
      </c>
      <c r="L37" s="7" t="n">
        <v>0</v>
      </c>
      <c r="M37" s="104" t="n">
        <v>0</v>
      </c>
      <c r="N37" s="104" t="n">
        <v>0</v>
      </c>
      <c r="O37" s="104" t="n">
        <v>0</v>
      </c>
      <c r="P37" s="109" t="n"/>
      <c r="Q37" s="109" t="n"/>
      <c r="R37" s="109">
        <f>(J37+K37+L37+M37+N37+O37)*$B$2</f>
        <v/>
      </c>
      <c r="S37" s="107" t="n"/>
      <c r="T37" s="110" t="n"/>
    </row>
    <row r="38" ht="12.75" customHeight="1" s="251">
      <c r="A38" s="104" t="inlineStr">
        <is>
          <t>S1</t>
        </is>
      </c>
      <c r="B38" s="13" t="inlineStr">
        <is>
          <t>S.N.Behera</t>
        </is>
      </c>
      <c r="C38" s="9" t="n">
        <v>0</v>
      </c>
      <c r="D38" s="104">
        <f>SUM($C$3:$C$5)/64</f>
        <v/>
      </c>
      <c r="E38" s="104">
        <f>C38+D38</f>
        <v/>
      </c>
      <c r="F38" s="104">
        <f>IF($C$70=0, 0, E38/$C$70)</f>
        <v/>
      </c>
      <c r="G38" s="104">
        <f>F38*$T$5</f>
        <v/>
      </c>
      <c r="H38" s="104" t="n">
        <v>3</v>
      </c>
      <c r="I38" s="104">
        <f>$T$7*H38</f>
        <v/>
      </c>
      <c r="J38" s="104">
        <f>G38+$T$9+I38</f>
        <v/>
      </c>
      <c r="K38" s="104">
        <f>$T$11/64</f>
        <v/>
      </c>
      <c r="L38" s="7" t="n">
        <v>0</v>
      </c>
      <c r="M38" s="104" t="n">
        <v>0</v>
      </c>
      <c r="N38" s="104" t="n">
        <v>0</v>
      </c>
      <c r="O38" s="104" t="n">
        <v>0</v>
      </c>
      <c r="P38" s="109" t="n"/>
      <c r="Q38" s="109" t="n"/>
      <c r="R38" s="109">
        <f>(J38+K38+L38+M38+N38+O38)*$B$2</f>
        <v/>
      </c>
      <c r="S38" s="107" t="n"/>
      <c r="T38" s="110" t="n"/>
    </row>
    <row r="39" ht="12.75" customHeight="1" s="251">
      <c r="A39" s="104" t="inlineStr">
        <is>
          <t>S2</t>
        </is>
      </c>
      <c r="B39" s="13" t="inlineStr">
        <is>
          <t>Sonal Singh</t>
        </is>
      </c>
      <c r="C39" s="9" t="n">
        <v>0</v>
      </c>
      <c r="D39" s="104">
        <f>SUM($C$3:$C$5)/64</f>
        <v/>
      </c>
      <c r="E39" s="104">
        <f>C39+D39</f>
        <v/>
      </c>
      <c r="F39" s="104">
        <f>IF($C$70=0, 0, E39/$C$70)</f>
        <v/>
      </c>
      <c r="G39" s="104">
        <f>F39*$T$5</f>
        <v/>
      </c>
      <c r="H39" s="104" t="n">
        <v>4</v>
      </c>
      <c r="I39" s="104">
        <f>$T$7*H39</f>
        <v/>
      </c>
      <c r="J39" s="104">
        <f>G39+$T$9+I39</f>
        <v/>
      </c>
      <c r="K39" s="104">
        <f>$T$11/64</f>
        <v/>
      </c>
      <c r="L39" s="7" t="n">
        <v>0</v>
      </c>
      <c r="M39" s="104" t="n">
        <v>0</v>
      </c>
      <c r="N39" s="104" t="n">
        <v>0</v>
      </c>
      <c r="O39" s="104" t="n">
        <v>0</v>
      </c>
      <c r="P39" s="109" t="n"/>
      <c r="Q39" s="109" t="n"/>
      <c r="R39" s="109">
        <f>(J39+K39+L39+M39+N39+O39)*$B$2</f>
        <v/>
      </c>
      <c r="S39" s="107" t="n"/>
      <c r="T39" s="110" t="n"/>
    </row>
    <row r="40" ht="12.75" customHeight="1" s="251">
      <c r="A40" s="104" t="inlineStr">
        <is>
          <t>S3</t>
        </is>
      </c>
      <c r="B40" s="13" t="inlineStr">
        <is>
          <t>Koteswararao</t>
        </is>
      </c>
      <c r="C40" s="9" t="n">
        <v>0</v>
      </c>
      <c r="D40" s="104">
        <f>SUM($C$3:$C$5)/64</f>
        <v/>
      </c>
      <c r="E40" s="104">
        <f>C40+D40</f>
        <v/>
      </c>
      <c r="F40" s="104">
        <f>IF($C$70=0, 0, E40/$C$70)</f>
        <v/>
      </c>
      <c r="G40" s="104">
        <f>F40*$T$5</f>
        <v/>
      </c>
      <c r="H40" s="104" t="n">
        <v>4</v>
      </c>
      <c r="I40" s="104">
        <f>$T$7*H40</f>
        <v/>
      </c>
      <c r="J40" s="104">
        <f>G40+$T$9+I40</f>
        <v/>
      </c>
      <c r="K40" s="104">
        <f>$T$11/64</f>
        <v/>
      </c>
      <c r="L40" s="7" t="n">
        <v>0</v>
      </c>
      <c r="M40" s="104" t="n">
        <v>0</v>
      </c>
      <c r="N40" s="104" t="n">
        <v>0</v>
      </c>
      <c r="O40" s="104" t="n">
        <v>0</v>
      </c>
      <c r="P40" s="109" t="n"/>
      <c r="Q40" s="109" t="n"/>
      <c r="R40" s="109">
        <f>(J40+K40+L40+M40+N40+O40)*$B$2</f>
        <v/>
      </c>
      <c r="S40" s="107" t="n"/>
      <c r="T40" s="110" t="n"/>
    </row>
    <row r="41" ht="12.75" customHeight="1" s="251">
      <c r="A41" s="104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04">
        <f>SUM($C$3:$C$5)/64</f>
        <v/>
      </c>
      <c r="E41" s="104">
        <f>C41+D41</f>
        <v/>
      </c>
      <c r="F41" s="104">
        <f>IF($C$70=0, 0, E41/$C$70)</f>
        <v/>
      </c>
      <c r="G41" s="104">
        <f>F41*$T$5</f>
        <v/>
      </c>
      <c r="H41" s="104" t="n">
        <v>3</v>
      </c>
      <c r="I41" s="104">
        <f>$T$7*H41</f>
        <v/>
      </c>
      <c r="J41" s="104">
        <f>G41+$T$9+I41</f>
        <v/>
      </c>
      <c r="K41" s="104">
        <f>$T$11/64</f>
        <v/>
      </c>
      <c r="L41" s="7" t="n">
        <v>0</v>
      </c>
      <c r="M41" s="104" t="n">
        <v>0</v>
      </c>
      <c r="N41" s="104" t="n">
        <v>0</v>
      </c>
      <c r="O41" s="104" t="n">
        <v>0</v>
      </c>
      <c r="P41" s="109" t="n"/>
      <c r="Q41" s="109" t="n"/>
      <c r="R41" s="109">
        <f>(J41+K41+L41+M41+N41+O41)*$B$2</f>
        <v/>
      </c>
      <c r="S41" s="107" t="n"/>
      <c r="T41" s="110" t="n"/>
    </row>
    <row r="42" ht="12.75" customHeight="1" s="251">
      <c r="A42" s="104" t="inlineStr">
        <is>
          <t>S5</t>
        </is>
      </c>
      <c r="B42" s="13" t="inlineStr">
        <is>
          <t>Abhishek Gopalakrishnan</t>
        </is>
      </c>
      <c r="C42" s="9" t="n">
        <v>0</v>
      </c>
      <c r="D42" s="104">
        <f>SUM($C$3:$C$5)/64</f>
        <v/>
      </c>
      <c r="E42" s="104">
        <f>C42+D42</f>
        <v/>
      </c>
      <c r="F42" s="104">
        <f>IF($C$70=0, 0, E42/$C$70)</f>
        <v/>
      </c>
      <c r="G42" s="104">
        <f>F42*$T$5</f>
        <v/>
      </c>
      <c r="H42" s="104" t="n">
        <v>3</v>
      </c>
      <c r="I42" s="104">
        <f>$T$7*H42</f>
        <v/>
      </c>
      <c r="J42" s="104">
        <f>G42+$T$9+I42</f>
        <v/>
      </c>
      <c r="K42" s="104">
        <f>$T$11/64</f>
        <v/>
      </c>
      <c r="L42" s="7" t="n">
        <v>0</v>
      </c>
      <c r="M42" s="104" t="n">
        <v>0</v>
      </c>
      <c r="N42" s="104" t="n">
        <v>0</v>
      </c>
      <c r="O42" s="104" t="n">
        <v>0</v>
      </c>
      <c r="P42" s="109" t="n"/>
      <c r="Q42" s="109" t="n"/>
      <c r="R42" s="109">
        <f>(J42+K42+L42+M42+N42+O42)*$B$2</f>
        <v/>
      </c>
      <c r="S42" s="107" t="n"/>
      <c r="T42" s="110" t="n"/>
    </row>
    <row r="43" ht="12.75" customHeight="1" s="251">
      <c r="A43" s="104" t="inlineStr">
        <is>
          <t>S6</t>
        </is>
      </c>
      <c r="B43" s="30" t="inlineStr">
        <is>
          <t>Vivek Dhingra / Pratyush Das</t>
        </is>
      </c>
      <c r="C43" s="9" t="n">
        <v>0</v>
      </c>
      <c r="D43" s="104">
        <f>SUM($C$3:$C$5)/64</f>
        <v/>
      </c>
      <c r="E43" s="104">
        <f>C43+D43</f>
        <v/>
      </c>
      <c r="F43" s="104">
        <f>IF($C$70=0, 0, E43/$C$70)</f>
        <v/>
      </c>
      <c r="G43" s="104">
        <f>F43*$T$5</f>
        <v/>
      </c>
      <c r="H43" s="104" t="n">
        <v>3</v>
      </c>
      <c r="I43" s="104">
        <f>$T$7*H43</f>
        <v/>
      </c>
      <c r="J43" s="104">
        <f>G43+$T$9+I43</f>
        <v/>
      </c>
      <c r="K43" s="104">
        <f>$T$11/64</f>
        <v/>
      </c>
      <c r="L43" s="7" t="n">
        <v>0</v>
      </c>
      <c r="M43" s="104" t="n">
        <v>0</v>
      </c>
      <c r="N43" s="104" t="n">
        <v>0</v>
      </c>
      <c r="O43" s="104" t="n">
        <v>0</v>
      </c>
      <c r="P43" s="109" t="n"/>
      <c r="Q43" s="109" t="n"/>
      <c r="R43" s="109">
        <f>(J43+K43+L43+M43+N43+O43)*$B$2</f>
        <v/>
      </c>
      <c r="S43" s="107" t="n"/>
      <c r="T43" s="110" t="n"/>
    </row>
    <row r="44" ht="12.75" customHeight="1" s="251">
      <c r="A44" s="104" t="inlineStr">
        <is>
          <t>S7</t>
        </is>
      </c>
      <c r="B44" s="13" t="inlineStr">
        <is>
          <t>Harish B</t>
        </is>
      </c>
      <c r="C44" s="9" t="n">
        <v>0</v>
      </c>
      <c r="D44" s="104">
        <f>SUM($C$3:$C$5)/64</f>
        <v/>
      </c>
      <c r="E44" s="104">
        <f>C44+D44</f>
        <v/>
      </c>
      <c r="F44" s="104">
        <f>IF($C$70=0, 0, E44/$C$70)</f>
        <v/>
      </c>
      <c r="G44" s="104">
        <f>F44*$T$5</f>
        <v/>
      </c>
      <c r="H44" s="104" t="n">
        <v>3</v>
      </c>
      <c r="I44" s="104">
        <f>$T$7*H44</f>
        <v/>
      </c>
      <c r="J44" s="104">
        <f>G44+$T$9+I44</f>
        <v/>
      </c>
      <c r="K44" s="104">
        <f>$T$11/64</f>
        <v/>
      </c>
      <c r="L44" s="7" t="n">
        <v>0</v>
      </c>
      <c r="M44" s="104" t="n">
        <v>0</v>
      </c>
      <c r="N44" s="104" t="n">
        <v>0</v>
      </c>
      <c r="O44" s="104" t="n">
        <v>0</v>
      </c>
      <c r="P44" s="109" t="n"/>
      <c r="Q44" s="109" t="n"/>
      <c r="R44" s="109">
        <f>(J44+K44+L44+M44+N44+O44)*$B$2</f>
        <v/>
      </c>
      <c r="S44" s="107" t="n"/>
      <c r="T44" s="110" t="n"/>
    </row>
    <row r="45" ht="12.75" customHeight="1" s="251">
      <c r="A45" s="104" t="inlineStr">
        <is>
          <t>S8</t>
        </is>
      </c>
      <c r="B45" s="13" t="inlineStr">
        <is>
          <t>Irudayaraj Alwin</t>
        </is>
      </c>
      <c r="C45" s="9" t="n">
        <v>0</v>
      </c>
      <c r="D45" s="104">
        <f>SUM($C$3:$C$5)/64</f>
        <v/>
      </c>
      <c r="E45" s="104">
        <f>C45+D45</f>
        <v/>
      </c>
      <c r="F45" s="104">
        <f>IF($C$70=0, 0, E45/$C$70)</f>
        <v/>
      </c>
      <c r="G45" s="104">
        <f>F45*$T$5</f>
        <v/>
      </c>
      <c r="H45" s="104" t="n">
        <v>3</v>
      </c>
      <c r="I45" s="104">
        <f>$T$7*H45</f>
        <v/>
      </c>
      <c r="J45" s="104">
        <f>G45+$T$9+I45</f>
        <v/>
      </c>
      <c r="K45" s="104">
        <f>$T$11/64</f>
        <v/>
      </c>
      <c r="L45" s="7" t="n">
        <v>0</v>
      </c>
      <c r="M45" s="104" t="n">
        <v>0</v>
      </c>
      <c r="N45" s="104" t="n">
        <v>0</v>
      </c>
      <c r="O45" s="104" t="n">
        <v>0</v>
      </c>
      <c r="P45" s="109" t="n"/>
      <c r="Q45" s="109" t="n"/>
      <c r="R45" s="109">
        <f>(J45+K45+L45+M45+N45+O45)*$B$2</f>
        <v/>
      </c>
      <c r="S45" s="107" t="n"/>
      <c r="T45" s="110" t="n"/>
    </row>
    <row r="46" ht="12.75" customHeight="1" s="251">
      <c r="A46" s="104" t="inlineStr">
        <is>
          <t>S9</t>
        </is>
      </c>
      <c r="B46" s="13" t="inlineStr">
        <is>
          <t>Pawan GS</t>
        </is>
      </c>
      <c r="C46" s="9" t="n">
        <v>0</v>
      </c>
      <c r="D46" s="104">
        <f>SUM($C$3:$C$5)/64</f>
        <v/>
      </c>
      <c r="E46" s="104">
        <f>C46+D46</f>
        <v/>
      </c>
      <c r="F46" s="104">
        <f>IF($C$70=0, 0, E46/$C$70)</f>
        <v/>
      </c>
      <c r="G46" s="104">
        <f>F46*$T$5</f>
        <v/>
      </c>
      <c r="H46" s="104" t="n">
        <v>4</v>
      </c>
      <c r="I46" s="104">
        <f>$T$7*H46</f>
        <v/>
      </c>
      <c r="J46" s="104">
        <f>G46+$T$9+I46</f>
        <v/>
      </c>
      <c r="K46" s="104">
        <f>$T$11/64</f>
        <v/>
      </c>
      <c r="L46" s="7" t="n">
        <v>0</v>
      </c>
      <c r="M46" s="104" t="n">
        <v>0</v>
      </c>
      <c r="N46" s="104" t="n">
        <v>0</v>
      </c>
      <c r="O46" s="104" t="n">
        <v>0</v>
      </c>
      <c r="P46" s="109" t="n"/>
      <c r="Q46" s="109" t="n"/>
      <c r="R46" s="109">
        <f>(J46+K46+L46+M46+N46+O46)*$B$2</f>
        <v/>
      </c>
      <c r="S46" s="107" t="n"/>
      <c r="T46" s="110" t="n"/>
    </row>
    <row r="47" ht="12.75" customHeight="1" s="251">
      <c r="A47" s="104" t="inlineStr">
        <is>
          <t>S10</t>
        </is>
      </c>
      <c r="B47" s="13" t="inlineStr">
        <is>
          <t>Lakshmikanth</t>
        </is>
      </c>
      <c r="C47" s="9" t="n">
        <v>0</v>
      </c>
      <c r="D47" s="104">
        <f>SUM($C$3:$C$5)/64</f>
        <v/>
      </c>
      <c r="E47" s="104">
        <f>C47+D47</f>
        <v/>
      </c>
      <c r="F47" s="104">
        <f>IF($C$70=0, 0, E47/$C$70)</f>
        <v/>
      </c>
      <c r="G47" s="104">
        <f>F47*$T$5</f>
        <v/>
      </c>
      <c r="H47" s="104" t="n">
        <v>3</v>
      </c>
      <c r="I47" s="104">
        <f>$T$7*H47</f>
        <v/>
      </c>
      <c r="J47" s="104">
        <f>G47+$T$9+I47</f>
        <v/>
      </c>
      <c r="K47" s="104">
        <f>$T$11/64</f>
        <v/>
      </c>
      <c r="L47" s="7" t="n">
        <v>0</v>
      </c>
      <c r="M47" s="104" t="n">
        <v>0</v>
      </c>
      <c r="N47" s="104" t="n">
        <v>0</v>
      </c>
      <c r="O47" s="104" t="n">
        <v>0</v>
      </c>
      <c r="P47" s="109" t="n"/>
      <c r="Q47" s="109" t="n"/>
      <c r="R47" s="109">
        <f>(J47+K47+L47+M47+N47+O47)*$B$2</f>
        <v/>
      </c>
      <c r="S47" s="107" t="n"/>
      <c r="T47" s="110" t="n"/>
    </row>
    <row r="48" ht="12.75" customHeight="1" s="251">
      <c r="A48" s="104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04">
        <f>SUM($C$3:$C$5)/64</f>
        <v/>
      </c>
      <c r="E48" s="104">
        <f>C48+D48</f>
        <v/>
      </c>
      <c r="F48" s="104">
        <f>IF($C$70=0, 0, E48/$C$70)</f>
        <v/>
      </c>
      <c r="G48" s="104">
        <f>F48*$T$5</f>
        <v/>
      </c>
      <c r="H48" s="104" t="n">
        <v>3</v>
      </c>
      <c r="I48" s="104">
        <f>$T$7*H48</f>
        <v/>
      </c>
      <c r="J48" s="104">
        <f>G48+$T$9+I48</f>
        <v/>
      </c>
      <c r="K48" s="104">
        <f>$T$11/64</f>
        <v/>
      </c>
      <c r="L48" s="7" t="n">
        <v>0</v>
      </c>
      <c r="M48" s="104" t="n">
        <v>0</v>
      </c>
      <c r="N48" s="104" t="n">
        <v>0</v>
      </c>
      <c r="O48" s="104" t="n">
        <v>0</v>
      </c>
      <c r="P48" s="109" t="n"/>
      <c r="Q48" s="109" t="n"/>
      <c r="R48" s="109">
        <f>(J48+K48+L48+M48+N48+O48)*$B$2</f>
        <v/>
      </c>
      <c r="S48" s="107" t="n"/>
      <c r="T48" s="110" t="n"/>
    </row>
    <row r="49" ht="12.75" customHeight="1" s="251">
      <c r="A49" s="104" t="inlineStr">
        <is>
          <t>S12</t>
        </is>
      </c>
      <c r="B49" s="13" t="inlineStr">
        <is>
          <t>Saovik Mondal</t>
        </is>
      </c>
      <c r="C49" s="9" t="n">
        <v>0</v>
      </c>
      <c r="D49" s="104">
        <f>SUM($C$3:$C$5)/64</f>
        <v/>
      </c>
      <c r="E49" s="104">
        <f>C49+D49</f>
        <v/>
      </c>
      <c r="F49" s="104">
        <f>IF($C$70=0, 0, E49/$C$70)</f>
        <v/>
      </c>
      <c r="G49" s="104">
        <f>F49*$T$5</f>
        <v/>
      </c>
      <c r="H49" s="104" t="n">
        <v>3</v>
      </c>
      <c r="I49" s="104">
        <f>$T$7*H49</f>
        <v/>
      </c>
      <c r="J49" s="104">
        <f>G49+$T$9+I49</f>
        <v/>
      </c>
      <c r="K49" s="104">
        <f>$T$11/64</f>
        <v/>
      </c>
      <c r="L49" s="7" t="n">
        <v>0</v>
      </c>
      <c r="M49" s="104" t="n">
        <v>0</v>
      </c>
      <c r="N49" s="104" t="n">
        <v>0</v>
      </c>
      <c r="O49" s="104" t="n">
        <v>0</v>
      </c>
      <c r="P49" s="109" t="n"/>
      <c r="Q49" s="109" t="n"/>
      <c r="R49" s="109">
        <f>(J49+K49+L49+M49+N49+O49)*$B$2</f>
        <v/>
      </c>
      <c r="S49" s="107" t="n"/>
      <c r="T49" s="110" t="n"/>
    </row>
    <row r="50" ht="12.75" customHeight="1" s="251">
      <c r="A50" s="104" t="inlineStr">
        <is>
          <t>S13</t>
        </is>
      </c>
      <c r="B50" s="13" t="inlineStr">
        <is>
          <t>Ramadevi S.</t>
        </is>
      </c>
      <c r="C50" s="9" t="n">
        <v>0</v>
      </c>
      <c r="D50" s="104">
        <f>SUM($C$3:$C$5)/64</f>
        <v/>
      </c>
      <c r="E50" s="104">
        <f>C50+D50</f>
        <v/>
      </c>
      <c r="F50" s="104">
        <f>IF($C$70=0, 0, E50/$C$70)</f>
        <v/>
      </c>
      <c r="G50" s="104">
        <f>F50*$T$5</f>
        <v/>
      </c>
      <c r="H50" s="104" t="n">
        <v>4</v>
      </c>
      <c r="I50" s="104">
        <f>$T$7*H50</f>
        <v/>
      </c>
      <c r="J50" s="104">
        <f>G50+$T$9+I50</f>
        <v/>
      </c>
      <c r="K50" s="104">
        <f>$T$11/64</f>
        <v/>
      </c>
      <c r="L50" s="7" t="n">
        <v>0</v>
      </c>
      <c r="M50" s="104" t="n">
        <v>0</v>
      </c>
      <c r="N50" s="104" t="n">
        <v>0</v>
      </c>
      <c r="O50" s="104" t="n">
        <v>0</v>
      </c>
      <c r="P50" s="109" t="n"/>
      <c r="Q50" s="109" t="n"/>
      <c r="R50" s="109">
        <f>(J50+K50+L50+M50+N50+O50)*$B$2</f>
        <v/>
      </c>
      <c r="S50" s="107" t="n"/>
      <c r="T50" s="110" t="n"/>
    </row>
    <row r="51" ht="12.75" customHeight="1" s="251">
      <c r="A51" s="104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04">
        <f>SUM($C$3:$C$5)/64</f>
        <v/>
      </c>
      <c r="E51" s="104">
        <f>C51+D51</f>
        <v/>
      </c>
      <c r="F51" s="104">
        <f>IF($C$70=0, 0, E51/$C$70)</f>
        <v/>
      </c>
      <c r="G51" s="104">
        <f>F51*$T$5</f>
        <v/>
      </c>
      <c r="H51" s="104" t="n">
        <v>4</v>
      </c>
      <c r="I51" s="104">
        <f>$T$7*H51</f>
        <v/>
      </c>
      <c r="J51" s="104">
        <f>G51+$T$9+I51</f>
        <v/>
      </c>
      <c r="K51" s="104">
        <f>$T$11/64</f>
        <v/>
      </c>
      <c r="L51" s="7" t="n">
        <v>0</v>
      </c>
      <c r="M51" s="104" t="n">
        <v>0</v>
      </c>
      <c r="N51" s="104" t="n">
        <v>0</v>
      </c>
      <c r="O51" s="104" t="n">
        <v>0</v>
      </c>
      <c r="P51" s="109" t="n"/>
      <c r="Q51" s="109" t="n"/>
      <c r="R51" s="109">
        <f>(J51+K51+L51+M51+N51+O51)*$B$2</f>
        <v/>
      </c>
      <c r="S51" s="107" t="n"/>
      <c r="T51" s="110" t="n"/>
    </row>
    <row r="52" ht="12.75" customHeight="1" s="251">
      <c r="A52" s="104" t="inlineStr">
        <is>
          <t>S15</t>
        </is>
      </c>
      <c r="B52" s="13" t="inlineStr">
        <is>
          <t>Manas Dasgupta</t>
        </is>
      </c>
      <c r="C52" s="9" t="n">
        <v>0</v>
      </c>
      <c r="D52" s="104">
        <f>SUM($C$3:$C$5)/64</f>
        <v/>
      </c>
      <c r="E52" s="104">
        <f>C52+D52</f>
        <v/>
      </c>
      <c r="F52" s="104">
        <f>IF($C$70=0, 0, E52/$C$70)</f>
        <v/>
      </c>
      <c r="G52" s="104">
        <f>F52*$T$5</f>
        <v/>
      </c>
      <c r="H52" s="104" t="n">
        <v>4</v>
      </c>
      <c r="I52" s="104">
        <f>$T$7*H52</f>
        <v/>
      </c>
      <c r="J52" s="104">
        <f>G52+$T$9+I52</f>
        <v/>
      </c>
      <c r="K52" s="104">
        <f>$T$11/64</f>
        <v/>
      </c>
      <c r="L52" s="7" t="n">
        <v>0</v>
      </c>
      <c r="M52" s="104" t="n">
        <v>0</v>
      </c>
      <c r="N52" s="104" t="n">
        <v>0</v>
      </c>
      <c r="O52" s="104" t="n">
        <v>0</v>
      </c>
      <c r="P52" s="109" t="n"/>
      <c r="Q52" s="109" t="n"/>
      <c r="R52" s="109">
        <f>(J52+K52+L52+M52+N52+O52)*$B$2</f>
        <v/>
      </c>
      <c r="S52" s="107" t="n"/>
      <c r="T52" s="110" t="n"/>
    </row>
    <row r="53" ht="12.75" customHeight="1" s="251">
      <c r="A53" s="104" t="inlineStr">
        <is>
          <t>S16</t>
        </is>
      </c>
      <c r="B53" s="13" t="inlineStr">
        <is>
          <t>Devendra Singh Rawat / Nancy</t>
        </is>
      </c>
      <c r="C53" s="9" t="n">
        <v>0</v>
      </c>
      <c r="D53" s="104">
        <f>SUM($C$3:$C$5)/64</f>
        <v/>
      </c>
      <c r="E53" s="104">
        <f>C53+D53</f>
        <v/>
      </c>
      <c r="F53" s="104">
        <f>IF($C$70=0, 0, E53/$C$70)</f>
        <v/>
      </c>
      <c r="G53" s="104">
        <f>F53*$T$5</f>
        <v/>
      </c>
      <c r="H53" s="104" t="n">
        <v>3</v>
      </c>
      <c r="I53" s="104">
        <f>$T$7*H53</f>
        <v/>
      </c>
      <c r="J53" s="104">
        <f>G53+$T$9+I53</f>
        <v/>
      </c>
      <c r="K53" s="104">
        <f>$T$11/64</f>
        <v/>
      </c>
      <c r="L53" s="7" t="n">
        <v>0</v>
      </c>
      <c r="M53" s="104" t="n">
        <v>0</v>
      </c>
      <c r="N53" s="104" t="n">
        <v>0</v>
      </c>
      <c r="O53" s="104" t="n">
        <v>0</v>
      </c>
      <c r="P53" s="109" t="n"/>
      <c r="Q53" s="109" t="n"/>
      <c r="R53" s="109">
        <f>(J53+K53+L53+M53+N53+O53)*$B$2</f>
        <v/>
      </c>
      <c r="S53" s="107" t="n"/>
      <c r="T53" s="110" t="n"/>
    </row>
    <row r="54" ht="12.75" customHeight="1" s="251">
      <c r="A54" s="104" t="inlineStr">
        <is>
          <t>T1</t>
        </is>
      </c>
      <c r="B54" s="13" t="inlineStr">
        <is>
          <t>Prashant Sikdar</t>
        </is>
      </c>
      <c r="C54" s="9" t="n">
        <v>0</v>
      </c>
      <c r="D54" s="104">
        <f>SUM($C$3:$C$5)/64</f>
        <v/>
      </c>
      <c r="E54" s="104">
        <f>C54+D54</f>
        <v/>
      </c>
      <c r="F54" s="104">
        <f>IF($C$70=0, 0, E54/$C$70)</f>
        <v/>
      </c>
      <c r="G54" s="104">
        <f>F54*$T$5</f>
        <v/>
      </c>
      <c r="H54" s="104" t="n">
        <v>3</v>
      </c>
      <c r="I54" s="104">
        <f>$T$7*H54</f>
        <v/>
      </c>
      <c r="J54" s="104">
        <f>G54+$T$9+I54</f>
        <v/>
      </c>
      <c r="K54" s="104">
        <f>$T$11/64</f>
        <v/>
      </c>
      <c r="L54" s="7" t="n">
        <v>0</v>
      </c>
      <c r="M54" s="104" t="n">
        <v>0</v>
      </c>
      <c r="N54" s="104" t="n">
        <v>0</v>
      </c>
      <c r="O54" s="104" t="n">
        <v>0</v>
      </c>
      <c r="P54" s="109" t="n"/>
      <c r="Q54" s="109" t="n"/>
      <c r="R54" s="109">
        <f>(J54+K54+L54+M54+N54+O54)*$B$2</f>
        <v/>
      </c>
      <c r="S54" s="107" t="n"/>
      <c r="T54" s="110" t="n"/>
    </row>
    <row r="55" ht="12.75" customHeight="1" s="251">
      <c r="A55" s="104" t="inlineStr">
        <is>
          <t>T2</t>
        </is>
      </c>
      <c r="B55" s="13" t="inlineStr">
        <is>
          <t>Kunal Mehta</t>
        </is>
      </c>
      <c r="C55" s="9" t="n">
        <v>0</v>
      </c>
      <c r="D55" s="104">
        <f>SUM($C$3:$C$5)/64</f>
        <v/>
      </c>
      <c r="E55" s="104">
        <f>C55+D55</f>
        <v/>
      </c>
      <c r="F55" s="104">
        <f>IF($C$70=0, 0, E55/$C$70)</f>
        <v/>
      </c>
      <c r="G55" s="104">
        <f>F55*$T$5</f>
        <v/>
      </c>
      <c r="H55" s="104" t="n">
        <v>4</v>
      </c>
      <c r="I55" s="104">
        <f>$T$7*H55</f>
        <v/>
      </c>
      <c r="J55" s="104">
        <f>G55+$T$9+I55</f>
        <v/>
      </c>
      <c r="K55" s="104">
        <f>$T$11/64</f>
        <v/>
      </c>
      <c r="L55" s="7" t="n">
        <v>0</v>
      </c>
      <c r="M55" s="104" t="n">
        <v>0</v>
      </c>
      <c r="N55" s="104" t="n">
        <v>0</v>
      </c>
      <c r="O55" s="104" t="n">
        <v>0</v>
      </c>
      <c r="P55" s="109" t="n"/>
      <c r="Q55" s="109" t="n"/>
      <c r="R55" s="109">
        <f>(J55+K55+L55+M55+N55+O55)*$B$2</f>
        <v/>
      </c>
      <c r="S55" s="107" t="n"/>
      <c r="T55" s="110" t="n"/>
    </row>
    <row r="56" ht="12.75" customHeight="1" s="251">
      <c r="A56" s="104" t="inlineStr">
        <is>
          <t>T3</t>
        </is>
      </c>
      <c r="B56" s="13" t="inlineStr">
        <is>
          <t>Kapil Garg</t>
        </is>
      </c>
      <c r="C56" s="9" t="n">
        <v>0</v>
      </c>
      <c r="D56" s="104">
        <f>SUM($C$3:$C$5)/64</f>
        <v/>
      </c>
      <c r="E56" s="104">
        <f>C56+D56</f>
        <v/>
      </c>
      <c r="F56" s="104">
        <f>IF($C$70=0, 0, E56/$C$70)</f>
        <v/>
      </c>
      <c r="G56" s="104">
        <f>F56*$T$5</f>
        <v/>
      </c>
      <c r="H56" s="104" t="n">
        <v>4</v>
      </c>
      <c r="I56" s="104">
        <f>$T$7*H56</f>
        <v/>
      </c>
      <c r="J56" s="104">
        <f>G56+$T$9+I56</f>
        <v/>
      </c>
      <c r="K56" s="104">
        <f>$T$11/64</f>
        <v/>
      </c>
      <c r="L56" s="7" t="n">
        <v>0</v>
      </c>
      <c r="M56" s="104" t="n">
        <v>0</v>
      </c>
      <c r="N56" s="104" t="n">
        <v>0</v>
      </c>
      <c r="O56" s="104" t="n">
        <v>0</v>
      </c>
      <c r="P56" s="109" t="n"/>
      <c r="Q56" s="109" t="n"/>
      <c r="R56" s="109">
        <f>(J56+K56+L56+M56+N56+O56)*$B$2</f>
        <v/>
      </c>
      <c r="S56" s="107" t="n"/>
      <c r="T56" s="110" t="n"/>
    </row>
    <row r="57" ht="12.75" customHeight="1" s="251">
      <c r="A57" s="104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04">
        <f>SUM($C$3:$C$5)/64</f>
        <v/>
      </c>
      <c r="E57" s="104">
        <f>C57+D57</f>
        <v/>
      </c>
      <c r="F57" s="104">
        <f>IF($C$70=0, 0, E57/$C$70)</f>
        <v/>
      </c>
      <c r="G57" s="104">
        <f>F57*$T$5</f>
        <v/>
      </c>
      <c r="H57" s="104" t="n">
        <v>4</v>
      </c>
      <c r="I57" s="104">
        <f>$T$7*H57</f>
        <v/>
      </c>
      <c r="J57" s="104">
        <f>G57+$T$9+I57</f>
        <v/>
      </c>
      <c r="K57" s="104">
        <f>$T$11/64</f>
        <v/>
      </c>
      <c r="L57" s="7" t="n">
        <v>0</v>
      </c>
      <c r="M57" s="104" t="n">
        <v>0</v>
      </c>
      <c r="N57" s="104" t="n">
        <v>0</v>
      </c>
      <c r="O57" s="104" t="n">
        <v>0</v>
      </c>
      <c r="P57" s="109" t="n"/>
      <c r="Q57" s="109" t="n"/>
      <c r="R57" s="109">
        <f>(J57+K57+L57+M57+N57+O57)*$B$2</f>
        <v/>
      </c>
      <c r="S57" s="107" t="n"/>
      <c r="T57" s="110" t="n"/>
    </row>
    <row r="58" ht="12.75" customHeight="1" s="251">
      <c r="A58" s="104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04">
        <f>SUM($C$3:$C$5)/64</f>
        <v/>
      </c>
      <c r="E58" s="104">
        <f>C58+D58</f>
        <v/>
      </c>
      <c r="F58" s="104">
        <f>IF($C$70=0, 0, E58/$C$70)</f>
        <v/>
      </c>
      <c r="G58" s="104">
        <f>F58*$T$5</f>
        <v/>
      </c>
      <c r="H58" s="104" t="n">
        <v>3</v>
      </c>
      <c r="I58" s="104">
        <f>$T$7*H58</f>
        <v/>
      </c>
      <c r="J58" s="104">
        <f>G58+$T$9+I58</f>
        <v/>
      </c>
      <c r="K58" s="104">
        <f>$T$11/64</f>
        <v/>
      </c>
      <c r="L58" s="7" t="n">
        <v>0</v>
      </c>
      <c r="M58" s="104" t="n">
        <v>0</v>
      </c>
      <c r="N58" s="104" t="n">
        <v>0</v>
      </c>
      <c r="O58" s="104" t="n">
        <v>0</v>
      </c>
      <c r="P58" s="109" t="n"/>
      <c r="Q58" s="109" t="n"/>
      <c r="R58" s="109">
        <f>(J58+K58+L58+M58+N58+O58)*$B$2</f>
        <v/>
      </c>
      <c r="S58" s="107" t="n"/>
      <c r="T58" s="110" t="n"/>
    </row>
    <row r="59" ht="12.75" customHeight="1" s="251">
      <c r="A59" s="104" t="inlineStr">
        <is>
          <t>T6</t>
        </is>
      </c>
      <c r="B59" s="13" t="inlineStr">
        <is>
          <t>Mythili Ramesh</t>
        </is>
      </c>
      <c r="C59" s="9" t="n">
        <v>0</v>
      </c>
      <c r="D59" s="104">
        <f>SUM($C$3:$C$5)/64</f>
        <v/>
      </c>
      <c r="E59" s="104">
        <f>C59+D59</f>
        <v/>
      </c>
      <c r="F59" s="104">
        <f>IF($C$70=0, 0, E59/$C$70)</f>
        <v/>
      </c>
      <c r="G59" s="104">
        <f>F59*$T$5</f>
        <v/>
      </c>
      <c r="H59" s="104" t="n">
        <v>3</v>
      </c>
      <c r="I59" s="104">
        <f>$T$7*H59</f>
        <v/>
      </c>
      <c r="J59" s="104">
        <f>G59+$T$9+I59</f>
        <v/>
      </c>
      <c r="K59" s="104">
        <f>$T$11/64</f>
        <v/>
      </c>
      <c r="L59" s="7" t="n">
        <v>0</v>
      </c>
      <c r="M59" s="104" t="n">
        <v>0</v>
      </c>
      <c r="N59" s="104" t="n">
        <v>0</v>
      </c>
      <c r="O59" s="104" t="n">
        <v>0</v>
      </c>
      <c r="P59" s="109" t="n"/>
      <c r="Q59" s="109" t="n"/>
      <c r="R59" s="109">
        <f>(J59+K59+L59+M59+N59+O59)*$B$2</f>
        <v/>
      </c>
      <c r="S59" s="107" t="n"/>
      <c r="T59" s="110" t="n"/>
    </row>
    <row r="60" ht="12.75" customHeight="1" s="251">
      <c r="A60" s="104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04">
        <f>SUM($C$3:$C$5)/64</f>
        <v/>
      </c>
      <c r="E60" s="104">
        <f>C60+D60</f>
        <v/>
      </c>
      <c r="F60" s="104">
        <f>IF($C$70=0, 0, E60/$C$70)</f>
        <v/>
      </c>
      <c r="G60" s="104">
        <f>F60*$T$5</f>
        <v/>
      </c>
      <c r="H60" s="104" t="n">
        <v>3</v>
      </c>
      <c r="I60" s="104">
        <f>$T$7*H60</f>
        <v/>
      </c>
      <c r="J60" s="104">
        <f>G60+$T$9+I60</f>
        <v/>
      </c>
      <c r="K60" s="104">
        <f>$T$11/64</f>
        <v/>
      </c>
      <c r="L60" s="7" t="n">
        <v>0</v>
      </c>
      <c r="M60" s="104" t="n">
        <v>0</v>
      </c>
      <c r="N60" s="104" t="n">
        <v>0</v>
      </c>
      <c r="O60" s="104" t="n">
        <v>0</v>
      </c>
      <c r="P60" s="109" t="n"/>
      <c r="Q60" s="109" t="n"/>
      <c r="R60" s="109">
        <f>(J60+K60+L60+M60+N60+O60)*$B$2</f>
        <v/>
      </c>
      <c r="S60" s="107" t="n"/>
      <c r="T60" s="110" t="n"/>
    </row>
    <row r="61" ht="12.75" customHeight="1" s="251">
      <c r="A61" s="104" t="inlineStr">
        <is>
          <t>T8</t>
        </is>
      </c>
      <c r="B61" s="13" t="inlineStr">
        <is>
          <t>Lalit Kumar Sharma</t>
        </is>
      </c>
      <c r="C61" s="9" t="n">
        <v>0</v>
      </c>
      <c r="D61" s="104">
        <f>SUM($C$3:$C$5)/64</f>
        <v/>
      </c>
      <c r="E61" s="104">
        <f>C61+D61</f>
        <v/>
      </c>
      <c r="F61" s="104">
        <f>IF($C$70=0, 0, E61/$C$70)</f>
        <v/>
      </c>
      <c r="G61" s="104">
        <f>F61*$T$5</f>
        <v/>
      </c>
      <c r="H61" s="104" t="n">
        <v>3</v>
      </c>
      <c r="I61" s="104">
        <f>$T$7*H61</f>
        <v/>
      </c>
      <c r="J61" s="104">
        <f>G61+$T$9+I61</f>
        <v/>
      </c>
      <c r="K61" s="104">
        <f>$T$11/64</f>
        <v/>
      </c>
      <c r="L61" s="7" t="n">
        <v>0</v>
      </c>
      <c r="M61" s="104" t="n">
        <v>0</v>
      </c>
      <c r="N61" s="104" t="n">
        <v>0</v>
      </c>
      <c r="O61" s="104" t="n">
        <v>0</v>
      </c>
      <c r="P61" s="109" t="n"/>
      <c r="Q61" s="109" t="n"/>
      <c r="R61" s="109">
        <f>(J61+K61+L61+M61+N61+O61)*$B$2</f>
        <v/>
      </c>
      <c r="S61" s="107" t="n"/>
      <c r="T61" s="110" t="n"/>
    </row>
    <row r="62" ht="12.75" customHeight="1" s="251">
      <c r="A62" s="104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04">
        <f>SUM($C$3:$C$5)/64</f>
        <v/>
      </c>
      <c r="E62" s="104">
        <f>C62+D62</f>
        <v/>
      </c>
      <c r="F62" s="104">
        <f>IF($C$70=0, 0, E62/$C$70)</f>
        <v/>
      </c>
      <c r="G62" s="104">
        <f>F62*$T$5</f>
        <v/>
      </c>
      <c r="H62" s="104" t="n">
        <v>4</v>
      </c>
      <c r="I62" s="104">
        <f>$T$7*H62</f>
        <v/>
      </c>
      <c r="J62" s="104">
        <f>G62+$T$9+I62</f>
        <v/>
      </c>
      <c r="K62" s="104">
        <f>$T$11/64</f>
        <v/>
      </c>
      <c r="L62" s="7" t="n">
        <v>0</v>
      </c>
      <c r="M62" s="104" t="n">
        <v>0</v>
      </c>
      <c r="N62" s="104" t="n">
        <v>0</v>
      </c>
      <c r="O62" s="104" t="n">
        <v>0</v>
      </c>
      <c r="P62" s="109" t="n"/>
      <c r="Q62" s="109" t="n"/>
      <c r="R62" s="109">
        <f>(J62+K62+L62+M62+N62+O62)*$B$2</f>
        <v/>
      </c>
      <c r="S62" s="107" t="n"/>
      <c r="T62" s="110" t="n"/>
    </row>
    <row r="63" ht="12.75" customHeight="1" s="251">
      <c r="A63" s="104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04">
        <f>SUM($C$3:$C$5)/64</f>
        <v/>
      </c>
      <c r="E63" s="104">
        <f>C63+D63</f>
        <v/>
      </c>
      <c r="F63" s="104">
        <f>IF($C$70=0, 0, E63/$C$70)</f>
        <v/>
      </c>
      <c r="G63" s="104">
        <f>F63*$T$5</f>
        <v/>
      </c>
      <c r="H63" s="104" t="n">
        <v>3</v>
      </c>
      <c r="I63" s="104">
        <f>$T$7*H63</f>
        <v/>
      </c>
      <c r="J63" s="104">
        <f>G63+$T$9+I63</f>
        <v/>
      </c>
      <c r="K63" s="104">
        <f>$T$11/64</f>
        <v/>
      </c>
      <c r="L63" s="7" t="n">
        <v>0</v>
      </c>
      <c r="M63" s="104" t="n">
        <v>0</v>
      </c>
      <c r="N63" s="104" t="n">
        <v>0</v>
      </c>
      <c r="O63" s="104" t="n">
        <v>0</v>
      </c>
      <c r="P63" s="109" t="n"/>
      <c r="Q63" s="109" t="n"/>
      <c r="R63" s="109">
        <f>(J63+K63+L63+M63+N63+O63)*$B$2</f>
        <v/>
      </c>
      <c r="S63" s="107" t="n"/>
      <c r="T63" s="110" t="n"/>
    </row>
    <row r="64" ht="12.75" customHeight="1" s="251">
      <c r="A64" s="104" t="inlineStr">
        <is>
          <t>T11</t>
        </is>
      </c>
      <c r="B64" s="13" t="inlineStr">
        <is>
          <t>Arvind Balasubramanian</t>
        </is>
      </c>
      <c r="C64" s="9" t="n">
        <v>0</v>
      </c>
      <c r="D64" s="104">
        <f>SUM($C$3:$C$5)/64</f>
        <v/>
      </c>
      <c r="E64" s="104">
        <f>C64+D64</f>
        <v/>
      </c>
      <c r="F64" s="104">
        <f>IF($C$70=0, 0, E64/$C$70)</f>
        <v/>
      </c>
      <c r="G64" s="104">
        <f>F64*$T$5</f>
        <v/>
      </c>
      <c r="H64" s="104" t="n">
        <v>3</v>
      </c>
      <c r="I64" s="104">
        <f>$T$7*H64</f>
        <v/>
      </c>
      <c r="J64" s="104">
        <f>G64+$T$9+I64</f>
        <v/>
      </c>
      <c r="K64" s="104">
        <f>$T$11/64</f>
        <v/>
      </c>
      <c r="L64" s="7" t="n">
        <v>0</v>
      </c>
      <c r="M64" s="104" t="n">
        <v>0</v>
      </c>
      <c r="N64" s="104" t="n">
        <v>0</v>
      </c>
      <c r="O64" s="104" t="n">
        <v>0</v>
      </c>
      <c r="P64" s="109" t="n"/>
      <c r="Q64" s="109" t="n"/>
      <c r="R64" s="109">
        <f>(J64+K64+L64+M64+N64+O64)*$B$2</f>
        <v/>
      </c>
      <c r="S64" s="107" t="n"/>
      <c r="T64" s="110" t="n"/>
    </row>
    <row r="65" ht="12.75" customHeight="1" s="251">
      <c r="A65" s="104" t="inlineStr">
        <is>
          <t>T12</t>
        </is>
      </c>
      <c r="B65" s="13" t="inlineStr">
        <is>
          <t>Prasenjit</t>
        </is>
      </c>
      <c r="C65" s="9" t="n">
        <v>0</v>
      </c>
      <c r="D65" s="104">
        <f>SUM($C$3:$C$5)/64</f>
        <v/>
      </c>
      <c r="E65" s="104">
        <f>C65+D65</f>
        <v/>
      </c>
      <c r="F65" s="104">
        <f>IF($C$70=0, 0, E65/$C$70)</f>
        <v/>
      </c>
      <c r="G65" s="104">
        <f>F65*$T$5</f>
        <v/>
      </c>
      <c r="H65" s="104" t="n">
        <v>3</v>
      </c>
      <c r="I65" s="104">
        <f>$T$7*H65</f>
        <v/>
      </c>
      <c r="J65" s="104">
        <f>G65+$T$9+I65</f>
        <v/>
      </c>
      <c r="K65" s="104">
        <f>$T$11/64</f>
        <v/>
      </c>
      <c r="L65" s="7" t="n">
        <v>0</v>
      </c>
      <c r="M65" s="104" t="n">
        <v>0</v>
      </c>
      <c r="N65" s="104" t="n">
        <v>0</v>
      </c>
      <c r="O65" s="104" t="n">
        <v>0</v>
      </c>
      <c r="P65" s="109" t="n"/>
      <c r="Q65" s="109" t="n"/>
      <c r="R65" s="109">
        <f>(J65+K65+L65+M65+N65+O65)*$B$2</f>
        <v/>
      </c>
      <c r="S65" s="107" t="n"/>
      <c r="T65" s="110" t="n"/>
    </row>
    <row r="66" ht="12.75" customHeight="1" s="251">
      <c r="A66" s="104" t="inlineStr">
        <is>
          <t>T13</t>
        </is>
      </c>
      <c r="B66" s="13" t="inlineStr">
        <is>
          <t>Rahul Kumar</t>
        </is>
      </c>
      <c r="C66" s="9" t="n">
        <v>0</v>
      </c>
      <c r="D66" s="104">
        <f>SUM($C$3:$C$5)/64</f>
        <v/>
      </c>
      <c r="E66" s="104">
        <f>C66+D66</f>
        <v/>
      </c>
      <c r="F66" s="104">
        <f>IF($C$70=0, 0, E66/$C$70)</f>
        <v/>
      </c>
      <c r="G66" s="104">
        <f>F66*$T$5</f>
        <v/>
      </c>
      <c r="H66" s="104" t="n">
        <v>4</v>
      </c>
      <c r="I66" s="104">
        <f>$T$7*H66</f>
        <v/>
      </c>
      <c r="J66" s="104">
        <f>G66+$T$9+I66</f>
        <v/>
      </c>
      <c r="K66" s="104">
        <f>$T$11/64</f>
        <v/>
      </c>
      <c r="L66" s="7" t="n">
        <v>0</v>
      </c>
      <c r="M66" s="104" t="n">
        <v>0</v>
      </c>
      <c r="N66" s="104" t="n">
        <v>0</v>
      </c>
      <c r="O66" s="104" t="n">
        <v>0</v>
      </c>
      <c r="P66" s="109" t="n"/>
      <c r="Q66" s="109" t="n"/>
      <c r="R66" s="109">
        <f>(J66+K66+L66+M66+N66+O66)*$B$2</f>
        <v/>
      </c>
      <c r="S66" s="107" t="n"/>
      <c r="T66" s="110" t="n"/>
    </row>
    <row r="67" ht="12.75" customHeight="1" s="251">
      <c r="A67" s="104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04">
        <f>SUM($C$3:$C$5)/64</f>
        <v/>
      </c>
      <c r="E67" s="104">
        <f>C67+D67</f>
        <v/>
      </c>
      <c r="F67" s="104">
        <f>IF($C$70=0, 0, E67/$C$70)</f>
        <v/>
      </c>
      <c r="G67" s="104">
        <f>F67*$T$5</f>
        <v/>
      </c>
      <c r="H67" s="104" t="n">
        <v>4</v>
      </c>
      <c r="I67" s="104">
        <f>$T$7*H67</f>
        <v/>
      </c>
      <c r="J67" s="104">
        <f>G67+$T$9+I67</f>
        <v/>
      </c>
      <c r="K67" s="104">
        <f>$T$11/64</f>
        <v/>
      </c>
      <c r="L67" s="7" t="n">
        <v>0</v>
      </c>
      <c r="M67" s="104" t="n">
        <v>0</v>
      </c>
      <c r="N67" s="104" t="n">
        <v>0</v>
      </c>
      <c r="O67" s="104" t="n">
        <v>0</v>
      </c>
      <c r="P67" s="109" t="n"/>
      <c r="Q67" s="109" t="n"/>
      <c r="R67" s="109">
        <f>(J67+K67+L67+M67+N67+O67)*$B$2</f>
        <v/>
      </c>
      <c r="S67" s="107" t="n"/>
      <c r="T67" s="110" t="n"/>
    </row>
    <row r="68" ht="12.75" customHeight="1" s="251">
      <c r="A68" s="104" t="inlineStr">
        <is>
          <t>T15</t>
        </is>
      </c>
      <c r="B68" s="13" t="inlineStr">
        <is>
          <t>Trevor</t>
        </is>
      </c>
      <c r="C68" s="9" t="n">
        <v>0</v>
      </c>
      <c r="D68" s="104">
        <f>SUM($C$3:$C$5)/64</f>
        <v/>
      </c>
      <c r="E68" s="104">
        <f>C68+D68</f>
        <v/>
      </c>
      <c r="F68" s="104">
        <f>IF($C$70=0, 0, E68/$C$70)</f>
        <v/>
      </c>
      <c r="G68" s="104">
        <f>F68*$T$5</f>
        <v/>
      </c>
      <c r="H68" s="104" t="n">
        <v>4</v>
      </c>
      <c r="I68" s="104">
        <f>$T$7*H68</f>
        <v/>
      </c>
      <c r="J68" s="104">
        <f>G68+$T$9+I68</f>
        <v/>
      </c>
      <c r="K68" s="104">
        <f>$T$11/64</f>
        <v/>
      </c>
      <c r="L68" s="7" t="n">
        <v>0</v>
      </c>
      <c r="M68" s="104" t="n">
        <v>0</v>
      </c>
      <c r="N68" s="104" t="n">
        <v>0</v>
      </c>
      <c r="O68" s="104" t="n">
        <v>0</v>
      </c>
      <c r="P68" s="109" t="n"/>
      <c r="Q68" s="109" t="n"/>
      <c r="R68" s="109">
        <f>(J68+K68+L68+M68+N68+O68)*$B$2</f>
        <v/>
      </c>
      <c r="S68" s="107" t="n"/>
      <c r="T68" s="110" t="n"/>
    </row>
    <row r="69" ht="12.75" customHeight="1" s="251">
      <c r="A69" s="104" t="inlineStr">
        <is>
          <t>T16</t>
        </is>
      </c>
      <c r="B69" s="13" t="inlineStr">
        <is>
          <t>Madhusoodanan P.R.</t>
        </is>
      </c>
      <c r="C69" s="9" t="n">
        <v>0</v>
      </c>
      <c r="D69" s="104">
        <f>SUM($C$3:$C$5)/64</f>
        <v/>
      </c>
      <c r="E69" s="104">
        <f>C69+D69</f>
        <v/>
      </c>
      <c r="F69" s="104">
        <f>IF($C$70=0, 0, E69/$C$70)</f>
        <v/>
      </c>
      <c r="G69" s="104">
        <f>F69*$T$5</f>
        <v/>
      </c>
      <c r="H69" s="104" t="n">
        <v>3</v>
      </c>
      <c r="I69" s="104">
        <f>$T$7*H69</f>
        <v/>
      </c>
      <c r="J69" s="104">
        <f>G69+$T$9+I69</f>
        <v/>
      </c>
      <c r="K69" s="104">
        <f>$T$11/64</f>
        <v/>
      </c>
      <c r="L69" s="7" t="n">
        <v>0</v>
      </c>
      <c r="M69" s="104" t="n">
        <v>0</v>
      </c>
      <c r="N69" s="104" t="n">
        <v>0</v>
      </c>
      <c r="O69" s="104" t="n">
        <v>0</v>
      </c>
      <c r="P69" s="109" t="n"/>
      <c r="Q69" s="109" t="n"/>
      <c r="R69" s="109">
        <f>(J69+K69+L69+M69+N69+O69)*$B$2</f>
        <v/>
      </c>
      <c r="S69" s="107" t="n"/>
      <c r="T69" s="110" t="n"/>
    </row>
    <row r="70" ht="12.75" customHeight="1" s="251">
      <c r="A70" s="104" t="n"/>
      <c r="B70" s="108" t="inlineStr">
        <is>
          <t>TOTAL</t>
        </is>
      </c>
      <c r="C70" s="104">
        <f>SUM(C3:C69)</f>
        <v/>
      </c>
      <c r="D70" s="104">
        <f>SUM(D3:D69)</f>
        <v/>
      </c>
      <c r="E70" s="104">
        <f>SUM(E3:E69)</f>
        <v/>
      </c>
      <c r="F70" s="104">
        <f>IF($C$70=0, 0, E70/$C$70)</f>
        <v/>
      </c>
      <c r="G70" s="104">
        <f>SUM(G3:G69)</f>
        <v/>
      </c>
      <c r="H70" s="104">
        <f>SUM(H3:H69)</f>
        <v/>
      </c>
      <c r="I70" s="104">
        <f>SUM(I3:I69)</f>
        <v/>
      </c>
      <c r="J70" s="104">
        <f>SUM(J3:J69)</f>
        <v/>
      </c>
      <c r="K70" s="104">
        <f>SUM(K3:K69)</f>
        <v/>
      </c>
      <c r="L70" s="104">
        <f>SUM(L3:L69)</f>
        <v/>
      </c>
      <c r="M70" s="104">
        <f>SUM(M3:M69)</f>
        <v/>
      </c>
      <c r="N70" s="104">
        <f>SUM(N3:N69)</f>
        <v/>
      </c>
      <c r="O70" s="104">
        <f>SUM(O3:O69)</f>
        <v/>
      </c>
      <c r="P70" s="104" t="n"/>
      <c r="Q70" s="104" t="n"/>
      <c r="R70" s="104">
        <f>SUM(R3:R69)</f>
        <v/>
      </c>
      <c r="S70" s="107" t="n"/>
      <c r="T70" s="110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C3" s="40" t="n"/>
      <c r="D3" s="87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86" t="n"/>
      <c r="E4" s="46" t="n"/>
      <c r="F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86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D7" s="87" t="n"/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0" t="n"/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73" t="n"/>
      <c r="D9" s="86" t="n"/>
      <c r="F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73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F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2" t="n"/>
      <c r="D16" s="86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C23" s="40" t="n"/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73" t="n"/>
      <c r="D24" s="86" t="n"/>
      <c r="F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0" t="n"/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Ankur Agarwal</t>
        </is>
      </c>
      <c r="C26" s="73" t="n"/>
      <c r="D26" s="86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6" t="n"/>
      <c r="D27" s="87" t="n"/>
      <c r="E27" s="40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73" t="n"/>
      <c r="D28" s="86" t="inlineStr">
        <is>
          <t>9-Sep-0205</t>
        </is>
      </c>
      <c r="F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C30" s="117" t="n"/>
      <c r="D30" s="87" t="n"/>
      <c r="F30" s="86" t="n"/>
      <c r="H30" s="72" t="n"/>
      <c r="K30" s="117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2" t="n"/>
      <c r="D31" s="86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0" t="n"/>
      <c r="D36" s="87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86" t="n"/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C39" s="40" t="n"/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F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2" t="n"/>
      <c r="D44" s="86" t="n"/>
      <c r="E44" s="40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47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F51" s="86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F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F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6" t="n"/>
      <c r="D57" s="87" t="n"/>
      <c r="F57" s="86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7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73" t="n"/>
      <c r="D59" s="86" t="n"/>
      <c r="E59" s="40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86" t="n"/>
      <c r="F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C62" s="40" t="n"/>
      <c r="D62" s="49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73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86" t="n"/>
      <c r="F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86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0.5" customWidth="1" style="251" min="2" max="2"/>
    <col width="20" customWidth="1" style="251" min="3" max="18"/>
    <col width="50.83203125" customWidth="1" style="251" min="19" max="19"/>
    <col width="10.33203125" customWidth="1" style="251" min="20" max="20"/>
  </cols>
  <sheetData>
    <row r="1" ht="16.5" customHeight="1" s="251">
      <c r="A1" s="104" t="n"/>
      <c r="B1" s="274" t="inlineStr">
        <is>
          <t>OCTOBER 2026 EXPENSES</t>
        </is>
      </c>
      <c r="C1" s="275" t="n"/>
      <c r="D1" s="275" t="n"/>
      <c r="E1" s="275" t="n"/>
      <c r="F1" s="275" t="n"/>
      <c r="G1" s="275" t="n"/>
      <c r="H1" s="275" t="n"/>
      <c r="I1" s="275" t="n"/>
      <c r="J1" s="275" t="n"/>
      <c r="K1" s="275" t="n"/>
      <c r="L1" s="275" t="n"/>
      <c r="M1" s="275" t="n"/>
      <c r="N1" s="275" t="n"/>
      <c r="O1" s="275" t="n"/>
      <c r="P1" s="275" t="n"/>
      <c r="Q1" s="275" t="n"/>
      <c r="R1" s="275" t="n"/>
      <c r="S1" s="275" t="n"/>
      <c r="T1" s="276" t="n"/>
    </row>
    <row r="2" ht="58.5" customHeight="1" s="251">
      <c r="A2" s="104" t="inlineStr">
        <is>
          <t>FLAT #</t>
        </is>
      </c>
      <c r="B2" s="118" t="n">
        <v>1</v>
      </c>
      <c r="C2" s="105" t="inlineStr">
        <is>
          <t>WATER USED IN LTRS</t>
        </is>
      </c>
      <c r="D2" s="105" t="inlineStr">
        <is>
          <t>COMMON AREA EQUALLY DEVIDED</t>
        </is>
      </c>
      <c r="E2" s="105" t="inlineStr">
        <is>
          <t>TOTAL FRESH WATER CONSUMED</t>
        </is>
      </c>
      <c r="F2" s="105" t="inlineStr">
        <is>
          <t>%OF TOTAL USED</t>
        </is>
      </c>
      <c r="G2" s="105" t="inlineStr">
        <is>
          <t>WATER EXPENSE SHARING BY %</t>
        </is>
      </c>
      <c r="H2" s="105" t="inlineStr">
        <is>
          <t>#METERS</t>
        </is>
      </c>
      <c r="I2" s="105" t="inlineStr">
        <is>
          <t>METER RENT</t>
        </is>
      </c>
      <c r="J2" s="105" t="inlineStr">
        <is>
          <t>COMMON AREA METER RENT + WATER EXPENSE+ FLAT METER RENT</t>
        </is>
      </c>
      <c r="K2" s="105" t="inlineStr">
        <is>
          <t>FIXED EXPENSE SHARE</t>
        </is>
      </c>
      <c r="L2" s="105" t="inlineStr">
        <is>
          <t>PARKING FEE</t>
        </is>
      </c>
      <c r="M2" s="105" t="inlineStr">
        <is>
          <t>CLUB HOUSE BOOKING FEE</t>
        </is>
      </c>
      <c r="N2" s="105" t="inlineStr">
        <is>
          <t>SHIFTING FEE</t>
        </is>
      </c>
      <c r="O2" s="105" t="inlineStr">
        <is>
          <t>GYM USAGE FEE</t>
        </is>
      </c>
      <c r="P2" s="106" t="n"/>
      <c r="Q2" s="106" t="n"/>
      <c r="R2" s="106" t="inlineStr">
        <is>
          <t>TOTAL EXPENSE TO BE PAID</t>
        </is>
      </c>
      <c r="S2" s="107" t="n"/>
      <c r="T2" s="107" t="n"/>
    </row>
    <row r="3" ht="12.75" customHeight="1" s="251">
      <c r="A3" s="104" t="inlineStr">
        <is>
          <t>CH</t>
        </is>
      </c>
      <c r="B3" s="108" t="inlineStr">
        <is>
          <t>MPFOWA</t>
        </is>
      </c>
      <c r="C3" s="104" t="n">
        <v>0</v>
      </c>
      <c r="D3" s="104" t="n">
        <v>0</v>
      </c>
      <c r="E3" s="104" t="n"/>
      <c r="F3" s="104" t="n"/>
      <c r="G3" s="104" t="n"/>
      <c r="H3" s="104" t="n">
        <v>1</v>
      </c>
      <c r="I3" s="104">
        <f>T7</f>
        <v/>
      </c>
      <c r="J3" s="104">
        <f>I3</f>
        <v/>
      </c>
      <c r="K3" s="104" t="n"/>
      <c r="L3" s="109" t="n"/>
      <c r="M3" s="104" t="n"/>
      <c r="N3" s="104" t="n"/>
      <c r="O3" s="104" t="n"/>
      <c r="P3" s="109" t="n"/>
      <c r="Q3" s="109" t="n"/>
      <c r="R3" s="109" t="n"/>
      <c r="S3" s="107" t="n"/>
      <c r="T3" s="110" t="n"/>
    </row>
    <row r="4" ht="12.75" customHeight="1" s="251">
      <c r="A4" s="104" t="inlineStr">
        <is>
          <t>GYM</t>
        </is>
      </c>
      <c r="B4" s="108" t="inlineStr">
        <is>
          <t>MPFOWA</t>
        </is>
      </c>
      <c r="C4" s="104" t="n">
        <v>0</v>
      </c>
      <c r="D4" s="104" t="n">
        <v>0</v>
      </c>
      <c r="E4" s="104" t="n"/>
      <c r="F4" s="104" t="n"/>
      <c r="G4" s="104" t="n"/>
      <c r="H4" s="104" t="n">
        <v>1</v>
      </c>
      <c r="I4" s="104">
        <f>T7</f>
        <v/>
      </c>
      <c r="J4" s="104">
        <f>I4</f>
        <v/>
      </c>
      <c r="K4" s="104" t="n"/>
      <c r="L4" s="109" t="n"/>
      <c r="M4" s="104" t="n"/>
      <c r="N4" s="104" t="n"/>
      <c r="O4" s="104" t="n"/>
      <c r="P4" s="109" t="n"/>
      <c r="Q4" s="109" t="n"/>
      <c r="R4" s="109" t="n"/>
      <c r="S4" s="111" t="inlineStr">
        <is>
          <t>TOTAL FIXED EXPENSE</t>
        </is>
      </c>
      <c r="T4" s="112">
        <f>'ANNUAL-EXPENSE-DETAILS'!BF9</f>
        <v/>
      </c>
    </row>
    <row r="5" ht="12.75" customHeight="1" s="251">
      <c r="A5" s="104" t="inlineStr">
        <is>
          <t>BSMT</t>
        </is>
      </c>
      <c r="B5" s="108" t="inlineStr">
        <is>
          <t>MPFOWA</t>
        </is>
      </c>
      <c r="C5" s="104" t="n">
        <v>0</v>
      </c>
      <c r="D5" s="104" t="n">
        <v>0</v>
      </c>
      <c r="E5" s="104" t="n"/>
      <c r="F5" s="104" t="n"/>
      <c r="G5" s="104" t="n"/>
      <c r="H5" s="104" t="n">
        <v>1</v>
      </c>
      <c r="I5" s="104">
        <f>T7</f>
        <v/>
      </c>
      <c r="J5" s="104">
        <f>I5</f>
        <v/>
      </c>
      <c r="K5" s="104" t="n"/>
      <c r="L5" s="109" t="n"/>
      <c r="M5" s="104" t="n"/>
      <c r="N5" s="104" t="n"/>
      <c r="O5" s="104" t="n"/>
      <c r="P5" s="109" t="n"/>
      <c r="Q5" s="109" t="n"/>
      <c r="R5" s="109" t="n"/>
      <c r="S5" s="111" t="inlineStr">
        <is>
          <t>TOTAL WATER EXPENSE</t>
        </is>
      </c>
      <c r="T5" s="112">
        <f>'ANNUAL-EXPENSE-DETAILS'!BE9</f>
        <v/>
      </c>
    </row>
    <row r="6" ht="12.75" customHeight="1" s="251">
      <c r="A6" s="104" t="inlineStr">
        <is>
          <t>F1</t>
        </is>
      </c>
      <c r="B6" s="13" t="inlineStr">
        <is>
          <t>Shailesh Srivastava / Azeem Nawaz</t>
        </is>
      </c>
      <c r="C6" s="9" t="n">
        <v>0</v>
      </c>
      <c r="D6" s="104">
        <f>SUM($C$3:$C$4)/64</f>
        <v/>
      </c>
      <c r="E6" s="104">
        <f>C6+D6</f>
        <v/>
      </c>
      <c r="F6" s="104">
        <f>IF($C$70=0, 0, E6/$C$70)</f>
        <v/>
      </c>
      <c r="G6" s="104">
        <f>F6*$T$5</f>
        <v/>
      </c>
      <c r="H6" s="104" t="n">
        <v>3</v>
      </c>
      <c r="I6" s="104">
        <f>$T$7*H6</f>
        <v/>
      </c>
      <c r="J6" s="104">
        <f>G6+$T$9+I6</f>
        <v/>
      </c>
      <c r="K6" s="104">
        <f>$T$11/64</f>
        <v/>
      </c>
      <c r="L6" s="14" t="n">
        <v>0</v>
      </c>
      <c r="M6" s="104" t="n">
        <v>0</v>
      </c>
      <c r="N6" s="104" t="n">
        <v>0</v>
      </c>
      <c r="O6" s="104" t="n">
        <v>0</v>
      </c>
      <c r="P6" s="109" t="n"/>
      <c r="Q6" s="109" t="n"/>
      <c r="R6" s="109">
        <f>(J6+K6+L6+M6+N6+O6)*$B$2</f>
        <v/>
      </c>
      <c r="S6" s="107" t="n"/>
      <c r="T6" s="110" t="n"/>
    </row>
    <row r="7" ht="12.75" customHeight="1" s="251">
      <c r="A7" s="104" t="inlineStr">
        <is>
          <t>F2</t>
        </is>
      </c>
      <c r="B7" s="13" t="inlineStr">
        <is>
          <t>Shanthanu</t>
        </is>
      </c>
      <c r="C7" s="9" t="n">
        <v>0</v>
      </c>
      <c r="D7" s="104">
        <f>SUM($C$3:$C$4)/64</f>
        <v/>
      </c>
      <c r="E7" s="104">
        <f>C7+D7</f>
        <v/>
      </c>
      <c r="F7" s="104">
        <f>IF($C$70=0, 0, E7/$C$70)</f>
        <v/>
      </c>
      <c r="G7" s="104">
        <f>F7*$T$5</f>
        <v/>
      </c>
      <c r="H7" s="104" t="n">
        <v>4</v>
      </c>
      <c r="I7" s="104">
        <f>$T$7*H7</f>
        <v/>
      </c>
      <c r="J7" s="104">
        <f>G7+$T$9+I7</f>
        <v/>
      </c>
      <c r="K7" s="104">
        <f>$T$11/64</f>
        <v/>
      </c>
      <c r="L7" s="7" t="n">
        <v>0</v>
      </c>
      <c r="M7" s="104" t="n">
        <v>0</v>
      </c>
      <c r="N7" s="104" t="n">
        <v>0</v>
      </c>
      <c r="O7" s="104" t="n">
        <v>0</v>
      </c>
      <c r="P7" s="109" t="n"/>
      <c r="Q7" s="109" t="n"/>
      <c r="R7" s="109">
        <f>(J7+K7+L7+M7+N7+O7)*$B$2</f>
        <v/>
      </c>
      <c r="S7" s="107" t="inlineStr">
        <is>
          <t>RENT PER METER</t>
        </is>
      </c>
      <c r="T7" s="17" t="n">
        <v>117.811659</v>
      </c>
    </row>
    <row r="8" ht="12.75" customHeight="1" s="251">
      <c r="A8" s="104" t="inlineStr">
        <is>
          <t>F3</t>
        </is>
      </c>
      <c r="B8" s="13" t="inlineStr">
        <is>
          <t>Samrat Kar</t>
        </is>
      </c>
      <c r="C8" s="9" t="n">
        <v>0</v>
      </c>
      <c r="D8" s="104">
        <f>SUM($C$3:$C$4)/64</f>
        <v/>
      </c>
      <c r="E8" s="104">
        <f>C8+D8</f>
        <v/>
      </c>
      <c r="F8" s="104">
        <f>IF($C$70=0, 0, E8/$C$70)</f>
        <v/>
      </c>
      <c r="G8" s="104">
        <f>F8*$T$5</f>
        <v/>
      </c>
      <c r="H8" s="104" t="n">
        <v>4</v>
      </c>
      <c r="I8" s="104">
        <f>$T$7*H8</f>
        <v/>
      </c>
      <c r="J8" s="104">
        <f>G8+$T$9+I8</f>
        <v/>
      </c>
      <c r="K8" s="104">
        <f>$T$11/64</f>
        <v/>
      </c>
      <c r="L8" s="7" t="n">
        <v>0</v>
      </c>
      <c r="M8" s="104" t="n">
        <v>0</v>
      </c>
      <c r="N8" s="104" t="n">
        <v>0</v>
      </c>
      <c r="O8" s="104" t="n">
        <v>0</v>
      </c>
      <c r="P8" s="109" t="n"/>
      <c r="Q8" s="109" t="n"/>
      <c r="R8" s="109">
        <f>(J8+K8+L8+M8+N8+O8)*$B$2</f>
        <v/>
      </c>
      <c r="S8" s="107" t="inlineStr">
        <is>
          <t>COMMON AREA METER RENT</t>
        </is>
      </c>
      <c r="T8" s="110">
        <f>$T$7*3</f>
        <v/>
      </c>
    </row>
    <row r="9" ht="12.75" customHeight="1" s="251">
      <c r="A9" s="104" t="inlineStr">
        <is>
          <t>F4</t>
        </is>
      </c>
      <c r="B9" s="13" t="inlineStr">
        <is>
          <t>Renu R</t>
        </is>
      </c>
      <c r="C9" s="9" t="n">
        <v>0</v>
      </c>
      <c r="D9" s="104">
        <f>SUM($C$3:$C$4)/64</f>
        <v/>
      </c>
      <c r="E9" s="104">
        <f>C9+D9</f>
        <v/>
      </c>
      <c r="F9" s="104">
        <f>IF($C$70=0, 0, E9/$C$70)</f>
        <v/>
      </c>
      <c r="G9" s="104">
        <f>F9*$T$5</f>
        <v/>
      </c>
      <c r="H9" s="104" t="n">
        <v>4</v>
      </c>
      <c r="I9" s="104">
        <f>$T$7*H9</f>
        <v/>
      </c>
      <c r="J9" s="104">
        <f>G9+$T$9+I9</f>
        <v/>
      </c>
      <c r="K9" s="104">
        <f>$T$11/64</f>
        <v/>
      </c>
      <c r="L9" s="7" t="n">
        <v>0</v>
      </c>
      <c r="M9" s="104" t="n">
        <v>0</v>
      </c>
      <c r="N9" s="104" t="n">
        <v>0</v>
      </c>
      <c r="O9" s="104" t="n">
        <v>0</v>
      </c>
      <c r="P9" s="109" t="n"/>
      <c r="Q9" s="109" t="n"/>
      <c r="R9" s="109">
        <f>(J9+K9+L9+M9+N9+O9)*$B$2</f>
        <v/>
      </c>
      <c r="S9" s="113" t="inlineStr">
        <is>
          <t>COMMON AREA METER RENT/FLAT</t>
        </is>
      </c>
      <c r="T9" s="114">
        <f>T8/64</f>
        <v/>
      </c>
    </row>
    <row r="10" ht="12.75" customHeight="1" s="251">
      <c r="A10" s="104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04">
        <f>SUM($C$3:$C$4)/64</f>
        <v/>
      </c>
      <c r="E10" s="104">
        <f>C10+D10</f>
        <v/>
      </c>
      <c r="F10" s="104">
        <f>IF($C$70=0, 0, E10/$C$70)</f>
        <v/>
      </c>
      <c r="G10" s="104">
        <f>F10*$T$5</f>
        <v/>
      </c>
      <c r="H10" s="104" t="n">
        <v>3</v>
      </c>
      <c r="I10" s="104">
        <f>$T$7*H10</f>
        <v/>
      </c>
      <c r="J10" s="104">
        <f>G10+$T$9+I10</f>
        <v/>
      </c>
      <c r="K10" s="104">
        <f>$T$11/64</f>
        <v/>
      </c>
      <c r="L10" s="7" t="n">
        <v>0</v>
      </c>
      <c r="M10" s="104" t="n">
        <v>0</v>
      </c>
      <c r="N10" s="104" t="n">
        <v>0</v>
      </c>
      <c r="O10" s="104" t="n">
        <v>0</v>
      </c>
      <c r="P10" s="109" t="n"/>
      <c r="Q10" s="109" t="n"/>
      <c r="R10" s="109">
        <f>(J10+K10+L10+M10+N10+O10)*$B$2</f>
        <v/>
      </c>
      <c r="S10" s="107" t="n"/>
      <c r="T10" s="110" t="n"/>
    </row>
    <row r="11" ht="12.75" customHeight="1" s="251">
      <c r="A11" s="104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04">
        <f>SUM($C$3:$C$4)/64</f>
        <v/>
      </c>
      <c r="E11" s="104">
        <f>C11+D11</f>
        <v/>
      </c>
      <c r="F11" s="104">
        <f>IF($C$70=0, 0, E11/$C$70)</f>
        <v/>
      </c>
      <c r="G11" s="104">
        <f>F11*$T$5</f>
        <v/>
      </c>
      <c r="H11" s="104" t="n">
        <v>3</v>
      </c>
      <c r="I11" s="104">
        <f>$T$7*H11</f>
        <v/>
      </c>
      <c r="J11" s="104">
        <f>G11+$T$9+I11</f>
        <v/>
      </c>
      <c r="K11" s="104">
        <f>$T$11/64</f>
        <v/>
      </c>
      <c r="L11" s="7" t="n">
        <v>0</v>
      </c>
      <c r="M11" s="104" t="n">
        <v>0</v>
      </c>
      <c r="N11" s="104" t="n">
        <v>0</v>
      </c>
      <c r="O11" s="104" t="n">
        <v>0</v>
      </c>
      <c r="P11" s="109" t="n"/>
      <c r="Q11" s="109" t="n"/>
      <c r="R11" s="109">
        <f>(J11+K11+L11+M11+N11+O11)*$B$2</f>
        <v/>
      </c>
      <c r="S11" s="113" t="inlineStr">
        <is>
          <t>TOTAL FIXED EXPENSE</t>
        </is>
      </c>
      <c r="T11" s="114">
        <f>'ANNUAL-EXPENSE-DETAILS'!BF9</f>
        <v/>
      </c>
    </row>
    <row r="12" ht="12.75" customHeight="1" s="251">
      <c r="A12" s="104" t="inlineStr">
        <is>
          <t>F7</t>
        </is>
      </c>
      <c r="B12" s="13" t="inlineStr">
        <is>
          <t>Vimal NK</t>
        </is>
      </c>
      <c r="C12" s="9" t="n">
        <v>0</v>
      </c>
      <c r="D12" s="104">
        <f>SUM($C$3:$C$4)/64</f>
        <v/>
      </c>
      <c r="E12" s="104">
        <f>C12+D12</f>
        <v/>
      </c>
      <c r="F12" s="104">
        <f>IF($C$70=0, 0, E12/$C$70)</f>
        <v/>
      </c>
      <c r="G12" s="104">
        <f>F12*$T$5</f>
        <v/>
      </c>
      <c r="H12" s="104" t="n">
        <v>3</v>
      </c>
      <c r="I12" s="104">
        <f>$T$7*H12</f>
        <v/>
      </c>
      <c r="J12" s="104">
        <f>G12+$T$9+I12</f>
        <v/>
      </c>
      <c r="K12" s="104">
        <f>$T$11/64</f>
        <v/>
      </c>
      <c r="L12" s="7" t="n">
        <v>0</v>
      </c>
      <c r="M12" s="104" t="n">
        <v>0</v>
      </c>
      <c r="N12" s="104" t="n">
        <v>0</v>
      </c>
      <c r="O12" s="104" t="n">
        <v>0</v>
      </c>
      <c r="P12" s="109" t="n"/>
      <c r="Q12" s="109" t="n"/>
      <c r="R12" s="109">
        <f>(J12+K12+L12+M12+N12+O12)*$B$2</f>
        <v/>
      </c>
      <c r="S12" s="107" t="n"/>
      <c r="T12" s="110" t="n"/>
    </row>
    <row r="13" ht="12.75" customHeight="1" s="251">
      <c r="A13" s="104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04">
        <f>SUM($C$3:$C$4)/64</f>
        <v/>
      </c>
      <c r="E13" s="104">
        <f>C13+D13</f>
        <v/>
      </c>
      <c r="F13" s="104">
        <f>IF($C$70=0, 0, E13/$C$70)</f>
        <v/>
      </c>
      <c r="G13" s="104">
        <f>F13*$T$5</f>
        <v/>
      </c>
      <c r="H13" s="104" t="n">
        <v>3</v>
      </c>
      <c r="I13" s="104">
        <f>$T$7*H13</f>
        <v/>
      </c>
      <c r="J13" s="104">
        <f>G13+$T$9+I13</f>
        <v/>
      </c>
      <c r="K13" s="104">
        <f>$T$11/64</f>
        <v/>
      </c>
      <c r="L13" s="7" t="n">
        <v>0</v>
      </c>
      <c r="M13" s="104" t="n">
        <v>0</v>
      </c>
      <c r="N13" s="104" t="n">
        <v>0</v>
      </c>
      <c r="O13" s="104" t="n">
        <v>0</v>
      </c>
      <c r="P13" s="109" t="n"/>
      <c r="Q13" s="109" t="n"/>
      <c r="R13" s="109">
        <f>(J13+K13+L13+M13+N13+O13)*$B$2</f>
        <v/>
      </c>
      <c r="S13" s="61" t="inlineStr">
        <is>
          <t>BALANCE IN ACCOUNT ON 31-OCT-2023</t>
        </is>
      </c>
      <c r="T13" s="63" t="n"/>
    </row>
    <row r="14" ht="12.75" customHeight="1" s="251">
      <c r="A14" s="104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04">
        <f>SUM($C$3:$C$4)/64</f>
        <v/>
      </c>
      <c r="E14" s="104">
        <f>C14+D14</f>
        <v/>
      </c>
      <c r="F14" s="104">
        <f>IF($C$70=0, 0, E14/$C$70)</f>
        <v/>
      </c>
      <c r="G14" s="104">
        <f>F14*$T$5</f>
        <v/>
      </c>
      <c r="H14" s="104" t="n">
        <v>4</v>
      </c>
      <c r="I14" s="104">
        <f>$T$7*H14</f>
        <v/>
      </c>
      <c r="J14" s="104">
        <f>G14+$T$9+I14</f>
        <v/>
      </c>
      <c r="K14" s="104">
        <f>$T$11/64</f>
        <v/>
      </c>
      <c r="L14" s="7" t="n">
        <v>0</v>
      </c>
      <c r="M14" s="104" t="n">
        <v>0</v>
      </c>
      <c r="N14" s="104" t="n">
        <v>0</v>
      </c>
      <c r="O14" s="104" t="n">
        <v>0</v>
      </c>
      <c r="P14" s="109" t="n"/>
      <c r="Q14" s="109" t="n"/>
      <c r="R14" s="109">
        <f>(J14+K14+L14+M14+N14+O14)*$B$2</f>
        <v/>
      </c>
      <c r="S14" s="61" t="inlineStr">
        <is>
          <t>TOTAL NON MAINTENANCE CORPUS COLLECTION</t>
        </is>
      </c>
      <c r="T14" s="63" t="n"/>
    </row>
    <row r="15" ht="12.75" customHeight="1" s="251">
      <c r="A15" s="104" t="inlineStr">
        <is>
          <t>F10</t>
        </is>
      </c>
      <c r="B15" s="13" t="inlineStr">
        <is>
          <t>Aby Thomas</t>
        </is>
      </c>
      <c r="C15" s="9" t="n">
        <v>0</v>
      </c>
      <c r="D15" s="104">
        <f>SUM($C$3:$C$4)/64</f>
        <v/>
      </c>
      <c r="E15" s="104">
        <f>C15+D15</f>
        <v/>
      </c>
      <c r="F15" s="104">
        <f>IF($C$70=0, 0, E15/$C$70)</f>
        <v/>
      </c>
      <c r="G15" s="104">
        <f>F15*$T$5</f>
        <v/>
      </c>
      <c r="H15" s="104" t="n">
        <v>3</v>
      </c>
      <c r="I15" s="104">
        <f>$T$7*H15</f>
        <v/>
      </c>
      <c r="J15" s="104">
        <f>G15+$T$9+I15</f>
        <v/>
      </c>
      <c r="K15" s="104">
        <f>$T$11/64</f>
        <v/>
      </c>
      <c r="L15" s="7" t="n">
        <v>0</v>
      </c>
      <c r="M15" s="104" t="n">
        <v>0</v>
      </c>
      <c r="N15" s="104" t="n">
        <v>0</v>
      </c>
      <c r="O15" s="104" t="n">
        <v>0</v>
      </c>
      <c r="P15" s="109" t="n"/>
      <c r="Q15" s="109" t="n"/>
      <c r="R15" s="109">
        <f>(J15+K15+L15+M15+N15+O15)*$B$2</f>
        <v/>
      </c>
      <c r="S15" s="61" t="inlineStr">
        <is>
          <t>TOTAL FD DONE</t>
        </is>
      </c>
      <c r="T15" s="63" t="n"/>
    </row>
    <row r="16" ht="12.75" customHeight="1" s="251">
      <c r="A16" s="104" t="inlineStr">
        <is>
          <t>F11</t>
        </is>
      </c>
      <c r="B16" s="13" t="inlineStr">
        <is>
          <t>Niwin Anto</t>
        </is>
      </c>
      <c r="C16" s="9" t="n">
        <v>0</v>
      </c>
      <c r="D16" s="104">
        <f>SUM($C$3:$C$4)/64</f>
        <v/>
      </c>
      <c r="E16" s="104">
        <f>C16+D16</f>
        <v/>
      </c>
      <c r="F16" s="104">
        <f>IF($C$70=0, 0, E16/$C$70)</f>
        <v/>
      </c>
      <c r="G16" s="104">
        <f>F16*$T$5</f>
        <v/>
      </c>
      <c r="H16" s="104" t="n">
        <v>3</v>
      </c>
      <c r="I16" s="104">
        <f>$T$7*H16</f>
        <v/>
      </c>
      <c r="J16" s="104">
        <f>G16+$T$9+I16</f>
        <v/>
      </c>
      <c r="K16" s="104">
        <f>$T$11/64</f>
        <v/>
      </c>
      <c r="L16" s="7" t="n">
        <v>0</v>
      </c>
      <c r="M16" s="104" t="n">
        <v>0</v>
      </c>
      <c r="N16" s="104" t="n">
        <v>0</v>
      </c>
      <c r="O16" s="104" t="n">
        <v>0</v>
      </c>
      <c r="P16" s="109" t="n"/>
      <c r="Q16" s="109" t="n"/>
      <c r="R16" s="109">
        <f>(J16+K16+L16+M16+N16+O16)*$B$2</f>
        <v/>
      </c>
      <c r="S16" s="64" t="inlineStr">
        <is>
          <t>AMOUNT AVAILABLE FOR NON MAINTENANCE CORPUS IN CURRENT AC</t>
        </is>
      </c>
      <c r="T16" s="65">
        <f>T14-T15</f>
        <v/>
      </c>
    </row>
    <row r="17" ht="12.75" customHeight="1" s="251">
      <c r="A17" s="104" t="inlineStr">
        <is>
          <t>F12</t>
        </is>
      </c>
      <c r="B17" s="13" t="inlineStr">
        <is>
          <t>Anirudh Singh</t>
        </is>
      </c>
      <c r="C17" s="9" t="n">
        <v>0</v>
      </c>
      <c r="D17" s="104">
        <f>SUM($C$3:$C$4)/64</f>
        <v/>
      </c>
      <c r="E17" s="104">
        <f>C17+D17</f>
        <v/>
      </c>
      <c r="F17" s="104">
        <f>IF($C$70=0, 0, E17/$C$70)</f>
        <v/>
      </c>
      <c r="G17" s="104">
        <f>F17*$T$5</f>
        <v/>
      </c>
      <c r="H17" s="104" t="n">
        <v>3</v>
      </c>
      <c r="I17" s="104">
        <f>$T$7*H17</f>
        <v/>
      </c>
      <c r="J17" s="104">
        <f>G17+$T$9+I17</f>
        <v/>
      </c>
      <c r="K17" s="104">
        <f>$T$11/64</f>
        <v/>
      </c>
      <c r="L17" s="7" t="n">
        <v>0</v>
      </c>
      <c r="M17" s="104" t="n">
        <v>0</v>
      </c>
      <c r="N17" s="104" t="n">
        <v>0</v>
      </c>
      <c r="O17" s="104" t="n">
        <v>0</v>
      </c>
      <c r="P17" s="109" t="n"/>
      <c r="Q17" s="109" t="n"/>
      <c r="R17" s="109">
        <f>(J17+K17+L17+M17+N17+O17)*$B$2</f>
        <v/>
      </c>
      <c r="S17" s="66" t="inlineStr">
        <is>
          <t>AMOUNT AVAILABLE FOR MAINTENANCE</t>
        </is>
      </c>
      <c r="T17" s="67">
        <f>T13-T16</f>
        <v/>
      </c>
    </row>
    <row r="18" ht="12.75" customHeight="1" s="251">
      <c r="A18" s="104" t="inlineStr">
        <is>
          <t>F13</t>
        </is>
      </c>
      <c r="B18" s="13" t="inlineStr">
        <is>
          <t>Sanchay Saxena</t>
        </is>
      </c>
      <c r="C18" s="9" t="n">
        <v>0</v>
      </c>
      <c r="D18" s="104">
        <f>SUM($C$3:$C$4)/64</f>
        <v/>
      </c>
      <c r="E18" s="104">
        <f>C18+D18</f>
        <v/>
      </c>
      <c r="F18" s="104">
        <f>IF($C$70=0, 0, E18/$C$70)</f>
        <v/>
      </c>
      <c r="G18" s="104">
        <f>F18*$T$5</f>
        <v/>
      </c>
      <c r="H18" s="104" t="n">
        <v>4</v>
      </c>
      <c r="I18" s="104">
        <f>$T$7*H18</f>
        <v/>
      </c>
      <c r="J18" s="104">
        <f>G18+$T$9+I18</f>
        <v/>
      </c>
      <c r="K18" s="104">
        <f>$T$11/64</f>
        <v/>
      </c>
      <c r="L18" s="7" t="n">
        <v>0</v>
      </c>
      <c r="M18" s="104" t="n">
        <v>0</v>
      </c>
      <c r="N18" s="104" t="n">
        <v>0</v>
      </c>
      <c r="O18" s="104" t="n">
        <v>0</v>
      </c>
      <c r="P18" s="109" t="n"/>
      <c r="Q18" s="109" t="n"/>
      <c r="R18" s="109">
        <f>(J18+K18+L18+M18+N18+O18)*$B$2</f>
        <v/>
      </c>
      <c r="S18" s="66" t="inlineStr">
        <is>
          <t>TOTAL EXPENSE FOR THE MONTH</t>
        </is>
      </c>
      <c r="T18" s="67">
        <f>'ANNUAL-EXPENSE-DETAILS'!BH9</f>
        <v/>
      </c>
    </row>
    <row r="19" ht="12.75" customHeight="1" s="251">
      <c r="A19" s="104" t="inlineStr">
        <is>
          <t>F14</t>
        </is>
      </c>
      <c r="B19" s="13" t="inlineStr">
        <is>
          <t>Hemant Patel</t>
        </is>
      </c>
      <c r="C19" s="9" t="n">
        <v>0</v>
      </c>
      <c r="D19" s="104">
        <f>SUM($C$3:$C$4)/64</f>
        <v/>
      </c>
      <c r="E19" s="104">
        <f>C19+D19</f>
        <v/>
      </c>
      <c r="F19" s="104">
        <f>IF($C$70=0, 0, E19/$C$70)</f>
        <v/>
      </c>
      <c r="G19" s="104">
        <f>F19*$T$5</f>
        <v/>
      </c>
      <c r="H19" s="104" t="n">
        <v>4</v>
      </c>
      <c r="I19" s="104">
        <f>$T$7*H19</f>
        <v/>
      </c>
      <c r="J19" s="104">
        <f>G19+$T$9+I19</f>
        <v/>
      </c>
      <c r="K19" s="104">
        <f>$T$11/64</f>
        <v/>
      </c>
      <c r="L19" s="7" t="n">
        <v>0</v>
      </c>
      <c r="M19" s="104" t="n">
        <v>0</v>
      </c>
      <c r="N19" s="104" t="n">
        <v>0</v>
      </c>
      <c r="O19" s="104" t="n">
        <v>0</v>
      </c>
      <c r="P19" s="109" t="n"/>
      <c r="Q19" s="109" t="n"/>
      <c r="R19" s="109">
        <f>(J19+K19+L19+M19+N19+O19)*$B$2</f>
        <v/>
      </c>
      <c r="S19" s="66" t="n"/>
      <c r="T19" s="67" t="n"/>
    </row>
    <row r="20" ht="12.75" customHeight="1" s="251">
      <c r="A20" s="104" t="inlineStr">
        <is>
          <t>F15</t>
        </is>
      </c>
      <c r="B20" s="13" t="inlineStr">
        <is>
          <t>Senthil.Vijayaragavan</t>
        </is>
      </c>
      <c r="C20" s="9" t="n">
        <v>0</v>
      </c>
      <c r="D20" s="104">
        <f>SUM($C$3:$C$4)/64</f>
        <v/>
      </c>
      <c r="E20" s="104">
        <f>C20+D20</f>
        <v/>
      </c>
      <c r="F20" s="104">
        <f>IF($C$70=0, 0, E20/$C$70)</f>
        <v/>
      </c>
      <c r="G20" s="104">
        <f>F20*$T$5</f>
        <v/>
      </c>
      <c r="H20" s="104" t="n">
        <v>4</v>
      </c>
      <c r="I20" s="104">
        <f>$T$7*H20</f>
        <v/>
      </c>
      <c r="J20" s="104">
        <f>G20+$T$9+I20</f>
        <v/>
      </c>
      <c r="K20" s="104">
        <f>$T$11/64</f>
        <v/>
      </c>
      <c r="L20" s="7" t="n">
        <v>0</v>
      </c>
      <c r="M20" s="104" t="n">
        <v>0</v>
      </c>
      <c r="N20" s="104" t="n">
        <v>0</v>
      </c>
      <c r="O20" s="104" t="n">
        <v>0</v>
      </c>
      <c r="P20" s="109" t="n"/>
      <c r="Q20" s="109" t="n"/>
      <c r="R20" s="109">
        <f>(J20+K20+L20+M20+N20+O20)*$B$2</f>
        <v/>
      </c>
      <c r="S20" s="107" t="n"/>
      <c r="T20" s="110" t="n"/>
    </row>
    <row r="21" ht="12.75" customHeight="1" s="251">
      <c r="A21" s="104" t="inlineStr">
        <is>
          <t>F16</t>
        </is>
      </c>
      <c r="B21" s="13" t="inlineStr">
        <is>
          <t>Sreeja Sudharma</t>
        </is>
      </c>
      <c r="C21" s="9" t="n">
        <v>0</v>
      </c>
      <c r="D21" s="104">
        <f>SUM($C$3:$C$4)/64</f>
        <v/>
      </c>
      <c r="E21" s="104">
        <f>C21+D21</f>
        <v/>
      </c>
      <c r="F21" s="104">
        <f>IF($C$70=0, 0, E21/$C$70)</f>
        <v/>
      </c>
      <c r="G21" s="104">
        <f>F21*$T$5</f>
        <v/>
      </c>
      <c r="H21" s="104" t="n">
        <v>3</v>
      </c>
      <c r="I21" s="104">
        <f>$T$7*H21</f>
        <v/>
      </c>
      <c r="J21" s="104">
        <f>G21+$T$9+I21</f>
        <v/>
      </c>
      <c r="K21" s="104">
        <f>$T$11/64</f>
        <v/>
      </c>
      <c r="L21" s="7" t="n">
        <v>0</v>
      </c>
      <c r="M21" s="104" t="n">
        <v>0</v>
      </c>
      <c r="N21" s="104" t="n">
        <v>0</v>
      </c>
      <c r="O21" s="104" t="n">
        <v>0</v>
      </c>
      <c r="P21" s="109" t="n"/>
      <c r="Q21" s="109" t="n"/>
      <c r="R21" s="109">
        <f>(J21+K21+L21+M21+N21+O21)*$B$2</f>
        <v/>
      </c>
      <c r="S21" s="107" t="n"/>
      <c r="T21" s="110" t="n"/>
    </row>
    <row r="22" ht="12.75" customHeight="1" s="251">
      <c r="A22" s="104" t="inlineStr">
        <is>
          <t>G1</t>
        </is>
      </c>
      <c r="B22" s="13" t="inlineStr">
        <is>
          <t>Venkataramanan C</t>
        </is>
      </c>
      <c r="C22" s="9" t="n">
        <v>0</v>
      </c>
      <c r="D22" s="104">
        <f>SUM($C$3:$C$4)/64</f>
        <v/>
      </c>
      <c r="E22" s="104">
        <f>C22+D22</f>
        <v/>
      </c>
      <c r="F22" s="104">
        <f>IF($C$70=0, 0, E22/$C$70)</f>
        <v/>
      </c>
      <c r="G22" s="104">
        <f>F22*$T$5</f>
        <v/>
      </c>
      <c r="H22" s="104" t="n">
        <v>3</v>
      </c>
      <c r="I22" s="104">
        <f>$T$7*H22</f>
        <v/>
      </c>
      <c r="J22" s="104">
        <f>G22+$T$9+I22</f>
        <v/>
      </c>
      <c r="K22" s="104">
        <f>$T$11/64</f>
        <v/>
      </c>
      <c r="L22" s="7" t="n">
        <v>0</v>
      </c>
      <c r="M22" s="104" t="n">
        <v>0</v>
      </c>
      <c r="N22" s="104" t="n">
        <v>0</v>
      </c>
      <c r="O22" s="104" t="n">
        <v>0</v>
      </c>
      <c r="P22" s="109" t="n"/>
      <c r="Q22" s="109" t="n"/>
      <c r="R22" s="109">
        <f>(J22+K22+L22+M22+N22+O22)*$B$2</f>
        <v/>
      </c>
      <c r="S22" s="107" t="n"/>
      <c r="T22" s="110" t="n"/>
    </row>
    <row r="23" ht="12.75" customHeight="1" s="251">
      <c r="A23" s="104" t="inlineStr">
        <is>
          <t>G2</t>
        </is>
      </c>
      <c r="B23" s="13" t="inlineStr">
        <is>
          <t>Kaushik Kasibhatla</t>
        </is>
      </c>
      <c r="C23" s="9" t="n">
        <v>0</v>
      </c>
      <c r="D23" s="104">
        <f>SUM($C$3:$C$4)/64</f>
        <v/>
      </c>
      <c r="E23" s="104">
        <f>C23+D23</f>
        <v/>
      </c>
      <c r="F23" s="104">
        <f>IF($C$70=0, 0, E23/$C$70)</f>
        <v/>
      </c>
      <c r="G23" s="104">
        <f>F23*$T$5</f>
        <v/>
      </c>
      <c r="H23" s="104" t="n">
        <v>4</v>
      </c>
      <c r="I23" s="104">
        <f>$T$7*H23</f>
        <v/>
      </c>
      <c r="J23" s="104">
        <f>G23+$T$9+I23</f>
        <v/>
      </c>
      <c r="K23" s="104">
        <f>$T$11/64</f>
        <v/>
      </c>
      <c r="L23" s="7" t="n">
        <v>0</v>
      </c>
      <c r="M23" s="104" t="n">
        <v>0</v>
      </c>
      <c r="N23" s="104" t="n">
        <v>0</v>
      </c>
      <c r="O23" s="104" t="n">
        <v>0</v>
      </c>
      <c r="P23" s="109" t="n"/>
      <c r="Q23" s="109" t="n"/>
      <c r="R23" s="109">
        <f>(J23+K23+L23+M23+N23+O23)*$B$2</f>
        <v/>
      </c>
      <c r="S23" s="107" t="n"/>
      <c r="T23" s="110" t="n"/>
    </row>
    <row r="24" ht="12.75" customHeight="1" s="251">
      <c r="A24" s="104" t="inlineStr">
        <is>
          <t>G3</t>
        </is>
      </c>
      <c r="B24" s="13" t="inlineStr">
        <is>
          <t>Balakrishnan</t>
        </is>
      </c>
      <c r="C24" s="9" t="n">
        <v>0</v>
      </c>
      <c r="D24" s="104">
        <f>SUM($C$3:$C$4)/64</f>
        <v/>
      </c>
      <c r="E24" s="104">
        <f>C24+D24</f>
        <v/>
      </c>
      <c r="F24" s="104">
        <f>IF($C$70=0, 0, E24/$C$70)</f>
        <v/>
      </c>
      <c r="G24" s="104">
        <f>F24*$T$5</f>
        <v/>
      </c>
      <c r="H24" s="104" t="n">
        <v>4</v>
      </c>
      <c r="I24" s="104">
        <f>$T$7*H24</f>
        <v/>
      </c>
      <c r="J24" s="104">
        <f>G24+$T$9+I24</f>
        <v/>
      </c>
      <c r="K24" s="104">
        <f>$T$11/64</f>
        <v/>
      </c>
      <c r="L24" s="7" t="n">
        <v>0</v>
      </c>
      <c r="M24" s="104" t="n">
        <v>0</v>
      </c>
      <c r="N24" s="104" t="n">
        <v>0</v>
      </c>
      <c r="O24" s="104" t="n">
        <v>0</v>
      </c>
      <c r="P24" s="109" t="n"/>
      <c r="Q24" s="109" t="n"/>
      <c r="R24" s="109">
        <f>(J24+K24+L24+M24+N24+O24)*$B$2</f>
        <v/>
      </c>
      <c r="S24" s="107" t="n"/>
      <c r="T24" s="110" t="n"/>
    </row>
    <row r="25" ht="12.75" customHeight="1" s="251">
      <c r="A25" s="104" t="inlineStr">
        <is>
          <t>G4</t>
        </is>
      </c>
      <c r="B25" s="13" t="inlineStr">
        <is>
          <t>Ashwin Pandith</t>
        </is>
      </c>
      <c r="C25" s="9" t="n">
        <v>0</v>
      </c>
      <c r="D25" s="104">
        <f>SUM($C$3:$C$4)/64</f>
        <v/>
      </c>
      <c r="E25" s="104">
        <f>C25+D25</f>
        <v/>
      </c>
      <c r="F25" s="104">
        <f>IF($C$70=0, 0, E25/$C$70)</f>
        <v/>
      </c>
      <c r="G25" s="104">
        <f>F25*$T$5</f>
        <v/>
      </c>
      <c r="H25" s="104" t="n">
        <v>4</v>
      </c>
      <c r="I25" s="104">
        <f>$T$7*H25</f>
        <v/>
      </c>
      <c r="J25" s="104">
        <f>G25+$T$9+I25</f>
        <v/>
      </c>
      <c r="K25" s="104">
        <f>$T$11/64</f>
        <v/>
      </c>
      <c r="L25" s="7" t="n">
        <v>0</v>
      </c>
      <c r="M25" s="104" t="n">
        <v>0</v>
      </c>
      <c r="N25" s="104" t="n">
        <v>0</v>
      </c>
      <c r="O25" s="104" t="n">
        <v>0</v>
      </c>
      <c r="P25" s="109" t="n"/>
      <c r="Q25" s="109" t="n"/>
      <c r="R25" s="109">
        <f>(J25+K25+L25+M25+N25+O25)*$B$2</f>
        <v/>
      </c>
      <c r="S25" s="107" t="n"/>
      <c r="T25" s="110" t="n"/>
    </row>
    <row r="26" ht="12.75" customHeight="1" s="251">
      <c r="A26" s="104" t="inlineStr">
        <is>
          <t>G5</t>
        </is>
      </c>
      <c r="B26" s="13" t="inlineStr">
        <is>
          <t>Mayank Phophaliya</t>
        </is>
      </c>
      <c r="C26" s="9" t="n">
        <v>0</v>
      </c>
      <c r="D26" s="104">
        <f>SUM($C$3:$C$4)/64</f>
        <v/>
      </c>
      <c r="E26" s="104">
        <f>C26+D26</f>
        <v/>
      </c>
      <c r="F26" s="104">
        <f>IF($C$70=0, 0, E26/$C$70)</f>
        <v/>
      </c>
      <c r="G26" s="104">
        <f>F26*$T$5</f>
        <v/>
      </c>
      <c r="H26" s="104" t="n">
        <v>3</v>
      </c>
      <c r="I26" s="104">
        <f>$T$7*H26</f>
        <v/>
      </c>
      <c r="J26" s="104">
        <f>G26+$T$9+I26</f>
        <v/>
      </c>
      <c r="K26" s="104">
        <f>$T$11/64</f>
        <v/>
      </c>
      <c r="L26" s="7" t="n">
        <v>0</v>
      </c>
      <c r="M26" s="104" t="n">
        <v>0</v>
      </c>
      <c r="N26" s="104" t="n">
        <v>0</v>
      </c>
      <c r="O26" s="104" t="n">
        <v>0</v>
      </c>
      <c r="P26" s="109" t="n"/>
      <c r="Q26" s="109" t="n"/>
      <c r="R26" s="109">
        <f>(J26+K26+L26+M26+N26+O26)*$B$2</f>
        <v/>
      </c>
      <c r="S26" s="107" t="n"/>
      <c r="T26" s="110" t="n"/>
    </row>
    <row r="27" ht="12.75" customHeight="1" s="251">
      <c r="A27" s="104" t="inlineStr">
        <is>
          <t>G6</t>
        </is>
      </c>
      <c r="B27" s="13" t="inlineStr">
        <is>
          <t>Mohit Daga</t>
        </is>
      </c>
      <c r="C27" s="9" t="n">
        <v>0</v>
      </c>
      <c r="D27" s="104">
        <f>SUM($C$3:$C$4)/64</f>
        <v/>
      </c>
      <c r="E27" s="104">
        <f>C27+D27</f>
        <v/>
      </c>
      <c r="F27" s="104">
        <f>IF($C$70=0, 0, E27/$C$70)</f>
        <v/>
      </c>
      <c r="G27" s="104">
        <f>F27*$T$5</f>
        <v/>
      </c>
      <c r="H27" s="104" t="n">
        <v>3</v>
      </c>
      <c r="I27" s="104">
        <f>$T$7*H27</f>
        <v/>
      </c>
      <c r="J27" s="104">
        <f>G27+$T$9+I27</f>
        <v/>
      </c>
      <c r="K27" s="104">
        <f>$T$11/64</f>
        <v/>
      </c>
      <c r="L27" s="7" t="n">
        <v>0</v>
      </c>
      <c r="M27" s="104" t="n">
        <v>0</v>
      </c>
      <c r="N27" s="104" t="n">
        <v>0</v>
      </c>
      <c r="O27" s="104" t="n">
        <v>0</v>
      </c>
      <c r="P27" s="109" t="n"/>
      <c r="Q27" s="109" t="n"/>
      <c r="R27" s="109">
        <f>(J27+K27+L27+M27+N27+O27)*$B$2</f>
        <v/>
      </c>
      <c r="S27" s="107" t="n"/>
      <c r="T27" s="110" t="n"/>
    </row>
    <row r="28" ht="12.75" customHeight="1" s="251">
      <c r="A28" s="104" t="inlineStr">
        <is>
          <t>G7</t>
        </is>
      </c>
      <c r="B28" s="13" t="inlineStr">
        <is>
          <t>Prince Richfield</t>
        </is>
      </c>
      <c r="C28" s="9" t="n">
        <v>0</v>
      </c>
      <c r="D28" s="104">
        <f>SUM($C$3:$C$4)/64</f>
        <v/>
      </c>
      <c r="E28" s="104">
        <f>C28+D28</f>
        <v/>
      </c>
      <c r="F28" s="104">
        <f>IF($C$70=0, 0, E28/$C$70)</f>
        <v/>
      </c>
      <c r="G28" s="104">
        <f>F28*$T$5</f>
        <v/>
      </c>
      <c r="H28" s="104" t="n">
        <v>3</v>
      </c>
      <c r="I28" s="104">
        <f>$T$7*H28</f>
        <v/>
      </c>
      <c r="J28" s="104">
        <f>G28+$T$9+I28</f>
        <v/>
      </c>
      <c r="K28" s="104">
        <f>$T$11/64</f>
        <v/>
      </c>
      <c r="L28" s="7" t="n">
        <v>0</v>
      </c>
      <c r="M28" s="104" t="n">
        <v>0</v>
      </c>
      <c r="N28" s="104" t="n">
        <v>0</v>
      </c>
      <c r="O28" s="104" t="n">
        <v>0</v>
      </c>
      <c r="P28" s="109" t="n"/>
      <c r="Q28" s="109" t="n"/>
      <c r="R28" s="109">
        <f>(J28+K28+L28+M28+N28+O28)*$B$2</f>
        <v/>
      </c>
      <c r="S28" s="107" t="n"/>
      <c r="T28" s="110" t="n"/>
    </row>
    <row r="29" ht="12.75" customHeight="1" s="251">
      <c r="A29" s="104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04">
        <f>SUM($C$3:$C$4)/64</f>
        <v/>
      </c>
      <c r="E29" s="104">
        <f>C29+D29</f>
        <v/>
      </c>
      <c r="F29" s="104">
        <f>IF($C$70=0, 0, E29/$C$70)</f>
        <v/>
      </c>
      <c r="G29" s="104">
        <f>F29*$T$5</f>
        <v/>
      </c>
      <c r="H29" s="104" t="n">
        <v>3</v>
      </c>
      <c r="I29" s="104">
        <f>$T$7*H29</f>
        <v/>
      </c>
      <c r="J29" s="104">
        <f>G29+$T$9+I29</f>
        <v/>
      </c>
      <c r="K29" s="104">
        <f>$T$11/64</f>
        <v/>
      </c>
      <c r="L29" s="7" t="n">
        <v>0</v>
      </c>
      <c r="M29" s="104" t="n">
        <v>0</v>
      </c>
      <c r="N29" s="104" t="n">
        <v>0</v>
      </c>
      <c r="O29" s="104" t="n">
        <v>0</v>
      </c>
      <c r="P29" s="109" t="n"/>
      <c r="Q29" s="109" t="n"/>
      <c r="R29" s="109">
        <f>(J29+K29+L29+M29+N29+O29)*$B$2</f>
        <v/>
      </c>
      <c r="S29" s="107" t="n"/>
      <c r="T29" s="110" t="n"/>
    </row>
    <row r="30" ht="12.75" customHeight="1" s="251">
      <c r="A30" s="104" t="inlineStr">
        <is>
          <t>G9</t>
        </is>
      </c>
      <c r="B30" s="13" t="inlineStr">
        <is>
          <t>Chandramouli</t>
        </is>
      </c>
      <c r="C30" s="9" t="n">
        <v>0</v>
      </c>
      <c r="D30" s="104">
        <f>SUM($C$3:$C$4)/64</f>
        <v/>
      </c>
      <c r="E30" s="104">
        <f>C30+D30</f>
        <v/>
      </c>
      <c r="F30" s="104">
        <f>IF($C$70=0, 0, E30/$C$70)</f>
        <v/>
      </c>
      <c r="G30" s="104">
        <f>F30*$T$5</f>
        <v/>
      </c>
      <c r="H30" s="104" t="n">
        <v>5</v>
      </c>
      <c r="I30" s="104">
        <f>$T$7*H30</f>
        <v/>
      </c>
      <c r="J30" s="104">
        <f>G30+$T$9+I30</f>
        <v/>
      </c>
      <c r="K30" s="104">
        <f>$T$11/64</f>
        <v/>
      </c>
      <c r="L30" s="7" t="n">
        <v>0</v>
      </c>
      <c r="M30" s="104" t="n">
        <v>0</v>
      </c>
      <c r="N30" s="104" t="n">
        <v>0</v>
      </c>
      <c r="O30" s="104" t="n">
        <v>0</v>
      </c>
      <c r="P30" s="109" t="n"/>
      <c r="Q30" s="109" t="n"/>
      <c r="R30" s="109">
        <f>(J30+K30+L30+M30+N30+O30)*$B$2</f>
        <v/>
      </c>
      <c r="S30" s="107" t="n"/>
      <c r="T30" s="110" t="n"/>
    </row>
    <row r="31" ht="12.75" customHeight="1" s="251">
      <c r="A31" s="104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104">
        <f>SUM($C$3:$C$4)/64</f>
        <v/>
      </c>
      <c r="E31" s="104">
        <f>C31+D31</f>
        <v/>
      </c>
      <c r="F31" s="104">
        <f>IF($C$70=0, 0, E31/$C$70)</f>
        <v/>
      </c>
      <c r="G31" s="104">
        <f>F31*$T$5</f>
        <v/>
      </c>
      <c r="H31" s="104" t="n">
        <v>3</v>
      </c>
      <c r="I31" s="104">
        <f>$T$7*H31</f>
        <v/>
      </c>
      <c r="J31" s="104">
        <f>G31+$T$9+I31</f>
        <v/>
      </c>
      <c r="K31" s="104">
        <f>$T$11/64</f>
        <v/>
      </c>
      <c r="L31" s="7" t="n">
        <v>0</v>
      </c>
      <c r="M31" s="104" t="n">
        <v>0</v>
      </c>
      <c r="N31" s="104" t="n">
        <v>0</v>
      </c>
      <c r="O31" s="104" t="n">
        <v>0</v>
      </c>
      <c r="P31" s="109" t="n"/>
      <c r="Q31" s="109" t="n"/>
      <c r="R31" s="109">
        <f>(J31+K31+L31+M31+N31+O31)*$B$2</f>
        <v/>
      </c>
      <c r="S31" s="107" t="n"/>
      <c r="T31" s="110" t="n"/>
    </row>
    <row r="32" ht="12.75" customHeight="1" s="251">
      <c r="A32" s="104" t="inlineStr">
        <is>
          <t>G11</t>
        </is>
      </c>
      <c r="B32" s="13" t="inlineStr">
        <is>
          <t>Ketan Verlekar</t>
        </is>
      </c>
      <c r="C32" s="9" t="n">
        <v>0</v>
      </c>
      <c r="D32" s="104">
        <f>SUM($C$3:$C$4)/64</f>
        <v/>
      </c>
      <c r="E32" s="104">
        <f>C32+D32</f>
        <v/>
      </c>
      <c r="F32" s="104">
        <f>IF($C$70=0, 0, E32/$C$70)</f>
        <v/>
      </c>
      <c r="G32" s="104">
        <f>F32*$T$5</f>
        <v/>
      </c>
      <c r="H32" s="104" t="n">
        <v>3</v>
      </c>
      <c r="I32" s="104">
        <f>$T$7*H32</f>
        <v/>
      </c>
      <c r="J32" s="104">
        <f>G32+$T$9+I32</f>
        <v/>
      </c>
      <c r="K32" s="104">
        <f>$T$11/64</f>
        <v/>
      </c>
      <c r="L32" s="7" t="n">
        <v>0</v>
      </c>
      <c r="M32" s="104" t="n">
        <v>0</v>
      </c>
      <c r="N32" s="104" t="n">
        <v>0</v>
      </c>
      <c r="O32" s="104" t="n">
        <v>0</v>
      </c>
      <c r="P32" s="109" t="n"/>
      <c r="Q32" s="109" t="n"/>
      <c r="R32" s="109">
        <f>(J32+K32+L32+M32+N32+O32)*$B$2</f>
        <v/>
      </c>
      <c r="S32" s="107" t="n"/>
      <c r="T32" s="110" t="n"/>
    </row>
    <row r="33" ht="12.75" customHeight="1" s="251">
      <c r="A33" s="104" t="inlineStr">
        <is>
          <t>G12</t>
        </is>
      </c>
      <c r="B33" s="13" t="inlineStr">
        <is>
          <t>Shyam Nair</t>
        </is>
      </c>
      <c r="C33" s="9" t="n">
        <v>0</v>
      </c>
      <c r="D33" s="104">
        <f>SUM($C$3:$C$4)/64</f>
        <v/>
      </c>
      <c r="E33" s="104">
        <f>C33+D33</f>
        <v/>
      </c>
      <c r="F33" s="104">
        <f>IF($C$70=0, 0, E33/$C$70)</f>
        <v/>
      </c>
      <c r="G33" s="104">
        <f>F33*$T$5</f>
        <v/>
      </c>
      <c r="H33" s="104" t="n">
        <v>3</v>
      </c>
      <c r="I33" s="104">
        <f>$T$7*H33</f>
        <v/>
      </c>
      <c r="J33" s="104">
        <f>G33+$T$9+I33</f>
        <v/>
      </c>
      <c r="K33" s="104">
        <f>$T$11/64</f>
        <v/>
      </c>
      <c r="L33" s="7" t="n">
        <v>0</v>
      </c>
      <c r="M33" s="104" t="n">
        <v>0</v>
      </c>
      <c r="N33" s="104" t="n">
        <v>0</v>
      </c>
      <c r="O33" s="104" t="n">
        <v>0</v>
      </c>
      <c r="P33" s="109" t="n"/>
      <c r="Q33" s="109" t="n"/>
      <c r="R33" s="109">
        <f>(J33+K33+L33+M33+N33+O33)*$B$2</f>
        <v/>
      </c>
      <c r="S33" s="107" t="n"/>
      <c r="T33" s="110" t="n"/>
    </row>
    <row r="34" ht="12.75" customHeight="1" s="251">
      <c r="A34" s="104" t="inlineStr">
        <is>
          <t>G13</t>
        </is>
      </c>
      <c r="B34" s="13" t="inlineStr">
        <is>
          <t>Ajai.B</t>
        </is>
      </c>
      <c r="C34" s="9" t="n">
        <v>0</v>
      </c>
      <c r="D34" s="104">
        <f>SUM($C$3:$C$4)/64</f>
        <v/>
      </c>
      <c r="E34" s="104">
        <f>C34+D34</f>
        <v/>
      </c>
      <c r="F34" s="104">
        <f>IF($C$70=0, 0, E34/$C$70)</f>
        <v/>
      </c>
      <c r="G34" s="104">
        <f>F34*$T$5</f>
        <v/>
      </c>
      <c r="H34" s="104" t="n">
        <v>4</v>
      </c>
      <c r="I34" s="104">
        <f>$T$7*H34</f>
        <v/>
      </c>
      <c r="J34" s="104">
        <f>G34+$T$9+I34</f>
        <v/>
      </c>
      <c r="K34" s="104">
        <f>$T$11/64</f>
        <v/>
      </c>
      <c r="L34" s="7" t="n">
        <v>0</v>
      </c>
      <c r="M34" s="104" t="n">
        <v>0</v>
      </c>
      <c r="N34" s="104" t="n">
        <v>0</v>
      </c>
      <c r="O34" s="104" t="n">
        <v>0</v>
      </c>
      <c r="P34" s="109" t="n"/>
      <c r="Q34" s="109" t="n"/>
      <c r="R34" s="109">
        <f>(J34+K34+L34+M34+N34+O34)*$B$2</f>
        <v/>
      </c>
      <c r="S34" s="107" t="n"/>
      <c r="T34" s="110" t="n"/>
    </row>
    <row r="35" ht="12.75" customHeight="1" s="251">
      <c r="A35" s="104" t="inlineStr">
        <is>
          <t>G14</t>
        </is>
      </c>
      <c r="B35" s="13" t="inlineStr">
        <is>
          <t>Surajit Borah</t>
        </is>
      </c>
      <c r="C35" s="9" t="n">
        <v>0</v>
      </c>
      <c r="D35" s="104">
        <f>SUM($C$3:$C$4)/64</f>
        <v/>
      </c>
      <c r="E35" s="104">
        <f>C35+D35</f>
        <v/>
      </c>
      <c r="F35" s="104">
        <f>IF($C$70=0, 0, E35/$C$70)</f>
        <v/>
      </c>
      <c r="G35" s="104">
        <f>F35*$T$5</f>
        <v/>
      </c>
      <c r="H35" s="104" t="n">
        <v>4</v>
      </c>
      <c r="I35" s="104">
        <f>$T$7*H35</f>
        <v/>
      </c>
      <c r="J35" s="104">
        <f>G35+$T$9+I35</f>
        <v/>
      </c>
      <c r="K35" s="104">
        <f>$T$11/64</f>
        <v/>
      </c>
      <c r="L35" s="7" t="n">
        <v>0</v>
      </c>
      <c r="M35" s="104" t="n">
        <v>0</v>
      </c>
      <c r="N35" s="104" t="n">
        <v>0</v>
      </c>
      <c r="O35" s="104" t="n">
        <v>0</v>
      </c>
      <c r="P35" s="109" t="n"/>
      <c r="Q35" s="109" t="n"/>
      <c r="R35" s="109">
        <f>(J35+K35+L35+M35+N35+O35)*$B$2</f>
        <v/>
      </c>
      <c r="S35" s="107" t="n"/>
      <c r="T35" s="110" t="n"/>
    </row>
    <row r="36" ht="12.75" customHeight="1" s="251">
      <c r="A36" s="104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04">
        <f>SUM($C$3:$C$4)/64</f>
        <v/>
      </c>
      <c r="E36" s="104">
        <f>C36+D36</f>
        <v/>
      </c>
      <c r="F36" s="104">
        <f>IF($C$70=0, 0, E36/$C$70)</f>
        <v/>
      </c>
      <c r="G36" s="104">
        <f>F36*$T$5</f>
        <v/>
      </c>
      <c r="H36" s="104" t="n">
        <v>4</v>
      </c>
      <c r="I36" s="104">
        <f>$T$7*H36</f>
        <v/>
      </c>
      <c r="J36" s="104">
        <f>G36+$T$9+I36</f>
        <v/>
      </c>
      <c r="K36" s="104">
        <f>$T$11/64</f>
        <v/>
      </c>
      <c r="L36" s="7" t="n">
        <v>0</v>
      </c>
      <c r="M36" s="104" t="n">
        <v>0</v>
      </c>
      <c r="N36" s="104" t="n">
        <v>0</v>
      </c>
      <c r="O36" s="104" t="n">
        <v>0</v>
      </c>
      <c r="P36" s="109" t="n"/>
      <c r="Q36" s="109" t="n"/>
      <c r="R36" s="109">
        <f>(J36+K36+L36+M36+N36+O36)*$B$2</f>
        <v/>
      </c>
      <c r="S36" s="107" t="n"/>
      <c r="T36" s="110" t="n"/>
    </row>
    <row r="37" ht="12.75" customHeight="1" s="251">
      <c r="A37" s="104" t="inlineStr">
        <is>
          <t>G16</t>
        </is>
      </c>
      <c r="B37" s="13" t="inlineStr">
        <is>
          <t>Praveen Ganesan</t>
        </is>
      </c>
      <c r="C37" s="9" t="n">
        <v>0</v>
      </c>
      <c r="D37" s="104">
        <f>SUM($C$3:$C$4)/64</f>
        <v/>
      </c>
      <c r="E37" s="104">
        <f>C37+D37</f>
        <v/>
      </c>
      <c r="F37" s="104">
        <f>IF($C$70=0, 0, E37/$C$70)</f>
        <v/>
      </c>
      <c r="G37" s="104">
        <f>F37*$T$5</f>
        <v/>
      </c>
      <c r="H37" s="104" t="n">
        <v>3</v>
      </c>
      <c r="I37" s="104">
        <f>$T$7*H37</f>
        <v/>
      </c>
      <c r="J37" s="104">
        <f>G37+$T$9+I37</f>
        <v/>
      </c>
      <c r="K37" s="104">
        <f>$T$11/64</f>
        <v/>
      </c>
      <c r="L37" s="7" t="n">
        <v>0</v>
      </c>
      <c r="M37" s="104" t="n">
        <v>0</v>
      </c>
      <c r="N37" s="104" t="n">
        <v>0</v>
      </c>
      <c r="O37" s="104" t="n">
        <v>0</v>
      </c>
      <c r="P37" s="109" t="n"/>
      <c r="Q37" s="109" t="n"/>
      <c r="R37" s="109">
        <f>(J37+K37+L37+M37+N37+O37)*$B$2</f>
        <v/>
      </c>
      <c r="S37" s="107" t="n"/>
      <c r="T37" s="110" t="n"/>
    </row>
    <row r="38" ht="12.75" customHeight="1" s="251">
      <c r="A38" s="104" t="inlineStr">
        <is>
          <t>S1</t>
        </is>
      </c>
      <c r="B38" s="13" t="inlineStr">
        <is>
          <t>S.N.Behera</t>
        </is>
      </c>
      <c r="C38" s="9" t="n">
        <v>0</v>
      </c>
      <c r="D38" s="104">
        <f>SUM($C$3:$C$4)/64</f>
        <v/>
      </c>
      <c r="E38" s="104">
        <f>C38+D38</f>
        <v/>
      </c>
      <c r="F38" s="104">
        <f>IF($C$70=0, 0, E38/$C$70)</f>
        <v/>
      </c>
      <c r="G38" s="104">
        <f>F38*$T$5</f>
        <v/>
      </c>
      <c r="H38" s="104" t="n">
        <v>3</v>
      </c>
      <c r="I38" s="104">
        <f>$T$7*H38</f>
        <v/>
      </c>
      <c r="J38" s="104">
        <f>G38+$T$9+I38</f>
        <v/>
      </c>
      <c r="K38" s="104">
        <f>$T$11/64</f>
        <v/>
      </c>
      <c r="L38" s="7" t="n">
        <v>0</v>
      </c>
      <c r="M38" s="104" t="n">
        <v>0</v>
      </c>
      <c r="N38" s="104" t="n">
        <v>0</v>
      </c>
      <c r="O38" s="104" t="n">
        <v>0</v>
      </c>
      <c r="P38" s="109" t="n"/>
      <c r="Q38" s="109" t="n"/>
      <c r="R38" s="109">
        <f>(J38+K38+L38+M38+N38+O38)*$B$2</f>
        <v/>
      </c>
      <c r="S38" s="107" t="n"/>
      <c r="T38" s="110" t="n"/>
    </row>
    <row r="39" ht="12.75" customHeight="1" s="251">
      <c r="A39" s="104" t="inlineStr">
        <is>
          <t>S2</t>
        </is>
      </c>
      <c r="B39" s="13" t="inlineStr">
        <is>
          <t>Sonal Singh</t>
        </is>
      </c>
      <c r="C39" s="9" t="n">
        <v>0</v>
      </c>
      <c r="D39" s="104">
        <f>SUM($C$3:$C$4)/64</f>
        <v/>
      </c>
      <c r="E39" s="104">
        <f>C39+D39</f>
        <v/>
      </c>
      <c r="F39" s="104">
        <f>IF($C$70=0, 0, E39/$C$70)</f>
        <v/>
      </c>
      <c r="G39" s="104">
        <f>F39*$T$5</f>
        <v/>
      </c>
      <c r="H39" s="104" t="n">
        <v>4</v>
      </c>
      <c r="I39" s="104">
        <f>$T$7*H39</f>
        <v/>
      </c>
      <c r="J39" s="104">
        <f>G39+$T$9+I39</f>
        <v/>
      </c>
      <c r="K39" s="104">
        <f>$T$11/64</f>
        <v/>
      </c>
      <c r="L39" s="7" t="n">
        <v>0</v>
      </c>
      <c r="M39" s="104" t="n">
        <v>0</v>
      </c>
      <c r="N39" s="104" t="n">
        <v>0</v>
      </c>
      <c r="O39" s="104" t="n">
        <v>0</v>
      </c>
      <c r="P39" s="109" t="n"/>
      <c r="Q39" s="109" t="n"/>
      <c r="R39" s="109">
        <f>(J39+K39+L39+M39+N39+O39)*$B$2</f>
        <v/>
      </c>
      <c r="S39" s="107" t="n"/>
      <c r="T39" s="110" t="n"/>
    </row>
    <row r="40" ht="12.75" customHeight="1" s="251">
      <c r="A40" s="104" t="inlineStr">
        <is>
          <t>S3</t>
        </is>
      </c>
      <c r="B40" s="13" t="inlineStr">
        <is>
          <t>Koteswararao</t>
        </is>
      </c>
      <c r="C40" s="9" t="n">
        <v>0</v>
      </c>
      <c r="D40" s="104">
        <f>SUM($C$3:$C$4)/64</f>
        <v/>
      </c>
      <c r="E40" s="104">
        <f>C40+D40</f>
        <v/>
      </c>
      <c r="F40" s="104">
        <f>IF($C$70=0, 0, E40/$C$70)</f>
        <v/>
      </c>
      <c r="G40" s="104">
        <f>F40*$T$5</f>
        <v/>
      </c>
      <c r="H40" s="104" t="n">
        <v>4</v>
      </c>
      <c r="I40" s="104">
        <f>$T$7*H40</f>
        <v/>
      </c>
      <c r="J40" s="104">
        <f>G40+$T$9+I40</f>
        <v/>
      </c>
      <c r="K40" s="104">
        <f>$T$11/64</f>
        <v/>
      </c>
      <c r="L40" s="7" t="n">
        <v>0</v>
      </c>
      <c r="M40" s="104" t="n">
        <v>0</v>
      </c>
      <c r="N40" s="104" t="n">
        <v>0</v>
      </c>
      <c r="O40" s="104" t="n">
        <v>0</v>
      </c>
      <c r="P40" s="109" t="n"/>
      <c r="Q40" s="109" t="n"/>
      <c r="R40" s="109">
        <f>(J40+K40+L40+M40+N40+O40)*$B$2</f>
        <v/>
      </c>
      <c r="S40" s="107" t="n"/>
      <c r="T40" s="110" t="n"/>
    </row>
    <row r="41" ht="12.75" customHeight="1" s="251">
      <c r="A41" s="104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04">
        <f>SUM($C$3:$C$4)/64</f>
        <v/>
      </c>
      <c r="E41" s="104">
        <f>C41+D41</f>
        <v/>
      </c>
      <c r="F41" s="104">
        <f>IF($C$70=0, 0, E41/$C$70)</f>
        <v/>
      </c>
      <c r="G41" s="104">
        <f>F41*$T$5</f>
        <v/>
      </c>
      <c r="H41" s="104" t="n">
        <v>3</v>
      </c>
      <c r="I41" s="104">
        <f>$T$7*H41</f>
        <v/>
      </c>
      <c r="J41" s="104">
        <f>G41+$T$9+I41</f>
        <v/>
      </c>
      <c r="K41" s="104">
        <f>$T$11/64</f>
        <v/>
      </c>
      <c r="L41" s="7" t="n">
        <v>0</v>
      </c>
      <c r="M41" s="104" t="n">
        <v>0</v>
      </c>
      <c r="N41" s="104" t="n">
        <v>0</v>
      </c>
      <c r="O41" s="104" t="n">
        <v>0</v>
      </c>
      <c r="P41" s="109" t="n"/>
      <c r="Q41" s="109" t="n"/>
      <c r="R41" s="109">
        <f>(J41+K41+L41+M41+N41+O41)*$B$2</f>
        <v/>
      </c>
      <c r="S41" s="107" t="n"/>
      <c r="T41" s="110" t="n"/>
    </row>
    <row r="42" ht="12.75" customHeight="1" s="251">
      <c r="A42" s="104" t="inlineStr">
        <is>
          <t>S5</t>
        </is>
      </c>
      <c r="B42" s="13" t="inlineStr">
        <is>
          <t>Abhishek Gopalakrishnan</t>
        </is>
      </c>
      <c r="C42" s="9" t="n">
        <v>0</v>
      </c>
      <c r="D42" s="104">
        <f>SUM($C$3:$C$4)/64</f>
        <v/>
      </c>
      <c r="E42" s="104">
        <f>C42+D42</f>
        <v/>
      </c>
      <c r="F42" s="104">
        <f>IF($C$70=0, 0, E42/$C$70)</f>
        <v/>
      </c>
      <c r="G42" s="104">
        <f>F42*$T$5</f>
        <v/>
      </c>
      <c r="H42" s="104" t="n">
        <v>3</v>
      </c>
      <c r="I42" s="104">
        <f>$T$7*H42</f>
        <v/>
      </c>
      <c r="J42" s="104">
        <f>G42+$T$9+I42</f>
        <v/>
      </c>
      <c r="K42" s="104">
        <f>$T$11/64</f>
        <v/>
      </c>
      <c r="L42" s="7" t="n">
        <v>0</v>
      </c>
      <c r="M42" s="104" t="n">
        <v>0</v>
      </c>
      <c r="N42" s="104" t="n">
        <v>0</v>
      </c>
      <c r="O42" s="104" t="n">
        <v>0</v>
      </c>
      <c r="P42" s="109" t="n"/>
      <c r="Q42" s="109" t="n"/>
      <c r="R42" s="109">
        <f>(J42+K42+L42+M42+N42+O42)*$B$2</f>
        <v/>
      </c>
      <c r="S42" s="107" t="n"/>
      <c r="T42" s="110" t="n"/>
    </row>
    <row r="43" ht="12.75" customHeight="1" s="251">
      <c r="A43" s="104" t="inlineStr">
        <is>
          <t>S6</t>
        </is>
      </c>
      <c r="B43" s="30" t="inlineStr">
        <is>
          <t>Vivek Dhingra / Pratyush Das</t>
        </is>
      </c>
      <c r="C43" s="9" t="n">
        <v>0</v>
      </c>
      <c r="D43" s="104">
        <f>SUM($C$3:$C$4)/64</f>
        <v/>
      </c>
      <c r="E43" s="104">
        <f>C43+D43</f>
        <v/>
      </c>
      <c r="F43" s="104">
        <f>IF($C$70=0, 0, E43/$C$70)</f>
        <v/>
      </c>
      <c r="G43" s="104">
        <f>F43*$T$5</f>
        <v/>
      </c>
      <c r="H43" s="104" t="n">
        <v>3</v>
      </c>
      <c r="I43" s="104">
        <f>$T$7*H43</f>
        <v/>
      </c>
      <c r="J43" s="104">
        <f>G43+$T$9+I43</f>
        <v/>
      </c>
      <c r="K43" s="104">
        <f>$T$11/64</f>
        <v/>
      </c>
      <c r="L43" s="7" t="n">
        <v>0</v>
      </c>
      <c r="M43" s="104" t="n">
        <v>0</v>
      </c>
      <c r="N43" s="104" t="n">
        <v>0</v>
      </c>
      <c r="O43" s="104" t="n">
        <v>0</v>
      </c>
      <c r="P43" s="109" t="n"/>
      <c r="Q43" s="109" t="n"/>
      <c r="R43" s="109">
        <f>(J43+K43+L43+M43+N43+O43)*$B$2</f>
        <v/>
      </c>
      <c r="S43" s="107" t="n"/>
      <c r="T43" s="110" t="n"/>
    </row>
    <row r="44" ht="12.75" customHeight="1" s="251">
      <c r="A44" s="104" t="inlineStr">
        <is>
          <t>S7</t>
        </is>
      </c>
      <c r="B44" s="13" t="inlineStr">
        <is>
          <t>Harish B</t>
        </is>
      </c>
      <c r="C44" s="9" t="n">
        <v>0</v>
      </c>
      <c r="D44" s="104">
        <f>SUM($C$3:$C$4)/64</f>
        <v/>
      </c>
      <c r="E44" s="104">
        <f>C44+D44</f>
        <v/>
      </c>
      <c r="F44" s="104">
        <f>IF($C$70=0, 0, E44/$C$70)</f>
        <v/>
      </c>
      <c r="G44" s="104">
        <f>F44*$T$5</f>
        <v/>
      </c>
      <c r="H44" s="104" t="n">
        <v>3</v>
      </c>
      <c r="I44" s="104">
        <f>$T$7*H44</f>
        <v/>
      </c>
      <c r="J44" s="104">
        <f>G44+$T$9+I44</f>
        <v/>
      </c>
      <c r="K44" s="104">
        <f>$T$11/64</f>
        <v/>
      </c>
      <c r="L44" s="7" t="n">
        <v>0</v>
      </c>
      <c r="M44" s="104" t="n">
        <v>0</v>
      </c>
      <c r="N44" s="104" t="n">
        <v>0</v>
      </c>
      <c r="O44" s="104" t="n">
        <v>0</v>
      </c>
      <c r="P44" s="109" t="n"/>
      <c r="Q44" s="109" t="n"/>
      <c r="R44" s="109">
        <f>(J44+K44+L44+M44+N44+O44)*$B$2</f>
        <v/>
      </c>
      <c r="S44" s="107" t="n"/>
      <c r="T44" s="110" t="n"/>
    </row>
    <row r="45" ht="12.75" customHeight="1" s="251">
      <c r="A45" s="104" t="inlineStr">
        <is>
          <t>S8</t>
        </is>
      </c>
      <c r="B45" s="13" t="inlineStr">
        <is>
          <t>Irudayaraj Alwin</t>
        </is>
      </c>
      <c r="C45" s="9" t="n">
        <v>0</v>
      </c>
      <c r="D45" s="104">
        <f>SUM($C$3:$C$4)/64</f>
        <v/>
      </c>
      <c r="E45" s="104">
        <f>C45+D45</f>
        <v/>
      </c>
      <c r="F45" s="104">
        <f>IF($C$70=0, 0, E45/$C$70)</f>
        <v/>
      </c>
      <c r="G45" s="104">
        <f>F45*$T$5</f>
        <v/>
      </c>
      <c r="H45" s="104" t="n">
        <v>3</v>
      </c>
      <c r="I45" s="104">
        <f>$T$7*H45</f>
        <v/>
      </c>
      <c r="J45" s="104">
        <f>G45+$T$9+I45</f>
        <v/>
      </c>
      <c r="K45" s="104">
        <f>$T$11/64</f>
        <v/>
      </c>
      <c r="L45" s="7" t="n">
        <v>0</v>
      </c>
      <c r="M45" s="104" t="n">
        <v>0</v>
      </c>
      <c r="N45" s="104" t="n">
        <v>0</v>
      </c>
      <c r="O45" s="104" t="n">
        <v>0</v>
      </c>
      <c r="P45" s="109" t="n"/>
      <c r="Q45" s="109" t="n"/>
      <c r="R45" s="109">
        <f>(J45+K45+L45+M45+N45+O45)*$B$2</f>
        <v/>
      </c>
      <c r="S45" s="107" t="n"/>
      <c r="T45" s="110" t="n"/>
    </row>
    <row r="46" ht="12.75" customHeight="1" s="251">
      <c r="A46" s="104" t="inlineStr">
        <is>
          <t>S9</t>
        </is>
      </c>
      <c r="B46" s="13" t="inlineStr">
        <is>
          <t>Pawan GS</t>
        </is>
      </c>
      <c r="C46" s="9" t="n">
        <v>0</v>
      </c>
      <c r="D46" s="104">
        <f>SUM($C$3:$C$4)/64</f>
        <v/>
      </c>
      <c r="E46" s="104">
        <f>C46+D46</f>
        <v/>
      </c>
      <c r="F46" s="104">
        <f>IF($C$70=0, 0, E46/$C$70)</f>
        <v/>
      </c>
      <c r="G46" s="104">
        <f>F46*$T$5</f>
        <v/>
      </c>
      <c r="H46" s="104" t="n">
        <v>4</v>
      </c>
      <c r="I46" s="104">
        <f>$T$7*H46</f>
        <v/>
      </c>
      <c r="J46" s="104">
        <f>G46+$T$9+I46</f>
        <v/>
      </c>
      <c r="K46" s="104">
        <f>$T$11/64</f>
        <v/>
      </c>
      <c r="L46" s="7" t="n">
        <v>0</v>
      </c>
      <c r="M46" s="104" t="n">
        <v>0</v>
      </c>
      <c r="N46" s="104" t="n">
        <v>0</v>
      </c>
      <c r="O46" s="104" t="n">
        <v>0</v>
      </c>
      <c r="P46" s="109" t="n"/>
      <c r="Q46" s="109" t="n"/>
      <c r="R46" s="109">
        <f>(J46+K46+L46+M46+N46+O46)*$B$2</f>
        <v/>
      </c>
      <c r="S46" s="107" t="n"/>
      <c r="T46" s="110" t="n"/>
    </row>
    <row r="47" ht="12.75" customHeight="1" s="251">
      <c r="A47" s="104" t="inlineStr">
        <is>
          <t>S10</t>
        </is>
      </c>
      <c r="B47" s="13" t="inlineStr">
        <is>
          <t>Lakshmikanth</t>
        </is>
      </c>
      <c r="C47" s="9" t="n">
        <v>0</v>
      </c>
      <c r="D47" s="104">
        <f>SUM($C$3:$C$4)/64</f>
        <v/>
      </c>
      <c r="E47" s="104">
        <f>C47+D47</f>
        <v/>
      </c>
      <c r="F47" s="104">
        <f>IF($C$70=0, 0, E47/$C$70)</f>
        <v/>
      </c>
      <c r="G47" s="104">
        <f>F47*$T$5</f>
        <v/>
      </c>
      <c r="H47" s="104" t="n">
        <v>3</v>
      </c>
      <c r="I47" s="104">
        <f>$T$7*H47</f>
        <v/>
      </c>
      <c r="J47" s="104">
        <f>G47+$T$9+I47</f>
        <v/>
      </c>
      <c r="K47" s="104">
        <f>$T$11/64</f>
        <v/>
      </c>
      <c r="L47" s="7" t="n">
        <v>0</v>
      </c>
      <c r="M47" s="104" t="n">
        <v>0</v>
      </c>
      <c r="N47" s="104" t="n">
        <v>0</v>
      </c>
      <c r="O47" s="104" t="n">
        <v>0</v>
      </c>
      <c r="P47" s="109" t="n"/>
      <c r="Q47" s="109" t="n"/>
      <c r="R47" s="109">
        <f>(J47+K47+L47+M47+N47+O47)*$B$2</f>
        <v/>
      </c>
      <c r="S47" s="107" t="n"/>
      <c r="T47" s="110" t="n"/>
    </row>
    <row r="48" ht="12.75" customHeight="1" s="251">
      <c r="A48" s="104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04">
        <f>SUM($C$3:$C$4)/64</f>
        <v/>
      </c>
      <c r="E48" s="104">
        <f>C48+D48</f>
        <v/>
      </c>
      <c r="F48" s="104">
        <f>IF($C$70=0, 0, E48/$C$70)</f>
        <v/>
      </c>
      <c r="G48" s="104">
        <f>F48*$T$5</f>
        <v/>
      </c>
      <c r="H48" s="104" t="n">
        <v>3</v>
      </c>
      <c r="I48" s="104">
        <f>$T$7*H48</f>
        <v/>
      </c>
      <c r="J48" s="104">
        <f>G48+$T$9+I48</f>
        <v/>
      </c>
      <c r="K48" s="104">
        <f>$T$11/64</f>
        <v/>
      </c>
      <c r="L48" s="7" t="n">
        <v>0</v>
      </c>
      <c r="M48" s="104" t="n">
        <v>0</v>
      </c>
      <c r="N48" s="104" t="n">
        <v>0</v>
      </c>
      <c r="O48" s="104" t="n">
        <v>0</v>
      </c>
      <c r="P48" s="109" t="n"/>
      <c r="Q48" s="109" t="n"/>
      <c r="R48" s="109">
        <f>(J48+K48+L48+M48+N48+O48)*$B$2</f>
        <v/>
      </c>
      <c r="S48" s="107" t="n"/>
      <c r="T48" s="110" t="n"/>
    </row>
    <row r="49" ht="12.75" customHeight="1" s="251">
      <c r="A49" s="104" t="inlineStr">
        <is>
          <t>S12</t>
        </is>
      </c>
      <c r="B49" s="13" t="inlineStr">
        <is>
          <t>Saovik Mondal</t>
        </is>
      </c>
      <c r="C49" s="9" t="n">
        <v>0</v>
      </c>
      <c r="D49" s="104">
        <f>SUM($C$3:$C$4)/64</f>
        <v/>
      </c>
      <c r="E49" s="104">
        <f>C49+D49</f>
        <v/>
      </c>
      <c r="F49" s="104">
        <f>IF($C$70=0, 0, E49/$C$70)</f>
        <v/>
      </c>
      <c r="G49" s="104">
        <f>F49*$T$5</f>
        <v/>
      </c>
      <c r="H49" s="104" t="n">
        <v>3</v>
      </c>
      <c r="I49" s="104">
        <f>$T$7*H49</f>
        <v/>
      </c>
      <c r="J49" s="104">
        <f>G49+$T$9+I49</f>
        <v/>
      </c>
      <c r="K49" s="104">
        <f>$T$11/64</f>
        <v/>
      </c>
      <c r="L49" s="7" t="n">
        <v>0</v>
      </c>
      <c r="M49" s="104" t="n">
        <v>0</v>
      </c>
      <c r="N49" s="104" t="n">
        <v>0</v>
      </c>
      <c r="O49" s="104" t="n">
        <v>0</v>
      </c>
      <c r="P49" s="109" t="n"/>
      <c r="Q49" s="109" t="n"/>
      <c r="R49" s="109">
        <f>(J49+K49+L49+M49+N49+O49)*$B$2</f>
        <v/>
      </c>
      <c r="S49" s="107" t="n"/>
      <c r="T49" s="110" t="n"/>
    </row>
    <row r="50" ht="12.75" customHeight="1" s="251">
      <c r="A50" s="104" t="inlineStr">
        <is>
          <t>S13</t>
        </is>
      </c>
      <c r="B50" s="13" t="inlineStr">
        <is>
          <t>Ramadevi S.</t>
        </is>
      </c>
      <c r="C50" s="9" t="n">
        <v>0</v>
      </c>
      <c r="D50" s="104">
        <f>SUM($C$3:$C$4)/64</f>
        <v/>
      </c>
      <c r="E50" s="104">
        <f>C50+D50</f>
        <v/>
      </c>
      <c r="F50" s="104">
        <f>IF($C$70=0, 0, E50/$C$70)</f>
        <v/>
      </c>
      <c r="G50" s="104">
        <f>F50*$T$5</f>
        <v/>
      </c>
      <c r="H50" s="104" t="n">
        <v>4</v>
      </c>
      <c r="I50" s="104">
        <f>$T$7*H50</f>
        <v/>
      </c>
      <c r="J50" s="104">
        <f>G50+$T$9+I50</f>
        <v/>
      </c>
      <c r="K50" s="104">
        <f>$T$11/64</f>
        <v/>
      </c>
      <c r="L50" s="7" t="n">
        <v>0</v>
      </c>
      <c r="M50" s="104" t="n">
        <v>0</v>
      </c>
      <c r="N50" s="104" t="n">
        <v>0</v>
      </c>
      <c r="O50" s="104" t="n">
        <v>0</v>
      </c>
      <c r="P50" s="109" t="n"/>
      <c r="Q50" s="109" t="n"/>
      <c r="R50" s="109">
        <f>(J50+K50+L50+M50+N50+O50)*$B$2</f>
        <v/>
      </c>
      <c r="S50" s="107" t="n"/>
      <c r="T50" s="110" t="n"/>
    </row>
    <row r="51" ht="12.75" customHeight="1" s="251">
      <c r="A51" s="104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04">
        <f>SUM($C$3:$C$4)/64</f>
        <v/>
      </c>
      <c r="E51" s="104">
        <f>C51+D51</f>
        <v/>
      </c>
      <c r="F51" s="104">
        <f>IF($C$70=0, 0, E51/$C$70)</f>
        <v/>
      </c>
      <c r="G51" s="104">
        <f>F51*$T$5</f>
        <v/>
      </c>
      <c r="H51" s="104" t="n">
        <v>4</v>
      </c>
      <c r="I51" s="104">
        <f>$T$7*H51</f>
        <v/>
      </c>
      <c r="J51" s="104">
        <f>G51+$T$9+I51</f>
        <v/>
      </c>
      <c r="K51" s="104">
        <f>$T$11/64</f>
        <v/>
      </c>
      <c r="L51" s="7" t="n">
        <v>0</v>
      </c>
      <c r="M51" s="104" t="n">
        <v>0</v>
      </c>
      <c r="N51" s="104" t="n">
        <v>0</v>
      </c>
      <c r="O51" s="104" t="n">
        <v>0</v>
      </c>
      <c r="P51" s="109" t="n"/>
      <c r="Q51" s="109" t="n"/>
      <c r="R51" s="109">
        <f>(J51+K51+L51+M51+N51+O51)*$B$2</f>
        <v/>
      </c>
      <c r="S51" s="107" t="n"/>
      <c r="T51" s="110" t="n"/>
    </row>
    <row r="52" ht="12.75" customHeight="1" s="251">
      <c r="A52" s="104" t="inlineStr">
        <is>
          <t>S15</t>
        </is>
      </c>
      <c r="B52" s="13" t="inlineStr">
        <is>
          <t>Manas Dasgupta</t>
        </is>
      </c>
      <c r="C52" s="9" t="n">
        <v>0</v>
      </c>
      <c r="D52" s="104">
        <f>SUM($C$3:$C$4)/64</f>
        <v/>
      </c>
      <c r="E52" s="104">
        <f>C52+D52</f>
        <v/>
      </c>
      <c r="F52" s="104">
        <f>IF($C$70=0, 0, E52/$C$70)</f>
        <v/>
      </c>
      <c r="G52" s="104">
        <f>F52*$T$5</f>
        <v/>
      </c>
      <c r="H52" s="104" t="n">
        <v>4</v>
      </c>
      <c r="I52" s="104">
        <f>$T$7*H52</f>
        <v/>
      </c>
      <c r="J52" s="104">
        <f>G52+$T$9+I52</f>
        <v/>
      </c>
      <c r="K52" s="104">
        <f>$T$11/64</f>
        <v/>
      </c>
      <c r="L52" s="7" t="n">
        <v>0</v>
      </c>
      <c r="M52" s="104" t="n">
        <v>0</v>
      </c>
      <c r="N52" s="104" t="n">
        <v>0</v>
      </c>
      <c r="O52" s="104" t="n">
        <v>0</v>
      </c>
      <c r="P52" s="109" t="n"/>
      <c r="Q52" s="109" t="n"/>
      <c r="R52" s="109">
        <f>(J52+K52+L52+M52+N52+O52)*$B$2</f>
        <v/>
      </c>
      <c r="S52" s="107" t="n"/>
      <c r="T52" s="110" t="n"/>
    </row>
    <row r="53" ht="12.75" customHeight="1" s="251">
      <c r="A53" s="104" t="inlineStr">
        <is>
          <t>S16</t>
        </is>
      </c>
      <c r="B53" s="13" t="inlineStr">
        <is>
          <t>Devendra Singh Rawat / Nancy</t>
        </is>
      </c>
      <c r="C53" s="9" t="n">
        <v>0</v>
      </c>
      <c r="D53" s="104">
        <f>SUM($C$3:$C$4)/64</f>
        <v/>
      </c>
      <c r="E53" s="104">
        <f>C53+D53</f>
        <v/>
      </c>
      <c r="F53" s="104">
        <f>IF($C$70=0, 0, E53/$C$70)</f>
        <v/>
      </c>
      <c r="G53" s="104">
        <f>F53*$T$5</f>
        <v/>
      </c>
      <c r="H53" s="104" t="n">
        <v>3</v>
      </c>
      <c r="I53" s="104">
        <f>$T$7*H53</f>
        <v/>
      </c>
      <c r="J53" s="104">
        <f>G53+$T$9+I53</f>
        <v/>
      </c>
      <c r="K53" s="104">
        <f>$T$11/64</f>
        <v/>
      </c>
      <c r="L53" s="7" t="n">
        <v>0</v>
      </c>
      <c r="M53" s="104" t="n">
        <v>0</v>
      </c>
      <c r="N53" s="104" t="n">
        <v>0</v>
      </c>
      <c r="O53" s="104" t="n">
        <v>0</v>
      </c>
      <c r="P53" s="109" t="n"/>
      <c r="Q53" s="109" t="n"/>
      <c r="R53" s="109">
        <f>(J53+K53+L53+M53+N53+O53)*$B$2</f>
        <v/>
      </c>
      <c r="S53" s="107" t="n"/>
      <c r="T53" s="110" t="n"/>
    </row>
    <row r="54" ht="12.75" customHeight="1" s="251">
      <c r="A54" s="104" t="inlineStr">
        <is>
          <t>T1</t>
        </is>
      </c>
      <c r="B54" s="13" t="inlineStr">
        <is>
          <t>Prashant Sikdar</t>
        </is>
      </c>
      <c r="C54" s="9" t="n">
        <v>0</v>
      </c>
      <c r="D54" s="104">
        <f>SUM($C$3:$C$4)/64</f>
        <v/>
      </c>
      <c r="E54" s="104">
        <f>C54+D54</f>
        <v/>
      </c>
      <c r="F54" s="104">
        <f>IF($C$70=0, 0, E54/$C$70)</f>
        <v/>
      </c>
      <c r="G54" s="104">
        <f>F54*$T$5</f>
        <v/>
      </c>
      <c r="H54" s="104" t="n">
        <v>3</v>
      </c>
      <c r="I54" s="104">
        <f>$T$7*H54</f>
        <v/>
      </c>
      <c r="J54" s="104">
        <f>G54+$T$9+I54</f>
        <v/>
      </c>
      <c r="K54" s="104">
        <f>$T$11/64</f>
        <v/>
      </c>
      <c r="L54" s="7" t="n">
        <v>0</v>
      </c>
      <c r="M54" s="104" t="n">
        <v>0</v>
      </c>
      <c r="N54" s="104" t="n">
        <v>0</v>
      </c>
      <c r="O54" s="104" t="n">
        <v>0</v>
      </c>
      <c r="P54" s="109" t="n"/>
      <c r="Q54" s="109" t="n"/>
      <c r="R54" s="109">
        <f>(J54+K54+L54+M54+N54+O54)*$B$2</f>
        <v/>
      </c>
      <c r="S54" s="107" t="n"/>
      <c r="T54" s="110" t="n"/>
    </row>
    <row r="55" ht="12.75" customHeight="1" s="251">
      <c r="A55" s="104" t="inlineStr">
        <is>
          <t>T2</t>
        </is>
      </c>
      <c r="B55" s="13" t="inlineStr">
        <is>
          <t>Kunal Mehta</t>
        </is>
      </c>
      <c r="C55" s="9" t="n">
        <v>0</v>
      </c>
      <c r="D55" s="104">
        <f>SUM($C$3:$C$4)/64</f>
        <v/>
      </c>
      <c r="E55" s="104">
        <f>C55+D55</f>
        <v/>
      </c>
      <c r="F55" s="104">
        <f>IF($C$70=0, 0, E55/$C$70)</f>
        <v/>
      </c>
      <c r="G55" s="104">
        <f>F55*$T$5</f>
        <v/>
      </c>
      <c r="H55" s="104" t="n">
        <v>4</v>
      </c>
      <c r="I55" s="104">
        <f>$T$7*H55</f>
        <v/>
      </c>
      <c r="J55" s="104">
        <f>G55+$T$9+I55</f>
        <v/>
      </c>
      <c r="K55" s="104">
        <f>$T$11/64</f>
        <v/>
      </c>
      <c r="L55" s="7" t="n">
        <v>0</v>
      </c>
      <c r="M55" s="104" t="n">
        <v>0</v>
      </c>
      <c r="N55" s="104" t="n">
        <v>0</v>
      </c>
      <c r="O55" s="104" t="n">
        <v>0</v>
      </c>
      <c r="P55" s="109" t="n"/>
      <c r="Q55" s="109" t="n"/>
      <c r="R55" s="109">
        <f>(J55+K55+L55+M55+N55+O55)*$B$2</f>
        <v/>
      </c>
      <c r="S55" s="107" t="n"/>
      <c r="T55" s="110" t="n"/>
    </row>
    <row r="56" ht="12.75" customHeight="1" s="251">
      <c r="A56" s="104" t="inlineStr">
        <is>
          <t>T3</t>
        </is>
      </c>
      <c r="B56" s="13" t="inlineStr">
        <is>
          <t>Kapil Garg</t>
        </is>
      </c>
      <c r="C56" s="9" t="n">
        <v>0</v>
      </c>
      <c r="D56" s="104">
        <f>SUM($C$3:$C$4)/64</f>
        <v/>
      </c>
      <c r="E56" s="104">
        <f>C56+D56</f>
        <v/>
      </c>
      <c r="F56" s="104">
        <f>IF($C$70=0, 0, E56/$C$70)</f>
        <v/>
      </c>
      <c r="G56" s="104">
        <f>F56*$T$5</f>
        <v/>
      </c>
      <c r="H56" s="104" t="n">
        <v>4</v>
      </c>
      <c r="I56" s="104">
        <f>$T$7*H56</f>
        <v/>
      </c>
      <c r="J56" s="104">
        <f>G56+$T$9+I56</f>
        <v/>
      </c>
      <c r="K56" s="104">
        <f>$T$11/64</f>
        <v/>
      </c>
      <c r="L56" s="7" t="n">
        <v>0</v>
      </c>
      <c r="M56" s="104" t="n">
        <v>0</v>
      </c>
      <c r="N56" s="104" t="n">
        <v>0</v>
      </c>
      <c r="O56" s="104" t="n">
        <v>0</v>
      </c>
      <c r="P56" s="109" t="n"/>
      <c r="Q56" s="109" t="n"/>
      <c r="R56" s="109">
        <f>(J56+K56+L56+M56+N56+O56)*$B$2</f>
        <v/>
      </c>
      <c r="S56" s="107" t="n"/>
      <c r="T56" s="110" t="n"/>
    </row>
    <row r="57" ht="12.75" customHeight="1" s="251">
      <c r="A57" s="104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04">
        <f>SUM($C$3:$C$4)/64</f>
        <v/>
      </c>
      <c r="E57" s="104">
        <f>C57+D57</f>
        <v/>
      </c>
      <c r="F57" s="104">
        <f>IF($C$70=0, 0, E57/$C$70)</f>
        <v/>
      </c>
      <c r="G57" s="104">
        <f>F57*$T$5</f>
        <v/>
      </c>
      <c r="H57" s="104" t="n">
        <v>4</v>
      </c>
      <c r="I57" s="104">
        <f>$T$7*H57</f>
        <v/>
      </c>
      <c r="J57" s="104">
        <f>G57+$T$9+I57</f>
        <v/>
      </c>
      <c r="K57" s="104">
        <f>$T$11/64</f>
        <v/>
      </c>
      <c r="L57" s="7" t="n">
        <v>0</v>
      </c>
      <c r="M57" s="104" t="n">
        <v>0</v>
      </c>
      <c r="N57" s="104" t="n">
        <v>0</v>
      </c>
      <c r="O57" s="104" t="n">
        <v>0</v>
      </c>
      <c r="P57" s="109" t="n"/>
      <c r="Q57" s="109" t="n"/>
      <c r="R57" s="109">
        <f>(J57+K57+L57+M57+N57+O57)*$B$2</f>
        <v/>
      </c>
      <c r="S57" s="107" t="n"/>
      <c r="T57" s="110" t="n"/>
    </row>
    <row r="58" ht="12.75" customHeight="1" s="251">
      <c r="A58" s="104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04">
        <f>SUM($C$3:$C$4)/64</f>
        <v/>
      </c>
      <c r="E58" s="104">
        <f>C58+D58</f>
        <v/>
      </c>
      <c r="F58" s="104">
        <f>IF($C$70=0, 0, E58/$C$70)</f>
        <v/>
      </c>
      <c r="G58" s="104">
        <f>F58*$T$5</f>
        <v/>
      </c>
      <c r="H58" s="104" t="n">
        <v>3</v>
      </c>
      <c r="I58" s="104">
        <f>$T$7*H58</f>
        <v/>
      </c>
      <c r="J58" s="104">
        <f>G58+$T$9+I58</f>
        <v/>
      </c>
      <c r="K58" s="104">
        <f>$T$11/64</f>
        <v/>
      </c>
      <c r="L58" s="7" t="n">
        <v>0</v>
      </c>
      <c r="M58" s="104" t="n">
        <v>0</v>
      </c>
      <c r="N58" s="104" t="n">
        <v>0</v>
      </c>
      <c r="O58" s="104" t="n">
        <v>0</v>
      </c>
      <c r="P58" s="109" t="n"/>
      <c r="Q58" s="109" t="n"/>
      <c r="R58" s="109">
        <f>(J58+K58+L58+M58+N58+O58)*$B$2</f>
        <v/>
      </c>
      <c r="S58" s="107" t="n"/>
      <c r="T58" s="110" t="n"/>
    </row>
    <row r="59" ht="12.75" customHeight="1" s="251">
      <c r="A59" s="104" t="inlineStr">
        <is>
          <t>T6</t>
        </is>
      </c>
      <c r="B59" s="13" t="inlineStr">
        <is>
          <t>Mythili Ramesh</t>
        </is>
      </c>
      <c r="C59" s="9" t="n">
        <v>0</v>
      </c>
      <c r="D59" s="104">
        <f>SUM($C$3:$C$4)/64</f>
        <v/>
      </c>
      <c r="E59" s="104">
        <f>C59+D59</f>
        <v/>
      </c>
      <c r="F59" s="104">
        <f>IF($C$70=0, 0, E59/$C$70)</f>
        <v/>
      </c>
      <c r="G59" s="104">
        <f>F59*$T$5</f>
        <v/>
      </c>
      <c r="H59" s="104" t="n">
        <v>3</v>
      </c>
      <c r="I59" s="104">
        <f>$T$7*H59</f>
        <v/>
      </c>
      <c r="J59" s="104">
        <f>G59+$T$9+I59</f>
        <v/>
      </c>
      <c r="K59" s="104">
        <f>$T$11/64</f>
        <v/>
      </c>
      <c r="L59" s="7" t="n">
        <v>0</v>
      </c>
      <c r="M59" s="104" t="n">
        <v>0</v>
      </c>
      <c r="N59" s="104" t="n">
        <v>0</v>
      </c>
      <c r="O59" s="104" t="n">
        <v>0</v>
      </c>
      <c r="P59" s="109" t="n"/>
      <c r="Q59" s="109" t="n"/>
      <c r="R59" s="109">
        <f>(J59+K59+L59+M59+N59+O59)*$B$2</f>
        <v/>
      </c>
      <c r="S59" s="107" t="n"/>
      <c r="T59" s="110" t="n"/>
    </row>
    <row r="60" ht="12.75" customHeight="1" s="251">
      <c r="A60" s="104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04">
        <f>SUM($C$3:$C$4)/64</f>
        <v/>
      </c>
      <c r="E60" s="104">
        <f>C60+D60</f>
        <v/>
      </c>
      <c r="F60" s="104">
        <f>IF($C$70=0, 0, E60/$C$70)</f>
        <v/>
      </c>
      <c r="G60" s="104">
        <f>F60*$T$5</f>
        <v/>
      </c>
      <c r="H60" s="104" t="n">
        <v>3</v>
      </c>
      <c r="I60" s="104">
        <f>$T$7*H60</f>
        <v/>
      </c>
      <c r="J60" s="104">
        <f>G60+$T$9+I60</f>
        <v/>
      </c>
      <c r="K60" s="104">
        <f>$T$11/64</f>
        <v/>
      </c>
      <c r="L60" s="7" t="n">
        <v>0</v>
      </c>
      <c r="M60" s="104" t="n">
        <v>0</v>
      </c>
      <c r="N60" s="104" t="n">
        <v>0</v>
      </c>
      <c r="O60" s="104" t="n">
        <v>0</v>
      </c>
      <c r="P60" s="109" t="n"/>
      <c r="Q60" s="109" t="n"/>
      <c r="R60" s="109">
        <f>(J60+K60+L60+M60+N60+O60)*$B$2</f>
        <v/>
      </c>
      <c r="S60" s="107" t="n"/>
      <c r="T60" s="110" t="n"/>
    </row>
    <row r="61" ht="12.75" customHeight="1" s="251">
      <c r="A61" s="104" t="inlineStr">
        <is>
          <t>T8</t>
        </is>
      </c>
      <c r="B61" s="13" t="inlineStr">
        <is>
          <t>Lalit Kumar Sharma</t>
        </is>
      </c>
      <c r="C61" s="9" t="n">
        <v>0</v>
      </c>
      <c r="D61" s="104">
        <f>SUM($C$3:$C$4)/64</f>
        <v/>
      </c>
      <c r="E61" s="104">
        <f>C61+D61</f>
        <v/>
      </c>
      <c r="F61" s="104">
        <f>IF($C$70=0, 0, E61/$C$70)</f>
        <v/>
      </c>
      <c r="G61" s="104">
        <f>F61*$T$5</f>
        <v/>
      </c>
      <c r="H61" s="104" t="n">
        <v>3</v>
      </c>
      <c r="I61" s="104">
        <f>$T$7*H61</f>
        <v/>
      </c>
      <c r="J61" s="104">
        <f>G61+$T$9+I61</f>
        <v/>
      </c>
      <c r="K61" s="104">
        <f>$T$11/64</f>
        <v/>
      </c>
      <c r="L61" s="7" t="n">
        <v>0</v>
      </c>
      <c r="M61" s="104" t="n">
        <v>0</v>
      </c>
      <c r="N61" s="104" t="n">
        <v>0</v>
      </c>
      <c r="O61" s="104" t="n">
        <v>0</v>
      </c>
      <c r="P61" s="109" t="n"/>
      <c r="Q61" s="109" t="n"/>
      <c r="R61" s="109">
        <f>(J61+K61+L61+M61+N61+O61)*$B$2</f>
        <v/>
      </c>
      <c r="S61" s="107" t="n"/>
      <c r="T61" s="110" t="n"/>
    </row>
    <row r="62" ht="12.75" customHeight="1" s="251">
      <c r="A62" s="104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04">
        <f>SUM($C$3:$C$4)/64</f>
        <v/>
      </c>
      <c r="E62" s="104">
        <f>C62+D62</f>
        <v/>
      </c>
      <c r="F62" s="104">
        <f>IF($C$70=0, 0, E62/$C$70)</f>
        <v/>
      </c>
      <c r="G62" s="104">
        <f>F62*$T$5</f>
        <v/>
      </c>
      <c r="H62" s="104" t="n">
        <v>4</v>
      </c>
      <c r="I62" s="104">
        <f>$T$7*H62</f>
        <v/>
      </c>
      <c r="J62" s="104">
        <f>G62+$T$9+I62</f>
        <v/>
      </c>
      <c r="K62" s="104">
        <f>$T$11/64</f>
        <v/>
      </c>
      <c r="L62" s="7" t="n">
        <v>0</v>
      </c>
      <c r="M62" s="104" t="n">
        <v>0</v>
      </c>
      <c r="N62" s="104" t="n">
        <v>0</v>
      </c>
      <c r="O62" s="104" t="n">
        <v>0</v>
      </c>
      <c r="P62" s="109" t="n"/>
      <c r="Q62" s="109" t="n"/>
      <c r="R62" s="109">
        <f>(J62+K62+L62+M62+N62+O62)*$B$2</f>
        <v/>
      </c>
      <c r="S62" s="107" t="n"/>
      <c r="T62" s="110" t="n"/>
    </row>
    <row r="63" ht="12.75" customHeight="1" s="251">
      <c r="A63" s="104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04">
        <f>SUM($C$3:$C$4)/64</f>
        <v/>
      </c>
      <c r="E63" s="104">
        <f>C63+D63</f>
        <v/>
      </c>
      <c r="F63" s="104">
        <f>IF($C$70=0, 0, E63/$C$70)</f>
        <v/>
      </c>
      <c r="G63" s="104">
        <f>F63*$T$5</f>
        <v/>
      </c>
      <c r="H63" s="104" t="n">
        <v>3</v>
      </c>
      <c r="I63" s="104">
        <f>$T$7*H63</f>
        <v/>
      </c>
      <c r="J63" s="104">
        <f>G63+$T$9+I63</f>
        <v/>
      </c>
      <c r="K63" s="104">
        <f>$T$11/64</f>
        <v/>
      </c>
      <c r="L63" s="7" t="n">
        <v>0</v>
      </c>
      <c r="M63" s="104" t="n">
        <v>0</v>
      </c>
      <c r="N63" s="104" t="n">
        <v>0</v>
      </c>
      <c r="O63" s="104" t="n">
        <v>0</v>
      </c>
      <c r="P63" s="109" t="n"/>
      <c r="Q63" s="109" t="n"/>
      <c r="R63" s="109">
        <f>(J63+K63+L63+M63+N63+O63)*$B$2</f>
        <v/>
      </c>
      <c r="S63" s="107" t="n"/>
      <c r="T63" s="110" t="n"/>
    </row>
    <row r="64" ht="12.75" customHeight="1" s="251">
      <c r="A64" s="104" t="inlineStr">
        <is>
          <t>T11</t>
        </is>
      </c>
      <c r="B64" s="13" t="inlineStr">
        <is>
          <t>Arvind Balasubramanian</t>
        </is>
      </c>
      <c r="C64" s="9" t="n">
        <v>0</v>
      </c>
      <c r="D64" s="104">
        <f>SUM($C$3:$C$4)/64</f>
        <v/>
      </c>
      <c r="E64" s="104">
        <f>C64+D64</f>
        <v/>
      </c>
      <c r="F64" s="104">
        <f>IF($C$70=0, 0, E64/$C$70)</f>
        <v/>
      </c>
      <c r="G64" s="104">
        <f>F64*$T$5</f>
        <v/>
      </c>
      <c r="H64" s="104" t="n">
        <v>3</v>
      </c>
      <c r="I64" s="104">
        <f>$T$7*H64</f>
        <v/>
      </c>
      <c r="J64" s="104">
        <f>G64+$T$9+I64</f>
        <v/>
      </c>
      <c r="K64" s="104">
        <f>$T$11/64</f>
        <v/>
      </c>
      <c r="L64" s="7" t="n">
        <v>0</v>
      </c>
      <c r="M64" s="104" t="n">
        <v>0</v>
      </c>
      <c r="N64" s="104" t="n">
        <v>0</v>
      </c>
      <c r="O64" s="104" t="n">
        <v>0</v>
      </c>
      <c r="P64" s="109" t="n"/>
      <c r="Q64" s="109" t="n"/>
      <c r="R64" s="109">
        <f>(J64+K64+L64+M64+N64+O64)*$B$2</f>
        <v/>
      </c>
      <c r="S64" s="107" t="n"/>
      <c r="T64" s="110" t="n"/>
    </row>
    <row r="65" ht="12.75" customHeight="1" s="251">
      <c r="A65" s="104" t="inlineStr">
        <is>
          <t>T12</t>
        </is>
      </c>
      <c r="B65" s="13" t="inlineStr">
        <is>
          <t>Prasenjit</t>
        </is>
      </c>
      <c r="C65" s="9" t="n">
        <v>0</v>
      </c>
      <c r="D65" s="104">
        <f>SUM($C$3:$C$4)/64</f>
        <v/>
      </c>
      <c r="E65" s="104">
        <f>C65+D65</f>
        <v/>
      </c>
      <c r="F65" s="104">
        <f>IF($C$70=0, 0, E65/$C$70)</f>
        <v/>
      </c>
      <c r="G65" s="104">
        <f>F65*$T$5</f>
        <v/>
      </c>
      <c r="H65" s="104" t="n">
        <v>3</v>
      </c>
      <c r="I65" s="104">
        <f>$T$7*H65</f>
        <v/>
      </c>
      <c r="J65" s="104">
        <f>G65+$T$9+I65</f>
        <v/>
      </c>
      <c r="K65" s="104">
        <f>$T$11/64</f>
        <v/>
      </c>
      <c r="L65" s="7" t="n">
        <v>0</v>
      </c>
      <c r="M65" s="104" t="n">
        <v>0</v>
      </c>
      <c r="N65" s="104" t="n">
        <v>0</v>
      </c>
      <c r="O65" s="104" t="n">
        <v>0</v>
      </c>
      <c r="P65" s="109" t="n"/>
      <c r="Q65" s="109" t="n"/>
      <c r="R65" s="109">
        <f>(J65+K65+L65+M65+N65+O65)*$B$2</f>
        <v/>
      </c>
      <c r="S65" s="107" t="n"/>
      <c r="T65" s="110" t="n"/>
    </row>
    <row r="66" ht="12.75" customHeight="1" s="251">
      <c r="A66" s="104" t="inlineStr">
        <is>
          <t>T13</t>
        </is>
      </c>
      <c r="B66" s="13" t="inlineStr">
        <is>
          <t>Rahul Kumar</t>
        </is>
      </c>
      <c r="C66" s="9" t="n">
        <v>0</v>
      </c>
      <c r="D66" s="104">
        <f>SUM($C$3:$C$4)/64</f>
        <v/>
      </c>
      <c r="E66" s="104">
        <f>C66+D66</f>
        <v/>
      </c>
      <c r="F66" s="104">
        <f>IF($C$70=0, 0, E66/$C$70)</f>
        <v/>
      </c>
      <c r="G66" s="104">
        <f>F66*$T$5</f>
        <v/>
      </c>
      <c r="H66" s="104" t="n">
        <v>4</v>
      </c>
      <c r="I66" s="104">
        <f>$T$7*H66</f>
        <v/>
      </c>
      <c r="J66" s="104">
        <f>G66+$T$9+I66</f>
        <v/>
      </c>
      <c r="K66" s="104">
        <f>$T$11/64</f>
        <v/>
      </c>
      <c r="L66" s="7" t="n">
        <v>0</v>
      </c>
      <c r="M66" s="104" t="n">
        <v>0</v>
      </c>
      <c r="N66" s="104" t="n">
        <v>0</v>
      </c>
      <c r="O66" s="104" t="n">
        <v>0</v>
      </c>
      <c r="P66" s="109" t="n"/>
      <c r="Q66" s="109" t="n"/>
      <c r="R66" s="109">
        <f>(J66+K66+L66+M66+N66+O66)*$B$2</f>
        <v/>
      </c>
      <c r="S66" s="107" t="n"/>
      <c r="T66" s="110" t="n"/>
    </row>
    <row r="67" ht="12.75" customHeight="1" s="251">
      <c r="A67" s="104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04">
        <f>SUM($C$3:$C$4)/64</f>
        <v/>
      </c>
      <c r="E67" s="104">
        <f>C67+D67</f>
        <v/>
      </c>
      <c r="F67" s="104">
        <f>IF($C$70=0, 0, E67/$C$70)</f>
        <v/>
      </c>
      <c r="G67" s="104">
        <f>F67*$T$5</f>
        <v/>
      </c>
      <c r="H67" s="104" t="n">
        <v>4</v>
      </c>
      <c r="I67" s="104">
        <f>$T$7*H67</f>
        <v/>
      </c>
      <c r="J67" s="104">
        <f>G67+$T$9+I67</f>
        <v/>
      </c>
      <c r="K67" s="104">
        <f>$T$11/64</f>
        <v/>
      </c>
      <c r="L67" s="7" t="n">
        <v>0</v>
      </c>
      <c r="M67" s="104" t="n">
        <v>0</v>
      </c>
      <c r="N67" s="104" t="n">
        <v>0</v>
      </c>
      <c r="O67" s="104" t="n">
        <v>0</v>
      </c>
      <c r="P67" s="109" t="n"/>
      <c r="Q67" s="109" t="n"/>
      <c r="R67" s="109">
        <f>(J67+K67+L67+M67+N67+O67)*$B$2</f>
        <v/>
      </c>
      <c r="S67" s="107" t="n"/>
      <c r="T67" s="110" t="n"/>
    </row>
    <row r="68" ht="12.75" customHeight="1" s="251">
      <c r="A68" s="104" t="inlineStr">
        <is>
          <t>T15</t>
        </is>
      </c>
      <c r="B68" s="13" t="inlineStr">
        <is>
          <t>Trevor</t>
        </is>
      </c>
      <c r="C68" s="9" t="n">
        <v>0</v>
      </c>
      <c r="D68" s="104">
        <f>SUM($C$3:$C$4)/64</f>
        <v/>
      </c>
      <c r="E68" s="104">
        <f>C68+D68</f>
        <v/>
      </c>
      <c r="F68" s="104">
        <f>IF($C$70=0, 0, E68/$C$70)</f>
        <v/>
      </c>
      <c r="G68" s="104">
        <f>F68*$T$5</f>
        <v/>
      </c>
      <c r="H68" s="104" t="n">
        <v>4</v>
      </c>
      <c r="I68" s="104">
        <f>$T$7*H68</f>
        <v/>
      </c>
      <c r="J68" s="104">
        <f>G68+$T$9+I68</f>
        <v/>
      </c>
      <c r="K68" s="104">
        <f>$T$11/64</f>
        <v/>
      </c>
      <c r="L68" s="7" t="n">
        <v>0</v>
      </c>
      <c r="M68" s="104" t="n">
        <v>0</v>
      </c>
      <c r="N68" s="104" t="n">
        <v>0</v>
      </c>
      <c r="O68" s="104" t="n">
        <v>0</v>
      </c>
      <c r="P68" s="109" t="n"/>
      <c r="Q68" s="109" t="n"/>
      <c r="R68" s="109">
        <f>(J68+K68+L68+M68+N68+O68)*$B$2</f>
        <v/>
      </c>
      <c r="S68" s="107" t="n"/>
      <c r="T68" s="110" t="n"/>
    </row>
    <row r="69" ht="12.75" customHeight="1" s="251">
      <c r="A69" s="104" t="inlineStr">
        <is>
          <t>T16</t>
        </is>
      </c>
      <c r="B69" s="13" t="inlineStr">
        <is>
          <t>Madhusoodanan P.R.</t>
        </is>
      </c>
      <c r="C69" s="9" t="n">
        <v>0</v>
      </c>
      <c r="D69" s="104">
        <f>SUM($C$3:$C$4)/64</f>
        <v/>
      </c>
      <c r="E69" s="104">
        <f>C69+D69</f>
        <v/>
      </c>
      <c r="F69" s="104">
        <f>IF($C$70=0, 0, E69/$C$70)</f>
        <v/>
      </c>
      <c r="G69" s="104">
        <f>F69*$T$5</f>
        <v/>
      </c>
      <c r="H69" s="104" t="n">
        <v>3</v>
      </c>
      <c r="I69" s="104">
        <f>$T$7*H69</f>
        <v/>
      </c>
      <c r="J69" s="104">
        <f>G69+$T$9+I69</f>
        <v/>
      </c>
      <c r="K69" s="104">
        <f>$T$11/64</f>
        <v/>
      </c>
      <c r="L69" s="7" t="n">
        <v>0</v>
      </c>
      <c r="M69" s="104" t="n">
        <v>0</v>
      </c>
      <c r="N69" s="104" t="n">
        <v>0</v>
      </c>
      <c r="O69" s="104" t="n">
        <v>0</v>
      </c>
      <c r="P69" s="109" t="n"/>
      <c r="Q69" s="109" t="n"/>
      <c r="R69" s="109">
        <f>(J69+K69+L69+M69+N69+O69)*$B$2</f>
        <v/>
      </c>
      <c r="S69" s="107" t="n"/>
      <c r="T69" s="110" t="n"/>
    </row>
    <row r="70" ht="12.75" customHeight="1" s="251">
      <c r="A70" s="104" t="n"/>
      <c r="B70" s="108" t="inlineStr">
        <is>
          <t>TOTAL</t>
        </is>
      </c>
      <c r="C70" s="104">
        <f>SUM(C3:C69)</f>
        <v/>
      </c>
      <c r="D70" s="104">
        <f>SUM(D3:D69)</f>
        <v/>
      </c>
      <c r="E70" s="104">
        <f>SUM(E3:E69)</f>
        <v/>
      </c>
      <c r="F70" s="104">
        <f>IF($C$70=0, 0, E70/$C$70)</f>
        <v/>
      </c>
      <c r="G70" s="104">
        <f>SUM(G3:G69)</f>
        <v/>
      </c>
      <c r="H70" s="104">
        <f>SUM(H3:H69)</f>
        <v/>
      </c>
      <c r="I70" s="104">
        <f>SUM(I3:I69)</f>
        <v/>
      </c>
      <c r="J70" s="104">
        <f>SUM(J3:J69)</f>
        <v/>
      </c>
      <c r="K70" s="104">
        <f>SUM(K3:K69)</f>
        <v/>
      </c>
      <c r="L70" s="104">
        <f>SUM(L3:L69)</f>
        <v/>
      </c>
      <c r="M70" s="104">
        <f>SUM(M3:M69)</f>
        <v/>
      </c>
      <c r="N70" s="104">
        <f>SUM(N3:N69)</f>
        <v/>
      </c>
      <c r="O70" s="104">
        <f>SUM(O3:O69)</f>
        <v/>
      </c>
      <c r="P70" s="104" t="n"/>
      <c r="Q70" s="104" t="n"/>
      <c r="R70" s="104">
        <f>SUM(R3:R69)</f>
        <v/>
      </c>
      <c r="S70" s="107" t="n"/>
      <c r="T70" s="110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D3" s="87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86" t="n"/>
      <c r="E4" s="46" t="n"/>
      <c r="F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 / Pulkit Gupta</t>
        </is>
      </c>
      <c r="C6" s="73" t="n"/>
      <c r="D6" s="86" t="n"/>
      <c r="F6" s="86" t="n"/>
      <c r="H6" s="71" t="n"/>
      <c r="K6" s="46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6" t="n"/>
      <c r="D7" s="87" t="n"/>
      <c r="F7" s="86" t="n"/>
      <c r="H7" s="72" t="n"/>
      <c r="K7" s="46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73" t="n"/>
      <c r="D9" s="86" t="n"/>
      <c r="F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73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73" t="n"/>
      <c r="D14" s="86" t="n"/>
      <c r="E14" s="42" t="n"/>
      <c r="F14" s="86" t="n"/>
      <c r="G14" s="42" t="n"/>
      <c r="H14" s="71" t="n"/>
      <c r="K14" s="46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F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73" t="n"/>
      <c r="D16" s="86" t="n"/>
      <c r="F16" s="86" t="n"/>
      <c r="H16" s="71" t="n"/>
      <c r="K16" s="46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73" t="n"/>
      <c r="D24" s="86" t="n"/>
      <c r="F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Ankur Agarwal</t>
        </is>
      </c>
      <c r="C26" s="73" t="n"/>
      <c r="D26" s="86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6" t="n"/>
      <c r="D27" s="87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73" t="n"/>
      <c r="D28" s="86" t="n"/>
      <c r="F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87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73" t="n"/>
      <c r="D31" s="86" t="n"/>
      <c r="F31" s="86" t="n"/>
      <c r="H31" s="71" t="n"/>
      <c r="K31" s="46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73" t="n"/>
      <c r="D33" s="86" t="n"/>
      <c r="F33" s="86" t="n"/>
      <c r="H33" s="71" t="n"/>
      <c r="K33" s="46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6" t="n"/>
      <c r="D36" s="87" t="n"/>
      <c r="F36" s="86" t="n"/>
      <c r="H36" s="72" t="n"/>
      <c r="K36" s="46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73" t="n"/>
      <c r="D38" s="86" t="n"/>
      <c r="F38" s="86" t="n"/>
      <c r="H38" s="71" t="n"/>
      <c r="K38" s="46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F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73" t="n"/>
      <c r="D44" s="86" t="n"/>
      <c r="F44" s="86" t="n"/>
      <c r="H44" s="71" t="n"/>
      <c r="K44" s="46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73" t="n"/>
      <c r="D46" s="86" t="n"/>
      <c r="E46" s="42" t="n"/>
      <c r="F46" s="86" t="n"/>
      <c r="G46" s="42" t="n"/>
      <c r="H46" s="71" t="n"/>
      <c r="K46" s="46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C47" s="40" t="n"/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6" t="n"/>
      <c r="D49" s="87" t="n"/>
      <c r="F49" s="86" t="n"/>
      <c r="H49" s="72" t="n"/>
      <c r="K49" s="46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73" t="n"/>
      <c r="D50" s="47" t="n"/>
      <c r="F50" s="86" t="n"/>
      <c r="H50" s="71" t="n"/>
      <c r="K50" s="46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F51" s="86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F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73" t="n"/>
      <c r="D54" s="86" t="n"/>
      <c r="F54" s="86" t="n"/>
      <c r="H54" s="71" t="n"/>
      <c r="K54" s="46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F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6" t="n"/>
      <c r="D57" s="87" t="n"/>
      <c r="F57" s="86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6" t="n"/>
      <c r="D58" s="87" t="n"/>
      <c r="F58" s="86" t="n"/>
      <c r="H58" s="72" t="n"/>
      <c r="K58" s="46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73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86" t="n"/>
      <c r="F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C62" s="40" t="n"/>
      <c r="D62" s="49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73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73" t="n"/>
      <c r="D65" s="86" t="n"/>
      <c r="F65" s="86" t="n"/>
      <c r="H65" s="71" t="n"/>
      <c r="K65" s="46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86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0.5" customWidth="1" style="251" min="2" max="2"/>
    <col width="16.83203125" customWidth="1" style="251" min="3" max="9"/>
    <col width="28.1640625" customWidth="1" style="251" min="10" max="10"/>
    <col width="16.83203125" customWidth="1" style="251" min="11" max="18"/>
    <col width="44.5" customWidth="1" style="251" min="19" max="19"/>
    <col width="10.33203125" customWidth="1" style="251" min="20" max="20"/>
  </cols>
  <sheetData>
    <row r="1" ht="16.5" customHeight="1" s="251">
      <c r="A1" s="104" t="n"/>
      <c r="B1" s="274" t="inlineStr">
        <is>
          <t>NOVEMBER 2026 EXPENSES</t>
        </is>
      </c>
      <c r="C1" s="275" t="n"/>
      <c r="D1" s="275" t="n"/>
      <c r="E1" s="275" t="n"/>
      <c r="F1" s="275" t="n"/>
      <c r="G1" s="275" t="n"/>
      <c r="H1" s="275" t="n"/>
      <c r="I1" s="275" t="n"/>
      <c r="J1" s="275" t="n"/>
      <c r="K1" s="275" t="n"/>
      <c r="L1" s="275" t="n"/>
      <c r="M1" s="275" t="n"/>
      <c r="N1" s="275" t="n"/>
      <c r="O1" s="275" t="n"/>
      <c r="P1" s="275" t="n"/>
      <c r="Q1" s="275" t="n"/>
      <c r="R1" s="275" t="n"/>
      <c r="S1" s="275" t="n"/>
      <c r="T1" s="276" t="n"/>
    </row>
    <row r="2" ht="58.5" customHeight="1" s="251">
      <c r="A2" s="104" t="inlineStr">
        <is>
          <t>FLAT #</t>
        </is>
      </c>
      <c r="B2" s="118" t="n">
        <v>1</v>
      </c>
      <c r="C2" s="105" t="inlineStr">
        <is>
          <t>WATER USED IN LTRS</t>
        </is>
      </c>
      <c r="D2" s="105" t="inlineStr">
        <is>
          <t>COMMON AREA EQUALLY DEVIDED</t>
        </is>
      </c>
      <c r="E2" s="105" t="inlineStr">
        <is>
          <t>TOTAL FRESH WATER CONSUMED</t>
        </is>
      </c>
      <c r="F2" s="105" t="inlineStr">
        <is>
          <t>%OF TOTAL USED</t>
        </is>
      </c>
      <c r="G2" s="105" t="inlineStr">
        <is>
          <t>WATER EXPENSE SHARING BY %</t>
        </is>
      </c>
      <c r="H2" s="105" t="inlineStr">
        <is>
          <t>#METERS</t>
        </is>
      </c>
      <c r="I2" s="105" t="inlineStr">
        <is>
          <t>METER RENT</t>
        </is>
      </c>
      <c r="J2" s="105" t="inlineStr">
        <is>
          <t>COMMON AREA METER RENT + WATER EXPENSE+ FLAT METER RENT</t>
        </is>
      </c>
      <c r="K2" s="105" t="inlineStr">
        <is>
          <t>FIXED EXPENSE SHARE</t>
        </is>
      </c>
      <c r="L2" s="105" t="inlineStr">
        <is>
          <t>PARKING FEE</t>
        </is>
      </c>
      <c r="M2" s="105" t="inlineStr">
        <is>
          <t>CLUB BOOKING FEE</t>
        </is>
      </c>
      <c r="N2" s="105" t="inlineStr">
        <is>
          <t>SHIFTING FEE</t>
        </is>
      </c>
      <c r="O2" s="105" t="inlineStr">
        <is>
          <t>GYM USAGE FEE</t>
        </is>
      </c>
      <c r="P2" s="119" t="inlineStr">
        <is>
          <t>OWNERSHIP TRANSFER FEE</t>
        </is>
      </c>
      <c r="Q2" s="106" t="n"/>
      <c r="R2" s="106" t="inlineStr">
        <is>
          <t>TOTAL EXPENSE TO BE PAID</t>
        </is>
      </c>
      <c r="S2" s="107" t="n"/>
      <c r="T2" s="107" t="n"/>
    </row>
    <row r="3" ht="12.75" customHeight="1" s="251">
      <c r="A3" s="104" t="inlineStr">
        <is>
          <t>CH</t>
        </is>
      </c>
      <c r="B3" s="108" t="inlineStr">
        <is>
          <t>MPFOWA</t>
        </is>
      </c>
      <c r="C3" s="104" t="n">
        <v>0</v>
      </c>
      <c r="D3" s="104" t="n">
        <v>0</v>
      </c>
      <c r="E3" s="104" t="n"/>
      <c r="F3" s="104" t="n"/>
      <c r="G3" s="104" t="n"/>
      <c r="H3" s="104" t="n">
        <v>1</v>
      </c>
      <c r="I3" s="104">
        <f>T7</f>
        <v/>
      </c>
      <c r="J3" s="104" t="n"/>
      <c r="K3" s="104" t="n"/>
      <c r="L3" s="109" t="n"/>
      <c r="M3" s="104" t="n"/>
      <c r="N3" s="104" t="n"/>
      <c r="O3" s="104" t="n"/>
      <c r="P3" s="109" t="n"/>
      <c r="Q3" s="109" t="n"/>
      <c r="R3" s="109" t="n"/>
      <c r="S3" s="107" t="n"/>
      <c r="T3" s="110" t="n"/>
    </row>
    <row r="4" ht="12.75" customHeight="1" s="251">
      <c r="A4" s="104" t="inlineStr">
        <is>
          <t>GYM</t>
        </is>
      </c>
      <c r="B4" s="108" t="inlineStr">
        <is>
          <t>MPFOWA</t>
        </is>
      </c>
      <c r="C4" s="104" t="n">
        <v>0</v>
      </c>
      <c r="D4" s="104" t="n">
        <v>0</v>
      </c>
      <c r="E4" s="104" t="n"/>
      <c r="F4" s="104" t="n"/>
      <c r="G4" s="104" t="n"/>
      <c r="H4" s="104" t="n">
        <v>1</v>
      </c>
      <c r="I4" s="104">
        <f>T7</f>
        <v/>
      </c>
      <c r="J4" s="104" t="n"/>
      <c r="K4" s="104" t="n"/>
      <c r="L4" s="109" t="n"/>
      <c r="M4" s="104" t="n"/>
      <c r="N4" s="104" t="n"/>
      <c r="O4" s="104" t="n"/>
      <c r="P4" s="109" t="n"/>
      <c r="Q4" s="109" t="n"/>
      <c r="R4" s="109" t="n"/>
      <c r="S4" s="111" t="inlineStr">
        <is>
          <t>TOTAL FIXED EXPENSE</t>
        </is>
      </c>
      <c r="T4" s="112">
        <f>'ANNUAL-EXPENSE-DETAILS'!BF10</f>
        <v/>
      </c>
    </row>
    <row r="5" ht="12.75" customHeight="1" s="251">
      <c r="A5" s="104" t="inlineStr">
        <is>
          <t>BSMT</t>
        </is>
      </c>
      <c r="B5" s="108" t="inlineStr">
        <is>
          <t>MPFOWA</t>
        </is>
      </c>
      <c r="C5" s="104" t="n"/>
      <c r="D5" s="104" t="n">
        <v>0</v>
      </c>
      <c r="E5" s="104" t="n"/>
      <c r="F5" s="104" t="n"/>
      <c r="G5" s="104" t="n"/>
      <c r="H5" s="104" t="n">
        <v>1</v>
      </c>
      <c r="I5" s="104">
        <f>T7</f>
        <v/>
      </c>
      <c r="J5" s="104" t="n"/>
      <c r="K5" s="104" t="n"/>
      <c r="L5" s="109" t="n"/>
      <c r="M5" s="104" t="n"/>
      <c r="N5" s="104" t="n"/>
      <c r="O5" s="104" t="n"/>
      <c r="P5" s="109" t="n"/>
      <c r="Q5" s="109" t="n"/>
      <c r="R5" s="109" t="n"/>
      <c r="S5" s="111" t="inlineStr">
        <is>
          <t>TOTAL WATER EXPENSE</t>
        </is>
      </c>
      <c r="T5" s="112">
        <f>'ANNUAL-EXPENSE-DETAILS'!BE10</f>
        <v/>
      </c>
    </row>
    <row r="6" ht="12.75" customHeight="1" s="251">
      <c r="A6" s="104" t="inlineStr">
        <is>
          <t>F1</t>
        </is>
      </c>
      <c r="B6" s="13" t="inlineStr">
        <is>
          <t>Shailesh Srivastava / Azeem Nawaz</t>
        </is>
      </c>
      <c r="C6" s="9" t="n">
        <v>0</v>
      </c>
      <c r="D6" s="104">
        <f>SUM($C$3:$C$5)/64</f>
        <v/>
      </c>
      <c r="E6" s="104">
        <f>C6+D6</f>
        <v/>
      </c>
      <c r="F6" s="104">
        <f>IF($C$70=0, 0, E6/$C$70)</f>
        <v/>
      </c>
      <c r="G6" s="104">
        <f>F6*$T$5</f>
        <v/>
      </c>
      <c r="H6" s="104" t="n">
        <v>3</v>
      </c>
      <c r="I6" s="104">
        <f>$T$7*H6</f>
        <v/>
      </c>
      <c r="J6" s="104">
        <f>G6+$T$9+I6</f>
        <v/>
      </c>
      <c r="K6" s="104">
        <f>$T$11/64</f>
        <v/>
      </c>
      <c r="L6" s="14" t="n">
        <v>0</v>
      </c>
      <c r="M6" s="104" t="n">
        <v>0</v>
      </c>
      <c r="N6" s="104" t="n">
        <v>0</v>
      </c>
      <c r="O6" s="104" t="n">
        <v>0</v>
      </c>
      <c r="P6" s="109" t="n"/>
      <c r="Q6" s="109" t="n"/>
      <c r="R6" s="109">
        <f>(J6+K6+L6+M6+N6+O6)*$B$2</f>
        <v/>
      </c>
      <c r="S6" s="107" t="n"/>
      <c r="T6" s="110" t="n"/>
    </row>
    <row r="7" ht="12.75" customHeight="1" s="251">
      <c r="A7" s="104" t="inlineStr">
        <is>
          <t>F2</t>
        </is>
      </c>
      <c r="B7" s="13" t="inlineStr">
        <is>
          <t>Shanthanu</t>
        </is>
      </c>
      <c r="C7" s="9" t="n">
        <v>0</v>
      </c>
      <c r="D7" s="104">
        <f>SUM($C$3:$C$5)/64</f>
        <v/>
      </c>
      <c r="E7" s="104">
        <f>C7+D7</f>
        <v/>
      </c>
      <c r="F7" s="104">
        <f>IF($C$70=0, 0, E7/$C$70)</f>
        <v/>
      </c>
      <c r="G7" s="104">
        <f>F7*$T$5</f>
        <v/>
      </c>
      <c r="H7" s="104" t="n">
        <v>4</v>
      </c>
      <c r="I7" s="104">
        <f>$T$7*H7</f>
        <v/>
      </c>
      <c r="J7" s="104">
        <f>G7+$T$9+I7</f>
        <v/>
      </c>
      <c r="K7" s="104">
        <f>$T$11/64</f>
        <v/>
      </c>
      <c r="L7" s="7" t="n">
        <v>0</v>
      </c>
      <c r="M7" s="104" t="n">
        <v>0</v>
      </c>
      <c r="N7" s="104" t="n">
        <v>0</v>
      </c>
      <c r="O7" s="104" t="n">
        <v>0</v>
      </c>
      <c r="P7" s="109" t="n"/>
      <c r="Q7" s="109" t="n"/>
      <c r="R7" s="109">
        <f>(J7+K7+L7+M7+N7+O7)*$B$2</f>
        <v/>
      </c>
      <c r="S7" s="107" t="inlineStr">
        <is>
          <t>RENT PER METER</t>
        </is>
      </c>
      <c r="T7" s="17" t="n">
        <v>117.811659</v>
      </c>
    </row>
    <row r="8" ht="12.75" customHeight="1" s="251">
      <c r="A8" s="104" t="inlineStr">
        <is>
          <t>F3</t>
        </is>
      </c>
      <c r="B8" s="13" t="inlineStr">
        <is>
          <t>Samrat Kar</t>
        </is>
      </c>
      <c r="C8" s="9" t="n">
        <v>0</v>
      </c>
      <c r="D8" s="104">
        <f>SUM($C$3:$C$5)/64</f>
        <v/>
      </c>
      <c r="E8" s="104">
        <f>C8+D8</f>
        <v/>
      </c>
      <c r="F8" s="104">
        <f>IF($C$70=0, 0, E8/$C$70)</f>
        <v/>
      </c>
      <c r="G8" s="104">
        <f>F8*$T$5</f>
        <v/>
      </c>
      <c r="H8" s="104" t="n">
        <v>4</v>
      </c>
      <c r="I8" s="104">
        <f>$T$7*H8</f>
        <v/>
      </c>
      <c r="J8" s="104">
        <f>G8+$T$9+I8</f>
        <v/>
      </c>
      <c r="K8" s="104">
        <f>$T$11/64</f>
        <v/>
      </c>
      <c r="L8" s="7" t="n">
        <v>0</v>
      </c>
      <c r="M8" s="104" t="n">
        <v>0</v>
      </c>
      <c r="N8" s="104" t="n">
        <v>0</v>
      </c>
      <c r="O8" s="104" t="n">
        <v>0</v>
      </c>
      <c r="P8" s="109" t="n"/>
      <c r="Q8" s="109" t="n"/>
      <c r="R8" s="109">
        <f>(J8+K8+L8+M8+N8+O8)*$B$2</f>
        <v/>
      </c>
      <c r="S8" s="107" t="inlineStr">
        <is>
          <t>COMMON AREA METER RENT</t>
        </is>
      </c>
      <c r="T8" s="110">
        <f>$T$7*3</f>
        <v/>
      </c>
    </row>
    <row r="9" ht="12.75" customHeight="1" s="251">
      <c r="A9" s="104" t="inlineStr">
        <is>
          <t>F4</t>
        </is>
      </c>
      <c r="B9" s="13" t="inlineStr">
        <is>
          <t>Renu R</t>
        </is>
      </c>
      <c r="C9" s="9" t="n">
        <v>0</v>
      </c>
      <c r="D9" s="104">
        <f>SUM($C$3:$C$5)/64</f>
        <v/>
      </c>
      <c r="E9" s="104">
        <f>C9+D9</f>
        <v/>
      </c>
      <c r="F9" s="104">
        <f>IF($C$70=0, 0, E9/$C$70)</f>
        <v/>
      </c>
      <c r="G9" s="104">
        <f>F9*$T$5</f>
        <v/>
      </c>
      <c r="H9" s="104" t="n">
        <v>4</v>
      </c>
      <c r="I9" s="104">
        <f>$T$7*H9</f>
        <v/>
      </c>
      <c r="J9" s="104">
        <f>G9+$T$9+I9</f>
        <v/>
      </c>
      <c r="K9" s="104">
        <f>$T$11/64</f>
        <v/>
      </c>
      <c r="L9" s="7" t="n">
        <v>0</v>
      </c>
      <c r="M9" s="104" t="n">
        <v>0</v>
      </c>
      <c r="N9" s="104" t="n">
        <v>0</v>
      </c>
      <c r="O9" s="104" t="n">
        <v>0</v>
      </c>
      <c r="P9" s="109" t="n"/>
      <c r="Q9" s="109" t="n"/>
      <c r="R9" s="109">
        <f>(J9+K9+L9+M9+N9+O9)*$B$2</f>
        <v/>
      </c>
      <c r="S9" s="113" t="inlineStr">
        <is>
          <t>COMMON AREA METER RENT/FLAT</t>
        </is>
      </c>
      <c r="T9" s="114">
        <f>T8/64</f>
        <v/>
      </c>
    </row>
    <row r="10" ht="12.75" customHeight="1" s="251">
      <c r="A10" s="104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04">
        <f>SUM($C$3:$C$5)/64</f>
        <v/>
      </c>
      <c r="E10" s="104">
        <f>C10+D10</f>
        <v/>
      </c>
      <c r="F10" s="104">
        <f>IF($C$70=0, 0, E10/$C$70)</f>
        <v/>
      </c>
      <c r="G10" s="104">
        <f>F10*$T$5</f>
        <v/>
      </c>
      <c r="H10" s="104" t="n">
        <v>3</v>
      </c>
      <c r="I10" s="104">
        <f>$T$7*H10</f>
        <v/>
      </c>
      <c r="J10" s="104">
        <f>G10+$T$9+I10</f>
        <v/>
      </c>
      <c r="K10" s="104">
        <f>$T$11/64</f>
        <v/>
      </c>
      <c r="L10" s="7" t="n">
        <v>0</v>
      </c>
      <c r="M10" s="104" t="n">
        <v>0</v>
      </c>
      <c r="N10" s="104" t="n">
        <v>0</v>
      </c>
      <c r="O10" s="104" t="n">
        <v>0</v>
      </c>
      <c r="P10" s="109" t="n"/>
      <c r="Q10" s="109" t="n"/>
      <c r="R10" s="109">
        <f>(J10+K10+L10+M10+N10+O10)*$B$2</f>
        <v/>
      </c>
      <c r="S10" s="107" t="n"/>
      <c r="T10" s="110" t="n"/>
    </row>
    <row r="11" ht="12.75" customHeight="1" s="251">
      <c r="A11" s="104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04">
        <f>SUM($C$3:$C$5)/64</f>
        <v/>
      </c>
      <c r="E11" s="104">
        <f>C11+D11</f>
        <v/>
      </c>
      <c r="F11" s="104">
        <f>IF($C$70=0, 0, E11/$C$70)</f>
        <v/>
      </c>
      <c r="G11" s="104">
        <f>F11*$T$5</f>
        <v/>
      </c>
      <c r="H11" s="104" t="n">
        <v>3</v>
      </c>
      <c r="I11" s="104">
        <f>$T$7*H11</f>
        <v/>
      </c>
      <c r="J11" s="104">
        <f>G11+$T$9+I11</f>
        <v/>
      </c>
      <c r="K11" s="104">
        <f>$T$11/64</f>
        <v/>
      </c>
      <c r="L11" s="7" t="n">
        <v>0</v>
      </c>
      <c r="M11" s="104" t="n">
        <v>0</v>
      </c>
      <c r="N11" s="104" t="n">
        <v>0</v>
      </c>
      <c r="O11" s="104" t="n">
        <v>0</v>
      </c>
      <c r="P11" s="109" t="n"/>
      <c r="Q11" s="109" t="n"/>
      <c r="R11" s="109">
        <f>(J11+K11+L11+M11+N11+O11)*$B$2</f>
        <v/>
      </c>
      <c r="S11" s="113" t="inlineStr">
        <is>
          <t>TOTAL FIXED EXPENSE</t>
        </is>
      </c>
      <c r="T11" s="114">
        <f>'ANNUAL-EXPENSE-DETAILS'!BF10</f>
        <v/>
      </c>
    </row>
    <row r="12" ht="12.75" customHeight="1" s="251">
      <c r="A12" s="104" t="inlineStr">
        <is>
          <t>F7</t>
        </is>
      </c>
      <c r="B12" s="13" t="inlineStr">
        <is>
          <t>Vimal NK</t>
        </is>
      </c>
      <c r="C12" s="9" t="n">
        <v>0</v>
      </c>
      <c r="D12" s="104">
        <f>SUM($C$3:$C$5)/64</f>
        <v/>
      </c>
      <c r="E12" s="104">
        <f>C12+D12</f>
        <v/>
      </c>
      <c r="F12" s="104">
        <f>IF($C$70=0, 0, E12/$C$70)</f>
        <v/>
      </c>
      <c r="G12" s="104">
        <f>F12*$T$5</f>
        <v/>
      </c>
      <c r="H12" s="104" t="n">
        <v>3</v>
      </c>
      <c r="I12" s="104">
        <f>$T$7*H12</f>
        <v/>
      </c>
      <c r="J12" s="104">
        <f>G12+$T$9+I12</f>
        <v/>
      </c>
      <c r="K12" s="104">
        <f>$T$11/64</f>
        <v/>
      </c>
      <c r="L12" s="7" t="n">
        <v>0</v>
      </c>
      <c r="M12" s="104" t="n">
        <v>0</v>
      </c>
      <c r="N12" s="104" t="n">
        <v>0</v>
      </c>
      <c r="O12" s="104" t="n">
        <v>0</v>
      </c>
      <c r="P12" s="109" t="n"/>
      <c r="Q12" s="109" t="n"/>
      <c r="R12" s="109">
        <f>(J12+K12+L12+M12+N12+O12)*$B$2</f>
        <v/>
      </c>
      <c r="S12" s="107" t="n"/>
      <c r="T12" s="110" t="n"/>
    </row>
    <row r="13" ht="12.75" customHeight="1" s="251">
      <c r="A13" s="104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04">
        <f>SUM($C$3:$C$5)/64</f>
        <v/>
      </c>
      <c r="E13" s="104">
        <f>C13+D13</f>
        <v/>
      </c>
      <c r="F13" s="104">
        <f>IF($C$70=0, 0, E13/$C$70)</f>
        <v/>
      </c>
      <c r="G13" s="104">
        <f>F13*$T$5</f>
        <v/>
      </c>
      <c r="H13" s="104" t="n">
        <v>3</v>
      </c>
      <c r="I13" s="104">
        <f>$T$7*H13</f>
        <v/>
      </c>
      <c r="J13" s="104">
        <f>G13+$T$9+I13</f>
        <v/>
      </c>
      <c r="K13" s="104">
        <f>$T$11/64</f>
        <v/>
      </c>
      <c r="L13" s="7" t="n">
        <v>0</v>
      </c>
      <c r="M13" s="104" t="n">
        <v>0</v>
      </c>
      <c r="N13" s="104" t="n">
        <v>0</v>
      </c>
      <c r="O13" s="104" t="n">
        <v>0</v>
      </c>
      <c r="P13" s="109" t="n"/>
      <c r="Q13" s="109" t="n"/>
      <c r="R13" s="109">
        <f>(J13+K13+L13+M13+N13+O13)*$B$2</f>
        <v/>
      </c>
      <c r="S13" s="107" t="n"/>
      <c r="T13" s="110" t="n"/>
    </row>
    <row r="14" ht="12.75" customHeight="1" s="251">
      <c r="A14" s="104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04">
        <f>SUM($C$3:$C$5)/64</f>
        <v/>
      </c>
      <c r="E14" s="104">
        <f>C14+D14</f>
        <v/>
      </c>
      <c r="F14" s="104">
        <f>IF($C$70=0, 0, E14/$C$70)</f>
        <v/>
      </c>
      <c r="G14" s="104">
        <f>F14*$T$5</f>
        <v/>
      </c>
      <c r="H14" s="104" t="n">
        <v>4</v>
      </c>
      <c r="I14" s="104">
        <f>$T$7*H14</f>
        <v/>
      </c>
      <c r="J14" s="104">
        <f>G14+$T$9+I14</f>
        <v/>
      </c>
      <c r="K14" s="104">
        <f>$T$11/64</f>
        <v/>
      </c>
      <c r="L14" s="7" t="n">
        <v>0</v>
      </c>
      <c r="M14" s="104" t="n">
        <v>0</v>
      </c>
      <c r="N14" s="104" t="n">
        <v>0</v>
      </c>
      <c r="O14" s="104" t="n">
        <v>0</v>
      </c>
      <c r="P14" s="109" t="n"/>
      <c r="Q14" s="109" t="n"/>
      <c r="R14" s="109">
        <f>(J14+K14+L14+M14+N14+O14)*$B$2</f>
        <v/>
      </c>
      <c r="S14" s="115" t="inlineStr">
        <is>
          <t xml:space="preserve">TOTAL WATER METER RENT </t>
        </is>
      </c>
      <c r="T14" s="116">
        <f>CEILING( I70,1)</f>
        <v/>
      </c>
    </row>
    <row r="15" ht="12.75" customHeight="1" s="251">
      <c r="A15" s="104" t="inlineStr">
        <is>
          <t>F10</t>
        </is>
      </c>
      <c r="B15" s="13" t="inlineStr">
        <is>
          <t>Aby Thomas</t>
        </is>
      </c>
      <c r="C15" s="9" t="n">
        <v>0</v>
      </c>
      <c r="D15" s="104">
        <f>SUM($C$3:$C$5)/64</f>
        <v/>
      </c>
      <c r="E15" s="104">
        <f>C15+D15</f>
        <v/>
      </c>
      <c r="F15" s="104">
        <f>IF($C$70=0, 0, E15/$C$70)</f>
        <v/>
      </c>
      <c r="G15" s="104">
        <f>F15*$T$5</f>
        <v/>
      </c>
      <c r="H15" s="104" t="n">
        <v>3</v>
      </c>
      <c r="I15" s="104">
        <f>$T$7*H15</f>
        <v/>
      </c>
      <c r="J15" s="104">
        <f>G15+$T$9+I15</f>
        <v/>
      </c>
      <c r="K15" s="104">
        <f>$T$11/64</f>
        <v/>
      </c>
      <c r="L15" s="7" t="n">
        <v>0</v>
      </c>
      <c r="M15" s="104" t="n">
        <v>0</v>
      </c>
      <c r="N15" s="104" t="n">
        <v>0</v>
      </c>
      <c r="O15" s="104" t="n">
        <v>0</v>
      </c>
      <c r="P15" s="109" t="n"/>
      <c r="Q15" s="109" t="n"/>
      <c r="R15" s="109">
        <f>(J15+K15+L15+M15+N15+O15)*$B$2</f>
        <v/>
      </c>
      <c r="S15" s="107" t="n"/>
      <c r="T15" s="110" t="n"/>
    </row>
    <row r="16" ht="12.75" customHeight="1" s="251">
      <c r="A16" s="104" t="inlineStr">
        <is>
          <t>F11</t>
        </is>
      </c>
      <c r="B16" s="13" t="inlineStr">
        <is>
          <t>Niwin Anto</t>
        </is>
      </c>
      <c r="C16" s="9" t="n">
        <v>0</v>
      </c>
      <c r="D16" s="104">
        <f>SUM($C$3:$C$5)/64</f>
        <v/>
      </c>
      <c r="E16" s="104">
        <f>C16+D16</f>
        <v/>
      </c>
      <c r="F16" s="104">
        <f>IF($C$70=0, 0, E16/$C$70)</f>
        <v/>
      </c>
      <c r="G16" s="104">
        <f>F16*$T$5</f>
        <v/>
      </c>
      <c r="H16" s="104" t="n">
        <v>3</v>
      </c>
      <c r="I16" s="104">
        <f>$T$7*H16</f>
        <v/>
      </c>
      <c r="J16" s="104">
        <f>G16+$T$9+I16</f>
        <v/>
      </c>
      <c r="K16" s="104">
        <f>$T$11/64</f>
        <v/>
      </c>
      <c r="L16" s="7" t="n">
        <v>0</v>
      </c>
      <c r="M16" s="104" t="n">
        <v>0</v>
      </c>
      <c r="N16" s="104" t="n">
        <v>0</v>
      </c>
      <c r="O16" s="104" t="n">
        <v>0</v>
      </c>
      <c r="P16" s="109" t="n"/>
      <c r="Q16" s="109" t="n"/>
      <c r="R16" s="109">
        <f>(J16+K16+L16+M16+N16+O16)*$B$2</f>
        <v/>
      </c>
      <c r="S16" s="61" t="inlineStr">
        <is>
          <t>BALANCE IN ACCOUNT ON 30-NOV-2023</t>
        </is>
      </c>
      <c r="T16" s="63" t="n"/>
    </row>
    <row r="17" ht="12.75" customHeight="1" s="251">
      <c r="A17" s="104" t="inlineStr">
        <is>
          <t>F12</t>
        </is>
      </c>
      <c r="B17" s="13" t="inlineStr">
        <is>
          <t>Anirudh Singh</t>
        </is>
      </c>
      <c r="C17" s="9" t="n">
        <v>0</v>
      </c>
      <c r="D17" s="104">
        <f>SUM($C$3:$C$5)/64</f>
        <v/>
      </c>
      <c r="E17" s="104">
        <f>C17+D17</f>
        <v/>
      </c>
      <c r="F17" s="104">
        <f>IF($C$70=0, 0, E17/$C$70)</f>
        <v/>
      </c>
      <c r="G17" s="104">
        <f>F17*$T$5</f>
        <v/>
      </c>
      <c r="H17" s="104" t="n">
        <v>3</v>
      </c>
      <c r="I17" s="104">
        <f>$T$7*H17</f>
        <v/>
      </c>
      <c r="J17" s="104">
        <f>G17+$T$9+I17</f>
        <v/>
      </c>
      <c r="K17" s="104">
        <f>$T$11/64</f>
        <v/>
      </c>
      <c r="L17" s="7" t="n">
        <v>0</v>
      </c>
      <c r="M17" s="104" t="n">
        <v>0</v>
      </c>
      <c r="N17" s="104" t="n">
        <v>0</v>
      </c>
      <c r="O17" s="104" t="n">
        <v>0</v>
      </c>
      <c r="P17" s="109" t="n"/>
      <c r="Q17" s="109" t="n"/>
      <c r="R17" s="109">
        <f>(J17+K17+L17+M17+N17+O17)*$B$2</f>
        <v/>
      </c>
      <c r="S17" s="61" t="inlineStr">
        <is>
          <t>TOTAL NON MAINTENANCE CORPUS COLLECTION</t>
        </is>
      </c>
      <c r="T17" s="63" t="n"/>
    </row>
    <row r="18" ht="12.75" customHeight="1" s="251">
      <c r="A18" s="104" t="inlineStr">
        <is>
          <t>F13</t>
        </is>
      </c>
      <c r="B18" s="13" t="inlineStr">
        <is>
          <t>Sanchay Saxena</t>
        </is>
      </c>
      <c r="C18" s="9" t="n">
        <v>0</v>
      </c>
      <c r="D18" s="104">
        <f>SUM($C$3:$C$5)/64</f>
        <v/>
      </c>
      <c r="E18" s="104">
        <f>C18+D18</f>
        <v/>
      </c>
      <c r="F18" s="104">
        <f>IF($C$70=0, 0, E18/$C$70)</f>
        <v/>
      </c>
      <c r="G18" s="104">
        <f>F18*$T$5</f>
        <v/>
      </c>
      <c r="H18" s="104" t="n">
        <v>4</v>
      </c>
      <c r="I18" s="104">
        <f>$T$7*H18</f>
        <v/>
      </c>
      <c r="J18" s="104">
        <f>G18+$T$9+I18</f>
        <v/>
      </c>
      <c r="K18" s="104">
        <f>$T$11/64</f>
        <v/>
      </c>
      <c r="L18" s="7" t="n">
        <v>0</v>
      </c>
      <c r="M18" s="104" t="n">
        <v>0</v>
      </c>
      <c r="N18" s="104" t="n">
        <v>0</v>
      </c>
      <c r="O18" s="104" t="n">
        <v>0</v>
      </c>
      <c r="P18" s="109" t="n"/>
      <c r="Q18" s="109" t="n"/>
      <c r="R18" s="109">
        <f>(J18+K18+L18+M18+N18+O18)*$B$2</f>
        <v/>
      </c>
      <c r="S18" s="61" t="inlineStr">
        <is>
          <t>TOTAL FD DONE</t>
        </is>
      </c>
      <c r="T18" s="63" t="n"/>
    </row>
    <row r="19" ht="12.75" customHeight="1" s="251">
      <c r="A19" s="104" t="inlineStr">
        <is>
          <t>F14</t>
        </is>
      </c>
      <c r="B19" s="13" t="inlineStr">
        <is>
          <t>Hemant Patel</t>
        </is>
      </c>
      <c r="C19" s="9" t="n">
        <v>0</v>
      </c>
      <c r="D19" s="104">
        <f>SUM($C$3:$C$5)/64</f>
        <v/>
      </c>
      <c r="E19" s="104">
        <f>C19+D19</f>
        <v/>
      </c>
      <c r="F19" s="104">
        <f>IF($C$70=0, 0, E19/$C$70)</f>
        <v/>
      </c>
      <c r="G19" s="104">
        <f>F19*$T$5</f>
        <v/>
      </c>
      <c r="H19" s="104" t="n">
        <v>4</v>
      </c>
      <c r="I19" s="104">
        <f>$T$7*H19</f>
        <v/>
      </c>
      <c r="J19" s="104">
        <f>G19+$T$9+I19</f>
        <v/>
      </c>
      <c r="K19" s="104">
        <f>$T$11/64</f>
        <v/>
      </c>
      <c r="L19" s="7" t="n">
        <v>0</v>
      </c>
      <c r="M19" s="104" t="n">
        <v>0</v>
      </c>
      <c r="N19" s="104" t="n">
        <v>0</v>
      </c>
      <c r="O19" s="104" t="n">
        <v>0</v>
      </c>
      <c r="P19" s="109" t="n"/>
      <c r="Q19" s="109" t="n"/>
      <c r="R19" s="109">
        <f>(J19+K19+L19+M19+N19+O19)*$B$2</f>
        <v/>
      </c>
      <c r="S19" s="64" t="inlineStr">
        <is>
          <t>AMOUNT AVAILABLE FOR NON MAINTENANCE CORPUS IN CURRENT AC</t>
        </is>
      </c>
      <c r="T19" s="65">
        <f>T17-T18</f>
        <v/>
      </c>
    </row>
    <row r="20" ht="12.75" customHeight="1" s="251">
      <c r="A20" s="104" t="inlineStr">
        <is>
          <t>F15</t>
        </is>
      </c>
      <c r="B20" s="13" t="inlineStr">
        <is>
          <t>Senthil.Vijayaragavan</t>
        </is>
      </c>
      <c r="C20" s="9" t="n">
        <v>0</v>
      </c>
      <c r="D20" s="104">
        <f>SUM($C$3:$C$5)/64</f>
        <v/>
      </c>
      <c r="E20" s="104">
        <f>C20+D20</f>
        <v/>
      </c>
      <c r="F20" s="104">
        <f>IF($C$70=0, 0, E20/$C$70)</f>
        <v/>
      </c>
      <c r="G20" s="104">
        <f>F20*$T$5</f>
        <v/>
      </c>
      <c r="H20" s="104" t="n">
        <v>4</v>
      </c>
      <c r="I20" s="104">
        <f>$T$7*H20</f>
        <v/>
      </c>
      <c r="J20" s="104">
        <f>G20+$T$9+I20</f>
        <v/>
      </c>
      <c r="K20" s="104">
        <f>$T$11/64</f>
        <v/>
      </c>
      <c r="L20" s="7" t="n">
        <v>0</v>
      </c>
      <c r="M20" s="104" t="n">
        <v>0</v>
      </c>
      <c r="N20" s="104" t="n">
        <v>0</v>
      </c>
      <c r="O20" s="104" t="n">
        <v>0</v>
      </c>
      <c r="P20" s="109" t="n"/>
      <c r="Q20" s="109" t="n"/>
      <c r="R20" s="109">
        <f>(J20+K20+L20+M20+N20+O20)*$B$2</f>
        <v/>
      </c>
      <c r="S20" s="66" t="inlineStr">
        <is>
          <t>AMOUNT AVAILABLE FOR MAINTENANCE</t>
        </is>
      </c>
      <c r="T20" s="67">
        <f>T16-T19</f>
        <v/>
      </c>
    </row>
    <row r="21" ht="12.75" customHeight="1" s="251">
      <c r="A21" s="104" t="inlineStr">
        <is>
          <t>F16</t>
        </is>
      </c>
      <c r="B21" s="13" t="inlineStr">
        <is>
          <t>Sreeja Sudharma</t>
        </is>
      </c>
      <c r="C21" s="9" t="n">
        <v>0</v>
      </c>
      <c r="D21" s="104">
        <f>SUM($C$3:$C$5)/64</f>
        <v/>
      </c>
      <c r="E21" s="104">
        <f>C21+D21</f>
        <v/>
      </c>
      <c r="F21" s="104">
        <f>IF($C$70=0, 0, E21/$C$70)</f>
        <v/>
      </c>
      <c r="G21" s="104">
        <f>F21*$T$5</f>
        <v/>
      </c>
      <c r="H21" s="104" t="n">
        <v>3</v>
      </c>
      <c r="I21" s="104">
        <f>$T$7*H21</f>
        <v/>
      </c>
      <c r="J21" s="104">
        <f>G21+$T$9+I21</f>
        <v/>
      </c>
      <c r="K21" s="104">
        <f>$T$11/64</f>
        <v/>
      </c>
      <c r="L21" s="7" t="n">
        <v>0</v>
      </c>
      <c r="M21" s="104" t="n">
        <v>0</v>
      </c>
      <c r="N21" s="104" t="n">
        <v>0</v>
      </c>
      <c r="O21" s="104" t="n">
        <v>0</v>
      </c>
      <c r="P21" s="109" t="n"/>
      <c r="Q21" s="109" t="n"/>
      <c r="R21" s="109">
        <f>(J21+K21+L21+M21+N21+O21)*$B$2</f>
        <v/>
      </c>
      <c r="S21" s="66" t="inlineStr">
        <is>
          <t>TOTAL EXPENSE FOR THE MONTH</t>
        </is>
      </c>
      <c r="T21" s="67">
        <f>'ANNUAL-EXPENSE-DETAILS'!BH10</f>
        <v/>
      </c>
    </row>
    <row r="22" ht="12.75" customHeight="1" s="251">
      <c r="A22" s="104" t="inlineStr">
        <is>
          <t>G1</t>
        </is>
      </c>
      <c r="B22" s="13" t="inlineStr">
        <is>
          <t>Venkataramanan C</t>
        </is>
      </c>
      <c r="C22" s="9" t="n">
        <v>0</v>
      </c>
      <c r="D22" s="104">
        <f>SUM($C$3:$C$5)/64</f>
        <v/>
      </c>
      <c r="E22" s="104">
        <f>C22+D22</f>
        <v/>
      </c>
      <c r="F22" s="104">
        <f>IF($C$70=0, 0, E22/$C$70)</f>
        <v/>
      </c>
      <c r="G22" s="104">
        <f>F22*$T$5</f>
        <v/>
      </c>
      <c r="H22" s="104" t="n">
        <v>3</v>
      </c>
      <c r="I22" s="104">
        <f>$T$7*H22</f>
        <v/>
      </c>
      <c r="J22" s="104">
        <f>G22+$T$9+I22</f>
        <v/>
      </c>
      <c r="K22" s="104">
        <f>$T$11/64</f>
        <v/>
      </c>
      <c r="L22" s="7" t="n">
        <v>0</v>
      </c>
      <c r="M22" s="104" t="n">
        <v>0</v>
      </c>
      <c r="N22" s="104" t="n">
        <v>0</v>
      </c>
      <c r="O22" s="104" t="n">
        <v>0</v>
      </c>
      <c r="P22" s="109" t="n"/>
      <c r="Q22" s="109" t="n"/>
      <c r="R22" s="109">
        <f>(J22+K22+L22+M22+N22+O22)*$B$2</f>
        <v/>
      </c>
      <c r="S22" s="66" t="n"/>
      <c r="T22" s="67" t="n"/>
    </row>
    <row r="23" ht="12.75" customHeight="1" s="251">
      <c r="A23" s="104" t="inlineStr">
        <is>
          <t>G2</t>
        </is>
      </c>
      <c r="B23" s="13" t="inlineStr">
        <is>
          <t>Kaushik Kasibhatla</t>
        </is>
      </c>
      <c r="C23" s="9" t="n">
        <v>0</v>
      </c>
      <c r="D23" s="104">
        <f>SUM($C$3:$C$5)/64</f>
        <v/>
      </c>
      <c r="E23" s="104">
        <f>C23+D23</f>
        <v/>
      </c>
      <c r="F23" s="104">
        <f>IF($C$70=0, 0, E23/$C$70)</f>
        <v/>
      </c>
      <c r="G23" s="104">
        <f>F23*$T$5</f>
        <v/>
      </c>
      <c r="H23" s="104" t="n">
        <v>4</v>
      </c>
      <c r="I23" s="104">
        <f>$T$7*H23</f>
        <v/>
      </c>
      <c r="J23" s="104">
        <f>G23+$T$9+I23</f>
        <v/>
      </c>
      <c r="K23" s="104">
        <f>$T$11/64</f>
        <v/>
      </c>
      <c r="L23" s="7" t="n">
        <v>0</v>
      </c>
      <c r="M23" s="104" t="n">
        <v>0</v>
      </c>
      <c r="N23" s="104" t="n">
        <v>0</v>
      </c>
      <c r="O23" s="104" t="n">
        <v>0</v>
      </c>
      <c r="P23" s="109" t="n"/>
      <c r="Q23" s="109" t="n"/>
      <c r="R23" s="109">
        <f>(J23+K23+L23+M23+N23+O23)*$B$2</f>
        <v/>
      </c>
      <c r="S23" s="107" t="n"/>
      <c r="T23" s="110" t="n"/>
    </row>
    <row r="24" ht="12.75" customHeight="1" s="251">
      <c r="A24" s="104" t="inlineStr">
        <is>
          <t>G3</t>
        </is>
      </c>
      <c r="B24" s="13" t="inlineStr">
        <is>
          <t>Balakrishnan</t>
        </is>
      </c>
      <c r="C24" s="9" t="n">
        <v>0</v>
      </c>
      <c r="D24" s="104">
        <f>SUM($C$3:$C$5)/64</f>
        <v/>
      </c>
      <c r="E24" s="104">
        <f>C24+D24</f>
        <v/>
      </c>
      <c r="F24" s="104">
        <f>IF($C$70=0, 0, E24/$C$70)</f>
        <v/>
      </c>
      <c r="G24" s="104">
        <f>F24*$T$5</f>
        <v/>
      </c>
      <c r="H24" s="104" t="n">
        <v>4</v>
      </c>
      <c r="I24" s="104">
        <f>$T$7*H24</f>
        <v/>
      </c>
      <c r="J24" s="104">
        <f>G24+$T$9+I24</f>
        <v/>
      </c>
      <c r="K24" s="104">
        <f>$T$11/64</f>
        <v/>
      </c>
      <c r="L24" s="7" t="n">
        <v>0</v>
      </c>
      <c r="M24" s="104" t="n">
        <v>0</v>
      </c>
      <c r="N24" s="104" t="n">
        <v>0</v>
      </c>
      <c r="O24" s="104" t="n">
        <v>0</v>
      </c>
      <c r="P24" s="109" t="n"/>
      <c r="Q24" s="109" t="n"/>
      <c r="R24" s="109">
        <f>(J24+K24+L24+M24+N24+O24)*$B$2</f>
        <v/>
      </c>
      <c r="S24" s="107" t="n"/>
      <c r="T24" s="110" t="n"/>
    </row>
    <row r="25" ht="12.75" customHeight="1" s="251">
      <c r="A25" s="104" t="inlineStr">
        <is>
          <t>G4</t>
        </is>
      </c>
      <c r="B25" s="13" t="inlineStr">
        <is>
          <t>Ashwin Pandith</t>
        </is>
      </c>
      <c r="C25" s="9" t="n">
        <v>0</v>
      </c>
      <c r="D25" s="104">
        <f>SUM($C$3:$C$5)/64</f>
        <v/>
      </c>
      <c r="E25" s="104">
        <f>C25+D25</f>
        <v/>
      </c>
      <c r="F25" s="104">
        <f>IF($C$70=0, 0, E25/$C$70)</f>
        <v/>
      </c>
      <c r="G25" s="104">
        <f>F25*$T$5</f>
        <v/>
      </c>
      <c r="H25" s="104" t="n">
        <v>4</v>
      </c>
      <c r="I25" s="104">
        <f>$T$7*H25</f>
        <v/>
      </c>
      <c r="J25" s="104">
        <f>G25+$T$9+I25</f>
        <v/>
      </c>
      <c r="K25" s="104">
        <f>$T$11/64</f>
        <v/>
      </c>
      <c r="L25" s="7" t="n">
        <v>0</v>
      </c>
      <c r="M25" s="104" t="n">
        <v>0</v>
      </c>
      <c r="N25" s="104" t="n">
        <v>0</v>
      </c>
      <c r="O25" s="104" t="n">
        <v>0</v>
      </c>
      <c r="P25" s="109" t="n"/>
      <c r="Q25" s="109" t="n"/>
      <c r="R25" s="109">
        <f>(J25+K25+L25+M25+N25+O25)*$B$2</f>
        <v/>
      </c>
      <c r="S25" s="107" t="n"/>
      <c r="T25" s="110" t="n"/>
    </row>
    <row r="26" ht="12.75" customHeight="1" s="251">
      <c r="A26" s="104" t="inlineStr">
        <is>
          <t>G5</t>
        </is>
      </c>
      <c r="B26" s="13" t="inlineStr">
        <is>
          <t>Mayank Phophaliya</t>
        </is>
      </c>
      <c r="C26" s="9" t="n">
        <v>0</v>
      </c>
      <c r="D26" s="104">
        <f>SUM($C$3:$C$5)/64</f>
        <v/>
      </c>
      <c r="E26" s="104">
        <f>C26+D26</f>
        <v/>
      </c>
      <c r="F26" s="104">
        <f>IF($C$70=0, 0, E26/$C$70)</f>
        <v/>
      </c>
      <c r="G26" s="104">
        <f>F26*$T$5</f>
        <v/>
      </c>
      <c r="H26" s="104" t="n">
        <v>3</v>
      </c>
      <c r="I26" s="104">
        <f>$T$7*H26</f>
        <v/>
      </c>
      <c r="J26" s="104">
        <f>G26+$T$9+I26</f>
        <v/>
      </c>
      <c r="K26" s="104">
        <f>$T$11/64</f>
        <v/>
      </c>
      <c r="L26" s="7" t="n">
        <v>0</v>
      </c>
      <c r="M26" s="104" t="n">
        <v>0</v>
      </c>
      <c r="N26" s="104" t="n">
        <v>0</v>
      </c>
      <c r="O26" s="104" t="n">
        <v>0</v>
      </c>
      <c r="P26" s="109" t="n"/>
      <c r="Q26" s="109" t="n"/>
      <c r="R26" s="109">
        <f>(J26+K26+L26+M26+N26+O26)*$B$2</f>
        <v/>
      </c>
      <c r="S26" s="107" t="n"/>
      <c r="T26" s="110" t="n"/>
    </row>
    <row r="27" ht="12.75" customHeight="1" s="251">
      <c r="A27" s="104" t="inlineStr">
        <is>
          <t>G6</t>
        </is>
      </c>
      <c r="B27" s="13" t="inlineStr">
        <is>
          <t>Mohit Daga</t>
        </is>
      </c>
      <c r="C27" s="9" t="n">
        <v>0</v>
      </c>
      <c r="D27" s="104">
        <f>SUM($C$3:$C$5)/64</f>
        <v/>
      </c>
      <c r="E27" s="104">
        <f>C27+D27</f>
        <v/>
      </c>
      <c r="F27" s="104">
        <f>IF($C$70=0, 0, E27/$C$70)</f>
        <v/>
      </c>
      <c r="G27" s="104">
        <f>F27*$T$5</f>
        <v/>
      </c>
      <c r="H27" s="104" t="n">
        <v>3</v>
      </c>
      <c r="I27" s="104">
        <f>$T$7*H27</f>
        <v/>
      </c>
      <c r="J27" s="104">
        <f>G27+$T$9+I27</f>
        <v/>
      </c>
      <c r="K27" s="104">
        <f>$T$11/64</f>
        <v/>
      </c>
      <c r="L27" s="7" t="n">
        <v>0</v>
      </c>
      <c r="M27" s="104" t="n">
        <v>0</v>
      </c>
      <c r="N27" s="104" t="n">
        <v>0</v>
      </c>
      <c r="O27" s="104" t="n">
        <v>0</v>
      </c>
      <c r="P27" s="109" t="n"/>
      <c r="Q27" s="109" t="n"/>
      <c r="R27" s="109">
        <f>(J27+K27+L27+M27+N27+O27)*$B$2</f>
        <v/>
      </c>
      <c r="S27" s="107" t="n"/>
      <c r="T27" s="110" t="n"/>
    </row>
    <row r="28" ht="12.75" customHeight="1" s="251">
      <c r="A28" s="104" t="inlineStr">
        <is>
          <t>G7</t>
        </is>
      </c>
      <c r="B28" s="13" t="inlineStr">
        <is>
          <t>Prince Richfield</t>
        </is>
      </c>
      <c r="C28" s="9" t="n">
        <v>0</v>
      </c>
      <c r="D28" s="104">
        <f>SUM($C$3:$C$5)/64</f>
        <v/>
      </c>
      <c r="E28" s="104">
        <f>C28+D28</f>
        <v/>
      </c>
      <c r="F28" s="104">
        <f>IF($C$70=0, 0, E28/$C$70)</f>
        <v/>
      </c>
      <c r="G28" s="104">
        <f>F28*$T$5</f>
        <v/>
      </c>
      <c r="H28" s="104" t="n">
        <v>3</v>
      </c>
      <c r="I28" s="104">
        <f>$T$7*H28</f>
        <v/>
      </c>
      <c r="J28" s="104">
        <f>G28+$T$9+I28</f>
        <v/>
      </c>
      <c r="K28" s="104">
        <f>$T$11/64</f>
        <v/>
      </c>
      <c r="L28" s="7" t="n">
        <v>0</v>
      </c>
      <c r="M28" s="104" t="n">
        <v>0</v>
      </c>
      <c r="N28" s="104" t="n">
        <v>0</v>
      </c>
      <c r="O28" s="104" t="n">
        <v>0</v>
      </c>
      <c r="P28" s="109" t="n"/>
      <c r="Q28" s="109" t="n"/>
      <c r="R28" s="109">
        <f>(J28+K28+L28+M28+N28+O28)*$B$2</f>
        <v/>
      </c>
      <c r="S28" s="107" t="n"/>
      <c r="T28" s="110" t="n"/>
    </row>
    <row r="29" ht="12.75" customHeight="1" s="251">
      <c r="A29" s="104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04">
        <f>SUM($C$3:$C$5)/64</f>
        <v/>
      </c>
      <c r="E29" s="104">
        <f>C29+D29</f>
        <v/>
      </c>
      <c r="F29" s="104">
        <f>IF($C$70=0, 0, E29/$C$70)</f>
        <v/>
      </c>
      <c r="G29" s="104">
        <f>F29*$T$5</f>
        <v/>
      </c>
      <c r="H29" s="104" t="n">
        <v>3</v>
      </c>
      <c r="I29" s="104">
        <f>$T$7*H29</f>
        <v/>
      </c>
      <c r="J29" s="104">
        <f>G29+$T$9+I29</f>
        <v/>
      </c>
      <c r="K29" s="104">
        <f>$T$11/64</f>
        <v/>
      </c>
      <c r="L29" s="7" t="n">
        <v>0</v>
      </c>
      <c r="M29" s="104" t="n">
        <v>0</v>
      </c>
      <c r="N29" s="104" t="n">
        <v>0</v>
      </c>
      <c r="O29" s="104" t="n">
        <v>0</v>
      </c>
      <c r="P29" s="109" t="n"/>
      <c r="Q29" s="109" t="n"/>
      <c r="R29" s="109">
        <f>(J29+K29+L29+M29+N29+O29)*$B$2</f>
        <v/>
      </c>
      <c r="S29" s="107" t="n"/>
      <c r="T29" s="110" t="n"/>
    </row>
    <row r="30" ht="12.75" customHeight="1" s="251">
      <c r="A30" s="104" t="inlineStr">
        <is>
          <t>G9</t>
        </is>
      </c>
      <c r="B30" s="13" t="inlineStr">
        <is>
          <t>Chandramouli</t>
        </is>
      </c>
      <c r="C30" s="9" t="n">
        <v>0</v>
      </c>
      <c r="D30" s="104">
        <f>SUM($C$3:$C$5)/64</f>
        <v/>
      </c>
      <c r="E30" s="104">
        <f>C30+D30</f>
        <v/>
      </c>
      <c r="F30" s="104">
        <f>IF($C$70=0, 0, E30/$C$70)</f>
        <v/>
      </c>
      <c r="G30" s="104">
        <f>F30*$T$5</f>
        <v/>
      </c>
      <c r="H30" s="104" t="n">
        <v>5</v>
      </c>
      <c r="I30" s="104">
        <f>$T$7*H30</f>
        <v/>
      </c>
      <c r="J30" s="104">
        <f>G30+$T$9+I30</f>
        <v/>
      </c>
      <c r="K30" s="104">
        <f>$T$11/64</f>
        <v/>
      </c>
      <c r="L30" s="7" t="n">
        <v>0</v>
      </c>
      <c r="M30" s="104" t="n">
        <v>0</v>
      </c>
      <c r="N30" s="104" t="n">
        <v>0</v>
      </c>
      <c r="O30" s="104" t="n">
        <v>0</v>
      </c>
      <c r="P30" s="109" t="n"/>
      <c r="Q30" s="109" t="n"/>
      <c r="R30" s="109">
        <f>(J30+K30+L30+M30+N30+O30)*$B$2</f>
        <v/>
      </c>
      <c r="S30" s="107" t="n"/>
      <c r="T30" s="110" t="n"/>
    </row>
    <row r="31" ht="12.75" customHeight="1" s="251">
      <c r="A31" s="104" t="inlineStr">
        <is>
          <t>G10</t>
        </is>
      </c>
      <c r="B31" s="13" t="inlineStr">
        <is>
          <t>Richa Singh</t>
        </is>
      </c>
      <c r="C31" s="9" t="n">
        <v>0</v>
      </c>
      <c r="D31" s="104">
        <f>SUM($C$3:$C$5)/64</f>
        <v/>
      </c>
      <c r="E31" s="104">
        <f>C31+D31</f>
        <v/>
      </c>
      <c r="F31" s="104">
        <f>IF($C$70=0, 0, E31/$C$70)</f>
        <v/>
      </c>
      <c r="G31" s="104">
        <f>F31*$T$5</f>
        <v/>
      </c>
      <c r="H31" s="104" t="n">
        <v>3</v>
      </c>
      <c r="I31" s="104">
        <f>$T$7*H31</f>
        <v/>
      </c>
      <c r="J31" s="104">
        <f>G31+$T$9+I31</f>
        <v/>
      </c>
      <c r="K31" s="104">
        <f>$T$11/64</f>
        <v/>
      </c>
      <c r="L31" s="7" t="n">
        <v>0</v>
      </c>
      <c r="M31" s="104" t="n">
        <v>0</v>
      </c>
      <c r="N31" s="104" t="n">
        <v>0</v>
      </c>
      <c r="O31" s="104" t="n">
        <v>0</v>
      </c>
      <c r="P31" s="109" t="n">
        <v>0</v>
      </c>
      <c r="Q31" s="109" t="n"/>
      <c r="R31" s="109">
        <f>(J31+K31+L31+M31+N31+O31+P31)*$B$2</f>
        <v/>
      </c>
      <c r="S31" s="107" t="n"/>
      <c r="T31" s="110" t="n"/>
    </row>
    <row r="32" ht="12.75" customHeight="1" s="251">
      <c r="A32" s="104" t="inlineStr">
        <is>
          <t>G11</t>
        </is>
      </c>
      <c r="B32" s="13" t="inlineStr">
        <is>
          <t>Ketan Verlekar</t>
        </is>
      </c>
      <c r="C32" s="9" t="n">
        <v>0</v>
      </c>
      <c r="D32" s="104">
        <f>SUM($C$3:$C$5)/64</f>
        <v/>
      </c>
      <c r="E32" s="104">
        <f>C32+D32</f>
        <v/>
      </c>
      <c r="F32" s="104">
        <f>IF($C$70=0, 0, E32/$C$70)</f>
        <v/>
      </c>
      <c r="G32" s="104">
        <f>F32*$T$5</f>
        <v/>
      </c>
      <c r="H32" s="104" t="n">
        <v>3</v>
      </c>
      <c r="I32" s="104">
        <f>$T$7*H32</f>
        <v/>
      </c>
      <c r="J32" s="104">
        <f>G32+$T$9+I32</f>
        <v/>
      </c>
      <c r="K32" s="104">
        <f>$T$11/64</f>
        <v/>
      </c>
      <c r="L32" s="7" t="n">
        <v>0</v>
      </c>
      <c r="M32" s="104" t="n">
        <v>0</v>
      </c>
      <c r="N32" s="104" t="n">
        <v>0</v>
      </c>
      <c r="O32" s="104" t="n">
        <v>0</v>
      </c>
      <c r="P32" s="109" t="n"/>
      <c r="Q32" s="109" t="n"/>
      <c r="R32" s="109">
        <f>(J32+K32+L32+M32+N32+O32)*$B$2</f>
        <v/>
      </c>
      <c r="S32" s="107" t="n"/>
      <c r="T32" s="110" t="n"/>
    </row>
    <row r="33" ht="12.75" customHeight="1" s="251">
      <c r="A33" s="104" t="inlineStr">
        <is>
          <t>G12</t>
        </is>
      </c>
      <c r="B33" s="13" t="inlineStr">
        <is>
          <t>Shyam Nair</t>
        </is>
      </c>
      <c r="C33" s="9" t="n">
        <v>0</v>
      </c>
      <c r="D33" s="104">
        <f>SUM($C$3:$C$5)/64</f>
        <v/>
      </c>
      <c r="E33" s="104">
        <f>C33+D33</f>
        <v/>
      </c>
      <c r="F33" s="104">
        <f>IF($C$70=0, 0, E33/$C$70)</f>
        <v/>
      </c>
      <c r="G33" s="104">
        <f>F33*$T$5</f>
        <v/>
      </c>
      <c r="H33" s="104" t="n">
        <v>3</v>
      </c>
      <c r="I33" s="104">
        <f>$T$7*H33</f>
        <v/>
      </c>
      <c r="J33" s="104">
        <f>G33+$T$9+I33</f>
        <v/>
      </c>
      <c r="K33" s="104">
        <f>$T$11/64</f>
        <v/>
      </c>
      <c r="L33" s="7" t="n">
        <v>0</v>
      </c>
      <c r="M33" s="104" t="n">
        <v>0</v>
      </c>
      <c r="N33" s="104" t="n">
        <v>0</v>
      </c>
      <c r="O33" s="104" t="n">
        <v>0</v>
      </c>
      <c r="P33" s="109" t="n"/>
      <c r="Q33" s="109" t="n"/>
      <c r="R33" s="109">
        <f>(J33+K33+L33+M33+N33+O33)*$B$2</f>
        <v/>
      </c>
      <c r="S33" s="107" t="n"/>
      <c r="T33" s="110" t="n"/>
    </row>
    <row r="34" ht="12.75" customHeight="1" s="251">
      <c r="A34" s="104" t="inlineStr">
        <is>
          <t>G13</t>
        </is>
      </c>
      <c r="B34" s="13" t="inlineStr">
        <is>
          <t>Ajai.B</t>
        </is>
      </c>
      <c r="C34" s="9" t="n">
        <v>0</v>
      </c>
      <c r="D34" s="104">
        <f>SUM($C$3:$C$5)/64</f>
        <v/>
      </c>
      <c r="E34" s="104">
        <f>C34+D34</f>
        <v/>
      </c>
      <c r="F34" s="104">
        <f>IF($C$70=0, 0, E34/$C$70)</f>
        <v/>
      </c>
      <c r="G34" s="104">
        <f>F34*$T$5</f>
        <v/>
      </c>
      <c r="H34" s="104" t="n">
        <v>4</v>
      </c>
      <c r="I34" s="104">
        <f>$T$7*H34</f>
        <v/>
      </c>
      <c r="J34" s="104">
        <f>G34+$T$9+I34</f>
        <v/>
      </c>
      <c r="K34" s="104">
        <f>$T$11/64</f>
        <v/>
      </c>
      <c r="L34" s="7" t="n">
        <v>0</v>
      </c>
      <c r="M34" s="104" t="n">
        <v>0</v>
      </c>
      <c r="N34" s="104" t="n">
        <v>0</v>
      </c>
      <c r="O34" s="104" t="n">
        <v>0</v>
      </c>
      <c r="P34" s="109" t="n"/>
      <c r="Q34" s="109" t="n"/>
      <c r="R34" s="109">
        <f>(J34+K34+L34+M34+N34+O34)*$B$2</f>
        <v/>
      </c>
      <c r="S34" s="107" t="n"/>
      <c r="T34" s="110" t="n"/>
    </row>
    <row r="35" ht="12.75" customHeight="1" s="251">
      <c r="A35" s="104" t="inlineStr">
        <is>
          <t>G14</t>
        </is>
      </c>
      <c r="B35" s="13" t="inlineStr">
        <is>
          <t>Surajit Borah</t>
        </is>
      </c>
      <c r="C35" s="9" t="n">
        <v>0</v>
      </c>
      <c r="D35" s="104">
        <f>SUM($C$3:$C$5)/64</f>
        <v/>
      </c>
      <c r="E35" s="104">
        <f>C35+D35</f>
        <v/>
      </c>
      <c r="F35" s="104">
        <f>IF($C$70=0, 0, E35/$C$70)</f>
        <v/>
      </c>
      <c r="G35" s="104">
        <f>F35*$T$5</f>
        <v/>
      </c>
      <c r="H35" s="104" t="n">
        <v>4</v>
      </c>
      <c r="I35" s="104">
        <f>$T$7*H35</f>
        <v/>
      </c>
      <c r="J35" s="104">
        <f>G35+$T$9+I35</f>
        <v/>
      </c>
      <c r="K35" s="104">
        <f>$T$11/64</f>
        <v/>
      </c>
      <c r="L35" s="7" t="n">
        <v>0</v>
      </c>
      <c r="M35" s="104" t="n">
        <v>0</v>
      </c>
      <c r="N35" s="104" t="n">
        <v>0</v>
      </c>
      <c r="O35" s="104" t="n">
        <v>0</v>
      </c>
      <c r="P35" s="109" t="n"/>
      <c r="Q35" s="109" t="n"/>
      <c r="R35" s="109">
        <f>(J35+K35+L35+M35+N35+O35)*$B$2</f>
        <v/>
      </c>
      <c r="S35" s="107" t="n"/>
      <c r="T35" s="110" t="n"/>
    </row>
    <row r="36" ht="12.75" customHeight="1" s="251">
      <c r="A36" s="104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04">
        <f>SUM($C$3:$C$5)/64</f>
        <v/>
      </c>
      <c r="E36" s="104">
        <f>C36+D36</f>
        <v/>
      </c>
      <c r="F36" s="104">
        <f>IF($C$70=0, 0, E36/$C$70)</f>
        <v/>
      </c>
      <c r="G36" s="104">
        <f>F36*$T$5</f>
        <v/>
      </c>
      <c r="H36" s="104" t="n">
        <v>4</v>
      </c>
      <c r="I36" s="104">
        <f>$T$7*H36</f>
        <v/>
      </c>
      <c r="J36" s="104">
        <f>G36+$T$9+I36</f>
        <v/>
      </c>
      <c r="K36" s="104">
        <f>$T$11/64</f>
        <v/>
      </c>
      <c r="L36" s="7" t="n">
        <v>0</v>
      </c>
      <c r="M36" s="104" t="n">
        <v>0</v>
      </c>
      <c r="N36" s="104" t="n">
        <v>0</v>
      </c>
      <c r="O36" s="104" t="n">
        <v>0</v>
      </c>
      <c r="P36" s="109" t="n"/>
      <c r="Q36" s="109" t="n"/>
      <c r="R36" s="109">
        <f>(J36+K36+L36+M36+N36+O36)*$B$2</f>
        <v/>
      </c>
      <c r="S36" s="107" t="n"/>
      <c r="T36" s="110" t="n"/>
    </row>
    <row r="37" ht="12.75" customHeight="1" s="251">
      <c r="A37" s="104" t="inlineStr">
        <is>
          <t>G16</t>
        </is>
      </c>
      <c r="B37" s="13" t="inlineStr">
        <is>
          <t>Praveen Ganesan</t>
        </is>
      </c>
      <c r="C37" s="9" t="n">
        <v>0</v>
      </c>
      <c r="D37" s="104">
        <f>SUM($C$3:$C$5)/64</f>
        <v/>
      </c>
      <c r="E37" s="104">
        <f>C37+D37</f>
        <v/>
      </c>
      <c r="F37" s="104">
        <f>IF($C$70=0, 0, E37/$C$70)</f>
        <v/>
      </c>
      <c r="G37" s="104">
        <f>F37*$T$5</f>
        <v/>
      </c>
      <c r="H37" s="104" t="n">
        <v>3</v>
      </c>
      <c r="I37" s="104">
        <f>$T$7*H37</f>
        <v/>
      </c>
      <c r="J37" s="104">
        <f>G37+$T$9+I37</f>
        <v/>
      </c>
      <c r="K37" s="104">
        <f>$T$11/64</f>
        <v/>
      </c>
      <c r="L37" s="7" t="n">
        <v>0</v>
      </c>
      <c r="M37" s="104" t="n">
        <v>0</v>
      </c>
      <c r="N37" s="104" t="n">
        <v>0</v>
      </c>
      <c r="O37" s="104" t="n">
        <v>0</v>
      </c>
      <c r="P37" s="109" t="n"/>
      <c r="Q37" s="109" t="n"/>
      <c r="R37" s="109">
        <f>(J37+K37+L37+M37+N37+O37)*$B$2</f>
        <v/>
      </c>
      <c r="S37" s="107" t="n"/>
      <c r="T37" s="110" t="n"/>
    </row>
    <row r="38" ht="12.75" customHeight="1" s="251">
      <c r="A38" s="104" t="inlineStr">
        <is>
          <t>S1</t>
        </is>
      </c>
      <c r="B38" s="13" t="inlineStr">
        <is>
          <t>S.N.Behera</t>
        </is>
      </c>
      <c r="C38" s="9" t="n">
        <v>0</v>
      </c>
      <c r="D38" s="104">
        <f>SUM($C$3:$C$5)/64</f>
        <v/>
      </c>
      <c r="E38" s="104">
        <f>C38+D38</f>
        <v/>
      </c>
      <c r="F38" s="104">
        <f>IF($C$70=0, 0, E38/$C$70)</f>
        <v/>
      </c>
      <c r="G38" s="104">
        <f>F38*$T$5</f>
        <v/>
      </c>
      <c r="H38" s="104" t="n">
        <v>3</v>
      </c>
      <c r="I38" s="104">
        <f>$T$7*H38</f>
        <v/>
      </c>
      <c r="J38" s="104">
        <f>G38+$T$9+I38</f>
        <v/>
      </c>
      <c r="K38" s="104">
        <f>$T$11/64</f>
        <v/>
      </c>
      <c r="L38" s="7" t="n">
        <v>0</v>
      </c>
      <c r="M38" s="104" t="n">
        <v>0</v>
      </c>
      <c r="N38" s="104" t="n">
        <v>0</v>
      </c>
      <c r="O38" s="104" t="n">
        <v>0</v>
      </c>
      <c r="P38" s="109" t="n"/>
      <c r="Q38" s="109" t="n"/>
      <c r="R38" s="109">
        <f>(J38+K38+L38+M38+N38+O38)*$B$2</f>
        <v/>
      </c>
      <c r="S38" s="107" t="n"/>
      <c r="T38" s="110" t="n"/>
    </row>
    <row r="39" ht="12.75" customHeight="1" s="251">
      <c r="A39" s="104" t="inlineStr">
        <is>
          <t>S2</t>
        </is>
      </c>
      <c r="B39" s="13" t="inlineStr">
        <is>
          <t>Sonal Singh</t>
        </is>
      </c>
      <c r="C39" s="9" t="n">
        <v>0</v>
      </c>
      <c r="D39" s="104">
        <f>SUM($C$3:$C$5)/64</f>
        <v/>
      </c>
      <c r="E39" s="104">
        <f>C39+D39</f>
        <v/>
      </c>
      <c r="F39" s="104">
        <f>IF($C$70=0, 0, E39/$C$70)</f>
        <v/>
      </c>
      <c r="G39" s="104">
        <f>F39*$T$5</f>
        <v/>
      </c>
      <c r="H39" s="104" t="n">
        <v>4</v>
      </c>
      <c r="I39" s="104">
        <f>$T$7*H39</f>
        <v/>
      </c>
      <c r="J39" s="104">
        <f>G39+$T$9+I39</f>
        <v/>
      </c>
      <c r="K39" s="104">
        <f>$T$11/64</f>
        <v/>
      </c>
      <c r="L39" s="7" t="n">
        <v>0</v>
      </c>
      <c r="M39" s="104" t="n">
        <v>0</v>
      </c>
      <c r="N39" s="104" t="n">
        <v>0</v>
      </c>
      <c r="O39" s="104" t="n">
        <v>0</v>
      </c>
      <c r="P39" s="109" t="n"/>
      <c r="Q39" s="109" t="n"/>
      <c r="R39" s="109">
        <f>(J39+K39+L39+M39+N39+O39)*$B$2</f>
        <v/>
      </c>
      <c r="S39" s="107" t="n"/>
      <c r="T39" s="110" t="n"/>
    </row>
    <row r="40" ht="12.75" customHeight="1" s="251">
      <c r="A40" s="104" t="inlineStr">
        <is>
          <t>S3</t>
        </is>
      </c>
      <c r="B40" s="13" t="inlineStr">
        <is>
          <t>Koteswararao</t>
        </is>
      </c>
      <c r="C40" s="9" t="n">
        <v>0</v>
      </c>
      <c r="D40" s="104">
        <f>SUM($C$3:$C$5)/64</f>
        <v/>
      </c>
      <c r="E40" s="104">
        <f>C40+D40</f>
        <v/>
      </c>
      <c r="F40" s="104">
        <f>IF($C$70=0, 0, E40/$C$70)</f>
        <v/>
      </c>
      <c r="G40" s="104">
        <f>F40*$T$5</f>
        <v/>
      </c>
      <c r="H40" s="104" t="n">
        <v>4</v>
      </c>
      <c r="I40" s="104">
        <f>$T$7*H40</f>
        <v/>
      </c>
      <c r="J40" s="104">
        <f>G40+$T$9+I40</f>
        <v/>
      </c>
      <c r="K40" s="104">
        <f>$T$11/64</f>
        <v/>
      </c>
      <c r="L40" s="7" t="n">
        <v>0</v>
      </c>
      <c r="M40" s="104" t="n">
        <v>0</v>
      </c>
      <c r="N40" s="104" t="n">
        <v>0</v>
      </c>
      <c r="O40" s="104" t="n">
        <v>0</v>
      </c>
      <c r="P40" s="109" t="n"/>
      <c r="Q40" s="109" t="n"/>
      <c r="R40" s="109">
        <f>(J40+K40+L40+M40+N40+O40)*$B$2</f>
        <v/>
      </c>
      <c r="S40" s="107" t="n"/>
      <c r="T40" s="110" t="n"/>
    </row>
    <row r="41" ht="12.75" customHeight="1" s="251">
      <c r="A41" s="104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04">
        <f>SUM($C$3:$C$5)/64</f>
        <v/>
      </c>
      <c r="E41" s="104">
        <f>C41+D41</f>
        <v/>
      </c>
      <c r="F41" s="104">
        <f>IF($C$70=0, 0, E41/$C$70)</f>
        <v/>
      </c>
      <c r="G41" s="104">
        <f>F41*$T$5</f>
        <v/>
      </c>
      <c r="H41" s="104" t="n">
        <v>3</v>
      </c>
      <c r="I41" s="104">
        <f>$T$7*H41</f>
        <v/>
      </c>
      <c r="J41" s="104">
        <f>G41+$T$9+I41</f>
        <v/>
      </c>
      <c r="K41" s="104">
        <f>$T$11/64</f>
        <v/>
      </c>
      <c r="L41" s="7" t="n">
        <v>0</v>
      </c>
      <c r="M41" s="104" t="n">
        <v>0</v>
      </c>
      <c r="N41" s="104" t="n">
        <v>0</v>
      </c>
      <c r="O41" s="104" t="n">
        <v>0</v>
      </c>
      <c r="P41" s="109" t="n"/>
      <c r="Q41" s="109" t="n"/>
      <c r="R41" s="109">
        <f>(J41+K41+L41+M41+N41+O41)*$B$2</f>
        <v/>
      </c>
      <c r="S41" s="107" t="n"/>
      <c r="T41" s="110" t="n"/>
    </row>
    <row r="42" ht="12.75" customHeight="1" s="251">
      <c r="A42" s="104" t="inlineStr">
        <is>
          <t>S5</t>
        </is>
      </c>
      <c r="B42" s="13" t="inlineStr">
        <is>
          <t>Abhishek Gopalakrishnan</t>
        </is>
      </c>
      <c r="C42" s="9" t="n">
        <v>0</v>
      </c>
      <c r="D42" s="104">
        <f>SUM($C$3:$C$5)/64</f>
        <v/>
      </c>
      <c r="E42" s="104">
        <f>C42+D42</f>
        <v/>
      </c>
      <c r="F42" s="104">
        <f>IF($C$70=0, 0, E42/$C$70)</f>
        <v/>
      </c>
      <c r="G42" s="104">
        <f>F42*$T$5</f>
        <v/>
      </c>
      <c r="H42" s="104" t="n">
        <v>3</v>
      </c>
      <c r="I42" s="104">
        <f>$T$7*H42</f>
        <v/>
      </c>
      <c r="J42" s="104">
        <f>G42+$T$9+I42</f>
        <v/>
      </c>
      <c r="K42" s="104">
        <f>$T$11/64</f>
        <v/>
      </c>
      <c r="L42" s="7" t="n">
        <v>0</v>
      </c>
      <c r="M42" s="104" t="n">
        <v>0</v>
      </c>
      <c r="N42" s="104" t="n">
        <v>0</v>
      </c>
      <c r="O42" s="104" t="n">
        <v>0</v>
      </c>
      <c r="P42" s="109" t="n"/>
      <c r="Q42" s="109" t="n"/>
      <c r="R42" s="109">
        <f>(J42+K42+L42+M42+N42+O42)*$B$2</f>
        <v/>
      </c>
      <c r="S42" s="107" t="n"/>
      <c r="T42" s="110" t="n"/>
    </row>
    <row r="43" ht="12.75" customHeight="1" s="251">
      <c r="A43" s="104" t="inlineStr">
        <is>
          <t>S6</t>
        </is>
      </c>
      <c r="B43" s="30" t="inlineStr">
        <is>
          <t>Vivek Dhingra / Pratyush Das</t>
        </is>
      </c>
      <c r="C43" s="9" t="n">
        <v>0</v>
      </c>
      <c r="D43" s="104">
        <f>SUM($C$3:$C$5)/64</f>
        <v/>
      </c>
      <c r="E43" s="104">
        <f>C43+D43</f>
        <v/>
      </c>
      <c r="F43" s="104">
        <f>IF($C$70=0, 0, E43/$C$70)</f>
        <v/>
      </c>
      <c r="G43" s="104">
        <f>F43*$T$5</f>
        <v/>
      </c>
      <c r="H43" s="104" t="n">
        <v>3</v>
      </c>
      <c r="I43" s="104">
        <f>$T$7*H43</f>
        <v/>
      </c>
      <c r="J43" s="104">
        <f>G43+$T$9+I43</f>
        <v/>
      </c>
      <c r="K43" s="104">
        <f>$T$11/64</f>
        <v/>
      </c>
      <c r="L43" s="7" t="n">
        <v>0</v>
      </c>
      <c r="M43" s="104" t="n">
        <v>0</v>
      </c>
      <c r="N43" s="104" t="n">
        <v>0</v>
      </c>
      <c r="O43" s="104" t="n">
        <v>0</v>
      </c>
      <c r="P43" s="109" t="n"/>
      <c r="Q43" s="109" t="n"/>
      <c r="R43" s="109">
        <f>(J43+K43+L43+M43+N43+O43)*$B$2</f>
        <v/>
      </c>
      <c r="S43" s="107" t="n"/>
      <c r="T43" s="110" t="n"/>
    </row>
    <row r="44" ht="12.75" customHeight="1" s="251">
      <c r="A44" s="104" t="inlineStr">
        <is>
          <t>S7</t>
        </is>
      </c>
      <c r="B44" s="13" t="inlineStr">
        <is>
          <t>Harish B</t>
        </is>
      </c>
      <c r="C44" s="9" t="n">
        <v>0</v>
      </c>
      <c r="D44" s="104">
        <f>SUM($C$3:$C$5)/64</f>
        <v/>
      </c>
      <c r="E44" s="104">
        <f>C44+D44</f>
        <v/>
      </c>
      <c r="F44" s="104">
        <f>IF($C$70=0, 0, E44/$C$70)</f>
        <v/>
      </c>
      <c r="G44" s="104">
        <f>F44*$T$5</f>
        <v/>
      </c>
      <c r="H44" s="104" t="n">
        <v>3</v>
      </c>
      <c r="I44" s="104">
        <f>$T$7*H44</f>
        <v/>
      </c>
      <c r="J44" s="104">
        <f>G44+$T$9+I44</f>
        <v/>
      </c>
      <c r="K44" s="104">
        <f>$T$11/64</f>
        <v/>
      </c>
      <c r="L44" s="7" t="n">
        <v>0</v>
      </c>
      <c r="M44" s="104" t="n">
        <v>0</v>
      </c>
      <c r="N44" s="104" t="n">
        <v>0</v>
      </c>
      <c r="O44" s="104" t="n">
        <v>0</v>
      </c>
      <c r="P44" s="109" t="n"/>
      <c r="Q44" s="109" t="n"/>
      <c r="R44" s="109">
        <f>(J44+K44+L44+M44+N44+O44)*$B$2</f>
        <v/>
      </c>
      <c r="S44" s="107" t="n"/>
      <c r="T44" s="110" t="n"/>
    </row>
    <row r="45" ht="12.75" customHeight="1" s="251">
      <c r="A45" s="104" t="inlineStr">
        <is>
          <t>S8</t>
        </is>
      </c>
      <c r="B45" s="13" t="inlineStr">
        <is>
          <t>Irudayaraj Alwin</t>
        </is>
      </c>
      <c r="C45" s="9" t="n">
        <v>0</v>
      </c>
      <c r="D45" s="104">
        <f>SUM($C$3:$C$5)/64</f>
        <v/>
      </c>
      <c r="E45" s="104">
        <f>C45+D45</f>
        <v/>
      </c>
      <c r="F45" s="104">
        <f>IF($C$70=0, 0, E45/$C$70)</f>
        <v/>
      </c>
      <c r="G45" s="104">
        <f>F45*$T$5</f>
        <v/>
      </c>
      <c r="H45" s="104" t="n">
        <v>3</v>
      </c>
      <c r="I45" s="104">
        <f>$T$7*H45</f>
        <v/>
      </c>
      <c r="J45" s="104">
        <f>G45+$T$9+I45</f>
        <v/>
      </c>
      <c r="K45" s="104">
        <f>$T$11/64</f>
        <v/>
      </c>
      <c r="L45" s="7" t="n">
        <v>0</v>
      </c>
      <c r="M45" s="104" t="n">
        <v>0</v>
      </c>
      <c r="N45" s="104" t="n">
        <v>0</v>
      </c>
      <c r="O45" s="104" t="n">
        <v>0</v>
      </c>
      <c r="P45" s="109" t="n"/>
      <c r="Q45" s="109" t="n"/>
      <c r="R45" s="109">
        <f>(J45+K45+L45+M45+N45+O45)*$B$2</f>
        <v/>
      </c>
      <c r="S45" s="107" t="n"/>
      <c r="T45" s="110" t="n"/>
    </row>
    <row r="46" ht="12.75" customHeight="1" s="251">
      <c r="A46" s="104" t="inlineStr">
        <is>
          <t>S9</t>
        </is>
      </c>
      <c r="B46" s="13" t="inlineStr">
        <is>
          <t>Pawan GS</t>
        </is>
      </c>
      <c r="C46" s="9" t="n">
        <v>0</v>
      </c>
      <c r="D46" s="104">
        <f>SUM($C$3:$C$5)/64</f>
        <v/>
      </c>
      <c r="E46" s="104">
        <f>C46+D46</f>
        <v/>
      </c>
      <c r="F46" s="104">
        <f>IF($C$70=0, 0, E46/$C$70)</f>
        <v/>
      </c>
      <c r="G46" s="104">
        <f>F46*$T$5</f>
        <v/>
      </c>
      <c r="H46" s="104" t="n">
        <v>4</v>
      </c>
      <c r="I46" s="104">
        <f>$T$7*H46</f>
        <v/>
      </c>
      <c r="J46" s="104">
        <f>G46+$T$9+I46</f>
        <v/>
      </c>
      <c r="K46" s="104">
        <f>$T$11/64</f>
        <v/>
      </c>
      <c r="L46" s="7" t="n">
        <v>0</v>
      </c>
      <c r="M46" s="104" t="n">
        <v>0</v>
      </c>
      <c r="N46" s="104" t="n">
        <v>0</v>
      </c>
      <c r="O46" s="104" t="n">
        <v>0</v>
      </c>
      <c r="P46" s="109" t="n"/>
      <c r="Q46" s="109" t="n"/>
      <c r="R46" s="109">
        <f>(J46+K46+L46+M46+N46+O46)*$B$2</f>
        <v/>
      </c>
      <c r="S46" s="107" t="n"/>
      <c r="T46" s="110" t="n"/>
    </row>
    <row r="47" ht="12.75" customHeight="1" s="251">
      <c r="A47" s="104" t="inlineStr">
        <is>
          <t>S10</t>
        </is>
      </c>
      <c r="B47" s="13" t="inlineStr">
        <is>
          <t>Lakshmikanth</t>
        </is>
      </c>
      <c r="C47" s="9" t="n">
        <v>0</v>
      </c>
      <c r="D47" s="104">
        <f>SUM($C$3:$C$5)/64</f>
        <v/>
      </c>
      <c r="E47" s="104">
        <f>C47+D47</f>
        <v/>
      </c>
      <c r="F47" s="104">
        <f>IF($C$70=0, 0, E47/$C$70)</f>
        <v/>
      </c>
      <c r="G47" s="104">
        <f>F47*$T$5</f>
        <v/>
      </c>
      <c r="H47" s="104" t="n">
        <v>3</v>
      </c>
      <c r="I47" s="104">
        <f>$T$7*H47</f>
        <v/>
      </c>
      <c r="J47" s="104">
        <f>G47+$T$9+I47</f>
        <v/>
      </c>
      <c r="K47" s="104">
        <f>$T$11/64</f>
        <v/>
      </c>
      <c r="L47" s="7" t="n">
        <v>0</v>
      </c>
      <c r="M47" s="104" t="n">
        <v>0</v>
      </c>
      <c r="N47" s="104" t="n">
        <v>0</v>
      </c>
      <c r="O47" s="104" t="n">
        <v>0</v>
      </c>
      <c r="P47" s="109" t="n"/>
      <c r="Q47" s="109" t="n"/>
      <c r="R47" s="109">
        <f>(J47+K47+L47+M47+N47+O47)*$B$2</f>
        <v/>
      </c>
      <c r="S47" s="107" t="n"/>
      <c r="T47" s="110" t="n"/>
    </row>
    <row r="48" ht="12.75" customHeight="1" s="251">
      <c r="A48" s="104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04">
        <f>SUM($C$3:$C$5)/64</f>
        <v/>
      </c>
      <c r="E48" s="104">
        <f>C48+D48</f>
        <v/>
      </c>
      <c r="F48" s="104">
        <f>IF($C$70=0, 0, E48/$C$70)</f>
        <v/>
      </c>
      <c r="G48" s="104">
        <f>F48*$T$5</f>
        <v/>
      </c>
      <c r="H48" s="104" t="n">
        <v>3</v>
      </c>
      <c r="I48" s="104">
        <f>$T$7*H48</f>
        <v/>
      </c>
      <c r="J48" s="104">
        <f>G48+$T$9+I48</f>
        <v/>
      </c>
      <c r="K48" s="104">
        <f>$T$11/64</f>
        <v/>
      </c>
      <c r="L48" s="7" t="n">
        <v>0</v>
      </c>
      <c r="M48" s="104" t="n">
        <v>0</v>
      </c>
      <c r="N48" s="104" t="n">
        <v>0</v>
      </c>
      <c r="O48" s="104" t="n">
        <v>0</v>
      </c>
      <c r="P48" s="109" t="n"/>
      <c r="Q48" s="109" t="n"/>
      <c r="R48" s="109">
        <f>(J48+K48+L48+M48+N48+O48)*$B$2</f>
        <v/>
      </c>
      <c r="S48" s="107" t="n"/>
      <c r="T48" s="110" t="n"/>
    </row>
    <row r="49" ht="12.75" customHeight="1" s="251">
      <c r="A49" s="104" t="inlineStr">
        <is>
          <t>S12</t>
        </is>
      </c>
      <c r="B49" s="13" t="inlineStr">
        <is>
          <t>Saovik Mondal</t>
        </is>
      </c>
      <c r="C49" s="9" t="n">
        <v>0</v>
      </c>
      <c r="D49" s="104">
        <f>SUM($C$3:$C$5)/64</f>
        <v/>
      </c>
      <c r="E49" s="104">
        <f>C49+D49</f>
        <v/>
      </c>
      <c r="F49" s="104">
        <f>IF($C$70=0, 0, E49/$C$70)</f>
        <v/>
      </c>
      <c r="G49" s="104">
        <f>F49*$T$5</f>
        <v/>
      </c>
      <c r="H49" s="104" t="n">
        <v>3</v>
      </c>
      <c r="I49" s="104">
        <f>$T$7*H49</f>
        <v/>
      </c>
      <c r="J49" s="104">
        <f>G49+$T$9+I49</f>
        <v/>
      </c>
      <c r="K49" s="104">
        <f>$T$11/64</f>
        <v/>
      </c>
      <c r="L49" s="7" t="n">
        <v>0</v>
      </c>
      <c r="M49" s="104" t="n">
        <v>0</v>
      </c>
      <c r="N49" s="104" t="n">
        <v>0</v>
      </c>
      <c r="O49" s="104" t="n">
        <v>0</v>
      </c>
      <c r="P49" s="109" t="n"/>
      <c r="Q49" s="109" t="n"/>
      <c r="R49" s="109">
        <f>(J49+K49+L49+M49+N49+O49)*$B$2</f>
        <v/>
      </c>
      <c r="S49" s="107" t="n"/>
      <c r="T49" s="110" t="n"/>
    </row>
    <row r="50" ht="12.75" customHeight="1" s="251">
      <c r="A50" s="104" t="inlineStr">
        <is>
          <t>S13</t>
        </is>
      </c>
      <c r="B50" s="13" t="inlineStr">
        <is>
          <t>Ramadevi S.</t>
        </is>
      </c>
      <c r="C50" s="9" t="n">
        <v>0</v>
      </c>
      <c r="D50" s="104">
        <f>SUM($C$3:$C$5)/64</f>
        <v/>
      </c>
      <c r="E50" s="104">
        <f>C50+D50</f>
        <v/>
      </c>
      <c r="F50" s="104">
        <f>IF($C$70=0, 0, E50/$C$70)</f>
        <v/>
      </c>
      <c r="G50" s="104">
        <f>F50*$T$5</f>
        <v/>
      </c>
      <c r="H50" s="104" t="n">
        <v>4</v>
      </c>
      <c r="I50" s="104">
        <f>$T$7*H50</f>
        <v/>
      </c>
      <c r="J50" s="104">
        <f>G50+$T$9+I50</f>
        <v/>
      </c>
      <c r="K50" s="104">
        <f>$T$11/64</f>
        <v/>
      </c>
      <c r="L50" s="7" t="n">
        <v>0</v>
      </c>
      <c r="M50" s="104" t="n">
        <v>0</v>
      </c>
      <c r="N50" s="104" t="n">
        <v>0</v>
      </c>
      <c r="O50" s="104" t="n">
        <v>0</v>
      </c>
      <c r="P50" s="109" t="n"/>
      <c r="Q50" s="109" t="n"/>
      <c r="R50" s="109">
        <f>(J50+K50+L50+M50+N50+O50)*$B$2</f>
        <v/>
      </c>
      <c r="S50" s="107" t="n"/>
      <c r="T50" s="110" t="n"/>
    </row>
    <row r="51" ht="12.75" customHeight="1" s="251">
      <c r="A51" s="104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04">
        <f>SUM($C$3:$C$5)/64</f>
        <v/>
      </c>
      <c r="E51" s="104">
        <f>C51+D51</f>
        <v/>
      </c>
      <c r="F51" s="104">
        <f>IF($C$70=0, 0, E51/$C$70)</f>
        <v/>
      </c>
      <c r="G51" s="104">
        <f>F51*$T$5</f>
        <v/>
      </c>
      <c r="H51" s="104" t="n">
        <v>4</v>
      </c>
      <c r="I51" s="104">
        <f>$T$7*H51</f>
        <v/>
      </c>
      <c r="J51" s="104">
        <f>G51+$T$9+I51</f>
        <v/>
      </c>
      <c r="K51" s="104">
        <f>$T$11/64</f>
        <v/>
      </c>
      <c r="L51" s="7" t="n">
        <v>0</v>
      </c>
      <c r="M51" s="104" t="n">
        <v>0</v>
      </c>
      <c r="N51" s="104" t="n">
        <v>0</v>
      </c>
      <c r="O51" s="104" t="n">
        <v>0</v>
      </c>
      <c r="P51" s="109" t="n"/>
      <c r="Q51" s="109" t="n"/>
      <c r="R51" s="109">
        <f>(J51+K51+L51+M51+N51+O51)*$B$2</f>
        <v/>
      </c>
      <c r="S51" s="107" t="n"/>
      <c r="T51" s="110" t="n"/>
    </row>
    <row r="52" ht="12.75" customHeight="1" s="251">
      <c r="A52" s="104" t="inlineStr">
        <is>
          <t>S15</t>
        </is>
      </c>
      <c r="B52" s="13" t="inlineStr">
        <is>
          <t>Manas Dasgupta</t>
        </is>
      </c>
      <c r="C52" s="9" t="n">
        <v>0</v>
      </c>
      <c r="D52" s="104">
        <f>SUM($C$3:$C$5)/64</f>
        <v/>
      </c>
      <c r="E52" s="104">
        <f>C52+D52</f>
        <v/>
      </c>
      <c r="F52" s="104">
        <f>IF($C$70=0, 0, E52/$C$70)</f>
        <v/>
      </c>
      <c r="G52" s="104">
        <f>F52*$T$5</f>
        <v/>
      </c>
      <c r="H52" s="104" t="n">
        <v>4</v>
      </c>
      <c r="I52" s="104">
        <f>$T$7*H52</f>
        <v/>
      </c>
      <c r="J52" s="104">
        <f>G52+$T$9+I52</f>
        <v/>
      </c>
      <c r="K52" s="104">
        <f>$T$11/64</f>
        <v/>
      </c>
      <c r="L52" s="7" t="n">
        <v>0</v>
      </c>
      <c r="M52" s="104" t="n">
        <v>0</v>
      </c>
      <c r="N52" s="104" t="n">
        <v>0</v>
      </c>
      <c r="O52" s="104" t="n">
        <v>0</v>
      </c>
      <c r="P52" s="109" t="n"/>
      <c r="Q52" s="109" t="n"/>
      <c r="R52" s="109">
        <f>(J52+K52+L52+M52+N52+O52)*$B$2</f>
        <v/>
      </c>
      <c r="S52" s="107" t="n"/>
      <c r="T52" s="110" t="n"/>
    </row>
    <row r="53" ht="12.75" customHeight="1" s="251">
      <c r="A53" s="104" t="inlineStr">
        <is>
          <t>S16</t>
        </is>
      </c>
      <c r="B53" s="13" t="inlineStr">
        <is>
          <t>Devendra Singh Rawat / Nancy</t>
        </is>
      </c>
      <c r="C53" s="9" t="n">
        <v>0</v>
      </c>
      <c r="D53" s="104">
        <f>SUM($C$3:$C$5)/64</f>
        <v/>
      </c>
      <c r="E53" s="104">
        <f>C53+D53</f>
        <v/>
      </c>
      <c r="F53" s="104">
        <f>IF($C$70=0, 0, E53/$C$70)</f>
        <v/>
      </c>
      <c r="G53" s="104">
        <f>F53*$T$5</f>
        <v/>
      </c>
      <c r="H53" s="104" t="n">
        <v>3</v>
      </c>
      <c r="I53" s="104">
        <f>$T$7*H53</f>
        <v/>
      </c>
      <c r="J53" s="104">
        <f>G53+$T$9+I53</f>
        <v/>
      </c>
      <c r="K53" s="104">
        <f>$T$11/64</f>
        <v/>
      </c>
      <c r="L53" s="7" t="n">
        <v>0</v>
      </c>
      <c r="M53" s="104" t="n">
        <v>0</v>
      </c>
      <c r="N53" s="104" t="n">
        <v>0</v>
      </c>
      <c r="O53" s="104" t="n">
        <v>0</v>
      </c>
      <c r="P53" s="109" t="n"/>
      <c r="Q53" s="109" t="n"/>
      <c r="R53" s="109">
        <f>(J53+K53+L53+M53+N53+O53)*$B$2</f>
        <v/>
      </c>
      <c r="S53" s="107" t="n"/>
      <c r="T53" s="110" t="n"/>
    </row>
    <row r="54" ht="12.75" customHeight="1" s="251">
      <c r="A54" s="104" t="inlineStr">
        <is>
          <t>T1</t>
        </is>
      </c>
      <c r="B54" s="13" t="inlineStr">
        <is>
          <t>Prashant Sikdar</t>
        </is>
      </c>
      <c r="C54" s="9" t="n">
        <v>0</v>
      </c>
      <c r="D54" s="104">
        <f>SUM($C$3:$C$5)/64</f>
        <v/>
      </c>
      <c r="E54" s="104">
        <f>C54+D54</f>
        <v/>
      </c>
      <c r="F54" s="104">
        <f>IF($C$70=0, 0, E54/$C$70)</f>
        <v/>
      </c>
      <c r="G54" s="104">
        <f>F54*$T$5</f>
        <v/>
      </c>
      <c r="H54" s="104" t="n">
        <v>3</v>
      </c>
      <c r="I54" s="104">
        <f>$T$7*H54</f>
        <v/>
      </c>
      <c r="J54" s="104">
        <f>G54+$T$9+I54</f>
        <v/>
      </c>
      <c r="K54" s="104">
        <f>$T$11/64</f>
        <v/>
      </c>
      <c r="L54" s="7" t="n">
        <v>0</v>
      </c>
      <c r="M54" s="104" t="n">
        <v>0</v>
      </c>
      <c r="N54" s="104" t="n">
        <v>0</v>
      </c>
      <c r="O54" s="104" t="n">
        <v>0</v>
      </c>
      <c r="P54" s="109" t="n"/>
      <c r="Q54" s="109" t="n"/>
      <c r="R54" s="109">
        <f>(J54+K54+L54+M54+N54+O54)*$B$2</f>
        <v/>
      </c>
      <c r="S54" s="107" t="n"/>
      <c r="T54" s="110" t="n"/>
    </row>
    <row r="55" ht="12.75" customHeight="1" s="251">
      <c r="A55" s="104" t="inlineStr">
        <is>
          <t>T2</t>
        </is>
      </c>
      <c r="B55" s="13" t="inlineStr">
        <is>
          <t>Kunal Mehta</t>
        </is>
      </c>
      <c r="C55" s="9" t="n">
        <v>0</v>
      </c>
      <c r="D55" s="104">
        <f>SUM($C$3:$C$5)/64</f>
        <v/>
      </c>
      <c r="E55" s="104">
        <f>C55+D55</f>
        <v/>
      </c>
      <c r="F55" s="104">
        <f>IF($C$70=0, 0, E55/$C$70)</f>
        <v/>
      </c>
      <c r="G55" s="104">
        <f>F55*$T$5</f>
        <v/>
      </c>
      <c r="H55" s="104" t="n">
        <v>4</v>
      </c>
      <c r="I55" s="104">
        <f>$T$7*H55</f>
        <v/>
      </c>
      <c r="J55" s="104">
        <f>G55+$T$9+I55</f>
        <v/>
      </c>
      <c r="K55" s="104">
        <f>$T$11/64</f>
        <v/>
      </c>
      <c r="L55" s="7" t="n">
        <v>0</v>
      </c>
      <c r="M55" s="104" t="n">
        <v>0</v>
      </c>
      <c r="N55" s="104" t="n">
        <v>0</v>
      </c>
      <c r="O55" s="104" t="n">
        <v>0</v>
      </c>
      <c r="P55" s="109" t="n"/>
      <c r="Q55" s="109" t="n"/>
      <c r="R55" s="109">
        <f>(J55+K55+L55+M55+N55+O55)*$B$2</f>
        <v/>
      </c>
      <c r="S55" s="107" t="n"/>
      <c r="T55" s="110" t="n"/>
    </row>
    <row r="56" ht="12.75" customHeight="1" s="251">
      <c r="A56" s="104" t="inlineStr">
        <is>
          <t>T3</t>
        </is>
      </c>
      <c r="B56" s="13" t="inlineStr">
        <is>
          <t>Kapil Garg</t>
        </is>
      </c>
      <c r="C56" s="9" t="n">
        <v>0</v>
      </c>
      <c r="D56" s="104">
        <f>SUM($C$3:$C$5)/64</f>
        <v/>
      </c>
      <c r="E56" s="104">
        <f>C56+D56</f>
        <v/>
      </c>
      <c r="F56" s="104">
        <f>IF($C$70=0, 0, E56/$C$70)</f>
        <v/>
      </c>
      <c r="G56" s="104">
        <f>F56*$T$5</f>
        <v/>
      </c>
      <c r="H56" s="104" t="n">
        <v>4</v>
      </c>
      <c r="I56" s="104">
        <f>$T$7*H56</f>
        <v/>
      </c>
      <c r="J56" s="104">
        <f>G56+$T$9+I56</f>
        <v/>
      </c>
      <c r="K56" s="104">
        <f>$T$11/64</f>
        <v/>
      </c>
      <c r="L56" s="7" t="n">
        <v>0</v>
      </c>
      <c r="M56" s="104" t="n">
        <v>0</v>
      </c>
      <c r="N56" s="104" t="n">
        <v>0</v>
      </c>
      <c r="O56" s="104" t="n">
        <v>0</v>
      </c>
      <c r="P56" s="109" t="n"/>
      <c r="Q56" s="109" t="n"/>
      <c r="R56" s="109">
        <f>(J56+K56+L56+M56+N56+O56)*$B$2</f>
        <v/>
      </c>
      <c r="S56" s="107" t="n"/>
      <c r="T56" s="110" t="n"/>
    </row>
    <row r="57" ht="12.75" customHeight="1" s="251">
      <c r="A57" s="104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04">
        <f>SUM($C$3:$C$5)/64</f>
        <v/>
      </c>
      <c r="E57" s="104">
        <f>C57+D57</f>
        <v/>
      </c>
      <c r="F57" s="104">
        <f>IF($C$70=0, 0, E57/$C$70)</f>
        <v/>
      </c>
      <c r="G57" s="104">
        <f>F57*$T$5</f>
        <v/>
      </c>
      <c r="H57" s="104" t="n">
        <v>4</v>
      </c>
      <c r="I57" s="104">
        <f>$T$7*H57</f>
        <v/>
      </c>
      <c r="J57" s="104">
        <f>G57+$T$9+I57</f>
        <v/>
      </c>
      <c r="K57" s="104">
        <f>$T$11/64</f>
        <v/>
      </c>
      <c r="L57" s="7" t="n">
        <v>0</v>
      </c>
      <c r="M57" s="104" t="n">
        <v>0</v>
      </c>
      <c r="N57" s="104" t="n">
        <v>0</v>
      </c>
      <c r="O57" s="104" t="n">
        <v>0</v>
      </c>
      <c r="P57" s="109" t="n"/>
      <c r="Q57" s="109" t="n"/>
      <c r="R57" s="109">
        <f>(J57+K57+L57+M57+N57+O57)*$B$2</f>
        <v/>
      </c>
      <c r="S57" s="107" t="n"/>
      <c r="T57" s="110" t="n"/>
    </row>
    <row r="58" ht="12.75" customHeight="1" s="251">
      <c r="A58" s="104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04">
        <f>SUM($C$3:$C$5)/64</f>
        <v/>
      </c>
      <c r="E58" s="104">
        <f>C58+D58</f>
        <v/>
      </c>
      <c r="F58" s="104">
        <f>IF($C$70=0, 0, E58/$C$70)</f>
        <v/>
      </c>
      <c r="G58" s="104">
        <f>F58*$T$5</f>
        <v/>
      </c>
      <c r="H58" s="104" t="n">
        <v>3</v>
      </c>
      <c r="I58" s="104">
        <f>$T$7*H58</f>
        <v/>
      </c>
      <c r="J58" s="104">
        <f>G58+$T$9+I58</f>
        <v/>
      </c>
      <c r="K58" s="104">
        <f>$T$11/64</f>
        <v/>
      </c>
      <c r="L58" s="7" t="n">
        <v>0</v>
      </c>
      <c r="M58" s="104" t="n">
        <v>0</v>
      </c>
      <c r="N58" s="104" t="n">
        <v>0</v>
      </c>
      <c r="O58" s="104" t="n">
        <v>0</v>
      </c>
      <c r="P58" s="109" t="n"/>
      <c r="Q58" s="109" t="n"/>
      <c r="R58" s="109">
        <f>(J58+K58+L58+M58+N58+O58)*$B$2</f>
        <v/>
      </c>
      <c r="S58" s="107" t="n"/>
      <c r="T58" s="110" t="n"/>
    </row>
    <row r="59" ht="12.75" customHeight="1" s="251">
      <c r="A59" s="104" t="inlineStr">
        <is>
          <t>T6</t>
        </is>
      </c>
      <c r="B59" s="13" t="inlineStr">
        <is>
          <t>Mythili Ramesh</t>
        </is>
      </c>
      <c r="C59" s="9" t="n">
        <v>0</v>
      </c>
      <c r="D59" s="104">
        <f>SUM($C$3:$C$5)/64</f>
        <v/>
      </c>
      <c r="E59" s="104">
        <f>C59+D59</f>
        <v/>
      </c>
      <c r="F59" s="104">
        <f>IF($C$70=0, 0, E59/$C$70)</f>
        <v/>
      </c>
      <c r="G59" s="104">
        <f>F59*$T$5</f>
        <v/>
      </c>
      <c r="H59" s="104" t="n">
        <v>3</v>
      </c>
      <c r="I59" s="104">
        <f>$T$7*H59</f>
        <v/>
      </c>
      <c r="J59" s="104">
        <f>G59+$T$9+I59</f>
        <v/>
      </c>
      <c r="K59" s="104">
        <f>$T$11/64</f>
        <v/>
      </c>
      <c r="L59" s="7" t="n">
        <v>0</v>
      </c>
      <c r="M59" s="104" t="n">
        <v>0</v>
      </c>
      <c r="N59" s="104" t="n">
        <v>0</v>
      </c>
      <c r="O59" s="104" t="n">
        <v>0</v>
      </c>
      <c r="P59" s="109" t="n"/>
      <c r="Q59" s="109" t="n"/>
      <c r="R59" s="109">
        <f>(J59+K59+L59+M59+N59+O59)*$B$2</f>
        <v/>
      </c>
      <c r="S59" s="107" t="n"/>
      <c r="T59" s="110" t="n"/>
    </row>
    <row r="60" ht="12.75" customHeight="1" s="251">
      <c r="A60" s="104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04">
        <f>SUM($C$3:$C$5)/64</f>
        <v/>
      </c>
      <c r="E60" s="104">
        <f>C60+D60</f>
        <v/>
      </c>
      <c r="F60" s="104">
        <f>IF($C$70=0, 0, E60/$C$70)</f>
        <v/>
      </c>
      <c r="G60" s="104">
        <f>F60*$T$5</f>
        <v/>
      </c>
      <c r="H60" s="104" t="n">
        <v>3</v>
      </c>
      <c r="I60" s="104">
        <f>$T$7*H60</f>
        <v/>
      </c>
      <c r="J60" s="104">
        <f>G60+$T$9+I60</f>
        <v/>
      </c>
      <c r="K60" s="104">
        <f>$T$11/64</f>
        <v/>
      </c>
      <c r="L60" s="7" t="n">
        <v>0</v>
      </c>
      <c r="M60" s="104" t="n">
        <v>0</v>
      </c>
      <c r="N60" s="104" t="n">
        <v>0</v>
      </c>
      <c r="O60" s="104" t="n">
        <v>0</v>
      </c>
      <c r="P60" s="109" t="n"/>
      <c r="Q60" s="109" t="n"/>
      <c r="R60" s="109">
        <f>(J60+K60+L60+M60+N60+O60)*$B$2</f>
        <v/>
      </c>
      <c r="S60" s="107" t="n"/>
      <c r="T60" s="110" t="n"/>
    </row>
    <row r="61" ht="12.75" customHeight="1" s="251">
      <c r="A61" s="104" t="inlineStr">
        <is>
          <t>T8</t>
        </is>
      </c>
      <c r="B61" s="13" t="inlineStr">
        <is>
          <t>Lalit Kumar Sharma</t>
        </is>
      </c>
      <c r="C61" s="9" t="n">
        <v>0</v>
      </c>
      <c r="D61" s="104">
        <f>SUM($C$3:$C$5)/64</f>
        <v/>
      </c>
      <c r="E61" s="104">
        <f>C61+D61</f>
        <v/>
      </c>
      <c r="F61" s="104">
        <f>IF($C$70=0, 0, E61/$C$70)</f>
        <v/>
      </c>
      <c r="G61" s="104">
        <f>F61*$T$5</f>
        <v/>
      </c>
      <c r="H61" s="104" t="n">
        <v>3</v>
      </c>
      <c r="I61" s="104">
        <f>$T$7*H61</f>
        <v/>
      </c>
      <c r="J61" s="104">
        <f>G61+$T$9+I61</f>
        <v/>
      </c>
      <c r="K61" s="104">
        <f>$T$11/64</f>
        <v/>
      </c>
      <c r="L61" s="7" t="n">
        <v>0</v>
      </c>
      <c r="M61" s="104" t="n">
        <v>0</v>
      </c>
      <c r="N61" s="104" t="n">
        <v>0</v>
      </c>
      <c r="O61" s="104" t="n">
        <v>0</v>
      </c>
      <c r="P61" s="109" t="n"/>
      <c r="Q61" s="109" t="n"/>
      <c r="R61" s="109">
        <f>(J61+K61+L61+M61+N61+O61)*$B$2</f>
        <v/>
      </c>
      <c r="S61" s="107" t="n"/>
      <c r="T61" s="110" t="n"/>
    </row>
    <row r="62" ht="12.75" customHeight="1" s="251">
      <c r="A62" s="104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04">
        <f>SUM($C$3:$C$5)/64</f>
        <v/>
      </c>
      <c r="E62" s="104">
        <f>C62+D62</f>
        <v/>
      </c>
      <c r="F62" s="104">
        <f>IF($C$70=0, 0, E62/$C$70)</f>
        <v/>
      </c>
      <c r="G62" s="104">
        <f>F62*$T$5</f>
        <v/>
      </c>
      <c r="H62" s="104" t="n">
        <v>4</v>
      </c>
      <c r="I62" s="104">
        <f>$T$7*H62</f>
        <v/>
      </c>
      <c r="J62" s="104">
        <f>G62+$T$9+I62</f>
        <v/>
      </c>
      <c r="K62" s="104">
        <f>$T$11/64</f>
        <v/>
      </c>
      <c r="L62" s="7" t="n">
        <v>0</v>
      </c>
      <c r="M62" s="104" t="n">
        <v>0</v>
      </c>
      <c r="N62" s="104" t="n">
        <v>0</v>
      </c>
      <c r="O62" s="104" t="n">
        <v>0</v>
      </c>
      <c r="P62" s="109" t="n"/>
      <c r="Q62" s="109" t="n"/>
      <c r="R62" s="109">
        <f>(J62+K62+L62+M62+N62+O62)*$B$2</f>
        <v/>
      </c>
      <c r="S62" s="107" t="n"/>
      <c r="T62" s="110" t="n"/>
    </row>
    <row r="63" ht="12.75" customHeight="1" s="251">
      <c r="A63" s="104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04">
        <f>SUM($C$3:$C$5)/64</f>
        <v/>
      </c>
      <c r="E63" s="104">
        <f>C63+D63</f>
        <v/>
      </c>
      <c r="F63" s="104">
        <f>IF($C$70=0, 0, E63/$C$70)</f>
        <v/>
      </c>
      <c r="G63" s="104">
        <f>F63*$T$5</f>
        <v/>
      </c>
      <c r="H63" s="104" t="n">
        <v>3</v>
      </c>
      <c r="I63" s="104">
        <f>$T$7*H63</f>
        <v/>
      </c>
      <c r="J63" s="104">
        <f>G63+$T$9+I63</f>
        <v/>
      </c>
      <c r="K63" s="104">
        <f>$T$11/64</f>
        <v/>
      </c>
      <c r="L63" s="7" t="n">
        <v>0</v>
      </c>
      <c r="M63" s="104" t="n">
        <v>0</v>
      </c>
      <c r="N63" s="104" t="n">
        <v>0</v>
      </c>
      <c r="O63" s="104" t="n">
        <v>0</v>
      </c>
      <c r="P63" s="109" t="n"/>
      <c r="Q63" s="109" t="n"/>
      <c r="R63" s="109">
        <f>(J63+K63+L63+M63+N63+O63)*$B$2</f>
        <v/>
      </c>
      <c r="S63" s="107" t="n"/>
      <c r="T63" s="110" t="n"/>
    </row>
    <row r="64" ht="12.75" customHeight="1" s="251">
      <c r="A64" s="104" t="inlineStr">
        <is>
          <t>T11</t>
        </is>
      </c>
      <c r="B64" s="13" t="inlineStr">
        <is>
          <t>Arvind Balasubramanian</t>
        </is>
      </c>
      <c r="C64" s="9" t="n">
        <v>0</v>
      </c>
      <c r="D64" s="104">
        <f>SUM($C$3:$C$5)/64</f>
        <v/>
      </c>
      <c r="E64" s="104">
        <f>C64+D64</f>
        <v/>
      </c>
      <c r="F64" s="104">
        <f>IF($C$70=0, 0, E64/$C$70)</f>
        <v/>
      </c>
      <c r="G64" s="104">
        <f>F64*$T$5</f>
        <v/>
      </c>
      <c r="H64" s="104" t="n">
        <v>3</v>
      </c>
      <c r="I64" s="104">
        <f>$T$7*H64</f>
        <v/>
      </c>
      <c r="J64" s="104">
        <f>G64+$T$9+I64</f>
        <v/>
      </c>
      <c r="K64" s="104">
        <f>$T$11/64</f>
        <v/>
      </c>
      <c r="L64" s="7" t="n">
        <v>0</v>
      </c>
      <c r="M64" s="104" t="n">
        <v>0</v>
      </c>
      <c r="N64" s="104" t="n">
        <v>0</v>
      </c>
      <c r="O64" s="104" t="n">
        <v>0</v>
      </c>
      <c r="P64" s="109" t="n"/>
      <c r="Q64" s="109" t="n"/>
      <c r="R64" s="109">
        <f>(J64+K64+L64+M64+N64+O64)*$B$2</f>
        <v/>
      </c>
      <c r="S64" s="107" t="n"/>
      <c r="T64" s="110" t="n"/>
    </row>
    <row r="65" ht="12.75" customHeight="1" s="251">
      <c r="A65" s="104" t="inlineStr">
        <is>
          <t>T12</t>
        </is>
      </c>
      <c r="B65" s="13" t="inlineStr">
        <is>
          <t>Prasenjit</t>
        </is>
      </c>
      <c r="C65" s="9" t="n">
        <v>0</v>
      </c>
      <c r="D65" s="104">
        <f>SUM($C$3:$C$5)/64</f>
        <v/>
      </c>
      <c r="E65" s="104">
        <f>C65+D65</f>
        <v/>
      </c>
      <c r="F65" s="104">
        <f>IF($C$70=0, 0, E65/$C$70)</f>
        <v/>
      </c>
      <c r="G65" s="104">
        <f>F65*$T$5</f>
        <v/>
      </c>
      <c r="H65" s="104" t="n">
        <v>3</v>
      </c>
      <c r="I65" s="104">
        <f>$T$7*H65</f>
        <v/>
      </c>
      <c r="J65" s="104">
        <f>G65+$T$9+I65</f>
        <v/>
      </c>
      <c r="K65" s="104">
        <f>$T$11/64</f>
        <v/>
      </c>
      <c r="L65" s="7" t="n">
        <v>0</v>
      </c>
      <c r="M65" s="104" t="n">
        <v>0</v>
      </c>
      <c r="N65" s="104" t="n">
        <v>0</v>
      </c>
      <c r="O65" s="104" t="n">
        <v>0</v>
      </c>
      <c r="P65" s="109" t="n"/>
      <c r="Q65" s="109" t="n"/>
      <c r="R65" s="109">
        <f>(J65+K65+L65+M65+N65+O65)*$B$2</f>
        <v/>
      </c>
      <c r="S65" s="107" t="n"/>
      <c r="T65" s="110" t="n"/>
    </row>
    <row r="66" ht="12.75" customHeight="1" s="251">
      <c r="A66" s="104" t="inlineStr">
        <is>
          <t>T13</t>
        </is>
      </c>
      <c r="B66" s="13" t="inlineStr">
        <is>
          <t>Rahul Kumar</t>
        </is>
      </c>
      <c r="C66" s="9" t="n">
        <v>0</v>
      </c>
      <c r="D66" s="104">
        <f>SUM($C$3:$C$5)/64</f>
        <v/>
      </c>
      <c r="E66" s="104">
        <f>C66+D66</f>
        <v/>
      </c>
      <c r="F66" s="104">
        <f>IF($C$70=0, 0, E66/$C$70)</f>
        <v/>
      </c>
      <c r="G66" s="104">
        <f>F66*$T$5</f>
        <v/>
      </c>
      <c r="H66" s="104" t="n">
        <v>4</v>
      </c>
      <c r="I66" s="104">
        <f>$T$7*H66</f>
        <v/>
      </c>
      <c r="J66" s="104">
        <f>G66+$T$9+I66</f>
        <v/>
      </c>
      <c r="K66" s="104">
        <f>$T$11/64</f>
        <v/>
      </c>
      <c r="L66" s="7" t="n">
        <v>0</v>
      </c>
      <c r="M66" s="104" t="n">
        <v>0</v>
      </c>
      <c r="N66" s="104" t="n">
        <v>0</v>
      </c>
      <c r="O66" s="104" t="n">
        <v>0</v>
      </c>
      <c r="P66" s="109" t="n"/>
      <c r="Q66" s="109" t="n"/>
      <c r="R66" s="109">
        <f>(J66+K66+L66+M66+N66+O66)*$B$2</f>
        <v/>
      </c>
      <c r="S66" s="107" t="n"/>
      <c r="T66" s="110" t="n"/>
    </row>
    <row r="67" ht="12.75" customHeight="1" s="251">
      <c r="A67" s="104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04">
        <f>SUM($C$3:$C$5)/64</f>
        <v/>
      </c>
      <c r="E67" s="104">
        <f>C67+D67</f>
        <v/>
      </c>
      <c r="F67" s="104">
        <f>IF($C$70=0, 0, E67/$C$70)</f>
        <v/>
      </c>
      <c r="G67" s="104">
        <f>F67*$T$5</f>
        <v/>
      </c>
      <c r="H67" s="104" t="n">
        <v>4</v>
      </c>
      <c r="I67" s="104">
        <f>$T$7*H67</f>
        <v/>
      </c>
      <c r="J67" s="104">
        <f>G67+$T$9+I67</f>
        <v/>
      </c>
      <c r="K67" s="104">
        <f>$T$11/64</f>
        <v/>
      </c>
      <c r="L67" s="7" t="n">
        <v>0</v>
      </c>
      <c r="M67" s="104" t="n">
        <v>0</v>
      </c>
      <c r="N67" s="104" t="n">
        <v>0</v>
      </c>
      <c r="O67" s="104" t="n">
        <v>0</v>
      </c>
      <c r="P67" s="109" t="n"/>
      <c r="Q67" s="109" t="n"/>
      <c r="R67" s="109">
        <f>(J67+K67+L67+M67+N67+O67)*$B$2</f>
        <v/>
      </c>
      <c r="S67" s="107" t="n"/>
      <c r="T67" s="110" t="n"/>
    </row>
    <row r="68" ht="12.75" customHeight="1" s="251">
      <c r="A68" s="104" t="inlineStr">
        <is>
          <t>T15</t>
        </is>
      </c>
      <c r="B68" s="13" t="inlineStr">
        <is>
          <t>Trevor</t>
        </is>
      </c>
      <c r="C68" s="9" t="n">
        <v>0</v>
      </c>
      <c r="D68" s="104">
        <f>SUM($C$3:$C$5)/64</f>
        <v/>
      </c>
      <c r="E68" s="104">
        <f>C68+D68</f>
        <v/>
      </c>
      <c r="F68" s="104">
        <f>IF($C$70=0, 0, E68/$C$70)</f>
        <v/>
      </c>
      <c r="G68" s="104">
        <f>F68*$T$5</f>
        <v/>
      </c>
      <c r="H68" s="104" t="n">
        <v>4</v>
      </c>
      <c r="I68" s="104">
        <f>$T$7*H68</f>
        <v/>
      </c>
      <c r="J68" s="104">
        <f>G68+$T$9+I68</f>
        <v/>
      </c>
      <c r="K68" s="104">
        <f>$T$11/64</f>
        <v/>
      </c>
      <c r="L68" s="7" t="n">
        <v>0</v>
      </c>
      <c r="M68" s="104" t="n">
        <v>0</v>
      </c>
      <c r="N68" s="104" t="n">
        <v>0</v>
      </c>
      <c r="O68" s="104" t="n">
        <v>0</v>
      </c>
      <c r="P68" s="109" t="n"/>
      <c r="Q68" s="109" t="n"/>
      <c r="R68" s="109">
        <f>(J68+K68+L68+M68+N68+O68)*$B$2</f>
        <v/>
      </c>
      <c r="S68" s="107" t="n"/>
      <c r="T68" s="110" t="n"/>
    </row>
    <row r="69" ht="12.75" customHeight="1" s="251">
      <c r="A69" s="104" t="inlineStr">
        <is>
          <t>T16</t>
        </is>
      </c>
      <c r="B69" s="13" t="inlineStr">
        <is>
          <t>Madhusoodanan P.R.</t>
        </is>
      </c>
      <c r="C69" s="9" t="n">
        <v>0</v>
      </c>
      <c r="D69" s="104">
        <f>SUM($C$3:$C$5)/64</f>
        <v/>
      </c>
      <c r="E69" s="104">
        <f>C69+D69</f>
        <v/>
      </c>
      <c r="F69" s="104">
        <f>IF($C$70=0, 0, E69/$C$70)</f>
        <v/>
      </c>
      <c r="G69" s="104">
        <f>F69*$T$5</f>
        <v/>
      </c>
      <c r="H69" s="104" t="n">
        <v>3</v>
      </c>
      <c r="I69" s="104">
        <f>$T$7*H69</f>
        <v/>
      </c>
      <c r="J69" s="104">
        <f>G69+$T$9+I69</f>
        <v/>
      </c>
      <c r="K69" s="104">
        <f>$T$11/64</f>
        <v/>
      </c>
      <c r="L69" s="7" t="n">
        <v>0</v>
      </c>
      <c r="M69" s="104" t="n">
        <v>0</v>
      </c>
      <c r="N69" s="104" t="n">
        <v>0</v>
      </c>
      <c r="O69" s="104" t="n">
        <v>0</v>
      </c>
      <c r="P69" s="109" t="n"/>
      <c r="Q69" s="109" t="n"/>
      <c r="R69" s="109">
        <f>(J69+K69+L69+M69+N69+O69)*$B$2</f>
        <v/>
      </c>
      <c r="S69" s="107" t="n"/>
      <c r="T69" s="110" t="n"/>
    </row>
    <row r="70" ht="12.75" customHeight="1" s="251">
      <c r="A70" s="104" t="n"/>
      <c r="B70" s="108" t="inlineStr">
        <is>
          <t>TOTAL</t>
        </is>
      </c>
      <c r="C70" s="104">
        <f>SUM(C3:C69)</f>
        <v/>
      </c>
      <c r="D70" s="104">
        <f>SUM(D3:D69)</f>
        <v/>
      </c>
      <c r="E70" s="104">
        <f>SUM(E3:E69)</f>
        <v/>
      </c>
      <c r="F70" s="104">
        <f>IF($C$70=0, 0, E70/$C$70)</f>
        <v/>
      </c>
      <c r="G70" s="104">
        <f>SUM(G3:G69)</f>
        <v/>
      </c>
      <c r="H70" s="104">
        <f>SUM(H3:H69)</f>
        <v/>
      </c>
      <c r="I70" s="104">
        <f>SUM(I3:I69)</f>
        <v/>
      </c>
      <c r="J70" s="104">
        <f>SUM(J3:J69)</f>
        <v/>
      </c>
      <c r="K70" s="104">
        <f>SUM(K3:K69)</f>
        <v/>
      </c>
      <c r="L70" s="104">
        <f>SUM(L3:L69)</f>
        <v/>
      </c>
      <c r="M70" s="104">
        <f>SUM(M3:M69)</f>
        <v/>
      </c>
      <c r="N70" s="104">
        <f>SUM(N3:N69)</f>
        <v/>
      </c>
      <c r="O70" s="104">
        <f>SUM(O3:O69)</f>
        <v/>
      </c>
      <c r="P70" s="104" t="n"/>
      <c r="Q70" s="104" t="n"/>
      <c r="R70" s="104">
        <f>SUM(R3:R69)</f>
        <v/>
      </c>
      <c r="S70" s="107" t="n"/>
      <c r="T70" s="110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D3" s="87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6" t="n"/>
      <c r="D4" s="86" t="n"/>
      <c r="E4" s="46" t="n"/>
      <c r="F4" s="86" t="n"/>
      <c r="H4" s="71" t="n"/>
      <c r="K4" s="46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 / Pulkit Gupta</t>
        </is>
      </c>
      <c r="C6" s="42" t="n"/>
      <c r="D6" s="86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6" t="n"/>
      <c r="D8" s="86" t="n"/>
      <c r="E8" s="42" t="n"/>
      <c r="F8" s="86" t="n"/>
      <c r="H8" s="71" t="n"/>
      <c r="K8" s="46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Sreejith Menon (Owner)</t>
        </is>
      </c>
      <c r="C9" s="40" t="n"/>
      <c r="D9" s="45" t="n"/>
      <c r="F9" s="86" t="n"/>
      <c r="H9" s="71" t="n"/>
      <c r="K9" s="40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40" t="n"/>
      <c r="D10" s="45" t="n"/>
      <c r="F10" s="86" t="n"/>
      <c r="H10" s="71" t="n"/>
      <c r="K10" s="40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F11" s="86" t="n"/>
      <c r="H11" s="72" t="n"/>
      <c r="K11" s="40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Geetha. N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0" t="n"/>
      <c r="D15" s="45" t="n"/>
      <c r="F15" s="86" t="n"/>
      <c r="H15" s="72" t="n"/>
      <c r="K15" s="40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0" t="n"/>
      <c r="D16" s="45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E18" s="46" t="n"/>
      <c r="F18" s="86" t="n"/>
      <c r="H18" s="72" t="n"/>
      <c r="K18" s="40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40" t="n"/>
      <c r="D24" s="45" t="n"/>
      <c r="F24" s="86" t="n"/>
      <c r="H24" s="71" t="n"/>
      <c r="K24" s="40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Chandramouli</t>
        </is>
      </c>
      <c r="C26" s="73" t="n"/>
      <c r="D26" s="86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 xml:space="preserve">Cijo Jacob / Thara Joy </t>
        </is>
      </c>
      <c r="C27" s="46" t="n"/>
      <c r="D27" s="87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40" t="n"/>
      <c r="D28" s="45" t="n"/>
      <c r="F28" s="86" t="n"/>
      <c r="H28" s="71" t="n"/>
      <c r="K28" s="40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47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87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0" t="n"/>
      <c r="D31" s="45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E32" s="40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C36" s="40" t="n"/>
      <c r="D36" s="45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E37" s="40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40" t="n"/>
      <c r="D40" s="45" t="n"/>
      <c r="F40" s="86" t="n"/>
      <c r="H40" s="71" t="n"/>
      <c r="K40" s="40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0" t="n"/>
      <c r="D44" s="45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E45" s="40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F48" s="86" t="n"/>
      <c r="H48" s="71" t="n"/>
      <c r="K48" s="40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47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F51" s="86" t="n"/>
      <c r="H51" s="72" t="n"/>
      <c r="K51" s="40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40" t="n"/>
      <c r="D52" s="45" t="n"/>
      <c r="F52" s="86" t="n"/>
      <c r="H52" s="71" t="n"/>
      <c r="K52" s="40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0" t="n"/>
      <c r="D57" s="45" t="n"/>
      <c r="F57" s="86" t="n"/>
      <c r="H57" s="72" t="n"/>
      <c r="K57" s="40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45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120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46" t="n"/>
      <c r="D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Shonali Deokule / Reshma</t>
        </is>
      </c>
      <c r="C62" s="46" t="n"/>
      <c r="D62" s="49" t="n"/>
      <c r="F62" s="86" t="n"/>
      <c r="H62" s="71" t="n"/>
      <c r="K62" s="46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73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73" t="n"/>
      <c r="D65" s="86" t="n"/>
      <c r="F65" s="86" t="n"/>
      <c r="H65" s="71" t="n"/>
      <c r="K65" s="46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51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0.5" customWidth="1" style="251" min="2" max="2"/>
    <col width="17.33203125" customWidth="1" style="251" min="3" max="9"/>
    <col width="28.5" customWidth="1" style="251" min="10" max="10"/>
    <col width="17.33203125" customWidth="1" style="251" min="11" max="18"/>
    <col width="42.6640625" customWidth="1" style="251" min="19" max="19"/>
    <col width="10.33203125" customWidth="1" style="251" min="20" max="20"/>
  </cols>
  <sheetData>
    <row r="1" ht="16.5" customHeight="1" s="251">
      <c r="A1" s="104" t="n"/>
      <c r="B1" s="274" t="inlineStr">
        <is>
          <t>DECEMBER 2026 EXPENSES</t>
        </is>
      </c>
      <c r="C1" s="275" t="n"/>
      <c r="D1" s="275" t="n"/>
      <c r="E1" s="275" t="n"/>
      <c r="F1" s="275" t="n"/>
      <c r="G1" s="275" t="n"/>
      <c r="H1" s="275" t="n"/>
      <c r="I1" s="275" t="n"/>
      <c r="J1" s="275" t="n"/>
      <c r="K1" s="275" t="n"/>
      <c r="L1" s="275" t="n"/>
      <c r="M1" s="275" t="n"/>
      <c r="N1" s="275" t="n"/>
      <c r="O1" s="275" t="n"/>
      <c r="P1" s="275" t="n"/>
      <c r="Q1" s="275" t="n"/>
      <c r="R1" s="275" t="n"/>
      <c r="S1" s="275" t="n"/>
      <c r="T1" s="276" t="n"/>
    </row>
    <row r="2" ht="58.5" customHeight="1" s="251">
      <c r="A2" s="104" t="inlineStr">
        <is>
          <t>FLAT #</t>
        </is>
      </c>
      <c r="B2" s="105" t="n">
        <v>1</v>
      </c>
      <c r="C2" s="105" t="inlineStr">
        <is>
          <t>WATER USED IN LTRS</t>
        </is>
      </c>
      <c r="D2" s="105" t="inlineStr">
        <is>
          <t>COMMON AREA EQUALLY DEVIDED</t>
        </is>
      </c>
      <c r="E2" s="105" t="inlineStr">
        <is>
          <t>TOTAL FRESH WATER CONSUMED</t>
        </is>
      </c>
      <c r="F2" s="105" t="inlineStr">
        <is>
          <t>%OF TOTAL USED</t>
        </is>
      </c>
      <c r="G2" s="105" t="inlineStr">
        <is>
          <t>WATER EXPENSE SHARING BY %</t>
        </is>
      </c>
      <c r="H2" s="105" t="inlineStr">
        <is>
          <t>#METERS</t>
        </is>
      </c>
      <c r="I2" s="105" t="inlineStr">
        <is>
          <t>METER RENT</t>
        </is>
      </c>
      <c r="J2" s="105" t="inlineStr">
        <is>
          <t>COMMON AREA METER RENT + WATER EXPENSE+ FLAT METER RENT</t>
        </is>
      </c>
      <c r="K2" s="105" t="inlineStr">
        <is>
          <t>FIXED EXPENSE SHARE</t>
        </is>
      </c>
      <c r="L2" s="105" t="inlineStr">
        <is>
          <t>PARKING FEE</t>
        </is>
      </c>
      <c r="M2" s="105" t="inlineStr">
        <is>
          <t>CLUB BOOKING FEE</t>
        </is>
      </c>
      <c r="N2" s="105" t="inlineStr">
        <is>
          <t>SHIFTING FEE</t>
        </is>
      </c>
      <c r="O2" s="105" t="inlineStr">
        <is>
          <t>GYM USAGE FEE</t>
        </is>
      </c>
      <c r="P2" s="106" t="n"/>
      <c r="Q2" s="106" t="n"/>
      <c r="R2" s="106" t="inlineStr">
        <is>
          <t>TOTAL EXPENSE TO BE PAID</t>
        </is>
      </c>
      <c r="S2" s="107" t="n"/>
      <c r="T2" s="107" t="n"/>
    </row>
    <row r="3" ht="12.75" customHeight="1" s="251">
      <c r="A3" s="104" t="inlineStr">
        <is>
          <t>CH</t>
        </is>
      </c>
      <c r="B3" s="118" t="inlineStr">
        <is>
          <t>MPFOWA</t>
        </is>
      </c>
      <c r="C3" s="9" t="n">
        <v>0</v>
      </c>
      <c r="D3" s="104" t="n">
        <v>0</v>
      </c>
      <c r="E3" s="104" t="n"/>
      <c r="F3" s="104" t="n"/>
      <c r="G3" s="104" t="n"/>
      <c r="H3" s="104" t="n">
        <v>1</v>
      </c>
      <c r="I3" s="104">
        <f>T7</f>
        <v/>
      </c>
      <c r="J3" s="104" t="n"/>
      <c r="K3" s="104" t="n"/>
      <c r="L3" s="109" t="n"/>
      <c r="M3" s="104" t="n"/>
      <c r="N3" s="104" t="n"/>
      <c r="O3" s="104" t="n"/>
      <c r="P3" s="109" t="n"/>
      <c r="Q3" s="109" t="n"/>
      <c r="R3" s="109" t="n"/>
      <c r="S3" s="107" t="n"/>
      <c r="T3" s="110" t="n"/>
    </row>
    <row r="4" ht="12.75" customHeight="1" s="251">
      <c r="A4" s="104" t="inlineStr">
        <is>
          <t>GYM</t>
        </is>
      </c>
      <c r="B4" s="118" t="inlineStr">
        <is>
          <t>MPFOWA</t>
        </is>
      </c>
      <c r="C4" s="9" t="n">
        <v>0</v>
      </c>
      <c r="D4" s="104" t="n">
        <v>0</v>
      </c>
      <c r="E4" s="104" t="n"/>
      <c r="F4" s="104" t="n"/>
      <c r="G4" s="104" t="n"/>
      <c r="H4" s="104" t="n">
        <v>1</v>
      </c>
      <c r="I4" s="104">
        <f>T7</f>
        <v/>
      </c>
      <c r="J4" s="104" t="n"/>
      <c r="K4" s="104" t="n"/>
      <c r="L4" s="109" t="n"/>
      <c r="M4" s="104" t="n"/>
      <c r="N4" s="104" t="n"/>
      <c r="O4" s="104" t="n"/>
      <c r="P4" s="109" t="n"/>
      <c r="Q4" s="109" t="n"/>
      <c r="R4" s="109" t="n"/>
      <c r="S4" s="111" t="inlineStr">
        <is>
          <t>TOTAL FIXED EXPENSE</t>
        </is>
      </c>
      <c r="T4" s="112">
        <f>'ANNUAL-EXPENSE-DETAILS'!BF11</f>
        <v/>
      </c>
    </row>
    <row r="5" ht="12.75" customHeight="1" s="251">
      <c r="A5" s="104" t="inlineStr">
        <is>
          <t>BSMT</t>
        </is>
      </c>
      <c r="B5" s="118" t="inlineStr">
        <is>
          <t>MPFOWA</t>
        </is>
      </c>
      <c r="C5" s="104" t="n">
        <v>0</v>
      </c>
      <c r="D5" s="104" t="n">
        <v>0</v>
      </c>
      <c r="E5" s="104" t="n"/>
      <c r="F5" s="104" t="n"/>
      <c r="G5" s="104" t="n"/>
      <c r="H5" s="104" t="n">
        <v>1</v>
      </c>
      <c r="I5" s="104">
        <f>T7</f>
        <v/>
      </c>
      <c r="J5" s="104" t="n"/>
      <c r="K5" s="104" t="n"/>
      <c r="L5" s="109" t="n"/>
      <c r="M5" s="104" t="n"/>
      <c r="N5" s="104" t="n"/>
      <c r="O5" s="104" t="n"/>
      <c r="P5" s="109" t="n"/>
      <c r="Q5" s="109" t="n"/>
      <c r="R5" s="109" t="n"/>
      <c r="S5" s="111" t="inlineStr">
        <is>
          <t>TOTAL WATER EXPENSE</t>
        </is>
      </c>
      <c r="T5" s="112">
        <f>'ANNUAL-EXPENSE-DETAILS'!BE11</f>
        <v/>
      </c>
    </row>
    <row r="6" ht="12.75" customHeight="1" s="251">
      <c r="A6" s="104" t="inlineStr">
        <is>
          <t>F1</t>
        </is>
      </c>
      <c r="B6" s="13" t="inlineStr">
        <is>
          <t>Shailesh Srivastava / Azeem Nawaz</t>
        </is>
      </c>
      <c r="C6" s="9" t="n">
        <v>0</v>
      </c>
      <c r="D6" s="104">
        <f>SUM($C$3:$C$5)/64</f>
        <v/>
      </c>
      <c r="E6" s="104">
        <f>C6+D6</f>
        <v/>
      </c>
      <c r="F6" s="104">
        <f>IF($C$70=0, 0, E6/$C$70)</f>
        <v/>
      </c>
      <c r="G6" s="104">
        <f>F6*$T$5</f>
        <v/>
      </c>
      <c r="H6" s="104" t="n">
        <v>3</v>
      </c>
      <c r="I6" s="104">
        <f>$T$7*H6</f>
        <v/>
      </c>
      <c r="J6" s="104">
        <f>G6+$T$9+I6</f>
        <v/>
      </c>
      <c r="K6" s="104">
        <f>$T$11/64</f>
        <v/>
      </c>
      <c r="L6" s="14" t="n">
        <v>0</v>
      </c>
      <c r="M6" s="104" t="n">
        <v>0</v>
      </c>
      <c r="N6" s="104" t="n">
        <v>0</v>
      </c>
      <c r="O6" s="104" t="n">
        <v>0</v>
      </c>
      <c r="P6" s="109" t="n"/>
      <c r="Q6" s="109" t="n"/>
      <c r="R6" s="109">
        <f>(J6+K6+L6+M6+N6+O6)*$B$2</f>
        <v/>
      </c>
      <c r="S6" s="107" t="n"/>
      <c r="T6" s="110" t="n"/>
    </row>
    <row r="7" ht="12.75" customHeight="1" s="251">
      <c r="A7" s="104" t="inlineStr">
        <is>
          <t>F2</t>
        </is>
      </c>
      <c r="B7" s="13" t="inlineStr">
        <is>
          <t>Shanthanu</t>
        </is>
      </c>
      <c r="C7" s="9" t="n">
        <v>0</v>
      </c>
      <c r="D7" s="104">
        <f>SUM($C$3:$C$5)/64</f>
        <v/>
      </c>
      <c r="E7" s="104">
        <f>C7+D7</f>
        <v/>
      </c>
      <c r="F7" s="104">
        <f>IF($C$70=0, 0, E7/$C$70)</f>
        <v/>
      </c>
      <c r="G7" s="104">
        <f>F7*$T$5</f>
        <v/>
      </c>
      <c r="H7" s="104" t="n">
        <v>4</v>
      </c>
      <c r="I7" s="104">
        <f>$T$7*H7</f>
        <v/>
      </c>
      <c r="J7" s="104">
        <f>G7+$T$9+I7</f>
        <v/>
      </c>
      <c r="K7" s="104">
        <f>$T$11/64</f>
        <v/>
      </c>
      <c r="L7" s="7" t="n">
        <v>0</v>
      </c>
      <c r="M7" s="104" t="n">
        <v>0</v>
      </c>
      <c r="N7" s="104" t="n">
        <v>0</v>
      </c>
      <c r="O7" s="104" t="n">
        <v>0</v>
      </c>
      <c r="P7" s="109" t="n"/>
      <c r="Q7" s="109" t="n"/>
      <c r="R7" s="109">
        <f>(J7+K7+L7+M7+N7+O7)*$B$2</f>
        <v/>
      </c>
      <c r="S7" s="107" t="inlineStr">
        <is>
          <t>RENT PER METER</t>
        </is>
      </c>
      <c r="T7" s="17" t="n">
        <v>117.811659</v>
      </c>
    </row>
    <row r="8" ht="12.75" customHeight="1" s="251">
      <c r="A8" s="104" t="inlineStr">
        <is>
          <t>F3</t>
        </is>
      </c>
      <c r="B8" s="13" t="inlineStr">
        <is>
          <t>Samrat Kar</t>
        </is>
      </c>
      <c r="C8" s="9" t="n">
        <v>0</v>
      </c>
      <c r="D8" s="104">
        <f>SUM($C$3:$C$5)/64</f>
        <v/>
      </c>
      <c r="E8" s="104">
        <f>C8+D8</f>
        <v/>
      </c>
      <c r="F8" s="104">
        <f>IF($C$70=0, 0, E8/$C$70)</f>
        <v/>
      </c>
      <c r="G8" s="104">
        <f>F8*$T$5</f>
        <v/>
      </c>
      <c r="H8" s="104" t="n">
        <v>4</v>
      </c>
      <c r="I8" s="104">
        <f>$T$7*H8</f>
        <v/>
      </c>
      <c r="J8" s="104">
        <f>G8+$T$9+I8</f>
        <v/>
      </c>
      <c r="K8" s="104">
        <f>$T$11/64</f>
        <v/>
      </c>
      <c r="L8" s="7" t="n">
        <v>0</v>
      </c>
      <c r="M8" s="104" t="n">
        <v>0</v>
      </c>
      <c r="N8" s="104" t="n">
        <v>0</v>
      </c>
      <c r="O8" s="104" t="n">
        <v>0</v>
      </c>
      <c r="P8" s="109" t="n"/>
      <c r="Q8" s="109" t="n"/>
      <c r="R8" s="109">
        <f>(J8+K8+L8+M8+N8+O8)*$B$2</f>
        <v/>
      </c>
      <c r="S8" s="107" t="inlineStr">
        <is>
          <t>COMMON AREA METER RENT</t>
        </is>
      </c>
      <c r="T8" s="110">
        <f>$T$7*3</f>
        <v/>
      </c>
    </row>
    <row r="9" ht="12.75" customHeight="1" s="251">
      <c r="A9" s="104" t="inlineStr">
        <is>
          <t>F4</t>
        </is>
      </c>
      <c r="B9" s="13" t="inlineStr">
        <is>
          <t>Renu R</t>
        </is>
      </c>
      <c r="C9" s="9" t="n">
        <v>0</v>
      </c>
      <c r="D9" s="104">
        <f>SUM($C$3:$C$5)/64</f>
        <v/>
      </c>
      <c r="E9" s="104">
        <f>C9+D9</f>
        <v/>
      </c>
      <c r="F9" s="104">
        <f>IF($C$70=0, 0, E9/$C$70)</f>
        <v/>
      </c>
      <c r="G9" s="104">
        <f>F9*$T$5</f>
        <v/>
      </c>
      <c r="H9" s="104" t="n">
        <v>4</v>
      </c>
      <c r="I9" s="104">
        <f>$T$7*H9</f>
        <v/>
      </c>
      <c r="J9" s="104">
        <f>G9+$T$9+I9</f>
        <v/>
      </c>
      <c r="K9" s="104">
        <f>$T$11/64</f>
        <v/>
      </c>
      <c r="L9" s="7" t="n">
        <v>0</v>
      </c>
      <c r="M9" s="104" t="n">
        <v>0</v>
      </c>
      <c r="N9" s="104" t="n">
        <v>0</v>
      </c>
      <c r="O9" s="104" t="n">
        <v>0</v>
      </c>
      <c r="P9" s="109" t="n"/>
      <c r="Q9" s="109" t="n"/>
      <c r="R9" s="109">
        <f>(J9+K9+L9+M9+N9+O9)*$B$2</f>
        <v/>
      </c>
      <c r="S9" s="113" t="inlineStr">
        <is>
          <t>COMMON AREA METER RENT/FLAT</t>
        </is>
      </c>
      <c r="T9" s="114">
        <f>T8/64</f>
        <v/>
      </c>
    </row>
    <row r="10" ht="12.75" customHeight="1" s="251">
      <c r="A10" s="104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04">
        <f>SUM($C$3:$C$5)/64</f>
        <v/>
      </c>
      <c r="E10" s="104">
        <f>C10+D10</f>
        <v/>
      </c>
      <c r="F10" s="104">
        <f>IF($C$70=0, 0, E10/$C$70)</f>
        <v/>
      </c>
      <c r="G10" s="104">
        <f>F10*$T$5</f>
        <v/>
      </c>
      <c r="H10" s="104" t="n">
        <v>3</v>
      </c>
      <c r="I10" s="104">
        <f>$T$7*H10</f>
        <v/>
      </c>
      <c r="J10" s="104">
        <f>G10+$T$9+I10</f>
        <v/>
      </c>
      <c r="K10" s="104">
        <f>$T$11/64</f>
        <v/>
      </c>
      <c r="L10" s="7" t="n">
        <v>0</v>
      </c>
      <c r="M10" s="104" t="n">
        <v>0</v>
      </c>
      <c r="N10" s="104" t="n">
        <v>0</v>
      </c>
      <c r="O10" s="104" t="n">
        <v>0</v>
      </c>
      <c r="P10" s="109" t="n"/>
      <c r="Q10" s="109" t="n"/>
      <c r="R10" s="109">
        <f>(J10+K10+L10+M10+N10+O10)*$B$2</f>
        <v/>
      </c>
      <c r="S10" s="107" t="n"/>
      <c r="T10" s="110" t="n"/>
    </row>
    <row r="11" ht="12.75" customHeight="1" s="251">
      <c r="A11" s="104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04">
        <f>SUM($C$3:$C$5)/64</f>
        <v/>
      </c>
      <c r="E11" s="104">
        <f>C11+D11</f>
        <v/>
      </c>
      <c r="F11" s="104">
        <f>IF($C$70=0, 0, E11/$C$70)</f>
        <v/>
      </c>
      <c r="G11" s="104">
        <f>F11*$T$5</f>
        <v/>
      </c>
      <c r="H11" s="104" t="n">
        <v>3</v>
      </c>
      <c r="I11" s="104">
        <f>$T$7*H11</f>
        <v/>
      </c>
      <c r="J11" s="104">
        <f>G11+$T$9+I11</f>
        <v/>
      </c>
      <c r="K11" s="104">
        <f>$T$11/64</f>
        <v/>
      </c>
      <c r="L11" s="7" t="n">
        <v>0</v>
      </c>
      <c r="M11" s="104" t="n">
        <v>0</v>
      </c>
      <c r="N11" s="104" t="n">
        <v>0</v>
      </c>
      <c r="O11" s="104" t="n">
        <v>0</v>
      </c>
      <c r="P11" s="109" t="n"/>
      <c r="Q11" s="109" t="n"/>
      <c r="R11" s="109">
        <f>(J11+K11+L11+M11+N11+O11)*$B$2</f>
        <v/>
      </c>
      <c r="S11" s="113" t="inlineStr">
        <is>
          <t>TOTAL FIXED EXPENSE</t>
        </is>
      </c>
      <c r="T11" s="114">
        <f>'ANNUAL-EXPENSE-DETAILS'!BF11</f>
        <v/>
      </c>
    </row>
    <row r="12" ht="12.75" customHeight="1" s="251">
      <c r="A12" s="104" t="inlineStr">
        <is>
          <t>F7</t>
        </is>
      </c>
      <c r="B12" s="13" t="inlineStr">
        <is>
          <t>Vimal NK</t>
        </is>
      </c>
      <c r="C12" s="9" t="n">
        <v>0</v>
      </c>
      <c r="D12" s="104">
        <f>SUM($C$3:$C$5)/64</f>
        <v/>
      </c>
      <c r="E12" s="104">
        <f>C12+D12</f>
        <v/>
      </c>
      <c r="F12" s="104">
        <f>IF($C$70=0, 0, E12/$C$70)</f>
        <v/>
      </c>
      <c r="G12" s="104">
        <f>F12*$T$5</f>
        <v/>
      </c>
      <c r="H12" s="104" t="n">
        <v>3</v>
      </c>
      <c r="I12" s="104">
        <f>$T$7*H12</f>
        <v/>
      </c>
      <c r="J12" s="104">
        <f>G12+$T$9+I12</f>
        <v/>
      </c>
      <c r="K12" s="104">
        <f>$T$11/64</f>
        <v/>
      </c>
      <c r="L12" s="7" t="n">
        <v>0</v>
      </c>
      <c r="M12" s="104" t="n">
        <v>0</v>
      </c>
      <c r="N12" s="104" t="n">
        <v>0</v>
      </c>
      <c r="O12" s="104" t="n">
        <v>0</v>
      </c>
      <c r="P12" s="109" t="n"/>
      <c r="Q12" s="109" t="n"/>
      <c r="R12" s="109">
        <f>(J12+K12+L12+M12+N12+O12)*$B$2</f>
        <v/>
      </c>
      <c r="S12" s="107" t="n"/>
      <c r="T12" s="110" t="n"/>
    </row>
    <row r="13" ht="12.75" customHeight="1" s="251">
      <c r="A13" s="104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04">
        <f>SUM($C$3:$C$5)/64</f>
        <v/>
      </c>
      <c r="E13" s="104">
        <f>C13+D13</f>
        <v/>
      </c>
      <c r="F13" s="104">
        <f>IF($C$70=0, 0, E13/$C$70)</f>
        <v/>
      </c>
      <c r="G13" s="104">
        <f>F13*$T$5</f>
        <v/>
      </c>
      <c r="H13" s="104" t="n">
        <v>3</v>
      </c>
      <c r="I13" s="104">
        <f>$T$7*H13</f>
        <v/>
      </c>
      <c r="J13" s="104">
        <f>G13+$T$9+I13</f>
        <v/>
      </c>
      <c r="K13" s="104">
        <f>$T$11/64</f>
        <v/>
      </c>
      <c r="L13" s="7" t="n">
        <v>0</v>
      </c>
      <c r="M13" s="104" t="n">
        <v>0</v>
      </c>
      <c r="N13" s="104" t="n">
        <v>0</v>
      </c>
      <c r="O13" s="104" t="n">
        <v>0</v>
      </c>
      <c r="P13" s="109" t="n"/>
      <c r="Q13" s="109" t="n"/>
      <c r="R13" s="109">
        <f>(J13+K13+L13+M13+N13+O13)*$B$2</f>
        <v/>
      </c>
      <c r="S13" s="115" t="inlineStr">
        <is>
          <t>TOTAL WATER METER RENT</t>
        </is>
      </c>
      <c r="T13" s="116">
        <f>I70</f>
        <v/>
      </c>
    </row>
    <row r="14" ht="12.75" customHeight="1" s="251">
      <c r="A14" s="104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04">
        <f>SUM($C$3:$C$5)/64</f>
        <v/>
      </c>
      <c r="E14" s="104">
        <f>C14+D14</f>
        <v/>
      </c>
      <c r="F14" s="104">
        <f>IF($C$70=0, 0, E14/$C$70)</f>
        <v/>
      </c>
      <c r="G14" s="104">
        <f>F14*$T$5</f>
        <v/>
      </c>
      <c r="H14" s="104" t="n">
        <v>4</v>
      </c>
      <c r="I14" s="104">
        <f>$T$7*H14</f>
        <v/>
      </c>
      <c r="J14" s="104">
        <f>G14+$T$9+I14</f>
        <v/>
      </c>
      <c r="K14" s="104">
        <f>$T$11/64</f>
        <v/>
      </c>
      <c r="L14" s="7" t="n">
        <v>0</v>
      </c>
      <c r="M14" s="104" t="n">
        <v>0</v>
      </c>
      <c r="N14" s="104" t="n">
        <v>0</v>
      </c>
      <c r="O14" s="104" t="n">
        <v>0</v>
      </c>
      <c r="P14" s="109" t="n"/>
      <c r="Q14" s="109" t="n"/>
      <c r="R14" s="109">
        <f>(J14+K14+L14+M14+N14+O14)*$B$2</f>
        <v/>
      </c>
      <c r="S14" s="107" t="n"/>
      <c r="T14" s="110" t="n"/>
    </row>
    <row r="15" ht="12.75" customHeight="1" s="251">
      <c r="A15" s="104" t="inlineStr">
        <is>
          <t>F10</t>
        </is>
      </c>
      <c r="B15" s="13" t="inlineStr">
        <is>
          <t>Aby Thomas</t>
        </is>
      </c>
      <c r="C15" s="9" t="n">
        <v>0</v>
      </c>
      <c r="D15" s="104">
        <f>SUM($C$3:$C$5)/64</f>
        <v/>
      </c>
      <c r="E15" s="104">
        <f>C15+D15</f>
        <v/>
      </c>
      <c r="F15" s="104">
        <f>IF($C$70=0, 0, E15/$C$70)</f>
        <v/>
      </c>
      <c r="G15" s="104">
        <f>F15*$T$5</f>
        <v/>
      </c>
      <c r="H15" s="104" t="n">
        <v>3</v>
      </c>
      <c r="I15" s="104">
        <f>$T$7*H15</f>
        <v/>
      </c>
      <c r="J15" s="104">
        <f>G15+$T$9+I15</f>
        <v/>
      </c>
      <c r="K15" s="104">
        <f>$T$11/64</f>
        <v/>
      </c>
      <c r="L15" s="7" t="n">
        <v>0</v>
      </c>
      <c r="M15" s="104" t="n">
        <v>0</v>
      </c>
      <c r="N15" s="104" t="n">
        <v>0</v>
      </c>
      <c r="O15" s="104" t="n">
        <v>0</v>
      </c>
      <c r="P15" s="109" t="n"/>
      <c r="Q15" s="109" t="n"/>
      <c r="R15" s="109">
        <f>(J15+K15+L15+M15+N15+O15)*$B$2</f>
        <v/>
      </c>
      <c r="S15" s="61" t="inlineStr">
        <is>
          <t>BALANCE IN ACCOUNT ON 31-DEC-2023</t>
        </is>
      </c>
      <c r="T15" s="63" t="n"/>
    </row>
    <row r="16" ht="12.75" customHeight="1" s="251">
      <c r="A16" s="104" t="inlineStr">
        <is>
          <t>F11</t>
        </is>
      </c>
      <c r="B16" s="13" t="inlineStr">
        <is>
          <t>Niwin Anto</t>
        </is>
      </c>
      <c r="C16" s="9" t="n">
        <v>0</v>
      </c>
      <c r="D16" s="104">
        <f>SUM($C$3:$C$5)/64</f>
        <v/>
      </c>
      <c r="E16" s="104">
        <f>C16+D16</f>
        <v/>
      </c>
      <c r="F16" s="104">
        <f>IF($C$70=0, 0, E16/$C$70)</f>
        <v/>
      </c>
      <c r="G16" s="104">
        <f>F16*$T$5</f>
        <v/>
      </c>
      <c r="H16" s="104" t="n">
        <v>3</v>
      </c>
      <c r="I16" s="104">
        <f>$T$7*H16</f>
        <v/>
      </c>
      <c r="J16" s="104">
        <f>G16+$T$9+I16</f>
        <v/>
      </c>
      <c r="K16" s="104">
        <f>$T$11/64</f>
        <v/>
      </c>
      <c r="L16" s="7" t="n">
        <v>0</v>
      </c>
      <c r="M16" s="104" t="n">
        <v>0</v>
      </c>
      <c r="N16" s="104" t="n">
        <v>0</v>
      </c>
      <c r="O16" s="104" t="n">
        <v>0</v>
      </c>
      <c r="P16" s="109" t="n"/>
      <c r="Q16" s="109" t="n"/>
      <c r="R16" s="109">
        <f>(J16+K16+L16+M16+N16+O16)*$B$2</f>
        <v/>
      </c>
      <c r="S16" s="61" t="inlineStr">
        <is>
          <t>TOTAL NON MAINTENANCE CORPUS COLLECTION</t>
        </is>
      </c>
      <c r="T16" s="63" t="n"/>
    </row>
    <row r="17" ht="12.75" customHeight="1" s="251">
      <c r="A17" s="104" t="inlineStr">
        <is>
          <t>F12</t>
        </is>
      </c>
      <c r="B17" s="13" t="inlineStr">
        <is>
          <t>Anirudh Singh</t>
        </is>
      </c>
      <c r="C17" s="9" t="n">
        <v>0</v>
      </c>
      <c r="D17" s="104">
        <f>SUM($C$3:$C$5)/64</f>
        <v/>
      </c>
      <c r="E17" s="104">
        <f>C17+D17</f>
        <v/>
      </c>
      <c r="F17" s="104">
        <f>IF($C$70=0, 0, E17/$C$70)</f>
        <v/>
      </c>
      <c r="G17" s="104">
        <f>F17*$T$5</f>
        <v/>
      </c>
      <c r="H17" s="104" t="n">
        <v>3</v>
      </c>
      <c r="I17" s="104">
        <f>$T$7*H17</f>
        <v/>
      </c>
      <c r="J17" s="104">
        <f>G17+$T$9+I17</f>
        <v/>
      </c>
      <c r="K17" s="104">
        <f>$T$11/64</f>
        <v/>
      </c>
      <c r="L17" s="7" t="n">
        <v>0</v>
      </c>
      <c r="M17" s="104" t="n">
        <v>0</v>
      </c>
      <c r="N17" s="104" t="n">
        <v>0</v>
      </c>
      <c r="O17" s="104" t="n">
        <v>0</v>
      </c>
      <c r="P17" s="109" t="n"/>
      <c r="Q17" s="109" t="n"/>
      <c r="R17" s="109">
        <f>(J17+K17+L17+M17+N17+O17)*$B$2</f>
        <v/>
      </c>
      <c r="S17" s="61" t="inlineStr">
        <is>
          <t>TOTAL FD DONE</t>
        </is>
      </c>
      <c r="T17" s="63" t="n"/>
    </row>
    <row r="18" ht="12.75" customHeight="1" s="251">
      <c r="A18" s="104" t="inlineStr">
        <is>
          <t>F13</t>
        </is>
      </c>
      <c r="B18" s="13" t="inlineStr">
        <is>
          <t>Sanchay Saxena</t>
        </is>
      </c>
      <c r="C18" s="9" t="n">
        <v>0</v>
      </c>
      <c r="D18" s="104">
        <f>SUM($C$3:$C$5)/64</f>
        <v/>
      </c>
      <c r="E18" s="104">
        <f>C18+D18</f>
        <v/>
      </c>
      <c r="F18" s="104">
        <f>IF($C$70=0, 0, E18/$C$70)</f>
        <v/>
      </c>
      <c r="G18" s="104">
        <f>F18*$T$5</f>
        <v/>
      </c>
      <c r="H18" s="104" t="n">
        <v>4</v>
      </c>
      <c r="I18" s="104">
        <f>$T$7*H18</f>
        <v/>
      </c>
      <c r="J18" s="104">
        <f>G18+$T$9+I18</f>
        <v/>
      </c>
      <c r="K18" s="104">
        <f>$T$11/64</f>
        <v/>
      </c>
      <c r="L18" s="7" t="n">
        <v>0</v>
      </c>
      <c r="M18" s="104" t="n">
        <v>0</v>
      </c>
      <c r="N18" s="104" t="n">
        <v>0</v>
      </c>
      <c r="O18" s="104" t="n">
        <v>0</v>
      </c>
      <c r="P18" s="109" t="n"/>
      <c r="Q18" s="109" t="n"/>
      <c r="R18" s="109">
        <f>(J18+K18+L18+M18+N18+O18)*$B$2</f>
        <v/>
      </c>
      <c r="S18" s="64" t="inlineStr">
        <is>
          <t>AMOUNT AVAILABLE FOR NON MAINTENANCE CORPUS IN CURRENT AC</t>
        </is>
      </c>
      <c r="T18" s="65">
        <f>T16-T17</f>
        <v/>
      </c>
    </row>
    <row r="19" ht="12.75" customHeight="1" s="251">
      <c r="A19" s="104" t="inlineStr">
        <is>
          <t>F14</t>
        </is>
      </c>
      <c r="B19" s="13" t="inlineStr">
        <is>
          <t>Hemant Patel</t>
        </is>
      </c>
      <c r="C19" s="9" t="n">
        <v>0</v>
      </c>
      <c r="D19" s="104">
        <f>SUM($C$3:$C$5)/64</f>
        <v/>
      </c>
      <c r="E19" s="104">
        <f>C19+D19</f>
        <v/>
      </c>
      <c r="F19" s="104">
        <f>IF($C$70=0, 0, E19/$C$70)</f>
        <v/>
      </c>
      <c r="G19" s="104">
        <f>F19*$T$5</f>
        <v/>
      </c>
      <c r="H19" s="104" t="n">
        <v>4</v>
      </c>
      <c r="I19" s="104">
        <f>$T$7*H19</f>
        <v/>
      </c>
      <c r="J19" s="104">
        <f>G19+$T$9+I19</f>
        <v/>
      </c>
      <c r="K19" s="104">
        <f>$T$11/64</f>
        <v/>
      </c>
      <c r="L19" s="7" t="n">
        <v>0</v>
      </c>
      <c r="M19" s="104" t="n">
        <v>0</v>
      </c>
      <c r="N19" s="104" t="n">
        <v>0</v>
      </c>
      <c r="O19" s="104" t="n">
        <v>0</v>
      </c>
      <c r="P19" s="109" t="n"/>
      <c r="Q19" s="109" t="n"/>
      <c r="R19" s="109">
        <f>(J19+K19+L19+M19+N19+O19)*$B$2</f>
        <v/>
      </c>
      <c r="S19" s="66" t="inlineStr">
        <is>
          <t>AMOUNT AVAILABLE FOR MAINTENANCE</t>
        </is>
      </c>
      <c r="T19" s="67">
        <f>T15-T18</f>
        <v/>
      </c>
    </row>
    <row r="20" ht="12.75" customHeight="1" s="251">
      <c r="A20" s="104" t="inlineStr">
        <is>
          <t>F15</t>
        </is>
      </c>
      <c r="B20" s="13" t="inlineStr">
        <is>
          <t>Senthil.Vijayaragavan</t>
        </is>
      </c>
      <c r="C20" s="9" t="n">
        <v>0</v>
      </c>
      <c r="D20" s="104">
        <f>SUM($C$3:$C$5)/64</f>
        <v/>
      </c>
      <c r="E20" s="104">
        <f>C20+D20</f>
        <v/>
      </c>
      <c r="F20" s="104">
        <f>IF($C$70=0, 0, E20/$C$70)</f>
        <v/>
      </c>
      <c r="G20" s="104">
        <f>F20*$T$5</f>
        <v/>
      </c>
      <c r="H20" s="104" t="n">
        <v>4</v>
      </c>
      <c r="I20" s="104">
        <f>$T$7*H20</f>
        <v/>
      </c>
      <c r="J20" s="104">
        <f>G20+$T$9+I20</f>
        <v/>
      </c>
      <c r="K20" s="104">
        <f>$T$11/64</f>
        <v/>
      </c>
      <c r="L20" s="7" t="n">
        <v>0</v>
      </c>
      <c r="M20" s="104" t="n">
        <v>0</v>
      </c>
      <c r="N20" s="104" t="n">
        <v>0</v>
      </c>
      <c r="O20" s="104" t="n">
        <v>0</v>
      </c>
      <c r="P20" s="109" t="n"/>
      <c r="Q20" s="109" t="n"/>
      <c r="R20" s="109">
        <f>(J20+K20+L20+M20+N20+O20)*$B$2</f>
        <v/>
      </c>
      <c r="S20" s="66" t="inlineStr">
        <is>
          <t>TOTAL EXPENSE FOR THE MONTH</t>
        </is>
      </c>
      <c r="T20" s="67">
        <f>'ANNUAL-EXPENSE-DETAILS'!BH11</f>
        <v/>
      </c>
    </row>
    <row r="21" ht="12.75" customHeight="1" s="251">
      <c r="A21" s="104" t="inlineStr">
        <is>
          <t>F16</t>
        </is>
      </c>
      <c r="B21" s="13" t="inlineStr">
        <is>
          <t>Sreeja Sudharma</t>
        </is>
      </c>
      <c r="C21" s="9" t="n">
        <v>0</v>
      </c>
      <c r="D21" s="104">
        <f>SUM($C$3:$C$5)/64</f>
        <v/>
      </c>
      <c r="E21" s="104">
        <f>C21+D21</f>
        <v/>
      </c>
      <c r="F21" s="104">
        <f>IF($C$70=0, 0, E21/$C$70)</f>
        <v/>
      </c>
      <c r="G21" s="104">
        <f>F21*$T$5</f>
        <v/>
      </c>
      <c r="H21" s="104" t="n">
        <v>3</v>
      </c>
      <c r="I21" s="104">
        <f>$T$7*H21</f>
        <v/>
      </c>
      <c r="J21" s="104">
        <f>G21+$T$9+I21</f>
        <v/>
      </c>
      <c r="K21" s="104">
        <f>$T$11/64</f>
        <v/>
      </c>
      <c r="L21" s="7" t="n">
        <v>0</v>
      </c>
      <c r="M21" s="104" t="n">
        <v>0</v>
      </c>
      <c r="N21" s="104" t="n">
        <v>0</v>
      </c>
      <c r="O21" s="104" t="n">
        <v>0</v>
      </c>
      <c r="P21" s="109" t="n"/>
      <c r="Q21" s="109" t="n"/>
      <c r="R21" s="109">
        <f>(J21+K21+L21+M21+N21+O21)*$B$2</f>
        <v/>
      </c>
      <c r="S21" s="66" t="n"/>
      <c r="T21" s="67" t="n"/>
    </row>
    <row r="22" ht="12.75" customHeight="1" s="251">
      <c r="A22" s="104" t="inlineStr">
        <is>
          <t>G1</t>
        </is>
      </c>
      <c r="B22" s="13" t="inlineStr">
        <is>
          <t>Venkataramanan C</t>
        </is>
      </c>
      <c r="C22" s="9" t="n">
        <v>0</v>
      </c>
      <c r="D22" s="104">
        <f>SUM($C$3:$C$5)/64</f>
        <v/>
      </c>
      <c r="E22" s="104">
        <f>C22+D22</f>
        <v/>
      </c>
      <c r="F22" s="104">
        <f>IF($C$70=0, 0, E22/$C$70)</f>
        <v/>
      </c>
      <c r="G22" s="104">
        <f>F22*$T$5</f>
        <v/>
      </c>
      <c r="H22" s="104" t="n">
        <v>3</v>
      </c>
      <c r="I22" s="104">
        <f>$T$7*H22</f>
        <v/>
      </c>
      <c r="J22" s="104">
        <f>G22+$T$9+I22</f>
        <v/>
      </c>
      <c r="K22" s="104">
        <f>$T$11/64</f>
        <v/>
      </c>
      <c r="L22" s="7" t="n">
        <v>0</v>
      </c>
      <c r="M22" s="104" t="n">
        <v>0</v>
      </c>
      <c r="N22" s="104" t="n">
        <v>0</v>
      </c>
      <c r="O22" s="104" t="n">
        <v>0</v>
      </c>
      <c r="P22" s="109" t="n"/>
      <c r="Q22" s="109" t="n"/>
      <c r="R22" s="109">
        <f>(J22+K22+L22+M22+N22+O22)*$B$2</f>
        <v/>
      </c>
      <c r="S22" s="107" t="n"/>
      <c r="T22" s="110" t="n"/>
    </row>
    <row r="23" ht="12.75" customHeight="1" s="251">
      <c r="A23" s="104" t="inlineStr">
        <is>
          <t>G2</t>
        </is>
      </c>
      <c r="B23" s="13" t="inlineStr">
        <is>
          <t>Kaushik Kasibhatla</t>
        </is>
      </c>
      <c r="C23" s="9" t="n">
        <v>0</v>
      </c>
      <c r="D23" s="104">
        <f>SUM($C$3:$C$5)/64</f>
        <v/>
      </c>
      <c r="E23" s="104">
        <f>C23+D23</f>
        <v/>
      </c>
      <c r="F23" s="104">
        <f>IF($C$70=0, 0, E23/$C$70)</f>
        <v/>
      </c>
      <c r="G23" s="104">
        <f>F23*$T$5</f>
        <v/>
      </c>
      <c r="H23" s="104" t="n">
        <v>4</v>
      </c>
      <c r="I23" s="104">
        <f>$T$7*H23</f>
        <v/>
      </c>
      <c r="J23" s="104">
        <f>G23+$T$9+I23</f>
        <v/>
      </c>
      <c r="K23" s="104">
        <f>$T$11/64</f>
        <v/>
      </c>
      <c r="L23" s="7" t="n">
        <v>0</v>
      </c>
      <c r="M23" s="104" t="n">
        <v>0</v>
      </c>
      <c r="N23" s="104" t="n">
        <v>0</v>
      </c>
      <c r="O23" s="104" t="n">
        <v>0</v>
      </c>
      <c r="P23" s="109" t="n"/>
      <c r="Q23" s="109" t="n"/>
      <c r="R23" s="109">
        <f>(J23+K23+L23+M23+N23+O23)*$B$2</f>
        <v/>
      </c>
      <c r="S23" s="107" t="n"/>
      <c r="T23" s="110" t="n"/>
    </row>
    <row r="24" ht="12.75" customHeight="1" s="251">
      <c r="A24" s="104" t="inlineStr">
        <is>
          <t>G3</t>
        </is>
      </c>
      <c r="B24" s="13" t="inlineStr">
        <is>
          <t>Balakrishnan</t>
        </is>
      </c>
      <c r="C24" s="9" t="n">
        <v>0</v>
      </c>
      <c r="D24" s="104">
        <f>SUM($C$3:$C$5)/64</f>
        <v/>
      </c>
      <c r="E24" s="104">
        <f>C24+D24</f>
        <v/>
      </c>
      <c r="F24" s="104">
        <f>IF($C$70=0, 0, E24/$C$70)</f>
        <v/>
      </c>
      <c r="G24" s="104">
        <f>F24*$T$5</f>
        <v/>
      </c>
      <c r="H24" s="104" t="n">
        <v>4</v>
      </c>
      <c r="I24" s="104">
        <f>$T$7*H24</f>
        <v/>
      </c>
      <c r="J24" s="104">
        <f>G24+$T$9+I24</f>
        <v/>
      </c>
      <c r="K24" s="104">
        <f>$T$11/64</f>
        <v/>
      </c>
      <c r="L24" s="7" t="n">
        <v>0</v>
      </c>
      <c r="M24" s="104" t="n">
        <v>0</v>
      </c>
      <c r="N24" s="104" t="n">
        <v>0</v>
      </c>
      <c r="O24" s="104" t="n">
        <v>0</v>
      </c>
      <c r="P24" s="109" t="n"/>
      <c r="Q24" s="109" t="n"/>
      <c r="R24" s="109">
        <f>(J24+K24+L24+M24+N24+O24)*$B$2</f>
        <v/>
      </c>
      <c r="S24" s="107" t="n"/>
      <c r="T24" s="110" t="n"/>
    </row>
    <row r="25" ht="12.75" customHeight="1" s="251">
      <c r="A25" s="104" t="inlineStr">
        <is>
          <t>G4</t>
        </is>
      </c>
      <c r="B25" s="13" t="inlineStr">
        <is>
          <t>Ashwin Pandith</t>
        </is>
      </c>
      <c r="C25" s="9" t="n">
        <v>0</v>
      </c>
      <c r="D25" s="104">
        <f>SUM($C$3:$C$5)/64</f>
        <v/>
      </c>
      <c r="E25" s="104">
        <f>C25+D25</f>
        <v/>
      </c>
      <c r="F25" s="104">
        <f>IF($C$70=0, 0, E25/$C$70)</f>
        <v/>
      </c>
      <c r="G25" s="104">
        <f>F25*$T$5</f>
        <v/>
      </c>
      <c r="H25" s="104" t="n">
        <v>4</v>
      </c>
      <c r="I25" s="104">
        <f>$T$7*H25</f>
        <v/>
      </c>
      <c r="J25" s="104">
        <f>G25+$T$9+I25</f>
        <v/>
      </c>
      <c r="K25" s="104">
        <f>$T$11/64</f>
        <v/>
      </c>
      <c r="L25" s="7" t="n">
        <v>0</v>
      </c>
      <c r="M25" s="104" t="n">
        <v>0</v>
      </c>
      <c r="N25" s="104" t="n">
        <v>0</v>
      </c>
      <c r="O25" s="104" t="n">
        <v>0</v>
      </c>
      <c r="P25" s="109" t="n"/>
      <c r="Q25" s="109" t="n"/>
      <c r="R25" s="109">
        <f>(J25+K25+L25+M25+N25+O25)*$B$2</f>
        <v/>
      </c>
      <c r="S25" s="107" t="n"/>
      <c r="T25" s="110" t="n"/>
    </row>
    <row r="26" ht="12.75" customHeight="1" s="251">
      <c r="A26" s="104" t="inlineStr">
        <is>
          <t>G5</t>
        </is>
      </c>
      <c r="B26" s="13" t="inlineStr">
        <is>
          <t>Mayank Phophaliya</t>
        </is>
      </c>
      <c r="C26" s="9" t="n">
        <v>0</v>
      </c>
      <c r="D26" s="104">
        <f>SUM($C$3:$C$5)/64</f>
        <v/>
      </c>
      <c r="E26" s="104">
        <f>C26+D26</f>
        <v/>
      </c>
      <c r="F26" s="104">
        <f>IF($C$70=0, 0, E26/$C$70)</f>
        <v/>
      </c>
      <c r="G26" s="104">
        <f>F26*$T$5</f>
        <v/>
      </c>
      <c r="H26" s="104" t="n">
        <v>3</v>
      </c>
      <c r="I26" s="104">
        <f>$T$7*H26</f>
        <v/>
      </c>
      <c r="J26" s="104">
        <f>G26+$T$9+I26</f>
        <v/>
      </c>
      <c r="K26" s="104">
        <f>$T$11/64</f>
        <v/>
      </c>
      <c r="L26" s="7" t="n">
        <v>0</v>
      </c>
      <c r="M26" s="104" t="n">
        <v>0</v>
      </c>
      <c r="N26" s="104" t="n">
        <v>0</v>
      </c>
      <c r="O26" s="104" t="n">
        <v>0</v>
      </c>
      <c r="P26" s="109" t="n"/>
      <c r="Q26" s="109" t="n"/>
      <c r="R26" s="109">
        <f>(J26+K26+L26+M26+N26+O26)*$B$2</f>
        <v/>
      </c>
      <c r="S26" s="107" t="n"/>
      <c r="T26" s="110" t="n"/>
    </row>
    <row r="27" ht="12.75" customHeight="1" s="251">
      <c r="A27" s="104" t="inlineStr">
        <is>
          <t>G6</t>
        </is>
      </c>
      <c r="B27" s="13" t="inlineStr">
        <is>
          <t>Mohit Daga</t>
        </is>
      </c>
      <c r="C27" s="9" t="n">
        <v>0</v>
      </c>
      <c r="D27" s="104">
        <f>SUM($C$3:$C$5)/64</f>
        <v/>
      </c>
      <c r="E27" s="104">
        <f>C27+D27</f>
        <v/>
      </c>
      <c r="F27" s="104">
        <f>IF($C$70=0, 0, E27/$C$70)</f>
        <v/>
      </c>
      <c r="G27" s="104">
        <f>F27*$T$5</f>
        <v/>
      </c>
      <c r="H27" s="104" t="n">
        <v>3</v>
      </c>
      <c r="I27" s="104">
        <f>$T$7*H27</f>
        <v/>
      </c>
      <c r="J27" s="104">
        <f>G27+$T$9+I27</f>
        <v/>
      </c>
      <c r="K27" s="104">
        <f>$T$11/64</f>
        <v/>
      </c>
      <c r="L27" s="7" t="n">
        <v>0</v>
      </c>
      <c r="M27" s="104" t="n">
        <v>0</v>
      </c>
      <c r="N27" s="104" t="n">
        <v>0</v>
      </c>
      <c r="O27" s="104" t="n">
        <v>0</v>
      </c>
      <c r="P27" s="109" t="n"/>
      <c r="Q27" s="109" t="n"/>
      <c r="R27" s="109">
        <f>(J27+K27+L27+M27+N27+O27)*$B$2</f>
        <v/>
      </c>
      <c r="S27" s="107" t="n"/>
      <c r="T27" s="110" t="n"/>
    </row>
    <row r="28" ht="12.75" customHeight="1" s="251">
      <c r="A28" s="104" t="inlineStr">
        <is>
          <t>G7</t>
        </is>
      </c>
      <c r="B28" s="13" t="inlineStr">
        <is>
          <t>Prince Richfield</t>
        </is>
      </c>
      <c r="C28" s="9" t="n">
        <v>0</v>
      </c>
      <c r="D28" s="104">
        <f>SUM($C$3:$C$5)/64</f>
        <v/>
      </c>
      <c r="E28" s="104">
        <f>C28+D28</f>
        <v/>
      </c>
      <c r="F28" s="104">
        <f>IF($C$70=0, 0, E28/$C$70)</f>
        <v/>
      </c>
      <c r="G28" s="104">
        <f>F28*$T$5</f>
        <v/>
      </c>
      <c r="H28" s="104" t="n">
        <v>3</v>
      </c>
      <c r="I28" s="104">
        <f>$T$7*H28</f>
        <v/>
      </c>
      <c r="J28" s="104">
        <f>G28+$T$9+I28</f>
        <v/>
      </c>
      <c r="K28" s="104">
        <f>$T$11/64</f>
        <v/>
      </c>
      <c r="L28" s="7" t="n">
        <v>0</v>
      </c>
      <c r="M28" s="104" t="n">
        <v>0</v>
      </c>
      <c r="N28" s="104" t="n">
        <v>0</v>
      </c>
      <c r="O28" s="104" t="n">
        <v>0</v>
      </c>
      <c r="P28" s="109" t="n"/>
      <c r="Q28" s="109" t="n"/>
      <c r="R28" s="109">
        <f>(J28+K28+L28+M28+N28+O28)*$B$2</f>
        <v/>
      </c>
      <c r="S28" s="107" t="n"/>
      <c r="T28" s="110" t="n"/>
    </row>
    <row r="29" ht="12.75" customHeight="1" s="251">
      <c r="A29" s="104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04">
        <f>SUM($C$3:$C$5)/64</f>
        <v/>
      </c>
      <c r="E29" s="104">
        <f>C29+D29</f>
        <v/>
      </c>
      <c r="F29" s="104">
        <f>IF($C$70=0, 0, E29/$C$70)</f>
        <v/>
      </c>
      <c r="G29" s="104">
        <f>F29*$T$5</f>
        <v/>
      </c>
      <c r="H29" s="104" t="n">
        <v>3</v>
      </c>
      <c r="I29" s="104">
        <f>$T$7*H29</f>
        <v/>
      </c>
      <c r="J29" s="104">
        <f>G29+$T$9+I29</f>
        <v/>
      </c>
      <c r="K29" s="104">
        <f>$T$11/64</f>
        <v/>
      </c>
      <c r="L29" s="7" t="n">
        <v>0</v>
      </c>
      <c r="M29" s="104" t="n">
        <v>0</v>
      </c>
      <c r="N29" s="104" t="n">
        <v>0</v>
      </c>
      <c r="O29" s="104" t="n">
        <v>0</v>
      </c>
      <c r="P29" s="109" t="n"/>
      <c r="Q29" s="109" t="n"/>
      <c r="R29" s="109">
        <f>(J29+K29+L29+M29+N29+O29)*$B$2</f>
        <v/>
      </c>
      <c r="S29" s="107" t="n"/>
      <c r="T29" s="110" t="n"/>
    </row>
    <row r="30" ht="12.75" customHeight="1" s="251">
      <c r="A30" s="104" t="inlineStr">
        <is>
          <t>G9</t>
        </is>
      </c>
      <c r="B30" s="13" t="inlineStr">
        <is>
          <t>Chandramouli</t>
        </is>
      </c>
      <c r="C30" s="9" t="n">
        <v>0</v>
      </c>
      <c r="D30" s="104">
        <f>SUM($C$3:$C$5)/64</f>
        <v/>
      </c>
      <c r="E30" s="104">
        <f>C30+D30</f>
        <v/>
      </c>
      <c r="F30" s="104">
        <f>IF($C$70=0, 0, E30/$C$70)</f>
        <v/>
      </c>
      <c r="G30" s="104">
        <f>F30*$T$5</f>
        <v/>
      </c>
      <c r="H30" s="104" t="n">
        <v>5</v>
      </c>
      <c r="I30" s="104">
        <f>$T$7*H30</f>
        <v/>
      </c>
      <c r="J30" s="104">
        <f>G30+$T$9+I30</f>
        <v/>
      </c>
      <c r="K30" s="104">
        <f>$T$11/64</f>
        <v/>
      </c>
      <c r="L30" s="7" t="n">
        <v>0</v>
      </c>
      <c r="M30" s="104" t="n">
        <v>0</v>
      </c>
      <c r="N30" s="104" t="n">
        <v>0</v>
      </c>
      <c r="O30" s="104" t="n">
        <v>0</v>
      </c>
      <c r="P30" s="109" t="n"/>
      <c r="Q30" s="109" t="n"/>
      <c r="R30" s="109">
        <f>(J30+K30+L30+M30+N30+O30)*$B$2</f>
        <v/>
      </c>
      <c r="S30" s="107" t="n"/>
      <c r="T30" s="110" t="n"/>
    </row>
    <row r="31" ht="12.75" customHeight="1" s="251">
      <c r="A31" s="104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104">
        <f>SUM($C$3:$C$5)/64</f>
        <v/>
      </c>
      <c r="E31" s="104">
        <f>C31+D31</f>
        <v/>
      </c>
      <c r="F31" s="104">
        <f>IF($C$70=0, 0, E31/$C$70)</f>
        <v/>
      </c>
      <c r="G31" s="104">
        <f>F31*$T$5</f>
        <v/>
      </c>
      <c r="H31" s="104" t="n">
        <v>3</v>
      </c>
      <c r="I31" s="104">
        <f>$T$7*H31</f>
        <v/>
      </c>
      <c r="J31" s="104">
        <f>G31+$T$9+I31</f>
        <v/>
      </c>
      <c r="K31" s="104">
        <f>$T$11/64</f>
        <v/>
      </c>
      <c r="L31" s="7" t="n">
        <v>0</v>
      </c>
      <c r="M31" s="104" t="n">
        <v>0</v>
      </c>
      <c r="N31" s="104" t="n">
        <v>0</v>
      </c>
      <c r="O31" s="104" t="n">
        <v>0</v>
      </c>
      <c r="P31" s="109" t="n"/>
      <c r="Q31" s="109" t="n"/>
      <c r="R31" s="109">
        <f>(J31+K31+L31+M31+N31+O31)*$B$2</f>
        <v/>
      </c>
      <c r="S31" s="107" t="n"/>
      <c r="T31" s="110" t="n"/>
    </row>
    <row r="32" ht="12.75" customHeight="1" s="251">
      <c r="A32" s="104" t="inlineStr">
        <is>
          <t>G11</t>
        </is>
      </c>
      <c r="B32" s="13" t="inlineStr">
        <is>
          <t>Ketan Verlekar</t>
        </is>
      </c>
      <c r="C32" s="9" t="n">
        <v>0</v>
      </c>
      <c r="D32" s="104">
        <f>SUM($C$3:$C$5)/64</f>
        <v/>
      </c>
      <c r="E32" s="104">
        <f>C32+D32</f>
        <v/>
      </c>
      <c r="F32" s="104">
        <f>IF($C$70=0, 0, E32/$C$70)</f>
        <v/>
      </c>
      <c r="G32" s="104">
        <f>F32*$T$5</f>
        <v/>
      </c>
      <c r="H32" s="104" t="n">
        <v>3</v>
      </c>
      <c r="I32" s="104">
        <f>$T$7*H32</f>
        <v/>
      </c>
      <c r="J32" s="104">
        <f>G32+$T$9+I32</f>
        <v/>
      </c>
      <c r="K32" s="104">
        <f>$T$11/64</f>
        <v/>
      </c>
      <c r="L32" s="7" t="n">
        <v>0</v>
      </c>
      <c r="M32" s="104" t="n">
        <v>0</v>
      </c>
      <c r="N32" s="104" t="n">
        <v>0</v>
      </c>
      <c r="O32" s="104" t="n">
        <v>0</v>
      </c>
      <c r="P32" s="109" t="n"/>
      <c r="Q32" s="109" t="n"/>
      <c r="R32" s="109">
        <f>(J32+K32+L32+M32+N32+O32)*$B$2</f>
        <v/>
      </c>
      <c r="S32" s="107" t="n"/>
      <c r="T32" s="110" t="n"/>
    </row>
    <row r="33" ht="12.75" customHeight="1" s="251">
      <c r="A33" s="104" t="inlineStr">
        <is>
          <t>G12</t>
        </is>
      </c>
      <c r="B33" s="13" t="inlineStr">
        <is>
          <t>Shyam Nair</t>
        </is>
      </c>
      <c r="C33" s="9" t="n">
        <v>0</v>
      </c>
      <c r="D33" s="104">
        <f>SUM($C$3:$C$5)/64</f>
        <v/>
      </c>
      <c r="E33" s="104">
        <f>C33+D33</f>
        <v/>
      </c>
      <c r="F33" s="104">
        <f>IF($C$70=0, 0, E33/$C$70)</f>
        <v/>
      </c>
      <c r="G33" s="104">
        <f>F33*$T$5</f>
        <v/>
      </c>
      <c r="H33" s="104" t="n">
        <v>3</v>
      </c>
      <c r="I33" s="104">
        <f>$T$7*H33</f>
        <v/>
      </c>
      <c r="J33" s="104">
        <f>G33+$T$9+I33</f>
        <v/>
      </c>
      <c r="K33" s="104">
        <f>$T$11/64</f>
        <v/>
      </c>
      <c r="L33" s="7" t="n">
        <v>0</v>
      </c>
      <c r="M33" s="104" t="n">
        <v>0</v>
      </c>
      <c r="N33" s="104" t="n">
        <v>0</v>
      </c>
      <c r="O33" s="104" t="n">
        <v>0</v>
      </c>
      <c r="P33" s="109" t="n"/>
      <c r="Q33" s="109" t="n"/>
      <c r="R33" s="109">
        <f>(J33+K33+L33+M33+N33+O33)*$B$2</f>
        <v/>
      </c>
      <c r="S33" s="107" t="n"/>
      <c r="T33" s="110" t="n"/>
    </row>
    <row r="34" ht="12.75" customHeight="1" s="251">
      <c r="A34" s="104" t="inlineStr">
        <is>
          <t>G13</t>
        </is>
      </c>
      <c r="B34" s="13" t="inlineStr">
        <is>
          <t>Ajai.B</t>
        </is>
      </c>
      <c r="C34" s="9" t="n">
        <v>0</v>
      </c>
      <c r="D34" s="104">
        <f>SUM($C$3:$C$5)/64</f>
        <v/>
      </c>
      <c r="E34" s="104">
        <f>C34+D34</f>
        <v/>
      </c>
      <c r="F34" s="104">
        <f>IF($C$70=0, 0, E34/$C$70)</f>
        <v/>
      </c>
      <c r="G34" s="104">
        <f>F34*$T$5</f>
        <v/>
      </c>
      <c r="H34" s="104" t="n">
        <v>4</v>
      </c>
      <c r="I34" s="104">
        <f>$T$7*H34</f>
        <v/>
      </c>
      <c r="J34" s="104">
        <f>G34+$T$9+I34</f>
        <v/>
      </c>
      <c r="K34" s="104">
        <f>$T$11/64</f>
        <v/>
      </c>
      <c r="L34" s="7" t="n">
        <v>0</v>
      </c>
      <c r="M34" s="104" t="n">
        <v>0</v>
      </c>
      <c r="N34" s="104" t="n">
        <v>0</v>
      </c>
      <c r="O34" s="104" t="n">
        <v>0</v>
      </c>
      <c r="P34" s="109" t="n"/>
      <c r="Q34" s="109" t="n"/>
      <c r="R34" s="109">
        <f>(J34+K34+L34+M34+N34+O34)*$B$2</f>
        <v/>
      </c>
      <c r="S34" s="107" t="n"/>
      <c r="T34" s="110" t="n"/>
    </row>
    <row r="35" ht="12.75" customHeight="1" s="251">
      <c r="A35" s="104" t="inlineStr">
        <is>
          <t>G14</t>
        </is>
      </c>
      <c r="B35" s="13" t="inlineStr">
        <is>
          <t>Surajit Borah</t>
        </is>
      </c>
      <c r="C35" s="9" t="n">
        <v>0</v>
      </c>
      <c r="D35" s="104">
        <f>SUM($C$3:$C$5)/64</f>
        <v/>
      </c>
      <c r="E35" s="104">
        <f>C35+D35</f>
        <v/>
      </c>
      <c r="F35" s="104">
        <f>IF($C$70=0, 0, E35/$C$70)</f>
        <v/>
      </c>
      <c r="G35" s="104">
        <f>F35*$T$5</f>
        <v/>
      </c>
      <c r="H35" s="104" t="n">
        <v>4</v>
      </c>
      <c r="I35" s="104">
        <f>$T$7*H35</f>
        <v/>
      </c>
      <c r="J35" s="104">
        <f>G35+$T$9+I35</f>
        <v/>
      </c>
      <c r="K35" s="104">
        <f>$T$11/64</f>
        <v/>
      </c>
      <c r="L35" s="7" t="n">
        <v>0</v>
      </c>
      <c r="M35" s="104" t="n">
        <v>0</v>
      </c>
      <c r="N35" s="104" t="n">
        <v>0</v>
      </c>
      <c r="O35" s="104" t="n">
        <v>0</v>
      </c>
      <c r="P35" s="109" t="n"/>
      <c r="Q35" s="109" t="n"/>
      <c r="R35" s="109">
        <f>(J35+K35+L35+M35+N35+O35)*$B$2</f>
        <v/>
      </c>
      <c r="S35" s="107" t="n"/>
      <c r="T35" s="110" t="n"/>
    </row>
    <row r="36" ht="12.75" customHeight="1" s="251">
      <c r="A36" s="104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04">
        <f>SUM($C$3:$C$5)/64</f>
        <v/>
      </c>
      <c r="E36" s="104">
        <f>C36+D36</f>
        <v/>
      </c>
      <c r="F36" s="104">
        <f>IF($C$70=0, 0, E36/$C$70)</f>
        <v/>
      </c>
      <c r="G36" s="104">
        <f>F36*$T$5</f>
        <v/>
      </c>
      <c r="H36" s="104" t="n">
        <v>4</v>
      </c>
      <c r="I36" s="104">
        <f>$T$7*H36</f>
        <v/>
      </c>
      <c r="J36" s="104">
        <f>G36+$T$9+I36</f>
        <v/>
      </c>
      <c r="K36" s="104">
        <f>$T$11/64</f>
        <v/>
      </c>
      <c r="L36" s="7" t="n">
        <v>0</v>
      </c>
      <c r="M36" s="104" t="n">
        <v>0</v>
      </c>
      <c r="N36" s="104" t="n">
        <v>0</v>
      </c>
      <c r="O36" s="104" t="n">
        <v>0</v>
      </c>
      <c r="P36" s="109" t="n"/>
      <c r="Q36" s="109" t="n"/>
      <c r="R36" s="109">
        <f>(J36+K36+L36+M36+N36+O36)*$B$2</f>
        <v/>
      </c>
      <c r="S36" s="107" t="n"/>
      <c r="T36" s="110" t="n"/>
    </row>
    <row r="37" ht="12.75" customHeight="1" s="251">
      <c r="A37" s="104" t="inlineStr">
        <is>
          <t>G16</t>
        </is>
      </c>
      <c r="B37" s="13" t="inlineStr">
        <is>
          <t>Praveen Ganesan</t>
        </is>
      </c>
      <c r="C37" s="9" t="n">
        <v>0</v>
      </c>
      <c r="D37" s="104">
        <f>SUM($C$3:$C$5)/64</f>
        <v/>
      </c>
      <c r="E37" s="104">
        <f>C37+D37</f>
        <v/>
      </c>
      <c r="F37" s="104">
        <f>IF($C$70=0, 0, E37/$C$70)</f>
        <v/>
      </c>
      <c r="G37" s="104">
        <f>F37*$T$5</f>
        <v/>
      </c>
      <c r="H37" s="104" t="n">
        <v>3</v>
      </c>
      <c r="I37" s="104">
        <f>$T$7*H37</f>
        <v/>
      </c>
      <c r="J37" s="104">
        <f>G37+$T$9+I37</f>
        <v/>
      </c>
      <c r="K37" s="104">
        <f>$T$11/64</f>
        <v/>
      </c>
      <c r="L37" s="7" t="n">
        <v>0</v>
      </c>
      <c r="M37" s="104" t="n">
        <v>0</v>
      </c>
      <c r="N37" s="104" t="n">
        <v>0</v>
      </c>
      <c r="O37" s="104" t="n">
        <v>0</v>
      </c>
      <c r="P37" s="109" t="n"/>
      <c r="Q37" s="109" t="n"/>
      <c r="R37" s="109">
        <f>(J37+K37+L37+M37+N37+O37)*$B$2</f>
        <v/>
      </c>
      <c r="S37" s="107" t="n"/>
      <c r="T37" s="110" t="n"/>
    </row>
    <row r="38" ht="12.75" customHeight="1" s="251">
      <c r="A38" s="104" t="inlineStr">
        <is>
          <t>S1</t>
        </is>
      </c>
      <c r="B38" s="13" t="inlineStr">
        <is>
          <t>S.N.Behera</t>
        </is>
      </c>
      <c r="C38" s="9" t="n">
        <v>0</v>
      </c>
      <c r="D38" s="104">
        <f>SUM($C$3:$C$5)/64</f>
        <v/>
      </c>
      <c r="E38" s="104">
        <f>C38+D38</f>
        <v/>
      </c>
      <c r="F38" s="104">
        <f>IF($C$70=0, 0, E38/$C$70)</f>
        <v/>
      </c>
      <c r="G38" s="104">
        <f>F38*$T$5</f>
        <v/>
      </c>
      <c r="H38" s="104" t="n">
        <v>3</v>
      </c>
      <c r="I38" s="104">
        <f>$T$7*H38</f>
        <v/>
      </c>
      <c r="J38" s="104">
        <f>G38+$T$9+I38</f>
        <v/>
      </c>
      <c r="K38" s="104">
        <f>$T$11/64</f>
        <v/>
      </c>
      <c r="L38" s="7" t="n">
        <v>0</v>
      </c>
      <c r="M38" s="104" t="n">
        <v>0</v>
      </c>
      <c r="N38" s="104" t="n">
        <v>0</v>
      </c>
      <c r="O38" s="104" t="n">
        <v>0</v>
      </c>
      <c r="P38" s="109" t="n"/>
      <c r="Q38" s="109" t="n"/>
      <c r="R38" s="109">
        <f>(J38+K38+L38+M38+N38+O38)*$B$2</f>
        <v/>
      </c>
      <c r="S38" s="107" t="n"/>
      <c r="T38" s="110" t="n"/>
    </row>
    <row r="39" ht="12.75" customHeight="1" s="251">
      <c r="A39" s="104" t="inlineStr">
        <is>
          <t>S2</t>
        </is>
      </c>
      <c r="B39" s="13" t="inlineStr">
        <is>
          <t>Sonal Singh</t>
        </is>
      </c>
      <c r="C39" s="9" t="n">
        <v>0</v>
      </c>
      <c r="D39" s="104">
        <f>SUM($C$3:$C$5)/64</f>
        <v/>
      </c>
      <c r="E39" s="104">
        <f>C39+D39</f>
        <v/>
      </c>
      <c r="F39" s="104">
        <f>IF($C$70=0, 0, E39/$C$70)</f>
        <v/>
      </c>
      <c r="G39" s="104">
        <f>F39*$T$5</f>
        <v/>
      </c>
      <c r="H39" s="104" t="n">
        <v>4</v>
      </c>
      <c r="I39" s="104">
        <f>$T$7*H39</f>
        <v/>
      </c>
      <c r="J39" s="104">
        <f>G39+$T$9+I39</f>
        <v/>
      </c>
      <c r="K39" s="104">
        <f>$T$11/64</f>
        <v/>
      </c>
      <c r="L39" s="7" t="n">
        <v>0</v>
      </c>
      <c r="M39" s="104" t="n">
        <v>0</v>
      </c>
      <c r="N39" s="104" t="n">
        <v>0</v>
      </c>
      <c r="O39" s="104" t="n">
        <v>0</v>
      </c>
      <c r="P39" s="109" t="n"/>
      <c r="Q39" s="109" t="n"/>
      <c r="R39" s="109">
        <f>(J39+K39+L39+M39+N39+O39)*$B$2</f>
        <v/>
      </c>
      <c r="S39" s="107" t="n"/>
      <c r="T39" s="110" t="n"/>
    </row>
    <row r="40" ht="12.75" customHeight="1" s="251">
      <c r="A40" s="104" t="inlineStr">
        <is>
          <t>S3</t>
        </is>
      </c>
      <c r="B40" s="13" t="inlineStr">
        <is>
          <t>Koteswararao</t>
        </is>
      </c>
      <c r="C40" s="9" t="n">
        <v>0</v>
      </c>
      <c r="D40" s="104">
        <f>SUM($C$3:$C$5)/64</f>
        <v/>
      </c>
      <c r="E40" s="104">
        <f>C40+D40</f>
        <v/>
      </c>
      <c r="F40" s="104">
        <f>IF($C$70=0, 0, E40/$C$70)</f>
        <v/>
      </c>
      <c r="G40" s="104">
        <f>F40*$T$5</f>
        <v/>
      </c>
      <c r="H40" s="104" t="n">
        <v>4</v>
      </c>
      <c r="I40" s="104">
        <f>$T$7*H40</f>
        <v/>
      </c>
      <c r="J40" s="104">
        <f>G40+$T$9+I40</f>
        <v/>
      </c>
      <c r="K40" s="104">
        <f>$T$11/64</f>
        <v/>
      </c>
      <c r="L40" s="7" t="n">
        <v>0</v>
      </c>
      <c r="M40" s="104" t="n">
        <v>0</v>
      </c>
      <c r="N40" s="104" t="n">
        <v>0</v>
      </c>
      <c r="O40" s="104" t="n">
        <v>0</v>
      </c>
      <c r="P40" s="109" t="n"/>
      <c r="Q40" s="109" t="n"/>
      <c r="R40" s="109">
        <f>(J40+K40+L40+M40+N40+O40)*$B$2</f>
        <v/>
      </c>
      <c r="S40" s="107" t="n"/>
      <c r="T40" s="110" t="n"/>
    </row>
    <row r="41" ht="12.75" customHeight="1" s="251">
      <c r="A41" s="104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04">
        <f>SUM($C$3:$C$5)/64</f>
        <v/>
      </c>
      <c r="E41" s="104">
        <f>C41+D41</f>
        <v/>
      </c>
      <c r="F41" s="104">
        <f>IF($C$70=0, 0, E41/$C$70)</f>
        <v/>
      </c>
      <c r="G41" s="104">
        <f>F41*$T$5</f>
        <v/>
      </c>
      <c r="H41" s="104" t="n">
        <v>3</v>
      </c>
      <c r="I41" s="104">
        <f>$T$7*H41</f>
        <v/>
      </c>
      <c r="J41" s="104">
        <f>G41+$T$9+I41</f>
        <v/>
      </c>
      <c r="K41" s="104">
        <f>$T$11/64</f>
        <v/>
      </c>
      <c r="L41" s="7" t="n">
        <v>0</v>
      </c>
      <c r="M41" s="104" t="n">
        <v>0</v>
      </c>
      <c r="N41" s="104" t="n">
        <v>0</v>
      </c>
      <c r="O41" s="104" t="n">
        <v>0</v>
      </c>
      <c r="P41" s="109" t="n"/>
      <c r="Q41" s="109" t="n"/>
      <c r="R41" s="109">
        <f>(J41+K41+L41+M41+N41+O41)*$B$2</f>
        <v/>
      </c>
      <c r="S41" s="107" t="n"/>
      <c r="T41" s="110" t="n"/>
    </row>
    <row r="42" ht="12.75" customHeight="1" s="251">
      <c r="A42" s="104" t="inlineStr">
        <is>
          <t>S5</t>
        </is>
      </c>
      <c r="B42" s="13" t="inlineStr">
        <is>
          <t>Abhishek Gopalakrishnan</t>
        </is>
      </c>
      <c r="C42" s="9" t="n">
        <v>0</v>
      </c>
      <c r="D42" s="104">
        <f>SUM($C$3:$C$5)/64</f>
        <v/>
      </c>
      <c r="E42" s="104">
        <f>C42+D42</f>
        <v/>
      </c>
      <c r="F42" s="104">
        <f>IF($C$70=0, 0, E42/$C$70)</f>
        <v/>
      </c>
      <c r="G42" s="104">
        <f>F42*$T$5</f>
        <v/>
      </c>
      <c r="H42" s="104" t="n">
        <v>3</v>
      </c>
      <c r="I42" s="104">
        <f>$T$7*H42</f>
        <v/>
      </c>
      <c r="J42" s="104">
        <f>G42+$T$9+I42</f>
        <v/>
      </c>
      <c r="K42" s="104">
        <f>$T$11/64</f>
        <v/>
      </c>
      <c r="L42" s="7" t="n">
        <v>0</v>
      </c>
      <c r="M42" s="104" t="n">
        <v>0</v>
      </c>
      <c r="N42" s="104" t="n">
        <v>0</v>
      </c>
      <c r="O42" s="104" t="n">
        <v>0</v>
      </c>
      <c r="P42" s="109" t="n"/>
      <c r="Q42" s="109" t="n"/>
      <c r="R42" s="109">
        <f>(J42+K42+L42+M42+N42+O42)*$B$2</f>
        <v/>
      </c>
      <c r="S42" s="107" t="n"/>
      <c r="T42" s="110" t="n"/>
    </row>
    <row r="43" ht="12.75" customHeight="1" s="251">
      <c r="A43" s="104" t="inlineStr">
        <is>
          <t>S6</t>
        </is>
      </c>
      <c r="B43" s="30" t="inlineStr">
        <is>
          <t>Vivek Dhingra / Pratyush Das</t>
        </is>
      </c>
      <c r="C43" s="9" t="n">
        <v>0</v>
      </c>
      <c r="D43" s="104">
        <f>SUM($C$3:$C$5)/64</f>
        <v/>
      </c>
      <c r="E43" s="104">
        <f>C43+D43</f>
        <v/>
      </c>
      <c r="F43" s="104">
        <f>IF($C$70=0, 0, E43/$C$70)</f>
        <v/>
      </c>
      <c r="G43" s="104">
        <f>F43*$T$5</f>
        <v/>
      </c>
      <c r="H43" s="104" t="n">
        <v>3</v>
      </c>
      <c r="I43" s="104">
        <f>$T$7*H43</f>
        <v/>
      </c>
      <c r="J43" s="104">
        <f>G43+$T$9+I43</f>
        <v/>
      </c>
      <c r="K43" s="104">
        <f>$T$11/64</f>
        <v/>
      </c>
      <c r="L43" s="7" t="n">
        <v>0</v>
      </c>
      <c r="M43" s="104" t="n">
        <v>0</v>
      </c>
      <c r="N43" s="104" t="n">
        <v>0</v>
      </c>
      <c r="O43" s="104" t="n">
        <v>0</v>
      </c>
      <c r="P43" s="109" t="n"/>
      <c r="Q43" s="109" t="n"/>
      <c r="R43" s="109">
        <f>(J43+K43+L43+M43+N43+O43)*$B$2</f>
        <v/>
      </c>
      <c r="S43" s="107" t="n"/>
      <c r="T43" s="110" t="n"/>
    </row>
    <row r="44" ht="12.75" customHeight="1" s="251">
      <c r="A44" s="104" t="inlineStr">
        <is>
          <t>S7</t>
        </is>
      </c>
      <c r="B44" s="13" t="inlineStr">
        <is>
          <t>Harish B</t>
        </is>
      </c>
      <c r="C44" s="9" t="n">
        <v>0</v>
      </c>
      <c r="D44" s="104">
        <f>SUM($C$3:$C$5)/64</f>
        <v/>
      </c>
      <c r="E44" s="104">
        <f>C44+D44</f>
        <v/>
      </c>
      <c r="F44" s="104">
        <f>IF($C$70=0, 0, E44/$C$70)</f>
        <v/>
      </c>
      <c r="G44" s="104">
        <f>F44*$T$5</f>
        <v/>
      </c>
      <c r="H44" s="104" t="n">
        <v>3</v>
      </c>
      <c r="I44" s="104">
        <f>$T$7*H44</f>
        <v/>
      </c>
      <c r="J44" s="104">
        <f>G44+$T$9+I44</f>
        <v/>
      </c>
      <c r="K44" s="104">
        <f>$T$11/64</f>
        <v/>
      </c>
      <c r="L44" s="7" t="n">
        <v>0</v>
      </c>
      <c r="M44" s="104" t="n">
        <v>0</v>
      </c>
      <c r="N44" s="104" t="n">
        <v>0</v>
      </c>
      <c r="O44" s="104" t="n">
        <v>0</v>
      </c>
      <c r="P44" s="109" t="n"/>
      <c r="Q44" s="109" t="n"/>
      <c r="R44" s="109">
        <f>(J44+K44+L44+M44+N44+O44)*$B$2</f>
        <v/>
      </c>
      <c r="S44" s="107" t="n"/>
      <c r="T44" s="110" t="n"/>
    </row>
    <row r="45" ht="12.75" customHeight="1" s="251">
      <c r="A45" s="104" t="inlineStr">
        <is>
          <t>S8</t>
        </is>
      </c>
      <c r="B45" s="13" t="inlineStr">
        <is>
          <t>Irudayaraj Alwin</t>
        </is>
      </c>
      <c r="C45" s="9" t="n">
        <v>0</v>
      </c>
      <c r="D45" s="104">
        <f>SUM($C$3:$C$5)/64</f>
        <v/>
      </c>
      <c r="E45" s="104">
        <f>C45+D45</f>
        <v/>
      </c>
      <c r="F45" s="104">
        <f>IF($C$70=0, 0, E45/$C$70)</f>
        <v/>
      </c>
      <c r="G45" s="104">
        <f>F45*$T$5</f>
        <v/>
      </c>
      <c r="H45" s="104" t="n">
        <v>3</v>
      </c>
      <c r="I45" s="104">
        <f>$T$7*H45</f>
        <v/>
      </c>
      <c r="J45" s="104">
        <f>G45+$T$9+I45</f>
        <v/>
      </c>
      <c r="K45" s="104">
        <f>$T$11/64</f>
        <v/>
      </c>
      <c r="L45" s="7" t="n">
        <v>0</v>
      </c>
      <c r="M45" s="104" t="n">
        <v>0</v>
      </c>
      <c r="N45" s="104" t="n">
        <v>0</v>
      </c>
      <c r="O45" s="104" t="n">
        <v>0</v>
      </c>
      <c r="P45" s="109" t="n"/>
      <c r="Q45" s="109" t="n"/>
      <c r="R45" s="109">
        <f>(J45+K45+L45+M45+N45+O45)*$B$2</f>
        <v/>
      </c>
      <c r="S45" s="107" t="n"/>
      <c r="T45" s="110" t="n"/>
    </row>
    <row r="46" ht="12.75" customHeight="1" s="251">
      <c r="A46" s="104" t="inlineStr">
        <is>
          <t>S9</t>
        </is>
      </c>
      <c r="B46" s="13" t="inlineStr">
        <is>
          <t>Pawan GS</t>
        </is>
      </c>
      <c r="C46" s="9" t="n">
        <v>0</v>
      </c>
      <c r="D46" s="104">
        <f>SUM($C$3:$C$5)/64</f>
        <v/>
      </c>
      <c r="E46" s="104">
        <f>C46+D46</f>
        <v/>
      </c>
      <c r="F46" s="104">
        <f>IF($C$70=0, 0, E46/$C$70)</f>
        <v/>
      </c>
      <c r="G46" s="104">
        <f>F46*$T$5</f>
        <v/>
      </c>
      <c r="H46" s="104" t="n">
        <v>4</v>
      </c>
      <c r="I46" s="104">
        <f>$T$7*H46</f>
        <v/>
      </c>
      <c r="J46" s="104">
        <f>G46+$T$9+I46</f>
        <v/>
      </c>
      <c r="K46" s="104">
        <f>$T$11/64</f>
        <v/>
      </c>
      <c r="L46" s="7" t="n">
        <v>0</v>
      </c>
      <c r="M46" s="104" t="n">
        <v>0</v>
      </c>
      <c r="N46" s="104" t="n">
        <v>0</v>
      </c>
      <c r="O46" s="104" t="n">
        <v>0</v>
      </c>
      <c r="P46" s="109" t="n"/>
      <c r="Q46" s="109" t="n"/>
      <c r="R46" s="109">
        <f>(J46+K46+L46+M46+N46+O46)*$B$2</f>
        <v/>
      </c>
      <c r="S46" s="107" t="n"/>
      <c r="T46" s="110" t="n"/>
    </row>
    <row r="47" ht="12.75" customHeight="1" s="251">
      <c r="A47" s="104" t="inlineStr">
        <is>
          <t>S10</t>
        </is>
      </c>
      <c r="B47" s="13" t="inlineStr">
        <is>
          <t>Lakshmikanth</t>
        </is>
      </c>
      <c r="C47" s="9" t="n">
        <v>0</v>
      </c>
      <c r="D47" s="104">
        <f>SUM($C$3:$C$5)/64</f>
        <v/>
      </c>
      <c r="E47" s="104">
        <f>C47+D47</f>
        <v/>
      </c>
      <c r="F47" s="104">
        <f>IF($C$70=0, 0, E47/$C$70)</f>
        <v/>
      </c>
      <c r="G47" s="104">
        <f>F47*$T$5</f>
        <v/>
      </c>
      <c r="H47" s="104" t="n">
        <v>3</v>
      </c>
      <c r="I47" s="104">
        <f>$T$7*H47</f>
        <v/>
      </c>
      <c r="J47" s="104">
        <f>G47+$T$9+I47</f>
        <v/>
      </c>
      <c r="K47" s="104">
        <f>$T$11/64</f>
        <v/>
      </c>
      <c r="L47" s="7" t="n">
        <v>0</v>
      </c>
      <c r="M47" s="104" t="n">
        <v>0</v>
      </c>
      <c r="N47" s="104" t="n">
        <v>0</v>
      </c>
      <c r="O47" s="104" t="n">
        <v>0</v>
      </c>
      <c r="P47" s="109" t="n"/>
      <c r="Q47" s="109" t="n"/>
      <c r="R47" s="109">
        <f>(J47+K47+L47+M47+N47+O47)*$B$2</f>
        <v/>
      </c>
      <c r="S47" s="107" t="n"/>
      <c r="T47" s="110" t="n"/>
    </row>
    <row r="48" ht="12.75" customHeight="1" s="251">
      <c r="A48" s="104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04">
        <f>SUM($C$3:$C$5)/64</f>
        <v/>
      </c>
      <c r="E48" s="104">
        <f>C48+D48</f>
        <v/>
      </c>
      <c r="F48" s="104">
        <f>IF($C$70=0, 0, E48/$C$70)</f>
        <v/>
      </c>
      <c r="G48" s="104">
        <f>F48*$T$5</f>
        <v/>
      </c>
      <c r="H48" s="104" t="n">
        <v>3</v>
      </c>
      <c r="I48" s="104">
        <f>$T$7*H48</f>
        <v/>
      </c>
      <c r="J48" s="104">
        <f>G48+$T$9+I48</f>
        <v/>
      </c>
      <c r="K48" s="104">
        <f>$T$11/64</f>
        <v/>
      </c>
      <c r="L48" s="7" t="n">
        <v>0</v>
      </c>
      <c r="M48" s="104" t="n">
        <v>0</v>
      </c>
      <c r="N48" s="104" t="n">
        <v>0</v>
      </c>
      <c r="O48" s="104" t="n">
        <v>0</v>
      </c>
      <c r="P48" s="109" t="n"/>
      <c r="Q48" s="109" t="n"/>
      <c r="R48" s="109">
        <f>(J48+K48+L48+M48+N48+O48)*$B$2</f>
        <v/>
      </c>
      <c r="S48" s="107" t="n"/>
      <c r="T48" s="110" t="n"/>
    </row>
    <row r="49" ht="12.75" customHeight="1" s="251">
      <c r="A49" s="104" t="inlineStr">
        <is>
          <t>S12</t>
        </is>
      </c>
      <c r="B49" s="13" t="inlineStr">
        <is>
          <t>Saovik Mondal</t>
        </is>
      </c>
      <c r="C49" s="9" t="n">
        <v>0</v>
      </c>
      <c r="D49" s="104">
        <f>SUM($C$3:$C$5)/64</f>
        <v/>
      </c>
      <c r="E49" s="104">
        <f>C49+D49</f>
        <v/>
      </c>
      <c r="F49" s="104">
        <f>IF($C$70=0, 0, E49/$C$70)</f>
        <v/>
      </c>
      <c r="G49" s="104">
        <f>F49*$T$5</f>
        <v/>
      </c>
      <c r="H49" s="104" t="n">
        <v>3</v>
      </c>
      <c r="I49" s="104">
        <f>$T$7*H49</f>
        <v/>
      </c>
      <c r="J49" s="104">
        <f>G49+$T$9+I49</f>
        <v/>
      </c>
      <c r="K49" s="104">
        <f>$T$11/64</f>
        <v/>
      </c>
      <c r="L49" s="7" t="n">
        <v>0</v>
      </c>
      <c r="M49" s="104" t="n">
        <v>0</v>
      </c>
      <c r="N49" s="104" t="n">
        <v>0</v>
      </c>
      <c r="O49" s="104" t="n">
        <v>0</v>
      </c>
      <c r="P49" s="109" t="n"/>
      <c r="Q49" s="109" t="n"/>
      <c r="R49" s="109">
        <f>(J49+K49+L49+M49+N49+O49)*$B$2</f>
        <v/>
      </c>
      <c r="S49" s="107" t="n"/>
      <c r="T49" s="110" t="n"/>
    </row>
    <row r="50" ht="12.75" customHeight="1" s="251">
      <c r="A50" s="104" t="inlineStr">
        <is>
          <t>S13</t>
        </is>
      </c>
      <c r="B50" s="13" t="inlineStr">
        <is>
          <t>Ramadevi S.</t>
        </is>
      </c>
      <c r="C50" s="9" t="n">
        <v>0</v>
      </c>
      <c r="D50" s="104">
        <f>SUM($C$3:$C$5)/64</f>
        <v/>
      </c>
      <c r="E50" s="104">
        <f>C50+D50</f>
        <v/>
      </c>
      <c r="F50" s="104">
        <f>IF($C$70=0, 0, E50/$C$70)</f>
        <v/>
      </c>
      <c r="G50" s="104">
        <f>F50*$T$5</f>
        <v/>
      </c>
      <c r="H50" s="104" t="n">
        <v>4</v>
      </c>
      <c r="I50" s="104">
        <f>$T$7*H50</f>
        <v/>
      </c>
      <c r="J50" s="104">
        <f>G50+$T$9+I50</f>
        <v/>
      </c>
      <c r="K50" s="104">
        <f>$T$11/64</f>
        <v/>
      </c>
      <c r="L50" s="7" t="n">
        <v>0</v>
      </c>
      <c r="M50" s="104" t="n">
        <v>0</v>
      </c>
      <c r="N50" s="104" t="n">
        <v>0</v>
      </c>
      <c r="O50" s="104" t="n">
        <v>0</v>
      </c>
      <c r="P50" s="109" t="n"/>
      <c r="Q50" s="109" t="n"/>
      <c r="R50" s="109">
        <f>(J50+K50+L50+M50+N50+O50)*$B$2</f>
        <v/>
      </c>
      <c r="S50" s="107" t="n"/>
      <c r="T50" s="110" t="n"/>
    </row>
    <row r="51" ht="12.75" customHeight="1" s="251">
      <c r="A51" s="104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04">
        <f>SUM($C$3:$C$5)/64</f>
        <v/>
      </c>
      <c r="E51" s="104">
        <f>C51+D51</f>
        <v/>
      </c>
      <c r="F51" s="104">
        <f>IF($C$70=0, 0, E51/$C$70)</f>
        <v/>
      </c>
      <c r="G51" s="104">
        <f>F51*$T$5</f>
        <v/>
      </c>
      <c r="H51" s="104" t="n">
        <v>4</v>
      </c>
      <c r="I51" s="104">
        <f>$T$7*H51</f>
        <v/>
      </c>
      <c r="J51" s="104">
        <f>G51+$T$9+I51</f>
        <v/>
      </c>
      <c r="K51" s="104">
        <f>$T$11/64</f>
        <v/>
      </c>
      <c r="L51" s="7" t="n">
        <v>0</v>
      </c>
      <c r="M51" s="104" t="n">
        <v>0</v>
      </c>
      <c r="N51" s="104" t="n">
        <v>0</v>
      </c>
      <c r="O51" s="104" t="n">
        <v>0</v>
      </c>
      <c r="P51" s="109" t="n"/>
      <c r="Q51" s="109" t="n"/>
      <c r="R51" s="109">
        <f>(J51+K51+L51+M51+N51+O51)*$B$2</f>
        <v/>
      </c>
      <c r="S51" s="107" t="n"/>
      <c r="T51" s="110" t="n"/>
    </row>
    <row r="52" ht="12.75" customHeight="1" s="251">
      <c r="A52" s="104" t="inlineStr">
        <is>
          <t>S15</t>
        </is>
      </c>
      <c r="B52" s="13" t="inlineStr">
        <is>
          <t>Manas Dasgupta</t>
        </is>
      </c>
      <c r="C52" s="9" t="n">
        <v>0</v>
      </c>
      <c r="D52" s="104">
        <f>SUM($C$3:$C$5)/64</f>
        <v/>
      </c>
      <c r="E52" s="104">
        <f>C52+D52</f>
        <v/>
      </c>
      <c r="F52" s="104">
        <f>IF($C$70=0, 0, E52/$C$70)</f>
        <v/>
      </c>
      <c r="G52" s="104">
        <f>F52*$T$5</f>
        <v/>
      </c>
      <c r="H52" s="104" t="n">
        <v>4</v>
      </c>
      <c r="I52" s="104">
        <f>$T$7*H52</f>
        <v/>
      </c>
      <c r="J52" s="104">
        <f>G52+$T$9+I52</f>
        <v/>
      </c>
      <c r="K52" s="104">
        <f>$T$11/64</f>
        <v/>
      </c>
      <c r="L52" s="7" t="n">
        <v>0</v>
      </c>
      <c r="M52" s="104" t="n">
        <v>0</v>
      </c>
      <c r="N52" s="104" t="n">
        <v>0</v>
      </c>
      <c r="O52" s="104" t="n">
        <v>0</v>
      </c>
      <c r="P52" s="109" t="n"/>
      <c r="Q52" s="109" t="n"/>
      <c r="R52" s="109">
        <f>(J52+K52+L52+M52+N52+O52)*$B$2</f>
        <v/>
      </c>
      <c r="S52" s="107" t="n"/>
      <c r="T52" s="110" t="n"/>
    </row>
    <row r="53" ht="12.75" customHeight="1" s="251">
      <c r="A53" s="104" t="inlineStr">
        <is>
          <t>S16</t>
        </is>
      </c>
      <c r="B53" s="13" t="inlineStr">
        <is>
          <t>Devendra Singh Rawat / Nancy</t>
        </is>
      </c>
      <c r="C53" s="9" t="n">
        <v>0</v>
      </c>
      <c r="D53" s="104">
        <f>SUM($C$3:$C$5)/64</f>
        <v/>
      </c>
      <c r="E53" s="104">
        <f>C53+D53</f>
        <v/>
      </c>
      <c r="F53" s="104">
        <f>IF($C$70=0, 0, E53/$C$70)</f>
        <v/>
      </c>
      <c r="G53" s="104">
        <f>F53*$T$5</f>
        <v/>
      </c>
      <c r="H53" s="104" t="n">
        <v>3</v>
      </c>
      <c r="I53" s="104">
        <f>$T$7*H53</f>
        <v/>
      </c>
      <c r="J53" s="104">
        <f>G53+$T$9+I53</f>
        <v/>
      </c>
      <c r="K53" s="104">
        <f>$T$11/64</f>
        <v/>
      </c>
      <c r="L53" s="7" t="n">
        <v>0</v>
      </c>
      <c r="M53" s="104" t="n">
        <v>0</v>
      </c>
      <c r="N53" s="104" t="n">
        <v>0</v>
      </c>
      <c r="O53" s="104" t="n">
        <v>0</v>
      </c>
      <c r="P53" s="109" t="n"/>
      <c r="Q53" s="109" t="n"/>
      <c r="R53" s="109">
        <f>(J53+K53+L53+M53+N53+O53)*$B$2</f>
        <v/>
      </c>
      <c r="S53" s="107" t="n"/>
      <c r="T53" s="110" t="n"/>
    </row>
    <row r="54" ht="12.75" customHeight="1" s="251">
      <c r="A54" s="104" t="inlineStr">
        <is>
          <t>T1</t>
        </is>
      </c>
      <c r="B54" s="13" t="inlineStr">
        <is>
          <t>Prashant Sikdar</t>
        </is>
      </c>
      <c r="C54" s="9" t="n">
        <v>0</v>
      </c>
      <c r="D54" s="104">
        <f>SUM($C$3:$C$5)/64</f>
        <v/>
      </c>
      <c r="E54" s="104">
        <f>C54+D54</f>
        <v/>
      </c>
      <c r="F54" s="104">
        <f>IF($C$70=0, 0, E54/$C$70)</f>
        <v/>
      </c>
      <c r="G54" s="104">
        <f>F54*$T$5</f>
        <v/>
      </c>
      <c r="H54" s="104" t="n">
        <v>3</v>
      </c>
      <c r="I54" s="104">
        <f>$T$7*H54</f>
        <v/>
      </c>
      <c r="J54" s="104">
        <f>G54+$T$9+I54</f>
        <v/>
      </c>
      <c r="K54" s="104">
        <f>$T$11/64</f>
        <v/>
      </c>
      <c r="L54" s="7" t="n">
        <v>0</v>
      </c>
      <c r="M54" s="104" t="n">
        <v>0</v>
      </c>
      <c r="N54" s="104" t="n">
        <v>0</v>
      </c>
      <c r="O54" s="104" t="n">
        <v>0</v>
      </c>
      <c r="P54" s="109" t="n"/>
      <c r="Q54" s="109" t="n"/>
      <c r="R54" s="109">
        <f>(J54+K54+L54+M54+N54+O54)*$B$2</f>
        <v/>
      </c>
      <c r="S54" s="107" t="n"/>
      <c r="T54" s="110" t="n"/>
    </row>
    <row r="55" ht="12.75" customHeight="1" s="251">
      <c r="A55" s="104" t="inlineStr">
        <is>
          <t>T2</t>
        </is>
      </c>
      <c r="B55" s="13" t="inlineStr">
        <is>
          <t>Kunal Mehta</t>
        </is>
      </c>
      <c r="C55" s="9" t="n">
        <v>0</v>
      </c>
      <c r="D55" s="104">
        <f>SUM($C$3:$C$5)/64</f>
        <v/>
      </c>
      <c r="E55" s="104">
        <f>C55+D55</f>
        <v/>
      </c>
      <c r="F55" s="104">
        <f>IF($C$70=0, 0, E55/$C$70)</f>
        <v/>
      </c>
      <c r="G55" s="104">
        <f>F55*$T$5</f>
        <v/>
      </c>
      <c r="H55" s="104" t="n">
        <v>4</v>
      </c>
      <c r="I55" s="104">
        <f>$T$7*H55</f>
        <v/>
      </c>
      <c r="J55" s="104">
        <f>G55+$T$9+I55</f>
        <v/>
      </c>
      <c r="K55" s="104">
        <f>$T$11/64</f>
        <v/>
      </c>
      <c r="L55" s="7" t="n">
        <v>0</v>
      </c>
      <c r="M55" s="104" t="n">
        <v>0</v>
      </c>
      <c r="N55" s="104" t="n">
        <v>0</v>
      </c>
      <c r="O55" s="104" t="n">
        <v>0</v>
      </c>
      <c r="P55" s="109" t="n"/>
      <c r="Q55" s="109" t="n"/>
      <c r="R55" s="109">
        <f>(J55+K55+L55+M55+N55+O55)*$B$2</f>
        <v/>
      </c>
      <c r="S55" s="107" t="n"/>
      <c r="T55" s="110" t="n"/>
    </row>
    <row r="56" ht="12.75" customHeight="1" s="251">
      <c r="A56" s="104" t="inlineStr">
        <is>
          <t>T3</t>
        </is>
      </c>
      <c r="B56" s="13" t="inlineStr">
        <is>
          <t>Kapil Garg</t>
        </is>
      </c>
      <c r="C56" s="9" t="n">
        <v>0</v>
      </c>
      <c r="D56" s="104">
        <f>SUM($C$3:$C$5)/64</f>
        <v/>
      </c>
      <c r="E56" s="104">
        <f>C56+D56</f>
        <v/>
      </c>
      <c r="F56" s="104">
        <f>IF($C$70=0, 0, E56/$C$70)</f>
        <v/>
      </c>
      <c r="G56" s="104">
        <f>F56*$T$5</f>
        <v/>
      </c>
      <c r="H56" s="104" t="n">
        <v>4</v>
      </c>
      <c r="I56" s="104">
        <f>$T$7*H56</f>
        <v/>
      </c>
      <c r="J56" s="104">
        <f>G56+$T$9+I56</f>
        <v/>
      </c>
      <c r="K56" s="104">
        <f>$T$11/64</f>
        <v/>
      </c>
      <c r="L56" s="7" t="n">
        <v>0</v>
      </c>
      <c r="M56" s="104" t="n">
        <v>0</v>
      </c>
      <c r="N56" s="104" t="n">
        <v>0</v>
      </c>
      <c r="O56" s="104" t="n">
        <v>0</v>
      </c>
      <c r="P56" s="109" t="n"/>
      <c r="Q56" s="109" t="n"/>
      <c r="R56" s="109">
        <f>(J56+K56+L56+M56+N56+O56)*$B$2</f>
        <v/>
      </c>
      <c r="S56" s="107" t="n"/>
      <c r="T56" s="110" t="n"/>
    </row>
    <row r="57" ht="12.75" customHeight="1" s="251">
      <c r="A57" s="104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04">
        <f>SUM($C$3:$C$5)/64</f>
        <v/>
      </c>
      <c r="E57" s="104">
        <f>C57+D57</f>
        <v/>
      </c>
      <c r="F57" s="104">
        <f>IF($C$70=0, 0, E57/$C$70)</f>
        <v/>
      </c>
      <c r="G57" s="104">
        <f>F57*$T$5</f>
        <v/>
      </c>
      <c r="H57" s="104" t="n">
        <v>4</v>
      </c>
      <c r="I57" s="104">
        <f>$T$7*H57</f>
        <v/>
      </c>
      <c r="J57" s="104">
        <f>G57+$T$9+I57</f>
        <v/>
      </c>
      <c r="K57" s="104">
        <f>$T$11/64</f>
        <v/>
      </c>
      <c r="L57" s="7" t="n">
        <v>0</v>
      </c>
      <c r="M57" s="104" t="n">
        <v>0</v>
      </c>
      <c r="N57" s="104" t="n">
        <v>0</v>
      </c>
      <c r="O57" s="104" t="n">
        <v>0</v>
      </c>
      <c r="P57" s="109" t="n"/>
      <c r="Q57" s="109" t="n"/>
      <c r="R57" s="109">
        <f>(J57+K57+L57+M57+N57+O57)*$B$2</f>
        <v/>
      </c>
      <c r="S57" s="107" t="n"/>
      <c r="T57" s="110" t="n"/>
    </row>
    <row r="58" ht="12.75" customHeight="1" s="251">
      <c r="A58" s="104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04">
        <f>SUM($C$3:$C$5)/64</f>
        <v/>
      </c>
      <c r="E58" s="104">
        <f>C58+D58</f>
        <v/>
      </c>
      <c r="F58" s="104">
        <f>IF($C$70=0, 0, E58/$C$70)</f>
        <v/>
      </c>
      <c r="G58" s="104">
        <f>F58*$T$5</f>
        <v/>
      </c>
      <c r="H58" s="104" t="n">
        <v>3</v>
      </c>
      <c r="I58" s="104">
        <f>$T$7*H58</f>
        <v/>
      </c>
      <c r="J58" s="104">
        <f>G58+$T$9+I58</f>
        <v/>
      </c>
      <c r="K58" s="104">
        <f>$T$11/64</f>
        <v/>
      </c>
      <c r="L58" s="7" t="n">
        <v>0</v>
      </c>
      <c r="M58" s="104" t="n">
        <v>0</v>
      </c>
      <c r="N58" s="104" t="n">
        <v>0</v>
      </c>
      <c r="O58" s="104" t="n">
        <v>0</v>
      </c>
      <c r="P58" s="109" t="n"/>
      <c r="Q58" s="109" t="n"/>
      <c r="R58" s="109">
        <f>(J58+K58+L58+M58+N58+O58)*$B$2</f>
        <v/>
      </c>
      <c r="S58" s="107" t="n"/>
      <c r="T58" s="110" t="n"/>
    </row>
    <row r="59" ht="12.75" customHeight="1" s="251">
      <c r="A59" s="104" t="inlineStr">
        <is>
          <t>T6</t>
        </is>
      </c>
      <c r="B59" s="13" t="inlineStr">
        <is>
          <t>Mythili Ramesh</t>
        </is>
      </c>
      <c r="C59" s="9" t="n">
        <v>0</v>
      </c>
      <c r="D59" s="104">
        <f>SUM($C$3:$C$5)/64</f>
        <v/>
      </c>
      <c r="E59" s="104">
        <f>C59+D59</f>
        <v/>
      </c>
      <c r="F59" s="104">
        <f>IF($C$70=0, 0, E59/$C$70)</f>
        <v/>
      </c>
      <c r="G59" s="104">
        <f>F59*$T$5</f>
        <v/>
      </c>
      <c r="H59" s="104" t="n">
        <v>3</v>
      </c>
      <c r="I59" s="104">
        <f>$T$7*H59</f>
        <v/>
      </c>
      <c r="J59" s="104">
        <f>G59+$T$9+I59</f>
        <v/>
      </c>
      <c r="K59" s="104">
        <f>$T$11/64</f>
        <v/>
      </c>
      <c r="L59" s="7" t="n">
        <v>0</v>
      </c>
      <c r="M59" s="104" t="n">
        <v>0</v>
      </c>
      <c r="N59" s="104" t="n">
        <v>0</v>
      </c>
      <c r="O59" s="104" t="n">
        <v>0</v>
      </c>
      <c r="P59" s="109" t="n"/>
      <c r="Q59" s="109" t="n"/>
      <c r="R59" s="109">
        <f>(J59+K59+L59+M59+N59+O59)*$B$2</f>
        <v/>
      </c>
      <c r="S59" s="107" t="n"/>
      <c r="T59" s="110" t="n"/>
    </row>
    <row r="60" ht="12.75" customHeight="1" s="251">
      <c r="A60" s="104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04">
        <f>SUM($C$3:$C$5)/64</f>
        <v/>
      </c>
      <c r="E60" s="104">
        <f>C60+D60</f>
        <v/>
      </c>
      <c r="F60" s="104">
        <f>IF($C$70=0, 0, E60/$C$70)</f>
        <v/>
      </c>
      <c r="G60" s="104">
        <f>F60*$T$5</f>
        <v/>
      </c>
      <c r="H60" s="104" t="n">
        <v>3</v>
      </c>
      <c r="I60" s="104">
        <f>$T$7*H60</f>
        <v/>
      </c>
      <c r="J60" s="104">
        <f>G60+$T$9+I60</f>
        <v/>
      </c>
      <c r="K60" s="104">
        <f>$T$11/64</f>
        <v/>
      </c>
      <c r="L60" s="7" t="n">
        <v>0</v>
      </c>
      <c r="M60" s="104" t="n">
        <v>0</v>
      </c>
      <c r="N60" s="104" t="n">
        <v>0</v>
      </c>
      <c r="O60" s="104" t="n">
        <v>0</v>
      </c>
      <c r="P60" s="109" t="n"/>
      <c r="Q60" s="109" t="n"/>
      <c r="R60" s="109">
        <f>(J60+K60+L60+M60+N60+O60)*$B$2</f>
        <v/>
      </c>
      <c r="S60" s="107" t="n"/>
      <c r="T60" s="110" t="n"/>
    </row>
    <row r="61" ht="12.75" customHeight="1" s="251">
      <c r="A61" s="104" t="inlineStr">
        <is>
          <t>T8</t>
        </is>
      </c>
      <c r="B61" s="13" t="inlineStr">
        <is>
          <t>Lalit Kumar Sharma</t>
        </is>
      </c>
      <c r="C61" s="9" t="n">
        <v>0</v>
      </c>
      <c r="D61" s="104">
        <f>SUM($C$3:$C$5)/64</f>
        <v/>
      </c>
      <c r="E61" s="104">
        <f>C61+D61</f>
        <v/>
      </c>
      <c r="F61" s="104">
        <f>IF($C$70=0, 0, E61/$C$70)</f>
        <v/>
      </c>
      <c r="G61" s="104">
        <f>F61*$T$5</f>
        <v/>
      </c>
      <c r="H61" s="104" t="n">
        <v>3</v>
      </c>
      <c r="I61" s="104">
        <f>$T$7*H61</f>
        <v/>
      </c>
      <c r="J61" s="104">
        <f>G61+$T$9+I61</f>
        <v/>
      </c>
      <c r="K61" s="104">
        <f>$T$11/64</f>
        <v/>
      </c>
      <c r="L61" s="7" t="n">
        <v>0</v>
      </c>
      <c r="M61" s="104" t="n">
        <v>0</v>
      </c>
      <c r="N61" s="104" t="n">
        <v>0</v>
      </c>
      <c r="O61" s="104" t="n">
        <v>0</v>
      </c>
      <c r="P61" s="109" t="n"/>
      <c r="Q61" s="109" t="n"/>
      <c r="R61" s="109">
        <f>(J61+K61+L61+M61+N61+O61)*$B$2</f>
        <v/>
      </c>
      <c r="S61" s="107" t="n"/>
      <c r="T61" s="110" t="n"/>
    </row>
    <row r="62" ht="12.75" customHeight="1" s="251">
      <c r="A62" s="104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04">
        <f>SUM($C$3:$C$5)/64</f>
        <v/>
      </c>
      <c r="E62" s="104">
        <f>C62+D62</f>
        <v/>
      </c>
      <c r="F62" s="104">
        <f>IF($C$70=0, 0, E62/$C$70)</f>
        <v/>
      </c>
      <c r="G62" s="104">
        <f>F62*$T$5</f>
        <v/>
      </c>
      <c r="H62" s="104" t="n">
        <v>4</v>
      </c>
      <c r="I62" s="104">
        <f>$T$7*H62</f>
        <v/>
      </c>
      <c r="J62" s="104">
        <f>G62+$T$9+I62</f>
        <v/>
      </c>
      <c r="K62" s="104">
        <f>$T$11/64</f>
        <v/>
      </c>
      <c r="L62" s="7" t="n">
        <v>0</v>
      </c>
      <c r="M62" s="104" t="n">
        <v>0</v>
      </c>
      <c r="N62" s="104" t="n">
        <v>0</v>
      </c>
      <c r="O62" s="104" t="n">
        <v>0</v>
      </c>
      <c r="P62" s="109" t="n"/>
      <c r="Q62" s="109" t="n"/>
      <c r="R62" s="109">
        <f>(J62+K62+L62+M62+N62+O62)*$B$2</f>
        <v/>
      </c>
      <c r="S62" s="107" t="n"/>
      <c r="T62" s="110" t="n"/>
    </row>
    <row r="63" ht="12.75" customHeight="1" s="251">
      <c r="A63" s="104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04">
        <f>SUM($C$3:$C$5)/64</f>
        <v/>
      </c>
      <c r="E63" s="104">
        <f>C63+D63</f>
        <v/>
      </c>
      <c r="F63" s="104">
        <f>IF($C$70=0, 0, E63/$C$70)</f>
        <v/>
      </c>
      <c r="G63" s="104">
        <f>F63*$T$5</f>
        <v/>
      </c>
      <c r="H63" s="104" t="n">
        <v>3</v>
      </c>
      <c r="I63" s="104">
        <f>$T$7*H63</f>
        <v/>
      </c>
      <c r="J63" s="104">
        <f>G63+$T$9+I63</f>
        <v/>
      </c>
      <c r="K63" s="104">
        <f>$T$11/64</f>
        <v/>
      </c>
      <c r="L63" s="7" t="n">
        <v>0</v>
      </c>
      <c r="M63" s="104" t="n">
        <v>0</v>
      </c>
      <c r="N63" s="104" t="n">
        <v>0</v>
      </c>
      <c r="O63" s="104" t="n">
        <v>0</v>
      </c>
      <c r="P63" s="109" t="n"/>
      <c r="Q63" s="109" t="n"/>
      <c r="R63" s="109">
        <f>(J63+K63+L63+M63+N63+O63)*$B$2</f>
        <v/>
      </c>
      <c r="S63" s="107" t="n"/>
      <c r="T63" s="110" t="n"/>
    </row>
    <row r="64" ht="12.75" customHeight="1" s="251">
      <c r="A64" s="104" t="inlineStr">
        <is>
          <t>T11</t>
        </is>
      </c>
      <c r="B64" s="13" t="inlineStr">
        <is>
          <t>Arvind Balasubramanian</t>
        </is>
      </c>
      <c r="C64" s="9" t="n">
        <v>0</v>
      </c>
      <c r="D64" s="104">
        <f>SUM($C$3:$C$5)/64</f>
        <v/>
      </c>
      <c r="E64" s="104">
        <f>C64+D64</f>
        <v/>
      </c>
      <c r="F64" s="104">
        <f>IF($C$70=0, 0, E64/$C$70)</f>
        <v/>
      </c>
      <c r="G64" s="104">
        <f>F64*$T$5</f>
        <v/>
      </c>
      <c r="H64" s="104" t="n">
        <v>3</v>
      </c>
      <c r="I64" s="104">
        <f>$T$7*H64</f>
        <v/>
      </c>
      <c r="J64" s="104">
        <f>G64+$T$9+I64</f>
        <v/>
      </c>
      <c r="K64" s="104">
        <f>$T$11/64</f>
        <v/>
      </c>
      <c r="L64" s="7" t="n">
        <v>0</v>
      </c>
      <c r="M64" s="104" t="n">
        <v>0</v>
      </c>
      <c r="N64" s="104" t="n">
        <v>0</v>
      </c>
      <c r="O64" s="104" t="n">
        <v>0</v>
      </c>
      <c r="P64" s="109" t="n"/>
      <c r="Q64" s="109" t="n"/>
      <c r="R64" s="109">
        <f>(J64+K64+L64+M64+N64+O64)*$B$2</f>
        <v/>
      </c>
      <c r="S64" s="107" t="n"/>
      <c r="T64" s="110" t="n"/>
    </row>
    <row r="65" ht="12.75" customHeight="1" s="251">
      <c r="A65" s="104" t="inlineStr">
        <is>
          <t>T12</t>
        </is>
      </c>
      <c r="B65" s="13" t="inlineStr">
        <is>
          <t>Prasenjit</t>
        </is>
      </c>
      <c r="C65" s="9" t="n">
        <v>0</v>
      </c>
      <c r="D65" s="104">
        <f>SUM($C$3:$C$5)/64</f>
        <v/>
      </c>
      <c r="E65" s="104">
        <f>C65+D65</f>
        <v/>
      </c>
      <c r="F65" s="104">
        <f>IF($C$70=0, 0, E65/$C$70)</f>
        <v/>
      </c>
      <c r="G65" s="104">
        <f>F65*$T$5</f>
        <v/>
      </c>
      <c r="H65" s="104" t="n">
        <v>3</v>
      </c>
      <c r="I65" s="104">
        <f>$T$7*H65</f>
        <v/>
      </c>
      <c r="J65" s="104">
        <f>G65+$T$9+I65</f>
        <v/>
      </c>
      <c r="K65" s="104">
        <f>$T$11/64</f>
        <v/>
      </c>
      <c r="L65" s="7" t="n">
        <v>0</v>
      </c>
      <c r="M65" s="104" t="n">
        <v>0</v>
      </c>
      <c r="N65" s="104" t="n">
        <v>0</v>
      </c>
      <c r="O65" s="104" t="n">
        <v>0</v>
      </c>
      <c r="P65" s="109" t="n"/>
      <c r="Q65" s="109" t="n"/>
      <c r="R65" s="109">
        <f>(J65+K65+L65+M65+N65+O65)*$B$2</f>
        <v/>
      </c>
      <c r="S65" s="107" t="n"/>
      <c r="T65" s="110" t="n"/>
    </row>
    <row r="66" ht="12.75" customHeight="1" s="251">
      <c r="A66" s="104" t="inlineStr">
        <is>
          <t>T13</t>
        </is>
      </c>
      <c r="B66" s="13" t="inlineStr">
        <is>
          <t>Rahul Kumar</t>
        </is>
      </c>
      <c r="C66" s="9" t="n">
        <v>0</v>
      </c>
      <c r="D66" s="104">
        <f>SUM($C$3:$C$5)/64</f>
        <v/>
      </c>
      <c r="E66" s="104">
        <f>C66+D66</f>
        <v/>
      </c>
      <c r="F66" s="104">
        <f>IF($C$70=0, 0, E66/$C$70)</f>
        <v/>
      </c>
      <c r="G66" s="104">
        <f>F66*$T$5</f>
        <v/>
      </c>
      <c r="H66" s="104" t="n">
        <v>4</v>
      </c>
      <c r="I66" s="104">
        <f>$T$7*H66</f>
        <v/>
      </c>
      <c r="J66" s="104">
        <f>G66+$T$9+I66</f>
        <v/>
      </c>
      <c r="K66" s="104">
        <f>$T$11/64</f>
        <v/>
      </c>
      <c r="L66" s="7" t="n">
        <v>0</v>
      </c>
      <c r="M66" s="104" t="n">
        <v>0</v>
      </c>
      <c r="N66" s="104" t="n">
        <v>0</v>
      </c>
      <c r="O66" s="104" t="n">
        <v>0</v>
      </c>
      <c r="P66" s="109" t="n"/>
      <c r="Q66" s="109" t="n"/>
      <c r="R66" s="109">
        <f>(J66+K66+L66+M66+N66+O66)*$B$2</f>
        <v/>
      </c>
      <c r="S66" s="107" t="n"/>
      <c r="T66" s="110" t="n"/>
    </row>
    <row r="67" ht="12.75" customHeight="1" s="251">
      <c r="A67" s="104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04">
        <f>SUM($C$3:$C$5)/64</f>
        <v/>
      </c>
      <c r="E67" s="104">
        <f>C67+D67</f>
        <v/>
      </c>
      <c r="F67" s="104">
        <f>IF($C$70=0, 0, E67/$C$70)</f>
        <v/>
      </c>
      <c r="G67" s="104">
        <f>F67*$T$5</f>
        <v/>
      </c>
      <c r="H67" s="104" t="n">
        <v>4</v>
      </c>
      <c r="I67" s="104">
        <f>$T$7*H67</f>
        <v/>
      </c>
      <c r="J67" s="104">
        <f>G67+$T$9+I67</f>
        <v/>
      </c>
      <c r="K67" s="104">
        <f>$T$11/64</f>
        <v/>
      </c>
      <c r="L67" s="7" t="n">
        <v>0</v>
      </c>
      <c r="M67" s="104" t="n">
        <v>0</v>
      </c>
      <c r="N67" s="104" t="n">
        <v>0</v>
      </c>
      <c r="O67" s="104" t="n">
        <v>0</v>
      </c>
      <c r="P67" s="109" t="n"/>
      <c r="Q67" s="109" t="n"/>
      <c r="R67" s="109">
        <f>(J67+K67+L67+M67+N67+O67)*$B$2</f>
        <v/>
      </c>
      <c r="S67" s="107" t="n"/>
      <c r="T67" s="110" t="n"/>
    </row>
    <row r="68" ht="12.75" customHeight="1" s="251">
      <c r="A68" s="104" t="inlineStr">
        <is>
          <t>T15</t>
        </is>
      </c>
      <c r="B68" s="13" t="inlineStr">
        <is>
          <t>Trevor</t>
        </is>
      </c>
      <c r="C68" s="9" t="n">
        <v>0</v>
      </c>
      <c r="D68" s="104">
        <f>SUM($C$3:$C$5)/64</f>
        <v/>
      </c>
      <c r="E68" s="104">
        <f>C68+D68</f>
        <v/>
      </c>
      <c r="F68" s="104">
        <f>IF($C$70=0, 0, E68/$C$70)</f>
        <v/>
      </c>
      <c r="G68" s="104">
        <f>F68*$T$5</f>
        <v/>
      </c>
      <c r="H68" s="104" t="n">
        <v>4</v>
      </c>
      <c r="I68" s="104">
        <f>$T$7*H68</f>
        <v/>
      </c>
      <c r="J68" s="104">
        <f>G68+$T$9+I68</f>
        <v/>
      </c>
      <c r="K68" s="104">
        <f>$T$11/64</f>
        <v/>
      </c>
      <c r="L68" s="7" t="n">
        <v>0</v>
      </c>
      <c r="M68" s="104" t="n">
        <v>0</v>
      </c>
      <c r="N68" s="104" t="n">
        <v>0</v>
      </c>
      <c r="O68" s="104" t="n">
        <v>0</v>
      </c>
      <c r="P68" s="109" t="n"/>
      <c r="Q68" s="109" t="n"/>
      <c r="R68" s="109">
        <f>(J68+K68+L68+M68+N68+O68)*$B$2</f>
        <v/>
      </c>
      <c r="S68" s="107" t="n"/>
      <c r="T68" s="110" t="n"/>
    </row>
    <row r="69" ht="12.75" customHeight="1" s="251">
      <c r="A69" s="104" t="inlineStr">
        <is>
          <t>T16</t>
        </is>
      </c>
      <c r="B69" s="13" t="inlineStr">
        <is>
          <t>Madhusoodanan P.R.</t>
        </is>
      </c>
      <c r="C69" s="9" t="n">
        <v>0</v>
      </c>
      <c r="D69" s="104">
        <f>SUM($C$3:$C$5)/64</f>
        <v/>
      </c>
      <c r="E69" s="104">
        <f>C69+D69</f>
        <v/>
      </c>
      <c r="F69" s="104">
        <f>IF($C$70=0, 0, E69/$C$70)</f>
        <v/>
      </c>
      <c r="G69" s="104">
        <f>F69*$T$5</f>
        <v/>
      </c>
      <c r="H69" s="104" t="n">
        <v>3</v>
      </c>
      <c r="I69" s="104">
        <f>$T$7*H69</f>
        <v/>
      </c>
      <c r="J69" s="104">
        <f>G69+$T$9+I69</f>
        <v/>
      </c>
      <c r="K69" s="104">
        <f>$T$11/64</f>
        <v/>
      </c>
      <c r="L69" s="7" t="n">
        <v>0</v>
      </c>
      <c r="M69" s="104" t="n">
        <v>0</v>
      </c>
      <c r="N69" s="104" t="n">
        <v>0</v>
      </c>
      <c r="O69" s="104" t="n">
        <v>0</v>
      </c>
      <c r="P69" s="109" t="n"/>
      <c r="Q69" s="109" t="n"/>
      <c r="R69" s="109">
        <f>(J69+K69+L69+M69+N69+O69)*$B$2</f>
        <v/>
      </c>
      <c r="S69" s="107" t="n"/>
      <c r="T69" s="110" t="n"/>
    </row>
    <row r="70" ht="12.75" customHeight="1" s="251">
      <c r="A70" s="104" t="n"/>
      <c r="B70" s="118" t="inlineStr">
        <is>
          <t>TOTAL</t>
        </is>
      </c>
      <c r="C70" s="104">
        <f>SUM(C3:C69)</f>
        <v/>
      </c>
      <c r="D70" s="104">
        <f>SUM(D3:D69)</f>
        <v/>
      </c>
      <c r="E70" s="104">
        <f>SUM(E3:E69)</f>
        <v/>
      </c>
      <c r="F70" s="104">
        <f>IF($C$70=0, 0, E70/$C$70)</f>
        <v/>
      </c>
      <c r="G70" s="104">
        <f>SUM(G3:G69)</f>
        <v/>
      </c>
      <c r="H70" s="104">
        <f>SUM(H3:H69)</f>
        <v/>
      </c>
      <c r="I70" s="104">
        <f>SUM(I3:I69)</f>
        <v/>
      </c>
      <c r="J70" s="104">
        <f>SUM(J3:J69)</f>
        <v/>
      </c>
      <c r="K70" s="104">
        <f>SUM(K3:K69)</f>
        <v/>
      </c>
      <c r="L70" s="104">
        <f>SUM(L3:L69)</f>
        <v/>
      </c>
      <c r="M70" s="104">
        <f>SUM(M3:M69)</f>
        <v/>
      </c>
      <c r="N70" s="104">
        <f>SUM(N3:N69)</f>
        <v/>
      </c>
      <c r="O70" s="104">
        <f>SUM(O3:O69)</f>
        <v/>
      </c>
      <c r="P70" s="104" t="n"/>
      <c r="Q70" s="104" t="n"/>
      <c r="R70" s="104">
        <f>SUM(R3:R69)</f>
        <v/>
      </c>
      <c r="S70" s="107" t="n"/>
      <c r="T70" s="110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D3" s="87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86" t="n"/>
      <c r="E4" s="46" t="n"/>
      <c r="F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86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0" t="n"/>
      <c r="D7" s="87" t="n"/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0" t="n"/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120" t="n"/>
      <c r="D9" s="86" t="n"/>
      <c r="F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 / Harshvardhan</t>
        </is>
      </c>
      <c r="C10" s="120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F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 / Soumya K</t>
        </is>
      </c>
      <c r="C16" s="42" t="n"/>
      <c r="D16" s="86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C17" s="40" t="n"/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E21" s="40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C23" s="40" t="n"/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120" t="n"/>
      <c r="D24" s="86" t="n"/>
      <c r="F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0" t="n"/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Chandramouli</t>
        </is>
      </c>
      <c r="C26" s="73" t="n"/>
      <c r="D26" s="86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>Richa Singh</t>
        </is>
      </c>
      <c r="C27" s="46" t="n"/>
      <c r="D27" s="87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120" t="n"/>
      <c r="D28" s="86" t="n"/>
      <c r="F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87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121" t="n"/>
      <c r="D31" s="86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Manikandan Natarajan / Mahesh K</t>
        </is>
      </c>
      <c r="C36" s="40" t="n"/>
      <c r="D36" s="87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86" t="n"/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F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 / Keerthivasan</t>
        </is>
      </c>
      <c r="C44" s="121" t="n"/>
      <c r="D44" s="86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47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F51" s="86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F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E55" s="40" t="n"/>
      <c r="F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122" t="n"/>
      <c r="D57" s="87" t="n"/>
      <c r="F57" s="86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7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120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Chaitanya / Vaishnavi Suthapalli</t>
        </is>
      </c>
      <c r="C60" s="73" t="n"/>
      <c r="D60" s="86" t="n"/>
      <c r="E60" s="40" t="n"/>
      <c r="F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D62" s="47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120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86" t="n"/>
      <c r="F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51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0.5" customWidth="1" style="251" min="2" max="2"/>
    <col width="22" customWidth="1" style="251" min="3" max="18"/>
    <col width="35.83203125" customWidth="1" style="251" min="19" max="19"/>
    <col width="10.33203125" customWidth="1" style="251" min="20" max="20"/>
  </cols>
  <sheetData>
    <row r="1" ht="16.5" customHeight="1" s="251">
      <c r="A1" s="104" t="n"/>
      <c r="B1" s="274" t="inlineStr">
        <is>
          <t>JANUARY 2027 EXPENSES</t>
        </is>
      </c>
      <c r="C1" s="275" t="n"/>
      <c r="D1" s="275" t="n"/>
      <c r="E1" s="275" t="n"/>
      <c r="F1" s="275" t="n"/>
      <c r="G1" s="275" t="n"/>
      <c r="H1" s="275" t="n"/>
      <c r="I1" s="275" t="n"/>
      <c r="J1" s="275" t="n"/>
      <c r="K1" s="275" t="n"/>
      <c r="L1" s="275" t="n"/>
      <c r="M1" s="275" t="n"/>
      <c r="N1" s="275" t="n"/>
      <c r="O1" s="275" t="n"/>
      <c r="P1" s="275" t="n"/>
      <c r="Q1" s="275" t="n"/>
      <c r="R1" s="275" t="n"/>
      <c r="S1" s="275" t="n"/>
      <c r="T1" s="276" t="n"/>
    </row>
    <row r="2" ht="58.5" customHeight="1" s="251">
      <c r="A2" s="104" t="inlineStr">
        <is>
          <t>FLAT #</t>
        </is>
      </c>
      <c r="B2" s="118" t="n">
        <v>1</v>
      </c>
      <c r="C2" s="105" t="inlineStr">
        <is>
          <t>WATER USED IN LTRS</t>
        </is>
      </c>
      <c r="D2" s="105" t="inlineStr">
        <is>
          <t>COMMON AREA EQUALLY DEVIDED</t>
        </is>
      </c>
      <c r="E2" s="105" t="inlineStr">
        <is>
          <t>TOTAL FRESH WATER CONSUMED</t>
        </is>
      </c>
      <c r="F2" s="105" t="inlineStr">
        <is>
          <t>%OF TOTAL USED</t>
        </is>
      </c>
      <c r="G2" s="105" t="inlineStr">
        <is>
          <t>WATER EXPENSE SHARING BY %</t>
        </is>
      </c>
      <c r="H2" s="105" t="inlineStr">
        <is>
          <t>#METERS</t>
        </is>
      </c>
      <c r="I2" s="105" t="inlineStr">
        <is>
          <t>METER RENT</t>
        </is>
      </c>
      <c r="J2" s="105" t="inlineStr">
        <is>
          <t>COMMON AREA METER RENT + WATER EXPENSE+ FLAT METER RENT</t>
        </is>
      </c>
      <c r="K2" s="105" t="inlineStr">
        <is>
          <t>FIXED EXPENSE SHARE</t>
        </is>
      </c>
      <c r="L2" s="105" t="inlineStr">
        <is>
          <t>PARKING FEE</t>
        </is>
      </c>
      <c r="M2" s="105" t="inlineStr">
        <is>
          <t>CLUB BOOKING FEE</t>
        </is>
      </c>
      <c r="N2" s="105" t="inlineStr">
        <is>
          <t>SHIFTING FEE</t>
        </is>
      </c>
      <c r="O2" s="105" t="inlineStr">
        <is>
          <t>GYM USAGE FEE</t>
        </is>
      </c>
      <c r="P2" s="106" t="n"/>
      <c r="Q2" s="106" t="n"/>
      <c r="R2" s="106" t="inlineStr">
        <is>
          <t>TOTAL EXPENSE TO BE PAID</t>
        </is>
      </c>
      <c r="S2" s="107" t="n"/>
      <c r="T2" s="107" t="n"/>
    </row>
    <row r="3" ht="12.75" customHeight="1" s="251">
      <c r="A3" s="104" t="inlineStr">
        <is>
          <t>CH</t>
        </is>
      </c>
      <c r="B3" s="108" t="inlineStr">
        <is>
          <t>MPFOWA</t>
        </is>
      </c>
      <c r="C3" s="104" t="n">
        <v>0</v>
      </c>
      <c r="D3" s="104" t="n">
        <v>0</v>
      </c>
      <c r="E3" s="104" t="n"/>
      <c r="F3" s="104" t="n"/>
      <c r="G3" s="104" t="n"/>
      <c r="H3" s="104" t="n">
        <v>1</v>
      </c>
      <c r="I3" s="104">
        <f>T7</f>
        <v/>
      </c>
      <c r="J3" s="104" t="n"/>
      <c r="K3" s="104" t="n"/>
      <c r="L3" s="109" t="n"/>
      <c r="M3" s="104" t="n"/>
      <c r="N3" s="104" t="n"/>
      <c r="O3" s="104" t="n"/>
      <c r="P3" s="109" t="n"/>
      <c r="Q3" s="109" t="n"/>
      <c r="R3" s="109" t="n"/>
      <c r="S3" s="107" t="n"/>
      <c r="T3" s="110" t="n"/>
    </row>
    <row r="4" ht="12.75" customHeight="1" s="251">
      <c r="A4" s="104" t="inlineStr">
        <is>
          <t>GYM</t>
        </is>
      </c>
      <c r="B4" s="108" t="inlineStr">
        <is>
          <t>MPFOWA</t>
        </is>
      </c>
      <c r="C4" s="104" t="n">
        <v>0</v>
      </c>
      <c r="D4" s="104" t="n">
        <v>0</v>
      </c>
      <c r="E4" s="104" t="n"/>
      <c r="F4" s="104" t="n"/>
      <c r="G4" s="104" t="n"/>
      <c r="H4" s="104" t="n">
        <v>1</v>
      </c>
      <c r="I4" s="104">
        <f>T7</f>
        <v/>
      </c>
      <c r="J4" s="104" t="n"/>
      <c r="K4" s="104" t="n"/>
      <c r="L4" s="109" t="n"/>
      <c r="M4" s="104" t="n"/>
      <c r="N4" s="104" t="n"/>
      <c r="O4" s="104" t="n"/>
      <c r="P4" s="109" t="n"/>
      <c r="Q4" s="109" t="n"/>
      <c r="R4" s="109" t="n"/>
      <c r="S4" s="111" t="inlineStr">
        <is>
          <t>TOTAL FIXED EXPENSE</t>
        </is>
      </c>
      <c r="T4" s="112">
        <f>'ANNUAL-EXPENSE-DETAILS'!BF12</f>
        <v/>
      </c>
    </row>
    <row r="5" ht="12.75" customHeight="1" s="251">
      <c r="A5" s="104" t="inlineStr">
        <is>
          <t>BSMT</t>
        </is>
      </c>
      <c r="B5" s="108" t="inlineStr">
        <is>
          <t>MPFOWA</t>
        </is>
      </c>
      <c r="C5" s="104" t="n">
        <v>0</v>
      </c>
      <c r="D5" s="104" t="n">
        <v>0</v>
      </c>
      <c r="E5" s="104" t="n"/>
      <c r="F5" s="104" t="n"/>
      <c r="G5" s="104" t="n"/>
      <c r="H5" s="104" t="n">
        <v>1</v>
      </c>
      <c r="I5" s="104">
        <f>T7</f>
        <v/>
      </c>
      <c r="J5" s="104" t="n"/>
      <c r="K5" s="104" t="n"/>
      <c r="L5" s="109" t="n"/>
      <c r="M5" s="104" t="n"/>
      <c r="N5" s="104" t="n"/>
      <c r="O5" s="104" t="n"/>
      <c r="P5" s="109" t="n"/>
      <c r="Q5" s="109" t="n"/>
      <c r="R5" s="109" t="n"/>
      <c r="S5" s="111" t="inlineStr">
        <is>
          <t>TOTAL WATER EXPENSE</t>
        </is>
      </c>
      <c r="T5" s="112">
        <f>'ANNUAL-EXPENSE-DETAILS'!BE12</f>
        <v/>
      </c>
    </row>
    <row r="6" ht="12.75" customHeight="1" s="251">
      <c r="A6" s="104" t="inlineStr">
        <is>
          <t>F1</t>
        </is>
      </c>
      <c r="B6" s="13" t="inlineStr">
        <is>
          <t>Shailesh Srivastava / Azeem Nawaz</t>
        </is>
      </c>
      <c r="C6" s="9" t="n">
        <v>0</v>
      </c>
      <c r="D6" s="104">
        <f>SUM($C$3:$C$5)/64</f>
        <v/>
      </c>
      <c r="E6" s="104">
        <f>C6+D6</f>
        <v/>
      </c>
      <c r="F6" s="104">
        <f>IF($C$70=0, 0, E6/$C$70)</f>
        <v/>
      </c>
      <c r="G6" s="104">
        <f>F6*$T$5</f>
        <v/>
      </c>
      <c r="H6" s="104" t="n">
        <v>3</v>
      </c>
      <c r="I6" s="104">
        <f>$T$7*H6</f>
        <v/>
      </c>
      <c r="J6" s="104">
        <f>G6+$T$9+I6</f>
        <v/>
      </c>
      <c r="K6" s="104">
        <f>$T$11/64</f>
        <v/>
      </c>
      <c r="L6" s="14" t="n">
        <v>0</v>
      </c>
      <c r="M6" s="104" t="n">
        <v>0</v>
      </c>
      <c r="N6" s="104" t="n">
        <v>0</v>
      </c>
      <c r="O6" s="104" t="n">
        <v>0</v>
      </c>
      <c r="P6" s="109" t="n"/>
      <c r="Q6" s="109" t="n"/>
      <c r="R6" s="109">
        <f>(J6+K6+L6+M6+N6+O6)*$B$2</f>
        <v/>
      </c>
      <c r="S6" s="107" t="n"/>
      <c r="T6" s="110" t="n"/>
    </row>
    <row r="7" ht="12.75" customHeight="1" s="251">
      <c r="A7" s="104" t="inlineStr">
        <is>
          <t>F2</t>
        </is>
      </c>
      <c r="B7" s="13" t="inlineStr">
        <is>
          <t>Shanthanu</t>
        </is>
      </c>
      <c r="C7" s="9" t="n">
        <v>0</v>
      </c>
      <c r="D7" s="104">
        <f>SUM($C$3:$C$5)/64</f>
        <v/>
      </c>
      <c r="E7" s="104">
        <f>C7+D7</f>
        <v/>
      </c>
      <c r="F7" s="104">
        <f>IF($C$70=0, 0, E7/$C$70)</f>
        <v/>
      </c>
      <c r="G7" s="104">
        <f>F7*$T$5</f>
        <v/>
      </c>
      <c r="H7" s="104" t="n">
        <v>4</v>
      </c>
      <c r="I7" s="104">
        <f>$T$7*H7</f>
        <v/>
      </c>
      <c r="J7" s="104">
        <f>G7+$T$9+I7</f>
        <v/>
      </c>
      <c r="K7" s="104">
        <f>$T$11/64</f>
        <v/>
      </c>
      <c r="L7" s="7" t="n">
        <v>0</v>
      </c>
      <c r="M7" s="104" t="n">
        <v>0</v>
      </c>
      <c r="N7" s="104" t="n">
        <v>0</v>
      </c>
      <c r="O7" s="104" t="n">
        <v>0</v>
      </c>
      <c r="P7" s="109" t="n"/>
      <c r="Q7" s="109" t="n"/>
      <c r="R7" s="109">
        <f>(J7+K7+L7+M7+N7+O7)*$B$2</f>
        <v/>
      </c>
      <c r="S7" s="107" t="inlineStr">
        <is>
          <t>RENT PER METER</t>
        </is>
      </c>
      <c r="T7" s="17" t="n">
        <v>117.811659</v>
      </c>
    </row>
    <row r="8" ht="12.75" customHeight="1" s="251">
      <c r="A8" s="104" t="inlineStr">
        <is>
          <t>F3</t>
        </is>
      </c>
      <c r="B8" s="13" t="inlineStr">
        <is>
          <t>Samrat Kar</t>
        </is>
      </c>
      <c r="C8" s="9" t="n">
        <v>0</v>
      </c>
      <c r="D8" s="104">
        <f>SUM($C$3:$C$5)/64</f>
        <v/>
      </c>
      <c r="E8" s="104">
        <f>C8+D8</f>
        <v/>
      </c>
      <c r="F8" s="104">
        <f>IF($C$70=0, 0, E8/$C$70)</f>
        <v/>
      </c>
      <c r="G8" s="104">
        <f>F8*$T$5</f>
        <v/>
      </c>
      <c r="H8" s="104" t="n">
        <v>4</v>
      </c>
      <c r="I8" s="104">
        <f>$T$7*H8</f>
        <v/>
      </c>
      <c r="J8" s="104">
        <f>G8+$T$9+I8</f>
        <v/>
      </c>
      <c r="K8" s="104">
        <f>$T$11/64</f>
        <v/>
      </c>
      <c r="L8" s="7" t="n">
        <v>0</v>
      </c>
      <c r="M8" s="104" t="n">
        <v>0</v>
      </c>
      <c r="N8" s="104" t="n">
        <v>0</v>
      </c>
      <c r="O8" s="104" t="n">
        <v>0</v>
      </c>
      <c r="P8" s="109" t="n"/>
      <c r="Q8" s="109" t="n"/>
      <c r="R8" s="109">
        <f>(J8+K8+L8+M8+N8+O8)*$B$2</f>
        <v/>
      </c>
      <c r="S8" s="107" t="inlineStr">
        <is>
          <t>COMMON AREA METER RENT</t>
        </is>
      </c>
      <c r="T8" s="110">
        <f>$T$7*3</f>
        <v/>
      </c>
    </row>
    <row r="9" ht="12.75" customHeight="1" s="251">
      <c r="A9" s="104" t="inlineStr">
        <is>
          <t>F4</t>
        </is>
      </c>
      <c r="B9" s="13" t="inlineStr">
        <is>
          <t>Renu R</t>
        </is>
      </c>
      <c r="C9" s="9" t="n">
        <v>0</v>
      </c>
      <c r="D9" s="104">
        <f>SUM($C$3:$C$5)/64</f>
        <v/>
      </c>
      <c r="E9" s="104">
        <f>C9+D9</f>
        <v/>
      </c>
      <c r="F9" s="104">
        <f>IF($C$70=0, 0, E9/$C$70)</f>
        <v/>
      </c>
      <c r="G9" s="104">
        <f>F9*$T$5</f>
        <v/>
      </c>
      <c r="H9" s="104" t="n">
        <v>4</v>
      </c>
      <c r="I9" s="104">
        <f>$T$7*H9</f>
        <v/>
      </c>
      <c r="J9" s="104">
        <f>G9+$T$9+I9</f>
        <v/>
      </c>
      <c r="K9" s="104">
        <f>$T$11/64</f>
        <v/>
      </c>
      <c r="L9" s="7" t="n">
        <v>0</v>
      </c>
      <c r="M9" s="104" t="n">
        <v>0</v>
      </c>
      <c r="N9" s="104" t="n">
        <v>0</v>
      </c>
      <c r="O9" s="104" t="n">
        <v>0</v>
      </c>
      <c r="P9" s="109" t="n"/>
      <c r="Q9" s="109" t="n"/>
      <c r="R9" s="109">
        <f>(J9+K9+L9+M9+N9+O9)*$B$2</f>
        <v/>
      </c>
      <c r="S9" s="113" t="inlineStr">
        <is>
          <t>COMMON AREA METER RENT/FLAT</t>
        </is>
      </c>
      <c r="T9" s="114">
        <f>T8/64</f>
        <v/>
      </c>
    </row>
    <row r="10" ht="12.75" customHeight="1" s="251">
      <c r="A10" s="104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04">
        <f>SUM($C$3:$C$5)/64</f>
        <v/>
      </c>
      <c r="E10" s="104">
        <f>C10+D10</f>
        <v/>
      </c>
      <c r="F10" s="104">
        <f>IF($C$70=0, 0, E10/$C$70)</f>
        <v/>
      </c>
      <c r="G10" s="104">
        <f>F10*$T$5</f>
        <v/>
      </c>
      <c r="H10" s="104" t="n">
        <v>3</v>
      </c>
      <c r="I10" s="104">
        <f>$T$7*H10</f>
        <v/>
      </c>
      <c r="J10" s="104">
        <f>G10+$T$9+I10</f>
        <v/>
      </c>
      <c r="K10" s="104">
        <f>$T$11/64</f>
        <v/>
      </c>
      <c r="L10" s="7" t="n">
        <v>0</v>
      </c>
      <c r="M10" s="104" t="n">
        <v>0</v>
      </c>
      <c r="N10" s="104" t="n">
        <v>0</v>
      </c>
      <c r="O10" s="104" t="n">
        <v>0</v>
      </c>
      <c r="P10" s="109" t="n"/>
      <c r="Q10" s="109" t="n"/>
      <c r="R10" s="109">
        <f>(J10+K10+L10+M10+N10+O10)*$B$2</f>
        <v/>
      </c>
      <c r="S10" s="107" t="n"/>
      <c r="T10" s="110" t="n"/>
    </row>
    <row r="11" ht="12.75" customHeight="1" s="251">
      <c r="A11" s="104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04">
        <f>SUM($C$3:$C$5)/64</f>
        <v/>
      </c>
      <c r="E11" s="104">
        <f>C11+D11</f>
        <v/>
      </c>
      <c r="F11" s="104">
        <f>IF($C$70=0, 0, E11/$C$70)</f>
        <v/>
      </c>
      <c r="G11" s="104">
        <f>F11*$T$5</f>
        <v/>
      </c>
      <c r="H11" s="104" t="n">
        <v>3</v>
      </c>
      <c r="I11" s="104">
        <f>$T$7*H11</f>
        <v/>
      </c>
      <c r="J11" s="104">
        <f>G11+$T$9+I11</f>
        <v/>
      </c>
      <c r="K11" s="104">
        <f>$T$11/64</f>
        <v/>
      </c>
      <c r="L11" s="7" t="n">
        <v>0</v>
      </c>
      <c r="M11" s="104" t="n">
        <v>0</v>
      </c>
      <c r="N11" s="104" t="n">
        <v>0</v>
      </c>
      <c r="O11" s="104" t="n">
        <v>0</v>
      </c>
      <c r="P11" s="109" t="n"/>
      <c r="Q11" s="109" t="n"/>
      <c r="R11" s="109">
        <f>(J11+K11+L11+M11+N11+O11)*$B$2</f>
        <v/>
      </c>
      <c r="S11" s="113" t="inlineStr">
        <is>
          <t>TOTAL FIXED EXPENSE</t>
        </is>
      </c>
      <c r="T11" s="114">
        <f>'ANNUAL-EXPENSE-DETAILS'!BF12</f>
        <v/>
      </c>
    </row>
    <row r="12" ht="12.75" customHeight="1" s="251">
      <c r="A12" s="104" t="inlineStr">
        <is>
          <t>F7</t>
        </is>
      </c>
      <c r="B12" s="13" t="inlineStr">
        <is>
          <t>Vimal NK</t>
        </is>
      </c>
      <c r="C12" s="9" t="n">
        <v>0</v>
      </c>
      <c r="D12" s="104">
        <f>SUM($C$3:$C$5)/64</f>
        <v/>
      </c>
      <c r="E12" s="104">
        <f>C12+D12</f>
        <v/>
      </c>
      <c r="F12" s="104">
        <f>IF($C$70=0, 0, E12/$C$70)</f>
        <v/>
      </c>
      <c r="G12" s="104">
        <f>F12*$T$5</f>
        <v/>
      </c>
      <c r="H12" s="104" t="n">
        <v>3</v>
      </c>
      <c r="I12" s="104">
        <f>$T$7*H12</f>
        <v/>
      </c>
      <c r="J12" s="104">
        <f>G12+$T$9+I12</f>
        <v/>
      </c>
      <c r="K12" s="104">
        <f>$T$11/64</f>
        <v/>
      </c>
      <c r="L12" s="7" t="n">
        <v>0</v>
      </c>
      <c r="M12" s="104" t="n">
        <v>0</v>
      </c>
      <c r="N12" s="104" t="n">
        <v>0</v>
      </c>
      <c r="O12" s="104" t="n">
        <v>0</v>
      </c>
      <c r="P12" s="109" t="n"/>
      <c r="Q12" s="109" t="n"/>
      <c r="R12" s="109">
        <f>(J12+K12+L12+M12+N12+O12)*$B$2</f>
        <v/>
      </c>
      <c r="S12" s="107" t="n"/>
      <c r="T12" s="110" t="n"/>
    </row>
    <row r="13" ht="12.75" customHeight="1" s="251">
      <c r="A13" s="104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04">
        <f>SUM($C$3:$C$5)/64</f>
        <v/>
      </c>
      <c r="E13" s="104">
        <f>C13+D13</f>
        <v/>
      </c>
      <c r="F13" s="104">
        <f>IF($C$70=0, 0, E13/$C$70)</f>
        <v/>
      </c>
      <c r="G13" s="104">
        <f>F13*$T$5</f>
        <v/>
      </c>
      <c r="H13" s="104" t="n">
        <v>3</v>
      </c>
      <c r="I13" s="104">
        <f>$T$7*H13</f>
        <v/>
      </c>
      <c r="J13" s="104">
        <f>G13+$T$9+I13</f>
        <v/>
      </c>
      <c r="K13" s="104">
        <f>$T$11/64</f>
        <v/>
      </c>
      <c r="L13" s="7" t="n">
        <v>0</v>
      </c>
      <c r="M13" s="104" t="n">
        <v>0</v>
      </c>
      <c r="N13" s="104" t="n">
        <v>0</v>
      </c>
      <c r="O13" s="104" t="n">
        <v>0</v>
      </c>
      <c r="P13" s="109" t="n"/>
      <c r="Q13" s="109" t="n"/>
      <c r="R13" s="109">
        <f>(J13+K13+L13+M13+N13+O13)*$B$2</f>
        <v/>
      </c>
      <c r="S13" s="115" t="inlineStr">
        <is>
          <t>TOTAL WATER METER RENT</t>
        </is>
      </c>
      <c r="T13" s="116">
        <f>I70</f>
        <v/>
      </c>
    </row>
    <row r="14" ht="12.75" customHeight="1" s="251">
      <c r="A14" s="104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04">
        <f>SUM($C$3:$C$5)/64</f>
        <v/>
      </c>
      <c r="E14" s="104">
        <f>C14+D14</f>
        <v/>
      </c>
      <c r="F14" s="104">
        <f>IF($C$70=0, 0, E14/$C$70)</f>
        <v/>
      </c>
      <c r="G14" s="104">
        <f>F14*$T$5</f>
        <v/>
      </c>
      <c r="H14" s="104" t="n">
        <v>4</v>
      </c>
      <c r="I14" s="104">
        <f>$T$7*H14</f>
        <v/>
      </c>
      <c r="J14" s="104">
        <f>G14+$T$9+I14</f>
        <v/>
      </c>
      <c r="K14" s="104">
        <f>$T$11/64</f>
        <v/>
      </c>
      <c r="L14" s="7" t="n">
        <v>0</v>
      </c>
      <c r="M14" s="104" t="n">
        <v>0</v>
      </c>
      <c r="N14" s="104" t="n">
        <v>0</v>
      </c>
      <c r="O14" s="104" t="n">
        <v>0</v>
      </c>
      <c r="P14" s="109" t="n"/>
      <c r="Q14" s="109" t="n"/>
      <c r="R14" s="109">
        <f>(J14+K14+L14+M14+N14+O14)*$B$2</f>
        <v/>
      </c>
      <c r="S14" s="107" t="n"/>
      <c r="T14" s="110" t="n"/>
    </row>
    <row r="15" ht="12.75" customHeight="1" s="251">
      <c r="A15" s="104" t="inlineStr">
        <is>
          <t>F10</t>
        </is>
      </c>
      <c r="B15" s="13" t="inlineStr">
        <is>
          <t>Aby Thomas</t>
        </is>
      </c>
      <c r="C15" s="9" t="n">
        <v>0</v>
      </c>
      <c r="D15" s="104">
        <f>SUM($C$3:$C$5)/64</f>
        <v/>
      </c>
      <c r="E15" s="104">
        <f>C15+D15</f>
        <v/>
      </c>
      <c r="F15" s="104">
        <f>IF($C$70=0, 0, E15/$C$70)</f>
        <v/>
      </c>
      <c r="G15" s="104">
        <f>F15*$T$5</f>
        <v/>
      </c>
      <c r="H15" s="104" t="n">
        <v>3</v>
      </c>
      <c r="I15" s="104">
        <f>$T$7*H15</f>
        <v/>
      </c>
      <c r="J15" s="104">
        <f>G15+$T$9+I15</f>
        <v/>
      </c>
      <c r="K15" s="104">
        <f>$T$11/64</f>
        <v/>
      </c>
      <c r="L15" s="7" t="n">
        <v>0</v>
      </c>
      <c r="M15" s="104" t="n">
        <v>0</v>
      </c>
      <c r="N15" s="104" t="n">
        <v>0</v>
      </c>
      <c r="O15" s="104" t="n">
        <v>0</v>
      </c>
      <c r="P15" s="109" t="n"/>
      <c r="Q15" s="109" t="n"/>
      <c r="R15" s="109">
        <f>(J15+K15+L15+M15+N15+O15)*$B$2</f>
        <v/>
      </c>
      <c r="S15" s="61" t="inlineStr">
        <is>
          <t>BALANCE IN ACCOUNT ON 31-Jan-2023</t>
        </is>
      </c>
      <c r="T15" s="63" t="n"/>
    </row>
    <row r="16" ht="12.75" customHeight="1" s="251">
      <c r="A16" s="104" t="inlineStr">
        <is>
          <t>F11</t>
        </is>
      </c>
      <c r="B16" s="13" t="inlineStr">
        <is>
          <t>Niwin Anto</t>
        </is>
      </c>
      <c r="C16" s="9" t="n">
        <v>0</v>
      </c>
      <c r="D16" s="104">
        <f>SUM($C$3:$C$5)/64</f>
        <v/>
      </c>
      <c r="E16" s="104">
        <f>C16+D16</f>
        <v/>
      </c>
      <c r="F16" s="104">
        <f>IF($C$70=0, 0, E16/$C$70)</f>
        <v/>
      </c>
      <c r="G16" s="104">
        <f>F16*$T$5</f>
        <v/>
      </c>
      <c r="H16" s="104" t="n">
        <v>3</v>
      </c>
      <c r="I16" s="104">
        <f>$T$7*H16</f>
        <v/>
      </c>
      <c r="J16" s="104">
        <f>G16+$T$9+I16</f>
        <v/>
      </c>
      <c r="K16" s="104">
        <f>$T$11/64</f>
        <v/>
      </c>
      <c r="L16" s="7" t="n">
        <v>0</v>
      </c>
      <c r="M16" s="104" t="n">
        <v>0</v>
      </c>
      <c r="N16" s="104" t="n">
        <v>0</v>
      </c>
      <c r="O16" s="104" t="n">
        <v>0</v>
      </c>
      <c r="P16" s="109" t="n"/>
      <c r="Q16" s="109" t="n"/>
      <c r="R16" s="109">
        <f>(J16+K16+L16+M16+N16+O16)*$B$2</f>
        <v/>
      </c>
      <c r="S16" s="61" t="inlineStr">
        <is>
          <t>TOTAL NON MAINTENANCE CORPUS COLLECTION</t>
        </is>
      </c>
      <c r="T16" s="63" t="n"/>
    </row>
    <row r="17" ht="12.75" customHeight="1" s="251">
      <c r="A17" s="104" t="inlineStr">
        <is>
          <t>F12</t>
        </is>
      </c>
      <c r="B17" s="13" t="inlineStr">
        <is>
          <t>Anirudh Singh</t>
        </is>
      </c>
      <c r="C17" s="9" t="n">
        <v>0</v>
      </c>
      <c r="D17" s="104">
        <f>SUM($C$3:$C$5)/64</f>
        <v/>
      </c>
      <c r="E17" s="104">
        <f>C17+D17</f>
        <v/>
      </c>
      <c r="F17" s="104">
        <f>IF($C$70=0, 0, E17/$C$70)</f>
        <v/>
      </c>
      <c r="G17" s="104">
        <f>F17*$T$5</f>
        <v/>
      </c>
      <c r="H17" s="104" t="n">
        <v>3</v>
      </c>
      <c r="I17" s="104">
        <f>$T$7*H17</f>
        <v/>
      </c>
      <c r="J17" s="104">
        <f>G17+$T$9+I17</f>
        <v/>
      </c>
      <c r="K17" s="104">
        <f>$T$11/64</f>
        <v/>
      </c>
      <c r="L17" s="7" t="n">
        <v>0</v>
      </c>
      <c r="M17" s="104" t="n">
        <v>0</v>
      </c>
      <c r="N17" s="104" t="n">
        <v>0</v>
      </c>
      <c r="O17" s="104" t="n">
        <v>0</v>
      </c>
      <c r="P17" s="109" t="n"/>
      <c r="Q17" s="109" t="n"/>
      <c r="R17" s="109">
        <f>(J17+K17+L17+M17+N17+O17)*$B$2</f>
        <v/>
      </c>
      <c r="S17" s="61" t="inlineStr">
        <is>
          <t>TOTAL FD DONE</t>
        </is>
      </c>
      <c r="T17" s="63" t="n"/>
    </row>
    <row r="18" ht="12.75" customHeight="1" s="251">
      <c r="A18" s="104" t="inlineStr">
        <is>
          <t>F13</t>
        </is>
      </c>
      <c r="B18" s="13" t="inlineStr">
        <is>
          <t>Sanchay Saxena</t>
        </is>
      </c>
      <c r="C18" s="9" t="n">
        <v>0</v>
      </c>
      <c r="D18" s="104">
        <f>SUM($C$3:$C$5)/64</f>
        <v/>
      </c>
      <c r="E18" s="104">
        <f>C18+D18</f>
        <v/>
      </c>
      <c r="F18" s="104">
        <f>IF($C$70=0, 0, E18/$C$70)</f>
        <v/>
      </c>
      <c r="G18" s="104">
        <f>F18*$T$5</f>
        <v/>
      </c>
      <c r="H18" s="104" t="n">
        <v>4</v>
      </c>
      <c r="I18" s="104">
        <f>$T$7*H18</f>
        <v/>
      </c>
      <c r="J18" s="104">
        <f>G18+$T$9+I18</f>
        <v/>
      </c>
      <c r="K18" s="104">
        <f>$T$11/64</f>
        <v/>
      </c>
      <c r="L18" s="7" t="n">
        <v>0</v>
      </c>
      <c r="M18" s="104" t="n">
        <v>0</v>
      </c>
      <c r="N18" s="104" t="n">
        <v>0</v>
      </c>
      <c r="O18" s="104" t="n">
        <v>0</v>
      </c>
      <c r="P18" s="109" t="n"/>
      <c r="Q18" s="109" t="n"/>
      <c r="R18" s="109">
        <f>(J18+K18+L18+M18+N18+O18)*$B$2</f>
        <v/>
      </c>
      <c r="S18" s="64" t="inlineStr">
        <is>
          <t>AMOUNT AVAILABLE FOR NON MAINTENANCE CORPUS IN CURRENT AC</t>
        </is>
      </c>
      <c r="T18" s="65">
        <f>T16-T17</f>
        <v/>
      </c>
    </row>
    <row r="19" ht="12.75" customHeight="1" s="251">
      <c r="A19" s="104" t="inlineStr">
        <is>
          <t>F14</t>
        </is>
      </c>
      <c r="B19" s="13" t="inlineStr">
        <is>
          <t>Hemant Patel</t>
        </is>
      </c>
      <c r="C19" s="9" t="n">
        <v>0</v>
      </c>
      <c r="D19" s="104">
        <f>SUM($C$3:$C$5)/64</f>
        <v/>
      </c>
      <c r="E19" s="104">
        <f>C19+D19</f>
        <v/>
      </c>
      <c r="F19" s="104">
        <f>IF($C$70=0, 0, E19/$C$70)</f>
        <v/>
      </c>
      <c r="G19" s="104">
        <f>F19*$T$5</f>
        <v/>
      </c>
      <c r="H19" s="104" t="n">
        <v>4</v>
      </c>
      <c r="I19" s="104">
        <f>$T$7*H19</f>
        <v/>
      </c>
      <c r="J19" s="104">
        <f>G19+$T$9+I19</f>
        <v/>
      </c>
      <c r="K19" s="104">
        <f>$T$11/64</f>
        <v/>
      </c>
      <c r="L19" s="7" t="n">
        <v>0</v>
      </c>
      <c r="M19" s="104" t="n">
        <v>0</v>
      </c>
      <c r="N19" s="104" t="n">
        <v>0</v>
      </c>
      <c r="O19" s="104" t="n">
        <v>0</v>
      </c>
      <c r="P19" s="109" t="n"/>
      <c r="Q19" s="109" t="n"/>
      <c r="R19" s="109">
        <f>(J19+K19+L19+M19+N19+O19)*$B$2</f>
        <v/>
      </c>
      <c r="S19" s="66" t="inlineStr">
        <is>
          <t>AMOUNT AVAILABLE FOR MAINTENANCE</t>
        </is>
      </c>
      <c r="T19" s="67">
        <f>T15-T18</f>
        <v/>
      </c>
    </row>
    <row r="20" ht="12.75" customHeight="1" s="251">
      <c r="A20" s="104" t="inlineStr">
        <is>
          <t>F15</t>
        </is>
      </c>
      <c r="B20" s="13" t="inlineStr">
        <is>
          <t>Senthil.Vijayaragavan</t>
        </is>
      </c>
      <c r="C20" s="9" t="n">
        <v>0</v>
      </c>
      <c r="D20" s="104">
        <f>SUM($C$3:$C$5)/64</f>
        <v/>
      </c>
      <c r="E20" s="104">
        <f>C20+D20</f>
        <v/>
      </c>
      <c r="F20" s="104">
        <f>IF($C$70=0, 0, E20/$C$70)</f>
        <v/>
      </c>
      <c r="G20" s="104">
        <f>F20*$T$5</f>
        <v/>
      </c>
      <c r="H20" s="104" t="n">
        <v>4</v>
      </c>
      <c r="I20" s="104">
        <f>$T$7*H20</f>
        <v/>
      </c>
      <c r="J20" s="104">
        <f>G20+$T$9+I20</f>
        <v/>
      </c>
      <c r="K20" s="104">
        <f>$T$11/64</f>
        <v/>
      </c>
      <c r="L20" s="7" t="n">
        <v>0</v>
      </c>
      <c r="M20" s="104" t="n">
        <v>0</v>
      </c>
      <c r="N20" s="104" t="n">
        <v>0</v>
      </c>
      <c r="O20" s="104" t="n">
        <v>0</v>
      </c>
      <c r="P20" s="109" t="n"/>
      <c r="Q20" s="109" t="n"/>
      <c r="R20" s="109">
        <f>(J20+K20+L20+M20+N20+O20)*$B$2</f>
        <v/>
      </c>
      <c r="S20" s="66" t="inlineStr">
        <is>
          <t>TOTAL EXPENSE FOR THE MONTH</t>
        </is>
      </c>
      <c r="T20" s="67">
        <f>'ANNUAL-EXPENSE-DETAILS'!BH12</f>
        <v/>
      </c>
    </row>
    <row r="21" ht="12.75" customHeight="1" s="251">
      <c r="A21" s="104" t="inlineStr">
        <is>
          <t>F16</t>
        </is>
      </c>
      <c r="B21" s="13" t="inlineStr">
        <is>
          <t>Sreeja Sudharma</t>
        </is>
      </c>
      <c r="C21" s="9" t="n">
        <v>0</v>
      </c>
      <c r="D21" s="104">
        <f>SUM($C$3:$C$5)/64</f>
        <v/>
      </c>
      <c r="E21" s="104">
        <f>C21+D21</f>
        <v/>
      </c>
      <c r="F21" s="104">
        <f>IF($C$70=0, 0, E21/$C$70)</f>
        <v/>
      </c>
      <c r="G21" s="104">
        <f>F21*$T$5</f>
        <v/>
      </c>
      <c r="H21" s="104" t="n">
        <v>3</v>
      </c>
      <c r="I21" s="104">
        <f>$T$7*H21</f>
        <v/>
      </c>
      <c r="J21" s="104">
        <f>G21+$T$9+I21</f>
        <v/>
      </c>
      <c r="K21" s="104">
        <f>$T$11/64</f>
        <v/>
      </c>
      <c r="L21" s="7" t="n">
        <v>0</v>
      </c>
      <c r="M21" s="104" t="n">
        <v>0</v>
      </c>
      <c r="N21" s="104" t="n">
        <v>0</v>
      </c>
      <c r="O21" s="104" t="n">
        <v>0</v>
      </c>
      <c r="P21" s="109" t="n"/>
      <c r="Q21" s="109" t="n"/>
      <c r="R21" s="109">
        <f>(J21+K21+L21+M21+N21+O21)*$B$2</f>
        <v/>
      </c>
      <c r="S21" s="107" t="n"/>
      <c r="T21" s="110" t="n"/>
    </row>
    <row r="22" ht="12.75" customHeight="1" s="251">
      <c r="A22" s="104" t="inlineStr">
        <is>
          <t>G1</t>
        </is>
      </c>
      <c r="B22" s="13" t="inlineStr">
        <is>
          <t>Venkataramanan C</t>
        </is>
      </c>
      <c r="C22" s="9" t="n">
        <v>0</v>
      </c>
      <c r="D22" s="104">
        <f>SUM($C$3:$C$5)/64</f>
        <v/>
      </c>
      <c r="E22" s="104">
        <f>C22+D22</f>
        <v/>
      </c>
      <c r="F22" s="104">
        <f>IF($C$70=0, 0, E22/$C$70)</f>
        <v/>
      </c>
      <c r="G22" s="104">
        <f>F22*$T$5</f>
        <v/>
      </c>
      <c r="H22" s="104" t="n">
        <v>3</v>
      </c>
      <c r="I22" s="104">
        <f>$T$7*H22</f>
        <v/>
      </c>
      <c r="J22" s="104">
        <f>G22+$T$9+I22</f>
        <v/>
      </c>
      <c r="K22" s="104">
        <f>$T$11/64</f>
        <v/>
      </c>
      <c r="L22" s="7" t="n">
        <v>0</v>
      </c>
      <c r="M22" s="104" t="n">
        <v>0</v>
      </c>
      <c r="N22" s="104" t="n">
        <v>0</v>
      </c>
      <c r="O22" s="104" t="n">
        <v>0</v>
      </c>
      <c r="P22" s="109" t="n"/>
      <c r="Q22" s="109" t="n"/>
      <c r="R22" s="109">
        <f>(J22+K22+L22+M22+N22+O22)*$B$2</f>
        <v/>
      </c>
      <c r="S22" s="107" t="n"/>
      <c r="T22" s="110" t="n"/>
    </row>
    <row r="23" ht="12.75" customHeight="1" s="251">
      <c r="A23" s="104" t="inlineStr">
        <is>
          <t>G2</t>
        </is>
      </c>
      <c r="B23" s="13" t="inlineStr">
        <is>
          <t>Kaushik Kasibhatla</t>
        </is>
      </c>
      <c r="C23" s="9" t="n">
        <v>0</v>
      </c>
      <c r="D23" s="104">
        <f>SUM($C$3:$C$5)/64</f>
        <v/>
      </c>
      <c r="E23" s="104">
        <f>C23+D23</f>
        <v/>
      </c>
      <c r="F23" s="104">
        <f>IF($C$70=0, 0, E23/$C$70)</f>
        <v/>
      </c>
      <c r="G23" s="104">
        <f>F23*$T$5</f>
        <v/>
      </c>
      <c r="H23" s="104" t="n">
        <v>4</v>
      </c>
      <c r="I23" s="104">
        <f>$T$7*H23</f>
        <v/>
      </c>
      <c r="J23" s="104">
        <f>G23+$T$9+I23</f>
        <v/>
      </c>
      <c r="K23" s="104">
        <f>$T$11/64</f>
        <v/>
      </c>
      <c r="L23" s="7" t="n">
        <v>0</v>
      </c>
      <c r="M23" s="104" t="n">
        <v>0</v>
      </c>
      <c r="N23" s="104" t="n">
        <v>0</v>
      </c>
      <c r="O23" s="104" t="n">
        <v>0</v>
      </c>
      <c r="P23" s="109" t="n"/>
      <c r="Q23" s="109" t="n"/>
      <c r="R23" s="109">
        <f>(J23+K23+L23+M23+N23+O23)*$B$2</f>
        <v/>
      </c>
      <c r="S23" s="107" t="n"/>
      <c r="T23" s="110" t="n"/>
    </row>
    <row r="24" ht="12.75" customHeight="1" s="251">
      <c r="A24" s="104" t="inlineStr">
        <is>
          <t>G3</t>
        </is>
      </c>
      <c r="B24" s="13" t="inlineStr">
        <is>
          <t>Balakrishnan</t>
        </is>
      </c>
      <c r="C24" s="9" t="n">
        <v>0</v>
      </c>
      <c r="D24" s="104">
        <f>SUM($C$3:$C$5)/64</f>
        <v/>
      </c>
      <c r="E24" s="104">
        <f>C24+D24</f>
        <v/>
      </c>
      <c r="F24" s="104">
        <f>IF($C$70=0, 0, E24/$C$70)</f>
        <v/>
      </c>
      <c r="G24" s="104">
        <f>F24*$T$5</f>
        <v/>
      </c>
      <c r="H24" s="104" t="n">
        <v>4</v>
      </c>
      <c r="I24" s="104">
        <f>$T$7*H24</f>
        <v/>
      </c>
      <c r="J24" s="104">
        <f>G24+$T$9+I24</f>
        <v/>
      </c>
      <c r="K24" s="104">
        <f>$T$11/64</f>
        <v/>
      </c>
      <c r="L24" s="7" t="n">
        <v>0</v>
      </c>
      <c r="M24" s="104" t="n">
        <v>0</v>
      </c>
      <c r="N24" s="104" t="n">
        <v>0</v>
      </c>
      <c r="O24" s="104" t="n">
        <v>0</v>
      </c>
      <c r="P24" s="109" t="n"/>
      <c r="Q24" s="109" t="n"/>
      <c r="R24" s="109">
        <f>(J24+K24+L24+M24+N24+O24)*$B$2</f>
        <v/>
      </c>
      <c r="S24" s="107" t="n"/>
      <c r="T24" s="110" t="n"/>
    </row>
    <row r="25" ht="12.75" customHeight="1" s="251">
      <c r="A25" s="104" t="inlineStr">
        <is>
          <t>G4</t>
        </is>
      </c>
      <c r="B25" s="13" t="inlineStr">
        <is>
          <t>Ashwin Pandith</t>
        </is>
      </c>
      <c r="C25" s="9" t="n">
        <v>0</v>
      </c>
      <c r="D25" s="104">
        <f>SUM($C$3:$C$5)/64</f>
        <v/>
      </c>
      <c r="E25" s="104">
        <f>C25+D25</f>
        <v/>
      </c>
      <c r="F25" s="104">
        <f>IF($C$70=0, 0, E25/$C$70)</f>
        <v/>
      </c>
      <c r="G25" s="104">
        <f>F25*$T$5</f>
        <v/>
      </c>
      <c r="H25" s="104" t="n">
        <v>4</v>
      </c>
      <c r="I25" s="104">
        <f>$T$7*H25</f>
        <v/>
      </c>
      <c r="J25" s="104">
        <f>G25+$T$9+I25</f>
        <v/>
      </c>
      <c r="K25" s="104">
        <f>$T$11/64</f>
        <v/>
      </c>
      <c r="L25" s="7" t="n">
        <v>0</v>
      </c>
      <c r="M25" s="104" t="n">
        <v>0</v>
      </c>
      <c r="N25" s="104" t="n">
        <v>0</v>
      </c>
      <c r="O25" s="104" t="n">
        <v>0</v>
      </c>
      <c r="P25" s="109" t="n"/>
      <c r="Q25" s="109" t="n"/>
      <c r="R25" s="109">
        <f>(J25+K25+L25+M25+N25+O25)*$B$2</f>
        <v/>
      </c>
      <c r="S25" s="107" t="n"/>
      <c r="T25" s="110" t="n"/>
    </row>
    <row r="26" ht="12.75" customHeight="1" s="251">
      <c r="A26" s="104" t="inlineStr">
        <is>
          <t>G5</t>
        </is>
      </c>
      <c r="B26" s="13" t="inlineStr">
        <is>
          <t>Mayank Phophaliya</t>
        </is>
      </c>
      <c r="C26" s="9" t="n">
        <v>0</v>
      </c>
      <c r="D26" s="104">
        <f>SUM($C$3:$C$5)/64</f>
        <v/>
      </c>
      <c r="E26" s="104">
        <f>C26+D26</f>
        <v/>
      </c>
      <c r="F26" s="104">
        <f>IF($C$70=0, 0, E26/$C$70)</f>
        <v/>
      </c>
      <c r="G26" s="104">
        <f>F26*$T$5</f>
        <v/>
      </c>
      <c r="H26" s="104" t="n">
        <v>3</v>
      </c>
      <c r="I26" s="104">
        <f>$T$7*H26</f>
        <v/>
      </c>
      <c r="J26" s="104">
        <f>G26+$T$9+I26</f>
        <v/>
      </c>
      <c r="K26" s="104">
        <f>$T$11/64</f>
        <v/>
      </c>
      <c r="L26" s="7" t="n">
        <v>0</v>
      </c>
      <c r="M26" s="104" t="n">
        <v>0</v>
      </c>
      <c r="N26" s="104" t="n">
        <v>0</v>
      </c>
      <c r="O26" s="104" t="n">
        <v>0</v>
      </c>
      <c r="P26" s="109" t="n"/>
      <c r="Q26" s="109" t="n"/>
      <c r="R26" s="109">
        <f>(J26+K26+L26+M26+N26+O26)*$B$2</f>
        <v/>
      </c>
      <c r="S26" s="107" t="n"/>
      <c r="T26" s="110" t="n"/>
    </row>
    <row r="27" ht="12.75" customHeight="1" s="251">
      <c r="A27" s="104" t="inlineStr">
        <is>
          <t>G6</t>
        </is>
      </c>
      <c r="B27" s="13" t="inlineStr">
        <is>
          <t>Mohit Daga</t>
        </is>
      </c>
      <c r="C27" s="9" t="n">
        <v>0</v>
      </c>
      <c r="D27" s="104">
        <f>SUM($C$3:$C$5)/64</f>
        <v/>
      </c>
      <c r="E27" s="104">
        <f>C27+D27</f>
        <v/>
      </c>
      <c r="F27" s="104">
        <f>IF($C$70=0, 0, E27/$C$70)</f>
        <v/>
      </c>
      <c r="G27" s="104">
        <f>F27*$T$5</f>
        <v/>
      </c>
      <c r="H27" s="104" t="n">
        <v>3</v>
      </c>
      <c r="I27" s="104">
        <f>$T$7*H27</f>
        <v/>
      </c>
      <c r="J27" s="104">
        <f>G27+$T$9+I27</f>
        <v/>
      </c>
      <c r="K27" s="104">
        <f>$T$11/64</f>
        <v/>
      </c>
      <c r="L27" s="7" t="n">
        <v>0</v>
      </c>
      <c r="M27" s="104" t="n">
        <v>0</v>
      </c>
      <c r="N27" s="104" t="n">
        <v>0</v>
      </c>
      <c r="O27" s="104" t="n">
        <v>0</v>
      </c>
      <c r="P27" s="109" t="n"/>
      <c r="Q27" s="109" t="n"/>
      <c r="R27" s="109">
        <f>(J27+K27+L27+M27+N27+O27)*$B$2</f>
        <v/>
      </c>
      <c r="S27" s="107" t="n"/>
      <c r="T27" s="110" t="n"/>
    </row>
    <row r="28" ht="12.75" customHeight="1" s="251">
      <c r="A28" s="104" t="inlineStr">
        <is>
          <t>G7</t>
        </is>
      </c>
      <c r="B28" s="13" t="inlineStr">
        <is>
          <t>Prince Richfield</t>
        </is>
      </c>
      <c r="C28" s="9" t="n">
        <v>0</v>
      </c>
      <c r="D28" s="104">
        <f>SUM($C$3:$C$5)/64</f>
        <v/>
      </c>
      <c r="E28" s="104">
        <f>C28+D28</f>
        <v/>
      </c>
      <c r="F28" s="104">
        <f>IF($C$70=0, 0, E28/$C$70)</f>
        <v/>
      </c>
      <c r="G28" s="104">
        <f>F28*$T$5</f>
        <v/>
      </c>
      <c r="H28" s="104" t="n">
        <v>3</v>
      </c>
      <c r="I28" s="104">
        <f>$T$7*H28</f>
        <v/>
      </c>
      <c r="J28" s="104">
        <f>G28+$T$9+I28</f>
        <v/>
      </c>
      <c r="K28" s="104">
        <f>$T$11/64</f>
        <v/>
      </c>
      <c r="L28" s="7" t="n">
        <v>0</v>
      </c>
      <c r="M28" s="104" t="n">
        <v>0</v>
      </c>
      <c r="N28" s="104" t="n">
        <v>0</v>
      </c>
      <c r="O28" s="104" t="n">
        <v>0</v>
      </c>
      <c r="P28" s="109" t="n"/>
      <c r="Q28" s="109" t="n"/>
      <c r="R28" s="109">
        <f>(J28+K28+L28+M28+N28+O28)*$B$2</f>
        <v/>
      </c>
      <c r="S28" s="107" t="n"/>
      <c r="T28" s="110" t="n"/>
    </row>
    <row r="29" ht="12.75" customHeight="1" s="251">
      <c r="A29" s="104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04">
        <f>SUM($C$3:$C$5)/64</f>
        <v/>
      </c>
      <c r="E29" s="104">
        <f>C29+D29</f>
        <v/>
      </c>
      <c r="F29" s="104">
        <f>IF($C$70=0, 0, E29/$C$70)</f>
        <v/>
      </c>
      <c r="G29" s="104">
        <f>F29*$T$5</f>
        <v/>
      </c>
      <c r="H29" s="104" t="n">
        <v>3</v>
      </c>
      <c r="I29" s="104">
        <f>$T$7*H29</f>
        <v/>
      </c>
      <c r="J29" s="104">
        <f>G29+$T$9+I29</f>
        <v/>
      </c>
      <c r="K29" s="104">
        <f>$T$11/64</f>
        <v/>
      </c>
      <c r="L29" s="7" t="n">
        <v>0</v>
      </c>
      <c r="M29" s="104" t="n">
        <v>0</v>
      </c>
      <c r="N29" s="104" t="n">
        <v>0</v>
      </c>
      <c r="O29" s="104" t="n">
        <v>0</v>
      </c>
      <c r="P29" s="109" t="n"/>
      <c r="Q29" s="109" t="n"/>
      <c r="R29" s="109">
        <f>(J29+K29+L29+M29+N29+O29)*$B$2</f>
        <v/>
      </c>
      <c r="S29" s="107" t="n"/>
      <c r="T29" s="110" t="n"/>
    </row>
    <row r="30" ht="12.75" customHeight="1" s="251">
      <c r="A30" s="104" t="inlineStr">
        <is>
          <t>G9</t>
        </is>
      </c>
      <c r="B30" s="13" t="inlineStr">
        <is>
          <t>Chandramouli</t>
        </is>
      </c>
      <c r="C30" s="9" t="n">
        <v>0</v>
      </c>
      <c r="D30" s="104">
        <f>SUM($C$3:$C$5)/64</f>
        <v/>
      </c>
      <c r="E30" s="104">
        <f>C30+D30</f>
        <v/>
      </c>
      <c r="F30" s="104">
        <f>IF($C$70=0, 0, E30/$C$70)</f>
        <v/>
      </c>
      <c r="G30" s="104">
        <f>F30*$T$5</f>
        <v/>
      </c>
      <c r="H30" s="104" t="n">
        <v>5</v>
      </c>
      <c r="I30" s="104">
        <f>$T$7*H30</f>
        <v/>
      </c>
      <c r="J30" s="104">
        <f>G30+$T$9+I30</f>
        <v/>
      </c>
      <c r="K30" s="104">
        <f>$T$11/64</f>
        <v/>
      </c>
      <c r="L30" s="7" t="n">
        <v>0</v>
      </c>
      <c r="M30" s="104" t="n">
        <v>0</v>
      </c>
      <c r="N30" s="104" t="n">
        <v>0</v>
      </c>
      <c r="O30" s="104" t="n">
        <v>0</v>
      </c>
      <c r="P30" s="109" t="n"/>
      <c r="Q30" s="109" t="n"/>
      <c r="R30" s="109">
        <f>(J30+K30+L30+M30+N30+O30)*$B$2</f>
        <v/>
      </c>
      <c r="S30" s="107" t="n"/>
      <c r="T30" s="110" t="n"/>
    </row>
    <row r="31" ht="12.75" customHeight="1" s="251">
      <c r="A31" s="104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104">
        <f>SUM($C$3:$C$5)/64</f>
        <v/>
      </c>
      <c r="E31" s="104">
        <f>C31+D31</f>
        <v/>
      </c>
      <c r="F31" s="104">
        <f>IF($C$70=0, 0, E31/$C$70)</f>
        <v/>
      </c>
      <c r="G31" s="104">
        <f>F31*$T$5</f>
        <v/>
      </c>
      <c r="H31" s="104" t="n">
        <v>3</v>
      </c>
      <c r="I31" s="104">
        <f>$T$7*H31</f>
        <v/>
      </c>
      <c r="J31" s="104">
        <f>G31+$T$9+I31</f>
        <v/>
      </c>
      <c r="K31" s="104">
        <f>$T$11/64</f>
        <v/>
      </c>
      <c r="L31" s="7" t="n">
        <v>0</v>
      </c>
      <c r="M31" s="104" t="n">
        <v>0</v>
      </c>
      <c r="N31" s="104" t="n">
        <v>0</v>
      </c>
      <c r="O31" s="104" t="n">
        <v>0</v>
      </c>
      <c r="P31" s="109" t="n"/>
      <c r="Q31" s="109" t="n"/>
      <c r="R31" s="109">
        <f>(J31+K31+L31+M31+N31+O31)*$B$2</f>
        <v/>
      </c>
      <c r="S31" s="107" t="n"/>
      <c r="T31" s="110" t="n"/>
    </row>
    <row r="32" ht="12.75" customHeight="1" s="251">
      <c r="A32" s="104" t="inlineStr">
        <is>
          <t>G11</t>
        </is>
      </c>
      <c r="B32" s="13" t="inlineStr">
        <is>
          <t>Ketan Verlekar</t>
        </is>
      </c>
      <c r="C32" s="9" t="n">
        <v>0</v>
      </c>
      <c r="D32" s="104">
        <f>SUM($C$3:$C$5)/64</f>
        <v/>
      </c>
      <c r="E32" s="104">
        <f>C32+D32</f>
        <v/>
      </c>
      <c r="F32" s="104">
        <f>IF($C$70=0, 0, E32/$C$70)</f>
        <v/>
      </c>
      <c r="G32" s="104">
        <f>F32*$T$5</f>
        <v/>
      </c>
      <c r="H32" s="104" t="n">
        <v>3</v>
      </c>
      <c r="I32" s="104">
        <f>$T$7*H32</f>
        <v/>
      </c>
      <c r="J32" s="104">
        <f>G32+$T$9+I32</f>
        <v/>
      </c>
      <c r="K32" s="104">
        <f>$T$11/64</f>
        <v/>
      </c>
      <c r="L32" s="7" t="n">
        <v>0</v>
      </c>
      <c r="M32" s="104" t="n">
        <v>0</v>
      </c>
      <c r="N32" s="104" t="n">
        <v>0</v>
      </c>
      <c r="O32" s="104" t="n">
        <v>0</v>
      </c>
      <c r="P32" s="109" t="n"/>
      <c r="Q32" s="109" t="n"/>
      <c r="R32" s="109">
        <f>(J32+K32+L32+M32+N32+O32)*$B$2</f>
        <v/>
      </c>
      <c r="S32" s="107" t="n"/>
      <c r="T32" s="110" t="n"/>
    </row>
    <row r="33" ht="12.75" customHeight="1" s="251">
      <c r="A33" s="104" t="inlineStr">
        <is>
          <t>G12</t>
        </is>
      </c>
      <c r="B33" s="13" t="inlineStr">
        <is>
          <t>Shyam Nair</t>
        </is>
      </c>
      <c r="C33" s="9" t="n">
        <v>0</v>
      </c>
      <c r="D33" s="104">
        <f>SUM($C$3:$C$5)/64</f>
        <v/>
      </c>
      <c r="E33" s="104">
        <f>C33+D33</f>
        <v/>
      </c>
      <c r="F33" s="104">
        <f>IF($C$70=0, 0, E33/$C$70)</f>
        <v/>
      </c>
      <c r="G33" s="104">
        <f>F33*$T$5</f>
        <v/>
      </c>
      <c r="H33" s="104" t="n">
        <v>3</v>
      </c>
      <c r="I33" s="104">
        <f>$T$7*H33</f>
        <v/>
      </c>
      <c r="J33" s="104">
        <f>G33+$T$9+I33</f>
        <v/>
      </c>
      <c r="K33" s="104">
        <f>$T$11/64</f>
        <v/>
      </c>
      <c r="L33" s="7" t="n">
        <v>0</v>
      </c>
      <c r="M33" s="104" t="n">
        <v>0</v>
      </c>
      <c r="N33" s="104" t="n">
        <v>0</v>
      </c>
      <c r="O33" s="104" t="n">
        <v>0</v>
      </c>
      <c r="P33" s="109" t="n"/>
      <c r="Q33" s="109" t="n"/>
      <c r="R33" s="109">
        <f>(J33+K33+L33+M33+N33+O33)*$B$2</f>
        <v/>
      </c>
      <c r="S33" s="107" t="n"/>
      <c r="T33" s="110" t="n"/>
    </row>
    <row r="34" ht="12.75" customHeight="1" s="251">
      <c r="A34" s="104" t="inlineStr">
        <is>
          <t>G13</t>
        </is>
      </c>
      <c r="B34" s="13" t="inlineStr">
        <is>
          <t>Ajai.B</t>
        </is>
      </c>
      <c r="C34" s="9" t="n">
        <v>0</v>
      </c>
      <c r="D34" s="104">
        <f>SUM($C$3:$C$5)/64</f>
        <v/>
      </c>
      <c r="E34" s="104">
        <f>C34+D34</f>
        <v/>
      </c>
      <c r="F34" s="104">
        <f>IF($C$70=0, 0, E34/$C$70)</f>
        <v/>
      </c>
      <c r="G34" s="104">
        <f>F34*$T$5</f>
        <v/>
      </c>
      <c r="H34" s="104" t="n">
        <v>4</v>
      </c>
      <c r="I34" s="104">
        <f>$T$7*H34</f>
        <v/>
      </c>
      <c r="J34" s="104">
        <f>G34+$T$9+I34</f>
        <v/>
      </c>
      <c r="K34" s="104">
        <f>$T$11/64</f>
        <v/>
      </c>
      <c r="L34" s="7" t="n">
        <v>0</v>
      </c>
      <c r="M34" s="104" t="n">
        <v>0</v>
      </c>
      <c r="N34" s="104" t="n">
        <v>0</v>
      </c>
      <c r="O34" s="104" t="n">
        <v>0</v>
      </c>
      <c r="P34" s="109" t="n"/>
      <c r="Q34" s="109" t="n"/>
      <c r="R34" s="109">
        <f>(J34+K34+L34+M34+N34+O34)*$B$2</f>
        <v/>
      </c>
      <c r="S34" s="107" t="n"/>
      <c r="T34" s="110" t="n"/>
    </row>
    <row r="35" ht="12.75" customHeight="1" s="251">
      <c r="A35" s="104" t="inlineStr">
        <is>
          <t>G14</t>
        </is>
      </c>
      <c r="B35" s="13" t="inlineStr">
        <is>
          <t>Surajit Borah</t>
        </is>
      </c>
      <c r="C35" s="9" t="n">
        <v>0</v>
      </c>
      <c r="D35" s="104">
        <f>SUM($C$3:$C$5)/64</f>
        <v/>
      </c>
      <c r="E35" s="104">
        <f>C35+D35</f>
        <v/>
      </c>
      <c r="F35" s="104">
        <f>IF($C$70=0, 0, E35/$C$70)</f>
        <v/>
      </c>
      <c r="G35" s="104">
        <f>F35*$T$5</f>
        <v/>
      </c>
      <c r="H35" s="104" t="n">
        <v>4</v>
      </c>
      <c r="I35" s="104">
        <f>$T$7*H35</f>
        <v/>
      </c>
      <c r="J35" s="104">
        <f>G35+$T$9+I35</f>
        <v/>
      </c>
      <c r="K35" s="104">
        <f>$T$11/64</f>
        <v/>
      </c>
      <c r="L35" s="7" t="n">
        <v>0</v>
      </c>
      <c r="M35" s="104" t="n">
        <v>0</v>
      </c>
      <c r="N35" s="104" t="n">
        <v>0</v>
      </c>
      <c r="O35" s="104" t="n">
        <v>0</v>
      </c>
      <c r="P35" s="109" t="n"/>
      <c r="Q35" s="109" t="n"/>
      <c r="R35" s="109">
        <f>(J35+K35+L35+M35+N35+O35)*$B$2</f>
        <v/>
      </c>
      <c r="S35" s="107" t="n"/>
      <c r="T35" s="110" t="n"/>
    </row>
    <row r="36" ht="12.75" customHeight="1" s="251">
      <c r="A36" s="104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04">
        <f>SUM($C$3:$C$5)/64</f>
        <v/>
      </c>
      <c r="E36" s="104">
        <f>C36+D36</f>
        <v/>
      </c>
      <c r="F36" s="104">
        <f>IF($C$70=0, 0, E36/$C$70)</f>
        <v/>
      </c>
      <c r="G36" s="104">
        <f>F36*$T$5</f>
        <v/>
      </c>
      <c r="H36" s="104" t="n">
        <v>4</v>
      </c>
      <c r="I36" s="104">
        <f>$T$7*H36</f>
        <v/>
      </c>
      <c r="J36" s="104">
        <f>G36+$T$9+I36</f>
        <v/>
      </c>
      <c r="K36" s="104">
        <f>$T$11/64</f>
        <v/>
      </c>
      <c r="L36" s="7" t="n">
        <v>0</v>
      </c>
      <c r="M36" s="104" t="n">
        <v>0</v>
      </c>
      <c r="N36" s="104" t="n">
        <v>0</v>
      </c>
      <c r="O36" s="104" t="n">
        <v>0</v>
      </c>
      <c r="P36" s="109" t="n"/>
      <c r="Q36" s="109" t="n"/>
      <c r="R36" s="109">
        <f>(J36+K36+L36+M36+N36+O36)*$B$2</f>
        <v/>
      </c>
      <c r="S36" s="107" t="n"/>
      <c r="T36" s="110" t="n"/>
    </row>
    <row r="37" ht="12.75" customHeight="1" s="251">
      <c r="A37" s="104" t="inlineStr">
        <is>
          <t>G16</t>
        </is>
      </c>
      <c r="B37" s="13" t="inlineStr">
        <is>
          <t>Praveen Ganesan</t>
        </is>
      </c>
      <c r="C37" s="9" t="n">
        <v>0</v>
      </c>
      <c r="D37" s="104">
        <f>SUM($C$3:$C$5)/64</f>
        <v/>
      </c>
      <c r="E37" s="104">
        <f>C37+D37</f>
        <v/>
      </c>
      <c r="F37" s="104">
        <f>IF($C$70=0, 0, E37/$C$70)</f>
        <v/>
      </c>
      <c r="G37" s="104">
        <f>F37*$T$5</f>
        <v/>
      </c>
      <c r="H37" s="104" t="n">
        <v>3</v>
      </c>
      <c r="I37" s="104">
        <f>$T$7*H37</f>
        <v/>
      </c>
      <c r="J37" s="104">
        <f>G37+$T$9+I37</f>
        <v/>
      </c>
      <c r="K37" s="104">
        <f>$T$11/64</f>
        <v/>
      </c>
      <c r="L37" s="7" t="n">
        <v>0</v>
      </c>
      <c r="M37" s="104" t="n">
        <v>0</v>
      </c>
      <c r="N37" s="104" t="n">
        <v>0</v>
      </c>
      <c r="O37" s="104" t="n">
        <v>0</v>
      </c>
      <c r="P37" s="109" t="n"/>
      <c r="Q37" s="109" t="n"/>
      <c r="R37" s="109">
        <f>(J37+K37+L37+M37+N37+O37)*$B$2</f>
        <v/>
      </c>
      <c r="S37" s="107" t="n"/>
      <c r="T37" s="110" t="n"/>
    </row>
    <row r="38" ht="12.75" customHeight="1" s="251">
      <c r="A38" s="104" t="inlineStr">
        <is>
          <t>S1</t>
        </is>
      </c>
      <c r="B38" s="13" t="inlineStr">
        <is>
          <t>S.N.Behera</t>
        </is>
      </c>
      <c r="C38" s="9" t="n">
        <v>0</v>
      </c>
      <c r="D38" s="104">
        <f>SUM($C$3:$C$5)/64</f>
        <v/>
      </c>
      <c r="E38" s="104">
        <f>C38+D38</f>
        <v/>
      </c>
      <c r="F38" s="104">
        <f>IF($C$70=0, 0, E38/$C$70)</f>
        <v/>
      </c>
      <c r="G38" s="104">
        <f>F38*$T$5</f>
        <v/>
      </c>
      <c r="H38" s="104" t="n">
        <v>3</v>
      </c>
      <c r="I38" s="104">
        <f>$T$7*H38</f>
        <v/>
      </c>
      <c r="J38" s="104">
        <f>G38+$T$9+I38</f>
        <v/>
      </c>
      <c r="K38" s="104">
        <f>$T$11/64</f>
        <v/>
      </c>
      <c r="L38" s="7" t="n">
        <v>0</v>
      </c>
      <c r="M38" s="104" t="n">
        <v>0</v>
      </c>
      <c r="N38" s="104" t="n">
        <v>0</v>
      </c>
      <c r="O38" s="104" t="n">
        <v>0</v>
      </c>
      <c r="P38" s="109" t="n"/>
      <c r="Q38" s="109" t="n"/>
      <c r="R38" s="109">
        <f>(J38+K38+L38+M38+N38+O38)*$B$2</f>
        <v/>
      </c>
      <c r="S38" s="107" t="n"/>
      <c r="T38" s="110" t="n"/>
    </row>
    <row r="39" ht="12.75" customHeight="1" s="251">
      <c r="A39" s="104" t="inlineStr">
        <is>
          <t>S2</t>
        </is>
      </c>
      <c r="B39" s="13" t="inlineStr">
        <is>
          <t>Sonal Singh</t>
        </is>
      </c>
      <c r="C39" s="9" t="n">
        <v>0</v>
      </c>
      <c r="D39" s="104">
        <f>SUM($C$3:$C$5)/64</f>
        <v/>
      </c>
      <c r="E39" s="104">
        <f>C39+D39</f>
        <v/>
      </c>
      <c r="F39" s="104">
        <f>IF($C$70=0, 0, E39/$C$70)</f>
        <v/>
      </c>
      <c r="G39" s="104">
        <f>F39*$T$5</f>
        <v/>
      </c>
      <c r="H39" s="104" t="n">
        <v>4</v>
      </c>
      <c r="I39" s="104">
        <f>$T$7*H39</f>
        <v/>
      </c>
      <c r="J39" s="104">
        <f>G39+$T$9+I39</f>
        <v/>
      </c>
      <c r="K39" s="104">
        <f>$T$11/64</f>
        <v/>
      </c>
      <c r="L39" s="7" t="n">
        <v>0</v>
      </c>
      <c r="M39" s="104" t="n">
        <v>0</v>
      </c>
      <c r="N39" s="104" t="n">
        <v>0</v>
      </c>
      <c r="O39" s="104" t="n">
        <v>0</v>
      </c>
      <c r="P39" s="109" t="n"/>
      <c r="Q39" s="109" t="n"/>
      <c r="R39" s="109">
        <f>(J39+K39+L39+M39+N39+O39)*$B$2</f>
        <v/>
      </c>
      <c r="S39" s="107" t="n"/>
      <c r="T39" s="110" t="n"/>
    </row>
    <row r="40" ht="12.75" customHeight="1" s="251">
      <c r="A40" s="104" t="inlineStr">
        <is>
          <t>S3</t>
        </is>
      </c>
      <c r="B40" s="13" t="inlineStr">
        <is>
          <t>Koteswararao</t>
        </is>
      </c>
      <c r="C40" s="9" t="n">
        <v>0</v>
      </c>
      <c r="D40" s="104">
        <f>SUM($C$3:$C$5)/64</f>
        <v/>
      </c>
      <c r="E40" s="104">
        <f>C40+D40</f>
        <v/>
      </c>
      <c r="F40" s="104">
        <f>IF($C$70=0, 0, E40/$C$70)</f>
        <v/>
      </c>
      <c r="G40" s="104">
        <f>F40*$T$5</f>
        <v/>
      </c>
      <c r="H40" s="104" t="n">
        <v>4</v>
      </c>
      <c r="I40" s="104">
        <f>$T$7*H40</f>
        <v/>
      </c>
      <c r="J40" s="104">
        <f>G40+$T$9+I40</f>
        <v/>
      </c>
      <c r="K40" s="104">
        <f>$T$11/64</f>
        <v/>
      </c>
      <c r="L40" s="7" t="n">
        <v>0</v>
      </c>
      <c r="M40" s="104" t="n">
        <v>0</v>
      </c>
      <c r="N40" s="104" t="n">
        <v>0</v>
      </c>
      <c r="O40" s="104" t="n">
        <v>0</v>
      </c>
      <c r="P40" s="109" t="n"/>
      <c r="Q40" s="109" t="n"/>
      <c r="R40" s="109">
        <f>(J40+K40+L40+M40+N40+O40)*$B$2</f>
        <v/>
      </c>
      <c r="S40" s="107" t="n"/>
      <c r="T40" s="110" t="n"/>
    </row>
    <row r="41" ht="12.75" customHeight="1" s="251">
      <c r="A41" s="104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04">
        <f>SUM($C$3:$C$5)/64</f>
        <v/>
      </c>
      <c r="E41" s="104">
        <f>C41+D41</f>
        <v/>
      </c>
      <c r="F41" s="104">
        <f>IF($C$70=0, 0, E41/$C$70)</f>
        <v/>
      </c>
      <c r="G41" s="104">
        <f>F41*$T$5</f>
        <v/>
      </c>
      <c r="H41" s="104" t="n">
        <v>3</v>
      </c>
      <c r="I41" s="104">
        <f>$T$7*H41</f>
        <v/>
      </c>
      <c r="J41" s="104">
        <f>G41+$T$9+I41</f>
        <v/>
      </c>
      <c r="K41" s="104">
        <f>$T$11/64</f>
        <v/>
      </c>
      <c r="L41" s="7" t="n">
        <v>0</v>
      </c>
      <c r="M41" s="104" t="n">
        <v>0</v>
      </c>
      <c r="N41" s="104" t="n">
        <v>0</v>
      </c>
      <c r="O41" s="104" t="n">
        <v>0</v>
      </c>
      <c r="P41" s="109" t="n"/>
      <c r="Q41" s="109" t="n"/>
      <c r="R41" s="109">
        <f>(J41+K41+L41+M41+N41+O41)*$B$2</f>
        <v/>
      </c>
      <c r="S41" s="107" t="n"/>
      <c r="T41" s="110" t="n"/>
    </row>
    <row r="42" ht="12.75" customHeight="1" s="251">
      <c r="A42" s="104" t="inlineStr">
        <is>
          <t>S5</t>
        </is>
      </c>
      <c r="B42" s="13" t="inlineStr">
        <is>
          <t>Abhishek Gopalakrishnan</t>
        </is>
      </c>
      <c r="C42" s="9" t="n">
        <v>0</v>
      </c>
      <c r="D42" s="104">
        <f>SUM($C$3:$C$5)/64</f>
        <v/>
      </c>
      <c r="E42" s="104">
        <f>C42+D42</f>
        <v/>
      </c>
      <c r="F42" s="104">
        <f>IF($C$70=0, 0, E42/$C$70)</f>
        <v/>
      </c>
      <c r="G42" s="104">
        <f>F42*$T$5</f>
        <v/>
      </c>
      <c r="H42" s="104" t="n">
        <v>3</v>
      </c>
      <c r="I42" s="104">
        <f>$T$7*H42</f>
        <v/>
      </c>
      <c r="J42" s="104">
        <f>G42+$T$9+I42</f>
        <v/>
      </c>
      <c r="K42" s="104">
        <f>$T$11/64</f>
        <v/>
      </c>
      <c r="L42" s="7" t="n">
        <v>0</v>
      </c>
      <c r="M42" s="104" t="n">
        <v>0</v>
      </c>
      <c r="N42" s="104" t="n">
        <v>0</v>
      </c>
      <c r="O42" s="104" t="n">
        <v>0</v>
      </c>
      <c r="P42" s="109" t="n"/>
      <c r="Q42" s="109" t="n"/>
      <c r="R42" s="109">
        <f>(J42+K42+L42+M42+N42+O42)*$B$2</f>
        <v/>
      </c>
      <c r="S42" s="107" t="n"/>
      <c r="T42" s="110" t="n"/>
    </row>
    <row r="43" ht="12.75" customHeight="1" s="251">
      <c r="A43" s="104" t="inlineStr">
        <is>
          <t>S6</t>
        </is>
      </c>
      <c r="B43" s="30" t="inlineStr">
        <is>
          <t>Vivek Dhingra / Pratyush Das</t>
        </is>
      </c>
      <c r="C43" s="9" t="n">
        <v>0</v>
      </c>
      <c r="D43" s="104">
        <f>SUM($C$3:$C$5)/64</f>
        <v/>
      </c>
      <c r="E43" s="104">
        <f>C43+D43</f>
        <v/>
      </c>
      <c r="F43" s="104">
        <f>IF($C$70=0, 0, E43/$C$70)</f>
        <v/>
      </c>
      <c r="G43" s="104">
        <f>F43*$T$5</f>
        <v/>
      </c>
      <c r="H43" s="104" t="n">
        <v>3</v>
      </c>
      <c r="I43" s="104">
        <f>$T$7*H43</f>
        <v/>
      </c>
      <c r="J43" s="104">
        <f>G43+$T$9+I43</f>
        <v/>
      </c>
      <c r="K43" s="104">
        <f>$T$11/64</f>
        <v/>
      </c>
      <c r="L43" s="7" t="n">
        <v>0</v>
      </c>
      <c r="M43" s="104" t="n">
        <v>0</v>
      </c>
      <c r="N43" s="104" t="n">
        <v>0</v>
      </c>
      <c r="O43" s="104" t="n">
        <v>0</v>
      </c>
      <c r="P43" s="109" t="n"/>
      <c r="Q43" s="109" t="n"/>
      <c r="R43" s="109">
        <f>(J43+K43+L43+M43+N43+O43)*$B$2</f>
        <v/>
      </c>
      <c r="S43" s="107" t="n"/>
      <c r="T43" s="110" t="n"/>
    </row>
    <row r="44" ht="12.75" customHeight="1" s="251">
      <c r="A44" s="104" t="inlineStr">
        <is>
          <t>S7</t>
        </is>
      </c>
      <c r="B44" s="13" t="inlineStr">
        <is>
          <t>Harish B</t>
        </is>
      </c>
      <c r="C44" s="9" t="n">
        <v>0</v>
      </c>
      <c r="D44" s="104">
        <f>SUM($C$3:$C$5)/64</f>
        <v/>
      </c>
      <c r="E44" s="104">
        <f>C44+D44</f>
        <v/>
      </c>
      <c r="F44" s="104">
        <f>IF($C$70=0, 0, E44/$C$70)</f>
        <v/>
      </c>
      <c r="G44" s="104">
        <f>F44*$T$5</f>
        <v/>
      </c>
      <c r="H44" s="104" t="n">
        <v>3</v>
      </c>
      <c r="I44" s="104">
        <f>$T$7*H44</f>
        <v/>
      </c>
      <c r="J44" s="104">
        <f>G44+$T$9+I44</f>
        <v/>
      </c>
      <c r="K44" s="104">
        <f>$T$11/64</f>
        <v/>
      </c>
      <c r="L44" s="7" t="n">
        <v>0</v>
      </c>
      <c r="M44" s="104" t="n">
        <v>0</v>
      </c>
      <c r="N44" s="104" t="n">
        <v>0</v>
      </c>
      <c r="O44" s="104" t="n">
        <v>0</v>
      </c>
      <c r="P44" s="109" t="n"/>
      <c r="Q44" s="109" t="n"/>
      <c r="R44" s="109">
        <f>(J44+K44+L44+M44+N44+O44)*$B$2</f>
        <v/>
      </c>
      <c r="S44" s="107" t="n"/>
      <c r="T44" s="110" t="n"/>
    </row>
    <row r="45" ht="12.75" customHeight="1" s="251">
      <c r="A45" s="104" t="inlineStr">
        <is>
          <t>S8</t>
        </is>
      </c>
      <c r="B45" s="13" t="inlineStr">
        <is>
          <t>Irudayaraj Alwin</t>
        </is>
      </c>
      <c r="C45" s="9" t="n">
        <v>0</v>
      </c>
      <c r="D45" s="104">
        <f>SUM($C$3:$C$5)/64</f>
        <v/>
      </c>
      <c r="E45" s="104">
        <f>C45+D45</f>
        <v/>
      </c>
      <c r="F45" s="104">
        <f>IF($C$70=0, 0, E45/$C$70)</f>
        <v/>
      </c>
      <c r="G45" s="104">
        <f>F45*$T$5</f>
        <v/>
      </c>
      <c r="H45" s="104" t="n">
        <v>3</v>
      </c>
      <c r="I45" s="104">
        <f>$T$7*H45</f>
        <v/>
      </c>
      <c r="J45" s="104">
        <f>G45+$T$9+I45</f>
        <v/>
      </c>
      <c r="K45" s="104">
        <f>$T$11/64</f>
        <v/>
      </c>
      <c r="L45" s="7" t="n">
        <v>0</v>
      </c>
      <c r="M45" s="104" t="n">
        <v>0</v>
      </c>
      <c r="N45" s="104" t="n">
        <v>0</v>
      </c>
      <c r="O45" s="104" t="n">
        <v>0</v>
      </c>
      <c r="P45" s="109" t="n"/>
      <c r="Q45" s="109" t="n"/>
      <c r="R45" s="109">
        <f>(J45+K45+L45+M45+N45+O45)*$B$2</f>
        <v/>
      </c>
      <c r="S45" s="107" t="n"/>
      <c r="T45" s="110" t="n"/>
    </row>
    <row r="46" ht="12.75" customHeight="1" s="251">
      <c r="A46" s="104" t="inlineStr">
        <is>
          <t>S9</t>
        </is>
      </c>
      <c r="B46" s="13" t="inlineStr">
        <is>
          <t>Pawan GS</t>
        </is>
      </c>
      <c r="C46" s="9" t="n">
        <v>0</v>
      </c>
      <c r="D46" s="104">
        <f>SUM($C$3:$C$5)/64</f>
        <v/>
      </c>
      <c r="E46" s="104">
        <f>C46+D46</f>
        <v/>
      </c>
      <c r="F46" s="104">
        <f>IF($C$70=0, 0, E46/$C$70)</f>
        <v/>
      </c>
      <c r="G46" s="104">
        <f>F46*$T$5</f>
        <v/>
      </c>
      <c r="H46" s="104" t="n">
        <v>4</v>
      </c>
      <c r="I46" s="104">
        <f>$T$7*H46</f>
        <v/>
      </c>
      <c r="J46" s="104">
        <f>G46+$T$9+I46</f>
        <v/>
      </c>
      <c r="K46" s="104">
        <f>$T$11/64</f>
        <v/>
      </c>
      <c r="L46" s="7" t="n">
        <v>0</v>
      </c>
      <c r="M46" s="104" t="n">
        <v>0</v>
      </c>
      <c r="N46" s="104" t="n">
        <v>0</v>
      </c>
      <c r="O46" s="104" t="n">
        <v>0</v>
      </c>
      <c r="P46" s="109" t="n"/>
      <c r="Q46" s="109" t="n"/>
      <c r="R46" s="109">
        <f>(J46+K46+L46+M46+N46+O46)*$B$2</f>
        <v/>
      </c>
      <c r="S46" s="107" t="n"/>
      <c r="T46" s="110" t="n"/>
    </row>
    <row r="47" ht="12.75" customHeight="1" s="251">
      <c r="A47" s="104" t="inlineStr">
        <is>
          <t>S10</t>
        </is>
      </c>
      <c r="B47" s="13" t="inlineStr">
        <is>
          <t>Lakshmikanth</t>
        </is>
      </c>
      <c r="C47" s="9" t="n">
        <v>0</v>
      </c>
      <c r="D47" s="104">
        <f>SUM($C$3:$C$5)/64</f>
        <v/>
      </c>
      <c r="E47" s="104">
        <f>C47+D47</f>
        <v/>
      </c>
      <c r="F47" s="104">
        <f>IF($C$70=0, 0, E47/$C$70)</f>
        <v/>
      </c>
      <c r="G47" s="104">
        <f>F47*$T$5</f>
        <v/>
      </c>
      <c r="H47" s="104" t="n">
        <v>3</v>
      </c>
      <c r="I47" s="104">
        <f>$T$7*H47</f>
        <v/>
      </c>
      <c r="J47" s="104">
        <f>G47+$T$9+I47</f>
        <v/>
      </c>
      <c r="K47" s="104">
        <f>$T$11/64</f>
        <v/>
      </c>
      <c r="L47" s="7" t="n">
        <v>0</v>
      </c>
      <c r="M47" s="104" t="n">
        <v>0</v>
      </c>
      <c r="N47" s="104" t="n">
        <v>0</v>
      </c>
      <c r="O47" s="104" t="n">
        <v>0</v>
      </c>
      <c r="P47" s="109" t="n"/>
      <c r="Q47" s="109" t="n"/>
      <c r="R47" s="109">
        <f>(J47+K47+L47+M47+N47+O47)*$B$2</f>
        <v/>
      </c>
      <c r="S47" s="107" t="n"/>
      <c r="T47" s="110" t="n"/>
    </row>
    <row r="48" ht="12.75" customHeight="1" s="251">
      <c r="A48" s="104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04">
        <f>SUM($C$3:$C$5)/64</f>
        <v/>
      </c>
      <c r="E48" s="104">
        <f>C48+D48</f>
        <v/>
      </c>
      <c r="F48" s="104">
        <f>IF($C$70=0, 0, E48/$C$70)</f>
        <v/>
      </c>
      <c r="G48" s="104">
        <f>F48*$T$5</f>
        <v/>
      </c>
      <c r="H48" s="104" t="n">
        <v>3</v>
      </c>
      <c r="I48" s="104">
        <f>$T$7*H48</f>
        <v/>
      </c>
      <c r="J48" s="104">
        <f>G48+$T$9+I48</f>
        <v/>
      </c>
      <c r="K48" s="104">
        <f>$T$11/64</f>
        <v/>
      </c>
      <c r="L48" s="7" t="n">
        <v>0</v>
      </c>
      <c r="M48" s="104" t="n">
        <v>0</v>
      </c>
      <c r="N48" s="104" t="n">
        <v>0</v>
      </c>
      <c r="O48" s="104" t="n">
        <v>0</v>
      </c>
      <c r="P48" s="109" t="n"/>
      <c r="Q48" s="109" t="n"/>
      <c r="R48" s="109">
        <f>(J48+K48+L48+M48+N48+O48)*$B$2</f>
        <v/>
      </c>
      <c r="S48" s="107" t="n"/>
      <c r="T48" s="110" t="n"/>
    </row>
    <row r="49" ht="12.75" customHeight="1" s="251">
      <c r="A49" s="104" t="inlineStr">
        <is>
          <t>S12</t>
        </is>
      </c>
      <c r="B49" s="13" t="inlineStr">
        <is>
          <t>Saovik Mondal</t>
        </is>
      </c>
      <c r="C49" s="9" t="n">
        <v>0</v>
      </c>
      <c r="D49" s="104">
        <f>SUM($C$3:$C$5)/64</f>
        <v/>
      </c>
      <c r="E49" s="104">
        <f>C49+D49</f>
        <v/>
      </c>
      <c r="F49" s="104">
        <f>IF($C$70=0, 0, E49/$C$70)</f>
        <v/>
      </c>
      <c r="G49" s="104">
        <f>F49*$T$5</f>
        <v/>
      </c>
      <c r="H49" s="104" t="n">
        <v>3</v>
      </c>
      <c r="I49" s="104">
        <f>$T$7*H49</f>
        <v/>
      </c>
      <c r="J49" s="104">
        <f>G49+$T$9+I49</f>
        <v/>
      </c>
      <c r="K49" s="104">
        <f>$T$11/64</f>
        <v/>
      </c>
      <c r="L49" s="7" t="n">
        <v>0</v>
      </c>
      <c r="M49" s="104" t="n">
        <v>0</v>
      </c>
      <c r="N49" s="104" t="n">
        <v>0</v>
      </c>
      <c r="O49" s="104" t="n">
        <v>0</v>
      </c>
      <c r="P49" s="109" t="n"/>
      <c r="Q49" s="109" t="n"/>
      <c r="R49" s="109">
        <f>(J49+K49+L49+M49+N49+O49)*$B$2</f>
        <v/>
      </c>
      <c r="S49" s="107" t="n"/>
      <c r="T49" s="110" t="n"/>
    </row>
    <row r="50" ht="12.75" customHeight="1" s="251">
      <c r="A50" s="104" t="inlineStr">
        <is>
          <t>S13</t>
        </is>
      </c>
      <c r="B50" s="13" t="inlineStr">
        <is>
          <t>Ramadevi S.</t>
        </is>
      </c>
      <c r="C50" s="9" t="n">
        <v>0</v>
      </c>
      <c r="D50" s="104">
        <f>SUM($C$3:$C$5)/64</f>
        <v/>
      </c>
      <c r="E50" s="104">
        <f>C50+D50</f>
        <v/>
      </c>
      <c r="F50" s="104">
        <f>IF($C$70=0, 0, E50/$C$70)</f>
        <v/>
      </c>
      <c r="G50" s="104">
        <f>F50*$T$5</f>
        <v/>
      </c>
      <c r="H50" s="104" t="n">
        <v>4</v>
      </c>
      <c r="I50" s="104">
        <f>$T$7*H50</f>
        <v/>
      </c>
      <c r="J50" s="104">
        <f>G50+$T$9+I50</f>
        <v/>
      </c>
      <c r="K50" s="104">
        <f>$T$11/64</f>
        <v/>
      </c>
      <c r="L50" s="7" t="n">
        <v>0</v>
      </c>
      <c r="M50" s="104" t="n">
        <v>0</v>
      </c>
      <c r="N50" s="104" t="n">
        <v>0</v>
      </c>
      <c r="O50" s="104" t="n">
        <v>0</v>
      </c>
      <c r="P50" s="109" t="n"/>
      <c r="Q50" s="109" t="n"/>
      <c r="R50" s="109">
        <f>(J50+K50+L50+M50+N50+O50)*$B$2</f>
        <v/>
      </c>
      <c r="S50" s="107" t="n"/>
      <c r="T50" s="110" t="n"/>
    </row>
    <row r="51" ht="12.75" customHeight="1" s="251">
      <c r="A51" s="104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04">
        <f>SUM($C$3:$C$5)/64</f>
        <v/>
      </c>
      <c r="E51" s="104">
        <f>C51+D51</f>
        <v/>
      </c>
      <c r="F51" s="104">
        <f>IF($C$70=0, 0, E51/$C$70)</f>
        <v/>
      </c>
      <c r="G51" s="104">
        <f>F51*$T$5</f>
        <v/>
      </c>
      <c r="H51" s="104" t="n">
        <v>4</v>
      </c>
      <c r="I51" s="104">
        <f>$T$7*H51</f>
        <v/>
      </c>
      <c r="J51" s="104">
        <f>G51+$T$9+I51</f>
        <v/>
      </c>
      <c r="K51" s="104">
        <f>$T$11/64</f>
        <v/>
      </c>
      <c r="L51" s="7" t="n">
        <v>0</v>
      </c>
      <c r="M51" s="104" t="n">
        <v>0</v>
      </c>
      <c r="N51" s="104" t="n">
        <v>0</v>
      </c>
      <c r="O51" s="104" t="n">
        <v>0</v>
      </c>
      <c r="P51" s="109" t="n"/>
      <c r="Q51" s="109" t="n"/>
      <c r="R51" s="109">
        <f>(J51+K51+L51+M51+N51+O51)*$B$2</f>
        <v/>
      </c>
      <c r="S51" s="107" t="n"/>
      <c r="T51" s="110" t="n"/>
    </row>
    <row r="52" ht="12.75" customHeight="1" s="251">
      <c r="A52" s="104" t="inlineStr">
        <is>
          <t>S15</t>
        </is>
      </c>
      <c r="B52" s="13" t="inlineStr">
        <is>
          <t>Manas Dasgupta</t>
        </is>
      </c>
      <c r="C52" s="9" t="n">
        <v>0</v>
      </c>
      <c r="D52" s="104">
        <f>SUM($C$3:$C$5)/64</f>
        <v/>
      </c>
      <c r="E52" s="104">
        <f>C52+D52</f>
        <v/>
      </c>
      <c r="F52" s="104">
        <f>IF($C$70=0, 0, E52/$C$70)</f>
        <v/>
      </c>
      <c r="G52" s="104">
        <f>F52*$T$5</f>
        <v/>
      </c>
      <c r="H52" s="104" t="n">
        <v>4</v>
      </c>
      <c r="I52" s="104">
        <f>$T$7*H52</f>
        <v/>
      </c>
      <c r="J52" s="104">
        <f>G52+$T$9+I52</f>
        <v/>
      </c>
      <c r="K52" s="104">
        <f>$T$11/64</f>
        <v/>
      </c>
      <c r="L52" s="7" t="n">
        <v>0</v>
      </c>
      <c r="M52" s="104" t="n">
        <v>0</v>
      </c>
      <c r="N52" s="104" t="n">
        <v>0</v>
      </c>
      <c r="O52" s="104" t="n">
        <v>0</v>
      </c>
      <c r="P52" s="109" t="n"/>
      <c r="Q52" s="109" t="n"/>
      <c r="R52" s="109">
        <f>(J52+K52+L52+M52+N52+O52)*$B$2</f>
        <v/>
      </c>
      <c r="S52" s="107" t="n"/>
      <c r="T52" s="110" t="n"/>
    </row>
    <row r="53" ht="12.75" customHeight="1" s="251">
      <c r="A53" s="104" t="inlineStr">
        <is>
          <t>S16</t>
        </is>
      </c>
      <c r="B53" s="13" t="inlineStr">
        <is>
          <t>Devendra Singh Rawat / Nancy</t>
        </is>
      </c>
      <c r="C53" s="9" t="n">
        <v>0</v>
      </c>
      <c r="D53" s="104">
        <f>SUM($C$3:$C$5)/64</f>
        <v/>
      </c>
      <c r="E53" s="104">
        <f>C53+D53</f>
        <v/>
      </c>
      <c r="F53" s="104">
        <f>IF($C$70=0, 0, E53/$C$70)</f>
        <v/>
      </c>
      <c r="G53" s="104">
        <f>F53*$T$5</f>
        <v/>
      </c>
      <c r="H53" s="104" t="n">
        <v>3</v>
      </c>
      <c r="I53" s="104">
        <f>$T$7*H53</f>
        <v/>
      </c>
      <c r="J53" s="104">
        <f>G53+$T$9+I53</f>
        <v/>
      </c>
      <c r="K53" s="104">
        <f>$T$11/64</f>
        <v/>
      </c>
      <c r="L53" s="7" t="n">
        <v>0</v>
      </c>
      <c r="M53" s="104" t="n">
        <v>0</v>
      </c>
      <c r="N53" s="104" t="n">
        <v>0</v>
      </c>
      <c r="O53" s="104" t="n">
        <v>0</v>
      </c>
      <c r="P53" s="109" t="n"/>
      <c r="Q53" s="109" t="n"/>
      <c r="R53" s="109">
        <f>(J53+K53+L53+M53+N53+O53)*$B$2</f>
        <v/>
      </c>
      <c r="S53" s="107" t="n"/>
      <c r="T53" s="110" t="n"/>
    </row>
    <row r="54" ht="12.75" customHeight="1" s="251">
      <c r="A54" s="104" t="inlineStr">
        <is>
          <t>T1</t>
        </is>
      </c>
      <c r="B54" s="13" t="inlineStr">
        <is>
          <t>Prashant Sikdar</t>
        </is>
      </c>
      <c r="C54" s="9" t="n">
        <v>0</v>
      </c>
      <c r="D54" s="104">
        <f>SUM($C$3:$C$5)/64</f>
        <v/>
      </c>
      <c r="E54" s="104">
        <f>C54+D54</f>
        <v/>
      </c>
      <c r="F54" s="104">
        <f>IF($C$70=0, 0, E54/$C$70)</f>
        <v/>
      </c>
      <c r="G54" s="104">
        <f>F54*$T$5</f>
        <v/>
      </c>
      <c r="H54" s="104" t="n">
        <v>3</v>
      </c>
      <c r="I54" s="104">
        <f>$T$7*H54</f>
        <v/>
      </c>
      <c r="J54" s="104">
        <f>G54+$T$9+I54</f>
        <v/>
      </c>
      <c r="K54" s="104">
        <f>$T$11/64</f>
        <v/>
      </c>
      <c r="L54" s="7" t="n">
        <v>0</v>
      </c>
      <c r="M54" s="104" t="n">
        <v>0</v>
      </c>
      <c r="N54" s="104" t="n">
        <v>0</v>
      </c>
      <c r="O54" s="104" t="n">
        <v>0</v>
      </c>
      <c r="P54" s="109" t="n"/>
      <c r="Q54" s="109" t="n"/>
      <c r="R54" s="109">
        <f>(J54+K54+L54+M54+N54+O54)*$B$2</f>
        <v/>
      </c>
      <c r="S54" s="107" t="n"/>
      <c r="T54" s="110" t="n"/>
    </row>
    <row r="55" ht="12.75" customHeight="1" s="251">
      <c r="A55" s="104" t="inlineStr">
        <is>
          <t>T2</t>
        </is>
      </c>
      <c r="B55" s="13" t="inlineStr">
        <is>
          <t>Kunal Mehta</t>
        </is>
      </c>
      <c r="C55" s="9" t="n">
        <v>0</v>
      </c>
      <c r="D55" s="104">
        <f>SUM($C$3:$C$5)/64</f>
        <v/>
      </c>
      <c r="E55" s="104">
        <f>C55+D55</f>
        <v/>
      </c>
      <c r="F55" s="104">
        <f>IF($C$70=0, 0, E55/$C$70)</f>
        <v/>
      </c>
      <c r="G55" s="104">
        <f>F55*$T$5</f>
        <v/>
      </c>
      <c r="H55" s="104" t="n">
        <v>4</v>
      </c>
      <c r="I55" s="104">
        <f>$T$7*H55</f>
        <v/>
      </c>
      <c r="J55" s="104">
        <f>G55+$T$9+I55</f>
        <v/>
      </c>
      <c r="K55" s="104">
        <f>$T$11/64</f>
        <v/>
      </c>
      <c r="L55" s="7" t="n">
        <v>0</v>
      </c>
      <c r="M55" s="104" t="n">
        <v>0</v>
      </c>
      <c r="N55" s="104" t="n">
        <v>0</v>
      </c>
      <c r="O55" s="104" t="n">
        <v>0</v>
      </c>
      <c r="P55" s="109" t="n"/>
      <c r="Q55" s="109" t="n"/>
      <c r="R55" s="109">
        <f>(J55+K55+L55+M55+N55+O55)*$B$2</f>
        <v/>
      </c>
      <c r="S55" s="107" t="n"/>
      <c r="T55" s="110" t="n"/>
    </row>
    <row r="56" ht="12.75" customHeight="1" s="251">
      <c r="A56" s="104" t="inlineStr">
        <is>
          <t>T3</t>
        </is>
      </c>
      <c r="B56" s="13" t="inlineStr">
        <is>
          <t>Kapil Garg</t>
        </is>
      </c>
      <c r="C56" s="9" t="n">
        <v>0</v>
      </c>
      <c r="D56" s="104">
        <f>SUM($C$3:$C$5)/64</f>
        <v/>
      </c>
      <c r="E56" s="104">
        <f>C56+D56</f>
        <v/>
      </c>
      <c r="F56" s="104">
        <f>IF($C$70=0, 0, E56/$C$70)</f>
        <v/>
      </c>
      <c r="G56" s="104">
        <f>F56*$T$5</f>
        <v/>
      </c>
      <c r="H56" s="104" t="n">
        <v>4</v>
      </c>
      <c r="I56" s="104">
        <f>$T$7*H56</f>
        <v/>
      </c>
      <c r="J56" s="104">
        <f>G56+$T$9+I56</f>
        <v/>
      </c>
      <c r="K56" s="104">
        <f>$T$11/64</f>
        <v/>
      </c>
      <c r="L56" s="7" t="n">
        <v>0</v>
      </c>
      <c r="M56" s="104" t="n">
        <v>0</v>
      </c>
      <c r="N56" s="104" t="n">
        <v>0</v>
      </c>
      <c r="O56" s="104" t="n">
        <v>0</v>
      </c>
      <c r="P56" s="109" t="n"/>
      <c r="Q56" s="109" t="n"/>
      <c r="R56" s="109">
        <f>(J56+K56+L56+M56+N56+O56)*$B$2</f>
        <v/>
      </c>
      <c r="S56" s="107" t="n"/>
      <c r="T56" s="110" t="n"/>
    </row>
    <row r="57" ht="12.75" customHeight="1" s="251">
      <c r="A57" s="104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04">
        <f>SUM($C$3:$C$5)/64</f>
        <v/>
      </c>
      <c r="E57" s="104">
        <f>C57+D57</f>
        <v/>
      </c>
      <c r="F57" s="104">
        <f>IF($C$70=0, 0, E57/$C$70)</f>
        <v/>
      </c>
      <c r="G57" s="104">
        <f>F57*$T$5</f>
        <v/>
      </c>
      <c r="H57" s="104" t="n">
        <v>4</v>
      </c>
      <c r="I57" s="104">
        <f>$T$7*H57</f>
        <v/>
      </c>
      <c r="J57" s="104">
        <f>G57+$T$9+I57</f>
        <v/>
      </c>
      <c r="K57" s="104">
        <f>$T$11/64</f>
        <v/>
      </c>
      <c r="L57" s="7" t="n">
        <v>0</v>
      </c>
      <c r="M57" s="104" t="n">
        <v>0</v>
      </c>
      <c r="N57" s="104" t="n">
        <v>0</v>
      </c>
      <c r="O57" s="104" t="n">
        <v>0</v>
      </c>
      <c r="P57" s="109" t="n"/>
      <c r="Q57" s="109" t="n"/>
      <c r="R57" s="109">
        <f>(J57+K57+L57+M57+N57+O57)*$B$2</f>
        <v/>
      </c>
      <c r="S57" s="107" t="n"/>
      <c r="T57" s="110" t="n"/>
    </row>
    <row r="58" ht="12.75" customHeight="1" s="251">
      <c r="A58" s="104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04">
        <f>SUM($C$3:$C$5)/64</f>
        <v/>
      </c>
      <c r="E58" s="104">
        <f>C58+D58</f>
        <v/>
      </c>
      <c r="F58" s="104">
        <f>IF($C$70=0, 0, E58/$C$70)</f>
        <v/>
      </c>
      <c r="G58" s="104">
        <f>F58*$T$5</f>
        <v/>
      </c>
      <c r="H58" s="104" t="n">
        <v>3</v>
      </c>
      <c r="I58" s="104">
        <f>$T$7*H58</f>
        <v/>
      </c>
      <c r="J58" s="104">
        <f>G58+$T$9+I58</f>
        <v/>
      </c>
      <c r="K58" s="104">
        <f>$T$11/64</f>
        <v/>
      </c>
      <c r="L58" s="7" t="n">
        <v>0</v>
      </c>
      <c r="M58" s="104" t="n">
        <v>0</v>
      </c>
      <c r="N58" s="104" t="n">
        <v>0</v>
      </c>
      <c r="O58" s="104" t="n">
        <v>0</v>
      </c>
      <c r="P58" s="109" t="n"/>
      <c r="Q58" s="109" t="n"/>
      <c r="R58" s="109">
        <f>(J58+K58+L58+M58+N58+O58)*$B$2</f>
        <v/>
      </c>
      <c r="S58" s="107" t="n"/>
      <c r="T58" s="110" t="n"/>
    </row>
    <row r="59" ht="12.75" customHeight="1" s="251">
      <c r="A59" s="104" t="inlineStr">
        <is>
          <t>T6</t>
        </is>
      </c>
      <c r="B59" s="13" t="inlineStr">
        <is>
          <t>Mythili Ramesh</t>
        </is>
      </c>
      <c r="C59" s="9" t="n">
        <v>0</v>
      </c>
      <c r="D59" s="104">
        <f>SUM($C$3:$C$5)/64</f>
        <v/>
      </c>
      <c r="E59" s="104">
        <f>C59+D59</f>
        <v/>
      </c>
      <c r="F59" s="104">
        <f>IF($C$70=0, 0, E59/$C$70)</f>
        <v/>
      </c>
      <c r="G59" s="104">
        <f>F59*$T$5</f>
        <v/>
      </c>
      <c r="H59" s="104" t="n">
        <v>3</v>
      </c>
      <c r="I59" s="104">
        <f>$T$7*H59</f>
        <v/>
      </c>
      <c r="J59" s="104">
        <f>G59+$T$9+I59</f>
        <v/>
      </c>
      <c r="K59" s="104">
        <f>$T$11/64</f>
        <v/>
      </c>
      <c r="L59" s="7" t="n">
        <v>0</v>
      </c>
      <c r="M59" s="104" t="n">
        <v>0</v>
      </c>
      <c r="N59" s="104" t="n">
        <v>0</v>
      </c>
      <c r="O59" s="104" t="n">
        <v>0</v>
      </c>
      <c r="P59" s="109" t="n"/>
      <c r="Q59" s="109" t="n"/>
      <c r="R59" s="109">
        <f>(J59+K59+L59+M59+N59+O59)*$B$2</f>
        <v/>
      </c>
      <c r="S59" s="107" t="n"/>
      <c r="T59" s="110" t="n"/>
    </row>
    <row r="60" ht="12.75" customHeight="1" s="251">
      <c r="A60" s="104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04">
        <f>SUM($C$3:$C$5)/64</f>
        <v/>
      </c>
      <c r="E60" s="104">
        <f>C60+D60</f>
        <v/>
      </c>
      <c r="F60" s="104">
        <f>IF($C$70=0, 0, E60/$C$70)</f>
        <v/>
      </c>
      <c r="G60" s="104">
        <f>F60*$T$5</f>
        <v/>
      </c>
      <c r="H60" s="104" t="n">
        <v>3</v>
      </c>
      <c r="I60" s="104">
        <f>$T$7*H60</f>
        <v/>
      </c>
      <c r="J60" s="104">
        <f>G60+$T$9+I60</f>
        <v/>
      </c>
      <c r="K60" s="104">
        <f>$T$11/64</f>
        <v/>
      </c>
      <c r="L60" s="7" t="n">
        <v>0</v>
      </c>
      <c r="M60" s="104" t="n">
        <v>0</v>
      </c>
      <c r="N60" s="104" t="n">
        <v>0</v>
      </c>
      <c r="O60" s="104" t="n">
        <v>0</v>
      </c>
      <c r="P60" s="109" t="n"/>
      <c r="Q60" s="109" t="n"/>
      <c r="R60" s="109">
        <f>(J60+K60+L60+M60+N60+O60)*$B$2</f>
        <v/>
      </c>
      <c r="S60" s="107" t="n"/>
      <c r="T60" s="110" t="n"/>
    </row>
    <row r="61" ht="12.75" customHeight="1" s="251">
      <c r="A61" s="104" t="inlineStr">
        <is>
          <t>T8</t>
        </is>
      </c>
      <c r="B61" s="13" t="inlineStr">
        <is>
          <t>Lalit Kumar Sharma</t>
        </is>
      </c>
      <c r="C61" s="9" t="n">
        <v>0</v>
      </c>
      <c r="D61" s="104">
        <f>SUM($C$3:$C$5)/64</f>
        <v/>
      </c>
      <c r="E61" s="104">
        <f>C61+D61</f>
        <v/>
      </c>
      <c r="F61" s="104">
        <f>IF($C$70=0, 0, E61/$C$70)</f>
        <v/>
      </c>
      <c r="G61" s="104">
        <f>F61*$T$5</f>
        <v/>
      </c>
      <c r="H61" s="104" t="n">
        <v>3</v>
      </c>
      <c r="I61" s="104">
        <f>$T$7*H61</f>
        <v/>
      </c>
      <c r="J61" s="104">
        <f>G61+$T$9+I61</f>
        <v/>
      </c>
      <c r="K61" s="104">
        <f>$T$11/64</f>
        <v/>
      </c>
      <c r="L61" s="7" t="n">
        <v>0</v>
      </c>
      <c r="M61" s="104" t="n">
        <v>0</v>
      </c>
      <c r="N61" s="104" t="n">
        <v>0</v>
      </c>
      <c r="O61" s="104" t="n">
        <v>0</v>
      </c>
      <c r="P61" s="109" t="n"/>
      <c r="Q61" s="109" t="n"/>
      <c r="R61" s="109">
        <f>(J61+K61+L61+M61+N61+O61)*$B$2</f>
        <v/>
      </c>
      <c r="S61" s="107" t="n"/>
      <c r="T61" s="110" t="n"/>
    </row>
    <row r="62" ht="12.75" customHeight="1" s="251">
      <c r="A62" s="104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04">
        <f>SUM($C$3:$C$5)/64</f>
        <v/>
      </c>
      <c r="E62" s="104">
        <f>C62+D62</f>
        <v/>
      </c>
      <c r="F62" s="104">
        <f>IF($C$70=0, 0, E62/$C$70)</f>
        <v/>
      </c>
      <c r="G62" s="104">
        <f>F62*$T$5</f>
        <v/>
      </c>
      <c r="H62" s="104" t="n">
        <v>4</v>
      </c>
      <c r="I62" s="104">
        <f>$T$7*H62</f>
        <v/>
      </c>
      <c r="J62" s="104">
        <f>G62+$T$9+I62</f>
        <v/>
      </c>
      <c r="K62" s="104">
        <f>$T$11/64</f>
        <v/>
      </c>
      <c r="L62" s="7" t="n">
        <v>0</v>
      </c>
      <c r="M62" s="104" t="n">
        <v>0</v>
      </c>
      <c r="N62" s="104" t="n">
        <v>0</v>
      </c>
      <c r="O62" s="104" t="n">
        <v>0</v>
      </c>
      <c r="P62" s="109" t="n"/>
      <c r="Q62" s="109" t="n"/>
      <c r="R62" s="109">
        <f>(J62+K62+L62+M62+N62+O62)*$B$2</f>
        <v/>
      </c>
      <c r="S62" s="107" t="n"/>
      <c r="T62" s="110" t="n"/>
    </row>
    <row r="63" ht="12.75" customHeight="1" s="251">
      <c r="A63" s="104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04">
        <f>SUM($C$3:$C$5)/64</f>
        <v/>
      </c>
      <c r="E63" s="104">
        <f>C63+D63</f>
        <v/>
      </c>
      <c r="F63" s="104">
        <f>IF($C$70=0, 0, E63/$C$70)</f>
        <v/>
      </c>
      <c r="G63" s="104">
        <f>F63*$T$5</f>
        <v/>
      </c>
      <c r="H63" s="104" t="n">
        <v>3</v>
      </c>
      <c r="I63" s="104">
        <f>$T$7*H63</f>
        <v/>
      </c>
      <c r="J63" s="104">
        <f>G63+$T$9+I63</f>
        <v/>
      </c>
      <c r="K63" s="104">
        <f>$T$11/64</f>
        <v/>
      </c>
      <c r="L63" s="7" t="n">
        <v>0</v>
      </c>
      <c r="M63" s="104" t="n">
        <v>0</v>
      </c>
      <c r="N63" s="104" t="n">
        <v>0</v>
      </c>
      <c r="O63" s="104" t="n">
        <v>0</v>
      </c>
      <c r="P63" s="109" t="n"/>
      <c r="Q63" s="109" t="n"/>
      <c r="R63" s="109">
        <f>(J63+K63+L63+M63+N63+O63)*$B$2</f>
        <v/>
      </c>
      <c r="S63" s="107" t="n"/>
      <c r="T63" s="110" t="n"/>
    </row>
    <row r="64" ht="12.75" customHeight="1" s="251">
      <c r="A64" s="104" t="inlineStr">
        <is>
          <t>T11</t>
        </is>
      </c>
      <c r="B64" s="13" t="inlineStr">
        <is>
          <t>Arvind Balasubramanian</t>
        </is>
      </c>
      <c r="C64" s="9" t="n">
        <v>0</v>
      </c>
      <c r="D64" s="104">
        <f>SUM($C$3:$C$5)/64</f>
        <v/>
      </c>
      <c r="E64" s="104">
        <f>C64+D64</f>
        <v/>
      </c>
      <c r="F64" s="104">
        <f>IF($C$70=0, 0, E64/$C$70)</f>
        <v/>
      </c>
      <c r="G64" s="104">
        <f>F64*$T$5</f>
        <v/>
      </c>
      <c r="H64" s="104" t="n">
        <v>3</v>
      </c>
      <c r="I64" s="104">
        <f>$T$7*H64</f>
        <v/>
      </c>
      <c r="J64" s="104">
        <f>G64+$T$9+I64</f>
        <v/>
      </c>
      <c r="K64" s="104">
        <f>$T$11/64</f>
        <v/>
      </c>
      <c r="L64" s="7" t="n">
        <v>0</v>
      </c>
      <c r="M64" s="104" t="n">
        <v>0</v>
      </c>
      <c r="N64" s="104" t="n">
        <v>0</v>
      </c>
      <c r="O64" s="104" t="n">
        <v>0</v>
      </c>
      <c r="P64" s="109" t="n"/>
      <c r="Q64" s="109" t="n"/>
      <c r="R64" s="109">
        <f>(J64+K64+L64+M64+N64+O64)*$B$2</f>
        <v/>
      </c>
      <c r="S64" s="107" t="n"/>
      <c r="T64" s="110" t="n"/>
    </row>
    <row r="65" ht="12.75" customHeight="1" s="251">
      <c r="A65" s="104" t="inlineStr">
        <is>
          <t>T12</t>
        </is>
      </c>
      <c r="B65" s="13" t="inlineStr">
        <is>
          <t>Prasenjit</t>
        </is>
      </c>
      <c r="C65" s="9" t="n">
        <v>0</v>
      </c>
      <c r="D65" s="104">
        <f>SUM($C$3:$C$5)/64</f>
        <v/>
      </c>
      <c r="E65" s="104">
        <f>C65+D65</f>
        <v/>
      </c>
      <c r="F65" s="104">
        <f>IF($C$70=0, 0, E65/$C$70)</f>
        <v/>
      </c>
      <c r="G65" s="104">
        <f>F65*$T$5</f>
        <v/>
      </c>
      <c r="H65" s="104" t="n">
        <v>3</v>
      </c>
      <c r="I65" s="104">
        <f>$T$7*H65</f>
        <v/>
      </c>
      <c r="J65" s="104">
        <f>G65+$T$9+I65</f>
        <v/>
      </c>
      <c r="K65" s="104">
        <f>$T$11/64</f>
        <v/>
      </c>
      <c r="L65" s="7" t="n">
        <v>0</v>
      </c>
      <c r="M65" s="104" t="n">
        <v>0</v>
      </c>
      <c r="N65" s="104" t="n">
        <v>0</v>
      </c>
      <c r="O65" s="104" t="n">
        <v>0</v>
      </c>
      <c r="P65" s="109" t="n"/>
      <c r="Q65" s="109" t="n"/>
      <c r="R65" s="109">
        <f>(J65+K65+L65+M65+N65+O65)*$B$2</f>
        <v/>
      </c>
      <c r="S65" s="107" t="n"/>
      <c r="T65" s="110" t="n"/>
    </row>
    <row r="66" ht="12.75" customHeight="1" s="251">
      <c r="A66" s="104" t="inlineStr">
        <is>
          <t>T13</t>
        </is>
      </c>
      <c r="B66" s="13" t="inlineStr">
        <is>
          <t>Rahul Kumar</t>
        </is>
      </c>
      <c r="C66" s="9" t="n">
        <v>0</v>
      </c>
      <c r="D66" s="104">
        <f>SUM($C$3:$C$5)/64</f>
        <v/>
      </c>
      <c r="E66" s="104">
        <f>C66+D66</f>
        <v/>
      </c>
      <c r="F66" s="104">
        <f>IF($C$70=0, 0, E66/$C$70)</f>
        <v/>
      </c>
      <c r="G66" s="104">
        <f>F66*$T$5</f>
        <v/>
      </c>
      <c r="H66" s="104" t="n">
        <v>4</v>
      </c>
      <c r="I66" s="104">
        <f>$T$7*H66</f>
        <v/>
      </c>
      <c r="J66" s="104">
        <f>G66+$T$9+I66</f>
        <v/>
      </c>
      <c r="K66" s="104">
        <f>$T$11/64</f>
        <v/>
      </c>
      <c r="L66" s="7" t="n">
        <v>0</v>
      </c>
      <c r="M66" s="104" t="n">
        <v>0</v>
      </c>
      <c r="N66" s="104" t="n">
        <v>0</v>
      </c>
      <c r="O66" s="104" t="n">
        <v>0</v>
      </c>
      <c r="P66" s="109" t="n"/>
      <c r="Q66" s="109" t="n"/>
      <c r="R66" s="109">
        <f>(J66+K66+L66+M66+N66+O66)*$B$2</f>
        <v/>
      </c>
      <c r="S66" s="107" t="n"/>
      <c r="T66" s="110" t="n"/>
    </row>
    <row r="67" ht="12.75" customHeight="1" s="251">
      <c r="A67" s="104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04">
        <f>SUM($C$3:$C$5)/64</f>
        <v/>
      </c>
      <c r="E67" s="104">
        <f>C67+D67</f>
        <v/>
      </c>
      <c r="F67" s="104">
        <f>IF($C$70=0, 0, E67/$C$70)</f>
        <v/>
      </c>
      <c r="G67" s="104">
        <f>F67*$T$5</f>
        <v/>
      </c>
      <c r="H67" s="104" t="n">
        <v>4</v>
      </c>
      <c r="I67" s="104">
        <f>$T$7*H67</f>
        <v/>
      </c>
      <c r="J67" s="104">
        <f>G67+$T$9+I67</f>
        <v/>
      </c>
      <c r="K67" s="104">
        <f>$T$11/64</f>
        <v/>
      </c>
      <c r="L67" s="7" t="n">
        <v>0</v>
      </c>
      <c r="M67" s="104" t="n">
        <v>0</v>
      </c>
      <c r="N67" s="104" t="n">
        <v>0</v>
      </c>
      <c r="O67" s="104" t="n">
        <v>0</v>
      </c>
      <c r="P67" s="109" t="n"/>
      <c r="Q67" s="109" t="n"/>
      <c r="R67" s="109">
        <f>(J67+K67+L67+M67+N67+O67)*$B$2</f>
        <v/>
      </c>
      <c r="S67" s="107" t="n"/>
      <c r="T67" s="110" t="n"/>
    </row>
    <row r="68" ht="12.75" customHeight="1" s="251">
      <c r="A68" s="104" t="inlineStr">
        <is>
          <t>T15</t>
        </is>
      </c>
      <c r="B68" s="13" t="inlineStr">
        <is>
          <t>Trevor</t>
        </is>
      </c>
      <c r="C68" s="9" t="n">
        <v>0</v>
      </c>
      <c r="D68" s="104">
        <f>SUM($C$3:$C$5)/64</f>
        <v/>
      </c>
      <c r="E68" s="104">
        <f>C68+D68</f>
        <v/>
      </c>
      <c r="F68" s="104">
        <f>IF($C$70=0, 0, E68/$C$70)</f>
        <v/>
      </c>
      <c r="G68" s="104">
        <f>F68*$T$5</f>
        <v/>
      </c>
      <c r="H68" s="104" t="n">
        <v>4</v>
      </c>
      <c r="I68" s="104">
        <f>$T$7*H68</f>
        <v/>
      </c>
      <c r="J68" s="104">
        <f>G68+$T$9+I68</f>
        <v/>
      </c>
      <c r="K68" s="104">
        <f>$T$11/64</f>
        <v/>
      </c>
      <c r="L68" s="7" t="n">
        <v>0</v>
      </c>
      <c r="M68" s="104" t="n">
        <v>0</v>
      </c>
      <c r="N68" s="104" t="n">
        <v>0</v>
      </c>
      <c r="O68" s="104" t="n">
        <v>0</v>
      </c>
      <c r="P68" s="109" t="n"/>
      <c r="Q68" s="109" t="n"/>
      <c r="R68" s="109">
        <f>(J68+K68+L68+M68+N68+O68)*$B$2</f>
        <v/>
      </c>
      <c r="S68" s="107" t="n"/>
      <c r="T68" s="110" t="n"/>
    </row>
    <row r="69" ht="12.75" customHeight="1" s="251">
      <c r="A69" s="104" t="inlineStr">
        <is>
          <t>T16</t>
        </is>
      </c>
      <c r="B69" s="13" t="inlineStr">
        <is>
          <t>Madhusoodanan P.R.</t>
        </is>
      </c>
      <c r="C69" s="9" t="n">
        <v>0</v>
      </c>
      <c r="D69" s="104">
        <f>SUM($C$3:$C$5)/64</f>
        <v/>
      </c>
      <c r="E69" s="104">
        <f>C69+D69</f>
        <v/>
      </c>
      <c r="F69" s="104">
        <f>IF($C$70=0, 0, E69/$C$70)</f>
        <v/>
      </c>
      <c r="G69" s="104">
        <f>F69*$T$5</f>
        <v/>
      </c>
      <c r="H69" s="104" t="n">
        <v>3</v>
      </c>
      <c r="I69" s="104">
        <f>$T$7*H69</f>
        <v/>
      </c>
      <c r="J69" s="104">
        <f>G69+$T$9+I69</f>
        <v/>
      </c>
      <c r="K69" s="104">
        <f>$T$11/64</f>
        <v/>
      </c>
      <c r="L69" s="7" t="n">
        <v>0</v>
      </c>
      <c r="M69" s="104" t="n">
        <v>0</v>
      </c>
      <c r="N69" s="104" t="n">
        <v>0</v>
      </c>
      <c r="O69" s="104" t="n">
        <v>0</v>
      </c>
      <c r="P69" s="109" t="n"/>
      <c r="Q69" s="109" t="n"/>
      <c r="R69" s="109">
        <f>(J69+K69+L69+M69+N69+O69)*$B$2</f>
        <v/>
      </c>
      <c r="S69" s="107" t="n"/>
      <c r="T69" s="110" t="n"/>
    </row>
    <row r="70" ht="12.75" customHeight="1" s="251">
      <c r="A70" s="104" t="n"/>
      <c r="B70" s="108" t="inlineStr">
        <is>
          <t>TOTAL</t>
        </is>
      </c>
      <c r="C70" s="104">
        <f>SUM(C3:C69)</f>
        <v/>
      </c>
      <c r="D70" s="104">
        <f>SUM(D3:D69)</f>
        <v/>
      </c>
      <c r="E70" s="104">
        <f>SUM(E3:E69)</f>
        <v/>
      </c>
      <c r="F70" s="104">
        <f>IF($C$70=0, 0, E70/$C$70)</f>
        <v/>
      </c>
      <c r="G70" s="104">
        <f>SUM(G3:G69)</f>
        <v/>
      </c>
      <c r="H70" s="104">
        <f>SUM(H3:H69)</f>
        <v/>
      </c>
      <c r="I70" s="104">
        <f>SUM(I3:I69)</f>
        <v/>
      </c>
      <c r="J70" s="104">
        <f>SUM(J3:J69)</f>
        <v/>
      </c>
      <c r="K70" s="104">
        <f>SUM(K3:K69)</f>
        <v/>
      </c>
      <c r="L70" s="104">
        <f>SUM(L3:L69)</f>
        <v/>
      </c>
      <c r="M70" s="104">
        <f>SUM(M3:M69)</f>
        <v/>
      </c>
      <c r="N70" s="104">
        <f>SUM(N3:N69)</f>
        <v/>
      </c>
      <c r="O70" s="104">
        <f>SUM(O3:O69)</f>
        <v/>
      </c>
      <c r="P70" s="104" t="n"/>
      <c r="Q70" s="104" t="n"/>
      <c r="R70" s="104">
        <f>SUM(R3:R69)</f>
        <v/>
      </c>
      <c r="S70" s="107" t="n"/>
      <c r="T70" s="110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C3" s="40" t="n"/>
      <c r="D3" s="87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86" t="n"/>
      <c r="E4" s="46" t="n"/>
      <c r="F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F5" s="86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86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0" t="n"/>
      <c r="D7" s="87" t="n"/>
      <c r="E7" s="40" t="n"/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0" t="n"/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120" t="n"/>
      <c r="D9" s="86" t="n"/>
      <c r="F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120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Niwin Anto</t>
        </is>
      </c>
      <c r="C12" s="73" t="n"/>
      <c r="D12" s="86" t="n"/>
      <c r="F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F13" s="86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F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2" t="n"/>
      <c r="D16" s="86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C17" s="40" t="n"/>
      <c r="D17" s="87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F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F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86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C22" s="46" t="n"/>
      <c r="D22" s="86" t="n"/>
      <c r="F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C23" s="40" t="n"/>
      <c r="D23" s="87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120" t="n"/>
      <c r="D24" s="86" t="n"/>
      <c r="F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0" t="n"/>
      <c r="D25" s="87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Ankur Agarwal</t>
        </is>
      </c>
      <c r="C26" s="73" t="n"/>
      <c r="D26" s="86" t="n"/>
      <c r="F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>Richa Singh</t>
        </is>
      </c>
      <c r="C27" s="46" t="n"/>
      <c r="D27" s="87" t="n"/>
      <c r="F27" s="86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120" t="n"/>
      <c r="D28" s="86" t="n"/>
      <c r="F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C30" s="40" t="n"/>
      <c r="D30" s="87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121" t="n"/>
      <c r="D31" s="86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F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E33" s="40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F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Mahesh K (tenant)</t>
        </is>
      </c>
      <c r="C36" s="40" t="n"/>
      <c r="D36" s="87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F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86" t="n"/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F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86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F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121" t="n"/>
      <c r="D44" s="86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F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C47" s="40" t="n"/>
      <c r="D47" s="87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47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F51" s="86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F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F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F55" s="86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122" t="n"/>
      <c r="D57" s="87" t="n"/>
      <c r="F57" s="86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7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120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86" t="n"/>
      <c r="F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E61" s="40" t="n"/>
      <c r="F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D62" s="47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F63" s="86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120" t="n"/>
      <c r="D64" s="86" t="n"/>
      <c r="F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86" t="n"/>
      <c r="F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51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2" t="n"/>
      <c r="D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D3" s="87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0" t="n"/>
      <c r="D4" s="86" t="n"/>
      <c r="H4" s="71" t="n"/>
      <c r="K4" s="40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6" t="n"/>
      <c r="D5" s="87" t="n"/>
      <c r="H5" s="72" t="n"/>
      <c r="K5" s="46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2" t="n"/>
      <c r="D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C7" s="40" t="n"/>
      <c r="D7" s="87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D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120" t="n"/>
      <c r="D9" s="86" t="n"/>
      <c r="H9" s="71" t="n"/>
      <c r="K9" s="46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120" t="n"/>
      <c r="D10" s="87" t="n"/>
      <c r="F10" s="86" t="n"/>
      <c r="H10" s="71" t="n"/>
      <c r="K10" s="46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H11" s="72" t="n"/>
      <c r="K11" s="40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73" t="n"/>
      <c r="D12" s="86" t="n"/>
      <c r="H12" s="71" t="n"/>
      <c r="K12" s="46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6" t="n"/>
      <c r="D13" s="86" t="n"/>
      <c r="E13" s="40" t="n"/>
      <c r="F13" s="45" t="n"/>
      <c r="H13" s="71" t="n"/>
      <c r="K13" s="46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Sanchay Saxena</t>
        </is>
      </c>
      <c r="C14" s="42" t="n"/>
      <c r="D14" s="86" t="n"/>
      <c r="F14" s="45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C15" s="46" t="n"/>
      <c r="D15" s="86" t="n"/>
      <c r="H15" s="72" t="n"/>
      <c r="K15" s="46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</t>
        </is>
      </c>
      <c r="C16" s="40" t="n"/>
      <c r="D16" s="45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D17" s="87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0" t="n"/>
      <c r="D18" s="45" t="n"/>
      <c r="H18" s="72" t="n"/>
      <c r="K18" s="40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73" t="n"/>
      <c r="D19" s="86" t="n"/>
      <c r="H19" s="71" t="n"/>
      <c r="K19" s="46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73" t="n"/>
      <c r="D20" s="86" t="n"/>
      <c r="H20" s="71" t="n"/>
      <c r="K20" s="46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73" t="n"/>
      <c r="D21" s="86" t="n"/>
      <c r="F21" s="45" t="n"/>
      <c r="H21" s="71" t="n"/>
      <c r="K21" s="46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Abhishek G/Mayank Phophaliya</t>
        </is>
      </c>
      <c r="C22" s="46" t="n"/>
      <c r="D22" s="86" t="n"/>
      <c r="H22" s="72" t="n"/>
      <c r="K22" s="46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D23" s="87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C24" s="120" t="n"/>
      <c r="D24" s="86" t="n"/>
      <c r="H24" s="71" t="n"/>
      <c r="K24" s="46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0" t="n"/>
      <c r="D25" s="87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Chandramouli</t>
        </is>
      </c>
      <c r="C26" s="73" t="n"/>
      <c r="D26" s="86" t="n"/>
      <c r="H26" s="71" t="n"/>
      <c r="K26" s="46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>Richa Singh</t>
        </is>
      </c>
      <c r="C27" s="46" t="n"/>
      <c r="D27" s="87" t="n"/>
      <c r="H27" s="72" t="n"/>
      <c r="K27" s="46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C28" s="120" t="n"/>
      <c r="D28" s="86" t="n"/>
      <c r="H28" s="71" t="n"/>
      <c r="K28" s="46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H29" s="71" t="n"/>
      <c r="K29" s="40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87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121" t="n"/>
      <c r="D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C32" s="73" t="n"/>
      <c r="D32" s="86" t="n"/>
      <c r="H32" s="71" t="n"/>
      <c r="K32" s="46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2" t="n"/>
      <c r="D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73" t="n"/>
      <c r="D34" s="86" t="n"/>
      <c r="H34" s="71" t="n"/>
      <c r="K34" s="46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</t>
        </is>
      </c>
      <c r="C35" s="40" t="n"/>
      <c r="D35" s="45" t="n"/>
      <c r="H35" s="72" t="n"/>
      <c r="K35" s="40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Mahesh K</t>
        </is>
      </c>
      <c r="C36" s="40" t="n"/>
      <c r="D36" s="87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 xml:space="preserve">Swaminathan </t>
        </is>
      </c>
      <c r="C37" s="73" t="n"/>
      <c r="D37" s="86" t="n"/>
      <c r="H37" s="71" t="n"/>
      <c r="K37" s="46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2" t="n"/>
      <c r="D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73" t="n"/>
      <c r="D40" s="86" t="n"/>
      <c r="H40" s="71" t="n"/>
      <c r="K40" s="46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73" t="n"/>
      <c r="D41" s="86" t="n"/>
      <c r="F41" s="45" t="n"/>
      <c r="H41" s="71" t="n"/>
      <c r="K41" s="46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73" t="n"/>
      <c r="D42" s="86" t="n"/>
      <c r="F42" s="86" t="n"/>
      <c r="H42" s="71" t="n"/>
      <c r="K42" s="46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C43" s="73" t="n"/>
      <c r="D43" s="86" t="n"/>
      <c r="H43" s="71" t="n"/>
      <c r="K43" s="46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121" t="n"/>
      <c r="D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C45" s="73" t="n"/>
      <c r="D45" s="86" t="n"/>
      <c r="H45" s="71" t="n"/>
      <c r="K45" s="46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F46" s="45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87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H48" s="71" t="n"/>
      <c r="K48" s="40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7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2" t="n"/>
      <c r="D50" s="47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C51" s="46" t="n"/>
      <c r="D51" s="87" t="n"/>
      <c r="H51" s="72" t="n"/>
      <c r="K51" s="46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73" t="n"/>
      <c r="D52" s="86" t="n"/>
      <c r="H52" s="71" t="n"/>
      <c r="K52" s="46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C53" s="73" t="n"/>
      <c r="D53" s="86" t="n"/>
      <c r="H53" s="71" t="n"/>
      <c r="K53" s="46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2" t="n"/>
      <c r="D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C55" s="46" t="n"/>
      <c r="D55" s="87" t="n"/>
      <c r="H55" s="72" t="n"/>
      <c r="K55" s="46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2" t="n"/>
      <c r="D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122" t="n"/>
      <c r="D57" s="87" t="n"/>
      <c r="H57" s="72" t="n"/>
      <c r="K57" s="46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7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120" t="n"/>
      <c r="D59" s="86" t="n"/>
      <c r="F59" s="86" t="n"/>
      <c r="H59" s="71" t="n"/>
      <c r="K59" s="46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Arvind Balasubramanian</t>
        </is>
      </c>
      <c r="C60" s="73" t="n"/>
      <c r="D60" s="86" t="n"/>
      <c r="H60" s="71" t="n"/>
      <c r="K60" s="46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6" t="n"/>
      <c r="D61" s="86" t="n"/>
      <c r="H61" s="71" t="n"/>
      <c r="K61" s="46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Shonali Deokule / Reshma (tenant)</t>
        </is>
      </c>
      <c r="C62" s="40" t="n"/>
      <c r="D62" s="45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6" t="n"/>
      <c r="D63" s="87" t="n"/>
      <c r="H63" s="72" t="n"/>
      <c r="K63" s="46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120" t="n"/>
      <c r="D64" s="86" t="n"/>
      <c r="H64" s="71" t="n"/>
      <c r="K64" s="46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2" t="n"/>
      <c r="D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51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0.5" customWidth="1" style="251" min="2" max="2"/>
    <col width="19.1640625" customWidth="1" style="251" min="3" max="9"/>
    <col width="27.1640625" customWidth="1" style="251" min="10" max="10"/>
    <col width="19.1640625" customWidth="1" style="251" min="11" max="18"/>
    <col width="32.33203125" customWidth="1" style="251" min="19" max="19"/>
    <col width="12" customWidth="1" style="251" min="20" max="20"/>
  </cols>
  <sheetData>
    <row r="1" ht="16.5" customHeight="1" s="251">
      <c r="A1" s="123" t="n"/>
      <c r="B1" s="277" t="inlineStr">
        <is>
          <t>FEBRUARY 2027 EXPENSES</t>
        </is>
      </c>
    </row>
    <row r="2" ht="58.5" customHeight="1" s="251">
      <c r="A2" s="104" t="inlineStr">
        <is>
          <t>FLAT #</t>
        </is>
      </c>
      <c r="B2" s="118" t="n">
        <v>1</v>
      </c>
      <c r="C2" s="105" t="inlineStr">
        <is>
          <t>WATER USED IN LTRS</t>
        </is>
      </c>
      <c r="D2" s="105" t="inlineStr">
        <is>
          <t>COMMON AREA EQUALLY DEVIDED</t>
        </is>
      </c>
      <c r="E2" s="105" t="inlineStr">
        <is>
          <t>TOTAL FRESH WATER CONSUMED</t>
        </is>
      </c>
      <c r="F2" s="105" t="inlineStr">
        <is>
          <t>%OF TOTAL USED</t>
        </is>
      </c>
      <c r="G2" s="105" t="inlineStr">
        <is>
          <t>WATER EXPENSE SHARING BY %</t>
        </is>
      </c>
      <c r="H2" s="105" t="inlineStr">
        <is>
          <t>#METERS</t>
        </is>
      </c>
      <c r="I2" s="105" t="inlineStr">
        <is>
          <t>METER RENT</t>
        </is>
      </c>
      <c r="J2" s="105" t="inlineStr">
        <is>
          <t>COMMON AREA METER RENT + WATER EXPENSE+ FLAT METER RENT</t>
        </is>
      </c>
      <c r="K2" s="105" t="inlineStr">
        <is>
          <t>FIXED EXPENSE SHARE</t>
        </is>
      </c>
      <c r="L2" s="105" t="inlineStr">
        <is>
          <t>PARKING FEE</t>
        </is>
      </c>
      <c r="M2" s="105" t="inlineStr">
        <is>
          <t>CLUB BOOKING FEE</t>
        </is>
      </c>
      <c r="N2" s="105" t="inlineStr">
        <is>
          <t>SHIFTING FEE</t>
        </is>
      </c>
      <c r="O2" s="105" t="inlineStr">
        <is>
          <t>GYM USAGE FEE</t>
        </is>
      </c>
      <c r="P2" s="106" t="n"/>
      <c r="Q2" s="106" t="n"/>
      <c r="R2" s="106" t="inlineStr">
        <is>
          <t>TOTAL EXPENSE TO BE PAID</t>
        </is>
      </c>
      <c r="S2" s="107" t="n"/>
      <c r="T2" s="107" t="n"/>
    </row>
    <row r="3" ht="12.75" customHeight="1" s="251">
      <c r="A3" s="104" t="inlineStr">
        <is>
          <t>CH</t>
        </is>
      </c>
      <c r="B3" s="108" t="inlineStr">
        <is>
          <t>MPFOWA</t>
        </is>
      </c>
      <c r="C3" s="104" t="n">
        <v>0</v>
      </c>
      <c r="D3" s="104" t="n">
        <v>0</v>
      </c>
      <c r="E3" s="104" t="n"/>
      <c r="F3" s="104" t="n"/>
      <c r="G3" s="104" t="n"/>
      <c r="H3" s="104" t="n">
        <v>1</v>
      </c>
      <c r="I3" s="104">
        <f>T7</f>
        <v/>
      </c>
      <c r="J3" s="104" t="n"/>
      <c r="K3" s="104" t="n"/>
      <c r="L3" s="109" t="n"/>
      <c r="M3" s="104" t="n"/>
      <c r="N3" s="104" t="n"/>
      <c r="O3" s="104" t="n"/>
      <c r="P3" s="109" t="n"/>
      <c r="Q3" s="109" t="n"/>
      <c r="R3" s="109" t="n"/>
      <c r="S3" s="107" t="n"/>
      <c r="T3" s="110" t="n"/>
    </row>
    <row r="4" ht="12.75" customHeight="1" s="251">
      <c r="A4" s="104" t="inlineStr">
        <is>
          <t>GYM</t>
        </is>
      </c>
      <c r="B4" s="108" t="inlineStr">
        <is>
          <t>MPFOWA</t>
        </is>
      </c>
      <c r="C4" s="104" t="n">
        <v>0</v>
      </c>
      <c r="D4" s="104" t="n">
        <v>0</v>
      </c>
      <c r="E4" s="104" t="n"/>
      <c r="F4" s="104" t="n"/>
      <c r="G4" s="104" t="n"/>
      <c r="H4" s="104" t="n">
        <v>1</v>
      </c>
      <c r="I4" s="104">
        <f>T7</f>
        <v/>
      </c>
      <c r="J4" s="104" t="n"/>
      <c r="K4" s="104" t="n"/>
      <c r="L4" s="109" t="n"/>
      <c r="M4" s="104" t="n"/>
      <c r="N4" s="104" t="n"/>
      <c r="O4" s="104" t="n"/>
      <c r="P4" s="109" t="n"/>
      <c r="Q4" s="109" t="n"/>
      <c r="R4" s="109" t="n"/>
      <c r="S4" s="111" t="inlineStr">
        <is>
          <t>TOTAL FIXED EXPENSE</t>
        </is>
      </c>
      <c r="T4" s="112">
        <f>'ANNUAL-EXPENSE-DETAILS'!BF13</f>
        <v/>
      </c>
    </row>
    <row r="5" ht="12.75" customHeight="1" s="251">
      <c r="A5" s="104" t="inlineStr">
        <is>
          <t>BSMT</t>
        </is>
      </c>
      <c r="B5" s="108" t="inlineStr">
        <is>
          <t>MPFOWA</t>
        </is>
      </c>
      <c r="C5" s="104" t="n">
        <v>0</v>
      </c>
      <c r="D5" s="104" t="n">
        <v>0</v>
      </c>
      <c r="E5" s="104" t="n"/>
      <c r="F5" s="104" t="n"/>
      <c r="G5" s="104" t="n"/>
      <c r="H5" s="104" t="n">
        <v>1</v>
      </c>
      <c r="I5" s="104">
        <f>T7</f>
        <v/>
      </c>
      <c r="J5" s="104" t="n"/>
      <c r="K5" s="104" t="n"/>
      <c r="L5" s="109" t="n"/>
      <c r="M5" s="104" t="n"/>
      <c r="N5" s="104" t="n"/>
      <c r="O5" s="104" t="n"/>
      <c r="P5" s="109" t="n"/>
      <c r="Q5" s="109" t="n"/>
      <c r="R5" s="109" t="n"/>
      <c r="S5" s="111" t="inlineStr">
        <is>
          <t>TOTAL WATER EXPENSE</t>
        </is>
      </c>
      <c r="T5" s="112">
        <f>'ANNUAL-EXPENSE-DETAILS'!BE13</f>
        <v/>
      </c>
    </row>
    <row r="6" ht="12.75" customHeight="1" s="251">
      <c r="A6" s="104" t="inlineStr">
        <is>
          <t>F1</t>
        </is>
      </c>
      <c r="B6" s="13" t="inlineStr">
        <is>
          <t>Shailesh Srivastava / Azeem Nawaz</t>
        </is>
      </c>
      <c r="C6" s="9" t="n">
        <v>0</v>
      </c>
      <c r="D6" s="104">
        <f>SUM($C$3:$C$5)/64</f>
        <v/>
      </c>
      <c r="E6" s="104">
        <f>C6+D6</f>
        <v/>
      </c>
      <c r="F6" s="104">
        <f>IF($C$70=0, 0, E6/$C$70)</f>
        <v/>
      </c>
      <c r="G6" s="104">
        <f>F6*$T$5</f>
        <v/>
      </c>
      <c r="H6" s="104" t="n">
        <v>3</v>
      </c>
      <c r="I6" s="104">
        <f>$T$7*H6</f>
        <v/>
      </c>
      <c r="J6" s="104">
        <f>G6+$T$9+I6</f>
        <v/>
      </c>
      <c r="K6" s="104">
        <f>$T$11/64</f>
        <v/>
      </c>
      <c r="L6" s="14" t="n">
        <v>0</v>
      </c>
      <c r="M6" s="104" t="n">
        <v>0</v>
      </c>
      <c r="N6" s="104" t="n">
        <v>0</v>
      </c>
      <c r="O6" s="104" t="n">
        <v>0</v>
      </c>
      <c r="P6" s="109" t="n"/>
      <c r="Q6" s="109" t="n"/>
      <c r="R6" s="109">
        <f>(J6+K6+L6+M6+N6+O6)*$B$2</f>
        <v/>
      </c>
      <c r="S6" s="107" t="n"/>
      <c r="T6" s="110" t="n"/>
    </row>
    <row r="7" ht="12.75" customHeight="1" s="251">
      <c r="A7" s="104" t="inlineStr">
        <is>
          <t>F2</t>
        </is>
      </c>
      <c r="B7" s="13" t="inlineStr">
        <is>
          <t>Shanthanu</t>
        </is>
      </c>
      <c r="C7" s="9" t="n">
        <v>0</v>
      </c>
      <c r="D7" s="104">
        <f>SUM($C$3:$C$5)/64</f>
        <v/>
      </c>
      <c r="E7" s="104">
        <f>C7+D7</f>
        <v/>
      </c>
      <c r="F7" s="104">
        <f>IF($C$70=0, 0, E7/$C$70)</f>
        <v/>
      </c>
      <c r="G7" s="104">
        <f>F7*$T$5</f>
        <v/>
      </c>
      <c r="H7" s="104" t="n">
        <v>4</v>
      </c>
      <c r="I7" s="104">
        <f>$T$7*H7</f>
        <v/>
      </c>
      <c r="J7" s="104">
        <f>G7+$T$9+I7</f>
        <v/>
      </c>
      <c r="K7" s="104">
        <f>$T$11/64</f>
        <v/>
      </c>
      <c r="L7" s="7" t="n">
        <v>0</v>
      </c>
      <c r="M7" s="104" t="n">
        <v>0</v>
      </c>
      <c r="N7" s="104" t="n">
        <v>0</v>
      </c>
      <c r="O7" s="104" t="n">
        <v>0</v>
      </c>
      <c r="P7" s="109" t="n"/>
      <c r="Q7" s="109" t="n"/>
      <c r="R7" s="109">
        <f>(J7+K7+L7+M7+N7+O7)*$B$2</f>
        <v/>
      </c>
      <c r="S7" s="107" t="inlineStr">
        <is>
          <t>RENT PER METER</t>
        </is>
      </c>
      <c r="T7" s="17" t="n">
        <v>117.81</v>
      </c>
    </row>
    <row r="8" ht="12.75" customHeight="1" s="251">
      <c r="A8" s="104" t="inlineStr">
        <is>
          <t>F3</t>
        </is>
      </c>
      <c r="B8" s="13" t="inlineStr">
        <is>
          <t>Samrat Kar</t>
        </is>
      </c>
      <c r="C8" s="9" t="n">
        <v>0</v>
      </c>
      <c r="D8" s="104">
        <f>SUM($C$3:$C$5)/64</f>
        <v/>
      </c>
      <c r="E8" s="104">
        <f>C8+D8</f>
        <v/>
      </c>
      <c r="F8" s="104">
        <f>IF($C$70=0, 0, E8/$C$70)</f>
        <v/>
      </c>
      <c r="G8" s="104">
        <f>F8*$T$5</f>
        <v/>
      </c>
      <c r="H8" s="104" t="n">
        <v>4</v>
      </c>
      <c r="I8" s="104">
        <f>$T$7*H8</f>
        <v/>
      </c>
      <c r="J8" s="104">
        <f>G8+$T$9+I8</f>
        <v/>
      </c>
      <c r="K8" s="104">
        <f>$T$11/64</f>
        <v/>
      </c>
      <c r="L8" s="7" t="n">
        <v>0</v>
      </c>
      <c r="M8" s="104" t="n">
        <v>0</v>
      </c>
      <c r="N8" s="104" t="n">
        <v>0</v>
      </c>
      <c r="O8" s="104" t="n">
        <v>0</v>
      </c>
      <c r="P8" s="109" t="n"/>
      <c r="Q8" s="109" t="n"/>
      <c r="R8" s="109">
        <f>(J8+K8+L8+M8+N8+O8)*$B$2</f>
        <v/>
      </c>
      <c r="S8" s="107" t="inlineStr">
        <is>
          <t>COMMON AREA METER RENT</t>
        </is>
      </c>
      <c r="T8" s="110">
        <f>$T$7*3</f>
        <v/>
      </c>
    </row>
    <row r="9" ht="12.75" customHeight="1" s="251">
      <c r="A9" s="104" t="inlineStr">
        <is>
          <t>F4</t>
        </is>
      </c>
      <c r="B9" s="13" t="inlineStr">
        <is>
          <t>Renu R</t>
        </is>
      </c>
      <c r="C9" s="9" t="n">
        <v>0</v>
      </c>
      <c r="D9" s="104">
        <f>SUM($C$3:$C$5)/64</f>
        <v/>
      </c>
      <c r="E9" s="104">
        <f>C9+D9</f>
        <v/>
      </c>
      <c r="F9" s="104">
        <f>IF($C$70=0, 0, E9/$C$70)</f>
        <v/>
      </c>
      <c r="G9" s="104">
        <f>F9*$T$5</f>
        <v/>
      </c>
      <c r="H9" s="104" t="n">
        <v>4</v>
      </c>
      <c r="I9" s="104">
        <f>$T$7*H9</f>
        <v/>
      </c>
      <c r="J9" s="104">
        <f>G9+$T$9+I9</f>
        <v/>
      </c>
      <c r="K9" s="104">
        <f>$T$11/64</f>
        <v/>
      </c>
      <c r="L9" s="7" t="n">
        <v>0</v>
      </c>
      <c r="M9" s="104" t="n">
        <v>0</v>
      </c>
      <c r="N9" s="104" t="n">
        <v>0</v>
      </c>
      <c r="O9" s="104" t="n">
        <v>0</v>
      </c>
      <c r="P9" s="109" t="n"/>
      <c r="Q9" s="109" t="n"/>
      <c r="R9" s="109">
        <f>(J9+K9+L9+M9+N9+O9)*$B$2</f>
        <v/>
      </c>
      <c r="S9" s="113" t="inlineStr">
        <is>
          <t>COMMON AREA METER RENT/FLAT</t>
        </is>
      </c>
      <c r="T9" s="114">
        <f>T8/64</f>
        <v/>
      </c>
    </row>
    <row r="10" ht="12.75" customHeight="1" s="251">
      <c r="A10" s="104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04">
        <f>SUM($C$3:$C$5)/64</f>
        <v/>
      </c>
      <c r="E10" s="104">
        <f>C10+D10</f>
        <v/>
      </c>
      <c r="F10" s="104">
        <f>IF($C$70=0, 0, E10/$C$70)</f>
        <v/>
      </c>
      <c r="G10" s="104">
        <f>F10*$T$5</f>
        <v/>
      </c>
      <c r="H10" s="104" t="n">
        <v>3</v>
      </c>
      <c r="I10" s="104">
        <f>$T$7*H10</f>
        <v/>
      </c>
      <c r="J10" s="104">
        <f>G10+$T$9+I10</f>
        <v/>
      </c>
      <c r="K10" s="104">
        <f>$T$11/64</f>
        <v/>
      </c>
      <c r="L10" s="7" t="n">
        <v>0</v>
      </c>
      <c r="M10" s="104" t="n">
        <v>0</v>
      </c>
      <c r="N10" s="104" t="n">
        <v>0</v>
      </c>
      <c r="O10" s="104" t="n">
        <v>0</v>
      </c>
      <c r="P10" s="109" t="n"/>
      <c r="Q10" s="109" t="n"/>
      <c r="R10" s="109">
        <f>(J10+K10+L10+M10+N10+O10)*$B$2</f>
        <v/>
      </c>
      <c r="S10" s="107" t="n"/>
      <c r="T10" s="110" t="n"/>
    </row>
    <row r="11" ht="12.75" customHeight="1" s="251">
      <c r="A11" s="104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04">
        <f>SUM($C$3:$C$5)/64</f>
        <v/>
      </c>
      <c r="E11" s="104">
        <f>C11+D11</f>
        <v/>
      </c>
      <c r="F11" s="104">
        <f>IF($C$70=0, 0, E11/$C$70)</f>
        <v/>
      </c>
      <c r="G11" s="104">
        <f>F11*$T$5</f>
        <v/>
      </c>
      <c r="H11" s="104" t="n">
        <v>3</v>
      </c>
      <c r="I11" s="104">
        <f>$T$7*H11</f>
        <v/>
      </c>
      <c r="J11" s="104">
        <f>G11+$T$9+I11</f>
        <v/>
      </c>
      <c r="K11" s="104">
        <f>$T$11/64</f>
        <v/>
      </c>
      <c r="L11" s="7" t="n">
        <v>0</v>
      </c>
      <c r="M11" s="104" t="n">
        <v>0</v>
      </c>
      <c r="N11" s="104" t="n">
        <v>0</v>
      </c>
      <c r="O11" s="104" t="n">
        <v>0</v>
      </c>
      <c r="P11" s="109" t="n"/>
      <c r="Q11" s="109" t="n"/>
      <c r="R11" s="109">
        <f>(J11+K11+L11+M11+N11+O11)*$B$2</f>
        <v/>
      </c>
      <c r="S11" s="113" t="inlineStr">
        <is>
          <t>TOTAL FIXED EXPENSE</t>
        </is>
      </c>
      <c r="T11" s="114">
        <f>'ANNUAL-EXPENSE-DETAILS'!BF13</f>
        <v/>
      </c>
    </row>
    <row r="12" ht="12.75" customHeight="1" s="251">
      <c r="A12" s="104" t="inlineStr">
        <is>
          <t>F7</t>
        </is>
      </c>
      <c r="B12" s="13" t="inlineStr">
        <is>
          <t>Vimal NK</t>
        </is>
      </c>
      <c r="C12" s="9" t="n">
        <v>0</v>
      </c>
      <c r="D12" s="104">
        <f>SUM($C$3:$C$5)/64</f>
        <v/>
      </c>
      <c r="E12" s="104">
        <f>C12+D12</f>
        <v/>
      </c>
      <c r="F12" s="104">
        <f>IF($C$70=0, 0, E12/$C$70)</f>
        <v/>
      </c>
      <c r="G12" s="104">
        <f>F12*$T$5</f>
        <v/>
      </c>
      <c r="H12" s="104" t="n">
        <v>3</v>
      </c>
      <c r="I12" s="104">
        <f>$T$7*H12</f>
        <v/>
      </c>
      <c r="J12" s="104">
        <f>G12+$T$9+I12</f>
        <v/>
      </c>
      <c r="K12" s="104">
        <f>$T$11/64</f>
        <v/>
      </c>
      <c r="L12" s="7" t="n">
        <v>0</v>
      </c>
      <c r="M12" s="104" t="n">
        <v>0</v>
      </c>
      <c r="N12" s="104" t="n">
        <v>0</v>
      </c>
      <c r="O12" s="104" t="n">
        <v>0</v>
      </c>
      <c r="P12" s="109" t="n"/>
      <c r="Q12" s="109" t="n"/>
      <c r="R12" s="109">
        <f>(J12+K12+L12+M12+N12+O12)*$B$2</f>
        <v/>
      </c>
      <c r="S12" s="107" t="n"/>
      <c r="T12" s="110" t="n"/>
    </row>
    <row r="13" ht="12.75" customHeight="1" s="251">
      <c r="A13" s="104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04">
        <f>SUM($C$3:$C$5)/64</f>
        <v/>
      </c>
      <c r="E13" s="104">
        <f>C13+D13</f>
        <v/>
      </c>
      <c r="F13" s="104">
        <f>IF($C$70=0, 0, E13/$C$70)</f>
        <v/>
      </c>
      <c r="G13" s="104">
        <f>F13*$T$5</f>
        <v/>
      </c>
      <c r="H13" s="104" t="n">
        <v>3</v>
      </c>
      <c r="I13" s="104">
        <f>$T$7*H13</f>
        <v/>
      </c>
      <c r="J13" s="104">
        <f>G13+$T$9+I13</f>
        <v/>
      </c>
      <c r="K13" s="104">
        <f>$T$11/64</f>
        <v/>
      </c>
      <c r="L13" s="7" t="n">
        <v>0</v>
      </c>
      <c r="M13" s="104" t="n">
        <v>0</v>
      </c>
      <c r="N13" s="104" t="n">
        <v>0</v>
      </c>
      <c r="O13" s="104" t="n">
        <v>0</v>
      </c>
      <c r="P13" s="109" t="n"/>
      <c r="Q13" s="109" t="n"/>
      <c r="R13" s="109">
        <f>(J13+K13+L13+M13+N13+O13)*$B$2</f>
        <v/>
      </c>
      <c r="S13" s="115" t="inlineStr">
        <is>
          <t>TOTAL WATER METER RENT</t>
        </is>
      </c>
      <c r="T13" s="116">
        <f>T8+I70</f>
        <v/>
      </c>
    </row>
    <row r="14" ht="12.75" customHeight="1" s="251">
      <c r="A14" s="104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04">
        <f>SUM($C$3:$C$5)/64</f>
        <v/>
      </c>
      <c r="E14" s="104">
        <f>C14+D14</f>
        <v/>
      </c>
      <c r="F14" s="104">
        <f>IF($C$70=0, 0, E14/$C$70)</f>
        <v/>
      </c>
      <c r="G14" s="104">
        <f>F14*$T$5</f>
        <v/>
      </c>
      <c r="H14" s="104" t="n">
        <v>4</v>
      </c>
      <c r="I14" s="104">
        <f>$T$7*H14</f>
        <v/>
      </c>
      <c r="J14" s="104">
        <f>G14+$T$9+I14</f>
        <v/>
      </c>
      <c r="K14" s="104">
        <f>$T$11/64</f>
        <v/>
      </c>
      <c r="L14" s="7" t="n">
        <v>0</v>
      </c>
      <c r="M14" s="104" t="n">
        <v>0</v>
      </c>
      <c r="N14" s="104" t="n">
        <v>0</v>
      </c>
      <c r="O14" s="104" t="n">
        <v>0</v>
      </c>
      <c r="P14" s="109" t="n"/>
      <c r="Q14" s="109" t="n"/>
      <c r="R14" s="109">
        <f>(J14+K14+L14+M14+N14+O14)*$B$2</f>
        <v/>
      </c>
      <c r="S14" s="107" t="n"/>
      <c r="T14" s="110" t="n"/>
    </row>
    <row r="15" ht="12.75" customHeight="1" s="251">
      <c r="A15" s="104" t="inlineStr">
        <is>
          <t>F10</t>
        </is>
      </c>
      <c r="B15" s="13" t="inlineStr">
        <is>
          <t>Aby Thomas</t>
        </is>
      </c>
      <c r="C15" s="9" t="n">
        <v>0</v>
      </c>
      <c r="D15" s="104">
        <f>SUM($C$3:$C$5)/64</f>
        <v/>
      </c>
      <c r="E15" s="104">
        <f>C15+D15</f>
        <v/>
      </c>
      <c r="F15" s="104">
        <f>IF($C$70=0, 0, E15/$C$70)</f>
        <v/>
      </c>
      <c r="G15" s="104">
        <f>F15*$T$5</f>
        <v/>
      </c>
      <c r="H15" s="104" t="n">
        <v>3</v>
      </c>
      <c r="I15" s="104">
        <f>$T$7*H15</f>
        <v/>
      </c>
      <c r="J15" s="104">
        <f>G15+$T$9+I15</f>
        <v/>
      </c>
      <c r="K15" s="104">
        <f>$T$11/64</f>
        <v/>
      </c>
      <c r="L15" s="7" t="n">
        <v>0</v>
      </c>
      <c r="M15" s="104" t="n">
        <v>0</v>
      </c>
      <c r="N15" s="104" t="n">
        <v>0</v>
      </c>
      <c r="O15" s="104" t="n">
        <v>0</v>
      </c>
      <c r="P15" s="109" t="n"/>
      <c r="Q15" s="109" t="n"/>
      <c r="R15" s="109">
        <f>(J15+K15+L15+M15+N15+O15)*$B$2</f>
        <v/>
      </c>
      <c r="S15" s="61" t="inlineStr">
        <is>
          <t>BALANCE IN ACCOUNT ON 28-Feb-2023</t>
        </is>
      </c>
      <c r="T15" s="63" t="n"/>
    </row>
    <row r="16" ht="12.75" customHeight="1" s="251">
      <c r="A16" s="104" t="inlineStr">
        <is>
          <t>F11</t>
        </is>
      </c>
      <c r="B16" s="13" t="inlineStr">
        <is>
          <t>Niwin Anto</t>
        </is>
      </c>
      <c r="C16" s="9" t="n">
        <v>0</v>
      </c>
      <c r="D16" s="104">
        <f>SUM($C$3:$C$5)/64</f>
        <v/>
      </c>
      <c r="E16" s="104">
        <f>C16+D16</f>
        <v/>
      </c>
      <c r="F16" s="104">
        <f>IF($C$70=0, 0, E16/$C$70)</f>
        <v/>
      </c>
      <c r="G16" s="104">
        <f>F16*$T$5</f>
        <v/>
      </c>
      <c r="H16" s="104" t="n">
        <v>3</v>
      </c>
      <c r="I16" s="104">
        <f>$T$7*H16</f>
        <v/>
      </c>
      <c r="J16" s="104">
        <f>G16+$T$9+I16</f>
        <v/>
      </c>
      <c r="K16" s="104">
        <f>$T$11/64</f>
        <v/>
      </c>
      <c r="L16" s="7" t="n">
        <v>0</v>
      </c>
      <c r="M16" s="104" t="n">
        <v>0</v>
      </c>
      <c r="N16" s="104" t="n">
        <v>0</v>
      </c>
      <c r="O16" s="104" t="n">
        <v>0</v>
      </c>
      <c r="P16" s="109" t="n"/>
      <c r="Q16" s="109" t="n"/>
      <c r="R16" s="109">
        <f>(J16+K16+L16+M16+N16+O16)*$B$2</f>
        <v/>
      </c>
      <c r="S16" s="61" t="inlineStr">
        <is>
          <t>TOTAL NON MAINTENANCE CORPUS COLLECTION</t>
        </is>
      </c>
      <c r="T16" s="63" t="n"/>
    </row>
    <row r="17" ht="12.75" customHeight="1" s="251">
      <c r="A17" s="104" t="inlineStr">
        <is>
          <t>F12</t>
        </is>
      </c>
      <c r="B17" s="13" t="inlineStr">
        <is>
          <t>Anirudh Singh</t>
        </is>
      </c>
      <c r="C17" s="9" t="n">
        <v>0</v>
      </c>
      <c r="D17" s="104">
        <f>SUM($C$3:$C$5)/64</f>
        <v/>
      </c>
      <c r="E17" s="104">
        <f>C17+D17</f>
        <v/>
      </c>
      <c r="F17" s="104">
        <f>IF($C$70=0, 0, E17/$C$70)</f>
        <v/>
      </c>
      <c r="G17" s="104">
        <f>F17*$T$5</f>
        <v/>
      </c>
      <c r="H17" s="104" t="n">
        <v>3</v>
      </c>
      <c r="I17" s="104">
        <f>$T$7*H17</f>
        <v/>
      </c>
      <c r="J17" s="104">
        <f>G17+$T$9+I17</f>
        <v/>
      </c>
      <c r="K17" s="104">
        <f>$T$11/64</f>
        <v/>
      </c>
      <c r="L17" s="7" t="n">
        <v>0</v>
      </c>
      <c r="M17" s="104" t="n">
        <v>0</v>
      </c>
      <c r="N17" s="104" t="n">
        <v>0</v>
      </c>
      <c r="O17" s="104" t="n">
        <v>0</v>
      </c>
      <c r="P17" s="109" t="n"/>
      <c r="Q17" s="109" t="n"/>
      <c r="R17" s="109">
        <f>(J17+K17+L17+M17+N17+O17)*$B$2</f>
        <v/>
      </c>
      <c r="S17" s="61" t="inlineStr">
        <is>
          <t>TOTAL FD DONE</t>
        </is>
      </c>
      <c r="T17" s="63" t="n"/>
    </row>
    <row r="18" ht="12.75" customHeight="1" s="251">
      <c r="A18" s="104" t="inlineStr">
        <is>
          <t>F13</t>
        </is>
      </c>
      <c r="B18" s="13" t="inlineStr">
        <is>
          <t>Sanchay Saxena</t>
        </is>
      </c>
      <c r="C18" s="9" t="n">
        <v>0</v>
      </c>
      <c r="D18" s="104">
        <f>SUM($C$3:$C$5)/64</f>
        <v/>
      </c>
      <c r="E18" s="104">
        <f>C18+D18</f>
        <v/>
      </c>
      <c r="F18" s="104">
        <f>IF($C$70=0, 0, E18/$C$70)</f>
        <v/>
      </c>
      <c r="G18" s="104">
        <f>F18*$T$5</f>
        <v/>
      </c>
      <c r="H18" s="104" t="n">
        <v>4</v>
      </c>
      <c r="I18" s="104">
        <f>$T$7*H18</f>
        <v/>
      </c>
      <c r="J18" s="104">
        <f>G18+$T$9+I18</f>
        <v/>
      </c>
      <c r="K18" s="104">
        <f>$T$11/64</f>
        <v/>
      </c>
      <c r="L18" s="7" t="n">
        <v>0</v>
      </c>
      <c r="M18" s="104" t="n">
        <v>0</v>
      </c>
      <c r="N18" s="104" t="n">
        <v>0</v>
      </c>
      <c r="O18" s="104" t="n">
        <v>0</v>
      </c>
      <c r="P18" s="109" t="n"/>
      <c r="Q18" s="109" t="n"/>
      <c r="R18" s="109">
        <f>(J18+K18+L18+M18+N18+O18)*$B$2</f>
        <v/>
      </c>
      <c r="S18" s="64" t="inlineStr">
        <is>
          <t>AMOUNT AVAILABLE FOR NON MAINTENANCE CORPUS IN CURRENT AC</t>
        </is>
      </c>
      <c r="T18" s="65">
        <f>T16-T17</f>
        <v/>
      </c>
    </row>
    <row r="19" ht="12.75" customHeight="1" s="251">
      <c r="A19" s="104" t="inlineStr">
        <is>
          <t>F14</t>
        </is>
      </c>
      <c r="B19" s="13" t="inlineStr">
        <is>
          <t>Hemant Patel</t>
        </is>
      </c>
      <c r="C19" s="9" t="n">
        <v>0</v>
      </c>
      <c r="D19" s="104">
        <f>SUM($C$3:$C$5)/64</f>
        <v/>
      </c>
      <c r="E19" s="104">
        <f>C19+D19</f>
        <v/>
      </c>
      <c r="F19" s="104">
        <f>IF($C$70=0, 0, E19/$C$70)</f>
        <v/>
      </c>
      <c r="G19" s="104">
        <f>F19*$T$5</f>
        <v/>
      </c>
      <c r="H19" s="104" t="n">
        <v>4</v>
      </c>
      <c r="I19" s="104">
        <f>$T$7*H19</f>
        <v/>
      </c>
      <c r="J19" s="104">
        <f>G19+$T$9+I19</f>
        <v/>
      </c>
      <c r="K19" s="104">
        <f>$T$11/64</f>
        <v/>
      </c>
      <c r="L19" s="7" t="n">
        <v>0</v>
      </c>
      <c r="M19" s="104" t="n">
        <v>0</v>
      </c>
      <c r="N19" s="104" t="n">
        <v>0</v>
      </c>
      <c r="O19" s="104" t="n">
        <v>0</v>
      </c>
      <c r="P19" s="109" t="n"/>
      <c r="Q19" s="109" t="n"/>
      <c r="R19" s="109">
        <f>(J19+K19+L19+M19+N19+O19)*$B$2</f>
        <v/>
      </c>
      <c r="S19" s="66" t="inlineStr">
        <is>
          <t>AMOUNT AVAILABLE FOR MAINTENANCE</t>
        </is>
      </c>
      <c r="T19" s="67">
        <f>T15-T18</f>
        <v/>
      </c>
    </row>
    <row r="20" ht="12.75" customHeight="1" s="251">
      <c r="A20" s="104" t="inlineStr">
        <is>
          <t>F15</t>
        </is>
      </c>
      <c r="B20" s="13" t="inlineStr">
        <is>
          <t>Senthil.Vijayaragavan</t>
        </is>
      </c>
      <c r="C20" s="9" t="n">
        <v>0</v>
      </c>
      <c r="D20" s="104">
        <f>SUM($C$3:$C$5)/64</f>
        <v/>
      </c>
      <c r="E20" s="104">
        <f>C20+D20</f>
        <v/>
      </c>
      <c r="F20" s="104">
        <f>IF($C$70=0, 0, E20/$C$70)</f>
        <v/>
      </c>
      <c r="G20" s="104">
        <f>F20*$T$5</f>
        <v/>
      </c>
      <c r="H20" s="104" t="n">
        <v>4</v>
      </c>
      <c r="I20" s="104">
        <f>$T$7*H20</f>
        <v/>
      </c>
      <c r="J20" s="104">
        <f>G20+$T$9+I20</f>
        <v/>
      </c>
      <c r="K20" s="104">
        <f>$T$11/64</f>
        <v/>
      </c>
      <c r="L20" s="7" t="n">
        <v>0</v>
      </c>
      <c r="M20" s="104" t="n">
        <v>0</v>
      </c>
      <c r="N20" s="104" t="n">
        <v>0</v>
      </c>
      <c r="O20" s="104" t="n">
        <v>0</v>
      </c>
      <c r="P20" s="109" t="n"/>
      <c r="Q20" s="109" t="n"/>
      <c r="R20" s="109">
        <f>(J20+K20+L20+M20+N20+O20)*$B$2</f>
        <v/>
      </c>
      <c r="S20" s="66" t="inlineStr">
        <is>
          <t>TOTAL EXPENSE FOR THE MONTH</t>
        </is>
      </c>
      <c r="T20" s="67">
        <f>'ANNUAL-EXPENSE-DETAILS'!BH13</f>
        <v/>
      </c>
    </row>
    <row r="21" ht="12.75" customHeight="1" s="251">
      <c r="A21" s="104" t="inlineStr">
        <is>
          <t>F16</t>
        </is>
      </c>
      <c r="B21" s="13" t="inlineStr">
        <is>
          <t>Sreeja Sudharma</t>
        </is>
      </c>
      <c r="C21" s="9" t="n">
        <v>0</v>
      </c>
      <c r="D21" s="104">
        <f>SUM($C$3:$C$5)/64</f>
        <v/>
      </c>
      <c r="E21" s="104">
        <f>C21+D21</f>
        <v/>
      </c>
      <c r="F21" s="104">
        <f>IF($C$70=0, 0, E21/$C$70)</f>
        <v/>
      </c>
      <c r="G21" s="104">
        <f>F21*$T$5</f>
        <v/>
      </c>
      <c r="H21" s="104" t="n">
        <v>3</v>
      </c>
      <c r="I21" s="104">
        <f>$T$7*H21</f>
        <v/>
      </c>
      <c r="J21" s="104">
        <f>G21+$T$9+I21</f>
        <v/>
      </c>
      <c r="K21" s="104">
        <f>$T$11/64</f>
        <v/>
      </c>
      <c r="L21" s="7" t="n">
        <v>0</v>
      </c>
      <c r="M21" s="104" t="n">
        <v>0</v>
      </c>
      <c r="N21" s="104" t="n">
        <v>0</v>
      </c>
      <c r="O21" s="104" t="n">
        <v>0</v>
      </c>
      <c r="P21" s="109" t="n"/>
      <c r="Q21" s="109" t="n"/>
      <c r="R21" s="109">
        <f>(J21+K21+L21+M21+N21+O21)*$B$2</f>
        <v/>
      </c>
      <c r="S21" s="66" t="inlineStr">
        <is>
          <t>Maintenance deficit</t>
        </is>
      </c>
      <c r="T21" s="110">
        <f>T19-T20</f>
        <v/>
      </c>
    </row>
    <row r="22" ht="12.75" customHeight="1" s="251">
      <c r="A22" s="104" t="inlineStr">
        <is>
          <t>G1</t>
        </is>
      </c>
      <c r="B22" s="13" t="inlineStr">
        <is>
          <t>Venkataramanan C</t>
        </is>
      </c>
      <c r="C22" s="9" t="n">
        <v>0</v>
      </c>
      <c r="D22" s="104">
        <f>SUM($C$3:$C$5)/64</f>
        <v/>
      </c>
      <c r="E22" s="104">
        <f>C22+D22</f>
        <v/>
      </c>
      <c r="F22" s="104">
        <f>IF($C$70=0, 0, E22/$C$70)</f>
        <v/>
      </c>
      <c r="G22" s="104">
        <f>F22*$T$5</f>
        <v/>
      </c>
      <c r="H22" s="104" t="n">
        <v>3</v>
      </c>
      <c r="I22" s="104">
        <f>$T$7*H22</f>
        <v/>
      </c>
      <c r="J22" s="104">
        <f>G22+$T$9+I22</f>
        <v/>
      </c>
      <c r="K22" s="104">
        <f>$T$11/64</f>
        <v/>
      </c>
      <c r="L22" s="7" t="n">
        <v>0</v>
      </c>
      <c r="M22" s="104" t="n">
        <v>0</v>
      </c>
      <c r="N22" s="104" t="n">
        <v>0</v>
      </c>
      <c r="O22" s="104" t="n">
        <v>0</v>
      </c>
      <c r="P22" s="109" t="n"/>
      <c r="Q22" s="109" t="n"/>
      <c r="R22" s="109">
        <f>(J22+K22+L22+M22+N22+O22)*$B$2</f>
        <v/>
      </c>
      <c r="S22" s="107" t="n"/>
      <c r="T22" s="110" t="n"/>
    </row>
    <row r="23" ht="12.75" customHeight="1" s="251">
      <c r="A23" s="104" t="inlineStr">
        <is>
          <t>G2</t>
        </is>
      </c>
      <c r="B23" s="13" t="inlineStr">
        <is>
          <t>Kaushik Kasibhatla</t>
        </is>
      </c>
      <c r="C23" s="9" t="n">
        <v>0</v>
      </c>
      <c r="D23" s="104">
        <f>SUM($C$3:$C$5)/64</f>
        <v/>
      </c>
      <c r="E23" s="104">
        <f>C23+D23</f>
        <v/>
      </c>
      <c r="F23" s="104">
        <f>IF($C$70=0, 0, E23/$C$70)</f>
        <v/>
      </c>
      <c r="G23" s="104">
        <f>F23*$T$5</f>
        <v/>
      </c>
      <c r="H23" s="104" t="n">
        <v>4</v>
      </c>
      <c r="I23" s="104">
        <f>$T$7*H23</f>
        <v/>
      </c>
      <c r="J23" s="104">
        <f>G23+$T$9+I23</f>
        <v/>
      </c>
      <c r="K23" s="104">
        <f>$T$11/64</f>
        <v/>
      </c>
      <c r="L23" s="7" t="n">
        <v>0</v>
      </c>
      <c r="M23" s="104" t="n">
        <v>0</v>
      </c>
      <c r="N23" s="104" t="n">
        <v>0</v>
      </c>
      <c r="O23" s="104" t="n">
        <v>0</v>
      </c>
      <c r="P23" s="109" t="n"/>
      <c r="Q23" s="109" t="n"/>
      <c r="R23" s="109">
        <f>(J23+K23+L23+M23+N23+O23)*$B$2</f>
        <v/>
      </c>
      <c r="S23" s="107" t="n"/>
      <c r="T23" s="110" t="n"/>
    </row>
    <row r="24" ht="12.75" customHeight="1" s="251">
      <c r="A24" s="104" t="inlineStr">
        <is>
          <t>G3</t>
        </is>
      </c>
      <c r="B24" s="13" t="inlineStr">
        <is>
          <t>Balakrishnan</t>
        </is>
      </c>
      <c r="C24" s="9" t="n">
        <v>0</v>
      </c>
      <c r="D24" s="104">
        <f>SUM($C$3:$C$5)/64</f>
        <v/>
      </c>
      <c r="E24" s="104">
        <f>C24+D24</f>
        <v/>
      </c>
      <c r="F24" s="104">
        <f>IF($C$70=0, 0, E24/$C$70)</f>
        <v/>
      </c>
      <c r="G24" s="104">
        <f>F24*$T$5</f>
        <v/>
      </c>
      <c r="H24" s="104" t="n">
        <v>4</v>
      </c>
      <c r="I24" s="104">
        <f>$T$7*H24</f>
        <v/>
      </c>
      <c r="J24" s="104">
        <f>G24+$T$9+I24</f>
        <v/>
      </c>
      <c r="K24" s="104">
        <f>$T$11/64</f>
        <v/>
      </c>
      <c r="L24" s="7" t="n">
        <v>0</v>
      </c>
      <c r="M24" s="104" t="n">
        <v>0</v>
      </c>
      <c r="N24" s="104" t="n">
        <v>0</v>
      </c>
      <c r="O24" s="104" t="n">
        <v>0</v>
      </c>
      <c r="P24" s="109" t="n"/>
      <c r="Q24" s="109" t="n"/>
      <c r="R24" s="109">
        <f>(J24+K24+L24+M24+N24+O24)*$B$2</f>
        <v/>
      </c>
      <c r="S24" s="107" t="n"/>
      <c r="T24" s="110" t="n"/>
    </row>
    <row r="25" ht="12.75" customHeight="1" s="251">
      <c r="A25" s="104" t="inlineStr">
        <is>
          <t>G4</t>
        </is>
      </c>
      <c r="B25" s="13" t="inlineStr">
        <is>
          <t>Ashwin Pandith</t>
        </is>
      </c>
      <c r="C25" s="9" t="n">
        <v>0</v>
      </c>
      <c r="D25" s="104">
        <f>SUM($C$3:$C$5)/64</f>
        <v/>
      </c>
      <c r="E25" s="104">
        <f>C25+D25</f>
        <v/>
      </c>
      <c r="F25" s="104">
        <f>IF($C$70=0, 0, E25/$C$70)</f>
        <v/>
      </c>
      <c r="G25" s="104">
        <f>F25*$T$5</f>
        <v/>
      </c>
      <c r="H25" s="104" t="n">
        <v>4</v>
      </c>
      <c r="I25" s="104">
        <f>$T$7*H25</f>
        <v/>
      </c>
      <c r="J25" s="104">
        <f>G25+$T$9+I25</f>
        <v/>
      </c>
      <c r="K25" s="104">
        <f>$T$11/64</f>
        <v/>
      </c>
      <c r="L25" s="7" t="n">
        <v>0</v>
      </c>
      <c r="M25" s="104" t="n">
        <v>0</v>
      </c>
      <c r="N25" s="104" t="n">
        <v>0</v>
      </c>
      <c r="O25" s="104" t="n">
        <v>0</v>
      </c>
      <c r="P25" s="109" t="n"/>
      <c r="Q25" s="109" t="n"/>
      <c r="R25" s="109">
        <f>(J25+K25+L25+M25+N25+O25)*$B$2</f>
        <v/>
      </c>
      <c r="S25" s="107" t="n"/>
      <c r="T25" s="110" t="n"/>
    </row>
    <row r="26" ht="12.75" customHeight="1" s="251">
      <c r="A26" s="104" t="inlineStr">
        <is>
          <t>G5</t>
        </is>
      </c>
      <c r="B26" s="13" t="inlineStr">
        <is>
          <t>Mayank Phophaliya</t>
        </is>
      </c>
      <c r="C26" s="9" t="n">
        <v>0</v>
      </c>
      <c r="D26" s="104">
        <f>SUM($C$3:$C$5)/64</f>
        <v/>
      </c>
      <c r="E26" s="104">
        <f>C26+D26</f>
        <v/>
      </c>
      <c r="F26" s="104">
        <f>IF($C$70=0, 0, E26/$C$70)</f>
        <v/>
      </c>
      <c r="G26" s="104">
        <f>F26*$T$5</f>
        <v/>
      </c>
      <c r="H26" s="104" t="n">
        <v>3</v>
      </c>
      <c r="I26" s="104">
        <f>$T$7*H26</f>
        <v/>
      </c>
      <c r="J26" s="104">
        <f>G26+$T$9+I26</f>
        <v/>
      </c>
      <c r="K26" s="104">
        <f>$T$11/64</f>
        <v/>
      </c>
      <c r="L26" s="7" t="n">
        <v>0</v>
      </c>
      <c r="M26" s="104" t="n">
        <v>0</v>
      </c>
      <c r="N26" s="104" t="n">
        <v>0</v>
      </c>
      <c r="O26" s="104" t="n">
        <v>0</v>
      </c>
      <c r="P26" s="109" t="n"/>
      <c r="Q26" s="109" t="n"/>
      <c r="R26" s="109">
        <f>(J26+K26+L26+M26+N26+O26)*$B$2</f>
        <v/>
      </c>
      <c r="S26" s="107" t="n"/>
      <c r="T26" s="110" t="n"/>
    </row>
    <row r="27" ht="12.75" customHeight="1" s="251">
      <c r="A27" s="104" t="inlineStr">
        <is>
          <t>G6</t>
        </is>
      </c>
      <c r="B27" s="13" t="inlineStr">
        <is>
          <t>Mohit Daga</t>
        </is>
      </c>
      <c r="C27" s="9" t="n">
        <v>0</v>
      </c>
      <c r="D27" s="104">
        <f>SUM($C$3:$C$5)/64</f>
        <v/>
      </c>
      <c r="E27" s="104">
        <f>C27+D27</f>
        <v/>
      </c>
      <c r="F27" s="104">
        <f>IF($C$70=0, 0, E27/$C$70)</f>
        <v/>
      </c>
      <c r="G27" s="104">
        <f>F27*$T$5</f>
        <v/>
      </c>
      <c r="H27" s="104" t="n">
        <v>3</v>
      </c>
      <c r="I27" s="104">
        <f>$T$7*H27</f>
        <v/>
      </c>
      <c r="J27" s="104">
        <f>G27+$T$9+I27</f>
        <v/>
      </c>
      <c r="K27" s="104">
        <f>$T$11/64</f>
        <v/>
      </c>
      <c r="L27" s="7" t="n">
        <v>0</v>
      </c>
      <c r="M27" s="104" t="n">
        <v>0</v>
      </c>
      <c r="N27" s="104" t="n">
        <v>0</v>
      </c>
      <c r="O27" s="104" t="n">
        <v>0</v>
      </c>
      <c r="P27" s="109" t="n"/>
      <c r="Q27" s="109" t="n"/>
      <c r="R27" s="109">
        <f>(J27+K27+L27+M27+N27+O27)*$B$2</f>
        <v/>
      </c>
      <c r="S27" s="107" t="n"/>
      <c r="T27" s="110" t="n"/>
    </row>
    <row r="28" ht="12.75" customHeight="1" s="251">
      <c r="A28" s="104" t="inlineStr">
        <is>
          <t>G7</t>
        </is>
      </c>
      <c r="B28" s="13" t="inlineStr">
        <is>
          <t>Prince Richfield</t>
        </is>
      </c>
      <c r="C28" s="9" t="n">
        <v>0</v>
      </c>
      <c r="D28" s="104">
        <f>SUM($C$3:$C$5)/64</f>
        <v/>
      </c>
      <c r="E28" s="104">
        <f>C28+D28</f>
        <v/>
      </c>
      <c r="F28" s="104">
        <f>IF($C$70=0, 0, E28/$C$70)</f>
        <v/>
      </c>
      <c r="G28" s="104">
        <f>F28*$T$5</f>
        <v/>
      </c>
      <c r="H28" s="104" t="n">
        <v>3</v>
      </c>
      <c r="I28" s="104">
        <f>$T$7*H28</f>
        <v/>
      </c>
      <c r="J28" s="104">
        <f>G28+$T$9+I28</f>
        <v/>
      </c>
      <c r="K28" s="104">
        <f>$T$11/64</f>
        <v/>
      </c>
      <c r="L28" s="7" t="n">
        <v>0</v>
      </c>
      <c r="M28" s="104" t="n">
        <v>0</v>
      </c>
      <c r="N28" s="104" t="n">
        <v>0</v>
      </c>
      <c r="O28" s="104" t="n">
        <v>0</v>
      </c>
      <c r="P28" s="109" t="n"/>
      <c r="Q28" s="109" t="n"/>
      <c r="R28" s="109">
        <f>(J28+K28+L28+M28+N28+O28)*$B$2</f>
        <v/>
      </c>
      <c r="S28" s="107" t="n"/>
      <c r="T28" s="110" t="n"/>
    </row>
    <row r="29" ht="12.75" customHeight="1" s="251">
      <c r="A29" s="104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04">
        <f>SUM($C$3:$C$5)/64</f>
        <v/>
      </c>
      <c r="E29" s="104">
        <f>C29+D29</f>
        <v/>
      </c>
      <c r="F29" s="104">
        <f>IF($C$70=0, 0, E29/$C$70)</f>
        <v/>
      </c>
      <c r="G29" s="104">
        <f>F29*$T$5</f>
        <v/>
      </c>
      <c r="H29" s="104" t="n">
        <v>3</v>
      </c>
      <c r="I29" s="104">
        <f>$T$7*H29</f>
        <v/>
      </c>
      <c r="J29" s="104">
        <f>G29+$T$9+I29</f>
        <v/>
      </c>
      <c r="K29" s="104">
        <f>$T$11/64</f>
        <v/>
      </c>
      <c r="L29" s="7" t="n">
        <v>0</v>
      </c>
      <c r="M29" s="104" t="n">
        <v>0</v>
      </c>
      <c r="N29" s="104" t="n">
        <v>0</v>
      </c>
      <c r="O29" s="104" t="n">
        <v>0</v>
      </c>
      <c r="P29" s="109" t="n"/>
      <c r="Q29" s="109" t="n"/>
      <c r="R29" s="109">
        <f>(J29+K29+L29+M29+N29+O29)*$B$2</f>
        <v/>
      </c>
      <c r="S29" s="107" t="n"/>
      <c r="T29" s="110" t="n"/>
    </row>
    <row r="30" ht="12.75" customHeight="1" s="251">
      <c r="A30" s="104" t="inlineStr">
        <is>
          <t>G9</t>
        </is>
      </c>
      <c r="B30" s="13" t="inlineStr">
        <is>
          <t>Chandramouli</t>
        </is>
      </c>
      <c r="C30" s="9" t="n">
        <v>0</v>
      </c>
      <c r="D30" s="104">
        <f>SUM($C$3:$C$5)/64</f>
        <v/>
      </c>
      <c r="E30" s="104">
        <f>C30+D30</f>
        <v/>
      </c>
      <c r="F30" s="104">
        <f>IF($C$70=0, 0, E30/$C$70)</f>
        <v/>
      </c>
      <c r="G30" s="104">
        <f>F30*$T$5</f>
        <v/>
      </c>
      <c r="H30" s="104" t="n">
        <v>5</v>
      </c>
      <c r="I30" s="104">
        <f>$T$7*H30</f>
        <v/>
      </c>
      <c r="J30" s="104">
        <f>G30+$T$9+I30</f>
        <v/>
      </c>
      <c r="K30" s="104">
        <f>$T$11/64</f>
        <v/>
      </c>
      <c r="L30" s="7" t="n">
        <v>0</v>
      </c>
      <c r="M30" s="104" t="n">
        <v>0</v>
      </c>
      <c r="N30" s="104" t="n">
        <v>0</v>
      </c>
      <c r="O30" s="104" t="n">
        <v>0</v>
      </c>
      <c r="P30" s="109" t="n"/>
      <c r="Q30" s="109" t="n"/>
      <c r="R30" s="109">
        <f>(J30+K30+L30+M30+N30+O30)*$B$2</f>
        <v/>
      </c>
      <c r="S30" s="107" t="n"/>
      <c r="T30" s="110" t="n"/>
    </row>
    <row r="31" ht="12.75" customHeight="1" s="251">
      <c r="A31" s="104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104">
        <f>SUM($C$3:$C$5)/64</f>
        <v/>
      </c>
      <c r="E31" s="104">
        <f>C31+D31</f>
        <v/>
      </c>
      <c r="F31" s="104">
        <f>IF($C$70=0, 0, E31/$C$70)</f>
        <v/>
      </c>
      <c r="G31" s="104">
        <f>F31*$T$5</f>
        <v/>
      </c>
      <c r="H31" s="104" t="n">
        <v>3</v>
      </c>
      <c r="I31" s="104">
        <f>$T$7*H31</f>
        <v/>
      </c>
      <c r="J31" s="104">
        <f>G31+$T$9+I31</f>
        <v/>
      </c>
      <c r="K31" s="104">
        <f>$T$11/64</f>
        <v/>
      </c>
      <c r="L31" s="7" t="n">
        <v>0</v>
      </c>
      <c r="M31" s="104" t="n">
        <v>0</v>
      </c>
      <c r="N31" s="104" t="n">
        <v>0</v>
      </c>
      <c r="O31" s="104" t="n">
        <v>0</v>
      </c>
      <c r="P31" s="109" t="n"/>
      <c r="Q31" s="109" t="n"/>
      <c r="R31" s="109">
        <f>(J31+K31+L31+M31+N31+O31)*$B$2</f>
        <v/>
      </c>
      <c r="S31" s="107" t="n"/>
      <c r="T31" s="110" t="n"/>
    </row>
    <row r="32" ht="12.75" customHeight="1" s="251">
      <c r="A32" s="104" t="inlineStr">
        <is>
          <t>G11</t>
        </is>
      </c>
      <c r="B32" s="13" t="inlineStr">
        <is>
          <t>Ketan Verlekar</t>
        </is>
      </c>
      <c r="C32" s="9" t="n">
        <v>0</v>
      </c>
      <c r="D32" s="104">
        <f>SUM($C$3:$C$5)/64</f>
        <v/>
      </c>
      <c r="E32" s="104">
        <f>C32+D32</f>
        <v/>
      </c>
      <c r="F32" s="104">
        <f>IF($C$70=0, 0, E32/$C$70)</f>
        <v/>
      </c>
      <c r="G32" s="104">
        <f>F32*$T$5</f>
        <v/>
      </c>
      <c r="H32" s="104" t="n">
        <v>3</v>
      </c>
      <c r="I32" s="104">
        <f>$T$7*H32</f>
        <v/>
      </c>
      <c r="J32" s="104">
        <f>G32+$T$9+I32</f>
        <v/>
      </c>
      <c r="K32" s="104">
        <f>$T$11/64</f>
        <v/>
      </c>
      <c r="L32" s="7" t="n">
        <v>0</v>
      </c>
      <c r="M32" s="104" t="n">
        <v>0</v>
      </c>
      <c r="N32" s="104" t="n">
        <v>0</v>
      </c>
      <c r="O32" s="104" t="n">
        <v>0</v>
      </c>
      <c r="P32" s="109" t="n"/>
      <c r="Q32" s="109" t="n"/>
      <c r="R32" s="109">
        <f>(J32+K32+L32+M32+N32+O32)*$B$2</f>
        <v/>
      </c>
      <c r="S32" s="107" t="n"/>
      <c r="T32" s="110" t="n"/>
    </row>
    <row r="33" ht="12.75" customHeight="1" s="251">
      <c r="A33" s="104" t="inlineStr">
        <is>
          <t>G12</t>
        </is>
      </c>
      <c r="B33" s="13" t="inlineStr">
        <is>
          <t>Shyam Nair</t>
        </is>
      </c>
      <c r="C33" s="9" t="n">
        <v>0</v>
      </c>
      <c r="D33" s="104">
        <f>SUM($C$3:$C$5)/64</f>
        <v/>
      </c>
      <c r="E33" s="104">
        <f>C33+D33</f>
        <v/>
      </c>
      <c r="F33" s="104">
        <f>IF($C$70=0, 0, E33/$C$70)</f>
        <v/>
      </c>
      <c r="G33" s="104">
        <f>F33*$T$5</f>
        <v/>
      </c>
      <c r="H33" s="104" t="n">
        <v>3</v>
      </c>
      <c r="I33" s="104">
        <f>$T$7*H33</f>
        <v/>
      </c>
      <c r="J33" s="104">
        <f>G33+$T$9+I33</f>
        <v/>
      </c>
      <c r="K33" s="104">
        <f>$T$11/64</f>
        <v/>
      </c>
      <c r="L33" s="7" t="n">
        <v>0</v>
      </c>
      <c r="M33" s="104" t="n">
        <v>0</v>
      </c>
      <c r="N33" s="104" t="n">
        <v>0</v>
      </c>
      <c r="O33" s="104" t="n">
        <v>0</v>
      </c>
      <c r="P33" s="109" t="n"/>
      <c r="Q33" s="109" t="n"/>
      <c r="R33" s="109">
        <f>(J33+K33+L33+M33+N33+O33)*$B$2</f>
        <v/>
      </c>
      <c r="S33" s="107" t="n"/>
      <c r="T33" s="110" t="n"/>
    </row>
    <row r="34" ht="12.75" customHeight="1" s="251">
      <c r="A34" s="104" t="inlineStr">
        <is>
          <t>G13</t>
        </is>
      </c>
      <c r="B34" s="13" t="inlineStr">
        <is>
          <t>Ajai.B</t>
        </is>
      </c>
      <c r="C34" s="9" t="n">
        <v>0</v>
      </c>
      <c r="D34" s="104">
        <f>SUM($C$3:$C$5)/64</f>
        <v/>
      </c>
      <c r="E34" s="104">
        <f>C34+D34</f>
        <v/>
      </c>
      <c r="F34" s="104">
        <f>IF($C$70=0, 0, E34/$C$70)</f>
        <v/>
      </c>
      <c r="G34" s="104">
        <f>F34*$T$5</f>
        <v/>
      </c>
      <c r="H34" s="104" t="n">
        <v>4</v>
      </c>
      <c r="I34" s="104">
        <f>$T$7*H34</f>
        <v/>
      </c>
      <c r="J34" s="104">
        <f>G34+$T$9+I34</f>
        <v/>
      </c>
      <c r="K34" s="104">
        <f>$T$11/64</f>
        <v/>
      </c>
      <c r="L34" s="7" t="n">
        <v>0</v>
      </c>
      <c r="M34" s="104" t="n">
        <v>0</v>
      </c>
      <c r="N34" s="104" t="n">
        <v>0</v>
      </c>
      <c r="O34" s="104" t="n">
        <v>0</v>
      </c>
      <c r="P34" s="109" t="n"/>
      <c r="Q34" s="109" t="n"/>
      <c r="R34" s="109">
        <f>(J34+K34+L34+M34+N34+O34)*$B$2</f>
        <v/>
      </c>
      <c r="S34" s="107" t="n"/>
      <c r="T34" s="110" t="n"/>
    </row>
    <row r="35" ht="12.75" customHeight="1" s="251">
      <c r="A35" s="104" t="inlineStr">
        <is>
          <t>G14</t>
        </is>
      </c>
      <c r="B35" s="13" t="inlineStr">
        <is>
          <t>Surajit Borah</t>
        </is>
      </c>
      <c r="C35" s="9" t="n">
        <v>0</v>
      </c>
      <c r="D35" s="104">
        <f>SUM($C$3:$C$5)/64</f>
        <v/>
      </c>
      <c r="E35" s="104">
        <f>C35+D35</f>
        <v/>
      </c>
      <c r="F35" s="104">
        <f>IF($C$70=0, 0, E35/$C$70)</f>
        <v/>
      </c>
      <c r="G35" s="104">
        <f>F35*$T$5</f>
        <v/>
      </c>
      <c r="H35" s="104" t="n">
        <v>4</v>
      </c>
      <c r="I35" s="104">
        <f>$T$7*H35</f>
        <v/>
      </c>
      <c r="J35" s="104">
        <f>G35+$T$9+I35</f>
        <v/>
      </c>
      <c r="K35" s="104">
        <f>$T$11/64</f>
        <v/>
      </c>
      <c r="L35" s="7" t="n">
        <v>0</v>
      </c>
      <c r="M35" s="104" t="n">
        <v>0</v>
      </c>
      <c r="N35" s="104" t="n">
        <v>0</v>
      </c>
      <c r="O35" s="104" t="n">
        <v>0</v>
      </c>
      <c r="P35" s="109" t="n"/>
      <c r="Q35" s="109" t="n"/>
      <c r="R35" s="109">
        <f>(J35+K35+L35+M35+N35+O35)*$B$2</f>
        <v/>
      </c>
      <c r="S35" s="107" t="n"/>
      <c r="T35" s="110" t="n"/>
    </row>
    <row r="36" ht="12.75" customHeight="1" s="251">
      <c r="A36" s="104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04">
        <f>SUM($C$3:$C$5)/64</f>
        <v/>
      </c>
      <c r="E36" s="104">
        <f>C36+D36</f>
        <v/>
      </c>
      <c r="F36" s="104">
        <f>IF($C$70=0, 0, E36/$C$70)</f>
        <v/>
      </c>
      <c r="G36" s="104">
        <f>F36*$T$5</f>
        <v/>
      </c>
      <c r="H36" s="104" t="n">
        <v>4</v>
      </c>
      <c r="I36" s="104">
        <f>$T$7*H36</f>
        <v/>
      </c>
      <c r="J36" s="104">
        <f>G36+$T$9+I36</f>
        <v/>
      </c>
      <c r="K36" s="104">
        <f>$T$11/64</f>
        <v/>
      </c>
      <c r="L36" s="7" t="n">
        <v>0</v>
      </c>
      <c r="M36" s="104" t="n">
        <v>0</v>
      </c>
      <c r="N36" s="104" t="n">
        <v>0</v>
      </c>
      <c r="O36" s="104" t="n">
        <v>0</v>
      </c>
      <c r="P36" s="109" t="n"/>
      <c r="Q36" s="109" t="n"/>
      <c r="R36" s="109">
        <f>(J36+K36+L36+M36+N36+O36)*$B$2</f>
        <v/>
      </c>
      <c r="S36" s="107" t="n"/>
      <c r="T36" s="110" t="n"/>
    </row>
    <row r="37" ht="12.75" customHeight="1" s="251">
      <c r="A37" s="104" t="inlineStr">
        <is>
          <t>G16</t>
        </is>
      </c>
      <c r="B37" s="13" t="inlineStr">
        <is>
          <t>Praveen Ganesan</t>
        </is>
      </c>
      <c r="C37" s="9" t="n">
        <v>0</v>
      </c>
      <c r="D37" s="104">
        <f>SUM($C$3:$C$5)/64</f>
        <v/>
      </c>
      <c r="E37" s="104">
        <f>C37+D37</f>
        <v/>
      </c>
      <c r="F37" s="104">
        <f>IF($C$70=0, 0, E37/$C$70)</f>
        <v/>
      </c>
      <c r="G37" s="104">
        <f>F37*$T$5</f>
        <v/>
      </c>
      <c r="H37" s="104" t="n">
        <v>3</v>
      </c>
      <c r="I37" s="104">
        <f>$T$7*H37</f>
        <v/>
      </c>
      <c r="J37" s="104">
        <f>G37+$T$9+I37</f>
        <v/>
      </c>
      <c r="K37" s="104">
        <f>$T$11/64</f>
        <v/>
      </c>
      <c r="L37" s="7" t="n">
        <v>0</v>
      </c>
      <c r="M37" s="104" t="n">
        <v>0</v>
      </c>
      <c r="N37" s="104" t="n">
        <v>0</v>
      </c>
      <c r="O37" s="104" t="n">
        <v>0</v>
      </c>
      <c r="P37" s="109" t="n"/>
      <c r="Q37" s="109" t="n"/>
      <c r="R37" s="109">
        <f>(J37+K37+L37+M37+N37+O37)*$B$2</f>
        <v/>
      </c>
      <c r="S37" s="107" t="n"/>
      <c r="T37" s="110" t="n"/>
    </row>
    <row r="38" ht="12.75" customHeight="1" s="251">
      <c r="A38" s="104" t="inlineStr">
        <is>
          <t>S1</t>
        </is>
      </c>
      <c r="B38" s="13" t="inlineStr">
        <is>
          <t>S.N.Behera</t>
        </is>
      </c>
      <c r="C38" s="9" t="n">
        <v>0</v>
      </c>
      <c r="D38" s="104">
        <f>SUM($C$3:$C$5)/64</f>
        <v/>
      </c>
      <c r="E38" s="104">
        <f>C38+D38</f>
        <v/>
      </c>
      <c r="F38" s="104">
        <f>IF($C$70=0, 0, E38/$C$70)</f>
        <v/>
      </c>
      <c r="G38" s="104">
        <f>F38*$T$5</f>
        <v/>
      </c>
      <c r="H38" s="104" t="n">
        <v>3</v>
      </c>
      <c r="I38" s="104">
        <f>$T$7*H38</f>
        <v/>
      </c>
      <c r="J38" s="104">
        <f>G38+$T$9+I38</f>
        <v/>
      </c>
      <c r="K38" s="104">
        <f>$T$11/64</f>
        <v/>
      </c>
      <c r="L38" s="7" t="n">
        <v>0</v>
      </c>
      <c r="M38" s="104" t="n">
        <v>0</v>
      </c>
      <c r="N38" s="104" t="n">
        <v>0</v>
      </c>
      <c r="O38" s="104" t="n">
        <v>0</v>
      </c>
      <c r="P38" s="109" t="n"/>
      <c r="Q38" s="109" t="n"/>
      <c r="R38" s="109">
        <f>(J38+K38+L38+M38+N38+O38)*$B$2</f>
        <v/>
      </c>
      <c r="S38" s="107" t="n"/>
      <c r="T38" s="110" t="n"/>
    </row>
    <row r="39" ht="12.75" customHeight="1" s="251">
      <c r="A39" s="104" t="inlineStr">
        <is>
          <t>S2</t>
        </is>
      </c>
      <c r="B39" s="13" t="inlineStr">
        <is>
          <t>Sonal Singh</t>
        </is>
      </c>
      <c r="C39" s="9" t="n">
        <v>0</v>
      </c>
      <c r="D39" s="104">
        <f>SUM($C$3:$C$5)/64</f>
        <v/>
      </c>
      <c r="E39" s="104">
        <f>C39+D39</f>
        <v/>
      </c>
      <c r="F39" s="104">
        <f>IF($C$70=0, 0, E39/$C$70)</f>
        <v/>
      </c>
      <c r="G39" s="104">
        <f>F39*$T$5</f>
        <v/>
      </c>
      <c r="H39" s="104" t="n">
        <v>4</v>
      </c>
      <c r="I39" s="104">
        <f>$T$7*H39</f>
        <v/>
      </c>
      <c r="J39" s="104">
        <f>G39+$T$9+I39</f>
        <v/>
      </c>
      <c r="K39" s="104">
        <f>$T$11/64</f>
        <v/>
      </c>
      <c r="L39" s="7" t="n">
        <v>0</v>
      </c>
      <c r="M39" s="104" t="n">
        <v>0</v>
      </c>
      <c r="N39" s="104" t="n">
        <v>0</v>
      </c>
      <c r="O39" s="104" t="n">
        <v>0</v>
      </c>
      <c r="P39" s="109" t="n"/>
      <c r="Q39" s="109" t="n"/>
      <c r="R39" s="109">
        <f>(J39+K39+L39+M39+N39+O39)*$B$2</f>
        <v/>
      </c>
      <c r="S39" s="107" t="n"/>
      <c r="T39" s="110" t="n"/>
    </row>
    <row r="40" ht="12.75" customHeight="1" s="251">
      <c r="A40" s="104" t="inlineStr">
        <is>
          <t>S3</t>
        </is>
      </c>
      <c r="B40" s="13" t="inlineStr">
        <is>
          <t>Koteswararao</t>
        </is>
      </c>
      <c r="C40" s="9" t="n">
        <v>0</v>
      </c>
      <c r="D40" s="104">
        <f>SUM($C$3:$C$5)/64</f>
        <v/>
      </c>
      <c r="E40" s="104">
        <f>C40+D40</f>
        <v/>
      </c>
      <c r="F40" s="104">
        <f>IF($C$70=0, 0, E40/$C$70)</f>
        <v/>
      </c>
      <c r="G40" s="104">
        <f>F40*$T$5</f>
        <v/>
      </c>
      <c r="H40" s="104" t="n">
        <v>4</v>
      </c>
      <c r="I40" s="104">
        <f>$T$7*H40</f>
        <v/>
      </c>
      <c r="J40" s="104">
        <f>G40+$T$9+I40</f>
        <v/>
      </c>
      <c r="K40" s="104">
        <f>$T$11/64</f>
        <v/>
      </c>
      <c r="L40" s="7" t="n">
        <v>0</v>
      </c>
      <c r="M40" s="104" t="n">
        <v>0</v>
      </c>
      <c r="N40" s="104" t="n">
        <v>0</v>
      </c>
      <c r="O40" s="104" t="n">
        <v>0</v>
      </c>
      <c r="P40" s="109" t="n"/>
      <c r="Q40" s="109" t="n"/>
      <c r="R40" s="109">
        <f>(J40+K40+L40+M40+N40+O40)*$B$2</f>
        <v/>
      </c>
      <c r="S40" s="107" t="n"/>
      <c r="T40" s="110" t="n"/>
    </row>
    <row r="41" ht="12.75" customHeight="1" s="251">
      <c r="A41" s="104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04">
        <f>SUM($C$3:$C$5)/64</f>
        <v/>
      </c>
      <c r="E41" s="104">
        <f>C41+D41</f>
        <v/>
      </c>
      <c r="F41" s="104">
        <f>IF($C$70=0, 0, E41/$C$70)</f>
        <v/>
      </c>
      <c r="G41" s="104">
        <f>F41*$T$5</f>
        <v/>
      </c>
      <c r="H41" s="104" t="n">
        <v>3</v>
      </c>
      <c r="I41" s="104">
        <f>$T$7*H41</f>
        <v/>
      </c>
      <c r="J41" s="104">
        <f>G41+$T$9+I41</f>
        <v/>
      </c>
      <c r="K41" s="104">
        <f>$T$11/64</f>
        <v/>
      </c>
      <c r="L41" s="7" t="n">
        <v>0</v>
      </c>
      <c r="M41" s="104" t="n">
        <v>0</v>
      </c>
      <c r="N41" s="104" t="n">
        <v>0</v>
      </c>
      <c r="O41" s="104" t="n">
        <v>0</v>
      </c>
      <c r="P41" s="109" t="n"/>
      <c r="Q41" s="109" t="n"/>
      <c r="R41" s="109">
        <f>(J41+K41+L41+M41+N41+O41)*$B$2</f>
        <v/>
      </c>
      <c r="S41" s="107" t="n"/>
      <c r="T41" s="110" t="n"/>
    </row>
    <row r="42" ht="12.75" customHeight="1" s="251">
      <c r="A42" s="104" t="inlineStr">
        <is>
          <t>S5</t>
        </is>
      </c>
      <c r="B42" s="13" t="inlineStr">
        <is>
          <t>Abhishek Gopalakrishnan</t>
        </is>
      </c>
      <c r="C42" s="9" t="n">
        <v>0</v>
      </c>
      <c r="D42" s="104">
        <f>SUM($C$3:$C$5)/64</f>
        <v/>
      </c>
      <c r="E42" s="104">
        <f>C42+D42</f>
        <v/>
      </c>
      <c r="F42" s="104">
        <f>IF($C$70=0, 0, E42/$C$70)</f>
        <v/>
      </c>
      <c r="G42" s="104">
        <f>F42*$T$5</f>
        <v/>
      </c>
      <c r="H42" s="104" t="n">
        <v>3</v>
      </c>
      <c r="I42" s="104">
        <f>$T$7*H42</f>
        <v/>
      </c>
      <c r="J42" s="104">
        <f>G42+$T$9+I42</f>
        <v/>
      </c>
      <c r="K42" s="104">
        <f>$T$11/64</f>
        <v/>
      </c>
      <c r="L42" s="7" t="n">
        <v>0</v>
      </c>
      <c r="M42" s="104" t="n">
        <v>0</v>
      </c>
      <c r="N42" s="104" t="n">
        <v>0</v>
      </c>
      <c r="O42" s="104" t="n">
        <v>0</v>
      </c>
      <c r="P42" s="109" t="n"/>
      <c r="Q42" s="109" t="n"/>
      <c r="R42" s="109">
        <f>(J42+K42+L42+M42+N42+O42)*$B$2</f>
        <v/>
      </c>
      <c r="S42" s="107" t="n"/>
      <c r="T42" s="110" t="n"/>
    </row>
    <row r="43" ht="12.75" customHeight="1" s="251">
      <c r="A43" s="104" t="inlineStr">
        <is>
          <t>S6</t>
        </is>
      </c>
      <c r="B43" s="30" t="inlineStr">
        <is>
          <t>Vivek Dhingra / Pratyush Das</t>
        </is>
      </c>
      <c r="C43" s="9" t="n">
        <v>0</v>
      </c>
      <c r="D43" s="104">
        <f>SUM($C$3:$C$5)/64</f>
        <v/>
      </c>
      <c r="E43" s="104">
        <f>C43+D43</f>
        <v/>
      </c>
      <c r="F43" s="104">
        <f>IF($C$70=0, 0, E43/$C$70)</f>
        <v/>
      </c>
      <c r="G43" s="104">
        <f>F43*$T$5</f>
        <v/>
      </c>
      <c r="H43" s="104" t="n">
        <v>3</v>
      </c>
      <c r="I43" s="104">
        <f>$T$7*H43</f>
        <v/>
      </c>
      <c r="J43" s="104">
        <f>G43+$T$9+I43</f>
        <v/>
      </c>
      <c r="K43" s="104">
        <f>$T$11/64</f>
        <v/>
      </c>
      <c r="L43" s="7" t="n">
        <v>0</v>
      </c>
      <c r="M43" s="104" t="n">
        <v>0</v>
      </c>
      <c r="N43" s="104" t="n">
        <v>0</v>
      </c>
      <c r="O43" s="104" t="n">
        <v>0</v>
      </c>
      <c r="P43" s="109" t="n"/>
      <c r="Q43" s="109" t="n"/>
      <c r="R43" s="109">
        <f>(J43+K43+L43+M43+N43+O43)*$B$2</f>
        <v/>
      </c>
      <c r="S43" s="107" t="n"/>
      <c r="T43" s="110" t="n"/>
    </row>
    <row r="44" ht="12.75" customHeight="1" s="251">
      <c r="A44" s="104" t="inlineStr">
        <is>
          <t>S7</t>
        </is>
      </c>
      <c r="B44" s="13" t="inlineStr">
        <is>
          <t>Harish B</t>
        </is>
      </c>
      <c r="C44" s="9" t="n">
        <v>0</v>
      </c>
      <c r="D44" s="104">
        <f>SUM($C$3:$C$5)/64</f>
        <v/>
      </c>
      <c r="E44" s="104">
        <f>C44+D44</f>
        <v/>
      </c>
      <c r="F44" s="104">
        <f>IF($C$70=0, 0, E44/$C$70)</f>
        <v/>
      </c>
      <c r="G44" s="104">
        <f>F44*$T$5</f>
        <v/>
      </c>
      <c r="H44" s="104" t="n">
        <v>3</v>
      </c>
      <c r="I44" s="104">
        <f>$T$7*H44</f>
        <v/>
      </c>
      <c r="J44" s="104">
        <f>G44+$T$9+I44</f>
        <v/>
      </c>
      <c r="K44" s="104">
        <f>$T$11/64</f>
        <v/>
      </c>
      <c r="L44" s="7" t="n">
        <v>0</v>
      </c>
      <c r="M44" s="104" t="n">
        <v>0</v>
      </c>
      <c r="N44" s="104" t="n">
        <v>0</v>
      </c>
      <c r="O44" s="104" t="n">
        <v>0</v>
      </c>
      <c r="P44" s="109" t="n"/>
      <c r="Q44" s="109" t="n"/>
      <c r="R44" s="109">
        <f>(J44+K44+L44+M44+N44+O44)*$B$2</f>
        <v/>
      </c>
      <c r="S44" s="107" t="n"/>
      <c r="T44" s="110" t="n"/>
    </row>
    <row r="45" ht="12.75" customHeight="1" s="251">
      <c r="A45" s="104" t="inlineStr">
        <is>
          <t>S8</t>
        </is>
      </c>
      <c r="B45" s="13" t="inlineStr">
        <is>
          <t>Irudayaraj Alwin</t>
        </is>
      </c>
      <c r="C45" s="9" t="n">
        <v>0</v>
      </c>
      <c r="D45" s="104">
        <f>SUM($C$3:$C$5)/64</f>
        <v/>
      </c>
      <c r="E45" s="104">
        <f>C45+D45</f>
        <v/>
      </c>
      <c r="F45" s="104">
        <f>IF($C$70=0, 0, E45/$C$70)</f>
        <v/>
      </c>
      <c r="G45" s="104">
        <f>F45*$T$5</f>
        <v/>
      </c>
      <c r="H45" s="104" t="n">
        <v>3</v>
      </c>
      <c r="I45" s="104">
        <f>$T$7*H45</f>
        <v/>
      </c>
      <c r="J45" s="104">
        <f>G45+$T$9+I45</f>
        <v/>
      </c>
      <c r="K45" s="104">
        <f>$T$11/64</f>
        <v/>
      </c>
      <c r="L45" s="7" t="n">
        <v>0</v>
      </c>
      <c r="M45" s="104" t="n">
        <v>0</v>
      </c>
      <c r="N45" s="104" t="n">
        <v>0</v>
      </c>
      <c r="O45" s="104" t="n">
        <v>0</v>
      </c>
      <c r="P45" s="109" t="n"/>
      <c r="Q45" s="109" t="n"/>
      <c r="R45" s="109">
        <f>(J45+K45+L45+M45+N45+O45)*$B$2</f>
        <v/>
      </c>
      <c r="S45" s="107" t="n"/>
      <c r="T45" s="110" t="n"/>
    </row>
    <row r="46" ht="12.75" customHeight="1" s="251">
      <c r="A46" s="104" t="inlineStr">
        <is>
          <t>S9</t>
        </is>
      </c>
      <c r="B46" s="13" t="inlineStr">
        <is>
          <t>Pawan GS</t>
        </is>
      </c>
      <c r="C46" s="9" t="n">
        <v>0</v>
      </c>
      <c r="D46" s="104">
        <f>SUM($C$3:$C$5)/64</f>
        <v/>
      </c>
      <c r="E46" s="104">
        <f>C46+D46</f>
        <v/>
      </c>
      <c r="F46" s="104">
        <f>IF($C$70=0, 0, E46/$C$70)</f>
        <v/>
      </c>
      <c r="G46" s="104">
        <f>F46*$T$5</f>
        <v/>
      </c>
      <c r="H46" s="104" t="n">
        <v>4</v>
      </c>
      <c r="I46" s="104">
        <f>$T$7*H46</f>
        <v/>
      </c>
      <c r="J46" s="104">
        <f>G46+$T$9+I46</f>
        <v/>
      </c>
      <c r="K46" s="104">
        <f>$T$11/64</f>
        <v/>
      </c>
      <c r="L46" s="7" t="n">
        <v>0</v>
      </c>
      <c r="M46" s="104" t="n">
        <v>0</v>
      </c>
      <c r="N46" s="104" t="n">
        <v>0</v>
      </c>
      <c r="O46" s="104" t="n">
        <v>0</v>
      </c>
      <c r="P46" s="109" t="n"/>
      <c r="Q46" s="109" t="n"/>
      <c r="R46" s="109">
        <f>(J46+K46+L46+M46+N46+O46)*$B$2</f>
        <v/>
      </c>
      <c r="S46" s="107" t="n"/>
      <c r="T46" s="110" t="n"/>
    </row>
    <row r="47" ht="12.75" customHeight="1" s="251">
      <c r="A47" s="104" t="inlineStr">
        <is>
          <t>S10</t>
        </is>
      </c>
      <c r="B47" s="13" t="inlineStr">
        <is>
          <t>Lakshmikanth</t>
        </is>
      </c>
      <c r="C47" s="9" t="n">
        <v>0</v>
      </c>
      <c r="D47" s="104">
        <f>SUM($C$3:$C$5)/64</f>
        <v/>
      </c>
      <c r="E47" s="104">
        <f>C47+D47</f>
        <v/>
      </c>
      <c r="F47" s="104">
        <f>IF($C$70=0, 0, E47/$C$70)</f>
        <v/>
      </c>
      <c r="G47" s="104">
        <f>F47*$T$5</f>
        <v/>
      </c>
      <c r="H47" s="104" t="n">
        <v>3</v>
      </c>
      <c r="I47" s="104">
        <f>$T$7*H47</f>
        <v/>
      </c>
      <c r="J47" s="104">
        <f>G47+$T$9+I47</f>
        <v/>
      </c>
      <c r="K47" s="104">
        <f>$T$11/64</f>
        <v/>
      </c>
      <c r="L47" s="7" t="n">
        <v>0</v>
      </c>
      <c r="M47" s="104" t="n">
        <v>0</v>
      </c>
      <c r="N47" s="104" t="n">
        <v>0</v>
      </c>
      <c r="O47" s="104" t="n">
        <v>0</v>
      </c>
      <c r="P47" s="109" t="n"/>
      <c r="Q47" s="109" t="n"/>
      <c r="R47" s="109">
        <f>(J47+K47+L47+M47+N47+O47)*$B$2</f>
        <v/>
      </c>
      <c r="S47" s="107" t="n"/>
      <c r="T47" s="110" t="n"/>
    </row>
    <row r="48" ht="12.75" customHeight="1" s="251">
      <c r="A48" s="104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04">
        <f>SUM($C$3:$C$5)/64</f>
        <v/>
      </c>
      <c r="E48" s="104">
        <f>C48+D48</f>
        <v/>
      </c>
      <c r="F48" s="104">
        <f>IF($C$70=0, 0, E48/$C$70)</f>
        <v/>
      </c>
      <c r="G48" s="104">
        <f>F48*$T$5</f>
        <v/>
      </c>
      <c r="H48" s="104" t="n">
        <v>3</v>
      </c>
      <c r="I48" s="104">
        <f>$T$7*H48</f>
        <v/>
      </c>
      <c r="J48" s="104">
        <f>G48+$T$9+I48</f>
        <v/>
      </c>
      <c r="K48" s="104">
        <f>$T$11/64</f>
        <v/>
      </c>
      <c r="L48" s="7" t="n">
        <v>0</v>
      </c>
      <c r="M48" s="104" t="n">
        <v>0</v>
      </c>
      <c r="N48" s="104" t="n">
        <v>0</v>
      </c>
      <c r="O48" s="104" t="n">
        <v>0</v>
      </c>
      <c r="P48" s="109" t="n"/>
      <c r="Q48" s="109" t="n"/>
      <c r="R48" s="109">
        <f>(J48+K48+L48+M48+N48+O48)*$B$2</f>
        <v/>
      </c>
      <c r="S48" s="107" t="n"/>
      <c r="T48" s="110" t="n"/>
    </row>
    <row r="49" ht="12.75" customHeight="1" s="251">
      <c r="A49" s="104" t="inlineStr">
        <is>
          <t>S12</t>
        </is>
      </c>
      <c r="B49" s="13" t="inlineStr">
        <is>
          <t>Saovik Mondal</t>
        </is>
      </c>
      <c r="C49" s="9" t="n">
        <v>0</v>
      </c>
      <c r="D49" s="104">
        <f>SUM($C$3:$C$5)/64</f>
        <v/>
      </c>
      <c r="E49" s="104">
        <f>C49+D49</f>
        <v/>
      </c>
      <c r="F49" s="104">
        <f>IF($C$70=0, 0, E49/$C$70)</f>
        <v/>
      </c>
      <c r="G49" s="104">
        <f>F49*$T$5</f>
        <v/>
      </c>
      <c r="H49" s="104" t="n">
        <v>3</v>
      </c>
      <c r="I49" s="104">
        <f>$T$7*H49</f>
        <v/>
      </c>
      <c r="J49" s="104">
        <f>G49+$T$9+I49</f>
        <v/>
      </c>
      <c r="K49" s="104">
        <f>$T$11/64</f>
        <v/>
      </c>
      <c r="L49" s="7" t="n">
        <v>0</v>
      </c>
      <c r="M49" s="104" t="n">
        <v>0</v>
      </c>
      <c r="N49" s="104" t="n">
        <v>0</v>
      </c>
      <c r="O49" s="104" t="n">
        <v>0</v>
      </c>
      <c r="P49" s="109" t="n"/>
      <c r="Q49" s="109" t="n"/>
      <c r="R49" s="109">
        <f>(J49+K49+L49+M49+N49+O49)*$B$2</f>
        <v/>
      </c>
      <c r="S49" s="107" t="n"/>
      <c r="T49" s="110" t="n"/>
    </row>
    <row r="50" ht="12.75" customHeight="1" s="251">
      <c r="A50" s="104" t="inlineStr">
        <is>
          <t>S13</t>
        </is>
      </c>
      <c r="B50" s="13" t="inlineStr">
        <is>
          <t>Ramadevi S.</t>
        </is>
      </c>
      <c r="C50" s="9" t="n">
        <v>0</v>
      </c>
      <c r="D50" s="104">
        <f>SUM($C$3:$C$5)/64</f>
        <v/>
      </c>
      <c r="E50" s="104">
        <f>C50+D50</f>
        <v/>
      </c>
      <c r="F50" s="104">
        <f>IF($C$70=0, 0, E50/$C$70)</f>
        <v/>
      </c>
      <c r="G50" s="104">
        <f>F50*$T$5</f>
        <v/>
      </c>
      <c r="H50" s="104" t="n">
        <v>4</v>
      </c>
      <c r="I50" s="104">
        <f>$T$7*H50</f>
        <v/>
      </c>
      <c r="J50" s="104">
        <f>G50+$T$9+I50</f>
        <v/>
      </c>
      <c r="K50" s="104">
        <f>$T$11/64</f>
        <v/>
      </c>
      <c r="L50" s="7" t="n">
        <v>0</v>
      </c>
      <c r="M50" s="104" t="n">
        <v>0</v>
      </c>
      <c r="N50" s="104" t="n">
        <v>0</v>
      </c>
      <c r="O50" s="104" t="n">
        <v>0</v>
      </c>
      <c r="P50" s="109" t="n"/>
      <c r="Q50" s="109" t="n"/>
      <c r="R50" s="109">
        <f>(J50+K50+L50+M50+N50+O50)*$B$2</f>
        <v/>
      </c>
      <c r="S50" s="107" t="n"/>
      <c r="T50" s="110" t="n"/>
    </row>
    <row r="51" ht="12.75" customHeight="1" s="251">
      <c r="A51" s="104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04">
        <f>SUM($C$3:$C$5)/64</f>
        <v/>
      </c>
      <c r="E51" s="104">
        <f>C51+D51</f>
        <v/>
      </c>
      <c r="F51" s="104">
        <f>IF($C$70=0, 0, E51/$C$70)</f>
        <v/>
      </c>
      <c r="G51" s="104">
        <f>F51*$T$5</f>
        <v/>
      </c>
      <c r="H51" s="104" t="n">
        <v>4</v>
      </c>
      <c r="I51" s="104">
        <f>$T$7*H51</f>
        <v/>
      </c>
      <c r="J51" s="104">
        <f>G51+$T$9+I51</f>
        <v/>
      </c>
      <c r="K51" s="104">
        <f>$T$11/64</f>
        <v/>
      </c>
      <c r="L51" s="7" t="n">
        <v>0</v>
      </c>
      <c r="M51" s="104" t="n">
        <v>0</v>
      </c>
      <c r="N51" s="104" t="n">
        <v>0</v>
      </c>
      <c r="O51" s="104" t="n">
        <v>0</v>
      </c>
      <c r="P51" s="109" t="n"/>
      <c r="Q51" s="109" t="n"/>
      <c r="R51" s="109">
        <f>(J51+K51+L51+M51+N51+O51)*$B$2</f>
        <v/>
      </c>
      <c r="S51" s="107" t="n"/>
      <c r="T51" s="110" t="n"/>
    </row>
    <row r="52" ht="12.75" customHeight="1" s="251">
      <c r="A52" s="104" t="inlineStr">
        <is>
          <t>S15</t>
        </is>
      </c>
      <c r="B52" s="13" t="inlineStr">
        <is>
          <t>Manas Dasgupta</t>
        </is>
      </c>
      <c r="C52" s="9" t="n">
        <v>0</v>
      </c>
      <c r="D52" s="104">
        <f>SUM($C$3:$C$5)/64</f>
        <v/>
      </c>
      <c r="E52" s="104">
        <f>C52+D52</f>
        <v/>
      </c>
      <c r="F52" s="104">
        <f>IF($C$70=0, 0, E52/$C$70)</f>
        <v/>
      </c>
      <c r="G52" s="104">
        <f>F52*$T$5</f>
        <v/>
      </c>
      <c r="H52" s="104" t="n">
        <v>4</v>
      </c>
      <c r="I52" s="104">
        <f>$T$7*H52</f>
        <v/>
      </c>
      <c r="J52" s="104">
        <f>G52+$T$9+I52</f>
        <v/>
      </c>
      <c r="K52" s="104">
        <f>$T$11/64</f>
        <v/>
      </c>
      <c r="L52" s="7" t="n">
        <v>0</v>
      </c>
      <c r="M52" s="104" t="n">
        <v>0</v>
      </c>
      <c r="N52" s="104" t="n">
        <v>0</v>
      </c>
      <c r="O52" s="104" t="n">
        <v>0</v>
      </c>
      <c r="P52" s="109" t="n"/>
      <c r="Q52" s="109" t="n"/>
      <c r="R52" s="109">
        <f>(J52+K52+L52+M52+N52+O52)*$B$2</f>
        <v/>
      </c>
      <c r="S52" s="107" t="n"/>
      <c r="T52" s="110" t="n"/>
    </row>
    <row r="53" ht="12.75" customHeight="1" s="251">
      <c r="A53" s="104" t="inlineStr">
        <is>
          <t>S16</t>
        </is>
      </c>
      <c r="B53" s="13" t="inlineStr">
        <is>
          <t>Devendra Singh Rawat / Nancy</t>
        </is>
      </c>
      <c r="C53" s="9" t="n">
        <v>0</v>
      </c>
      <c r="D53" s="104">
        <f>SUM($C$3:$C$5)/64</f>
        <v/>
      </c>
      <c r="E53" s="104">
        <f>C53+D53</f>
        <v/>
      </c>
      <c r="F53" s="104">
        <f>IF($C$70=0, 0, E53/$C$70)</f>
        <v/>
      </c>
      <c r="G53" s="104">
        <f>F53*$T$5</f>
        <v/>
      </c>
      <c r="H53" s="104" t="n">
        <v>3</v>
      </c>
      <c r="I53" s="104">
        <f>$T$7*H53</f>
        <v/>
      </c>
      <c r="J53" s="104">
        <f>G53+$T$9+I53</f>
        <v/>
      </c>
      <c r="K53" s="104">
        <f>$T$11/64</f>
        <v/>
      </c>
      <c r="L53" s="7" t="n">
        <v>0</v>
      </c>
      <c r="M53" s="104" t="n">
        <v>0</v>
      </c>
      <c r="N53" s="104" t="n">
        <v>0</v>
      </c>
      <c r="O53" s="104" t="n">
        <v>0</v>
      </c>
      <c r="P53" s="109" t="n"/>
      <c r="Q53" s="109" t="n"/>
      <c r="R53" s="109">
        <f>(J53+K53+L53+M53+N53+O53)*$B$2</f>
        <v/>
      </c>
      <c r="S53" s="107" t="n"/>
      <c r="T53" s="110" t="n"/>
    </row>
    <row r="54" ht="12.75" customHeight="1" s="251">
      <c r="A54" s="104" t="inlineStr">
        <is>
          <t>T1</t>
        </is>
      </c>
      <c r="B54" s="13" t="inlineStr">
        <is>
          <t>Prashant Sikdar</t>
        </is>
      </c>
      <c r="C54" s="9" t="n">
        <v>0</v>
      </c>
      <c r="D54" s="104">
        <f>SUM($C$3:$C$5)/64</f>
        <v/>
      </c>
      <c r="E54" s="104">
        <f>C54+D54</f>
        <v/>
      </c>
      <c r="F54" s="104">
        <f>IF($C$70=0, 0, E54/$C$70)</f>
        <v/>
      </c>
      <c r="G54" s="104">
        <f>F54*$T$5</f>
        <v/>
      </c>
      <c r="H54" s="104" t="n">
        <v>3</v>
      </c>
      <c r="I54" s="104">
        <f>$T$7*H54</f>
        <v/>
      </c>
      <c r="J54" s="104">
        <f>G54+$T$9+I54</f>
        <v/>
      </c>
      <c r="K54" s="104">
        <f>$T$11/64</f>
        <v/>
      </c>
      <c r="L54" s="7" t="n">
        <v>0</v>
      </c>
      <c r="M54" s="104" t="n">
        <v>0</v>
      </c>
      <c r="N54" s="104" t="n">
        <v>0</v>
      </c>
      <c r="O54" s="104" t="n">
        <v>0</v>
      </c>
      <c r="P54" s="109" t="n"/>
      <c r="Q54" s="109" t="n"/>
      <c r="R54" s="109">
        <f>(J54+K54+L54+M54+N54+O54)*$B$2</f>
        <v/>
      </c>
      <c r="S54" s="107" t="n"/>
      <c r="T54" s="110" t="n"/>
    </row>
    <row r="55" ht="12.75" customHeight="1" s="251">
      <c r="A55" s="104" t="inlineStr">
        <is>
          <t>T2</t>
        </is>
      </c>
      <c r="B55" s="13" t="inlineStr">
        <is>
          <t>Kunal Mehta</t>
        </is>
      </c>
      <c r="C55" s="9" t="n">
        <v>0</v>
      </c>
      <c r="D55" s="104">
        <f>SUM($C$3:$C$5)/64</f>
        <v/>
      </c>
      <c r="E55" s="104">
        <f>C55+D55</f>
        <v/>
      </c>
      <c r="F55" s="104">
        <f>IF($C$70=0, 0, E55/$C$70)</f>
        <v/>
      </c>
      <c r="G55" s="104">
        <f>F55*$T$5</f>
        <v/>
      </c>
      <c r="H55" s="104" t="n">
        <v>4</v>
      </c>
      <c r="I55" s="104">
        <f>$T$7*H55</f>
        <v/>
      </c>
      <c r="J55" s="104">
        <f>G55+$T$9+I55</f>
        <v/>
      </c>
      <c r="K55" s="104">
        <f>$T$11/64</f>
        <v/>
      </c>
      <c r="L55" s="7" t="n">
        <v>0</v>
      </c>
      <c r="M55" s="104" t="n">
        <v>0</v>
      </c>
      <c r="N55" s="104" t="n">
        <v>0</v>
      </c>
      <c r="O55" s="104" t="n">
        <v>0</v>
      </c>
      <c r="P55" s="109" t="n"/>
      <c r="Q55" s="109" t="n"/>
      <c r="R55" s="109">
        <f>(J55+K55+L55+M55+N55+O55)*$B$2</f>
        <v/>
      </c>
      <c r="S55" s="107" t="n"/>
      <c r="T55" s="110" t="n"/>
    </row>
    <row r="56" ht="12.75" customHeight="1" s="251">
      <c r="A56" s="104" t="inlineStr">
        <is>
          <t>T3</t>
        </is>
      </c>
      <c r="B56" s="13" t="inlineStr">
        <is>
          <t>Kapil Garg</t>
        </is>
      </c>
      <c r="C56" s="9" t="n">
        <v>0</v>
      </c>
      <c r="D56" s="104">
        <f>SUM($C$3:$C$5)/64</f>
        <v/>
      </c>
      <c r="E56" s="104">
        <f>C56+D56</f>
        <v/>
      </c>
      <c r="F56" s="104">
        <f>IF($C$70=0, 0, E56/$C$70)</f>
        <v/>
      </c>
      <c r="G56" s="104">
        <f>F56*$T$5</f>
        <v/>
      </c>
      <c r="H56" s="104" t="n">
        <v>4</v>
      </c>
      <c r="I56" s="104">
        <f>$T$7*H56</f>
        <v/>
      </c>
      <c r="J56" s="104">
        <f>G56+$T$9+I56</f>
        <v/>
      </c>
      <c r="K56" s="104">
        <f>$T$11/64</f>
        <v/>
      </c>
      <c r="L56" s="7" t="n">
        <v>0</v>
      </c>
      <c r="M56" s="104" t="n">
        <v>0</v>
      </c>
      <c r="N56" s="104" t="n">
        <v>0</v>
      </c>
      <c r="O56" s="104" t="n">
        <v>0</v>
      </c>
      <c r="P56" s="109" t="n"/>
      <c r="Q56" s="109" t="n"/>
      <c r="R56" s="109">
        <f>(J56+K56+L56+M56+N56+O56)*$B$2</f>
        <v/>
      </c>
      <c r="S56" s="107" t="n"/>
      <c r="T56" s="110" t="n"/>
    </row>
    <row r="57" ht="12.75" customHeight="1" s="251">
      <c r="A57" s="104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04">
        <f>SUM($C$3:$C$5)/64</f>
        <v/>
      </c>
      <c r="E57" s="104">
        <f>C57+D57</f>
        <v/>
      </c>
      <c r="F57" s="104">
        <f>IF($C$70=0, 0, E57/$C$70)</f>
        <v/>
      </c>
      <c r="G57" s="104">
        <f>F57*$T$5</f>
        <v/>
      </c>
      <c r="H57" s="104" t="n">
        <v>4</v>
      </c>
      <c r="I57" s="104">
        <f>$T$7*H57</f>
        <v/>
      </c>
      <c r="J57" s="104">
        <f>G57+$T$9+I57</f>
        <v/>
      </c>
      <c r="K57" s="104">
        <f>$T$11/64</f>
        <v/>
      </c>
      <c r="L57" s="7" t="n">
        <v>0</v>
      </c>
      <c r="M57" s="104" t="n">
        <v>0</v>
      </c>
      <c r="N57" s="104" t="n">
        <v>0</v>
      </c>
      <c r="O57" s="104" t="n">
        <v>0</v>
      </c>
      <c r="P57" s="109" t="n"/>
      <c r="Q57" s="109" t="n"/>
      <c r="R57" s="109">
        <f>(J57+K57+L57+M57+N57+O57)*$B$2</f>
        <v/>
      </c>
      <c r="S57" s="107" t="n"/>
      <c r="T57" s="110" t="n"/>
    </row>
    <row r="58" ht="12.75" customHeight="1" s="251">
      <c r="A58" s="104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04">
        <f>SUM($C$3:$C$5)/64</f>
        <v/>
      </c>
      <c r="E58" s="104">
        <f>C58+D58</f>
        <v/>
      </c>
      <c r="F58" s="104">
        <f>IF($C$70=0, 0, E58/$C$70)</f>
        <v/>
      </c>
      <c r="G58" s="104">
        <f>F58*$T$5</f>
        <v/>
      </c>
      <c r="H58" s="104" t="n">
        <v>3</v>
      </c>
      <c r="I58" s="104">
        <f>$T$7*H58</f>
        <v/>
      </c>
      <c r="J58" s="104">
        <f>G58+$T$9+I58</f>
        <v/>
      </c>
      <c r="K58" s="104">
        <f>$T$11/64</f>
        <v/>
      </c>
      <c r="L58" s="7" t="n">
        <v>0</v>
      </c>
      <c r="M58" s="104" t="n">
        <v>0</v>
      </c>
      <c r="N58" s="104" t="n">
        <v>0</v>
      </c>
      <c r="O58" s="104" t="n">
        <v>0</v>
      </c>
      <c r="P58" s="109" t="n"/>
      <c r="Q58" s="109" t="n"/>
      <c r="R58" s="109">
        <f>(J58+K58+L58+M58+N58+O58)*$B$2</f>
        <v/>
      </c>
      <c r="S58" s="107" t="n"/>
      <c r="T58" s="110" t="n"/>
    </row>
    <row r="59" ht="12.75" customHeight="1" s="251">
      <c r="A59" s="104" t="inlineStr">
        <is>
          <t>T6</t>
        </is>
      </c>
      <c r="B59" s="13" t="inlineStr">
        <is>
          <t>Mythili Ramesh</t>
        </is>
      </c>
      <c r="C59" s="9" t="n">
        <v>0</v>
      </c>
      <c r="D59" s="104">
        <f>SUM($C$3:$C$5)/64</f>
        <v/>
      </c>
      <c r="E59" s="104">
        <f>C59+D59</f>
        <v/>
      </c>
      <c r="F59" s="104">
        <f>IF($C$70=0, 0, E59/$C$70)</f>
        <v/>
      </c>
      <c r="G59" s="104">
        <f>F59*$T$5</f>
        <v/>
      </c>
      <c r="H59" s="104" t="n">
        <v>3</v>
      </c>
      <c r="I59" s="104">
        <f>$T$7*H59</f>
        <v/>
      </c>
      <c r="J59" s="104">
        <f>G59+$T$9+I59</f>
        <v/>
      </c>
      <c r="K59" s="104">
        <f>$T$11/64</f>
        <v/>
      </c>
      <c r="L59" s="7" t="n">
        <v>0</v>
      </c>
      <c r="M59" s="104" t="n">
        <v>0</v>
      </c>
      <c r="N59" s="104" t="n">
        <v>0</v>
      </c>
      <c r="O59" s="104" t="n">
        <v>0</v>
      </c>
      <c r="P59" s="109" t="n"/>
      <c r="Q59" s="109" t="n"/>
      <c r="R59" s="109">
        <f>(J59+K59+L59+M59+N59+O59)*$B$2</f>
        <v/>
      </c>
      <c r="S59" s="107" t="n"/>
      <c r="T59" s="110" t="n"/>
    </row>
    <row r="60" ht="12.75" customHeight="1" s="251">
      <c r="A60" s="104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04">
        <f>SUM($C$3:$C$5)/64</f>
        <v/>
      </c>
      <c r="E60" s="104">
        <f>C60+D60</f>
        <v/>
      </c>
      <c r="F60" s="104">
        <f>IF($C$70=0, 0, E60/$C$70)</f>
        <v/>
      </c>
      <c r="G60" s="104">
        <f>F60*$T$5</f>
        <v/>
      </c>
      <c r="H60" s="104" t="n">
        <v>3</v>
      </c>
      <c r="I60" s="104">
        <f>$T$7*H60</f>
        <v/>
      </c>
      <c r="J60" s="104">
        <f>G60+$T$9+I60</f>
        <v/>
      </c>
      <c r="K60" s="104">
        <f>$T$11/64</f>
        <v/>
      </c>
      <c r="L60" s="7" t="n">
        <v>0</v>
      </c>
      <c r="M60" s="104" t="n">
        <v>0</v>
      </c>
      <c r="N60" s="104" t="n">
        <v>0</v>
      </c>
      <c r="O60" s="104" t="n">
        <v>0</v>
      </c>
      <c r="P60" s="109" t="n"/>
      <c r="Q60" s="109" t="n"/>
      <c r="R60" s="109">
        <f>(J60+K60+L60+M60+N60+O60)*$B$2</f>
        <v/>
      </c>
      <c r="S60" s="107" t="n"/>
      <c r="T60" s="110" t="n"/>
    </row>
    <row r="61" ht="12.75" customHeight="1" s="251">
      <c r="A61" s="104" t="inlineStr">
        <is>
          <t>T8</t>
        </is>
      </c>
      <c r="B61" s="13" t="inlineStr">
        <is>
          <t>Lalit Kumar Sharma</t>
        </is>
      </c>
      <c r="C61" s="9" t="n">
        <v>0</v>
      </c>
      <c r="D61" s="104">
        <f>SUM($C$3:$C$5)/64</f>
        <v/>
      </c>
      <c r="E61" s="104">
        <f>C61+D61</f>
        <v/>
      </c>
      <c r="F61" s="104">
        <f>IF($C$70=0, 0, E61/$C$70)</f>
        <v/>
      </c>
      <c r="G61" s="104">
        <f>F61*$T$5</f>
        <v/>
      </c>
      <c r="H61" s="104" t="n">
        <v>3</v>
      </c>
      <c r="I61" s="104">
        <f>$T$7*H61</f>
        <v/>
      </c>
      <c r="J61" s="104">
        <f>G61+$T$9+I61</f>
        <v/>
      </c>
      <c r="K61" s="104">
        <f>$T$11/64</f>
        <v/>
      </c>
      <c r="L61" s="7" t="n">
        <v>0</v>
      </c>
      <c r="M61" s="104" t="n">
        <v>0</v>
      </c>
      <c r="N61" s="104" t="n">
        <v>0</v>
      </c>
      <c r="O61" s="104" t="n">
        <v>0</v>
      </c>
      <c r="P61" s="109" t="n"/>
      <c r="Q61" s="109" t="n"/>
      <c r="R61" s="109">
        <f>(J61+K61+L61+M61+N61+O61)*$B$2</f>
        <v/>
      </c>
      <c r="S61" s="107" t="n"/>
      <c r="T61" s="110" t="n"/>
    </row>
    <row r="62" ht="12.75" customHeight="1" s="251">
      <c r="A62" s="104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04">
        <f>SUM($C$3:$C$5)/64</f>
        <v/>
      </c>
      <c r="E62" s="104">
        <f>C62+D62</f>
        <v/>
      </c>
      <c r="F62" s="104">
        <f>IF($C$70=0, 0, E62/$C$70)</f>
        <v/>
      </c>
      <c r="G62" s="104">
        <f>F62*$T$5</f>
        <v/>
      </c>
      <c r="H62" s="104" t="n">
        <v>4</v>
      </c>
      <c r="I62" s="104">
        <f>$T$7*H62</f>
        <v/>
      </c>
      <c r="J62" s="104">
        <f>G62+$T$9+I62</f>
        <v/>
      </c>
      <c r="K62" s="104">
        <f>$T$11/64</f>
        <v/>
      </c>
      <c r="L62" s="7" t="n">
        <v>0</v>
      </c>
      <c r="M62" s="104" t="n">
        <v>0</v>
      </c>
      <c r="N62" s="104" t="n">
        <v>0</v>
      </c>
      <c r="O62" s="104" t="n">
        <v>0</v>
      </c>
      <c r="P62" s="109" t="n"/>
      <c r="Q62" s="109" t="n"/>
      <c r="R62" s="109">
        <f>(J62+K62+L62+M62+N62+O62)*$B$2</f>
        <v/>
      </c>
      <c r="S62" s="107" t="n"/>
      <c r="T62" s="110" t="n"/>
    </row>
    <row r="63" ht="12.75" customHeight="1" s="251">
      <c r="A63" s="104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04">
        <f>SUM($C$3:$C$5)/64</f>
        <v/>
      </c>
      <c r="E63" s="104">
        <f>C63+D63</f>
        <v/>
      </c>
      <c r="F63" s="104">
        <f>IF($C$70=0, 0, E63/$C$70)</f>
        <v/>
      </c>
      <c r="G63" s="104">
        <f>F63*$T$5</f>
        <v/>
      </c>
      <c r="H63" s="104" t="n">
        <v>3</v>
      </c>
      <c r="I63" s="104">
        <f>$T$7*H63</f>
        <v/>
      </c>
      <c r="J63" s="104">
        <f>G63+$T$9+I63</f>
        <v/>
      </c>
      <c r="K63" s="104">
        <f>$T$11/64</f>
        <v/>
      </c>
      <c r="L63" s="7" t="n">
        <v>0</v>
      </c>
      <c r="M63" s="104" t="n">
        <v>0</v>
      </c>
      <c r="N63" s="104" t="n">
        <v>0</v>
      </c>
      <c r="O63" s="104" t="n">
        <v>0</v>
      </c>
      <c r="P63" s="109" t="n"/>
      <c r="Q63" s="109" t="n"/>
      <c r="R63" s="109">
        <f>(J63+K63+L63+M63+N63+O63)*$B$2</f>
        <v/>
      </c>
      <c r="S63" s="107" t="n"/>
      <c r="T63" s="110" t="n"/>
    </row>
    <row r="64" ht="12.75" customHeight="1" s="251">
      <c r="A64" s="104" t="inlineStr">
        <is>
          <t>T11</t>
        </is>
      </c>
      <c r="B64" s="13" t="inlineStr">
        <is>
          <t>Arvind Balasubramanian</t>
        </is>
      </c>
      <c r="C64" s="9" t="n">
        <v>0</v>
      </c>
      <c r="D64" s="104">
        <f>SUM($C$3:$C$5)/64</f>
        <v/>
      </c>
      <c r="E64" s="104">
        <f>C64+D64</f>
        <v/>
      </c>
      <c r="F64" s="104">
        <f>IF($C$70=0, 0, E64/$C$70)</f>
        <v/>
      </c>
      <c r="G64" s="104">
        <f>F64*$T$5</f>
        <v/>
      </c>
      <c r="H64" s="104" t="n">
        <v>3</v>
      </c>
      <c r="I64" s="104">
        <f>$T$7*H64</f>
        <v/>
      </c>
      <c r="J64" s="104">
        <f>G64+$T$9+I64</f>
        <v/>
      </c>
      <c r="K64" s="104">
        <f>$T$11/64</f>
        <v/>
      </c>
      <c r="L64" s="7" t="n">
        <v>0</v>
      </c>
      <c r="M64" s="104" t="n">
        <v>0</v>
      </c>
      <c r="N64" s="104" t="n">
        <v>0</v>
      </c>
      <c r="O64" s="104" t="n">
        <v>0</v>
      </c>
      <c r="P64" s="109" t="n"/>
      <c r="Q64" s="109" t="n"/>
      <c r="R64" s="109">
        <f>(J64+K64+L64+M64+N64+O64)*$B$2</f>
        <v/>
      </c>
      <c r="S64" s="107" t="n"/>
      <c r="T64" s="110" t="n"/>
    </row>
    <row r="65" ht="12.75" customHeight="1" s="251">
      <c r="A65" s="104" t="inlineStr">
        <is>
          <t>T12</t>
        </is>
      </c>
      <c r="B65" s="13" t="inlineStr">
        <is>
          <t>Prasenjit</t>
        </is>
      </c>
      <c r="C65" s="9" t="n">
        <v>0</v>
      </c>
      <c r="D65" s="104">
        <f>SUM($C$3:$C$5)/64</f>
        <v/>
      </c>
      <c r="E65" s="104">
        <f>C65+D65</f>
        <v/>
      </c>
      <c r="F65" s="104">
        <f>IF($C$70=0, 0, E65/$C$70)</f>
        <v/>
      </c>
      <c r="G65" s="104">
        <f>F65*$T$5</f>
        <v/>
      </c>
      <c r="H65" s="104" t="n">
        <v>3</v>
      </c>
      <c r="I65" s="104">
        <f>$T$7*H65</f>
        <v/>
      </c>
      <c r="J65" s="104">
        <f>G65+$T$9+I65</f>
        <v/>
      </c>
      <c r="K65" s="104">
        <f>$T$11/64</f>
        <v/>
      </c>
      <c r="L65" s="7" t="n">
        <v>0</v>
      </c>
      <c r="M65" s="104" t="n">
        <v>0</v>
      </c>
      <c r="N65" s="104" t="n">
        <v>0</v>
      </c>
      <c r="O65" s="104" t="n">
        <v>0</v>
      </c>
      <c r="P65" s="109" t="n"/>
      <c r="Q65" s="109" t="n"/>
      <c r="R65" s="109">
        <f>(J65+K65+L65+M65+N65+O65)*$B$2</f>
        <v/>
      </c>
      <c r="S65" s="107" t="n"/>
      <c r="T65" s="110" t="n"/>
    </row>
    <row r="66" ht="12.75" customHeight="1" s="251">
      <c r="A66" s="104" t="inlineStr">
        <is>
          <t>T13</t>
        </is>
      </c>
      <c r="B66" s="13" t="inlineStr">
        <is>
          <t>Rahul Kumar</t>
        </is>
      </c>
      <c r="C66" s="9" t="n">
        <v>0</v>
      </c>
      <c r="D66" s="104">
        <f>SUM($C$3:$C$5)/64</f>
        <v/>
      </c>
      <c r="E66" s="104">
        <f>C66+D66</f>
        <v/>
      </c>
      <c r="F66" s="104">
        <f>IF($C$70=0, 0, E66/$C$70)</f>
        <v/>
      </c>
      <c r="G66" s="104">
        <f>F66*$T$5</f>
        <v/>
      </c>
      <c r="H66" s="104" t="n">
        <v>4</v>
      </c>
      <c r="I66" s="104">
        <f>$T$7*H66</f>
        <v/>
      </c>
      <c r="J66" s="104">
        <f>G66+$T$9+I66</f>
        <v/>
      </c>
      <c r="K66" s="104">
        <f>$T$11/64</f>
        <v/>
      </c>
      <c r="L66" s="7" t="n">
        <v>0</v>
      </c>
      <c r="M66" s="104" t="n">
        <v>0</v>
      </c>
      <c r="N66" s="104" t="n">
        <v>0</v>
      </c>
      <c r="O66" s="104" t="n">
        <v>0</v>
      </c>
      <c r="P66" s="109" t="n"/>
      <c r="Q66" s="109" t="n"/>
      <c r="R66" s="109">
        <f>(J66+K66+L66+M66+N66+O66)*$B$2</f>
        <v/>
      </c>
      <c r="S66" s="107" t="n"/>
      <c r="T66" s="110" t="n"/>
    </row>
    <row r="67" ht="12.75" customHeight="1" s="251">
      <c r="A67" s="104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04">
        <f>SUM($C$3:$C$5)/64</f>
        <v/>
      </c>
      <c r="E67" s="104">
        <f>C67+D67</f>
        <v/>
      </c>
      <c r="F67" s="104">
        <f>IF($C$70=0, 0, E67/$C$70)</f>
        <v/>
      </c>
      <c r="G67" s="104">
        <f>F67*$T$5</f>
        <v/>
      </c>
      <c r="H67" s="104" t="n">
        <v>4</v>
      </c>
      <c r="I67" s="104">
        <f>$T$7*H67</f>
        <v/>
      </c>
      <c r="J67" s="104">
        <f>G67+$T$9+I67</f>
        <v/>
      </c>
      <c r="K67" s="104">
        <f>$T$11/64</f>
        <v/>
      </c>
      <c r="L67" s="7" t="n">
        <v>0</v>
      </c>
      <c r="M67" s="104" t="n">
        <v>0</v>
      </c>
      <c r="N67" s="104" t="n">
        <v>0</v>
      </c>
      <c r="O67" s="104" t="n">
        <v>0</v>
      </c>
      <c r="P67" s="109" t="n"/>
      <c r="Q67" s="109" t="n"/>
      <c r="R67" s="109">
        <f>(J67+K67+L67+M67+N67+O67)*$B$2</f>
        <v/>
      </c>
      <c r="S67" s="107" t="n"/>
      <c r="T67" s="110" t="n"/>
    </row>
    <row r="68" ht="12.75" customHeight="1" s="251">
      <c r="A68" s="104" t="inlineStr">
        <is>
          <t>T15</t>
        </is>
      </c>
      <c r="B68" s="13" t="inlineStr">
        <is>
          <t>Trevor</t>
        </is>
      </c>
      <c r="C68" s="9" t="n">
        <v>0</v>
      </c>
      <c r="D68" s="104">
        <f>SUM($C$3:$C$5)/64</f>
        <v/>
      </c>
      <c r="E68" s="104">
        <f>C68+D68</f>
        <v/>
      </c>
      <c r="F68" s="104">
        <f>IF($C$70=0, 0, E68/$C$70)</f>
        <v/>
      </c>
      <c r="G68" s="104">
        <f>F68*$T$5</f>
        <v/>
      </c>
      <c r="H68" s="104" t="n">
        <v>4</v>
      </c>
      <c r="I68" s="104">
        <f>$T$7*H68</f>
        <v/>
      </c>
      <c r="J68" s="104">
        <f>G68+$T$9+I68</f>
        <v/>
      </c>
      <c r="K68" s="104">
        <f>$T$11/64</f>
        <v/>
      </c>
      <c r="L68" s="7" t="n">
        <v>0</v>
      </c>
      <c r="M68" s="104" t="n">
        <v>0</v>
      </c>
      <c r="N68" s="104" t="n">
        <v>0</v>
      </c>
      <c r="O68" s="104" t="n">
        <v>0</v>
      </c>
      <c r="P68" s="109" t="n"/>
      <c r="Q68" s="109" t="n"/>
      <c r="R68" s="109">
        <f>(J68+K68+L68+M68+N68+O68)*$B$2</f>
        <v/>
      </c>
      <c r="S68" s="107" t="n"/>
      <c r="T68" s="110" t="n"/>
    </row>
    <row r="69" ht="12.75" customHeight="1" s="251">
      <c r="A69" s="104" t="inlineStr">
        <is>
          <t>T16</t>
        </is>
      </c>
      <c r="B69" s="13" t="inlineStr">
        <is>
          <t>Madhusoodanan P.R.</t>
        </is>
      </c>
      <c r="C69" s="9" t="n">
        <v>0</v>
      </c>
      <c r="D69" s="104">
        <f>SUM($C$3:$C$5)/64</f>
        <v/>
      </c>
      <c r="E69" s="104">
        <f>C69+D69</f>
        <v/>
      </c>
      <c r="F69" s="104">
        <f>IF($C$70=0, 0, E69/$C$70)</f>
        <v/>
      </c>
      <c r="G69" s="104">
        <f>F69*$T$5</f>
        <v/>
      </c>
      <c r="H69" s="104" t="n">
        <v>3</v>
      </c>
      <c r="I69" s="104">
        <f>$T$7*H69</f>
        <v/>
      </c>
      <c r="J69" s="104">
        <f>G69+$T$9+I69</f>
        <v/>
      </c>
      <c r="K69" s="104">
        <f>$T$11/64</f>
        <v/>
      </c>
      <c r="L69" s="7" t="n">
        <v>0</v>
      </c>
      <c r="M69" s="104" t="n">
        <v>0</v>
      </c>
      <c r="N69" s="104" t="n">
        <v>0</v>
      </c>
      <c r="O69" s="104" t="n">
        <v>0</v>
      </c>
      <c r="P69" s="109" t="n"/>
      <c r="Q69" s="109" t="n"/>
      <c r="R69" s="109">
        <f>(J69+K69+L69+M69+N69+O69)*$B$2</f>
        <v/>
      </c>
      <c r="S69" s="107" t="n"/>
      <c r="T69" s="110" t="n"/>
    </row>
    <row r="70" ht="12.75" customHeight="1" s="251">
      <c r="A70" s="104" t="n"/>
      <c r="B70" s="108" t="inlineStr">
        <is>
          <t>TOTAL</t>
        </is>
      </c>
      <c r="C70" s="104">
        <f>SUM(C3:C69)</f>
        <v/>
      </c>
      <c r="D70" s="104">
        <f>SUM(D3:D69)</f>
        <v/>
      </c>
      <c r="E70" s="104">
        <f>SUM(E3:E69)</f>
        <v/>
      </c>
      <c r="F70" s="104">
        <f>IF($C$70=0, 0, E70/$C$70)</f>
        <v/>
      </c>
      <c r="G70" s="104">
        <f>SUM(G3:G69)</f>
        <v/>
      </c>
      <c r="H70" s="104">
        <f>SUM(H3:H69)</f>
        <v/>
      </c>
      <c r="I70" s="104">
        <f>SUM(I3:I69)</f>
        <v/>
      </c>
      <c r="J70" s="104">
        <f>SUM(J3:J69)</f>
        <v/>
      </c>
      <c r="K70" s="104">
        <f>SUM(K3:K69)</f>
        <v/>
      </c>
      <c r="L70" s="104">
        <f>SUM(L3:L69)</f>
        <v/>
      </c>
      <c r="M70" s="104">
        <f>SUM(M3:M69)</f>
        <v/>
      </c>
      <c r="N70" s="104">
        <f>SUM(N3:N69)</f>
        <v/>
      </c>
      <c r="O70" s="104">
        <f>SUM(O3:O69)</f>
        <v/>
      </c>
      <c r="P70" s="104" t="n"/>
      <c r="Q70" s="104" t="n"/>
      <c r="R70" s="104">
        <f>SUM(R3:R69)</f>
        <v/>
      </c>
      <c r="S70" s="107" t="n"/>
      <c r="T70" s="110" t="n"/>
    </row>
  </sheetData>
  <mergeCells count="1">
    <mergeCell ref="B1:T1"/>
  </mergeCells>
  <conditionalFormatting sqref="T21">
    <cfRule type="cellIs" priority="1" operator="lessThan" dxfId="14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7.6640625" customWidth="1" style="251" min="1" max="1"/>
    <col width="30.5" customWidth="1" style="251" min="2" max="2"/>
    <col width="20.33203125" customWidth="1" style="251" min="3" max="18"/>
    <col width="38.6640625" customWidth="1" style="251" min="19" max="19"/>
    <col width="10.33203125" customWidth="1" style="251" min="20" max="20"/>
  </cols>
  <sheetData>
    <row r="1" ht="16.5" customHeight="1" s="251">
      <c r="A1" s="124" t="n"/>
      <c r="B1" s="252" t="inlineStr">
        <is>
          <t>MARCH 2027 EXPENSES</t>
        </is>
      </c>
      <c r="C1" s="278" t="n"/>
      <c r="D1" s="278" t="n"/>
      <c r="E1" s="278" t="n"/>
      <c r="F1" s="278" t="n"/>
      <c r="G1" s="278" t="n"/>
      <c r="H1" s="278" t="n"/>
      <c r="I1" s="278" t="n"/>
      <c r="J1" s="278" t="n"/>
      <c r="K1" s="278" t="n"/>
      <c r="L1" s="278" t="n"/>
      <c r="M1" s="278" t="n"/>
      <c r="N1" s="278" t="n"/>
      <c r="O1" s="278" t="n"/>
      <c r="P1" s="278" t="n"/>
      <c r="Q1" s="278" t="n"/>
      <c r="R1" s="278" t="n"/>
      <c r="S1" s="278" t="n"/>
      <c r="T1" s="278" t="n"/>
    </row>
    <row r="2" ht="58.5" customHeight="1" s="251">
      <c r="A2" s="125" t="inlineStr">
        <is>
          <t>FLAT #</t>
        </is>
      </c>
      <c r="B2" s="126" t="n">
        <v>1</v>
      </c>
      <c r="C2" s="119" t="inlineStr">
        <is>
          <t>WATER USED IN LTRS</t>
        </is>
      </c>
      <c r="D2" s="119" t="inlineStr">
        <is>
          <t>COMMON AREA EQUALLY DEVIDED</t>
        </is>
      </c>
      <c r="E2" s="119" t="inlineStr">
        <is>
          <t>TOTAL FRESH WATER CONSUMED</t>
        </is>
      </c>
      <c r="F2" s="119" t="inlineStr">
        <is>
          <t>%OF TOTAL USED</t>
        </is>
      </c>
      <c r="G2" s="119" t="inlineStr">
        <is>
          <t>WATER EXPENSE SHARING BY %</t>
        </is>
      </c>
      <c r="H2" s="119" t="inlineStr">
        <is>
          <t>#METERS</t>
        </is>
      </c>
      <c r="I2" s="119" t="inlineStr">
        <is>
          <t>METER RENT</t>
        </is>
      </c>
      <c r="J2" s="119" t="inlineStr">
        <is>
          <t>COMMON AREA METER RENT + WATER EXPENSE+ FLAT METER RENT</t>
        </is>
      </c>
      <c r="K2" s="119" t="inlineStr">
        <is>
          <t>FIXED EXPENSE SHARE</t>
        </is>
      </c>
      <c r="L2" s="119" t="inlineStr">
        <is>
          <t>PARKING FEE</t>
        </is>
      </c>
      <c r="M2" s="119" t="inlineStr">
        <is>
          <t>CLUB BOOKING FEE</t>
        </is>
      </c>
      <c r="N2" s="119" t="inlineStr">
        <is>
          <t>SHIFTING FEE</t>
        </is>
      </c>
      <c r="O2" s="119" t="inlineStr">
        <is>
          <t>GYM USAGE FEE</t>
        </is>
      </c>
      <c r="P2" s="119" t="inlineStr">
        <is>
          <t>OWNERSHIP TRANSFER FEE</t>
        </is>
      </c>
      <c r="Q2" s="127" t="n"/>
      <c r="R2" s="128" t="inlineStr">
        <is>
          <t>TOTAL EXPENSE TO BE PAID</t>
        </is>
      </c>
      <c r="S2" s="129" t="n"/>
      <c r="T2" s="129" t="n"/>
    </row>
    <row r="3" ht="12.75" customHeight="1" s="251">
      <c r="A3" s="125" t="inlineStr">
        <is>
          <t>CH</t>
        </is>
      </c>
      <c r="B3" s="130" t="inlineStr">
        <is>
          <t>MPFOWA</t>
        </is>
      </c>
      <c r="C3" s="127" t="n">
        <v>0</v>
      </c>
      <c r="D3" s="131" t="n">
        <v>0</v>
      </c>
      <c r="E3" s="127" t="n"/>
      <c r="F3" s="127" t="n"/>
      <c r="G3" s="127" t="n"/>
      <c r="H3" s="131" t="n">
        <v>1</v>
      </c>
      <c r="I3" s="131">
        <f>T7</f>
        <v/>
      </c>
      <c r="J3" s="127" t="n"/>
      <c r="K3" s="127" t="n"/>
      <c r="L3" s="127" t="n"/>
      <c r="M3" s="127" t="n"/>
      <c r="N3" s="127" t="n"/>
      <c r="O3" s="127" t="n"/>
      <c r="P3" s="127" t="n"/>
      <c r="Q3" s="127" t="n"/>
      <c r="R3" s="127" t="n"/>
      <c r="S3" s="129" t="n"/>
      <c r="T3" s="129" t="n"/>
    </row>
    <row r="4" ht="12.75" customHeight="1" s="251">
      <c r="A4" s="125" t="inlineStr">
        <is>
          <t>GYM</t>
        </is>
      </c>
      <c r="B4" s="130" t="inlineStr">
        <is>
          <t>MPFOWA</t>
        </is>
      </c>
      <c r="C4" s="127" t="n">
        <v>0</v>
      </c>
      <c r="D4" s="131" t="n">
        <v>0</v>
      </c>
      <c r="E4" s="127" t="n"/>
      <c r="F4" s="127" t="n"/>
      <c r="G4" s="127" t="n"/>
      <c r="H4" s="131" t="n">
        <v>1</v>
      </c>
      <c r="I4" s="131">
        <f>T7</f>
        <v/>
      </c>
      <c r="J4" s="127" t="n"/>
      <c r="K4" s="127" t="n"/>
      <c r="L4" s="127" t="n"/>
      <c r="M4" s="127" t="n"/>
      <c r="N4" s="127" t="n"/>
      <c r="O4" s="127" t="n"/>
      <c r="P4" s="127" t="n"/>
      <c r="Q4" s="127" t="n"/>
      <c r="R4" s="127" t="n"/>
      <c r="S4" s="132" t="inlineStr">
        <is>
          <t>TOTAL FIXED EXPENSE</t>
        </is>
      </c>
      <c r="T4" s="133">
        <f>'ANNUAL-EXPENSE-DETAILS'!BF14</f>
        <v/>
      </c>
    </row>
    <row r="5" ht="12.75" customHeight="1" s="251">
      <c r="A5" s="125" t="inlineStr">
        <is>
          <t>BSMT</t>
        </is>
      </c>
      <c r="B5" s="130" t="inlineStr">
        <is>
          <t>MPFOWA</t>
        </is>
      </c>
      <c r="C5" s="127" t="n">
        <v>0</v>
      </c>
      <c r="D5" s="131" t="n">
        <v>0</v>
      </c>
      <c r="E5" s="127" t="n"/>
      <c r="F5" s="127" t="n"/>
      <c r="G5" s="127" t="n"/>
      <c r="H5" s="131" t="n">
        <v>1</v>
      </c>
      <c r="I5" s="131">
        <f>T7</f>
        <v/>
      </c>
      <c r="J5" s="127" t="n"/>
      <c r="K5" s="127" t="n"/>
      <c r="L5" s="127" t="n"/>
      <c r="M5" s="127" t="n"/>
      <c r="N5" s="127" t="n"/>
      <c r="O5" s="127" t="n"/>
      <c r="P5" s="127" t="n"/>
      <c r="Q5" s="127" t="n"/>
      <c r="R5" s="127" t="n"/>
      <c r="S5" s="132" t="inlineStr">
        <is>
          <t>TOTAL WATER EXPENSE</t>
        </is>
      </c>
      <c r="T5" s="133">
        <f>'ANNUAL-EXPENSE-DETAILS'!BE14</f>
        <v/>
      </c>
    </row>
    <row r="6" ht="12.75" customHeight="1" s="251">
      <c r="A6" s="125" t="inlineStr">
        <is>
          <t>F1</t>
        </is>
      </c>
      <c r="B6" s="13" t="inlineStr">
        <is>
          <t>Shailesh Srivastava / Azeem Nawaz</t>
        </is>
      </c>
      <c r="C6" s="9" t="n">
        <v>0</v>
      </c>
      <c r="D6" s="131">
        <f>SUM($C$3:$C$5)/64</f>
        <v/>
      </c>
      <c r="E6" s="131">
        <f>C6+D6</f>
        <v/>
      </c>
      <c r="F6" s="131">
        <f>IF($C$70=0, 0, E6/$C$70)</f>
        <v/>
      </c>
      <c r="G6" s="131">
        <f>F6*$T$5</f>
        <v/>
      </c>
      <c r="H6" s="131" t="n">
        <v>3</v>
      </c>
      <c r="I6" s="131">
        <f>$T$7*H6</f>
        <v/>
      </c>
      <c r="J6" s="131">
        <f>G6+$T$9+I6</f>
        <v/>
      </c>
      <c r="K6" s="131">
        <f>$T$11/64</f>
        <v/>
      </c>
      <c r="L6" s="14" t="n">
        <v>0</v>
      </c>
      <c r="M6" s="131" t="n">
        <v>0</v>
      </c>
      <c r="N6" s="131" t="n">
        <v>0</v>
      </c>
      <c r="O6" s="131" t="n">
        <v>0</v>
      </c>
      <c r="P6" s="127" t="n"/>
      <c r="Q6" s="127" t="n"/>
      <c r="R6" s="134">
        <f>(J6+K6+L6+M6+N6+O6+P6)*$B$2</f>
        <v/>
      </c>
      <c r="S6" s="129" t="n"/>
      <c r="T6" s="129" t="n"/>
    </row>
    <row r="7" ht="12.75" customHeight="1" s="251">
      <c r="A7" s="125" t="inlineStr">
        <is>
          <t>F2</t>
        </is>
      </c>
      <c r="B7" s="13" t="inlineStr">
        <is>
          <t>Shanthanu</t>
        </is>
      </c>
      <c r="C7" s="9" t="n">
        <v>0</v>
      </c>
      <c r="D7" s="131">
        <f>SUM($C$3:$C$5)/64</f>
        <v/>
      </c>
      <c r="E7" s="131">
        <f>C7+D7</f>
        <v/>
      </c>
      <c r="F7" s="131">
        <f>IF($C$70=0, 0, E7/$C$70)</f>
        <v/>
      </c>
      <c r="G7" s="131">
        <f>F7*$T$5</f>
        <v/>
      </c>
      <c r="H7" s="131" t="n">
        <v>4</v>
      </c>
      <c r="I7" s="131">
        <f>$T$7*H7</f>
        <v/>
      </c>
      <c r="J7" s="131">
        <f>G7+$T$9+I7</f>
        <v/>
      </c>
      <c r="K7" s="131">
        <f>$T$11/64</f>
        <v/>
      </c>
      <c r="L7" s="7" t="n">
        <v>0</v>
      </c>
      <c r="M7" s="131" t="n">
        <v>0</v>
      </c>
      <c r="N7" s="131" t="n">
        <v>0</v>
      </c>
      <c r="O7" s="131" t="n">
        <v>0</v>
      </c>
      <c r="P7" s="127" t="n"/>
      <c r="Q7" s="127" t="n"/>
      <c r="R7" s="134">
        <f>(J7+K7+L7+M7+N7+O7+P7)*$B$2</f>
        <v/>
      </c>
      <c r="S7" s="135" t="inlineStr">
        <is>
          <t>RENT PER METER</t>
        </is>
      </c>
      <c r="T7" s="17" t="n">
        <v>117.81</v>
      </c>
    </row>
    <row r="8" ht="12.75" customHeight="1" s="251">
      <c r="A8" s="125" t="inlineStr">
        <is>
          <t>F3</t>
        </is>
      </c>
      <c r="B8" s="13" t="inlineStr">
        <is>
          <t>Samrat Kar</t>
        </is>
      </c>
      <c r="C8" s="9" t="n">
        <v>0</v>
      </c>
      <c r="D8" s="131">
        <f>SUM($C$3:$C$5)/64</f>
        <v/>
      </c>
      <c r="E8" s="131">
        <f>C8+D8</f>
        <v/>
      </c>
      <c r="F8" s="131">
        <f>IF($C$70=0, 0, E8/$C$70)</f>
        <v/>
      </c>
      <c r="G8" s="131">
        <f>F8*$T$5</f>
        <v/>
      </c>
      <c r="H8" s="131" t="n">
        <v>4</v>
      </c>
      <c r="I8" s="131">
        <f>$T$7*H8</f>
        <v/>
      </c>
      <c r="J8" s="131">
        <f>G8+$T$9+I8</f>
        <v/>
      </c>
      <c r="K8" s="131">
        <f>$T$11/64</f>
        <v/>
      </c>
      <c r="L8" s="7" t="n">
        <v>0</v>
      </c>
      <c r="M8" s="131" t="n">
        <v>0</v>
      </c>
      <c r="N8" s="131" t="n">
        <v>0</v>
      </c>
      <c r="O8" s="131" t="n">
        <v>0</v>
      </c>
      <c r="P8" s="127" t="n"/>
      <c r="Q8" s="127" t="n"/>
      <c r="R8" s="134">
        <f>(J8+K8+L8+M8+N8+O8+P8)*$B$2</f>
        <v/>
      </c>
      <c r="S8" s="135" t="inlineStr">
        <is>
          <t>COMMON AREA METER RENT</t>
        </is>
      </c>
      <c r="T8" s="136">
        <f>$T$7*3</f>
        <v/>
      </c>
    </row>
    <row r="9" ht="12.75" customHeight="1" s="251">
      <c r="A9" s="125" t="inlineStr">
        <is>
          <t>F4</t>
        </is>
      </c>
      <c r="B9" s="13" t="inlineStr">
        <is>
          <t>Renu R</t>
        </is>
      </c>
      <c r="C9" s="9" t="n">
        <v>0</v>
      </c>
      <c r="D9" s="131">
        <f>SUM($C$3:$C$5)/64</f>
        <v/>
      </c>
      <c r="E9" s="131">
        <f>C9+D9</f>
        <v/>
      </c>
      <c r="F9" s="131">
        <f>IF($C$70=0, 0, E9/$C$70)</f>
        <v/>
      </c>
      <c r="G9" s="131">
        <f>F9*$T$5</f>
        <v/>
      </c>
      <c r="H9" s="131" t="n">
        <v>4</v>
      </c>
      <c r="I9" s="131">
        <f>$T$7*H9</f>
        <v/>
      </c>
      <c r="J9" s="131">
        <f>G9+$T$9+I9</f>
        <v/>
      </c>
      <c r="K9" s="131">
        <f>$T$11/64</f>
        <v/>
      </c>
      <c r="L9" s="7" t="n">
        <v>0</v>
      </c>
      <c r="M9" s="131" t="n">
        <v>0</v>
      </c>
      <c r="N9" s="131" t="n">
        <v>0</v>
      </c>
      <c r="O9" s="131" t="n">
        <v>0</v>
      </c>
      <c r="P9" s="127" t="n"/>
      <c r="Q9" s="127" t="n"/>
      <c r="R9" s="134">
        <f>(J9+K9+L9+M9+N9+O9+P9)*$B$2</f>
        <v/>
      </c>
      <c r="S9" s="137" t="inlineStr">
        <is>
          <t>COMMON AREA METER RENT/FLAT</t>
        </is>
      </c>
      <c r="T9" s="138">
        <f>T8/64</f>
        <v/>
      </c>
    </row>
    <row r="10" ht="12.75" customHeight="1" s="251">
      <c r="A10" s="125" t="inlineStr">
        <is>
          <t>F5</t>
        </is>
      </c>
      <c r="B10" s="13" t="inlineStr">
        <is>
          <t>Vamsidhar Bethanabatla / Madhuri Anumula</t>
        </is>
      </c>
      <c r="C10" s="9" t="n">
        <v>0</v>
      </c>
      <c r="D10" s="131">
        <f>SUM($C$3:$C$5)/64</f>
        <v/>
      </c>
      <c r="E10" s="131">
        <f>C10+D10</f>
        <v/>
      </c>
      <c r="F10" s="131">
        <f>IF($C$70=0, 0, E10/$C$70)</f>
        <v/>
      </c>
      <c r="G10" s="131">
        <f>F10*$T$5</f>
        <v/>
      </c>
      <c r="H10" s="131" t="n">
        <v>3</v>
      </c>
      <c r="I10" s="131">
        <f>$T$7*H10</f>
        <v/>
      </c>
      <c r="J10" s="131">
        <f>G10+$T$9+I10</f>
        <v/>
      </c>
      <c r="K10" s="131">
        <f>$T$11/64</f>
        <v/>
      </c>
      <c r="L10" s="7" t="n">
        <v>0</v>
      </c>
      <c r="M10" s="131" t="n">
        <v>0</v>
      </c>
      <c r="N10" s="131" t="n">
        <v>0</v>
      </c>
      <c r="O10" s="131" t="n">
        <v>0</v>
      </c>
      <c r="P10" s="127" t="n">
        <v>0</v>
      </c>
      <c r="Q10" s="127" t="n"/>
      <c r="R10" s="134">
        <f>(J10+K10+L10+M10+N10+O10+P10)*$B$2</f>
        <v/>
      </c>
      <c r="S10" s="129" t="n"/>
      <c r="T10" s="129" t="n"/>
    </row>
    <row r="11" ht="12.75" customHeight="1" s="251">
      <c r="A11" s="125" t="inlineStr">
        <is>
          <t>F6</t>
        </is>
      </c>
      <c r="B11" s="13" t="inlineStr">
        <is>
          <t>Meghana Viral Shah and Vviral Shah (Owner) / Sangeet and Swagat (Tenent)</t>
        </is>
      </c>
      <c r="C11" s="9" t="n">
        <v>0</v>
      </c>
      <c r="D11" s="131">
        <f>SUM($C$3:$C$5)/64</f>
        <v/>
      </c>
      <c r="E11" s="131">
        <f>C11+D11</f>
        <v/>
      </c>
      <c r="F11" s="131">
        <f>IF($C$70=0, 0, E11/$C$70)</f>
        <v/>
      </c>
      <c r="G11" s="131">
        <f>F11*$T$5</f>
        <v/>
      </c>
      <c r="H11" s="131" t="n">
        <v>3</v>
      </c>
      <c r="I11" s="131">
        <f>$T$7*H11</f>
        <v/>
      </c>
      <c r="J11" s="131">
        <f>G11+$T$9+I11</f>
        <v/>
      </c>
      <c r="K11" s="131">
        <f>$T$11/64</f>
        <v/>
      </c>
      <c r="L11" s="7" t="n">
        <v>0</v>
      </c>
      <c r="M11" s="131" t="n">
        <v>0</v>
      </c>
      <c r="N11" s="131" t="n">
        <v>0</v>
      </c>
      <c r="O11" s="131" t="n">
        <v>0</v>
      </c>
      <c r="P11" s="127" t="n"/>
      <c r="Q11" s="127" t="n"/>
      <c r="R11" s="134">
        <f>(J11+K11+L11+M11+N11+O11+P11)*$B$2</f>
        <v/>
      </c>
      <c r="S11" s="137" t="inlineStr">
        <is>
          <t>TOTAL FIXED EXPENSE</t>
        </is>
      </c>
      <c r="T11" s="138">
        <f>'ANNUAL-EXPENSE-DETAILS'!BF14</f>
        <v/>
      </c>
    </row>
    <row r="12" ht="12.75" customHeight="1" s="251">
      <c r="A12" s="125" t="inlineStr">
        <is>
          <t>F7</t>
        </is>
      </c>
      <c r="B12" s="13" t="inlineStr">
        <is>
          <t>Vimal NK</t>
        </is>
      </c>
      <c r="C12" s="9" t="n">
        <v>0</v>
      </c>
      <c r="D12" s="131">
        <f>SUM($C$3:$C$5)/64</f>
        <v/>
      </c>
      <c r="E12" s="131">
        <f>C12+D12</f>
        <v/>
      </c>
      <c r="F12" s="131">
        <f>IF($C$70=0, 0, E12/$C$70)</f>
        <v/>
      </c>
      <c r="G12" s="131">
        <f>F12*$T$5</f>
        <v/>
      </c>
      <c r="H12" s="131" t="n">
        <v>3</v>
      </c>
      <c r="I12" s="131">
        <f>$T$7*H12</f>
        <v/>
      </c>
      <c r="J12" s="131">
        <f>G12+$T$9+I12</f>
        <v/>
      </c>
      <c r="K12" s="131">
        <f>$T$11/64</f>
        <v/>
      </c>
      <c r="L12" s="7" t="n">
        <v>0</v>
      </c>
      <c r="M12" s="131" t="n">
        <v>0</v>
      </c>
      <c r="N12" s="131" t="n">
        <v>0</v>
      </c>
      <c r="O12" s="131" t="n">
        <v>0</v>
      </c>
      <c r="P12" s="127" t="n"/>
      <c r="Q12" s="127" t="n"/>
      <c r="R12" s="134">
        <f>(J12+K12+L12+M12+N12+O12+P12)*$B$2</f>
        <v/>
      </c>
      <c r="S12" s="129" t="n"/>
      <c r="T12" s="129" t="n"/>
    </row>
    <row r="13" ht="12.75" customHeight="1" s="251">
      <c r="A13" s="125" t="inlineStr">
        <is>
          <t>F8</t>
        </is>
      </c>
      <c r="B13" s="13" t="inlineStr">
        <is>
          <t>Sujeet Kumar (Tenant)/Sreejith Menon (Owner)</t>
        </is>
      </c>
      <c r="C13" s="9" t="n">
        <v>0</v>
      </c>
      <c r="D13" s="131">
        <f>SUM($C$3:$C$5)/64</f>
        <v/>
      </c>
      <c r="E13" s="131">
        <f>C13+D13</f>
        <v/>
      </c>
      <c r="F13" s="131">
        <f>IF($C$70=0, 0, E13/$C$70)</f>
        <v/>
      </c>
      <c r="G13" s="131">
        <f>F13*$T$5</f>
        <v/>
      </c>
      <c r="H13" s="131" t="n">
        <v>3</v>
      </c>
      <c r="I13" s="131">
        <f>$T$7*H13</f>
        <v/>
      </c>
      <c r="J13" s="131">
        <f>G13+$T$9+I13</f>
        <v/>
      </c>
      <c r="K13" s="131">
        <f>$T$11/64</f>
        <v/>
      </c>
      <c r="L13" s="7" t="n">
        <v>0</v>
      </c>
      <c r="M13" s="131" t="n">
        <v>0</v>
      </c>
      <c r="N13" s="131" t="n">
        <v>0</v>
      </c>
      <c r="O13" s="131" t="n">
        <v>0</v>
      </c>
      <c r="P13" s="127" t="n"/>
      <c r="Q13" s="127" t="n"/>
      <c r="R13" s="134">
        <f>(J13+K13+L13+M13+N13+O13+P13)*$B$2</f>
        <v/>
      </c>
      <c r="S13" s="137" t="inlineStr">
        <is>
          <t>TOTAL WATER METER RENT</t>
        </is>
      </c>
      <c r="T13" s="138">
        <f>T8+I70</f>
        <v/>
      </c>
    </row>
    <row r="14" ht="12.75" customHeight="1" s="251">
      <c r="A14" s="125" t="inlineStr">
        <is>
          <t>F9</t>
        </is>
      </c>
      <c r="B14" s="13" t="inlineStr">
        <is>
          <t>Vijay Suswaram (Owner)  /   Divya Shikha (Tenant)</t>
        </is>
      </c>
      <c r="C14" s="9" t="n">
        <v>0</v>
      </c>
      <c r="D14" s="131">
        <f>SUM($C$3:$C$5)/64</f>
        <v/>
      </c>
      <c r="E14" s="131">
        <f>C14+D14</f>
        <v/>
      </c>
      <c r="F14" s="131">
        <f>IF($C$70=0, 0, E14/$C$70)</f>
        <v/>
      </c>
      <c r="G14" s="131">
        <f>F14*$T$5</f>
        <v/>
      </c>
      <c r="H14" s="131" t="n">
        <v>4</v>
      </c>
      <c r="I14" s="131">
        <f>$T$7*H14</f>
        <v/>
      </c>
      <c r="J14" s="131">
        <f>G14+$T$9+I14</f>
        <v/>
      </c>
      <c r="K14" s="131">
        <f>$T$11/64</f>
        <v/>
      </c>
      <c r="L14" s="7" t="n">
        <v>0</v>
      </c>
      <c r="M14" s="131" t="n">
        <v>0</v>
      </c>
      <c r="N14" s="131" t="n">
        <v>0</v>
      </c>
      <c r="O14" s="131" t="n">
        <v>0</v>
      </c>
      <c r="P14" s="127" t="n"/>
      <c r="Q14" s="127" t="n"/>
      <c r="R14" s="134">
        <f>(J14+K14+L14+M14+N14+O14+P14)*$B$2</f>
        <v/>
      </c>
      <c r="S14" s="129" t="n"/>
      <c r="T14" s="129" t="n"/>
    </row>
    <row r="15" ht="12.75" customHeight="1" s="251">
      <c r="A15" s="125" t="inlineStr">
        <is>
          <t>F10</t>
        </is>
      </c>
      <c r="B15" s="13" t="inlineStr">
        <is>
          <t>Aby Thomas</t>
        </is>
      </c>
      <c r="C15" s="9" t="n">
        <v>0</v>
      </c>
      <c r="D15" s="131">
        <f>SUM($C$3:$C$5)/64</f>
        <v/>
      </c>
      <c r="E15" s="131">
        <f>C15+D15</f>
        <v/>
      </c>
      <c r="F15" s="131">
        <f>IF($C$70=0, 0, E15/$C$70)</f>
        <v/>
      </c>
      <c r="G15" s="131">
        <f>F15*$T$5</f>
        <v/>
      </c>
      <c r="H15" s="131" t="n">
        <v>3</v>
      </c>
      <c r="I15" s="131">
        <f>$T$7*H15</f>
        <v/>
      </c>
      <c r="J15" s="131">
        <f>G15+$T$9+I15</f>
        <v/>
      </c>
      <c r="K15" s="131">
        <f>$T$11/64</f>
        <v/>
      </c>
      <c r="L15" s="7" t="n">
        <v>0</v>
      </c>
      <c r="M15" s="131" t="n">
        <v>0</v>
      </c>
      <c r="N15" s="131" t="n">
        <v>0</v>
      </c>
      <c r="O15" s="131" t="n">
        <v>0</v>
      </c>
      <c r="P15" s="127" t="n"/>
      <c r="Q15" s="127" t="n"/>
      <c r="R15" s="134">
        <f>(J15+K15+L15+M15+N15+O15+P15)*$B$2</f>
        <v/>
      </c>
      <c r="S15" s="129" t="n"/>
      <c r="T15" s="129" t="n"/>
    </row>
    <row r="16" ht="12.75" customHeight="1" s="251">
      <c r="A16" s="125" t="inlineStr">
        <is>
          <t>F11</t>
        </is>
      </c>
      <c r="B16" s="13" t="inlineStr">
        <is>
          <t>Niwin Anto</t>
        </is>
      </c>
      <c r="C16" s="9" t="n">
        <v>0</v>
      </c>
      <c r="D16" s="131">
        <f>SUM($C$3:$C$5)/64</f>
        <v/>
      </c>
      <c r="E16" s="131">
        <f>C16+D16</f>
        <v/>
      </c>
      <c r="F16" s="131">
        <f>IF($C$70=0, 0, E16/$C$70)</f>
        <v/>
      </c>
      <c r="G16" s="131">
        <f>F16*$T$5</f>
        <v/>
      </c>
      <c r="H16" s="131" t="n">
        <v>3</v>
      </c>
      <c r="I16" s="131">
        <f>$T$7*H16</f>
        <v/>
      </c>
      <c r="J16" s="131">
        <f>G16+$T$9+I16</f>
        <v/>
      </c>
      <c r="K16" s="131">
        <f>$T$11/64</f>
        <v/>
      </c>
      <c r="L16" s="7" t="n">
        <v>0</v>
      </c>
      <c r="M16" s="131" t="n">
        <v>0</v>
      </c>
      <c r="N16" s="131" t="n">
        <v>0</v>
      </c>
      <c r="O16" s="131" t="n">
        <v>0</v>
      </c>
      <c r="P16" s="127" t="n"/>
      <c r="Q16" s="127" t="n"/>
      <c r="R16" s="134">
        <f>(J16+K16+L16+M16+N16+O16+P16)*$B$2</f>
        <v/>
      </c>
      <c r="S16" s="129" t="n"/>
      <c r="T16" s="129" t="n"/>
    </row>
    <row r="17" ht="12.75" customHeight="1" s="251">
      <c r="A17" s="125" t="inlineStr">
        <is>
          <t>F12</t>
        </is>
      </c>
      <c r="B17" s="13" t="inlineStr">
        <is>
          <t>Anirudh Singh</t>
        </is>
      </c>
      <c r="C17" s="9" t="n">
        <v>0</v>
      </c>
      <c r="D17" s="131">
        <f>SUM($C$3:$C$5)/64</f>
        <v/>
      </c>
      <c r="E17" s="131">
        <f>C17+D17</f>
        <v/>
      </c>
      <c r="F17" s="131">
        <f>IF($C$70=0, 0, E17/$C$70)</f>
        <v/>
      </c>
      <c r="G17" s="131">
        <f>F17*$T$5</f>
        <v/>
      </c>
      <c r="H17" s="131" t="n">
        <v>3</v>
      </c>
      <c r="I17" s="131">
        <f>$T$7*H17</f>
        <v/>
      </c>
      <c r="J17" s="131">
        <f>G17+$T$9+I17</f>
        <v/>
      </c>
      <c r="K17" s="131">
        <f>$T$11/64</f>
        <v/>
      </c>
      <c r="L17" s="7" t="n">
        <v>0</v>
      </c>
      <c r="M17" s="131" t="n">
        <v>0</v>
      </c>
      <c r="N17" s="131" t="n">
        <v>0</v>
      </c>
      <c r="O17" s="131" t="n">
        <v>0</v>
      </c>
      <c r="P17" s="127" t="n">
        <v>0</v>
      </c>
      <c r="Q17" s="127" t="n"/>
      <c r="R17" s="134">
        <f>(J17+K17+L17+M17+N17+O17+P17)*$B$2</f>
        <v/>
      </c>
      <c r="S17" s="129" t="n"/>
      <c r="T17" s="129" t="n"/>
    </row>
    <row r="18" ht="12.75" customHeight="1" s="251">
      <c r="A18" s="125" t="inlineStr">
        <is>
          <t>F13</t>
        </is>
      </c>
      <c r="B18" s="13" t="inlineStr">
        <is>
          <t>Sanchay Saxena</t>
        </is>
      </c>
      <c r="C18" s="9" t="n">
        <v>0</v>
      </c>
      <c r="D18" s="131">
        <f>SUM($C$3:$C$5)/64</f>
        <v/>
      </c>
      <c r="E18" s="131">
        <f>C18+D18</f>
        <v/>
      </c>
      <c r="F18" s="131">
        <f>IF($C$70=0, 0, E18/$C$70)</f>
        <v/>
      </c>
      <c r="G18" s="131">
        <f>F18*$T$5</f>
        <v/>
      </c>
      <c r="H18" s="131" t="n">
        <v>4</v>
      </c>
      <c r="I18" s="131">
        <f>$T$7*H18</f>
        <v/>
      </c>
      <c r="J18" s="131">
        <f>G18+$T$9+I18</f>
        <v/>
      </c>
      <c r="K18" s="131">
        <f>$T$11/64</f>
        <v/>
      </c>
      <c r="L18" s="7" t="n">
        <v>0</v>
      </c>
      <c r="M18" s="131" t="n">
        <v>0</v>
      </c>
      <c r="N18" s="131" t="n">
        <v>0</v>
      </c>
      <c r="O18" s="131" t="n">
        <v>0</v>
      </c>
      <c r="P18" s="127" t="n"/>
      <c r="Q18" s="127" t="n"/>
      <c r="R18" s="134">
        <f>(J18+K18+L18+M18+N18+O18+P18)*$B$2</f>
        <v/>
      </c>
      <c r="S18" s="129" t="n"/>
      <c r="T18" s="129" t="n"/>
    </row>
    <row r="19" ht="12.75" customHeight="1" s="251">
      <c r="A19" s="125" t="inlineStr">
        <is>
          <t>F14</t>
        </is>
      </c>
      <c r="B19" s="13" t="inlineStr">
        <is>
          <t>Hemant Patel</t>
        </is>
      </c>
      <c r="C19" s="9" t="n">
        <v>0</v>
      </c>
      <c r="D19" s="131">
        <f>SUM($C$3:$C$5)/64</f>
        <v/>
      </c>
      <c r="E19" s="131">
        <f>C19+D19</f>
        <v/>
      </c>
      <c r="F19" s="131">
        <f>IF($C$70=0, 0, E19/$C$70)</f>
        <v/>
      </c>
      <c r="G19" s="131">
        <f>F19*$T$5</f>
        <v/>
      </c>
      <c r="H19" s="131" t="n">
        <v>4</v>
      </c>
      <c r="I19" s="131">
        <f>$T$7*H19</f>
        <v/>
      </c>
      <c r="J19" s="131">
        <f>G19+$T$9+I19</f>
        <v/>
      </c>
      <c r="K19" s="131">
        <f>$T$11/64</f>
        <v/>
      </c>
      <c r="L19" s="7" t="n">
        <v>0</v>
      </c>
      <c r="M19" s="131" t="n">
        <v>0</v>
      </c>
      <c r="N19" s="131" t="n">
        <v>0</v>
      </c>
      <c r="O19" s="131" t="n">
        <v>0</v>
      </c>
      <c r="P19" s="127" t="n"/>
      <c r="Q19" s="127" t="n"/>
      <c r="R19" s="134">
        <f>(J19+K19+L19+M19+N19+O19+P19)*$B$2</f>
        <v/>
      </c>
      <c r="S19" s="129" t="n"/>
      <c r="T19" s="129" t="n"/>
    </row>
    <row r="20" ht="12.75" customHeight="1" s="251">
      <c r="A20" s="125" t="inlineStr">
        <is>
          <t>F15</t>
        </is>
      </c>
      <c r="B20" s="13" t="inlineStr">
        <is>
          <t>Senthil.Vijayaragavan</t>
        </is>
      </c>
      <c r="C20" s="9" t="n">
        <v>0</v>
      </c>
      <c r="D20" s="131">
        <f>SUM($C$3:$C$5)/64</f>
        <v/>
      </c>
      <c r="E20" s="131">
        <f>C20+D20</f>
        <v/>
      </c>
      <c r="F20" s="131">
        <f>IF($C$70=0, 0, E20/$C$70)</f>
        <v/>
      </c>
      <c r="G20" s="131">
        <f>F20*$T$5</f>
        <v/>
      </c>
      <c r="H20" s="131" t="n">
        <v>4</v>
      </c>
      <c r="I20" s="131">
        <f>$T$7*H20</f>
        <v/>
      </c>
      <c r="J20" s="131">
        <f>G20+$T$9+I20</f>
        <v/>
      </c>
      <c r="K20" s="131">
        <f>$T$11/64</f>
        <v/>
      </c>
      <c r="L20" s="7" t="n">
        <v>0</v>
      </c>
      <c r="M20" s="131" t="n">
        <v>0</v>
      </c>
      <c r="N20" s="131" t="n">
        <v>0</v>
      </c>
      <c r="O20" s="131" t="n">
        <v>0</v>
      </c>
      <c r="P20" s="127" t="n"/>
      <c r="Q20" s="127" t="n"/>
      <c r="R20" s="134">
        <f>(J20+K20+L20+M20+N20+O20+P20)*$B$2</f>
        <v/>
      </c>
      <c r="S20" s="129" t="n"/>
      <c r="T20" s="129" t="n"/>
    </row>
    <row r="21" ht="12.75" customHeight="1" s="251">
      <c r="A21" s="125" t="inlineStr">
        <is>
          <t>F16</t>
        </is>
      </c>
      <c r="B21" s="13" t="inlineStr">
        <is>
          <t>Sreeja Sudharma</t>
        </is>
      </c>
      <c r="C21" s="9" t="n">
        <v>0</v>
      </c>
      <c r="D21" s="131">
        <f>SUM($C$3:$C$5)/64</f>
        <v/>
      </c>
      <c r="E21" s="131">
        <f>C21+D21</f>
        <v/>
      </c>
      <c r="F21" s="131">
        <f>IF($C$70=0, 0, E21/$C$70)</f>
        <v/>
      </c>
      <c r="G21" s="131">
        <f>F21*$T$5</f>
        <v/>
      </c>
      <c r="H21" s="131" t="n">
        <v>3</v>
      </c>
      <c r="I21" s="131">
        <f>$T$7*H21</f>
        <v/>
      </c>
      <c r="J21" s="131">
        <f>G21+$T$9+I21</f>
        <v/>
      </c>
      <c r="K21" s="131">
        <f>$T$11/64</f>
        <v/>
      </c>
      <c r="L21" s="7" t="n">
        <v>0</v>
      </c>
      <c r="M21" s="131" t="n">
        <v>0</v>
      </c>
      <c r="N21" s="131" t="n">
        <v>0</v>
      </c>
      <c r="O21" s="131" t="n">
        <v>0</v>
      </c>
      <c r="P21" s="127" t="n"/>
      <c r="Q21" s="127" t="n"/>
      <c r="R21" s="134">
        <f>(J21+K21+L21+M21+N21+O21+P21)*$B$2</f>
        <v/>
      </c>
      <c r="S21" s="129" t="n"/>
      <c r="T21" s="129" t="n"/>
    </row>
    <row r="22" ht="12.75" customHeight="1" s="251">
      <c r="A22" s="125" t="inlineStr">
        <is>
          <t>G1</t>
        </is>
      </c>
      <c r="B22" s="13" t="inlineStr">
        <is>
          <t>Venkataramanan C</t>
        </is>
      </c>
      <c r="C22" s="9" t="n">
        <v>0</v>
      </c>
      <c r="D22" s="131">
        <f>SUM($C$3:$C$5)/64</f>
        <v/>
      </c>
      <c r="E22" s="131">
        <f>C22+D22</f>
        <v/>
      </c>
      <c r="F22" s="131">
        <f>IF($C$70=0, 0, E22/$C$70)</f>
        <v/>
      </c>
      <c r="G22" s="131">
        <f>F22*$T$5</f>
        <v/>
      </c>
      <c r="H22" s="131" t="n">
        <v>3</v>
      </c>
      <c r="I22" s="131">
        <f>$T$7*H22</f>
        <v/>
      </c>
      <c r="J22" s="131">
        <f>G22+$T$9+I22</f>
        <v/>
      </c>
      <c r="K22" s="131">
        <f>$T$11/64</f>
        <v/>
      </c>
      <c r="L22" s="7" t="n">
        <v>0</v>
      </c>
      <c r="M22" s="131" t="n">
        <v>0</v>
      </c>
      <c r="N22" s="131" t="n">
        <v>0</v>
      </c>
      <c r="O22" s="131" t="n">
        <v>0</v>
      </c>
      <c r="P22" s="127" t="n">
        <v>0</v>
      </c>
      <c r="Q22" s="127" t="n"/>
      <c r="R22" s="134">
        <f>(J22+K22+L22+M22+N22+O22+P22)*$B$2</f>
        <v/>
      </c>
      <c r="S22" s="129" t="n"/>
      <c r="T22" s="129" t="n"/>
    </row>
    <row r="23" ht="12.75" customHeight="1" s="251">
      <c r="A23" s="125" t="inlineStr">
        <is>
          <t>G2</t>
        </is>
      </c>
      <c r="B23" s="13" t="inlineStr">
        <is>
          <t>Kaushik Kasibhatla</t>
        </is>
      </c>
      <c r="C23" s="9" t="n">
        <v>0</v>
      </c>
      <c r="D23" s="131">
        <f>SUM($C$3:$C$5)/64</f>
        <v/>
      </c>
      <c r="E23" s="131">
        <f>C23+D23</f>
        <v/>
      </c>
      <c r="F23" s="131">
        <f>IF($C$70=0, 0, E23/$C$70)</f>
        <v/>
      </c>
      <c r="G23" s="131">
        <f>F23*$T$5</f>
        <v/>
      </c>
      <c r="H23" s="131" t="n">
        <v>4</v>
      </c>
      <c r="I23" s="131">
        <f>$T$7*H23</f>
        <v/>
      </c>
      <c r="J23" s="131">
        <f>G23+$T$9+I23</f>
        <v/>
      </c>
      <c r="K23" s="131">
        <f>$T$11/64</f>
        <v/>
      </c>
      <c r="L23" s="7" t="n">
        <v>0</v>
      </c>
      <c r="M23" s="131" t="n">
        <v>0</v>
      </c>
      <c r="N23" s="131" t="n">
        <v>0</v>
      </c>
      <c r="O23" s="131" t="n">
        <v>0</v>
      </c>
      <c r="P23" s="127" t="n"/>
      <c r="Q23" s="127" t="n"/>
      <c r="R23" s="134">
        <f>(J23+K23+L23+M23+N23+O23+P23)*$B$2</f>
        <v/>
      </c>
      <c r="S23" s="129" t="n"/>
      <c r="T23" s="129" t="n"/>
    </row>
    <row r="24" ht="12.75" customHeight="1" s="251">
      <c r="A24" s="125" t="inlineStr">
        <is>
          <t>G3</t>
        </is>
      </c>
      <c r="B24" s="13" t="inlineStr">
        <is>
          <t>Balakrishnan</t>
        </is>
      </c>
      <c r="C24" s="9" t="n">
        <v>0</v>
      </c>
      <c r="D24" s="131">
        <f>SUM($C$3:$C$5)/64</f>
        <v/>
      </c>
      <c r="E24" s="131">
        <f>C24+D24</f>
        <v/>
      </c>
      <c r="F24" s="131">
        <f>IF($C$70=0, 0, E24/$C$70)</f>
        <v/>
      </c>
      <c r="G24" s="131">
        <f>F24*$T$5</f>
        <v/>
      </c>
      <c r="H24" s="131" t="n">
        <v>4</v>
      </c>
      <c r="I24" s="131">
        <f>$T$7*H24</f>
        <v/>
      </c>
      <c r="J24" s="131">
        <f>G24+$T$9+I24</f>
        <v/>
      </c>
      <c r="K24" s="131">
        <f>$T$11/64</f>
        <v/>
      </c>
      <c r="L24" s="7" t="n">
        <v>0</v>
      </c>
      <c r="M24" s="131" t="n">
        <v>0</v>
      </c>
      <c r="N24" s="131" t="n">
        <v>0</v>
      </c>
      <c r="O24" s="131" t="n">
        <v>0</v>
      </c>
      <c r="P24" s="127" t="n"/>
      <c r="Q24" s="127" t="n"/>
      <c r="R24" s="134">
        <f>(J24+K24+L24+M24+N24+O24+P24)*$B$2</f>
        <v/>
      </c>
      <c r="S24" s="129" t="n"/>
      <c r="T24" s="129" t="n"/>
    </row>
    <row r="25" ht="12.75" customHeight="1" s="251">
      <c r="A25" s="125" t="inlineStr">
        <is>
          <t>G4</t>
        </is>
      </c>
      <c r="B25" s="13" t="inlineStr">
        <is>
          <t>Ashwin Pandith</t>
        </is>
      </c>
      <c r="C25" s="9" t="n">
        <v>0</v>
      </c>
      <c r="D25" s="131">
        <f>SUM($C$3:$C$5)/64</f>
        <v/>
      </c>
      <c r="E25" s="131">
        <f>C25+D25</f>
        <v/>
      </c>
      <c r="F25" s="131">
        <f>IF($C$70=0, 0, E25/$C$70)</f>
        <v/>
      </c>
      <c r="G25" s="131">
        <f>F25*$T$5</f>
        <v/>
      </c>
      <c r="H25" s="131" t="n">
        <v>4</v>
      </c>
      <c r="I25" s="131">
        <f>$T$7*H25</f>
        <v/>
      </c>
      <c r="J25" s="131">
        <f>G25+$T$9+I25</f>
        <v/>
      </c>
      <c r="K25" s="131">
        <f>$T$11/64</f>
        <v/>
      </c>
      <c r="L25" s="7" t="n">
        <v>0</v>
      </c>
      <c r="M25" s="131" t="n">
        <v>0</v>
      </c>
      <c r="N25" s="131" t="n">
        <v>0</v>
      </c>
      <c r="O25" s="131" t="n">
        <v>0</v>
      </c>
      <c r="P25" s="127" t="n"/>
      <c r="Q25" s="127" t="n"/>
      <c r="R25" s="134">
        <f>(J25+K25+L25+M25+N25+O25+P25)*$B$2</f>
        <v/>
      </c>
      <c r="S25" s="129" t="n"/>
      <c r="T25" s="129" t="n"/>
    </row>
    <row r="26" ht="12.75" customHeight="1" s="251">
      <c r="A26" s="125" t="inlineStr">
        <is>
          <t>G5</t>
        </is>
      </c>
      <c r="B26" s="13" t="inlineStr">
        <is>
          <t>Mayank Phophaliya</t>
        </is>
      </c>
      <c r="C26" s="9" t="n">
        <v>0</v>
      </c>
      <c r="D26" s="131">
        <f>SUM($C$3:$C$5)/64</f>
        <v/>
      </c>
      <c r="E26" s="131">
        <f>C26+D26</f>
        <v/>
      </c>
      <c r="F26" s="131">
        <f>IF($C$70=0, 0, E26/$C$70)</f>
        <v/>
      </c>
      <c r="G26" s="131">
        <f>F26*$T$5</f>
        <v/>
      </c>
      <c r="H26" s="131" t="n">
        <v>3</v>
      </c>
      <c r="I26" s="131">
        <f>$T$7*H26</f>
        <v/>
      </c>
      <c r="J26" s="131">
        <f>G26+$T$9+I26</f>
        <v/>
      </c>
      <c r="K26" s="131">
        <f>$T$11/64</f>
        <v/>
      </c>
      <c r="L26" s="7" t="n">
        <v>0</v>
      </c>
      <c r="M26" s="131" t="n">
        <v>0</v>
      </c>
      <c r="N26" s="131" t="n">
        <v>0</v>
      </c>
      <c r="O26" s="131" t="n">
        <v>0</v>
      </c>
      <c r="P26" s="127" t="n"/>
      <c r="Q26" s="127" t="n"/>
      <c r="R26" s="134">
        <f>(J26+K26+L26+M26+N26+O26+P26)*$B$2</f>
        <v/>
      </c>
      <c r="S26" s="129" t="n"/>
      <c r="T26" s="129" t="n"/>
    </row>
    <row r="27" ht="12.75" customHeight="1" s="251">
      <c r="A27" s="125" t="inlineStr">
        <is>
          <t>G6</t>
        </is>
      </c>
      <c r="B27" s="13" t="inlineStr">
        <is>
          <t>Mohit Daga</t>
        </is>
      </c>
      <c r="C27" s="9" t="n">
        <v>0</v>
      </c>
      <c r="D27" s="131">
        <f>SUM($C$3:$C$5)/64</f>
        <v/>
      </c>
      <c r="E27" s="131">
        <f>C27+D27</f>
        <v/>
      </c>
      <c r="F27" s="131">
        <f>IF($C$70=0, 0, E27/$C$70)</f>
        <v/>
      </c>
      <c r="G27" s="131">
        <f>F27*$T$5</f>
        <v/>
      </c>
      <c r="H27" s="131" t="n">
        <v>3</v>
      </c>
      <c r="I27" s="131">
        <f>$T$7*H27</f>
        <v/>
      </c>
      <c r="J27" s="131">
        <f>G27+$T$9+I27</f>
        <v/>
      </c>
      <c r="K27" s="131">
        <f>$T$11/64</f>
        <v/>
      </c>
      <c r="L27" s="7" t="n">
        <v>0</v>
      </c>
      <c r="M27" s="131" t="n">
        <v>0</v>
      </c>
      <c r="N27" s="131" t="n">
        <v>0</v>
      </c>
      <c r="O27" s="131" t="n">
        <v>0</v>
      </c>
      <c r="P27" s="127" t="n"/>
      <c r="Q27" s="127" t="n"/>
      <c r="R27" s="134">
        <f>(J27+K27+L27+M27+N27+O27+P27)*$B$2</f>
        <v/>
      </c>
      <c r="S27" s="129" t="n"/>
      <c r="T27" s="129" t="n"/>
    </row>
    <row r="28" ht="12.75" customHeight="1" s="251">
      <c r="A28" s="125" t="inlineStr">
        <is>
          <t>G7</t>
        </is>
      </c>
      <c r="B28" s="13" t="inlineStr">
        <is>
          <t>Prince Richfield</t>
        </is>
      </c>
      <c r="C28" s="9" t="n">
        <v>0</v>
      </c>
      <c r="D28" s="131">
        <f>SUM($C$3:$C$5)/64</f>
        <v/>
      </c>
      <c r="E28" s="131">
        <f>C28+D28</f>
        <v/>
      </c>
      <c r="F28" s="131">
        <f>IF($C$70=0, 0, E28/$C$70)</f>
        <v/>
      </c>
      <c r="G28" s="131">
        <f>F28*$T$5</f>
        <v/>
      </c>
      <c r="H28" s="131" t="n">
        <v>3</v>
      </c>
      <c r="I28" s="131">
        <f>$T$7*H28</f>
        <v/>
      </c>
      <c r="J28" s="131">
        <f>G28+$T$9+I28</f>
        <v/>
      </c>
      <c r="K28" s="131">
        <f>$T$11/64</f>
        <v/>
      </c>
      <c r="L28" s="7" t="n">
        <v>0</v>
      </c>
      <c r="M28" s="131" t="n">
        <v>0</v>
      </c>
      <c r="N28" s="131" t="n">
        <v>0</v>
      </c>
      <c r="O28" s="131" t="n">
        <v>0</v>
      </c>
      <c r="P28" s="127" t="n"/>
      <c r="Q28" s="127" t="n"/>
      <c r="R28" s="134">
        <f>(J28+K28+L28+M28+N28+O28+P28)*$B$2</f>
        <v/>
      </c>
      <c r="S28" s="129" t="n"/>
      <c r="T28" s="129" t="n"/>
    </row>
    <row r="29" ht="12.75" customHeight="1" s="251">
      <c r="A29" s="125" t="inlineStr">
        <is>
          <t>G8</t>
        </is>
      </c>
      <c r="B29" s="13" t="inlineStr">
        <is>
          <t>Ranjithkumar R / Sameer (tenant) / Princy (tenant)</t>
        </is>
      </c>
      <c r="C29" s="9" t="n">
        <v>0</v>
      </c>
      <c r="D29" s="131">
        <f>SUM($C$3:$C$5)/64</f>
        <v/>
      </c>
      <c r="E29" s="131">
        <f>C29+D29</f>
        <v/>
      </c>
      <c r="F29" s="131">
        <f>IF($C$70=0, 0, E29/$C$70)</f>
        <v/>
      </c>
      <c r="G29" s="131">
        <f>F29*$T$5</f>
        <v/>
      </c>
      <c r="H29" s="131" t="n">
        <v>3</v>
      </c>
      <c r="I29" s="131">
        <f>$T$7*H29</f>
        <v/>
      </c>
      <c r="J29" s="131">
        <f>G29+$T$9+I29</f>
        <v/>
      </c>
      <c r="K29" s="131">
        <f>$T$11/64</f>
        <v/>
      </c>
      <c r="L29" s="7" t="n">
        <v>0</v>
      </c>
      <c r="M29" s="131" t="n">
        <v>0</v>
      </c>
      <c r="N29" s="131" t="n">
        <v>0</v>
      </c>
      <c r="O29" s="131" t="n">
        <v>0</v>
      </c>
      <c r="P29" s="127" t="n"/>
      <c r="Q29" s="127" t="n"/>
      <c r="R29" s="134">
        <f>(J29+K29+L29+M29+N29+O29+P29)*$B$2</f>
        <v/>
      </c>
      <c r="S29" s="129" t="n"/>
      <c r="T29" s="129" t="n"/>
    </row>
    <row r="30" ht="12.75" customHeight="1" s="251">
      <c r="A30" s="125" t="inlineStr">
        <is>
          <t>G9</t>
        </is>
      </c>
      <c r="B30" s="13" t="inlineStr">
        <is>
          <t>Chandramouli</t>
        </is>
      </c>
      <c r="C30" s="9" t="n">
        <v>0</v>
      </c>
      <c r="D30" s="131">
        <f>SUM($C$3:$C$5)/64</f>
        <v/>
      </c>
      <c r="E30" s="131">
        <f>C30+D30</f>
        <v/>
      </c>
      <c r="F30" s="131">
        <f>IF($C$70=0, 0, E30/$C$70)</f>
        <v/>
      </c>
      <c r="G30" s="131">
        <f>F30*$T$5</f>
        <v/>
      </c>
      <c r="H30" s="131" t="n">
        <v>5</v>
      </c>
      <c r="I30" s="131">
        <f>$T$7*H30</f>
        <v/>
      </c>
      <c r="J30" s="131">
        <f>G30+$T$9+I30</f>
        <v/>
      </c>
      <c r="K30" s="131">
        <f>$T$11/64</f>
        <v/>
      </c>
      <c r="L30" s="7" t="n">
        <v>0</v>
      </c>
      <c r="M30" s="131" t="n">
        <v>0</v>
      </c>
      <c r="N30" s="131" t="n">
        <v>0</v>
      </c>
      <c r="O30" s="131" t="n">
        <v>0</v>
      </c>
      <c r="P30" s="127" t="n"/>
      <c r="Q30" s="127" t="n"/>
      <c r="R30" s="134">
        <f>(J30+K30+L30+M30+N30+O30+P30)*$B$2</f>
        <v/>
      </c>
      <c r="S30" s="129" t="n"/>
      <c r="T30" s="129" t="n"/>
    </row>
    <row r="31" ht="12.75" customHeight="1" s="251">
      <c r="A31" s="125" t="inlineStr">
        <is>
          <t>G10</t>
        </is>
      </c>
      <c r="B31" s="13" t="inlineStr">
        <is>
          <t xml:space="preserve">Cijo Jacob / Thara Joy </t>
        </is>
      </c>
      <c r="C31" s="9" t="n">
        <v>0</v>
      </c>
      <c r="D31" s="131">
        <f>SUM($C$3:$C$5)/64</f>
        <v/>
      </c>
      <c r="E31" s="131">
        <f>C31+D31</f>
        <v/>
      </c>
      <c r="F31" s="131">
        <f>IF($C$70=0, 0, E31/$C$70)</f>
        <v/>
      </c>
      <c r="G31" s="131">
        <f>F31*$T$5</f>
        <v/>
      </c>
      <c r="H31" s="131" t="n">
        <v>3</v>
      </c>
      <c r="I31" s="131">
        <f>$T$7*H31</f>
        <v/>
      </c>
      <c r="J31" s="131">
        <f>G31+$T$9+I31</f>
        <v/>
      </c>
      <c r="K31" s="131">
        <f>$T$11/64</f>
        <v/>
      </c>
      <c r="L31" s="7" t="n">
        <v>0</v>
      </c>
      <c r="M31" s="131" t="n">
        <v>0</v>
      </c>
      <c r="N31" s="131" t="n">
        <v>0</v>
      </c>
      <c r="O31" s="131" t="n">
        <v>0</v>
      </c>
      <c r="P31" s="127" t="n"/>
      <c r="Q31" s="127" t="n"/>
      <c r="R31" s="134">
        <f>(J31+K31+L31+M31+N31+O31+P31)*$B$2</f>
        <v/>
      </c>
      <c r="S31" s="129" t="n"/>
      <c r="T31" s="129" t="n"/>
    </row>
    <row r="32" ht="12.75" customHeight="1" s="251">
      <c r="A32" s="125" t="inlineStr">
        <is>
          <t>G11</t>
        </is>
      </c>
      <c r="B32" s="13" t="inlineStr">
        <is>
          <t>Ketan Verlekar</t>
        </is>
      </c>
      <c r="C32" s="9" t="n">
        <v>0</v>
      </c>
      <c r="D32" s="131">
        <f>SUM($C$3:$C$5)/64</f>
        <v/>
      </c>
      <c r="E32" s="131">
        <f>C32+D32</f>
        <v/>
      </c>
      <c r="F32" s="131">
        <f>IF($C$70=0, 0, E32/$C$70)</f>
        <v/>
      </c>
      <c r="G32" s="131">
        <f>F32*$T$5</f>
        <v/>
      </c>
      <c r="H32" s="131" t="n">
        <v>3</v>
      </c>
      <c r="I32" s="131">
        <f>$T$7*H32</f>
        <v/>
      </c>
      <c r="J32" s="131">
        <f>G32+$T$9+I32</f>
        <v/>
      </c>
      <c r="K32" s="131">
        <f>$T$11/64</f>
        <v/>
      </c>
      <c r="L32" s="7" t="n">
        <v>0</v>
      </c>
      <c r="M32" s="131" t="n">
        <v>0</v>
      </c>
      <c r="N32" s="131" t="n">
        <v>0</v>
      </c>
      <c r="O32" s="131" t="n">
        <v>0</v>
      </c>
      <c r="P32" s="127" t="n"/>
      <c r="Q32" s="127" t="n"/>
      <c r="R32" s="134">
        <f>(J32+K32+L32+M32+N32+O32+P32)*$B$2</f>
        <v/>
      </c>
      <c r="S32" s="129" t="n"/>
      <c r="T32" s="129" t="n"/>
    </row>
    <row r="33" ht="12.75" customHeight="1" s="251">
      <c r="A33" s="125" t="inlineStr">
        <is>
          <t>G12</t>
        </is>
      </c>
      <c r="B33" s="13" t="inlineStr">
        <is>
          <t>Shyam Nair</t>
        </is>
      </c>
      <c r="C33" s="9" t="n">
        <v>0</v>
      </c>
      <c r="D33" s="131">
        <f>SUM($C$3:$C$5)/64</f>
        <v/>
      </c>
      <c r="E33" s="131">
        <f>C33+D33</f>
        <v/>
      </c>
      <c r="F33" s="131">
        <f>IF($C$70=0, 0, E33/$C$70)</f>
        <v/>
      </c>
      <c r="G33" s="131">
        <f>F33*$T$5</f>
        <v/>
      </c>
      <c r="H33" s="131" t="n">
        <v>3</v>
      </c>
      <c r="I33" s="131">
        <f>$T$7*H33</f>
        <v/>
      </c>
      <c r="J33" s="131">
        <f>G33+$T$9+I33</f>
        <v/>
      </c>
      <c r="K33" s="131">
        <f>$T$11/64</f>
        <v/>
      </c>
      <c r="L33" s="7" t="n">
        <v>0</v>
      </c>
      <c r="M33" s="131" t="n">
        <v>0</v>
      </c>
      <c r="N33" s="131" t="n">
        <v>0</v>
      </c>
      <c r="O33" s="131" t="n">
        <v>0</v>
      </c>
      <c r="P33" s="127" t="n"/>
      <c r="Q33" s="127" t="n"/>
      <c r="R33" s="134">
        <f>(J33+K33+L33+M33+N33+O33+P33)*$B$2</f>
        <v/>
      </c>
      <c r="S33" s="129" t="n"/>
      <c r="T33" s="129" t="n"/>
    </row>
    <row r="34" ht="12.75" customHeight="1" s="251">
      <c r="A34" s="125" t="inlineStr">
        <is>
          <t>G13</t>
        </is>
      </c>
      <c r="B34" s="13" t="inlineStr">
        <is>
          <t>Ajai.B</t>
        </is>
      </c>
      <c r="C34" s="9" t="n">
        <v>0</v>
      </c>
      <c r="D34" s="131">
        <f>SUM($C$3:$C$5)/64</f>
        <v/>
      </c>
      <c r="E34" s="131">
        <f>C34+D34</f>
        <v/>
      </c>
      <c r="F34" s="131">
        <f>IF($C$70=0, 0, E34/$C$70)</f>
        <v/>
      </c>
      <c r="G34" s="131">
        <f>F34*$T$5</f>
        <v/>
      </c>
      <c r="H34" s="131" t="n">
        <v>4</v>
      </c>
      <c r="I34" s="131">
        <f>$T$7*H34</f>
        <v/>
      </c>
      <c r="J34" s="131">
        <f>G34+$T$9+I34</f>
        <v/>
      </c>
      <c r="K34" s="131">
        <f>$T$11/64</f>
        <v/>
      </c>
      <c r="L34" s="7" t="n">
        <v>0</v>
      </c>
      <c r="M34" s="131" t="n">
        <v>0</v>
      </c>
      <c r="N34" s="131" t="n">
        <v>0</v>
      </c>
      <c r="O34" s="131" t="n">
        <v>0</v>
      </c>
      <c r="P34" s="127" t="n"/>
      <c r="Q34" s="127" t="n"/>
      <c r="R34" s="134">
        <f>(J34+K34+L34+M34+N34+O34+P34)*$B$2</f>
        <v/>
      </c>
      <c r="S34" s="129" t="n"/>
      <c r="T34" s="129" t="n"/>
    </row>
    <row r="35" ht="12.75" customHeight="1" s="251">
      <c r="A35" s="125" t="inlineStr">
        <is>
          <t>G14</t>
        </is>
      </c>
      <c r="B35" s="13" t="inlineStr">
        <is>
          <t>Surajit Borah</t>
        </is>
      </c>
      <c r="C35" s="9" t="n">
        <v>0</v>
      </c>
      <c r="D35" s="131">
        <f>SUM($C$3:$C$5)/64</f>
        <v/>
      </c>
      <c r="E35" s="131">
        <f>C35+D35</f>
        <v/>
      </c>
      <c r="F35" s="131">
        <f>IF($C$70=0, 0, E35/$C$70)</f>
        <v/>
      </c>
      <c r="G35" s="131">
        <f>F35*$T$5</f>
        <v/>
      </c>
      <c r="H35" s="131" t="n">
        <v>4</v>
      </c>
      <c r="I35" s="131">
        <f>$T$7*H35</f>
        <v/>
      </c>
      <c r="J35" s="131">
        <f>G35+$T$9+I35</f>
        <v/>
      </c>
      <c r="K35" s="131">
        <f>$T$11/64</f>
        <v/>
      </c>
      <c r="L35" s="7" t="n">
        <v>0</v>
      </c>
      <c r="M35" s="131" t="n">
        <v>0</v>
      </c>
      <c r="N35" s="131" t="n">
        <v>0</v>
      </c>
      <c r="O35" s="131" t="n">
        <v>0</v>
      </c>
      <c r="P35" s="127" t="n"/>
      <c r="Q35" s="127" t="n"/>
      <c r="R35" s="134">
        <f>(J35+K35+L35+M35+N35+O35+P35)*$B$2</f>
        <v/>
      </c>
      <c r="S35" s="129" t="n"/>
      <c r="T35" s="129" t="n"/>
    </row>
    <row r="36" ht="12.75" customHeight="1" s="251">
      <c r="A36" s="125" t="inlineStr">
        <is>
          <t>G15</t>
        </is>
      </c>
      <c r="B36" s="13" t="inlineStr">
        <is>
          <t>Suresh Nallusamy / Antriksh (tenant)</t>
        </is>
      </c>
      <c r="C36" s="9" t="n">
        <v>0</v>
      </c>
      <c r="D36" s="131">
        <f>SUM($C$3:$C$5)/64</f>
        <v/>
      </c>
      <c r="E36" s="131">
        <f>C36+D36</f>
        <v/>
      </c>
      <c r="F36" s="131">
        <f>IF($C$70=0, 0, E36/$C$70)</f>
        <v/>
      </c>
      <c r="G36" s="131">
        <f>F36*$T$5</f>
        <v/>
      </c>
      <c r="H36" s="131" t="n">
        <v>4</v>
      </c>
      <c r="I36" s="131">
        <f>$T$7*H36</f>
        <v/>
      </c>
      <c r="J36" s="131">
        <f>G36+$T$9+I36</f>
        <v/>
      </c>
      <c r="K36" s="131">
        <f>$T$11/64</f>
        <v/>
      </c>
      <c r="L36" s="7" t="n">
        <v>0</v>
      </c>
      <c r="M36" s="131" t="n">
        <v>0</v>
      </c>
      <c r="N36" s="131" t="n">
        <v>0</v>
      </c>
      <c r="O36" s="131" t="n">
        <v>0</v>
      </c>
      <c r="P36" s="127" t="n"/>
      <c r="Q36" s="127" t="n"/>
      <c r="R36" s="134">
        <f>(J36+K36+L36+M36+N36+O36+P36)*$B$2</f>
        <v/>
      </c>
      <c r="S36" s="129" t="n"/>
      <c r="T36" s="129" t="n"/>
    </row>
    <row r="37" ht="12.75" customHeight="1" s="251">
      <c r="A37" s="125" t="inlineStr">
        <is>
          <t>G16</t>
        </is>
      </c>
      <c r="B37" s="13" t="inlineStr">
        <is>
          <t>Praveen Ganesan</t>
        </is>
      </c>
      <c r="C37" s="9" t="n">
        <v>0</v>
      </c>
      <c r="D37" s="131">
        <f>SUM($C$3:$C$5)/64</f>
        <v/>
      </c>
      <c r="E37" s="131">
        <f>C37+D37</f>
        <v/>
      </c>
      <c r="F37" s="131">
        <f>IF($C$70=0, 0, E37/$C$70)</f>
        <v/>
      </c>
      <c r="G37" s="131">
        <f>F37*$T$5</f>
        <v/>
      </c>
      <c r="H37" s="131" t="n">
        <v>3</v>
      </c>
      <c r="I37" s="131">
        <f>$T$7*H37</f>
        <v/>
      </c>
      <c r="J37" s="131">
        <f>G37+$T$9+I37</f>
        <v/>
      </c>
      <c r="K37" s="131">
        <f>$T$11/64</f>
        <v/>
      </c>
      <c r="L37" s="7" t="n">
        <v>0</v>
      </c>
      <c r="M37" s="131" t="n">
        <v>0</v>
      </c>
      <c r="N37" s="131" t="n">
        <v>0</v>
      </c>
      <c r="O37" s="131" t="n">
        <v>0</v>
      </c>
      <c r="P37" s="127" t="n"/>
      <c r="Q37" s="127" t="n"/>
      <c r="R37" s="134">
        <f>(J37+K37+L37+M37+N37+O37+P37)*$B$2</f>
        <v/>
      </c>
      <c r="S37" s="129" t="n"/>
      <c r="T37" s="129" t="n"/>
    </row>
    <row r="38" ht="12.75" customHeight="1" s="251">
      <c r="A38" s="125" t="inlineStr">
        <is>
          <t>S1</t>
        </is>
      </c>
      <c r="B38" s="13" t="inlineStr">
        <is>
          <t>S.N.Behera</t>
        </is>
      </c>
      <c r="C38" s="9" t="n">
        <v>0</v>
      </c>
      <c r="D38" s="131">
        <f>SUM($C$3:$C$5)/64</f>
        <v/>
      </c>
      <c r="E38" s="131">
        <f>C38+D38</f>
        <v/>
      </c>
      <c r="F38" s="131">
        <f>IF($C$70=0, 0, E38/$C$70)</f>
        <v/>
      </c>
      <c r="G38" s="131">
        <f>F38*$T$5</f>
        <v/>
      </c>
      <c r="H38" s="131" t="n">
        <v>3</v>
      </c>
      <c r="I38" s="131">
        <f>$T$7*H38</f>
        <v/>
      </c>
      <c r="J38" s="131">
        <f>G38+$T$9+I38</f>
        <v/>
      </c>
      <c r="K38" s="131">
        <f>$T$11/64</f>
        <v/>
      </c>
      <c r="L38" s="7" t="n">
        <v>0</v>
      </c>
      <c r="M38" s="131" t="n">
        <v>0</v>
      </c>
      <c r="N38" s="131" t="n">
        <v>0</v>
      </c>
      <c r="O38" s="131" t="n">
        <v>0</v>
      </c>
      <c r="P38" s="127" t="n"/>
      <c r="Q38" s="127" t="n"/>
      <c r="R38" s="134">
        <f>(J38+K38+L38+M38+N38+O38+P38)*$B$2</f>
        <v/>
      </c>
      <c r="S38" s="129" t="n"/>
      <c r="T38" s="129" t="n"/>
    </row>
    <row r="39" ht="12.75" customHeight="1" s="251">
      <c r="A39" s="125" t="inlineStr">
        <is>
          <t>S2</t>
        </is>
      </c>
      <c r="B39" s="13" t="inlineStr">
        <is>
          <t>Sonal Singh</t>
        </is>
      </c>
      <c r="C39" s="9" t="n">
        <v>0</v>
      </c>
      <c r="D39" s="131">
        <f>SUM($C$3:$C$5)/64</f>
        <v/>
      </c>
      <c r="E39" s="131">
        <f>C39+D39</f>
        <v/>
      </c>
      <c r="F39" s="131">
        <f>IF($C$70=0, 0, E39/$C$70)</f>
        <v/>
      </c>
      <c r="G39" s="131">
        <f>F39*$T$5</f>
        <v/>
      </c>
      <c r="H39" s="131" t="n">
        <v>4</v>
      </c>
      <c r="I39" s="131">
        <f>$T$7*H39</f>
        <v/>
      </c>
      <c r="J39" s="131">
        <f>G39+$T$9+I39</f>
        <v/>
      </c>
      <c r="K39" s="131">
        <f>$T$11/64</f>
        <v/>
      </c>
      <c r="L39" s="7" t="n">
        <v>0</v>
      </c>
      <c r="M39" s="131" t="n">
        <v>0</v>
      </c>
      <c r="N39" s="131" t="n">
        <v>0</v>
      </c>
      <c r="O39" s="131" t="n">
        <v>0</v>
      </c>
      <c r="P39" s="127" t="n"/>
      <c r="Q39" s="127" t="n"/>
      <c r="R39" s="134">
        <f>(J39+K39+L39+M39+N39+O39+P39)*$B$2</f>
        <v/>
      </c>
      <c r="S39" s="129" t="n"/>
      <c r="T39" s="129" t="n"/>
    </row>
    <row r="40" ht="12.75" customHeight="1" s="251">
      <c r="A40" s="125" t="inlineStr">
        <is>
          <t>S3</t>
        </is>
      </c>
      <c r="B40" s="13" t="inlineStr">
        <is>
          <t>Koteswararao</t>
        </is>
      </c>
      <c r="C40" s="9" t="n">
        <v>0</v>
      </c>
      <c r="D40" s="131">
        <f>SUM($C$3:$C$5)/64</f>
        <v/>
      </c>
      <c r="E40" s="131">
        <f>C40+D40</f>
        <v/>
      </c>
      <c r="F40" s="131">
        <f>IF($C$70=0, 0, E40/$C$70)</f>
        <v/>
      </c>
      <c r="G40" s="131">
        <f>F40*$T$5</f>
        <v/>
      </c>
      <c r="H40" s="131" t="n">
        <v>4</v>
      </c>
      <c r="I40" s="131">
        <f>$T$7*H40</f>
        <v/>
      </c>
      <c r="J40" s="131">
        <f>G40+$T$9+I40</f>
        <v/>
      </c>
      <c r="K40" s="131">
        <f>$T$11/64</f>
        <v/>
      </c>
      <c r="L40" s="7" t="n">
        <v>0</v>
      </c>
      <c r="M40" s="131" t="n">
        <v>0</v>
      </c>
      <c r="N40" s="131" t="n">
        <v>0</v>
      </c>
      <c r="O40" s="131" t="n">
        <v>0</v>
      </c>
      <c r="P40" s="127" t="n"/>
      <c r="Q40" s="127" t="n"/>
      <c r="R40" s="134">
        <f>(J40+K40+L40+M40+N40+O40+P40)*$B$2</f>
        <v/>
      </c>
      <c r="S40" s="129" t="n"/>
      <c r="T40" s="129" t="n"/>
    </row>
    <row r="41" ht="12.75" customHeight="1" s="251">
      <c r="A41" s="125" t="inlineStr">
        <is>
          <t>S4</t>
        </is>
      </c>
      <c r="B41" s="13" t="inlineStr">
        <is>
          <t xml:space="preserve">Swaminathan </t>
        </is>
      </c>
      <c r="C41" s="9" t="n">
        <v>0</v>
      </c>
      <c r="D41" s="131">
        <f>SUM($C$3:$C$5)/64</f>
        <v/>
      </c>
      <c r="E41" s="131">
        <f>C41+D41</f>
        <v/>
      </c>
      <c r="F41" s="131">
        <f>IF($C$70=0, 0, E41/$C$70)</f>
        <v/>
      </c>
      <c r="G41" s="131">
        <f>F41*$T$5</f>
        <v/>
      </c>
      <c r="H41" s="131" t="n">
        <v>3</v>
      </c>
      <c r="I41" s="131">
        <f>$T$7*H41</f>
        <v/>
      </c>
      <c r="J41" s="131">
        <f>G41+$T$9+I41</f>
        <v/>
      </c>
      <c r="K41" s="131">
        <f>$T$11/64</f>
        <v/>
      </c>
      <c r="L41" s="7" t="n">
        <v>0</v>
      </c>
      <c r="M41" s="131" t="n">
        <v>0</v>
      </c>
      <c r="N41" s="131" t="n">
        <v>0</v>
      </c>
      <c r="O41" s="131" t="n">
        <v>0</v>
      </c>
      <c r="P41" s="127" t="n"/>
      <c r="Q41" s="127" t="n"/>
      <c r="R41" s="134">
        <f>(J41+K41+L41+M41+N41+O41+P41)*$B$2</f>
        <v/>
      </c>
      <c r="S41" s="129" t="n"/>
      <c r="T41" s="129" t="n"/>
    </row>
    <row r="42" ht="12.75" customHeight="1" s="251">
      <c r="A42" s="125" t="inlineStr">
        <is>
          <t>S5</t>
        </is>
      </c>
      <c r="B42" s="13" t="inlineStr">
        <is>
          <t>Abhishek Gopalakrishnan</t>
        </is>
      </c>
      <c r="C42" s="9" t="n">
        <v>0</v>
      </c>
      <c r="D42" s="131">
        <f>SUM($C$3:$C$5)/64</f>
        <v/>
      </c>
      <c r="E42" s="131">
        <f>C42+D42</f>
        <v/>
      </c>
      <c r="F42" s="131">
        <f>IF($C$70=0, 0, E42/$C$70)</f>
        <v/>
      </c>
      <c r="G42" s="131">
        <f>F42*$T$5</f>
        <v/>
      </c>
      <c r="H42" s="131" t="n">
        <v>3</v>
      </c>
      <c r="I42" s="131">
        <f>$T$7*H42</f>
        <v/>
      </c>
      <c r="J42" s="131">
        <f>G42+$T$9+I42</f>
        <v/>
      </c>
      <c r="K42" s="131">
        <f>$T$11/64</f>
        <v/>
      </c>
      <c r="L42" s="7" t="n">
        <v>0</v>
      </c>
      <c r="M42" s="131" t="n">
        <v>0</v>
      </c>
      <c r="N42" s="131" t="n">
        <v>0</v>
      </c>
      <c r="O42" s="131" t="n">
        <v>0</v>
      </c>
      <c r="P42" s="127" t="n"/>
      <c r="Q42" s="127" t="n"/>
      <c r="R42" s="134">
        <f>(J42+K42+L42+M42+N42+O42+P42)*$B$2</f>
        <v/>
      </c>
      <c r="S42" s="129" t="n"/>
      <c r="T42" s="129" t="n"/>
    </row>
    <row r="43" ht="12.75" customHeight="1" s="251">
      <c r="A43" s="125" t="inlineStr">
        <is>
          <t>S6</t>
        </is>
      </c>
      <c r="B43" s="30" t="inlineStr">
        <is>
          <t>Vivek Dhingra / Pratyush Das</t>
        </is>
      </c>
      <c r="C43" s="9" t="n">
        <v>0</v>
      </c>
      <c r="D43" s="131">
        <f>SUM($C$3:$C$5)/64</f>
        <v/>
      </c>
      <c r="E43" s="131">
        <f>C43+D43</f>
        <v/>
      </c>
      <c r="F43" s="131">
        <f>IF($C$70=0, 0, E43/$C$70)</f>
        <v/>
      </c>
      <c r="G43" s="131">
        <f>F43*$T$5</f>
        <v/>
      </c>
      <c r="H43" s="131" t="n">
        <v>3</v>
      </c>
      <c r="I43" s="131">
        <f>$T$7*H43</f>
        <v/>
      </c>
      <c r="J43" s="131">
        <f>G43+$T$9+I43</f>
        <v/>
      </c>
      <c r="K43" s="131">
        <f>$T$11/64</f>
        <v/>
      </c>
      <c r="L43" s="7" t="n">
        <v>0</v>
      </c>
      <c r="M43" s="131" t="n">
        <v>0</v>
      </c>
      <c r="N43" s="131" t="n">
        <v>0</v>
      </c>
      <c r="O43" s="131" t="n">
        <v>0</v>
      </c>
      <c r="P43" s="127" t="n"/>
      <c r="Q43" s="127" t="n"/>
      <c r="R43" s="134">
        <f>(J43+K43+L43+M43+N43+O43+P43)*$B$2</f>
        <v/>
      </c>
      <c r="S43" s="129" t="n"/>
      <c r="T43" s="129" t="n"/>
    </row>
    <row r="44" ht="12.75" customHeight="1" s="251">
      <c r="A44" s="125" t="inlineStr">
        <is>
          <t>S7</t>
        </is>
      </c>
      <c r="B44" s="13" t="inlineStr">
        <is>
          <t>Harish B</t>
        </is>
      </c>
      <c r="C44" s="9" t="n">
        <v>0</v>
      </c>
      <c r="D44" s="131">
        <f>SUM($C$3:$C$5)/64</f>
        <v/>
      </c>
      <c r="E44" s="131">
        <f>C44+D44</f>
        <v/>
      </c>
      <c r="F44" s="131">
        <f>IF($C$70=0, 0, E44/$C$70)</f>
        <v/>
      </c>
      <c r="G44" s="131">
        <f>F44*$T$5</f>
        <v/>
      </c>
      <c r="H44" s="131" t="n">
        <v>3</v>
      </c>
      <c r="I44" s="131">
        <f>$T$7*H44</f>
        <v/>
      </c>
      <c r="J44" s="131">
        <f>G44+$T$9+I44</f>
        <v/>
      </c>
      <c r="K44" s="131">
        <f>$T$11/64</f>
        <v/>
      </c>
      <c r="L44" s="7" t="n">
        <v>0</v>
      </c>
      <c r="M44" s="131" t="n">
        <v>0</v>
      </c>
      <c r="N44" s="131" t="n">
        <v>0</v>
      </c>
      <c r="O44" s="131" t="n">
        <v>0</v>
      </c>
      <c r="P44" s="127" t="n"/>
      <c r="Q44" s="127" t="n"/>
      <c r="R44" s="134">
        <f>(J44+K44+L44+M44+N44+O44+P44)*$B$2</f>
        <v/>
      </c>
      <c r="S44" s="129" t="n"/>
      <c r="T44" s="129" t="n"/>
    </row>
    <row r="45" ht="12.75" customHeight="1" s="251">
      <c r="A45" s="125" t="inlineStr">
        <is>
          <t>S8</t>
        </is>
      </c>
      <c r="B45" s="13" t="inlineStr">
        <is>
          <t>Irudayaraj Alwin</t>
        </is>
      </c>
      <c r="C45" s="9" t="n">
        <v>0</v>
      </c>
      <c r="D45" s="131">
        <f>SUM($C$3:$C$5)/64</f>
        <v/>
      </c>
      <c r="E45" s="131">
        <f>C45+D45</f>
        <v/>
      </c>
      <c r="F45" s="131">
        <f>IF($C$70=0, 0, E45/$C$70)</f>
        <v/>
      </c>
      <c r="G45" s="131">
        <f>F45*$T$5</f>
        <v/>
      </c>
      <c r="H45" s="131" t="n">
        <v>3</v>
      </c>
      <c r="I45" s="131">
        <f>$T$7*H45</f>
        <v/>
      </c>
      <c r="J45" s="131">
        <f>G45+$T$9+I45</f>
        <v/>
      </c>
      <c r="K45" s="131">
        <f>$T$11/64</f>
        <v/>
      </c>
      <c r="L45" s="7" t="n">
        <v>0</v>
      </c>
      <c r="M45" s="131" t="n">
        <v>0</v>
      </c>
      <c r="N45" s="131" t="n">
        <v>0</v>
      </c>
      <c r="O45" s="131" t="n">
        <v>0</v>
      </c>
      <c r="P45" s="127" t="n"/>
      <c r="Q45" s="127" t="n"/>
      <c r="R45" s="134">
        <f>(J45+K45+L45+M45+N45+O45+P45)*$B$2</f>
        <v/>
      </c>
      <c r="S45" s="129" t="n"/>
      <c r="T45" s="129" t="n"/>
    </row>
    <row r="46" ht="12.75" customHeight="1" s="251">
      <c r="A46" s="125" t="inlineStr">
        <is>
          <t>S9</t>
        </is>
      </c>
      <c r="B46" s="13" t="inlineStr">
        <is>
          <t>Pawan GS</t>
        </is>
      </c>
      <c r="C46" s="9" t="n">
        <v>0</v>
      </c>
      <c r="D46" s="131">
        <f>SUM($C$3:$C$5)/64</f>
        <v/>
      </c>
      <c r="E46" s="131">
        <f>C46+D46</f>
        <v/>
      </c>
      <c r="F46" s="131">
        <f>IF($C$70=0, 0, E46/$C$70)</f>
        <v/>
      </c>
      <c r="G46" s="131">
        <f>F46*$T$5</f>
        <v/>
      </c>
      <c r="H46" s="131" t="n">
        <v>4</v>
      </c>
      <c r="I46" s="131">
        <f>$T$7*H46</f>
        <v/>
      </c>
      <c r="J46" s="131">
        <f>G46+$T$9+I46</f>
        <v/>
      </c>
      <c r="K46" s="131">
        <f>$T$11/64</f>
        <v/>
      </c>
      <c r="L46" s="7" t="n">
        <v>0</v>
      </c>
      <c r="M46" s="131" t="n">
        <v>0</v>
      </c>
      <c r="N46" s="131" t="n">
        <v>0</v>
      </c>
      <c r="O46" s="131" t="n">
        <v>0</v>
      </c>
      <c r="P46" s="127" t="n"/>
      <c r="Q46" s="127" t="n"/>
      <c r="R46" s="134">
        <f>(J46+K46+L46+M46+N46+O46+P46)*$B$2</f>
        <v/>
      </c>
      <c r="S46" s="129" t="n"/>
      <c r="T46" s="129" t="n"/>
    </row>
    <row r="47" ht="12.75" customHeight="1" s="251">
      <c r="A47" s="125" t="inlineStr">
        <is>
          <t>S10</t>
        </is>
      </c>
      <c r="B47" s="13" t="inlineStr">
        <is>
          <t>Lakshmikanth</t>
        </is>
      </c>
      <c r="C47" s="9" t="n">
        <v>0</v>
      </c>
      <c r="D47" s="131">
        <f>SUM($C$3:$C$5)/64</f>
        <v/>
      </c>
      <c r="E47" s="131">
        <f>C47+D47</f>
        <v/>
      </c>
      <c r="F47" s="131">
        <f>IF($C$70=0, 0, E47/$C$70)</f>
        <v/>
      </c>
      <c r="G47" s="131">
        <f>F47*$T$5</f>
        <v/>
      </c>
      <c r="H47" s="131" t="n">
        <v>3</v>
      </c>
      <c r="I47" s="131">
        <f>$T$7*H47</f>
        <v/>
      </c>
      <c r="J47" s="131">
        <f>G47+$T$9+I47</f>
        <v/>
      </c>
      <c r="K47" s="131">
        <f>$T$11/64</f>
        <v/>
      </c>
      <c r="L47" s="7" t="n">
        <v>0</v>
      </c>
      <c r="M47" s="131" t="n">
        <v>0</v>
      </c>
      <c r="N47" s="131" t="n">
        <v>0</v>
      </c>
      <c r="O47" s="131" t="n">
        <v>0</v>
      </c>
      <c r="P47" s="127" t="n"/>
      <c r="Q47" s="127" t="n"/>
      <c r="R47" s="134">
        <f>(J47+K47+L47+M47+N47+O47+P47)*$B$2</f>
        <v/>
      </c>
      <c r="S47" s="129" t="n"/>
      <c r="T47" s="129" t="n"/>
    </row>
    <row r="48" ht="12.75" customHeight="1" s="251">
      <c r="A48" s="125" t="inlineStr">
        <is>
          <t>S11</t>
        </is>
      </c>
      <c r="B48" s="13" t="inlineStr">
        <is>
          <t>Gowrish Patnaik / Somananth GM</t>
        </is>
      </c>
      <c r="C48" s="9" t="n">
        <v>0</v>
      </c>
      <c r="D48" s="131">
        <f>SUM($C$3:$C$5)/64</f>
        <v/>
      </c>
      <c r="E48" s="131">
        <f>C48+D48</f>
        <v/>
      </c>
      <c r="F48" s="131">
        <f>IF($C$70=0, 0, E48/$C$70)</f>
        <v/>
      </c>
      <c r="G48" s="131">
        <f>F48*$T$5</f>
        <v/>
      </c>
      <c r="H48" s="131" t="n">
        <v>3</v>
      </c>
      <c r="I48" s="131">
        <f>$T$7*H48</f>
        <v/>
      </c>
      <c r="J48" s="131">
        <f>G48+$T$9+I48</f>
        <v/>
      </c>
      <c r="K48" s="131">
        <f>$T$11/64</f>
        <v/>
      </c>
      <c r="L48" s="7" t="n">
        <v>0</v>
      </c>
      <c r="M48" s="131" t="n">
        <v>0</v>
      </c>
      <c r="N48" s="131" t="n">
        <v>0</v>
      </c>
      <c r="O48" s="131" t="n">
        <v>0</v>
      </c>
      <c r="P48" s="127" t="n"/>
      <c r="Q48" s="127" t="n"/>
      <c r="R48" s="134">
        <f>(J48+K48+L48+M48+N48+O48+P48)*$B$2</f>
        <v/>
      </c>
      <c r="S48" s="129" t="n"/>
      <c r="T48" s="129" t="n"/>
    </row>
    <row r="49" ht="12.75" customHeight="1" s="251">
      <c r="A49" s="125" t="inlineStr">
        <is>
          <t>S12</t>
        </is>
      </c>
      <c r="B49" s="13" t="inlineStr">
        <is>
          <t>Saovik Mondal</t>
        </is>
      </c>
      <c r="C49" s="9" t="n">
        <v>0</v>
      </c>
      <c r="D49" s="131">
        <f>SUM($C$3:$C$5)/64</f>
        <v/>
      </c>
      <c r="E49" s="131">
        <f>C49+D49</f>
        <v/>
      </c>
      <c r="F49" s="131">
        <f>IF($C$70=0, 0, E49/$C$70)</f>
        <v/>
      </c>
      <c r="G49" s="131">
        <f>F49*$T$5</f>
        <v/>
      </c>
      <c r="H49" s="131" t="n">
        <v>3</v>
      </c>
      <c r="I49" s="131">
        <f>$T$7*H49</f>
        <v/>
      </c>
      <c r="J49" s="131">
        <f>G49+$T$9+I49</f>
        <v/>
      </c>
      <c r="K49" s="131">
        <f>$T$11/64</f>
        <v/>
      </c>
      <c r="L49" s="7" t="n">
        <v>0</v>
      </c>
      <c r="M49" s="131" t="n">
        <v>0</v>
      </c>
      <c r="N49" s="131" t="n">
        <v>0</v>
      </c>
      <c r="O49" s="131" t="n">
        <v>0</v>
      </c>
      <c r="P49" s="127" t="n"/>
      <c r="Q49" s="127" t="n"/>
      <c r="R49" s="134">
        <f>(J49+K49+L49+M49+N49+O49+P49)*$B$2</f>
        <v/>
      </c>
      <c r="S49" s="129" t="n"/>
      <c r="T49" s="129" t="n"/>
    </row>
    <row r="50" ht="12.75" customHeight="1" s="251">
      <c r="A50" s="125" t="inlineStr">
        <is>
          <t>S13</t>
        </is>
      </c>
      <c r="B50" s="13" t="inlineStr">
        <is>
          <t>Ramadevi S.</t>
        </is>
      </c>
      <c r="C50" s="9" t="n">
        <v>0</v>
      </c>
      <c r="D50" s="131">
        <f>SUM($C$3:$C$5)/64</f>
        <v/>
      </c>
      <c r="E50" s="131">
        <f>C50+D50</f>
        <v/>
      </c>
      <c r="F50" s="131">
        <f>IF($C$70=0, 0, E50/$C$70)</f>
        <v/>
      </c>
      <c r="G50" s="131">
        <f>F50*$T$5</f>
        <v/>
      </c>
      <c r="H50" s="131" t="n">
        <v>4</v>
      </c>
      <c r="I50" s="131">
        <f>$T$7*H50</f>
        <v/>
      </c>
      <c r="J50" s="131">
        <f>G50+$T$9+I50</f>
        <v/>
      </c>
      <c r="K50" s="131">
        <f>$T$11/64</f>
        <v/>
      </c>
      <c r="L50" s="7" t="n">
        <v>0</v>
      </c>
      <c r="M50" s="131" t="n">
        <v>0</v>
      </c>
      <c r="N50" s="131" t="n">
        <v>0</v>
      </c>
      <c r="O50" s="131" t="n">
        <v>0</v>
      </c>
      <c r="P50" s="127" t="n"/>
      <c r="Q50" s="127" t="n"/>
      <c r="R50" s="134">
        <f>(J50+K50+L50+M50+N50+O50+P50)*$B$2</f>
        <v/>
      </c>
      <c r="S50" s="129" t="n"/>
      <c r="T50" s="129" t="n"/>
    </row>
    <row r="51" ht="12.75" customHeight="1" s="251">
      <c r="A51" s="125" t="inlineStr">
        <is>
          <t>S14</t>
        </is>
      </c>
      <c r="B51" s="13" t="inlineStr">
        <is>
          <t>Nishant Upadhyay(Owner)/ Fabian (Tenant)</t>
        </is>
      </c>
      <c r="C51" s="9" t="n">
        <v>0</v>
      </c>
      <c r="D51" s="131">
        <f>SUM($C$3:$C$5)/64</f>
        <v/>
      </c>
      <c r="E51" s="131">
        <f>C51+D51</f>
        <v/>
      </c>
      <c r="F51" s="131">
        <f>IF($C$70=0, 0, E51/$C$70)</f>
        <v/>
      </c>
      <c r="G51" s="131">
        <f>F51*$T$5</f>
        <v/>
      </c>
      <c r="H51" s="131" t="n">
        <v>4</v>
      </c>
      <c r="I51" s="131">
        <f>$T$7*H51</f>
        <v/>
      </c>
      <c r="J51" s="131">
        <f>G51+$T$9+I51</f>
        <v/>
      </c>
      <c r="K51" s="131">
        <f>$T$11/64</f>
        <v/>
      </c>
      <c r="L51" s="7" t="n">
        <v>0</v>
      </c>
      <c r="M51" s="131" t="n">
        <v>0</v>
      </c>
      <c r="N51" s="131" t="n">
        <v>0</v>
      </c>
      <c r="O51" s="131" t="n">
        <v>0</v>
      </c>
      <c r="P51" s="127" t="n"/>
      <c r="Q51" s="127" t="n"/>
      <c r="R51" s="134">
        <f>(J51+K51+L51+M51+N51+O51+P51)*$B$2</f>
        <v/>
      </c>
      <c r="S51" s="129" t="n"/>
      <c r="T51" s="129" t="n"/>
    </row>
    <row r="52" ht="12.75" customHeight="1" s="251">
      <c r="A52" s="125" t="inlineStr">
        <is>
          <t>S15</t>
        </is>
      </c>
      <c r="B52" s="13" t="inlineStr">
        <is>
          <t>Manas Dasgupta</t>
        </is>
      </c>
      <c r="C52" s="9" t="n">
        <v>0</v>
      </c>
      <c r="D52" s="131">
        <f>SUM($C$3:$C$5)/64</f>
        <v/>
      </c>
      <c r="E52" s="131">
        <f>C52+D52</f>
        <v/>
      </c>
      <c r="F52" s="131">
        <f>IF($C$70=0, 0, E52/$C$70)</f>
        <v/>
      </c>
      <c r="G52" s="131">
        <f>F52*$T$5</f>
        <v/>
      </c>
      <c r="H52" s="131" t="n">
        <v>4</v>
      </c>
      <c r="I52" s="131">
        <f>$T$7*H52</f>
        <v/>
      </c>
      <c r="J52" s="131">
        <f>G52+$T$9+I52</f>
        <v/>
      </c>
      <c r="K52" s="131">
        <f>$T$11/64</f>
        <v/>
      </c>
      <c r="L52" s="7" t="n">
        <v>0</v>
      </c>
      <c r="M52" s="131" t="n">
        <v>0</v>
      </c>
      <c r="N52" s="131" t="n">
        <v>0</v>
      </c>
      <c r="O52" s="131" t="n">
        <v>0</v>
      </c>
      <c r="P52" s="127" t="n"/>
      <c r="Q52" s="127" t="n"/>
      <c r="R52" s="134">
        <f>(J52+K52+L52+M52+N52+O52+P52)*$B$2</f>
        <v/>
      </c>
      <c r="S52" s="129" t="n"/>
      <c r="T52" s="129" t="n"/>
    </row>
    <row r="53" ht="12.75" customHeight="1" s="251">
      <c r="A53" s="125" t="inlineStr">
        <is>
          <t>S16</t>
        </is>
      </c>
      <c r="B53" s="13" t="inlineStr">
        <is>
          <t>Devendra Singh Rawat / Nancy</t>
        </is>
      </c>
      <c r="C53" s="9" t="n">
        <v>0</v>
      </c>
      <c r="D53" s="131">
        <f>SUM($C$3:$C$5)/64</f>
        <v/>
      </c>
      <c r="E53" s="131">
        <f>C53+D53</f>
        <v/>
      </c>
      <c r="F53" s="131">
        <f>IF($C$70=0, 0, E53/$C$70)</f>
        <v/>
      </c>
      <c r="G53" s="131">
        <f>F53*$T$5</f>
        <v/>
      </c>
      <c r="H53" s="131" t="n">
        <v>3</v>
      </c>
      <c r="I53" s="131">
        <f>$T$7*H53</f>
        <v/>
      </c>
      <c r="J53" s="131">
        <f>G53+$T$9+I53</f>
        <v/>
      </c>
      <c r="K53" s="131">
        <f>$T$11/64</f>
        <v/>
      </c>
      <c r="L53" s="7" t="n">
        <v>0</v>
      </c>
      <c r="M53" s="131" t="n">
        <v>0</v>
      </c>
      <c r="N53" s="131" t="n">
        <v>0</v>
      </c>
      <c r="O53" s="131" t="n">
        <v>0</v>
      </c>
      <c r="P53" s="127" t="n"/>
      <c r="Q53" s="127" t="n"/>
      <c r="R53" s="134">
        <f>(J53+K53+L53+M53+N53+O53+P53)*$B$2</f>
        <v/>
      </c>
      <c r="S53" s="129" t="n"/>
      <c r="T53" s="129" t="n"/>
    </row>
    <row r="54" ht="12.75" customHeight="1" s="251">
      <c r="A54" s="125" t="inlineStr">
        <is>
          <t>T1</t>
        </is>
      </c>
      <c r="B54" s="13" t="inlineStr">
        <is>
          <t>Prashant Sikdar</t>
        </is>
      </c>
      <c r="C54" s="9" t="n">
        <v>0</v>
      </c>
      <c r="D54" s="131">
        <f>SUM($C$3:$C$5)/64</f>
        <v/>
      </c>
      <c r="E54" s="131">
        <f>C54+D54</f>
        <v/>
      </c>
      <c r="F54" s="131">
        <f>IF($C$70=0, 0, E54/$C$70)</f>
        <v/>
      </c>
      <c r="G54" s="131">
        <f>F54*$T$5</f>
        <v/>
      </c>
      <c r="H54" s="131" t="n">
        <v>3</v>
      </c>
      <c r="I54" s="131">
        <f>$T$7*H54</f>
        <v/>
      </c>
      <c r="J54" s="131">
        <f>G54+$T$9+I54</f>
        <v/>
      </c>
      <c r="K54" s="131">
        <f>$T$11/64</f>
        <v/>
      </c>
      <c r="L54" s="7" t="n">
        <v>0</v>
      </c>
      <c r="M54" s="131" t="n">
        <v>0</v>
      </c>
      <c r="N54" s="131" t="n">
        <v>0</v>
      </c>
      <c r="O54" s="131" t="n">
        <v>0</v>
      </c>
      <c r="P54" s="127" t="n"/>
      <c r="Q54" s="127" t="n"/>
      <c r="R54" s="134">
        <f>(J54+K54+L54+M54+N54+O54+P54)*$B$2</f>
        <v/>
      </c>
      <c r="S54" s="129" t="n"/>
      <c r="T54" s="129" t="n"/>
    </row>
    <row r="55" ht="12.75" customHeight="1" s="251">
      <c r="A55" s="125" t="inlineStr">
        <is>
          <t>T2</t>
        </is>
      </c>
      <c r="B55" s="13" t="inlineStr">
        <is>
          <t>Kunal Mehta</t>
        </is>
      </c>
      <c r="C55" s="9" t="n">
        <v>0</v>
      </c>
      <c r="D55" s="131">
        <f>SUM($C$3:$C$5)/64</f>
        <v/>
      </c>
      <c r="E55" s="131">
        <f>C55+D55</f>
        <v/>
      </c>
      <c r="F55" s="131">
        <f>IF($C$70=0, 0, E55/$C$70)</f>
        <v/>
      </c>
      <c r="G55" s="131">
        <f>F55*$T$5</f>
        <v/>
      </c>
      <c r="H55" s="131" t="n">
        <v>4</v>
      </c>
      <c r="I55" s="131">
        <f>$T$7*H55</f>
        <v/>
      </c>
      <c r="J55" s="131">
        <f>G55+$T$9+I55</f>
        <v/>
      </c>
      <c r="K55" s="131">
        <f>$T$11/64</f>
        <v/>
      </c>
      <c r="L55" s="7" t="n">
        <v>0</v>
      </c>
      <c r="M55" s="131" t="n">
        <v>0</v>
      </c>
      <c r="N55" s="131" t="n">
        <v>0</v>
      </c>
      <c r="O55" s="131" t="n">
        <v>0</v>
      </c>
      <c r="P55" s="127" t="n"/>
      <c r="Q55" s="127" t="n"/>
      <c r="R55" s="134">
        <f>(J55+K55+L55+M55+N55+O55+P55)*$B$2</f>
        <v/>
      </c>
      <c r="S55" s="129" t="n"/>
      <c r="T55" s="129" t="n"/>
    </row>
    <row r="56" ht="12.75" customHeight="1" s="251">
      <c r="A56" s="125" t="inlineStr">
        <is>
          <t>T3</t>
        </is>
      </c>
      <c r="B56" s="13" t="inlineStr">
        <is>
          <t>Kapil Garg</t>
        </is>
      </c>
      <c r="C56" s="9" t="n">
        <v>0</v>
      </c>
      <c r="D56" s="131">
        <f>SUM($C$3:$C$5)/64</f>
        <v/>
      </c>
      <c r="E56" s="131">
        <f>C56+D56</f>
        <v/>
      </c>
      <c r="F56" s="131">
        <f>IF($C$70=0, 0, E56/$C$70)</f>
        <v/>
      </c>
      <c r="G56" s="131">
        <f>F56*$T$5</f>
        <v/>
      </c>
      <c r="H56" s="131" t="n">
        <v>4</v>
      </c>
      <c r="I56" s="131">
        <f>$T$7*H56</f>
        <v/>
      </c>
      <c r="J56" s="131">
        <f>G56+$T$9+I56</f>
        <v/>
      </c>
      <c r="K56" s="131">
        <f>$T$11/64</f>
        <v/>
      </c>
      <c r="L56" s="7" t="n">
        <v>0</v>
      </c>
      <c r="M56" s="131" t="n">
        <v>0</v>
      </c>
      <c r="N56" s="131" t="n">
        <v>0</v>
      </c>
      <c r="O56" s="131" t="n">
        <v>0</v>
      </c>
      <c r="P56" s="127" t="n"/>
      <c r="Q56" s="127" t="n"/>
      <c r="R56" s="134">
        <f>(J56+K56+L56+M56+N56+O56+P56)*$B$2</f>
        <v/>
      </c>
      <c r="S56" s="129" t="n"/>
      <c r="T56" s="129" t="n"/>
    </row>
    <row r="57" ht="12.75" customHeight="1" s="251">
      <c r="A57" s="125" t="inlineStr">
        <is>
          <t>T4</t>
        </is>
      </c>
      <c r="B57" s="13" t="inlineStr">
        <is>
          <t>Vijet Alva (Owner)    -    Masood (Tenant)</t>
        </is>
      </c>
      <c r="C57" s="9" t="n">
        <v>0</v>
      </c>
      <c r="D57" s="131">
        <f>SUM($C$3:$C$5)/64</f>
        <v/>
      </c>
      <c r="E57" s="131">
        <f>C57+D57</f>
        <v/>
      </c>
      <c r="F57" s="131">
        <f>IF($C$70=0, 0, E57/$C$70)</f>
        <v/>
      </c>
      <c r="G57" s="131">
        <f>F57*$T$5</f>
        <v/>
      </c>
      <c r="H57" s="131" t="n">
        <v>4</v>
      </c>
      <c r="I57" s="131">
        <f>$T$7*H57</f>
        <v/>
      </c>
      <c r="J57" s="131">
        <f>G57+$T$9+I57</f>
        <v/>
      </c>
      <c r="K57" s="131">
        <f>$T$11/64</f>
        <v/>
      </c>
      <c r="L57" s="7" t="n">
        <v>0</v>
      </c>
      <c r="M57" s="131" t="n">
        <v>0</v>
      </c>
      <c r="N57" s="131" t="n">
        <v>0</v>
      </c>
      <c r="O57" s="131" t="n">
        <v>0</v>
      </c>
      <c r="P57" s="127" t="n"/>
      <c r="Q57" s="127" t="n"/>
      <c r="R57" s="134">
        <f>(J57+K57+L57+M57+N57+O57+P57)*$B$2</f>
        <v/>
      </c>
      <c r="S57" s="129" t="n"/>
      <c r="T57" s="129" t="n"/>
    </row>
    <row r="58" ht="12.75" customHeight="1" s="251">
      <c r="A58" s="125" t="inlineStr">
        <is>
          <t>T5</t>
        </is>
      </c>
      <c r="B58" s="13" t="inlineStr">
        <is>
          <t>Ganesh Iyer and Latha Iyer( owner) Richa (Tenant)</t>
        </is>
      </c>
      <c r="C58" s="9" t="n">
        <v>0</v>
      </c>
      <c r="D58" s="131">
        <f>SUM($C$3:$C$5)/64</f>
        <v/>
      </c>
      <c r="E58" s="131">
        <f>C58+D58</f>
        <v/>
      </c>
      <c r="F58" s="131">
        <f>IF($C$70=0, 0, E58/$C$70)</f>
        <v/>
      </c>
      <c r="G58" s="131">
        <f>F58*$T$5</f>
        <v/>
      </c>
      <c r="H58" s="131" t="n">
        <v>3</v>
      </c>
      <c r="I58" s="131">
        <f>$T$7*H58</f>
        <v/>
      </c>
      <c r="J58" s="131">
        <f>G58+$T$9+I58</f>
        <v/>
      </c>
      <c r="K58" s="131">
        <f>$T$11/64</f>
        <v/>
      </c>
      <c r="L58" s="7" t="n">
        <v>0</v>
      </c>
      <c r="M58" s="131" t="n">
        <v>0</v>
      </c>
      <c r="N58" s="131" t="n">
        <v>0</v>
      </c>
      <c r="O58" s="131" t="n">
        <v>0</v>
      </c>
      <c r="P58" s="127" t="n"/>
      <c r="Q58" s="127" t="n"/>
      <c r="R58" s="134">
        <f>(J58+K58+L58+M58+N58+O58+P58)*$B$2</f>
        <v/>
      </c>
      <c r="S58" s="129" t="n"/>
      <c r="T58" s="129" t="n"/>
    </row>
    <row r="59" ht="12.75" customHeight="1" s="251">
      <c r="A59" s="125" t="inlineStr">
        <is>
          <t>T6</t>
        </is>
      </c>
      <c r="B59" s="13" t="inlineStr">
        <is>
          <t>Mythili Ramesh</t>
        </is>
      </c>
      <c r="C59" s="9" t="n">
        <v>0</v>
      </c>
      <c r="D59" s="131">
        <f>SUM($C$3:$C$5)/64</f>
        <v/>
      </c>
      <c r="E59" s="131">
        <f>C59+D59</f>
        <v/>
      </c>
      <c r="F59" s="131">
        <f>IF($C$70=0, 0, E59/$C$70)</f>
        <v/>
      </c>
      <c r="G59" s="131">
        <f>F59*$T$5</f>
        <v/>
      </c>
      <c r="H59" s="131" t="n">
        <v>3</v>
      </c>
      <c r="I59" s="131">
        <f>$T$7*H59</f>
        <v/>
      </c>
      <c r="J59" s="131">
        <f>G59+$T$9+I59</f>
        <v/>
      </c>
      <c r="K59" s="131">
        <f>$T$11/64</f>
        <v/>
      </c>
      <c r="L59" s="7" t="n">
        <v>0</v>
      </c>
      <c r="M59" s="131" t="n">
        <v>0</v>
      </c>
      <c r="N59" s="131" t="n">
        <v>0</v>
      </c>
      <c r="O59" s="131" t="n">
        <v>0</v>
      </c>
      <c r="P59" s="127" t="n"/>
      <c r="Q59" s="127" t="n"/>
      <c r="R59" s="134">
        <f>(J59+K59+L59+M59+N59+O59+P59)*$B$2</f>
        <v/>
      </c>
      <c r="S59" s="129" t="n"/>
      <c r="T59" s="129" t="n"/>
    </row>
    <row r="60" ht="12.75" customHeight="1" s="251">
      <c r="A60" s="125" t="inlineStr">
        <is>
          <t>T7</t>
        </is>
      </c>
      <c r="B60" s="13" t="inlineStr">
        <is>
          <t>Vinyas Ramachandra / Shwetha Marnamikatta / Katari Siva Rama Raju</t>
        </is>
      </c>
      <c r="C60" s="9" t="n">
        <v>0</v>
      </c>
      <c r="D60" s="131">
        <f>SUM($C$3:$C$5)/64</f>
        <v/>
      </c>
      <c r="E60" s="131">
        <f>C60+D60</f>
        <v/>
      </c>
      <c r="F60" s="131">
        <f>IF($C$70=0, 0, E60/$C$70)</f>
        <v/>
      </c>
      <c r="G60" s="131">
        <f>F60*$T$5</f>
        <v/>
      </c>
      <c r="H60" s="131" t="n">
        <v>3</v>
      </c>
      <c r="I60" s="131">
        <f>$T$7*H60</f>
        <v/>
      </c>
      <c r="J60" s="131">
        <f>G60+$T$9+I60</f>
        <v/>
      </c>
      <c r="K60" s="131">
        <f>$T$11/64</f>
        <v/>
      </c>
      <c r="L60" s="7" t="n">
        <v>0</v>
      </c>
      <c r="M60" s="131" t="n">
        <v>0</v>
      </c>
      <c r="N60" s="131" t="n">
        <v>0</v>
      </c>
      <c r="O60" s="131" t="n">
        <v>0</v>
      </c>
      <c r="P60" s="127" t="n"/>
      <c r="Q60" s="127" t="n"/>
      <c r="R60" s="134">
        <f>(J60+K60+L60+M60+N60+O60+P60)*$B$2</f>
        <v/>
      </c>
      <c r="S60" s="129" t="n"/>
      <c r="T60" s="129" t="n"/>
    </row>
    <row r="61" ht="12.75" customHeight="1" s="251">
      <c r="A61" s="125" t="inlineStr">
        <is>
          <t>T8</t>
        </is>
      </c>
      <c r="B61" s="13" t="inlineStr">
        <is>
          <t>Lalit Kumar Sharma</t>
        </is>
      </c>
      <c r="C61" s="9" t="n">
        <v>0</v>
      </c>
      <c r="D61" s="131">
        <f>SUM($C$3:$C$5)/64</f>
        <v/>
      </c>
      <c r="E61" s="131">
        <f>C61+D61</f>
        <v/>
      </c>
      <c r="F61" s="131">
        <f>IF($C$70=0, 0, E61/$C$70)</f>
        <v/>
      </c>
      <c r="G61" s="131">
        <f>F61*$T$5</f>
        <v/>
      </c>
      <c r="H61" s="131" t="n">
        <v>3</v>
      </c>
      <c r="I61" s="131">
        <f>$T$7*H61</f>
        <v/>
      </c>
      <c r="J61" s="131">
        <f>G61+$T$9+I61</f>
        <v/>
      </c>
      <c r="K61" s="131">
        <f>$T$11/64</f>
        <v/>
      </c>
      <c r="L61" s="7" t="n">
        <v>0</v>
      </c>
      <c r="M61" s="131" t="n">
        <v>0</v>
      </c>
      <c r="N61" s="131" t="n">
        <v>0</v>
      </c>
      <c r="O61" s="131" t="n">
        <v>0</v>
      </c>
      <c r="P61" s="127" t="n"/>
      <c r="Q61" s="127" t="n"/>
      <c r="R61" s="134">
        <f>(J61+K61+L61+M61+N61+O61+P61)*$B$2</f>
        <v/>
      </c>
      <c r="S61" s="129" t="n"/>
      <c r="T61" s="129" t="n"/>
    </row>
    <row r="62" ht="12.75" customHeight="1" s="251">
      <c r="A62" s="125" t="inlineStr">
        <is>
          <t>T9</t>
        </is>
      </c>
      <c r="B62" s="13" t="inlineStr">
        <is>
          <t>Nishith Sahu and Priyanka Rani (Owner)/ Anmol Verma (Tenant)</t>
        </is>
      </c>
      <c r="C62" s="9" t="n">
        <v>0</v>
      </c>
      <c r="D62" s="131">
        <f>SUM($C$3:$C$5)/64</f>
        <v/>
      </c>
      <c r="E62" s="131">
        <f>C62+D62</f>
        <v/>
      </c>
      <c r="F62" s="131">
        <f>IF($C$70=0, 0, E62/$C$70)</f>
        <v/>
      </c>
      <c r="G62" s="131">
        <f>F62*$T$5</f>
        <v/>
      </c>
      <c r="H62" s="131" t="n">
        <v>4</v>
      </c>
      <c r="I62" s="131">
        <f>$T$7*H62</f>
        <v/>
      </c>
      <c r="J62" s="131">
        <f>G62+$T$9+I62</f>
        <v/>
      </c>
      <c r="K62" s="131">
        <f>$T$11/64</f>
        <v/>
      </c>
      <c r="L62" s="7" t="n">
        <v>0</v>
      </c>
      <c r="M62" s="131" t="n">
        <v>0</v>
      </c>
      <c r="N62" s="131" t="n">
        <v>0</v>
      </c>
      <c r="O62" s="131" t="n">
        <v>0</v>
      </c>
      <c r="P62" s="127" t="n"/>
      <c r="Q62" s="127" t="n"/>
      <c r="R62" s="134">
        <f>(J62+K62+L62+M62+N62+O62+P62)*$B$2</f>
        <v/>
      </c>
      <c r="S62" s="129" t="n"/>
      <c r="T62" s="129" t="n"/>
    </row>
    <row r="63" ht="12.75" customHeight="1" s="251">
      <c r="A63" s="125" t="inlineStr">
        <is>
          <t>T10</t>
        </is>
      </c>
      <c r="B63" s="13" t="inlineStr">
        <is>
          <t>Vamsidhar Bethanabatla / Madhuri Anumula</t>
        </is>
      </c>
      <c r="C63" s="9" t="n">
        <v>0</v>
      </c>
      <c r="D63" s="131">
        <f>SUM($C$3:$C$5)/64</f>
        <v/>
      </c>
      <c r="E63" s="131">
        <f>C63+D63</f>
        <v/>
      </c>
      <c r="F63" s="131">
        <f>IF($C$70=0, 0, E63/$C$70)</f>
        <v/>
      </c>
      <c r="G63" s="131">
        <f>F63*$T$5</f>
        <v/>
      </c>
      <c r="H63" s="131" t="n">
        <v>3</v>
      </c>
      <c r="I63" s="131">
        <f>$T$7*H63</f>
        <v/>
      </c>
      <c r="J63" s="131">
        <f>G63+$T$9+I63</f>
        <v/>
      </c>
      <c r="K63" s="131">
        <f>$T$11/64</f>
        <v/>
      </c>
      <c r="L63" s="7" t="n">
        <v>0</v>
      </c>
      <c r="M63" s="131" t="n">
        <v>0</v>
      </c>
      <c r="N63" s="131" t="n">
        <v>0</v>
      </c>
      <c r="O63" s="131" t="n">
        <v>0</v>
      </c>
      <c r="P63" s="127" t="n"/>
      <c r="Q63" s="127" t="n"/>
      <c r="R63" s="134">
        <f>(J63+K63+L63+M63+N63+O63+P63)*$B$2</f>
        <v/>
      </c>
      <c r="S63" s="129" t="n"/>
      <c r="T63" s="129" t="n"/>
    </row>
    <row r="64" ht="12.75" customHeight="1" s="251">
      <c r="A64" s="125" t="inlineStr">
        <is>
          <t>T11</t>
        </is>
      </c>
      <c r="B64" s="13" t="inlineStr">
        <is>
          <t>Arvind Balasubramanian</t>
        </is>
      </c>
      <c r="C64" s="9" t="n">
        <v>0</v>
      </c>
      <c r="D64" s="131">
        <f>SUM($C$3:$C$5)/64</f>
        <v/>
      </c>
      <c r="E64" s="131">
        <f>C64+D64</f>
        <v/>
      </c>
      <c r="F64" s="131">
        <f>IF($C$70=0, 0, E64/$C$70)</f>
        <v/>
      </c>
      <c r="G64" s="131">
        <f>F64*$T$5</f>
        <v/>
      </c>
      <c r="H64" s="131" t="n">
        <v>3</v>
      </c>
      <c r="I64" s="131">
        <f>$T$7*H64</f>
        <v/>
      </c>
      <c r="J64" s="131">
        <f>G64+$T$9+I64</f>
        <v/>
      </c>
      <c r="K64" s="131">
        <f>$T$11/64</f>
        <v/>
      </c>
      <c r="L64" s="7" t="n">
        <v>0</v>
      </c>
      <c r="M64" s="131" t="n">
        <v>0</v>
      </c>
      <c r="N64" s="131" t="n">
        <v>0</v>
      </c>
      <c r="O64" s="131" t="n">
        <v>0</v>
      </c>
      <c r="P64" s="127" t="n"/>
      <c r="Q64" s="127" t="n"/>
      <c r="R64" s="134">
        <f>(J64+K64+L64+M64+N64+O64+P64)*$B$2</f>
        <v/>
      </c>
      <c r="S64" s="129" t="n"/>
      <c r="T64" s="129" t="n"/>
    </row>
    <row r="65" ht="12.75" customHeight="1" s="251">
      <c r="A65" s="125" t="inlineStr">
        <is>
          <t>T12</t>
        </is>
      </c>
      <c r="B65" s="13" t="inlineStr">
        <is>
          <t>Prasenjit</t>
        </is>
      </c>
      <c r="C65" s="9" t="n">
        <v>0</v>
      </c>
      <c r="D65" s="131">
        <f>SUM($C$3:$C$5)/64</f>
        <v/>
      </c>
      <c r="E65" s="131">
        <f>C65+D65</f>
        <v/>
      </c>
      <c r="F65" s="131">
        <f>IF($C$70=0, 0, E65/$C$70)</f>
        <v/>
      </c>
      <c r="G65" s="131">
        <f>F65*$T$5</f>
        <v/>
      </c>
      <c r="H65" s="131" t="n">
        <v>3</v>
      </c>
      <c r="I65" s="131">
        <f>$T$7*H65</f>
        <v/>
      </c>
      <c r="J65" s="131">
        <f>G65+$T$9+I65</f>
        <v/>
      </c>
      <c r="K65" s="131">
        <f>$T$11/64</f>
        <v/>
      </c>
      <c r="L65" s="7" t="n">
        <v>0</v>
      </c>
      <c r="M65" s="131" t="n">
        <v>0</v>
      </c>
      <c r="N65" s="131" t="n">
        <v>0</v>
      </c>
      <c r="O65" s="131" t="n">
        <v>0</v>
      </c>
      <c r="P65" s="127" t="n"/>
      <c r="Q65" s="127" t="n"/>
      <c r="R65" s="134">
        <f>(J65+K65+L65+M65+N65+O65+P65)*$B$2</f>
        <v/>
      </c>
      <c r="S65" s="129" t="n"/>
      <c r="T65" s="129" t="n"/>
    </row>
    <row r="66" ht="12.75" customHeight="1" s="251">
      <c r="A66" s="125" t="inlineStr">
        <is>
          <t>T13</t>
        </is>
      </c>
      <c r="B66" s="13" t="inlineStr">
        <is>
          <t>Rahul Kumar</t>
        </is>
      </c>
      <c r="C66" s="9" t="n">
        <v>0</v>
      </c>
      <c r="D66" s="131">
        <f>SUM($C$3:$C$5)/64</f>
        <v/>
      </c>
      <c r="E66" s="131">
        <f>C66+D66</f>
        <v/>
      </c>
      <c r="F66" s="131">
        <f>IF($C$70=0, 0, E66/$C$70)</f>
        <v/>
      </c>
      <c r="G66" s="131">
        <f>F66*$T$5</f>
        <v/>
      </c>
      <c r="H66" s="131" t="n">
        <v>4</v>
      </c>
      <c r="I66" s="131">
        <f>$T$7*H66</f>
        <v/>
      </c>
      <c r="J66" s="131">
        <f>G66+$T$9+I66</f>
        <v/>
      </c>
      <c r="K66" s="131">
        <f>$T$11/64</f>
        <v/>
      </c>
      <c r="L66" s="7" t="n">
        <v>0</v>
      </c>
      <c r="M66" s="131" t="n">
        <v>0</v>
      </c>
      <c r="N66" s="131" t="n">
        <v>0</v>
      </c>
      <c r="O66" s="131" t="n">
        <v>0</v>
      </c>
      <c r="P66" s="127" t="n"/>
      <c r="Q66" s="127" t="n"/>
      <c r="R66" s="134">
        <f>(J66+K66+L66+M66+N66+O66+P66)*$B$2</f>
        <v/>
      </c>
      <c r="S66" s="129" t="n"/>
      <c r="T66" s="129" t="n"/>
    </row>
    <row r="67" ht="12.75" customHeight="1" s="251">
      <c r="A67" s="125" t="inlineStr">
        <is>
          <t>T14</t>
        </is>
      </c>
      <c r="B67" s="13" t="inlineStr">
        <is>
          <t>Jeya / Kanda / Satya (tenant)/Vinuta (tenant)</t>
        </is>
      </c>
      <c r="C67" s="9" t="n">
        <v>0</v>
      </c>
      <c r="D67" s="131">
        <f>SUM($C$3:$C$5)/64</f>
        <v/>
      </c>
      <c r="E67" s="131">
        <f>C67+D67</f>
        <v/>
      </c>
      <c r="F67" s="131">
        <f>IF($C$70=0, 0, E67/$C$70)</f>
        <v/>
      </c>
      <c r="G67" s="131">
        <f>F67*$T$5</f>
        <v/>
      </c>
      <c r="H67" s="131" t="n">
        <v>4</v>
      </c>
      <c r="I67" s="131">
        <f>$T$7*H67</f>
        <v/>
      </c>
      <c r="J67" s="131">
        <f>G67+$T$9+I67</f>
        <v/>
      </c>
      <c r="K67" s="131">
        <f>$T$11/64</f>
        <v/>
      </c>
      <c r="L67" s="7" t="n">
        <v>0</v>
      </c>
      <c r="M67" s="131" t="n">
        <v>0</v>
      </c>
      <c r="N67" s="131" t="n">
        <v>0</v>
      </c>
      <c r="O67" s="131" t="n">
        <v>0</v>
      </c>
      <c r="P67" s="127" t="n"/>
      <c r="Q67" s="127" t="n"/>
      <c r="R67" s="134">
        <f>(J67+K67+L67+M67+N67+O67+P67)*$B$2</f>
        <v/>
      </c>
      <c r="S67" s="129" t="n"/>
      <c r="T67" s="129" t="n"/>
    </row>
    <row r="68" ht="12.75" customHeight="1" s="251">
      <c r="A68" s="125" t="inlineStr">
        <is>
          <t>T15</t>
        </is>
      </c>
      <c r="B68" s="13" t="inlineStr">
        <is>
          <t>Trevor</t>
        </is>
      </c>
      <c r="C68" s="9" t="n">
        <v>0</v>
      </c>
      <c r="D68" s="131">
        <f>SUM($C$3:$C$5)/64</f>
        <v/>
      </c>
      <c r="E68" s="131">
        <f>C68+D68</f>
        <v/>
      </c>
      <c r="F68" s="131">
        <f>IF($C$70=0, 0, E68/$C$70)</f>
        <v/>
      </c>
      <c r="G68" s="131">
        <f>F68*$T$5</f>
        <v/>
      </c>
      <c r="H68" s="131" t="n">
        <v>4</v>
      </c>
      <c r="I68" s="131">
        <f>$T$7*H68</f>
        <v/>
      </c>
      <c r="J68" s="131">
        <f>G68+$T$9+I68</f>
        <v/>
      </c>
      <c r="K68" s="131">
        <f>$T$11/64</f>
        <v/>
      </c>
      <c r="L68" s="7" t="n">
        <v>0</v>
      </c>
      <c r="M68" s="131" t="n">
        <v>0</v>
      </c>
      <c r="N68" s="131" t="n">
        <v>0</v>
      </c>
      <c r="O68" s="131" t="n">
        <v>0</v>
      </c>
      <c r="P68" s="127" t="n"/>
      <c r="Q68" s="127" t="n"/>
      <c r="R68" s="134">
        <f>(J68+K68+L68+M68+N68+O68+P68)*$B$2</f>
        <v/>
      </c>
      <c r="S68" s="129" t="n"/>
      <c r="T68" s="129" t="n"/>
    </row>
    <row r="69" ht="12.75" customHeight="1" s="251">
      <c r="A69" s="125" t="inlineStr">
        <is>
          <t>T16</t>
        </is>
      </c>
      <c r="B69" s="13" t="inlineStr">
        <is>
          <t>Madhusoodanan P.R.</t>
        </is>
      </c>
      <c r="C69" s="9" t="n">
        <v>0</v>
      </c>
      <c r="D69" s="131">
        <f>SUM($C$3:$C$5)/64</f>
        <v/>
      </c>
      <c r="E69" s="131">
        <f>C69+D69</f>
        <v/>
      </c>
      <c r="F69" s="131">
        <f>IF($C$70=0, 0, E69/$C$70)</f>
        <v/>
      </c>
      <c r="G69" s="131">
        <f>F69*$T$5</f>
        <v/>
      </c>
      <c r="H69" s="131" t="n">
        <v>3</v>
      </c>
      <c r="I69" s="131">
        <f>$T$7*H69</f>
        <v/>
      </c>
      <c r="J69" s="131">
        <f>G69+$T$9+I69</f>
        <v/>
      </c>
      <c r="K69" s="131">
        <f>$T$11/64</f>
        <v/>
      </c>
      <c r="L69" s="7" t="n">
        <v>0</v>
      </c>
      <c r="M69" s="131" t="n">
        <v>0</v>
      </c>
      <c r="N69" s="131" t="n">
        <v>0</v>
      </c>
      <c r="O69" s="131" t="n">
        <v>0</v>
      </c>
      <c r="P69" s="127" t="n"/>
      <c r="Q69" s="127" t="n"/>
      <c r="R69" s="134">
        <f>(J69+K69+L69+M69+N69+O69+P69)*$B$2</f>
        <v/>
      </c>
      <c r="S69" s="129" t="n"/>
      <c r="T69" s="129" t="n"/>
    </row>
    <row r="70" ht="12.75" customHeight="1" s="251">
      <c r="A70" s="139" t="n"/>
      <c r="B70" s="130" t="inlineStr">
        <is>
          <t>TOTAL</t>
        </is>
      </c>
      <c r="C70" s="131">
        <f>SUM(C3:C69)</f>
        <v/>
      </c>
      <c r="D70" s="131">
        <f>SUM(D3:D69)</f>
        <v/>
      </c>
      <c r="E70" s="131">
        <f>SUM(E3:E69)</f>
        <v/>
      </c>
      <c r="F70" s="131">
        <f>IF($C$70=0, 0, E70/$C$70)</f>
        <v/>
      </c>
      <c r="G70" s="131">
        <f>SUM(G3:G69)</f>
        <v/>
      </c>
      <c r="H70" s="131">
        <f>SUM(H3:H69)</f>
        <v/>
      </c>
      <c r="I70" s="131">
        <f>SUM(I3:I69)</f>
        <v/>
      </c>
      <c r="J70" s="131">
        <f>SUM(J3:J69)</f>
        <v/>
      </c>
      <c r="K70" s="131">
        <f>SUM(K3:K69)</f>
        <v/>
      </c>
      <c r="L70" s="131">
        <f>SUM(L3:L69)</f>
        <v/>
      </c>
      <c r="M70" s="131">
        <f>SUM(M3:M69)</f>
        <v/>
      </c>
      <c r="N70" s="131">
        <f>SUM(N3:N69)</f>
        <v/>
      </c>
      <c r="O70" s="131">
        <f>SUM(O3:O69)</f>
        <v/>
      </c>
      <c r="P70" s="127" t="n"/>
      <c r="Q70" s="127" t="n"/>
      <c r="R70" s="131">
        <f>SUM(R3:R69)</f>
        <v/>
      </c>
      <c r="S70" s="129" t="n"/>
      <c r="T70" s="129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7.6640625" customWidth="1" style="251" min="1" max="1"/>
    <col width="64.33203125" customWidth="1" style="251" min="2" max="2"/>
  </cols>
  <sheetData>
    <row r="1">
      <c r="A1" s="36" t="inlineStr">
        <is>
          <t>FLAT #</t>
        </is>
      </c>
      <c r="B1" s="37" t="n"/>
      <c r="C1" s="37" t="inlineStr">
        <is>
          <t>Amount</t>
        </is>
      </c>
      <c r="D1" s="85" t="inlineStr">
        <is>
          <t>Date</t>
        </is>
      </c>
      <c r="E1" s="37" t="inlineStr">
        <is>
          <t>Amount</t>
        </is>
      </c>
      <c r="F1" s="86" t="inlineStr">
        <is>
          <t>Date</t>
        </is>
      </c>
      <c r="G1" s="37" t="inlineStr">
        <is>
          <t>Amount</t>
        </is>
      </c>
      <c r="H1" s="70" t="inlineStr">
        <is>
          <t>Date</t>
        </is>
      </c>
      <c r="I1" s="37" t="inlineStr">
        <is>
          <t>Amount</t>
        </is>
      </c>
      <c r="J1" s="39" t="inlineStr">
        <is>
          <t>Date</t>
        </is>
      </c>
      <c r="K1" s="40" t="inlineStr">
        <is>
          <t>Total</t>
        </is>
      </c>
    </row>
    <row r="2" ht="15" customHeight="1" s="251">
      <c r="A2" s="41" t="inlineStr">
        <is>
          <t>F1</t>
        </is>
      </c>
      <c r="B2" s="13" t="inlineStr">
        <is>
          <t>Shailesh Srivastava / Azeem Nawaz</t>
        </is>
      </c>
      <c r="C2" s="40" t="n"/>
      <c r="D2" s="86" t="n"/>
      <c r="F2" s="86" t="n"/>
      <c r="H2" s="71" t="n"/>
      <c r="K2" s="40">
        <f>SUM(C2,E2,G2,I2)</f>
        <v/>
      </c>
    </row>
    <row r="3" ht="15" customHeight="1" s="251">
      <c r="A3" s="41" t="inlineStr">
        <is>
          <t>F2</t>
        </is>
      </c>
      <c r="B3" s="13" t="inlineStr">
        <is>
          <t>Shanthanu</t>
        </is>
      </c>
      <c r="D3" s="86" t="n"/>
      <c r="F3" s="86" t="n"/>
      <c r="H3" s="72" t="n"/>
      <c r="K3" s="40">
        <f>SUM(C3,E3,G3,I3)</f>
        <v/>
      </c>
    </row>
    <row r="4" ht="15" customHeight="1" s="251">
      <c r="A4" s="41" t="inlineStr">
        <is>
          <t>F3</t>
        </is>
      </c>
      <c r="B4" s="13" t="inlineStr">
        <is>
          <t>Samrat Kar</t>
        </is>
      </c>
      <c r="C4" s="46" t="n"/>
      <c r="D4" s="86" t="n"/>
      <c r="E4" s="46" t="n"/>
      <c r="F4" s="86" t="n"/>
      <c r="H4" s="71" t="n"/>
      <c r="K4" s="46">
        <f>SUM(C4,E4,G4,I4)</f>
        <v/>
      </c>
    </row>
    <row r="5" ht="15" customHeight="1" s="251">
      <c r="A5" s="41" t="inlineStr">
        <is>
          <t>F4</t>
        </is>
      </c>
      <c r="B5" s="13" t="inlineStr">
        <is>
          <t>Renu R</t>
        </is>
      </c>
      <c r="C5" s="40" t="n"/>
      <c r="D5" s="86" t="n"/>
      <c r="F5" s="86" t="n"/>
      <c r="H5" s="72" t="n"/>
      <c r="K5" s="40">
        <f>SUM(C5,E5,G5,I5)</f>
        <v/>
      </c>
    </row>
    <row r="6" ht="15" customHeight="1" s="251">
      <c r="A6" s="41" t="inlineStr">
        <is>
          <t>F5</t>
        </is>
      </c>
      <c r="B6" s="13" t="inlineStr">
        <is>
          <t>Vamsidhar Bethanabatla / Madhuri Anumula</t>
        </is>
      </c>
      <c r="C6" s="40" t="n"/>
      <c r="D6" s="86" t="n"/>
      <c r="F6" s="86" t="n"/>
      <c r="H6" s="71" t="n"/>
      <c r="K6" s="40">
        <f>SUM(C6,E6,G6,I6)</f>
        <v/>
      </c>
    </row>
    <row r="7" ht="15" customHeight="1" s="251">
      <c r="A7" s="41" t="inlineStr">
        <is>
          <t>F6</t>
        </is>
      </c>
      <c r="B7" s="13" t="inlineStr">
        <is>
          <t>Meghana Viral Shah and Vviral Shah (Owner) / Sangeet and Swagat (Tenent)</t>
        </is>
      </c>
      <c r="D7" s="86" t="n"/>
      <c r="F7" s="86" t="n"/>
      <c r="H7" s="72" t="n"/>
      <c r="K7" s="40">
        <f>SUM(C7,E7,G7,I7)</f>
        <v/>
      </c>
    </row>
    <row r="8" ht="15" customHeight="1" s="251">
      <c r="A8" s="41" t="inlineStr">
        <is>
          <t>F7</t>
        </is>
      </c>
      <c r="B8" s="13" t="inlineStr">
        <is>
          <t>Vimal NK</t>
        </is>
      </c>
      <c r="C8" s="42" t="n"/>
      <c r="D8" s="86" t="n"/>
      <c r="E8" s="42" t="n"/>
      <c r="F8" s="86" t="n"/>
      <c r="H8" s="71" t="n"/>
      <c r="K8" s="40">
        <f>SUM(C8,E8,G8,I8)</f>
        <v/>
      </c>
    </row>
    <row r="9" ht="15" customHeight="1" s="251">
      <c r="A9" s="41" t="inlineStr">
        <is>
          <t>F8</t>
        </is>
      </c>
      <c r="B9" s="13" t="inlineStr">
        <is>
          <t>Sujeet Kumar (Tenant)/Sreejith Menon (Owner)</t>
        </is>
      </c>
      <c r="C9" s="40" t="n"/>
      <c r="D9" s="86" t="n"/>
      <c r="F9" s="86" t="n"/>
      <c r="H9" s="71" t="n"/>
      <c r="K9" s="40">
        <f>SUM(C9,E9,G9,I9)</f>
        <v/>
      </c>
    </row>
    <row r="10" ht="15" customHeight="1" s="251">
      <c r="A10" s="41" t="inlineStr">
        <is>
          <t>F9</t>
        </is>
      </c>
      <c r="B10" s="13" t="inlineStr">
        <is>
          <t>Vijay Suswaram (Owner)  /   Divya Shikha (Tenant)</t>
        </is>
      </c>
      <c r="C10" s="40" t="n"/>
      <c r="D10" s="86" t="n"/>
      <c r="F10" s="86" t="n"/>
      <c r="H10" s="71" t="n"/>
      <c r="K10" s="40">
        <f>SUM(C10,E10,G10,I10)</f>
        <v/>
      </c>
    </row>
    <row r="11" ht="15" customHeight="1" s="251">
      <c r="A11" s="41" t="inlineStr">
        <is>
          <t>F10</t>
        </is>
      </c>
      <c r="B11" s="13" t="inlineStr">
        <is>
          <t>Aby Thomas</t>
        </is>
      </c>
      <c r="C11" s="46" t="n"/>
      <c r="D11" s="87" t="n"/>
      <c r="F11" s="86" t="n"/>
      <c r="H11" s="72" t="n"/>
      <c r="K11" s="46">
        <f>SUM(C11,E11,G11,I11)</f>
        <v/>
      </c>
    </row>
    <row r="12" ht="15" customHeight="1" s="251">
      <c r="A12" s="41" t="inlineStr">
        <is>
          <t>F11</t>
        </is>
      </c>
      <c r="B12" s="13" t="inlineStr">
        <is>
          <t>N. Geetha</t>
        </is>
      </c>
      <c r="C12" s="40" t="n"/>
      <c r="D12" s="86" t="n"/>
      <c r="F12" s="86" t="n"/>
      <c r="H12" s="71" t="n"/>
      <c r="K12" s="40">
        <f>SUM(C12,E12,G12,I12)</f>
        <v/>
      </c>
    </row>
    <row r="13" ht="15" customHeight="1" s="251">
      <c r="A13" s="41" t="inlineStr">
        <is>
          <t>F12</t>
        </is>
      </c>
      <c r="B13" s="13" t="inlineStr">
        <is>
          <t>Anirudh Singh</t>
        </is>
      </c>
      <c r="C13" s="40" t="n"/>
      <c r="D13" s="86" t="n"/>
      <c r="F13" s="86" t="n"/>
      <c r="H13" s="71" t="n"/>
      <c r="K13" s="40">
        <f>SUM(C13,E13,G13,I13)</f>
        <v/>
      </c>
    </row>
    <row r="14" ht="15" customHeight="1" s="251">
      <c r="A14" s="41" t="inlineStr">
        <is>
          <t>F13</t>
        </is>
      </c>
      <c r="B14" s="13" t="inlineStr">
        <is>
          <t>Ramadevi S / Sanchay Saxena</t>
        </is>
      </c>
      <c r="C14" s="42" t="n"/>
      <c r="D14" s="86" t="n"/>
      <c r="E14" s="42" t="n"/>
      <c r="F14" s="86" t="n"/>
      <c r="G14" s="42" t="n"/>
      <c r="H14" s="71" t="n"/>
      <c r="K14" s="40">
        <f>SUM(C14,E14,G14,I14)</f>
        <v/>
      </c>
    </row>
    <row r="15" ht="15" customHeight="1" s="251">
      <c r="A15" s="41" t="inlineStr">
        <is>
          <t>F14</t>
        </is>
      </c>
      <c r="B15" s="13" t="inlineStr">
        <is>
          <t>Hemant Patel</t>
        </is>
      </c>
      <c r="D15" s="86" t="n"/>
      <c r="F15" s="86" t="n"/>
      <c r="H15" s="72" t="n"/>
      <c r="K15" s="40">
        <f>SUM(C15,E15,G15,I15)</f>
        <v/>
      </c>
    </row>
    <row r="16" ht="15" customHeight="1" s="251">
      <c r="A16" s="41" t="inlineStr">
        <is>
          <t>F15</t>
        </is>
      </c>
      <c r="B16" s="13" t="inlineStr">
        <is>
          <t>Senthil.Vijayaragavan / Soumya</t>
        </is>
      </c>
      <c r="C16" s="42" t="n"/>
      <c r="D16" s="86" t="n"/>
      <c r="F16" s="86" t="n"/>
      <c r="H16" s="71" t="n"/>
      <c r="K16" s="40">
        <f>SUM(C16,E16,G16,I16)</f>
        <v/>
      </c>
    </row>
    <row r="17" ht="15" customHeight="1" s="251">
      <c r="A17" s="41" t="inlineStr">
        <is>
          <t>F16</t>
        </is>
      </c>
      <c r="B17" s="13" t="inlineStr">
        <is>
          <t>Sreeja Sudharma</t>
        </is>
      </c>
      <c r="C17" s="40" t="n"/>
      <c r="D17" s="86" t="n"/>
      <c r="F17" s="86" t="n"/>
      <c r="H17" s="72" t="n"/>
      <c r="K17" s="40">
        <f>SUM(C17,E17,G17,I17)</f>
        <v/>
      </c>
    </row>
    <row r="18" ht="15" customHeight="1" s="251">
      <c r="A18" s="41" t="inlineStr">
        <is>
          <t>G1</t>
        </is>
      </c>
      <c r="B18" s="13" t="inlineStr">
        <is>
          <t>Venkataramanan C</t>
        </is>
      </c>
      <c r="C18" s="46" t="n"/>
      <c r="D18" s="87" t="n"/>
      <c r="E18" s="46" t="n"/>
      <c r="F18" s="86" t="n"/>
      <c r="H18" s="72" t="n"/>
      <c r="K18" s="46">
        <f>SUM(C18,E18,G18,I18)</f>
        <v/>
      </c>
    </row>
    <row r="19" ht="15" customHeight="1" s="251">
      <c r="A19" s="41" t="inlineStr">
        <is>
          <t>G2</t>
        </is>
      </c>
      <c r="B19" s="13" t="inlineStr">
        <is>
          <t>Kaushik Kasibhatla</t>
        </is>
      </c>
      <c r="C19" s="40" t="n"/>
      <c r="D19" s="86" t="n"/>
      <c r="F19" s="86" t="n"/>
      <c r="H19" s="71" t="n"/>
      <c r="K19" s="40">
        <f>SUM(C19,E19,G19,I19)</f>
        <v/>
      </c>
    </row>
    <row r="20" ht="15" customHeight="1" s="251">
      <c r="A20" s="41" t="inlineStr">
        <is>
          <t>G3</t>
        </is>
      </c>
      <c r="B20" s="13" t="inlineStr">
        <is>
          <t>Balakrishnan</t>
        </is>
      </c>
      <c r="C20" s="40" t="n"/>
      <c r="D20" s="86" t="n"/>
      <c r="F20" s="86" t="n"/>
      <c r="H20" s="71" t="n"/>
      <c r="K20" s="40">
        <f>SUM(C20,E20,G20,I20)</f>
        <v/>
      </c>
    </row>
    <row r="21" ht="15" customHeight="1" s="251">
      <c r="A21" s="41" t="inlineStr">
        <is>
          <t>G4</t>
        </is>
      </c>
      <c r="B21" s="13" t="inlineStr">
        <is>
          <t>Ashwin Pandith</t>
        </is>
      </c>
      <c r="C21" s="40" t="n"/>
      <c r="D21" s="86" t="n"/>
      <c r="F21" s="86" t="n"/>
      <c r="H21" s="71" t="n"/>
      <c r="K21" s="40">
        <f>SUM(C21,E21,G21,I21)</f>
        <v/>
      </c>
    </row>
    <row r="22" ht="16" customHeight="1" s="251">
      <c r="A22" s="41" t="inlineStr">
        <is>
          <t>G5</t>
        </is>
      </c>
      <c r="B22" s="13" t="inlineStr">
        <is>
          <t>Mayank Phophaliya</t>
        </is>
      </c>
      <c r="D22" s="86" t="n"/>
      <c r="F22" s="86" t="n"/>
      <c r="H22" s="72" t="n"/>
      <c r="K22" s="40">
        <f>SUM(C22,E22,G22,I22)</f>
        <v/>
      </c>
    </row>
    <row r="23" ht="16" customHeight="1" s="251">
      <c r="A23" s="41" t="inlineStr">
        <is>
          <t>G6</t>
        </is>
      </c>
      <c r="B23" s="13" t="inlineStr">
        <is>
          <t>Mohit Daga</t>
        </is>
      </c>
      <c r="C23" s="40" t="n"/>
      <c r="D23" s="86" t="n"/>
      <c r="F23" s="86" t="n"/>
      <c r="H23" s="72" t="n"/>
      <c r="K23" s="40">
        <f>SUM(C23,E23,G23,I23)</f>
        <v/>
      </c>
    </row>
    <row r="24" ht="16" customHeight="1" s="251">
      <c r="A24" s="41" t="inlineStr">
        <is>
          <t>G7</t>
        </is>
      </c>
      <c r="B24" s="13" t="inlineStr">
        <is>
          <t>Prince Richfield</t>
        </is>
      </c>
      <c r="D24" s="86" t="n"/>
      <c r="F24" s="86" t="n"/>
      <c r="H24" s="71" t="n"/>
      <c r="K24" s="40">
        <f>SUM(C24,E24,G24,I24)</f>
        <v/>
      </c>
    </row>
    <row r="25" ht="16" customHeight="1" s="251">
      <c r="A25" s="41" t="inlineStr">
        <is>
          <t>G8</t>
        </is>
      </c>
      <c r="B25" s="13" t="inlineStr">
        <is>
          <t>Ranjithkumar R / Sameer (tenant) / Princy (tenant)</t>
        </is>
      </c>
      <c r="C25" s="40" t="n"/>
      <c r="D25" s="86" t="n"/>
      <c r="F25" s="86" t="n"/>
      <c r="H25" s="72" t="n"/>
      <c r="K25" s="40">
        <f>SUM(C25,E25,G25,I25)</f>
        <v/>
      </c>
    </row>
    <row r="26" ht="16" customHeight="1" s="251">
      <c r="A26" s="41" t="inlineStr">
        <is>
          <t>G9</t>
        </is>
      </c>
      <c r="B26" s="13" t="inlineStr">
        <is>
          <t>Ankur Agarwal</t>
        </is>
      </c>
      <c r="C26" s="40" t="n"/>
      <c r="D26" s="86" t="n"/>
      <c r="E26" s="40" t="n"/>
      <c r="F26" s="86" t="n"/>
      <c r="H26" s="71" t="n"/>
      <c r="K26" s="40">
        <f>SUM(C26,E26,G26,I26)</f>
        <v/>
      </c>
    </row>
    <row r="27" ht="16" customHeight="1" s="251">
      <c r="A27" s="41" t="inlineStr">
        <is>
          <t>G10</t>
        </is>
      </c>
      <c r="B27" s="13" t="inlineStr">
        <is>
          <t>Richa Singh</t>
        </is>
      </c>
      <c r="C27" s="40" t="n"/>
      <c r="D27" s="86" t="n"/>
      <c r="F27" s="86" t="n"/>
      <c r="H27" s="72" t="n"/>
      <c r="K27" s="40">
        <f>SUM(C27,E27,G27,I27)</f>
        <v/>
      </c>
    </row>
    <row r="28" ht="16" customHeight="1" s="251">
      <c r="A28" s="41" t="inlineStr">
        <is>
          <t>G11</t>
        </is>
      </c>
      <c r="B28" s="13" t="inlineStr">
        <is>
          <t>Ketan Verlekar</t>
        </is>
      </c>
      <c r="D28" s="86" t="n"/>
      <c r="F28" s="86" t="n"/>
      <c r="H28" s="71" t="n"/>
      <c r="K28" s="40">
        <f>SUM(C28,E28,G28,I28)</f>
        <v/>
      </c>
    </row>
    <row r="29" ht="16" customHeight="1" s="251">
      <c r="A29" s="41" t="inlineStr">
        <is>
          <t>G12</t>
        </is>
      </c>
      <c r="B29" s="13" t="inlineStr">
        <is>
          <t>Shyam Nair</t>
        </is>
      </c>
      <c r="C29" s="73" t="n"/>
      <c r="D29" s="86" t="n"/>
      <c r="F29" s="86" t="n"/>
      <c r="H29" s="71" t="n"/>
      <c r="K29" s="46">
        <f>SUM(C29,E29,G29,I29)</f>
        <v/>
      </c>
    </row>
    <row r="30" ht="16" customHeight="1" s="251">
      <c r="A30" s="41" t="inlineStr">
        <is>
          <t>G13</t>
        </is>
      </c>
      <c r="B30" s="13" t="inlineStr">
        <is>
          <t>Ajai.B</t>
        </is>
      </c>
      <c r="D30" s="86" t="n"/>
      <c r="F30" s="86" t="n"/>
      <c r="H30" s="72" t="n"/>
      <c r="K30" s="40">
        <f>SUM(C30,E30,G30,I30)</f>
        <v/>
      </c>
    </row>
    <row r="31" ht="16" customHeight="1" s="251">
      <c r="A31" s="41" t="inlineStr">
        <is>
          <t>G14</t>
        </is>
      </c>
      <c r="B31" s="13" t="inlineStr">
        <is>
          <t>Surajit Borah</t>
        </is>
      </c>
      <c r="C31" s="40" t="n"/>
      <c r="D31" s="86" t="n"/>
      <c r="F31" s="86" t="n"/>
      <c r="H31" s="71" t="n"/>
      <c r="K31" s="40">
        <f>SUM(C31,E31,G31,I31)</f>
        <v/>
      </c>
    </row>
    <row r="32" ht="16" customHeight="1" s="251">
      <c r="A32" s="41" t="inlineStr">
        <is>
          <t>G15</t>
        </is>
      </c>
      <c r="B32" s="13" t="inlineStr">
        <is>
          <t>Suresh Nallusamy / Antriksh (tenant)</t>
        </is>
      </c>
      <c r="D32" s="86" t="n"/>
      <c r="F32" s="86" t="n"/>
      <c r="H32" s="71" t="n"/>
      <c r="K32" s="40">
        <f>SUM(C32,E32,G32,I32)</f>
        <v/>
      </c>
    </row>
    <row r="33" ht="16" customHeight="1" s="251">
      <c r="A33" s="41" t="inlineStr">
        <is>
          <t>G16</t>
        </is>
      </c>
      <c r="B33" s="13" t="inlineStr">
        <is>
          <t>Praveen Ganesan</t>
        </is>
      </c>
      <c r="C33" s="40" t="n"/>
      <c r="D33" s="86" t="n"/>
      <c r="F33" s="86" t="n"/>
      <c r="H33" s="71" t="n"/>
      <c r="K33" s="40">
        <f>SUM(C33,E33,G33,I33)</f>
        <v/>
      </c>
    </row>
    <row r="34" ht="16" customHeight="1" s="251">
      <c r="A34" s="41" t="inlineStr">
        <is>
          <t>S1</t>
        </is>
      </c>
      <c r="B34" s="13" t="inlineStr">
        <is>
          <t>S.N.Behera</t>
        </is>
      </c>
      <c r="C34" s="40" t="n"/>
      <c r="D34" s="86" t="n"/>
      <c r="F34" s="86" t="n"/>
      <c r="H34" s="71" t="n"/>
      <c r="K34" s="40">
        <f>SUM(C34,E34,G34,I34)</f>
        <v/>
      </c>
    </row>
    <row r="35" ht="16" customHeight="1" s="251">
      <c r="A35" s="41" t="inlineStr">
        <is>
          <t>S2</t>
        </is>
      </c>
      <c r="B35" s="13" t="inlineStr">
        <is>
          <t>Sonal Singh / Javed</t>
        </is>
      </c>
      <c r="C35" s="46" t="n"/>
      <c r="D35" s="87" t="n"/>
      <c r="F35" s="86" t="n"/>
      <c r="H35" s="72" t="n"/>
      <c r="K35" s="46">
        <f>SUM(C35,E35,G35,I35)</f>
        <v/>
      </c>
    </row>
    <row r="36" ht="16" customHeight="1" s="251">
      <c r="A36" s="41" t="inlineStr">
        <is>
          <t>S3</t>
        </is>
      </c>
      <c r="B36" s="13" t="inlineStr">
        <is>
          <t>Koteswararao</t>
        </is>
      </c>
      <c r="D36" s="86" t="n"/>
      <c r="F36" s="86" t="n"/>
      <c r="H36" s="72" t="n"/>
      <c r="K36" s="40">
        <f>SUM(C36,E36,G36,I36)</f>
        <v/>
      </c>
    </row>
    <row r="37" ht="16" customHeight="1" s="251">
      <c r="A37" s="41" t="inlineStr">
        <is>
          <t>S4</t>
        </is>
      </c>
      <c r="B37" s="13" t="inlineStr">
        <is>
          <t>Swaminathan / Ankit Chandra (tenant)</t>
        </is>
      </c>
      <c r="C37" s="40" t="n"/>
      <c r="D37" s="86" t="n"/>
      <c r="F37" s="86" t="n"/>
      <c r="H37" s="71" t="n"/>
      <c r="K37" s="40">
        <f>SUM(C37,E37,G37,I37)</f>
        <v/>
      </c>
    </row>
    <row r="38" ht="16" customHeight="1" s="251">
      <c r="A38" s="41" t="inlineStr">
        <is>
          <t>S5</t>
        </is>
      </c>
      <c r="B38" s="13" t="inlineStr">
        <is>
          <t>Abhishek Gopalakrishnan</t>
        </is>
      </c>
      <c r="C38" s="40" t="n"/>
      <c r="D38" s="86" t="n"/>
      <c r="F38" s="86" t="n"/>
      <c r="H38" s="71" t="n"/>
      <c r="K38" s="40">
        <f>SUM(C38,E38,G38,I38)</f>
        <v/>
      </c>
    </row>
    <row r="39" ht="16" customHeight="1" s="251">
      <c r="A39" s="41" t="inlineStr">
        <is>
          <t>S6</t>
        </is>
      </c>
      <c r="B39" s="30" t="inlineStr">
        <is>
          <t>Vivek Dhingra / Pratyush Das</t>
        </is>
      </c>
      <c r="D39" s="86" t="n"/>
      <c r="F39" s="86" t="n"/>
      <c r="H39" s="71" t="n"/>
      <c r="K39" s="40">
        <f>SUM(C39,E39,G39,I39)</f>
        <v/>
      </c>
    </row>
    <row r="40" ht="16" customHeight="1" s="251">
      <c r="A40" s="41" t="inlineStr">
        <is>
          <t>S7</t>
        </is>
      </c>
      <c r="B40" s="13" t="inlineStr">
        <is>
          <t>Harish B</t>
        </is>
      </c>
      <c r="C40" s="40" t="n"/>
      <c r="D40" s="86" t="n"/>
      <c r="F40" s="86" t="n"/>
      <c r="H40" s="71" t="n"/>
      <c r="K40" s="40">
        <f>SUM(C40,E40,G40,I40)</f>
        <v/>
      </c>
    </row>
    <row r="41" ht="16" customHeight="1" s="251">
      <c r="A41" s="41" t="inlineStr">
        <is>
          <t>S8</t>
        </is>
      </c>
      <c r="B41" s="13" t="inlineStr">
        <is>
          <t>Irudayaraj Alwin</t>
        </is>
      </c>
      <c r="C41" s="40" t="n"/>
      <c r="D41" s="86" t="n"/>
      <c r="E41" s="40" t="n"/>
      <c r="F41" s="86" t="n"/>
      <c r="H41" s="71" t="n"/>
      <c r="K41" s="40">
        <f>SUM(C41,E41,G41,I41)</f>
        <v/>
      </c>
    </row>
    <row r="42" ht="16" customHeight="1" s="251">
      <c r="A42" s="41" t="inlineStr">
        <is>
          <t>S9</t>
        </is>
      </c>
      <c r="B42" s="13" t="inlineStr">
        <is>
          <t>Pawan GS</t>
        </is>
      </c>
      <c r="C42" s="40" t="n"/>
      <c r="D42" s="45" t="n"/>
      <c r="F42" s="86" t="n"/>
      <c r="H42" s="71" t="n"/>
      <c r="K42" s="40">
        <f>SUM(C42,E42,G42,I42)</f>
        <v/>
      </c>
    </row>
    <row r="43" ht="16" customHeight="1" s="251">
      <c r="A43" s="41" t="inlineStr">
        <is>
          <t>S10</t>
        </is>
      </c>
      <c r="B43" s="13" t="inlineStr">
        <is>
          <t>Lakshmikanth</t>
        </is>
      </c>
      <c r="D43" s="86" t="n"/>
      <c r="F43" s="86" t="n"/>
      <c r="H43" s="71" t="n"/>
      <c r="K43" s="40">
        <f>SUM(C43,E43,G43,I43)</f>
        <v/>
      </c>
    </row>
    <row r="44" ht="16" customHeight="1" s="251">
      <c r="A44" s="41" t="inlineStr">
        <is>
          <t>S11</t>
        </is>
      </c>
      <c r="B44" s="13" t="inlineStr">
        <is>
          <t>Gowrish Patnaik / Somananth GM</t>
        </is>
      </c>
      <c r="C44" s="40" t="n"/>
      <c r="D44" s="86" t="n"/>
      <c r="F44" s="86" t="n"/>
      <c r="H44" s="71" t="n"/>
      <c r="K44" s="40">
        <f>SUM(C44,E44,G44,I44)</f>
        <v/>
      </c>
    </row>
    <row r="45" ht="16" customHeight="1" s="251">
      <c r="A45" s="41" t="inlineStr">
        <is>
          <t>S12</t>
        </is>
      </c>
      <c r="B45" s="13" t="inlineStr">
        <is>
          <t>Saovik Mondal</t>
        </is>
      </c>
      <c r="D45" s="86" t="n"/>
      <c r="F45" s="86" t="n"/>
      <c r="H45" s="71" t="n"/>
      <c r="K45" s="40">
        <f>SUM(C45,E45,G45,I45)</f>
        <v/>
      </c>
    </row>
    <row r="46" ht="16" customHeight="1" s="251">
      <c r="A46" s="41" t="inlineStr">
        <is>
          <t>S13</t>
        </is>
      </c>
      <c r="B46" s="13" t="inlineStr">
        <is>
          <t>Ramadevi S.</t>
        </is>
      </c>
      <c r="C46" s="42" t="n"/>
      <c r="D46" s="86" t="n"/>
      <c r="E46" s="42" t="n"/>
      <c r="F46" s="86" t="n"/>
      <c r="G46" s="42" t="n"/>
      <c r="H46" s="71" t="n"/>
      <c r="K46" s="40">
        <f>SUM(C46,E46,G46,I46)</f>
        <v/>
      </c>
    </row>
    <row r="47" ht="16" customHeight="1" s="251">
      <c r="A47" s="41" t="inlineStr">
        <is>
          <t>S14</t>
        </is>
      </c>
      <c r="B47" s="13" t="inlineStr">
        <is>
          <t>Nishant Upadhyay(Owner)/ Fabian (Tenant)</t>
        </is>
      </c>
      <c r="D47" s="86" t="n"/>
      <c r="F47" s="86" t="n"/>
      <c r="H47" s="72" t="n"/>
      <c r="K47" s="40">
        <f>SUM(C47,E47,G47,I47)</f>
        <v/>
      </c>
    </row>
    <row r="48" ht="16" customHeight="1" s="251">
      <c r="A48" s="41" t="inlineStr">
        <is>
          <t>S15</t>
        </is>
      </c>
      <c r="B48" s="13" t="inlineStr">
        <is>
          <t>Manas Dasgupta</t>
        </is>
      </c>
      <c r="C48" s="73" t="n"/>
      <c r="D48" s="86" t="n"/>
      <c r="F48" s="86" t="n"/>
      <c r="H48" s="71" t="n"/>
      <c r="K48" s="46">
        <f>SUM(C48,E48,G48,I48)</f>
        <v/>
      </c>
    </row>
    <row r="49" ht="16" customHeight="1" s="251">
      <c r="A49" s="41" t="inlineStr">
        <is>
          <t>S16</t>
        </is>
      </c>
      <c r="B49" s="13" t="inlineStr">
        <is>
          <t>Devendra Singh Rawat / Nancy</t>
        </is>
      </c>
      <c r="C49" s="40" t="n"/>
      <c r="D49" s="86" t="n"/>
      <c r="F49" s="86" t="n"/>
      <c r="H49" s="72" t="n"/>
      <c r="K49" s="40">
        <f>SUM(C49,E49,G49,I49)</f>
        <v/>
      </c>
    </row>
    <row r="50" ht="16" customHeight="1" s="251">
      <c r="A50" s="41" t="inlineStr">
        <is>
          <t>T1</t>
        </is>
      </c>
      <c r="B50" s="13" t="inlineStr">
        <is>
          <t>Prashant Sikdar</t>
        </is>
      </c>
      <c r="C50" s="40" t="n"/>
      <c r="D50" s="86" t="n"/>
      <c r="F50" s="86" t="n"/>
      <c r="H50" s="71" t="n"/>
      <c r="K50" s="40">
        <f>SUM(C50,E50,G50,I50)</f>
        <v/>
      </c>
    </row>
    <row r="51" ht="16" customHeight="1" s="251">
      <c r="A51" s="41" t="inlineStr">
        <is>
          <t>T2</t>
        </is>
      </c>
      <c r="B51" s="13" t="inlineStr">
        <is>
          <t>Kunal Mehta</t>
        </is>
      </c>
      <c r="D51" s="86" t="n"/>
      <c r="F51" s="86" t="n"/>
      <c r="H51" s="72" t="n"/>
      <c r="K51" s="40">
        <f>SUM(C51,E51,G51,I51)</f>
        <v/>
      </c>
    </row>
    <row r="52" ht="16" customHeight="1" s="251">
      <c r="A52" s="41" t="inlineStr">
        <is>
          <t>T3</t>
        </is>
      </c>
      <c r="B52" s="13" t="inlineStr">
        <is>
          <t>Kapil Garg</t>
        </is>
      </c>
      <c r="C52" s="40" t="n"/>
      <c r="D52" s="86" t="n"/>
      <c r="F52" s="86" t="n"/>
      <c r="H52" s="71" t="n"/>
      <c r="K52" s="40">
        <f>SUM(C52,E52,G52,I52)</f>
        <v/>
      </c>
    </row>
    <row r="53" ht="16" customHeight="1" s="251">
      <c r="A53" s="41" t="inlineStr">
        <is>
          <t>T4</t>
        </is>
      </c>
      <c r="B53" s="13" t="inlineStr">
        <is>
          <t>Vijet Alva (Owner)    -    Masood (Tenant)</t>
        </is>
      </c>
      <c r="D53" s="86" t="n"/>
      <c r="F53" s="86" t="n"/>
      <c r="H53" s="71" t="n"/>
      <c r="K53" s="40">
        <f>SUM(C53,E53,G53,I53)</f>
        <v/>
      </c>
    </row>
    <row r="54" ht="16" customHeight="1" s="251">
      <c r="A54" s="41" t="inlineStr">
        <is>
          <t>T5</t>
        </is>
      </c>
      <c r="B54" s="13" t="inlineStr">
        <is>
          <t>Ganesh Iyer and Latha Iyer( owner) Richa (Tenant)</t>
        </is>
      </c>
      <c r="C54" s="40" t="n"/>
      <c r="D54" s="86" t="n"/>
      <c r="F54" s="86" t="n"/>
      <c r="H54" s="71" t="n"/>
      <c r="K54" s="40">
        <f>SUM(C54,E54,G54,I54)</f>
        <v/>
      </c>
    </row>
    <row r="55" ht="16" customHeight="1" s="251">
      <c r="A55" s="41" t="inlineStr">
        <is>
          <t>T6</t>
        </is>
      </c>
      <c r="B55" s="13" t="inlineStr">
        <is>
          <t>Mythili Ramesh</t>
        </is>
      </c>
      <c r="D55" s="86" t="n"/>
      <c r="F55" s="86" t="n"/>
      <c r="H55" s="72" t="n"/>
      <c r="K55" s="40">
        <f>SUM(C55,E55,G55,I55)</f>
        <v/>
      </c>
    </row>
    <row r="56" ht="16" customHeight="1" s="251">
      <c r="A56" s="41" t="inlineStr">
        <is>
          <t>T7</t>
        </is>
      </c>
      <c r="B56" s="13" t="inlineStr">
        <is>
          <t>Vinyas Ramachandra / Shwetha Marnamikatta / Katari Siva Rama Raju</t>
        </is>
      </c>
      <c r="C56" s="40" t="n"/>
      <c r="D56" s="86" t="n"/>
      <c r="F56" s="86" t="n"/>
      <c r="H56" s="71" t="n"/>
      <c r="K56" s="40">
        <f>SUM(C56,E56,G56,I56)</f>
        <v/>
      </c>
    </row>
    <row r="57" ht="16" customHeight="1" s="251">
      <c r="A57" s="41" t="inlineStr">
        <is>
          <t>T8</t>
        </is>
      </c>
      <c r="B57" s="13" t="inlineStr">
        <is>
          <t>Lalit Kumar Sharma</t>
        </is>
      </c>
      <c r="C57" s="40" t="n"/>
      <c r="D57" s="86" t="n"/>
      <c r="E57" s="40" t="n"/>
      <c r="F57" s="86" t="n"/>
      <c r="H57" s="72" t="n"/>
      <c r="K57" s="40">
        <f>SUM(C57,E57,G57,I57)</f>
        <v/>
      </c>
    </row>
    <row r="58" ht="16" customHeight="1" s="251">
      <c r="A58" s="41" t="inlineStr">
        <is>
          <t>T9</t>
        </is>
      </c>
      <c r="B58" s="13" t="inlineStr">
        <is>
          <t>Nishith Sahu and Priyanka Rani (Owner)/ Anmol Verma (Tenant)</t>
        </is>
      </c>
      <c r="C58" s="40" t="n"/>
      <c r="D58" s="86" t="n"/>
      <c r="F58" s="86" t="n"/>
      <c r="H58" s="72" t="n"/>
      <c r="K58" s="40">
        <f>SUM(C58,E58,G58,I58)</f>
        <v/>
      </c>
    </row>
    <row r="59" ht="16" customHeight="1" s="251">
      <c r="A59" s="41" t="inlineStr">
        <is>
          <t>T10</t>
        </is>
      </c>
      <c r="B59" s="13" t="inlineStr">
        <is>
          <t>Vamsidhar Bethanabatla / Madhuri Anumula</t>
        </is>
      </c>
      <c r="C59" s="40" t="n"/>
      <c r="D59" s="45" t="n"/>
      <c r="E59" s="40" t="n"/>
      <c r="F59" s="86" t="n"/>
      <c r="H59" s="71" t="n"/>
      <c r="K59" s="40">
        <f>SUM(C59,E59,G59,I59)</f>
        <v/>
      </c>
    </row>
    <row r="60" ht="16" customHeight="1" s="251">
      <c r="A60" s="41" t="inlineStr">
        <is>
          <t>T11</t>
        </is>
      </c>
      <c r="B60" s="13" t="inlineStr">
        <is>
          <t>Chaitanya Suthapalli / Vaishnavi Suthapalli / Ajay Chouhan</t>
        </is>
      </c>
      <c r="C60" s="40" t="n"/>
      <c r="D60" s="86" t="n"/>
      <c r="F60" s="86" t="n"/>
      <c r="H60" s="71" t="n"/>
      <c r="K60" s="40">
        <f>SUM(C60,E60,G60,I60)</f>
        <v/>
      </c>
    </row>
    <row r="61" ht="16" customHeight="1" s="251">
      <c r="A61" s="41" t="inlineStr">
        <is>
          <t>T12</t>
        </is>
      </c>
      <c r="B61" s="13" t="inlineStr">
        <is>
          <t>Prasenjit</t>
        </is>
      </c>
      <c r="C61" s="40" t="n"/>
      <c r="D61" s="86" t="n"/>
      <c r="F61" s="86" t="n"/>
      <c r="H61" s="71" t="n"/>
      <c r="K61" s="40">
        <f>SUM(C61,E61,G61,I61)</f>
        <v/>
      </c>
    </row>
    <row r="62" ht="16" customHeight="1" s="251">
      <c r="A62" s="41" t="inlineStr">
        <is>
          <t>T13</t>
        </is>
      </c>
      <c r="B62" s="13" t="inlineStr">
        <is>
          <t>Rahul Kumar</t>
        </is>
      </c>
      <c r="D62" s="47" t="n"/>
      <c r="F62" s="86" t="n"/>
      <c r="H62" s="71" t="n"/>
      <c r="K62" s="40">
        <f>SUM(C62,E62,G62,I62)</f>
        <v/>
      </c>
    </row>
    <row r="63" ht="16" customHeight="1" s="251">
      <c r="A63" s="41" t="inlineStr">
        <is>
          <t>T14</t>
        </is>
      </c>
      <c r="B63" s="13" t="inlineStr">
        <is>
          <t>Jeya / Kanda / Satya (tenant)/Vinuta (tenant)</t>
        </is>
      </c>
      <c r="C63" s="40" t="n"/>
      <c r="D63" s="47" t="n"/>
      <c r="F63" s="86" t="n"/>
      <c r="H63" s="72" t="n"/>
      <c r="K63" s="40">
        <f>SUM(C63,E63,G63,I63)</f>
        <v/>
      </c>
    </row>
    <row r="64" ht="16" customHeight="1" s="251">
      <c r="A64" s="41" t="inlineStr">
        <is>
          <t>T15</t>
        </is>
      </c>
      <c r="B64" s="13" t="inlineStr">
        <is>
          <t>Trevor</t>
        </is>
      </c>
      <c r="C64" s="40" t="n"/>
      <c r="D64" s="86" t="n"/>
      <c r="F64" s="86" t="n"/>
      <c r="H64" s="71" t="n"/>
      <c r="K64" s="40">
        <f>SUM(C64,E64,G64,I64)</f>
        <v/>
      </c>
    </row>
    <row r="65" ht="16" customHeight="1" s="251">
      <c r="A65" s="41" t="inlineStr">
        <is>
          <t>T16</t>
        </is>
      </c>
      <c r="B65" s="13" t="inlineStr">
        <is>
          <t>Madhusoodanan P.R.</t>
        </is>
      </c>
      <c r="C65" s="40" t="n"/>
      <c r="D65" s="86" t="n"/>
      <c r="F65" s="86" t="n"/>
      <c r="H65" s="71" t="n"/>
      <c r="K65" s="40">
        <f>SUM(C65,E65,G65,I65)</f>
        <v/>
      </c>
    </row>
    <row r="66">
      <c r="A66" s="50" t="inlineStr">
        <is>
          <t>TOTAL</t>
        </is>
      </c>
      <c r="B66" s="51" t="n"/>
      <c r="C66" s="51" t="n"/>
      <c r="D66" s="88" t="n"/>
      <c r="E66" s="51" t="n"/>
      <c r="F66" s="51" t="n"/>
      <c r="G66" s="51" t="n"/>
      <c r="H66" s="76" t="n"/>
      <c r="I66" s="51" t="n"/>
      <c r="J66" s="51" t="n"/>
      <c r="K66" s="51">
        <f>SUM(K2:K65)</f>
        <v/>
      </c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>
      <c r="D67" s="87" t="n"/>
      <c r="F67" s="86" t="n"/>
      <c r="H67" s="72" t="n"/>
    </row>
    <row r="68">
      <c r="D68" s="87" t="n"/>
      <c r="F68" s="86" t="n"/>
      <c r="H68" s="72" t="n"/>
    </row>
    <row r="69">
      <c r="D69" s="87" t="n"/>
      <c r="F69" s="86" t="n"/>
      <c r="H69" s="72" t="n"/>
    </row>
    <row r="70">
      <c r="A70" s="36" t="n"/>
      <c r="D70" s="87" t="n"/>
      <c r="F70" s="86" t="n"/>
      <c r="H70" s="72" t="n"/>
    </row>
    <row r="71">
      <c r="A71" s="36" t="n"/>
      <c r="D71" s="87" t="n"/>
      <c r="F71" s="86" t="n"/>
      <c r="H71" s="72" t="n"/>
    </row>
    <row r="72">
      <c r="A72" s="41" t="n"/>
      <c r="D72" s="87" t="n"/>
      <c r="F72" s="86" t="n"/>
      <c r="H72" s="72" t="n"/>
    </row>
    <row r="73">
      <c r="A73" s="41" t="n"/>
      <c r="D73" s="87" t="n"/>
      <c r="F73" s="86" t="n"/>
      <c r="H73" s="72" t="n"/>
    </row>
    <row r="74">
      <c r="A74" s="41" t="n"/>
      <c r="D74" s="87" t="n"/>
      <c r="F74" s="86" t="n"/>
      <c r="H74" s="72" t="n"/>
    </row>
    <row r="75">
      <c r="A75" s="41" t="n"/>
      <c r="D75" s="87" t="n"/>
      <c r="F75" s="86" t="n"/>
      <c r="H75" s="72" t="n"/>
    </row>
    <row r="76">
      <c r="A76" s="41" t="n"/>
      <c r="D76" s="87" t="n"/>
      <c r="F76" s="86" t="n"/>
      <c r="H76" s="72" t="n"/>
    </row>
    <row r="77">
      <c r="A77" s="41" t="n"/>
      <c r="D77" s="87" t="n"/>
      <c r="F77" s="86" t="n"/>
      <c r="H77" s="72" t="n"/>
    </row>
    <row r="78">
      <c r="A78" s="41" t="n"/>
      <c r="D78" s="87" t="n"/>
      <c r="F78" s="86" t="n"/>
      <c r="H78" s="72" t="n"/>
    </row>
    <row r="79">
      <c r="A79" s="41" t="n"/>
      <c r="D79" s="87" t="n"/>
      <c r="F79" s="86" t="n"/>
      <c r="H79" s="72" t="n"/>
    </row>
    <row r="80">
      <c r="A80" s="41" t="n"/>
      <c r="D80" s="87" t="n"/>
      <c r="F80" s="86" t="n"/>
      <c r="H80" s="72" t="n"/>
    </row>
    <row r="81">
      <c r="A81" s="41" t="n"/>
      <c r="D81" s="87" t="n"/>
      <c r="F81" s="86" t="n"/>
      <c r="H81" s="72" t="n"/>
    </row>
    <row r="82">
      <c r="A82" s="41" t="n"/>
      <c r="D82" s="87" t="n"/>
      <c r="F82" s="86" t="n"/>
      <c r="H82" s="72" t="n"/>
    </row>
    <row r="83">
      <c r="A83" s="41" t="n"/>
      <c r="D83" s="87" t="n"/>
      <c r="F83" s="86" t="n"/>
      <c r="H83" s="72" t="n"/>
    </row>
    <row r="84">
      <c r="A84" s="41" t="n"/>
      <c r="D84" s="87" t="n"/>
      <c r="F84" s="86" t="n"/>
      <c r="H84" s="72" t="n"/>
    </row>
    <row r="85">
      <c r="A85" s="41" t="n"/>
      <c r="D85" s="87" t="n"/>
      <c r="F85" s="86" t="n"/>
      <c r="H85" s="72" t="n"/>
    </row>
    <row r="86">
      <c r="A86" s="41" t="n"/>
      <c r="D86" s="87" t="n"/>
      <c r="F86" s="86" t="n"/>
      <c r="H86" s="72" t="n"/>
    </row>
    <row r="87">
      <c r="A87" s="41" t="n"/>
      <c r="D87" s="87" t="n"/>
      <c r="F87" s="86" t="n"/>
      <c r="H87" s="72" t="n"/>
    </row>
    <row r="88">
      <c r="A88" s="41" t="n"/>
      <c r="D88" s="87" t="n"/>
      <c r="F88" s="86" t="n"/>
      <c r="H88" s="72" t="n"/>
    </row>
    <row r="89">
      <c r="A89" s="41" t="n"/>
      <c r="D89" s="87" t="n"/>
      <c r="F89" s="86" t="n"/>
      <c r="H89" s="72" t="n"/>
    </row>
    <row r="90">
      <c r="A90" s="41" t="n"/>
      <c r="D90" s="87" t="n"/>
      <c r="F90" s="86" t="n"/>
      <c r="H90" s="72" t="n"/>
    </row>
    <row r="91">
      <c r="A91" s="41" t="n"/>
      <c r="D91" s="87" t="n"/>
      <c r="F91" s="86" t="n"/>
      <c r="H91" s="72" t="n"/>
    </row>
    <row r="92">
      <c r="A92" s="41" t="n"/>
      <c r="D92" s="87" t="n"/>
      <c r="F92" s="86" t="n"/>
      <c r="H92" s="72" t="n"/>
    </row>
    <row r="93">
      <c r="A93" s="41" t="n"/>
      <c r="D93" s="87" t="n"/>
      <c r="F93" s="86" t="n"/>
      <c r="H93" s="72" t="n"/>
    </row>
    <row r="94">
      <c r="A94" s="41" t="n"/>
      <c r="D94" s="87" t="n"/>
      <c r="F94" s="86" t="n"/>
      <c r="H94" s="72" t="n"/>
    </row>
    <row r="95">
      <c r="A95" s="41" t="n"/>
      <c r="D95" s="87" t="n"/>
      <c r="F95" s="86" t="n"/>
      <c r="H95" s="72" t="n"/>
    </row>
    <row r="96">
      <c r="A96" s="41" t="n"/>
      <c r="D96" s="87" t="n"/>
      <c r="F96" s="86" t="n"/>
      <c r="H96" s="72" t="n"/>
    </row>
    <row r="97">
      <c r="A97" s="41" t="n"/>
      <c r="D97" s="87" t="n"/>
      <c r="F97" s="86" t="n"/>
      <c r="H97" s="72" t="n"/>
    </row>
    <row r="98">
      <c r="A98" s="41" t="n"/>
      <c r="D98" s="87" t="n"/>
      <c r="F98" s="86" t="n"/>
      <c r="H98" s="72" t="n"/>
    </row>
    <row r="99">
      <c r="A99" s="41" t="n"/>
      <c r="D99" s="87" t="n"/>
      <c r="F99" s="86" t="n"/>
      <c r="H99" s="72" t="n"/>
    </row>
    <row r="100">
      <c r="A100" s="41" t="n"/>
      <c r="D100" s="87" t="n"/>
      <c r="F100" s="86" t="n"/>
      <c r="H100" s="72" t="n"/>
    </row>
    <row r="101">
      <c r="A101" s="41" t="n"/>
      <c r="D101" s="87" t="n"/>
      <c r="F101" s="86" t="n"/>
      <c r="H101" s="72" t="n"/>
    </row>
    <row r="102">
      <c r="A102" s="41" t="n"/>
      <c r="D102" s="87" t="n"/>
      <c r="F102" s="86" t="n"/>
      <c r="H102" s="72" t="n"/>
    </row>
    <row r="103">
      <c r="A103" s="41" t="n"/>
      <c r="D103" s="87" t="n"/>
      <c r="F103" s="86" t="n"/>
      <c r="H103" s="72" t="n"/>
    </row>
    <row r="104">
      <c r="A104" s="41" t="n"/>
      <c r="D104" s="87" t="n"/>
      <c r="F104" s="86" t="n"/>
      <c r="H104" s="72" t="n"/>
    </row>
    <row r="105">
      <c r="A105" s="41" t="n"/>
      <c r="D105" s="87" t="n"/>
      <c r="F105" s="86" t="n"/>
      <c r="H105" s="72" t="n"/>
    </row>
    <row r="106">
      <c r="A106" s="41" t="n"/>
      <c r="D106" s="87" t="n"/>
      <c r="F106" s="86" t="n"/>
      <c r="H106" s="72" t="n"/>
    </row>
    <row r="107">
      <c r="A107" s="41" t="n"/>
      <c r="D107" s="87" t="n"/>
      <c r="F107" s="86" t="n"/>
      <c r="H107" s="72" t="n"/>
    </row>
    <row r="108">
      <c r="A108" s="41" t="n"/>
      <c r="D108" s="87" t="n"/>
      <c r="F108" s="86" t="n"/>
      <c r="H108" s="72" t="n"/>
    </row>
    <row r="109">
      <c r="A109" s="41" t="n"/>
      <c r="D109" s="87" t="n"/>
      <c r="F109" s="86" t="n"/>
      <c r="H109" s="72" t="n"/>
    </row>
    <row r="110">
      <c r="A110" s="41" t="n"/>
      <c r="D110" s="87" t="n"/>
      <c r="F110" s="86" t="n"/>
      <c r="H110" s="72" t="n"/>
    </row>
    <row r="111">
      <c r="A111" s="41" t="n"/>
      <c r="D111" s="87" t="n"/>
      <c r="F111" s="86" t="n"/>
      <c r="H111" s="72" t="n"/>
    </row>
    <row r="112">
      <c r="A112" s="41" t="n"/>
      <c r="D112" s="87" t="n"/>
      <c r="F112" s="86" t="n"/>
      <c r="H112" s="72" t="n"/>
    </row>
    <row r="113">
      <c r="A113" s="41" t="n"/>
      <c r="D113" s="87" t="n"/>
      <c r="F113" s="86" t="n"/>
      <c r="H113" s="72" t="n"/>
    </row>
    <row r="114">
      <c r="A114" s="41" t="n"/>
      <c r="D114" s="87" t="n"/>
      <c r="F114" s="86" t="n"/>
      <c r="H114" s="72" t="n"/>
    </row>
    <row r="115">
      <c r="A115" s="41" t="n"/>
      <c r="D115" s="87" t="n"/>
      <c r="F115" s="86" t="n"/>
      <c r="H115" s="72" t="n"/>
    </row>
    <row r="116">
      <c r="A116" s="41" t="n"/>
      <c r="D116" s="87" t="n"/>
      <c r="F116" s="86" t="n"/>
      <c r="H116" s="72" t="n"/>
    </row>
    <row r="117">
      <c r="A117" s="41" t="n"/>
      <c r="D117" s="87" t="n"/>
      <c r="F117" s="86" t="n"/>
      <c r="H117" s="72" t="n"/>
    </row>
    <row r="118">
      <c r="A118" s="41" t="n"/>
      <c r="D118" s="87" t="n"/>
      <c r="F118" s="86" t="n"/>
      <c r="H118" s="72" t="n"/>
    </row>
    <row r="119">
      <c r="A119" s="41" t="n"/>
      <c r="D119" s="87" t="n"/>
      <c r="F119" s="86" t="n"/>
      <c r="H119" s="72" t="n"/>
    </row>
    <row r="120">
      <c r="A120" s="41" t="n"/>
      <c r="D120" s="87" t="n"/>
      <c r="F120" s="86" t="n"/>
      <c r="H120" s="72" t="n"/>
    </row>
    <row r="121">
      <c r="A121" s="41" t="n"/>
      <c r="D121" s="87" t="n"/>
      <c r="F121" s="86" t="n"/>
      <c r="H121" s="72" t="n"/>
    </row>
    <row r="122">
      <c r="A122" s="41" t="n"/>
      <c r="D122" s="87" t="n"/>
      <c r="F122" s="86" t="n"/>
      <c r="H122" s="72" t="n"/>
    </row>
    <row r="123">
      <c r="A123" s="41" t="n"/>
      <c r="D123" s="87" t="n"/>
      <c r="F123" s="86" t="n"/>
      <c r="H123" s="72" t="n"/>
    </row>
    <row r="124">
      <c r="A124" s="41" t="n"/>
      <c r="D124" s="87" t="n"/>
      <c r="F124" s="86" t="n"/>
      <c r="H124" s="72" t="n"/>
    </row>
    <row r="125">
      <c r="A125" s="41" t="n"/>
      <c r="D125" s="87" t="n"/>
      <c r="F125" s="86" t="n"/>
      <c r="H125" s="72" t="n"/>
    </row>
    <row r="126">
      <c r="A126" s="41" t="n"/>
      <c r="D126" s="87" t="n"/>
      <c r="F126" s="86" t="n"/>
      <c r="H126" s="72" t="n"/>
    </row>
    <row r="127">
      <c r="A127" s="41" t="n"/>
      <c r="D127" s="87" t="n"/>
      <c r="F127" s="86" t="n"/>
      <c r="H127" s="72" t="n"/>
    </row>
    <row r="128">
      <c r="A128" s="41" t="n"/>
      <c r="D128" s="87" t="n"/>
      <c r="F128" s="86" t="n"/>
      <c r="H128" s="72" t="n"/>
    </row>
    <row r="129">
      <c r="A129" s="41" t="n"/>
      <c r="D129" s="87" t="n"/>
      <c r="F129" s="86" t="n"/>
      <c r="H129" s="72" t="n"/>
    </row>
    <row r="130">
      <c r="A130" s="41" t="n"/>
      <c r="D130" s="87" t="n"/>
      <c r="F130" s="86" t="n"/>
      <c r="H130" s="72" t="n"/>
    </row>
    <row r="131">
      <c r="A131" s="41" t="n"/>
      <c r="D131" s="87" t="n"/>
      <c r="F131" s="86" t="n"/>
      <c r="H131" s="72" t="n"/>
    </row>
    <row r="132">
      <c r="A132" s="41" t="n"/>
      <c r="D132" s="87" t="n"/>
      <c r="F132" s="86" t="n"/>
      <c r="H132" s="72" t="n"/>
    </row>
    <row r="133">
      <c r="A133" s="41" t="n"/>
      <c r="D133" s="87" t="n"/>
      <c r="F133" s="86" t="n"/>
      <c r="H133" s="72" t="n"/>
    </row>
    <row r="134">
      <c r="A134" s="41" t="n"/>
      <c r="D134" s="87" t="n"/>
      <c r="F134" s="86" t="n"/>
      <c r="H134" s="72" t="n"/>
    </row>
    <row r="135">
      <c r="A135" s="41" t="n"/>
      <c r="D135" s="87" t="n"/>
      <c r="F135" s="86" t="n"/>
      <c r="H135" s="72" t="n"/>
    </row>
    <row r="136">
      <c r="A136" s="41" t="n"/>
      <c r="D136" s="87" t="n"/>
      <c r="F136" s="86" t="n"/>
      <c r="H136" s="72" t="n"/>
    </row>
    <row r="137">
      <c r="A137" s="41" t="n"/>
      <c r="D137" s="87" t="n"/>
      <c r="F137" s="86" t="n"/>
      <c r="H137" s="72" t="n"/>
    </row>
    <row r="138">
      <c r="A138" s="41" t="n"/>
      <c r="D138" s="87" t="n"/>
      <c r="F138" s="86" t="n"/>
      <c r="H138" s="72" t="n"/>
    </row>
    <row r="139">
      <c r="A139" s="52" t="n"/>
      <c r="D139" s="87" t="n"/>
      <c r="F139" s="86" t="n"/>
      <c r="H139" s="72" t="n"/>
    </row>
    <row r="140">
      <c r="D140" s="87" t="n"/>
      <c r="F140" s="86" t="n"/>
      <c r="H140" s="72" t="n"/>
    </row>
    <row r="141">
      <c r="D141" s="87" t="n"/>
      <c r="F141" s="86" t="n"/>
      <c r="H141" s="72" t="n"/>
    </row>
    <row r="142">
      <c r="D142" s="87" t="n"/>
      <c r="F142" s="86" t="n"/>
      <c r="H142" s="72" t="n"/>
    </row>
    <row r="143">
      <c r="A143" s="36" t="n"/>
      <c r="D143" s="87" t="n"/>
      <c r="F143" s="86" t="n"/>
      <c r="H143" s="72" t="n"/>
    </row>
    <row r="144">
      <c r="A144" s="36" t="n"/>
      <c r="D144" s="87" t="n"/>
      <c r="F144" s="86" t="n"/>
      <c r="H144" s="72" t="n"/>
    </row>
    <row r="145">
      <c r="A145" s="41" t="n"/>
      <c r="D145" s="87" t="n"/>
      <c r="F145" s="86" t="n"/>
      <c r="H145" s="72" t="n"/>
    </row>
    <row r="146">
      <c r="A146" s="41" t="n"/>
      <c r="D146" s="87" t="n"/>
      <c r="F146" s="86" t="n"/>
      <c r="H146" s="72" t="n"/>
    </row>
    <row r="147">
      <c r="A147" s="41" t="n"/>
      <c r="D147" s="87" t="n"/>
      <c r="F147" s="86" t="n"/>
      <c r="H147" s="72" t="n"/>
    </row>
    <row r="148">
      <c r="A148" s="41" t="n"/>
      <c r="D148" s="87" t="n"/>
      <c r="F148" s="86" t="n"/>
      <c r="H148" s="72" t="n"/>
    </row>
    <row r="149">
      <c r="A149" s="41" t="n"/>
      <c r="D149" s="87" t="n"/>
      <c r="F149" s="86" t="n"/>
      <c r="H149" s="72" t="n"/>
    </row>
    <row r="150">
      <c r="A150" s="41" t="n"/>
      <c r="D150" s="87" t="n"/>
      <c r="F150" s="86" t="n"/>
      <c r="H150" s="72" t="n"/>
    </row>
    <row r="151">
      <c r="A151" s="41" t="n"/>
      <c r="D151" s="87" t="n"/>
      <c r="F151" s="86" t="n"/>
      <c r="H151" s="72" t="n"/>
    </row>
    <row r="152">
      <c r="A152" s="41" t="n"/>
      <c r="D152" s="87" t="n"/>
      <c r="F152" s="86" t="n"/>
      <c r="H152" s="72" t="n"/>
    </row>
    <row r="153">
      <c r="A153" s="41" t="n"/>
      <c r="D153" s="87" t="n"/>
      <c r="F153" s="86" t="n"/>
      <c r="H153" s="72" t="n"/>
    </row>
    <row r="154">
      <c r="A154" s="41" t="n"/>
      <c r="D154" s="87" t="n"/>
      <c r="F154" s="86" t="n"/>
      <c r="H154" s="72" t="n"/>
    </row>
    <row r="155">
      <c r="A155" s="41" t="n"/>
      <c r="D155" s="87" t="n"/>
      <c r="F155" s="86" t="n"/>
      <c r="H155" s="72" t="n"/>
    </row>
    <row r="156">
      <c r="A156" s="41" t="n"/>
      <c r="D156" s="87" t="n"/>
      <c r="F156" s="86" t="n"/>
      <c r="H156" s="72" t="n"/>
    </row>
    <row r="157">
      <c r="A157" s="41" t="n"/>
      <c r="D157" s="87" t="n"/>
      <c r="F157" s="86" t="n"/>
      <c r="H157" s="72" t="n"/>
    </row>
    <row r="158">
      <c r="A158" s="41" t="n"/>
      <c r="D158" s="87" t="n"/>
      <c r="F158" s="86" t="n"/>
      <c r="H158" s="72" t="n"/>
    </row>
    <row r="159">
      <c r="A159" s="41" t="n"/>
      <c r="D159" s="87" t="n"/>
      <c r="F159" s="86" t="n"/>
      <c r="H159" s="72" t="n"/>
    </row>
    <row r="160">
      <c r="A160" s="41" t="n"/>
      <c r="D160" s="87" t="n"/>
      <c r="F160" s="86" t="n"/>
      <c r="H160" s="72" t="n"/>
    </row>
    <row r="161">
      <c r="A161" s="41" t="n"/>
      <c r="D161" s="87" t="n"/>
      <c r="F161" s="86" t="n"/>
      <c r="H161" s="72" t="n"/>
    </row>
    <row r="162">
      <c r="A162" s="41" t="n"/>
      <c r="D162" s="87" t="n"/>
      <c r="F162" s="86" t="n"/>
      <c r="H162" s="72" t="n"/>
    </row>
    <row r="163">
      <c r="A163" s="41" t="n"/>
      <c r="D163" s="87" t="n"/>
      <c r="F163" s="86" t="n"/>
      <c r="H163" s="72" t="n"/>
    </row>
    <row r="164">
      <c r="A164" s="41" t="n"/>
      <c r="D164" s="87" t="n"/>
      <c r="F164" s="86" t="n"/>
      <c r="H164" s="72" t="n"/>
    </row>
    <row r="165">
      <c r="A165" s="41" t="n"/>
      <c r="D165" s="87" t="n"/>
      <c r="F165" s="86" t="n"/>
      <c r="H165" s="72" t="n"/>
    </row>
    <row r="166">
      <c r="A166" s="41" t="n"/>
      <c r="D166" s="87" t="n"/>
      <c r="F166" s="86" t="n"/>
      <c r="H166" s="72" t="n"/>
    </row>
    <row r="167">
      <c r="A167" s="41" t="n"/>
      <c r="D167" s="87" t="n"/>
      <c r="F167" s="86" t="n"/>
      <c r="H167" s="72" t="n"/>
    </row>
    <row r="168">
      <c r="A168" s="41" t="n"/>
      <c r="D168" s="87" t="n"/>
      <c r="F168" s="86" t="n"/>
      <c r="H168" s="72" t="n"/>
    </row>
    <row r="169">
      <c r="A169" s="41" t="n"/>
      <c r="D169" s="87" t="n"/>
      <c r="F169" s="86" t="n"/>
      <c r="H169" s="72" t="n"/>
    </row>
    <row r="170">
      <c r="A170" s="41" t="n"/>
      <c r="D170" s="87" t="n"/>
      <c r="F170" s="86" t="n"/>
      <c r="H170" s="72" t="n"/>
    </row>
    <row r="171">
      <c r="A171" s="41" t="n"/>
      <c r="D171" s="87" t="n"/>
      <c r="F171" s="86" t="n"/>
      <c r="H171" s="72" t="n"/>
    </row>
    <row r="172">
      <c r="A172" s="41" t="n"/>
      <c r="D172" s="87" t="n"/>
      <c r="F172" s="86" t="n"/>
      <c r="H172" s="72" t="n"/>
    </row>
    <row r="173">
      <c r="A173" s="41" t="n"/>
      <c r="D173" s="87" t="n"/>
      <c r="F173" s="86" t="n"/>
      <c r="H173" s="72" t="n"/>
    </row>
    <row r="174">
      <c r="A174" s="41" t="n"/>
      <c r="D174" s="87" t="n"/>
      <c r="F174" s="86" t="n"/>
      <c r="H174" s="72" t="n"/>
    </row>
    <row r="175">
      <c r="A175" s="41" t="n"/>
      <c r="D175" s="87" t="n"/>
      <c r="F175" s="86" t="n"/>
      <c r="H175" s="72" t="n"/>
    </row>
    <row r="176">
      <c r="A176" s="41" t="n"/>
      <c r="D176" s="87" t="n"/>
      <c r="F176" s="86" t="n"/>
      <c r="H176" s="72" t="n"/>
    </row>
    <row r="177">
      <c r="A177" s="41" t="n"/>
      <c r="D177" s="87" t="n"/>
      <c r="F177" s="86" t="n"/>
      <c r="H177" s="72" t="n"/>
    </row>
    <row r="178">
      <c r="A178" s="41" t="n"/>
      <c r="D178" s="87" t="n"/>
      <c r="F178" s="86" t="n"/>
      <c r="H178" s="72" t="n"/>
    </row>
    <row r="179">
      <c r="A179" s="41" t="n"/>
      <c r="D179" s="87" t="n"/>
      <c r="F179" s="86" t="n"/>
      <c r="H179" s="72" t="n"/>
    </row>
    <row r="180">
      <c r="A180" s="41" t="n"/>
      <c r="D180" s="87" t="n"/>
      <c r="F180" s="86" t="n"/>
      <c r="H180" s="72" t="n"/>
    </row>
    <row r="181">
      <c r="A181" s="41" t="n"/>
      <c r="D181" s="87" t="n"/>
      <c r="F181" s="86" t="n"/>
      <c r="H181" s="72" t="n"/>
    </row>
    <row r="182">
      <c r="A182" s="41" t="n"/>
      <c r="D182" s="87" t="n"/>
      <c r="F182" s="86" t="n"/>
      <c r="H182" s="72" t="n"/>
    </row>
    <row r="183">
      <c r="A183" s="41" t="n"/>
      <c r="D183" s="87" t="n"/>
      <c r="F183" s="86" t="n"/>
      <c r="H183" s="72" t="n"/>
    </row>
    <row r="184">
      <c r="A184" s="41" t="n"/>
      <c r="D184" s="87" t="n"/>
      <c r="F184" s="86" t="n"/>
      <c r="H184" s="72" t="n"/>
    </row>
    <row r="185">
      <c r="A185" s="41" t="n"/>
      <c r="D185" s="87" t="n"/>
      <c r="F185" s="86" t="n"/>
      <c r="H185" s="72" t="n"/>
    </row>
    <row r="186">
      <c r="A186" s="41" t="n"/>
      <c r="D186" s="87" t="n"/>
      <c r="F186" s="86" t="n"/>
      <c r="H186" s="72" t="n"/>
    </row>
    <row r="187">
      <c r="A187" s="41" t="n"/>
      <c r="D187" s="87" t="n"/>
      <c r="F187" s="86" t="n"/>
      <c r="H187" s="72" t="n"/>
    </row>
    <row r="188">
      <c r="A188" s="41" t="n"/>
      <c r="D188" s="87" t="n"/>
      <c r="F188" s="86" t="n"/>
      <c r="H188" s="72" t="n"/>
    </row>
    <row r="189">
      <c r="A189" s="41" t="n"/>
      <c r="D189" s="87" t="n"/>
      <c r="F189" s="86" t="n"/>
      <c r="H189" s="72" t="n"/>
    </row>
    <row r="190">
      <c r="A190" s="41" t="n"/>
      <c r="D190" s="87" t="n"/>
      <c r="F190" s="86" t="n"/>
      <c r="H190" s="72" t="n"/>
    </row>
    <row r="191">
      <c r="A191" s="41" t="n"/>
      <c r="D191" s="87" t="n"/>
      <c r="F191" s="86" t="n"/>
      <c r="H191" s="72" t="n"/>
    </row>
    <row r="192">
      <c r="A192" s="41" t="n"/>
      <c r="D192" s="87" t="n"/>
      <c r="F192" s="86" t="n"/>
      <c r="H192" s="72" t="n"/>
    </row>
    <row r="193">
      <c r="A193" s="41" t="n"/>
      <c r="D193" s="87" t="n"/>
      <c r="F193" s="86" t="n"/>
      <c r="H193" s="72" t="n"/>
    </row>
    <row r="194">
      <c r="A194" s="41" t="n"/>
      <c r="D194" s="87" t="n"/>
      <c r="F194" s="86" t="n"/>
      <c r="H194" s="72" t="n"/>
    </row>
    <row r="195">
      <c r="A195" s="41" t="n"/>
      <c r="D195" s="87" t="n"/>
      <c r="F195" s="86" t="n"/>
      <c r="H195" s="72" t="n"/>
    </row>
    <row r="196">
      <c r="A196" s="41" t="n"/>
      <c r="D196" s="87" t="n"/>
      <c r="F196" s="86" t="n"/>
      <c r="H196" s="72" t="n"/>
    </row>
    <row r="197">
      <c r="A197" s="41" t="n"/>
      <c r="D197" s="87" t="n"/>
      <c r="F197" s="86" t="n"/>
      <c r="H197" s="72" t="n"/>
    </row>
    <row r="198">
      <c r="A198" s="41" t="n"/>
      <c r="D198" s="87" t="n"/>
      <c r="F198" s="86" t="n"/>
      <c r="H198" s="72" t="n"/>
    </row>
    <row r="199">
      <c r="A199" s="41" t="n"/>
      <c r="D199" s="87" t="n"/>
      <c r="F199" s="86" t="n"/>
      <c r="H199" s="72" t="n"/>
    </row>
    <row r="200">
      <c r="A200" s="41" t="n"/>
      <c r="D200" s="87" t="n"/>
      <c r="F200" s="86" t="n"/>
      <c r="H200" s="72" t="n"/>
    </row>
    <row r="201">
      <c r="A201" s="41" t="n"/>
      <c r="D201" s="87" t="n"/>
      <c r="F201" s="86" t="n"/>
      <c r="H201" s="72" t="n"/>
    </row>
    <row r="202">
      <c r="A202" s="41" t="n"/>
      <c r="D202" s="87" t="n"/>
      <c r="F202" s="86" t="n"/>
      <c r="H202" s="72" t="n"/>
    </row>
    <row r="203">
      <c r="A203" s="41" t="n"/>
      <c r="D203" s="87" t="n"/>
      <c r="F203" s="86" t="n"/>
      <c r="H203" s="72" t="n"/>
    </row>
    <row r="204">
      <c r="A204" s="41" t="n"/>
      <c r="D204" s="87" t="n"/>
      <c r="F204" s="86" t="n"/>
      <c r="H204" s="72" t="n"/>
    </row>
    <row r="205">
      <c r="A205" s="41" t="n"/>
      <c r="D205" s="87" t="n"/>
      <c r="F205" s="86" t="n"/>
      <c r="H205" s="72" t="n"/>
    </row>
    <row r="206">
      <c r="A206" s="41" t="n"/>
      <c r="D206" s="87" t="n"/>
      <c r="F206" s="86" t="n"/>
      <c r="H206" s="72" t="n"/>
    </row>
    <row r="207">
      <c r="A207" s="41" t="n"/>
      <c r="D207" s="87" t="n"/>
      <c r="F207" s="86" t="n"/>
      <c r="H207" s="72" t="n"/>
    </row>
    <row r="208">
      <c r="A208" s="41" t="n"/>
      <c r="D208" s="87" t="n"/>
      <c r="F208" s="86" t="n"/>
      <c r="H208" s="72" t="n"/>
    </row>
    <row r="209">
      <c r="A209" s="41" t="n"/>
      <c r="D209" s="87" t="n"/>
      <c r="F209" s="86" t="n"/>
      <c r="H209" s="72" t="n"/>
    </row>
    <row r="210">
      <c r="A210" s="41" t="n"/>
      <c r="D210" s="87" t="n"/>
      <c r="F210" s="86" t="n"/>
      <c r="H210" s="72" t="n"/>
    </row>
    <row r="211">
      <c r="A211" s="41" t="n"/>
      <c r="D211" s="87" t="n"/>
      <c r="F211" s="86" t="n"/>
      <c r="H211" s="72" t="n"/>
    </row>
    <row r="212">
      <c r="A212" s="52" t="n"/>
      <c r="D212" s="87" t="n"/>
      <c r="F212" s="86" t="n"/>
      <c r="H212" s="72" t="n"/>
    </row>
    <row r="213">
      <c r="D213" s="87" t="n"/>
      <c r="F213" s="86" t="n"/>
      <c r="H213" s="72" t="n"/>
    </row>
    <row r="214">
      <c r="D214" s="87" t="n"/>
      <c r="F214" s="86" t="n"/>
      <c r="H214" s="72" t="n"/>
    </row>
    <row r="215">
      <c r="D215" s="87" t="n"/>
      <c r="F215" s="86" t="n"/>
      <c r="H215" s="72" t="n"/>
    </row>
    <row r="216">
      <c r="A216" s="36" t="n"/>
      <c r="D216" s="87" t="n"/>
      <c r="F216" s="86" t="n"/>
      <c r="H216" s="72" t="n"/>
    </row>
    <row r="217">
      <c r="A217" s="36" t="n"/>
      <c r="D217" s="87" t="n"/>
      <c r="F217" s="86" t="n"/>
      <c r="H217" s="72" t="n"/>
    </row>
    <row r="218">
      <c r="A218" s="41" t="n"/>
      <c r="D218" s="87" t="n"/>
      <c r="F218" s="86" t="n"/>
      <c r="H218" s="72" t="n"/>
    </row>
    <row r="219">
      <c r="A219" s="41" t="n"/>
      <c r="D219" s="87" t="n"/>
      <c r="F219" s="86" t="n"/>
      <c r="H219" s="72" t="n"/>
    </row>
    <row r="220">
      <c r="A220" s="41" t="n"/>
      <c r="D220" s="87" t="n"/>
      <c r="F220" s="86" t="n"/>
      <c r="H220" s="72" t="n"/>
    </row>
    <row r="221">
      <c r="A221" s="41" t="n"/>
      <c r="D221" s="87" t="n"/>
      <c r="F221" s="86" t="n"/>
      <c r="H221" s="72" t="n"/>
    </row>
    <row r="222">
      <c r="A222" s="41" t="n"/>
      <c r="D222" s="87" t="n"/>
      <c r="F222" s="86" t="n"/>
      <c r="H222" s="72" t="n"/>
    </row>
    <row r="223">
      <c r="A223" s="41" t="n"/>
      <c r="D223" s="87" t="n"/>
      <c r="F223" s="86" t="n"/>
      <c r="H223" s="72" t="n"/>
    </row>
    <row r="224">
      <c r="A224" s="41" t="n"/>
      <c r="D224" s="87" t="n"/>
      <c r="F224" s="86" t="n"/>
      <c r="H224" s="72" t="n"/>
    </row>
    <row r="225">
      <c r="A225" s="41" t="n"/>
      <c r="D225" s="87" t="n"/>
      <c r="F225" s="86" t="n"/>
      <c r="H225" s="72" t="n"/>
    </row>
    <row r="226">
      <c r="A226" s="41" t="n"/>
      <c r="D226" s="87" t="n"/>
      <c r="F226" s="86" t="n"/>
      <c r="H226" s="72" t="n"/>
    </row>
    <row r="227">
      <c r="A227" s="41" t="n"/>
      <c r="D227" s="87" t="n"/>
      <c r="F227" s="86" t="n"/>
      <c r="H227" s="72" t="n"/>
    </row>
    <row r="228">
      <c r="A228" s="41" t="n"/>
      <c r="D228" s="87" t="n"/>
      <c r="F228" s="86" t="n"/>
      <c r="H228" s="72" t="n"/>
    </row>
    <row r="229">
      <c r="A229" s="41" t="n"/>
      <c r="D229" s="87" t="n"/>
      <c r="F229" s="86" t="n"/>
      <c r="H229" s="72" t="n"/>
    </row>
    <row r="230">
      <c r="A230" s="41" t="n"/>
      <c r="D230" s="87" t="n"/>
      <c r="F230" s="86" t="n"/>
      <c r="H230" s="72" t="n"/>
    </row>
    <row r="231">
      <c r="A231" s="41" t="n"/>
      <c r="D231" s="87" t="n"/>
      <c r="F231" s="86" t="n"/>
      <c r="H231" s="72" t="n"/>
    </row>
    <row r="232">
      <c r="A232" s="41" t="n"/>
      <c r="D232" s="87" t="n"/>
      <c r="F232" s="86" t="n"/>
      <c r="H232" s="72" t="n"/>
    </row>
    <row r="233">
      <c r="A233" s="41" t="n"/>
      <c r="D233" s="87" t="n"/>
      <c r="F233" s="86" t="n"/>
      <c r="H233" s="72" t="n"/>
    </row>
    <row r="234">
      <c r="A234" s="41" t="n"/>
      <c r="D234" s="87" t="n"/>
      <c r="F234" s="86" t="n"/>
      <c r="H234" s="72" t="n"/>
    </row>
    <row r="235">
      <c r="A235" s="41" t="n"/>
      <c r="D235" s="87" t="n"/>
      <c r="F235" s="86" t="n"/>
      <c r="H235" s="72" t="n"/>
    </row>
    <row r="236">
      <c r="A236" s="41" t="n"/>
      <c r="D236" s="87" t="n"/>
      <c r="F236" s="86" t="n"/>
      <c r="H236" s="72" t="n"/>
    </row>
    <row r="237">
      <c r="A237" s="41" t="n"/>
      <c r="D237" s="87" t="n"/>
      <c r="F237" s="86" t="n"/>
      <c r="H237" s="72" t="n"/>
    </row>
    <row r="238">
      <c r="A238" s="41" t="n"/>
      <c r="D238" s="87" t="n"/>
      <c r="F238" s="86" t="n"/>
      <c r="H238" s="72" t="n"/>
    </row>
    <row r="239">
      <c r="A239" s="41" t="n"/>
      <c r="D239" s="87" t="n"/>
      <c r="F239" s="86" t="n"/>
      <c r="H239" s="72" t="n"/>
    </row>
    <row r="240">
      <c r="A240" s="41" t="n"/>
      <c r="D240" s="87" t="n"/>
      <c r="F240" s="86" t="n"/>
      <c r="H240" s="72" t="n"/>
    </row>
    <row r="241">
      <c r="A241" s="41" t="n"/>
      <c r="D241" s="87" t="n"/>
      <c r="F241" s="86" t="n"/>
      <c r="H241" s="72" t="n"/>
    </row>
    <row r="242">
      <c r="A242" s="41" t="n"/>
      <c r="D242" s="87" t="n"/>
      <c r="F242" s="86" t="n"/>
      <c r="H242" s="72" t="n"/>
    </row>
    <row r="243">
      <c r="A243" s="41" t="n"/>
      <c r="D243" s="87" t="n"/>
      <c r="F243" s="86" t="n"/>
      <c r="H243" s="72" t="n"/>
    </row>
    <row r="244">
      <c r="A244" s="41" t="n"/>
      <c r="D244" s="87" t="n"/>
      <c r="F244" s="86" t="n"/>
      <c r="H244" s="72" t="n"/>
    </row>
    <row r="245">
      <c r="A245" s="41" t="n"/>
      <c r="D245" s="87" t="n"/>
      <c r="F245" s="86" t="n"/>
      <c r="H245" s="72" t="n"/>
    </row>
    <row r="246">
      <c r="A246" s="41" t="n"/>
      <c r="D246" s="87" t="n"/>
      <c r="F246" s="86" t="n"/>
      <c r="H246" s="72" t="n"/>
    </row>
    <row r="247">
      <c r="A247" s="41" t="n"/>
      <c r="D247" s="87" t="n"/>
      <c r="F247" s="86" t="n"/>
      <c r="H247" s="72" t="n"/>
    </row>
    <row r="248">
      <c r="A248" s="41" t="n"/>
      <c r="D248" s="87" t="n"/>
      <c r="F248" s="86" t="n"/>
      <c r="H248" s="72" t="n"/>
    </row>
    <row r="249">
      <c r="A249" s="41" t="n"/>
      <c r="D249" s="87" t="n"/>
      <c r="F249" s="86" t="n"/>
      <c r="H249" s="72" t="n"/>
    </row>
    <row r="250">
      <c r="A250" s="41" t="n"/>
      <c r="D250" s="87" t="n"/>
      <c r="F250" s="86" t="n"/>
      <c r="H250" s="72" t="n"/>
    </row>
    <row r="251">
      <c r="A251" s="41" t="n"/>
      <c r="D251" s="87" t="n"/>
      <c r="F251" s="86" t="n"/>
      <c r="H251" s="72" t="n"/>
    </row>
    <row r="252">
      <c r="A252" s="41" t="n"/>
      <c r="D252" s="87" t="n"/>
      <c r="F252" s="86" t="n"/>
      <c r="H252" s="72" t="n"/>
    </row>
    <row r="253">
      <c r="A253" s="41" t="n"/>
      <c r="D253" s="87" t="n"/>
      <c r="F253" s="86" t="n"/>
      <c r="H253" s="72" t="n"/>
    </row>
    <row r="254">
      <c r="A254" s="41" t="n"/>
      <c r="D254" s="87" t="n"/>
      <c r="F254" s="86" t="n"/>
      <c r="H254" s="72" t="n"/>
    </row>
    <row r="255">
      <c r="A255" s="41" t="n"/>
      <c r="D255" s="87" t="n"/>
      <c r="F255" s="86" t="n"/>
      <c r="H255" s="72" t="n"/>
    </row>
    <row r="256">
      <c r="A256" s="41" t="n"/>
      <c r="D256" s="87" t="n"/>
      <c r="F256" s="86" t="n"/>
      <c r="H256" s="72" t="n"/>
    </row>
    <row r="257">
      <c r="A257" s="41" t="n"/>
      <c r="D257" s="87" t="n"/>
      <c r="F257" s="86" t="n"/>
      <c r="H257" s="72" t="n"/>
    </row>
    <row r="258">
      <c r="A258" s="41" t="n"/>
      <c r="D258" s="87" t="n"/>
      <c r="F258" s="86" t="n"/>
      <c r="H258" s="72" t="n"/>
    </row>
    <row r="259">
      <c r="A259" s="41" t="n"/>
      <c r="D259" s="87" t="n"/>
      <c r="F259" s="86" t="n"/>
      <c r="H259" s="72" t="n"/>
    </row>
    <row r="260">
      <c r="A260" s="41" t="n"/>
      <c r="D260" s="87" t="n"/>
      <c r="F260" s="86" t="n"/>
      <c r="H260" s="72" t="n"/>
    </row>
    <row r="261">
      <c r="A261" s="41" t="n"/>
      <c r="D261" s="87" t="n"/>
      <c r="F261" s="86" t="n"/>
      <c r="H261" s="72" t="n"/>
    </row>
    <row r="262">
      <c r="A262" s="41" t="n"/>
      <c r="D262" s="87" t="n"/>
      <c r="F262" s="86" t="n"/>
      <c r="H262" s="72" t="n"/>
    </row>
    <row r="263">
      <c r="A263" s="41" t="n"/>
      <c r="D263" s="87" t="n"/>
      <c r="F263" s="86" t="n"/>
      <c r="H263" s="72" t="n"/>
    </row>
    <row r="264">
      <c r="A264" s="41" t="n"/>
      <c r="D264" s="87" t="n"/>
      <c r="F264" s="86" t="n"/>
      <c r="H264" s="72" t="n"/>
    </row>
    <row r="265">
      <c r="A265" s="41" t="n"/>
      <c r="D265" s="87" t="n"/>
      <c r="F265" s="86" t="n"/>
      <c r="H265" s="72" t="n"/>
    </row>
    <row r="266">
      <c r="A266" s="41" t="n"/>
      <c r="D266" s="87" t="n"/>
      <c r="F266" s="86" t="n"/>
      <c r="H266" s="72" t="n"/>
    </row>
    <row r="267">
      <c r="A267" s="41" t="n"/>
      <c r="D267" s="87" t="n"/>
      <c r="F267" s="86" t="n"/>
      <c r="H267" s="72" t="n"/>
    </row>
    <row r="268">
      <c r="A268" s="41" t="n"/>
      <c r="D268" s="87" t="n"/>
      <c r="F268" s="86" t="n"/>
      <c r="H268" s="72" t="n"/>
    </row>
    <row r="269">
      <c r="A269" s="41" t="n"/>
      <c r="D269" s="87" t="n"/>
      <c r="F269" s="86" t="n"/>
      <c r="H269" s="72" t="n"/>
    </row>
    <row r="270">
      <c r="A270" s="41" t="n"/>
      <c r="D270" s="87" t="n"/>
      <c r="F270" s="86" t="n"/>
      <c r="H270" s="72" t="n"/>
    </row>
    <row r="271">
      <c r="A271" s="41" t="n"/>
      <c r="D271" s="87" t="n"/>
      <c r="F271" s="86" t="n"/>
      <c r="H271" s="72" t="n"/>
    </row>
    <row r="272">
      <c r="A272" s="41" t="n"/>
      <c r="D272" s="87" t="n"/>
      <c r="F272" s="86" t="n"/>
      <c r="H272" s="72" t="n"/>
    </row>
    <row r="273">
      <c r="A273" s="41" t="n"/>
      <c r="D273" s="87" t="n"/>
      <c r="F273" s="86" t="n"/>
      <c r="H273" s="72" t="n"/>
    </row>
    <row r="274">
      <c r="A274" s="41" t="n"/>
      <c r="D274" s="87" t="n"/>
      <c r="F274" s="86" t="n"/>
      <c r="H274" s="72" t="n"/>
    </row>
    <row r="275">
      <c r="A275" s="41" t="n"/>
      <c r="D275" s="87" t="n"/>
      <c r="F275" s="86" t="n"/>
      <c r="H275" s="72" t="n"/>
    </row>
    <row r="276">
      <c r="A276" s="41" t="n"/>
      <c r="D276" s="87" t="n"/>
      <c r="F276" s="86" t="n"/>
      <c r="H276" s="72" t="n"/>
    </row>
    <row r="277">
      <c r="A277" s="41" t="n"/>
      <c r="D277" s="87" t="n"/>
      <c r="F277" s="86" t="n"/>
      <c r="H277" s="72" t="n"/>
    </row>
    <row r="278">
      <c r="A278" s="41" t="n"/>
      <c r="D278" s="87" t="n"/>
      <c r="F278" s="86" t="n"/>
      <c r="H278" s="72" t="n"/>
    </row>
    <row r="279">
      <c r="A279" s="41" t="n"/>
      <c r="D279" s="87" t="n"/>
      <c r="F279" s="86" t="n"/>
      <c r="H279" s="72" t="n"/>
    </row>
    <row r="280">
      <c r="A280" s="41" t="n"/>
      <c r="D280" s="87" t="n"/>
      <c r="F280" s="86" t="n"/>
      <c r="H280" s="72" t="n"/>
    </row>
    <row r="281">
      <c r="A281" s="41" t="n"/>
      <c r="D281" s="87" t="n"/>
      <c r="F281" s="86" t="n"/>
      <c r="H281" s="72" t="n"/>
    </row>
    <row r="282">
      <c r="A282" s="41" t="n"/>
      <c r="D282" s="87" t="n"/>
      <c r="F282" s="86" t="n"/>
      <c r="H282" s="72" t="n"/>
    </row>
    <row r="283">
      <c r="A283" s="41" t="n"/>
      <c r="D283" s="87" t="n"/>
      <c r="F283" s="86" t="n"/>
      <c r="H283" s="72" t="n"/>
    </row>
    <row r="284">
      <c r="A284" s="41" t="n"/>
      <c r="D284" s="87" t="n"/>
      <c r="F284" s="86" t="n"/>
      <c r="H284" s="72" t="n"/>
    </row>
    <row r="285">
      <c r="A285" s="52" t="n"/>
      <c r="D285" s="87" t="n"/>
      <c r="F285" s="86" t="n"/>
      <c r="H285" s="72" t="n"/>
    </row>
    <row r="286">
      <c r="D286" s="87" t="n"/>
      <c r="F286" s="86" t="n"/>
      <c r="H286" s="72" t="n"/>
    </row>
    <row r="287">
      <c r="D287" s="87" t="n"/>
      <c r="F287" s="86" t="n"/>
      <c r="H287" s="72" t="n"/>
    </row>
    <row r="288">
      <c r="D288" s="87" t="n"/>
      <c r="F288" s="86" t="n"/>
      <c r="H288" s="72" t="n"/>
    </row>
    <row r="289">
      <c r="A289" s="36" t="n"/>
      <c r="D289" s="87" t="n"/>
      <c r="F289" s="86" t="n"/>
      <c r="H289" s="72" t="n"/>
    </row>
    <row r="290">
      <c r="A290" s="36" t="n"/>
      <c r="D290" s="87" t="n"/>
      <c r="F290" s="86" t="n"/>
      <c r="H290" s="72" t="n"/>
    </row>
    <row r="291">
      <c r="A291" s="41" t="n"/>
      <c r="D291" s="87" t="n"/>
      <c r="F291" s="86" t="n"/>
      <c r="H291" s="72" t="n"/>
    </row>
    <row r="292">
      <c r="A292" s="41" t="n"/>
      <c r="D292" s="87" t="n"/>
      <c r="F292" s="86" t="n"/>
      <c r="H292" s="72" t="n"/>
    </row>
    <row r="293">
      <c r="A293" s="41" t="n"/>
      <c r="D293" s="87" t="n"/>
      <c r="F293" s="86" t="n"/>
      <c r="H293" s="72" t="n"/>
    </row>
    <row r="294">
      <c r="A294" s="41" t="n"/>
      <c r="D294" s="87" t="n"/>
      <c r="F294" s="86" t="n"/>
      <c r="H294" s="72" t="n"/>
    </row>
    <row r="295">
      <c r="A295" s="41" t="n"/>
      <c r="D295" s="87" t="n"/>
      <c r="F295" s="86" t="n"/>
      <c r="H295" s="72" t="n"/>
    </row>
    <row r="296">
      <c r="A296" s="41" t="n"/>
      <c r="D296" s="87" t="n"/>
      <c r="F296" s="86" t="n"/>
      <c r="H296" s="72" t="n"/>
    </row>
    <row r="297">
      <c r="A297" s="41" t="n"/>
      <c r="D297" s="87" t="n"/>
      <c r="F297" s="86" t="n"/>
      <c r="H297" s="72" t="n"/>
    </row>
    <row r="298">
      <c r="A298" s="41" t="n"/>
      <c r="D298" s="87" t="n"/>
      <c r="F298" s="86" t="n"/>
      <c r="H298" s="72" t="n"/>
    </row>
    <row r="299">
      <c r="A299" s="41" t="n"/>
      <c r="D299" s="87" t="n"/>
      <c r="F299" s="86" t="n"/>
      <c r="H299" s="72" t="n"/>
    </row>
    <row r="300">
      <c r="A300" s="41" t="n"/>
      <c r="D300" s="87" t="n"/>
      <c r="F300" s="86" t="n"/>
      <c r="H300" s="72" t="n"/>
    </row>
    <row r="301">
      <c r="A301" s="41" t="n"/>
      <c r="D301" s="87" t="n"/>
      <c r="F301" s="86" t="n"/>
      <c r="H301" s="72" t="n"/>
    </row>
    <row r="302">
      <c r="A302" s="41" t="n"/>
      <c r="D302" s="87" t="n"/>
      <c r="F302" s="86" t="n"/>
      <c r="H302" s="72" t="n"/>
    </row>
    <row r="303">
      <c r="A303" s="41" t="n"/>
      <c r="D303" s="87" t="n"/>
      <c r="F303" s="86" t="n"/>
      <c r="H303" s="72" t="n"/>
    </row>
    <row r="304">
      <c r="A304" s="41" t="n"/>
      <c r="D304" s="87" t="n"/>
      <c r="F304" s="86" t="n"/>
      <c r="H304" s="72" t="n"/>
    </row>
    <row r="305">
      <c r="A305" s="41" t="n"/>
      <c r="D305" s="87" t="n"/>
      <c r="F305" s="86" t="n"/>
      <c r="H305" s="72" t="n"/>
    </row>
    <row r="306">
      <c r="A306" s="41" t="n"/>
      <c r="D306" s="87" t="n"/>
      <c r="F306" s="86" t="n"/>
      <c r="H306" s="72" t="n"/>
    </row>
    <row r="307">
      <c r="A307" s="41" t="n"/>
      <c r="D307" s="87" t="n"/>
      <c r="F307" s="86" t="n"/>
      <c r="H307" s="72" t="n"/>
    </row>
    <row r="308">
      <c r="A308" s="41" t="n"/>
      <c r="D308" s="87" t="n"/>
      <c r="F308" s="86" t="n"/>
      <c r="H308" s="72" t="n"/>
    </row>
    <row r="309">
      <c r="A309" s="41" t="n"/>
      <c r="D309" s="87" t="n"/>
      <c r="F309" s="86" t="n"/>
      <c r="H309" s="72" t="n"/>
    </row>
    <row r="310">
      <c r="A310" s="41" t="n"/>
      <c r="D310" s="87" t="n"/>
      <c r="F310" s="86" t="n"/>
      <c r="H310" s="72" t="n"/>
    </row>
    <row r="311">
      <c r="A311" s="41" t="n"/>
      <c r="D311" s="87" t="n"/>
      <c r="F311" s="86" t="n"/>
      <c r="H311" s="72" t="n"/>
    </row>
    <row r="312">
      <c r="A312" s="41" t="n"/>
      <c r="D312" s="87" t="n"/>
      <c r="F312" s="86" t="n"/>
      <c r="H312" s="72" t="n"/>
    </row>
    <row r="313">
      <c r="A313" s="41" t="n"/>
      <c r="D313" s="87" t="n"/>
      <c r="F313" s="86" t="n"/>
      <c r="H313" s="72" t="n"/>
    </row>
    <row r="314">
      <c r="A314" s="41" t="n"/>
      <c r="D314" s="87" t="n"/>
      <c r="F314" s="86" t="n"/>
      <c r="H314" s="72" t="n"/>
    </row>
    <row r="315">
      <c r="A315" s="41" t="n"/>
      <c r="D315" s="87" t="n"/>
      <c r="F315" s="86" t="n"/>
      <c r="H315" s="72" t="n"/>
    </row>
    <row r="316">
      <c r="A316" s="41" t="n"/>
      <c r="D316" s="87" t="n"/>
      <c r="F316" s="86" t="n"/>
      <c r="H316" s="72" t="n"/>
    </row>
    <row r="317">
      <c r="A317" s="41" t="n"/>
      <c r="D317" s="87" t="n"/>
      <c r="F317" s="86" t="n"/>
      <c r="H317" s="72" t="n"/>
    </row>
    <row r="318">
      <c r="A318" s="41" t="n"/>
      <c r="D318" s="87" t="n"/>
      <c r="F318" s="86" t="n"/>
      <c r="H318" s="72" t="n"/>
    </row>
    <row r="319">
      <c r="A319" s="41" t="n"/>
      <c r="D319" s="87" t="n"/>
      <c r="F319" s="86" t="n"/>
      <c r="H319" s="72" t="n"/>
    </row>
    <row r="320">
      <c r="A320" s="41" t="n"/>
      <c r="D320" s="87" t="n"/>
      <c r="F320" s="86" t="n"/>
      <c r="H320" s="72" t="n"/>
    </row>
    <row r="321">
      <c r="A321" s="41" t="n"/>
      <c r="D321" s="87" t="n"/>
      <c r="F321" s="86" t="n"/>
      <c r="H321" s="72" t="n"/>
    </row>
    <row r="322">
      <c r="A322" s="41" t="n"/>
      <c r="D322" s="87" t="n"/>
      <c r="F322" s="86" t="n"/>
      <c r="H322" s="72" t="n"/>
    </row>
    <row r="323">
      <c r="A323" s="41" t="n"/>
      <c r="D323" s="87" t="n"/>
      <c r="F323" s="86" t="n"/>
      <c r="H323" s="72" t="n"/>
    </row>
    <row r="324">
      <c r="A324" s="41" t="n"/>
      <c r="D324" s="87" t="n"/>
      <c r="F324" s="86" t="n"/>
      <c r="H324" s="72" t="n"/>
    </row>
    <row r="325">
      <c r="A325" s="41" t="n"/>
      <c r="D325" s="87" t="n"/>
      <c r="F325" s="86" t="n"/>
      <c r="H325" s="72" t="n"/>
    </row>
    <row r="326">
      <c r="A326" s="41" t="n"/>
      <c r="D326" s="87" t="n"/>
      <c r="F326" s="86" t="n"/>
      <c r="H326" s="72" t="n"/>
    </row>
    <row r="327">
      <c r="A327" s="41" t="n"/>
      <c r="D327" s="87" t="n"/>
      <c r="F327" s="86" t="n"/>
      <c r="H327" s="72" t="n"/>
    </row>
    <row r="328">
      <c r="A328" s="41" t="n"/>
      <c r="D328" s="87" t="n"/>
      <c r="F328" s="86" t="n"/>
      <c r="H328" s="72" t="n"/>
    </row>
    <row r="329">
      <c r="A329" s="41" t="n"/>
      <c r="D329" s="87" t="n"/>
      <c r="F329" s="86" t="n"/>
      <c r="H329" s="72" t="n"/>
    </row>
    <row r="330">
      <c r="A330" s="41" t="n"/>
      <c r="D330" s="87" t="n"/>
      <c r="F330" s="86" t="n"/>
      <c r="H330" s="72" t="n"/>
    </row>
    <row r="331">
      <c r="A331" s="41" t="n"/>
      <c r="D331" s="87" t="n"/>
      <c r="F331" s="86" t="n"/>
      <c r="H331" s="72" t="n"/>
    </row>
    <row r="332">
      <c r="A332" s="41" t="n"/>
      <c r="D332" s="87" t="n"/>
      <c r="F332" s="86" t="n"/>
      <c r="H332" s="72" t="n"/>
    </row>
    <row r="333">
      <c r="A333" s="41" t="n"/>
      <c r="D333" s="87" t="n"/>
      <c r="F333" s="86" t="n"/>
      <c r="H333" s="72" t="n"/>
    </row>
    <row r="334">
      <c r="A334" s="41" t="n"/>
      <c r="D334" s="87" t="n"/>
      <c r="F334" s="86" t="n"/>
      <c r="H334" s="72" t="n"/>
    </row>
    <row r="335">
      <c r="A335" s="41" t="n"/>
      <c r="D335" s="87" t="n"/>
      <c r="F335" s="86" t="n"/>
      <c r="H335" s="72" t="n"/>
    </row>
    <row r="336">
      <c r="A336" s="41" t="n"/>
      <c r="D336" s="87" t="n"/>
      <c r="F336" s="86" t="n"/>
      <c r="H336" s="72" t="n"/>
    </row>
    <row r="337">
      <c r="A337" s="41" t="n"/>
      <c r="D337" s="87" t="n"/>
      <c r="F337" s="86" t="n"/>
      <c r="H337" s="72" t="n"/>
    </row>
    <row r="338">
      <c r="A338" s="41" t="n"/>
      <c r="D338" s="87" t="n"/>
      <c r="F338" s="86" t="n"/>
      <c r="H338" s="72" t="n"/>
    </row>
    <row r="339">
      <c r="A339" s="41" t="n"/>
      <c r="D339" s="87" t="n"/>
      <c r="F339" s="86" t="n"/>
      <c r="H339" s="72" t="n"/>
    </row>
    <row r="340">
      <c r="A340" s="41" t="n"/>
      <c r="D340" s="87" t="n"/>
      <c r="F340" s="86" t="n"/>
      <c r="H340" s="72" t="n"/>
    </row>
    <row r="341">
      <c r="A341" s="41" t="n"/>
      <c r="D341" s="87" t="n"/>
      <c r="F341" s="86" t="n"/>
      <c r="H341" s="72" t="n"/>
    </row>
    <row r="342">
      <c r="A342" s="41" t="n"/>
      <c r="D342" s="87" t="n"/>
      <c r="F342" s="86" t="n"/>
      <c r="H342" s="72" t="n"/>
    </row>
    <row r="343">
      <c r="A343" s="41" t="n"/>
      <c r="D343" s="87" t="n"/>
      <c r="F343" s="86" t="n"/>
      <c r="H343" s="72" t="n"/>
    </row>
    <row r="344">
      <c r="A344" s="41" t="n"/>
      <c r="D344" s="87" t="n"/>
      <c r="F344" s="86" t="n"/>
      <c r="H344" s="72" t="n"/>
    </row>
    <row r="345">
      <c r="A345" s="41" t="n"/>
      <c r="D345" s="87" t="n"/>
      <c r="F345" s="86" t="n"/>
      <c r="H345" s="72" t="n"/>
    </row>
    <row r="346">
      <c r="A346" s="41" t="n"/>
      <c r="D346" s="87" t="n"/>
      <c r="F346" s="86" t="n"/>
      <c r="H346" s="72" t="n"/>
    </row>
    <row r="347">
      <c r="A347" s="41" t="n"/>
      <c r="D347" s="87" t="n"/>
      <c r="F347" s="86" t="n"/>
      <c r="H347" s="72" t="n"/>
    </row>
    <row r="348">
      <c r="A348" s="41" t="n"/>
      <c r="D348" s="87" t="n"/>
      <c r="F348" s="86" t="n"/>
      <c r="H348" s="72" t="n"/>
    </row>
    <row r="349">
      <c r="A349" s="41" t="n"/>
      <c r="D349" s="87" t="n"/>
      <c r="F349" s="86" t="n"/>
      <c r="H349" s="72" t="n"/>
    </row>
    <row r="350">
      <c r="A350" s="41" t="n"/>
      <c r="D350" s="87" t="n"/>
      <c r="F350" s="86" t="n"/>
      <c r="H350" s="72" t="n"/>
    </row>
    <row r="351">
      <c r="A351" s="41" t="n"/>
      <c r="D351" s="87" t="n"/>
      <c r="F351" s="86" t="n"/>
      <c r="H351" s="72" t="n"/>
    </row>
    <row r="352">
      <c r="A352" s="41" t="n"/>
      <c r="D352" s="87" t="n"/>
      <c r="F352" s="86" t="n"/>
      <c r="H352" s="72" t="n"/>
    </row>
    <row r="353">
      <c r="A353" s="41" t="n"/>
      <c r="D353" s="87" t="n"/>
      <c r="F353" s="86" t="n"/>
      <c r="H353" s="72" t="n"/>
    </row>
    <row r="354">
      <c r="A354" s="41" t="n"/>
      <c r="D354" s="87" t="n"/>
      <c r="F354" s="86" t="n"/>
      <c r="H354" s="72" t="n"/>
    </row>
    <row r="355">
      <c r="A355" s="41" t="n"/>
      <c r="D355" s="87" t="n"/>
      <c r="F355" s="86" t="n"/>
      <c r="H355" s="72" t="n"/>
    </row>
    <row r="356">
      <c r="A356" s="41" t="n"/>
      <c r="D356" s="87" t="n"/>
      <c r="F356" s="86" t="n"/>
      <c r="H356" s="72" t="n"/>
    </row>
    <row r="357">
      <c r="A357" s="41" t="n"/>
      <c r="D357" s="87" t="n"/>
      <c r="F357" s="86" t="n"/>
      <c r="H357" s="72" t="n"/>
    </row>
    <row r="358">
      <c r="A358" s="52" t="n"/>
      <c r="D358" s="87" t="n"/>
      <c r="F358" s="86" t="n"/>
      <c r="H358" s="72" t="n"/>
    </row>
    <row r="359">
      <c r="D359" s="87" t="n"/>
      <c r="F359" s="86" t="n"/>
      <c r="H359" s="72" t="n"/>
    </row>
    <row r="360">
      <c r="D360" s="87" t="n"/>
      <c r="F360" s="86" t="n"/>
      <c r="H360" s="72" t="n"/>
    </row>
    <row r="361">
      <c r="D361" s="87" t="n"/>
      <c r="F361" s="86" t="n"/>
      <c r="H361" s="72" t="n"/>
    </row>
    <row r="362">
      <c r="A362" s="36" t="n"/>
      <c r="D362" s="87" t="n"/>
      <c r="F362" s="86" t="n"/>
      <c r="H362" s="72" t="n"/>
    </row>
    <row r="363">
      <c r="A363" s="36" t="n"/>
      <c r="D363" s="87" t="n"/>
      <c r="F363" s="86" t="n"/>
      <c r="H363" s="72" t="n"/>
    </row>
    <row r="364">
      <c r="A364" s="41" t="n"/>
      <c r="D364" s="87" t="n"/>
      <c r="F364" s="86" t="n"/>
      <c r="H364" s="72" t="n"/>
    </row>
    <row r="365">
      <c r="A365" s="41" t="n"/>
      <c r="D365" s="87" t="n"/>
      <c r="F365" s="86" t="n"/>
      <c r="H365" s="72" t="n"/>
    </row>
    <row r="366">
      <c r="A366" s="41" t="n"/>
      <c r="D366" s="87" t="n"/>
      <c r="F366" s="86" t="n"/>
      <c r="H366" s="72" t="n"/>
    </row>
    <row r="367">
      <c r="A367" s="41" t="n"/>
      <c r="D367" s="87" t="n"/>
      <c r="F367" s="86" t="n"/>
      <c r="H367" s="72" t="n"/>
    </row>
    <row r="368">
      <c r="A368" s="41" t="n"/>
      <c r="D368" s="87" t="n"/>
      <c r="F368" s="86" t="n"/>
      <c r="H368" s="72" t="n"/>
    </row>
    <row r="369">
      <c r="A369" s="41" t="n"/>
      <c r="D369" s="87" t="n"/>
      <c r="F369" s="86" t="n"/>
      <c r="H369" s="72" t="n"/>
    </row>
    <row r="370">
      <c r="A370" s="41" t="n"/>
      <c r="D370" s="87" t="n"/>
      <c r="F370" s="86" t="n"/>
      <c r="H370" s="72" t="n"/>
    </row>
    <row r="371">
      <c r="A371" s="41" t="n"/>
      <c r="D371" s="87" t="n"/>
      <c r="F371" s="86" t="n"/>
      <c r="H371" s="72" t="n"/>
    </row>
    <row r="372">
      <c r="A372" s="41" t="n"/>
      <c r="D372" s="87" t="n"/>
      <c r="F372" s="86" t="n"/>
      <c r="H372" s="72" t="n"/>
    </row>
    <row r="373">
      <c r="A373" s="41" t="n"/>
      <c r="D373" s="87" t="n"/>
      <c r="F373" s="86" t="n"/>
      <c r="H373" s="72" t="n"/>
    </row>
    <row r="374">
      <c r="A374" s="41" t="n"/>
      <c r="D374" s="87" t="n"/>
      <c r="F374" s="86" t="n"/>
      <c r="H374" s="72" t="n"/>
    </row>
    <row r="375">
      <c r="A375" s="41" t="n"/>
      <c r="D375" s="87" t="n"/>
      <c r="F375" s="86" t="n"/>
      <c r="H375" s="72" t="n"/>
    </row>
    <row r="376">
      <c r="A376" s="41" t="n"/>
      <c r="D376" s="87" t="n"/>
      <c r="F376" s="86" t="n"/>
      <c r="H376" s="72" t="n"/>
    </row>
    <row r="377">
      <c r="A377" s="41" t="n"/>
      <c r="D377" s="87" t="n"/>
      <c r="F377" s="86" t="n"/>
      <c r="H377" s="72" t="n"/>
    </row>
    <row r="378">
      <c r="A378" s="41" t="n"/>
      <c r="D378" s="87" t="n"/>
      <c r="F378" s="86" t="n"/>
      <c r="H378" s="72" t="n"/>
    </row>
    <row r="379">
      <c r="A379" s="41" t="n"/>
      <c r="D379" s="87" t="n"/>
      <c r="F379" s="86" t="n"/>
      <c r="H379" s="72" t="n"/>
    </row>
    <row r="380">
      <c r="A380" s="41" t="n"/>
      <c r="D380" s="87" t="n"/>
      <c r="F380" s="86" t="n"/>
      <c r="H380" s="72" t="n"/>
    </row>
    <row r="381">
      <c r="A381" s="41" t="n"/>
      <c r="D381" s="87" t="n"/>
      <c r="F381" s="86" t="n"/>
      <c r="H381" s="72" t="n"/>
    </row>
    <row r="382">
      <c r="A382" s="41" t="n"/>
      <c r="D382" s="87" t="n"/>
      <c r="F382" s="86" t="n"/>
      <c r="H382" s="72" t="n"/>
    </row>
    <row r="383">
      <c r="A383" s="41" t="n"/>
      <c r="D383" s="87" t="n"/>
      <c r="F383" s="86" t="n"/>
      <c r="H383" s="72" t="n"/>
    </row>
    <row r="384">
      <c r="A384" s="41" t="n"/>
      <c r="D384" s="87" t="n"/>
      <c r="F384" s="86" t="n"/>
      <c r="H384" s="72" t="n"/>
    </row>
    <row r="385">
      <c r="A385" s="41" t="n"/>
      <c r="D385" s="87" t="n"/>
      <c r="F385" s="86" t="n"/>
      <c r="H385" s="72" t="n"/>
    </row>
    <row r="386">
      <c r="A386" s="41" t="n"/>
      <c r="D386" s="87" t="n"/>
      <c r="F386" s="86" t="n"/>
      <c r="H386" s="72" t="n"/>
    </row>
    <row r="387">
      <c r="A387" s="41" t="n"/>
      <c r="D387" s="87" t="n"/>
      <c r="F387" s="86" t="n"/>
      <c r="H387" s="72" t="n"/>
    </row>
    <row r="388">
      <c r="A388" s="41" t="n"/>
      <c r="D388" s="87" t="n"/>
      <c r="F388" s="86" t="n"/>
      <c r="H388" s="72" t="n"/>
    </row>
    <row r="389">
      <c r="A389" s="41" t="n"/>
      <c r="D389" s="87" t="n"/>
      <c r="F389" s="86" t="n"/>
      <c r="H389" s="72" t="n"/>
    </row>
    <row r="390">
      <c r="A390" s="41" t="n"/>
      <c r="D390" s="87" t="n"/>
      <c r="F390" s="86" t="n"/>
      <c r="H390" s="72" t="n"/>
    </row>
    <row r="391">
      <c r="A391" s="41" t="n"/>
      <c r="D391" s="87" t="n"/>
      <c r="F391" s="86" t="n"/>
      <c r="H391" s="72" t="n"/>
    </row>
    <row r="392">
      <c r="A392" s="41" t="n"/>
      <c r="D392" s="87" t="n"/>
      <c r="F392" s="86" t="n"/>
      <c r="H392" s="72" t="n"/>
    </row>
    <row r="393">
      <c r="A393" s="41" t="n"/>
      <c r="D393" s="87" t="n"/>
      <c r="F393" s="86" t="n"/>
      <c r="H393" s="72" t="n"/>
    </row>
    <row r="394">
      <c r="A394" s="41" t="n"/>
      <c r="D394" s="87" t="n"/>
      <c r="F394" s="86" t="n"/>
      <c r="H394" s="72" t="n"/>
    </row>
    <row r="395">
      <c r="A395" s="41" t="n"/>
      <c r="D395" s="87" t="n"/>
      <c r="F395" s="86" t="n"/>
      <c r="H395" s="72" t="n"/>
    </row>
    <row r="396">
      <c r="A396" s="41" t="n"/>
      <c r="D396" s="87" t="n"/>
      <c r="F396" s="86" t="n"/>
      <c r="H396" s="72" t="n"/>
    </row>
    <row r="397">
      <c r="A397" s="41" t="n"/>
      <c r="D397" s="87" t="n"/>
      <c r="F397" s="86" t="n"/>
      <c r="H397" s="72" t="n"/>
    </row>
    <row r="398">
      <c r="A398" s="41" t="n"/>
      <c r="D398" s="87" t="n"/>
      <c r="F398" s="86" t="n"/>
      <c r="H398" s="72" t="n"/>
    </row>
    <row r="399">
      <c r="A399" s="41" t="n"/>
      <c r="D399" s="87" t="n"/>
      <c r="F399" s="86" t="n"/>
      <c r="H399" s="72" t="n"/>
    </row>
    <row r="400">
      <c r="A400" s="41" t="n"/>
      <c r="D400" s="87" t="n"/>
      <c r="F400" s="86" t="n"/>
      <c r="H400" s="72" t="n"/>
    </row>
    <row r="401">
      <c r="A401" s="41" t="n"/>
      <c r="D401" s="87" t="n"/>
      <c r="F401" s="86" t="n"/>
      <c r="H401" s="72" t="n"/>
    </row>
    <row r="402">
      <c r="A402" s="41" t="n"/>
      <c r="D402" s="87" t="n"/>
      <c r="F402" s="86" t="n"/>
      <c r="H402" s="72" t="n"/>
    </row>
    <row r="403">
      <c r="A403" s="41" t="n"/>
      <c r="D403" s="87" t="n"/>
      <c r="F403" s="86" t="n"/>
      <c r="H403" s="72" t="n"/>
    </row>
    <row r="404">
      <c r="A404" s="41" t="n"/>
      <c r="D404" s="87" t="n"/>
      <c r="F404" s="86" t="n"/>
      <c r="H404" s="72" t="n"/>
    </row>
    <row r="405">
      <c r="A405" s="41" t="n"/>
      <c r="D405" s="87" t="n"/>
      <c r="F405" s="86" t="n"/>
      <c r="H405" s="72" t="n"/>
    </row>
    <row r="406">
      <c r="A406" s="41" t="n"/>
      <c r="D406" s="87" t="n"/>
      <c r="F406" s="86" t="n"/>
      <c r="H406" s="72" t="n"/>
    </row>
    <row r="407">
      <c r="A407" s="41" t="n"/>
      <c r="D407" s="87" t="n"/>
      <c r="F407" s="86" t="n"/>
      <c r="H407" s="72" t="n"/>
    </row>
    <row r="408">
      <c r="A408" s="41" t="n"/>
      <c r="D408" s="87" t="n"/>
      <c r="F408" s="86" t="n"/>
      <c r="H408" s="72" t="n"/>
    </row>
    <row r="409">
      <c r="A409" s="41" t="n"/>
      <c r="D409" s="87" t="n"/>
      <c r="F409" s="86" t="n"/>
      <c r="H409" s="72" t="n"/>
    </row>
    <row r="410">
      <c r="A410" s="41" t="n"/>
      <c r="D410" s="87" t="n"/>
      <c r="F410" s="86" t="n"/>
      <c r="H410" s="72" t="n"/>
    </row>
    <row r="411">
      <c r="A411" s="41" t="n"/>
      <c r="D411" s="87" t="n"/>
      <c r="F411" s="86" t="n"/>
      <c r="H411" s="72" t="n"/>
    </row>
    <row r="412">
      <c r="A412" s="41" t="n"/>
      <c r="D412" s="87" t="n"/>
      <c r="F412" s="86" t="n"/>
      <c r="H412" s="72" t="n"/>
    </row>
    <row r="413">
      <c r="A413" s="41" t="n"/>
      <c r="D413" s="87" t="n"/>
      <c r="F413" s="86" t="n"/>
      <c r="H413" s="72" t="n"/>
    </row>
    <row r="414">
      <c r="A414" s="41" t="n"/>
      <c r="D414" s="87" t="n"/>
      <c r="F414" s="86" t="n"/>
      <c r="H414" s="72" t="n"/>
    </row>
    <row r="415">
      <c r="A415" s="41" t="n"/>
      <c r="D415" s="87" t="n"/>
      <c r="F415" s="86" t="n"/>
      <c r="H415" s="72" t="n"/>
    </row>
    <row r="416">
      <c r="A416" s="41" t="n"/>
      <c r="D416" s="87" t="n"/>
      <c r="F416" s="86" t="n"/>
      <c r="H416" s="72" t="n"/>
    </row>
    <row r="417">
      <c r="A417" s="41" t="n"/>
      <c r="D417" s="87" t="n"/>
      <c r="F417" s="86" t="n"/>
      <c r="H417" s="72" t="n"/>
    </row>
    <row r="418">
      <c r="A418" s="41" t="n"/>
      <c r="D418" s="87" t="n"/>
      <c r="F418" s="86" t="n"/>
      <c r="H418" s="72" t="n"/>
    </row>
    <row r="419">
      <c r="A419" s="41" t="n"/>
      <c r="D419" s="87" t="n"/>
      <c r="F419" s="86" t="n"/>
      <c r="H419" s="72" t="n"/>
    </row>
    <row r="420">
      <c r="A420" s="41" t="n"/>
      <c r="D420" s="87" t="n"/>
      <c r="F420" s="86" t="n"/>
      <c r="H420" s="72" t="n"/>
    </row>
    <row r="421">
      <c r="A421" s="41" t="n"/>
      <c r="D421" s="87" t="n"/>
      <c r="F421" s="86" t="n"/>
      <c r="H421" s="72" t="n"/>
    </row>
    <row r="422">
      <c r="A422" s="41" t="n"/>
      <c r="D422" s="87" t="n"/>
      <c r="F422" s="86" t="n"/>
      <c r="H422" s="72" t="n"/>
    </row>
    <row r="423">
      <c r="A423" s="41" t="n"/>
      <c r="D423" s="87" t="n"/>
      <c r="F423" s="86" t="n"/>
      <c r="H423" s="72" t="n"/>
    </row>
    <row r="424">
      <c r="A424" s="41" t="n"/>
      <c r="D424" s="87" t="n"/>
      <c r="F424" s="86" t="n"/>
      <c r="H424" s="72" t="n"/>
    </row>
    <row r="425">
      <c r="A425" s="41" t="n"/>
      <c r="D425" s="87" t="n"/>
      <c r="F425" s="86" t="n"/>
      <c r="H425" s="72" t="n"/>
    </row>
    <row r="426">
      <c r="A426" s="41" t="n"/>
      <c r="D426" s="87" t="n"/>
      <c r="F426" s="86" t="n"/>
      <c r="H426" s="72" t="n"/>
    </row>
    <row r="427">
      <c r="A427" s="41" t="n"/>
      <c r="D427" s="87" t="n"/>
      <c r="F427" s="86" t="n"/>
      <c r="H427" s="72" t="n"/>
    </row>
    <row r="428">
      <c r="A428" s="41" t="n"/>
      <c r="D428" s="87" t="n"/>
      <c r="F428" s="86" t="n"/>
      <c r="H428" s="72" t="n"/>
    </row>
    <row r="429">
      <c r="A429" s="41" t="n"/>
      <c r="D429" s="87" t="n"/>
      <c r="F429" s="86" t="n"/>
      <c r="H429" s="72" t="n"/>
    </row>
    <row r="430">
      <c r="A430" s="41" t="n"/>
      <c r="D430" s="87" t="n"/>
      <c r="F430" s="86" t="n"/>
      <c r="H430" s="72" t="n"/>
    </row>
    <row r="431">
      <c r="A431" s="52" t="n"/>
      <c r="D431" s="87" t="n"/>
      <c r="F431" s="86" t="n"/>
      <c r="H431" s="72" t="n"/>
    </row>
    <row r="432">
      <c r="D432" s="87" t="n"/>
      <c r="F432" s="86" t="n"/>
      <c r="H432" s="72" t="n"/>
    </row>
    <row r="433">
      <c r="D433" s="87" t="n"/>
      <c r="F433" s="86" t="n"/>
      <c r="H433" s="72" t="n"/>
    </row>
    <row r="434">
      <c r="D434" s="87" t="n"/>
      <c r="F434" s="86" t="n"/>
      <c r="H434" s="72" t="n"/>
    </row>
    <row r="435">
      <c r="A435" s="36" t="n"/>
      <c r="D435" s="87" t="n"/>
      <c r="F435" s="86" t="n"/>
      <c r="H435" s="72" t="n"/>
    </row>
    <row r="436">
      <c r="A436" s="36" t="n"/>
      <c r="D436" s="87" t="n"/>
      <c r="F436" s="86" t="n"/>
      <c r="H436" s="72" t="n"/>
    </row>
    <row r="437">
      <c r="A437" s="41" t="n"/>
      <c r="D437" s="87" t="n"/>
      <c r="F437" s="86" t="n"/>
      <c r="H437" s="72" t="n"/>
    </row>
    <row r="438">
      <c r="A438" s="41" t="n"/>
      <c r="D438" s="87" t="n"/>
      <c r="F438" s="86" t="n"/>
      <c r="H438" s="72" t="n"/>
    </row>
    <row r="439">
      <c r="A439" s="41" t="n"/>
      <c r="D439" s="87" t="n"/>
      <c r="F439" s="86" t="n"/>
      <c r="H439" s="72" t="n"/>
    </row>
    <row r="440">
      <c r="A440" s="41" t="n"/>
      <c r="D440" s="87" t="n"/>
      <c r="F440" s="86" t="n"/>
      <c r="H440" s="72" t="n"/>
    </row>
    <row r="441">
      <c r="A441" s="41" t="n"/>
      <c r="D441" s="87" t="n"/>
      <c r="F441" s="86" t="n"/>
      <c r="H441" s="72" t="n"/>
    </row>
    <row r="442">
      <c r="A442" s="41" t="n"/>
      <c r="D442" s="87" t="n"/>
      <c r="F442" s="86" t="n"/>
      <c r="H442" s="72" t="n"/>
    </row>
    <row r="443">
      <c r="A443" s="41" t="n"/>
      <c r="D443" s="87" t="n"/>
      <c r="F443" s="86" t="n"/>
      <c r="H443" s="72" t="n"/>
    </row>
    <row r="444">
      <c r="A444" s="41" t="n"/>
      <c r="D444" s="87" t="n"/>
      <c r="F444" s="86" t="n"/>
      <c r="H444" s="72" t="n"/>
    </row>
    <row r="445">
      <c r="A445" s="41" t="n"/>
      <c r="D445" s="87" t="n"/>
      <c r="F445" s="86" t="n"/>
      <c r="H445" s="72" t="n"/>
    </row>
    <row r="446">
      <c r="A446" s="41" t="n"/>
      <c r="D446" s="87" t="n"/>
      <c r="F446" s="86" t="n"/>
      <c r="H446" s="72" t="n"/>
    </row>
    <row r="447">
      <c r="A447" s="41" t="n"/>
      <c r="D447" s="87" t="n"/>
      <c r="F447" s="86" t="n"/>
      <c r="H447" s="72" t="n"/>
    </row>
    <row r="448">
      <c r="A448" s="41" t="n"/>
      <c r="D448" s="87" t="n"/>
      <c r="F448" s="86" t="n"/>
      <c r="H448" s="72" t="n"/>
    </row>
    <row r="449">
      <c r="A449" s="41" t="n"/>
      <c r="D449" s="87" t="n"/>
      <c r="F449" s="86" t="n"/>
      <c r="H449" s="72" t="n"/>
    </row>
    <row r="450">
      <c r="A450" s="41" t="n"/>
      <c r="D450" s="87" t="n"/>
      <c r="F450" s="86" t="n"/>
      <c r="H450" s="72" t="n"/>
    </row>
    <row r="451">
      <c r="A451" s="41" t="n"/>
      <c r="D451" s="87" t="n"/>
      <c r="F451" s="86" t="n"/>
      <c r="H451" s="72" t="n"/>
    </row>
    <row r="452">
      <c r="A452" s="41" t="n"/>
      <c r="D452" s="87" t="n"/>
      <c r="F452" s="86" t="n"/>
      <c r="H452" s="72" t="n"/>
    </row>
    <row r="453">
      <c r="A453" s="41" t="n"/>
      <c r="D453" s="87" t="n"/>
      <c r="F453" s="86" t="n"/>
      <c r="H453" s="72" t="n"/>
    </row>
    <row r="454">
      <c r="A454" s="41" t="n"/>
      <c r="D454" s="87" t="n"/>
      <c r="F454" s="86" t="n"/>
      <c r="H454" s="72" t="n"/>
    </row>
    <row r="455">
      <c r="A455" s="41" t="n"/>
      <c r="D455" s="87" t="n"/>
      <c r="F455" s="86" t="n"/>
      <c r="H455" s="72" t="n"/>
    </row>
    <row r="456">
      <c r="A456" s="41" t="n"/>
      <c r="D456" s="87" t="n"/>
      <c r="F456" s="86" t="n"/>
      <c r="H456" s="72" t="n"/>
    </row>
    <row r="457">
      <c r="A457" s="41" t="n"/>
      <c r="D457" s="87" t="n"/>
      <c r="F457" s="86" t="n"/>
      <c r="H457" s="72" t="n"/>
    </row>
    <row r="458">
      <c r="A458" s="41" t="n"/>
      <c r="D458" s="87" t="n"/>
      <c r="F458" s="86" t="n"/>
      <c r="H458" s="72" t="n"/>
    </row>
    <row r="459">
      <c r="A459" s="41" t="n"/>
      <c r="D459" s="87" t="n"/>
      <c r="F459" s="86" t="n"/>
      <c r="H459" s="72" t="n"/>
    </row>
    <row r="460">
      <c r="A460" s="41" t="n"/>
      <c r="D460" s="87" t="n"/>
      <c r="F460" s="86" t="n"/>
      <c r="H460" s="72" t="n"/>
    </row>
    <row r="461">
      <c r="A461" s="41" t="n"/>
      <c r="D461" s="87" t="n"/>
      <c r="F461" s="86" t="n"/>
      <c r="H461" s="72" t="n"/>
    </row>
    <row r="462">
      <c r="A462" s="41" t="n"/>
      <c r="D462" s="87" t="n"/>
      <c r="F462" s="86" t="n"/>
      <c r="H462" s="72" t="n"/>
    </row>
    <row r="463">
      <c r="A463" s="41" t="n"/>
      <c r="D463" s="87" t="n"/>
      <c r="F463" s="86" t="n"/>
      <c r="H463" s="72" t="n"/>
    </row>
    <row r="464">
      <c r="A464" s="41" t="n"/>
      <c r="D464" s="87" t="n"/>
      <c r="F464" s="86" t="n"/>
      <c r="H464" s="72" t="n"/>
    </row>
    <row r="465">
      <c r="A465" s="41" t="n"/>
      <c r="D465" s="87" t="n"/>
      <c r="F465" s="86" t="n"/>
      <c r="H465" s="72" t="n"/>
    </row>
    <row r="466">
      <c r="A466" s="41" t="n"/>
      <c r="D466" s="87" t="n"/>
      <c r="F466" s="86" t="n"/>
      <c r="H466" s="72" t="n"/>
    </row>
    <row r="467">
      <c r="A467" s="41" t="n"/>
      <c r="D467" s="87" t="n"/>
      <c r="F467" s="86" t="n"/>
      <c r="H467" s="72" t="n"/>
    </row>
    <row r="468">
      <c r="A468" s="41" t="n"/>
      <c r="D468" s="87" t="n"/>
      <c r="F468" s="86" t="n"/>
      <c r="H468" s="72" t="n"/>
    </row>
    <row r="469">
      <c r="A469" s="41" t="n"/>
      <c r="D469" s="87" t="n"/>
      <c r="F469" s="86" t="n"/>
      <c r="H469" s="72" t="n"/>
    </row>
    <row r="470">
      <c r="A470" s="41" t="n"/>
      <c r="D470" s="87" t="n"/>
      <c r="F470" s="86" t="n"/>
      <c r="H470" s="72" t="n"/>
    </row>
    <row r="471">
      <c r="A471" s="41" t="n"/>
      <c r="D471" s="87" t="n"/>
      <c r="F471" s="86" t="n"/>
      <c r="H471" s="72" t="n"/>
    </row>
    <row r="472">
      <c r="A472" s="41" t="n"/>
      <c r="D472" s="87" t="n"/>
      <c r="F472" s="86" t="n"/>
      <c r="H472" s="72" t="n"/>
    </row>
    <row r="473">
      <c r="A473" s="41" t="n"/>
      <c r="D473" s="87" t="n"/>
      <c r="F473" s="86" t="n"/>
      <c r="H473" s="72" t="n"/>
    </row>
    <row r="474">
      <c r="A474" s="41" t="n"/>
      <c r="D474" s="87" t="n"/>
      <c r="F474" s="86" t="n"/>
      <c r="H474" s="72" t="n"/>
    </row>
    <row r="475">
      <c r="A475" s="41" t="n"/>
      <c r="D475" s="87" t="n"/>
      <c r="F475" s="86" t="n"/>
      <c r="H475" s="72" t="n"/>
    </row>
    <row r="476">
      <c r="A476" s="41" t="n"/>
      <c r="D476" s="87" t="n"/>
      <c r="F476" s="86" t="n"/>
      <c r="H476" s="72" t="n"/>
    </row>
    <row r="477">
      <c r="A477" s="41" t="n"/>
      <c r="D477" s="87" t="n"/>
      <c r="F477" s="86" t="n"/>
      <c r="H477" s="72" t="n"/>
    </row>
    <row r="478">
      <c r="A478" s="41" t="n"/>
      <c r="D478" s="87" t="n"/>
      <c r="F478" s="86" t="n"/>
      <c r="H478" s="72" t="n"/>
    </row>
    <row r="479">
      <c r="A479" s="41" t="n"/>
      <c r="D479" s="87" t="n"/>
      <c r="F479" s="86" t="n"/>
      <c r="H479" s="72" t="n"/>
    </row>
    <row r="480">
      <c r="A480" s="41" t="n"/>
      <c r="D480" s="87" t="n"/>
      <c r="F480" s="86" t="n"/>
      <c r="H480" s="72" t="n"/>
    </row>
    <row r="481">
      <c r="A481" s="41" t="n"/>
      <c r="D481" s="87" t="n"/>
      <c r="F481" s="86" t="n"/>
      <c r="H481" s="72" t="n"/>
    </row>
    <row r="482">
      <c r="A482" s="41" t="n"/>
      <c r="D482" s="87" t="n"/>
      <c r="F482" s="86" t="n"/>
      <c r="H482" s="72" t="n"/>
    </row>
    <row r="483">
      <c r="A483" s="41" t="n"/>
      <c r="D483" s="87" t="n"/>
      <c r="F483" s="86" t="n"/>
      <c r="H483" s="72" t="n"/>
    </row>
    <row r="484">
      <c r="A484" s="41" t="n"/>
      <c r="D484" s="87" t="n"/>
      <c r="F484" s="86" t="n"/>
      <c r="H484" s="72" t="n"/>
    </row>
    <row r="485">
      <c r="A485" s="41" t="n"/>
      <c r="D485" s="87" t="n"/>
      <c r="F485" s="86" t="n"/>
      <c r="H485" s="72" t="n"/>
    </row>
    <row r="486">
      <c r="A486" s="41" t="n"/>
      <c r="D486" s="87" t="n"/>
      <c r="F486" s="86" t="n"/>
      <c r="H486" s="72" t="n"/>
    </row>
    <row r="487">
      <c r="A487" s="41" t="n"/>
      <c r="D487" s="87" t="n"/>
      <c r="F487" s="86" t="n"/>
      <c r="H487" s="72" t="n"/>
    </row>
    <row r="488">
      <c r="A488" s="41" t="n"/>
      <c r="D488" s="87" t="n"/>
      <c r="F488" s="86" t="n"/>
      <c r="H488" s="72" t="n"/>
    </row>
    <row r="489">
      <c r="A489" s="41" t="n"/>
      <c r="D489" s="87" t="n"/>
      <c r="F489" s="86" t="n"/>
      <c r="H489" s="72" t="n"/>
    </row>
    <row r="490">
      <c r="A490" s="41" t="n"/>
      <c r="D490" s="87" t="n"/>
      <c r="F490" s="86" t="n"/>
      <c r="H490" s="72" t="n"/>
    </row>
    <row r="491">
      <c r="A491" s="41" t="n"/>
      <c r="D491" s="87" t="n"/>
      <c r="F491" s="86" t="n"/>
      <c r="H491" s="72" t="n"/>
    </row>
    <row r="492">
      <c r="A492" s="41" t="n"/>
      <c r="D492" s="87" t="n"/>
      <c r="F492" s="86" t="n"/>
      <c r="H492" s="72" t="n"/>
    </row>
    <row r="493">
      <c r="A493" s="41" t="n"/>
      <c r="D493" s="87" t="n"/>
      <c r="F493" s="86" t="n"/>
      <c r="H493" s="72" t="n"/>
    </row>
    <row r="494">
      <c r="A494" s="41" t="n"/>
      <c r="D494" s="87" t="n"/>
      <c r="F494" s="86" t="n"/>
      <c r="H494" s="72" t="n"/>
    </row>
    <row r="495">
      <c r="A495" s="41" t="n"/>
      <c r="D495" s="87" t="n"/>
      <c r="F495" s="86" t="n"/>
      <c r="H495" s="72" t="n"/>
    </row>
    <row r="496">
      <c r="A496" s="41" t="n"/>
      <c r="D496" s="87" t="n"/>
      <c r="F496" s="86" t="n"/>
      <c r="H496" s="72" t="n"/>
    </row>
    <row r="497">
      <c r="A497" s="41" t="n"/>
      <c r="D497" s="87" t="n"/>
      <c r="F497" s="86" t="n"/>
      <c r="H497" s="72" t="n"/>
    </row>
    <row r="498">
      <c r="A498" s="41" t="n"/>
      <c r="D498" s="87" t="n"/>
      <c r="F498" s="86" t="n"/>
      <c r="H498" s="72" t="n"/>
    </row>
    <row r="499">
      <c r="A499" s="41" t="n"/>
      <c r="D499" s="87" t="n"/>
      <c r="F499" s="86" t="n"/>
      <c r="H499" s="72" t="n"/>
    </row>
    <row r="500">
      <c r="A500" s="41" t="n"/>
      <c r="D500" s="87" t="n"/>
      <c r="F500" s="86" t="n"/>
      <c r="H500" s="72" t="n"/>
    </row>
    <row r="501">
      <c r="A501" s="41" t="n"/>
      <c r="D501" s="87" t="n"/>
      <c r="F501" s="86" t="n"/>
      <c r="H501" s="72" t="n"/>
    </row>
    <row r="502">
      <c r="A502" s="41" t="n"/>
      <c r="D502" s="87" t="n"/>
      <c r="F502" s="86" t="n"/>
      <c r="H502" s="72" t="n"/>
    </row>
    <row r="503">
      <c r="A503" s="41" t="n"/>
      <c r="D503" s="87" t="n"/>
      <c r="F503" s="86" t="n"/>
      <c r="H503" s="72" t="n"/>
    </row>
    <row r="504">
      <c r="A504" s="52" t="n"/>
      <c r="D504" s="87" t="n"/>
      <c r="F504" s="86" t="n"/>
      <c r="H504" s="72" t="n"/>
    </row>
    <row r="505">
      <c r="D505" s="87" t="n"/>
      <c r="F505" s="86" t="n"/>
      <c r="H505" s="72" t="n"/>
    </row>
    <row r="506">
      <c r="D506" s="87" t="n"/>
      <c r="F506" s="86" t="n"/>
      <c r="H506" s="72" t="n"/>
    </row>
    <row r="507">
      <c r="D507" s="87" t="n"/>
      <c r="F507" s="86" t="n"/>
      <c r="H507" s="72" t="n"/>
    </row>
    <row r="508">
      <c r="A508" s="36" t="n"/>
      <c r="D508" s="87" t="n"/>
      <c r="F508" s="86" t="n"/>
      <c r="H508" s="72" t="n"/>
    </row>
    <row r="509">
      <c r="A509" s="36" t="n"/>
      <c r="D509" s="87" t="n"/>
      <c r="F509" s="86" t="n"/>
      <c r="H509" s="72" t="n"/>
    </row>
    <row r="510">
      <c r="A510" s="41" t="n"/>
      <c r="D510" s="87" t="n"/>
      <c r="F510" s="86" t="n"/>
      <c r="H510" s="72" t="n"/>
    </row>
    <row r="511">
      <c r="A511" s="41" t="n"/>
      <c r="D511" s="87" t="n"/>
      <c r="F511" s="86" t="n"/>
      <c r="H511" s="72" t="n"/>
    </row>
    <row r="512">
      <c r="A512" s="41" t="n"/>
      <c r="D512" s="87" t="n"/>
      <c r="F512" s="86" t="n"/>
      <c r="H512" s="72" t="n"/>
    </row>
    <row r="513">
      <c r="A513" s="41" t="n"/>
      <c r="D513" s="87" t="n"/>
      <c r="F513" s="86" t="n"/>
      <c r="H513" s="72" t="n"/>
    </row>
    <row r="514">
      <c r="A514" s="41" t="n"/>
      <c r="D514" s="87" t="n"/>
      <c r="F514" s="86" t="n"/>
      <c r="H514" s="72" t="n"/>
    </row>
    <row r="515">
      <c r="A515" s="41" t="n"/>
      <c r="D515" s="87" t="n"/>
      <c r="F515" s="86" t="n"/>
      <c r="H515" s="72" t="n"/>
    </row>
    <row r="516">
      <c r="A516" s="41" t="n"/>
      <c r="D516" s="87" t="n"/>
      <c r="F516" s="86" t="n"/>
      <c r="H516" s="72" t="n"/>
    </row>
    <row r="517">
      <c r="A517" s="41" t="n"/>
      <c r="D517" s="87" t="n"/>
      <c r="F517" s="86" t="n"/>
      <c r="H517" s="72" t="n"/>
    </row>
    <row r="518">
      <c r="A518" s="41" t="n"/>
      <c r="D518" s="87" t="n"/>
      <c r="F518" s="86" t="n"/>
      <c r="H518" s="72" t="n"/>
    </row>
    <row r="519">
      <c r="A519" s="41" t="n"/>
      <c r="D519" s="87" t="n"/>
      <c r="F519" s="86" t="n"/>
      <c r="H519" s="72" t="n"/>
    </row>
    <row r="520">
      <c r="A520" s="41" t="n"/>
      <c r="D520" s="87" t="n"/>
      <c r="F520" s="86" t="n"/>
      <c r="H520" s="72" t="n"/>
    </row>
    <row r="521">
      <c r="A521" s="41" t="n"/>
      <c r="D521" s="87" t="n"/>
      <c r="F521" s="86" t="n"/>
      <c r="H521" s="72" t="n"/>
    </row>
    <row r="522">
      <c r="A522" s="41" t="n"/>
      <c r="D522" s="87" t="n"/>
      <c r="F522" s="86" t="n"/>
      <c r="H522" s="72" t="n"/>
    </row>
    <row r="523">
      <c r="A523" s="41" t="n"/>
      <c r="D523" s="87" t="n"/>
      <c r="F523" s="86" t="n"/>
      <c r="H523" s="72" t="n"/>
    </row>
    <row r="524">
      <c r="A524" s="41" t="n"/>
      <c r="D524" s="87" t="n"/>
      <c r="F524" s="86" t="n"/>
      <c r="H524" s="72" t="n"/>
    </row>
    <row r="525">
      <c r="A525" s="41" t="n"/>
      <c r="D525" s="87" t="n"/>
      <c r="F525" s="86" t="n"/>
      <c r="H525" s="72" t="n"/>
    </row>
    <row r="526">
      <c r="A526" s="41" t="n"/>
      <c r="D526" s="87" t="n"/>
      <c r="F526" s="86" t="n"/>
      <c r="H526" s="72" t="n"/>
    </row>
    <row r="527">
      <c r="A527" s="41" t="n"/>
      <c r="D527" s="87" t="n"/>
      <c r="F527" s="86" t="n"/>
      <c r="H527" s="72" t="n"/>
    </row>
    <row r="528">
      <c r="A528" s="41" t="n"/>
      <c r="D528" s="87" t="n"/>
      <c r="F528" s="86" t="n"/>
      <c r="H528" s="72" t="n"/>
    </row>
    <row r="529">
      <c r="A529" s="41" t="n"/>
      <c r="D529" s="87" t="n"/>
      <c r="F529" s="86" t="n"/>
      <c r="H529" s="72" t="n"/>
    </row>
    <row r="530">
      <c r="A530" s="41" t="n"/>
      <c r="D530" s="87" t="n"/>
      <c r="F530" s="86" t="n"/>
      <c r="H530" s="72" t="n"/>
    </row>
    <row r="531">
      <c r="A531" s="41" t="n"/>
      <c r="D531" s="87" t="n"/>
      <c r="F531" s="86" t="n"/>
      <c r="H531" s="72" t="n"/>
    </row>
    <row r="532">
      <c r="A532" s="41" t="n"/>
      <c r="D532" s="87" t="n"/>
      <c r="F532" s="86" t="n"/>
      <c r="H532" s="72" t="n"/>
    </row>
    <row r="533">
      <c r="A533" s="41" t="n"/>
      <c r="D533" s="87" t="n"/>
      <c r="F533" s="86" t="n"/>
      <c r="H533" s="72" t="n"/>
    </row>
    <row r="534">
      <c r="A534" s="41" t="n"/>
      <c r="D534" s="87" t="n"/>
      <c r="F534" s="86" t="n"/>
      <c r="H534" s="72" t="n"/>
    </row>
    <row r="535">
      <c r="A535" s="41" t="n"/>
      <c r="D535" s="87" t="n"/>
      <c r="F535" s="86" t="n"/>
      <c r="H535" s="72" t="n"/>
    </row>
    <row r="536">
      <c r="A536" s="41" t="n"/>
      <c r="D536" s="87" t="n"/>
      <c r="F536" s="86" t="n"/>
      <c r="H536" s="72" t="n"/>
    </row>
    <row r="537">
      <c r="A537" s="41" t="n"/>
      <c r="D537" s="87" t="n"/>
      <c r="F537" s="86" t="n"/>
      <c r="H537" s="72" t="n"/>
    </row>
    <row r="538">
      <c r="A538" s="41" t="n"/>
      <c r="D538" s="87" t="n"/>
      <c r="F538" s="86" t="n"/>
      <c r="H538" s="72" t="n"/>
    </row>
    <row r="539">
      <c r="A539" s="41" t="n"/>
      <c r="D539" s="87" t="n"/>
      <c r="F539" s="86" t="n"/>
      <c r="H539" s="72" t="n"/>
    </row>
    <row r="540">
      <c r="A540" s="41" t="n"/>
      <c r="D540" s="87" t="n"/>
      <c r="F540" s="86" t="n"/>
      <c r="H540" s="72" t="n"/>
    </row>
    <row r="541">
      <c r="A541" s="41" t="n"/>
      <c r="D541" s="87" t="n"/>
      <c r="F541" s="86" t="n"/>
      <c r="H541" s="72" t="n"/>
    </row>
    <row r="542">
      <c r="A542" s="41" t="n"/>
      <c r="D542" s="87" t="n"/>
      <c r="F542" s="86" t="n"/>
      <c r="H542" s="72" t="n"/>
    </row>
    <row r="543">
      <c r="A543" s="41" t="n"/>
      <c r="D543" s="87" t="n"/>
      <c r="F543" s="86" t="n"/>
      <c r="H543" s="72" t="n"/>
    </row>
    <row r="544">
      <c r="A544" s="41" t="n"/>
      <c r="D544" s="87" t="n"/>
      <c r="F544" s="86" t="n"/>
      <c r="H544" s="72" t="n"/>
    </row>
    <row r="545">
      <c r="A545" s="41" t="n"/>
      <c r="D545" s="87" t="n"/>
      <c r="F545" s="86" t="n"/>
      <c r="H545" s="72" t="n"/>
    </row>
    <row r="546">
      <c r="A546" s="41" t="n"/>
      <c r="D546" s="87" t="n"/>
      <c r="F546" s="86" t="n"/>
      <c r="H546" s="72" t="n"/>
    </row>
    <row r="547">
      <c r="A547" s="41" t="n"/>
      <c r="D547" s="87" t="n"/>
      <c r="F547" s="86" t="n"/>
      <c r="H547" s="72" t="n"/>
    </row>
    <row r="548">
      <c r="A548" s="41" t="n"/>
      <c r="D548" s="87" t="n"/>
      <c r="F548" s="86" t="n"/>
      <c r="H548" s="72" t="n"/>
    </row>
    <row r="549">
      <c r="A549" s="41" t="n"/>
      <c r="D549" s="87" t="n"/>
      <c r="F549" s="86" t="n"/>
      <c r="H549" s="72" t="n"/>
    </row>
    <row r="550">
      <c r="A550" s="41" t="n"/>
      <c r="D550" s="87" t="n"/>
      <c r="F550" s="86" t="n"/>
      <c r="H550" s="72" t="n"/>
    </row>
    <row r="551">
      <c r="A551" s="41" t="n"/>
      <c r="D551" s="87" t="n"/>
      <c r="F551" s="86" t="n"/>
      <c r="H551" s="72" t="n"/>
    </row>
    <row r="552">
      <c r="A552" s="41" t="n"/>
      <c r="D552" s="87" t="n"/>
      <c r="F552" s="86" t="n"/>
      <c r="H552" s="72" t="n"/>
    </row>
    <row r="553">
      <c r="A553" s="41" t="n"/>
      <c r="D553" s="87" t="n"/>
      <c r="F553" s="86" t="n"/>
      <c r="H553" s="72" t="n"/>
    </row>
    <row r="554">
      <c r="A554" s="41" t="n"/>
      <c r="D554" s="87" t="n"/>
      <c r="F554" s="86" t="n"/>
      <c r="H554" s="72" t="n"/>
    </row>
    <row r="555">
      <c r="A555" s="41" t="n"/>
      <c r="D555" s="87" t="n"/>
      <c r="F555" s="86" t="n"/>
      <c r="H555" s="72" t="n"/>
    </row>
    <row r="556">
      <c r="A556" s="41" t="n"/>
      <c r="D556" s="87" t="n"/>
      <c r="F556" s="86" t="n"/>
      <c r="H556" s="72" t="n"/>
    </row>
    <row r="557">
      <c r="A557" s="41" t="n"/>
      <c r="D557" s="87" t="n"/>
      <c r="F557" s="86" t="n"/>
      <c r="H557" s="72" t="n"/>
    </row>
    <row r="558">
      <c r="A558" s="41" t="n"/>
      <c r="D558" s="87" t="n"/>
      <c r="F558" s="86" t="n"/>
      <c r="H558" s="72" t="n"/>
    </row>
    <row r="559">
      <c r="A559" s="41" t="n"/>
      <c r="D559" s="87" t="n"/>
      <c r="F559" s="86" t="n"/>
      <c r="H559" s="72" t="n"/>
    </row>
    <row r="560">
      <c r="A560" s="41" t="n"/>
      <c r="D560" s="87" t="n"/>
      <c r="F560" s="86" t="n"/>
      <c r="H560" s="72" t="n"/>
    </row>
    <row r="561">
      <c r="A561" s="41" t="n"/>
      <c r="D561" s="87" t="n"/>
      <c r="F561" s="86" t="n"/>
      <c r="H561" s="72" t="n"/>
    </row>
    <row r="562">
      <c r="A562" s="41" t="n"/>
      <c r="D562" s="87" t="n"/>
      <c r="F562" s="86" t="n"/>
      <c r="H562" s="72" t="n"/>
    </row>
    <row r="563">
      <c r="A563" s="41" t="n"/>
      <c r="D563" s="87" t="n"/>
      <c r="F563" s="86" t="n"/>
      <c r="H563" s="72" t="n"/>
    </row>
    <row r="564">
      <c r="A564" s="41" t="n"/>
      <c r="D564" s="87" t="n"/>
      <c r="F564" s="86" t="n"/>
      <c r="H564" s="72" t="n"/>
    </row>
    <row r="565">
      <c r="A565" s="41" t="n"/>
      <c r="D565" s="87" t="n"/>
      <c r="F565" s="86" t="n"/>
      <c r="H565" s="72" t="n"/>
    </row>
    <row r="566">
      <c r="A566" s="41" t="n"/>
      <c r="D566" s="87" t="n"/>
      <c r="F566" s="86" t="n"/>
      <c r="H566" s="72" t="n"/>
    </row>
    <row r="567">
      <c r="A567" s="41" t="n"/>
      <c r="D567" s="87" t="n"/>
      <c r="F567" s="86" t="n"/>
      <c r="H567" s="72" t="n"/>
    </row>
    <row r="568">
      <c r="A568" s="41" t="n"/>
      <c r="D568" s="87" t="n"/>
      <c r="F568" s="86" t="n"/>
      <c r="H568" s="72" t="n"/>
    </row>
    <row r="569">
      <c r="A569" s="41" t="n"/>
      <c r="D569" s="87" t="n"/>
      <c r="F569" s="86" t="n"/>
      <c r="H569" s="72" t="n"/>
    </row>
    <row r="570">
      <c r="A570" s="41" t="n"/>
      <c r="D570" s="87" t="n"/>
      <c r="F570" s="86" t="n"/>
      <c r="H570" s="72" t="n"/>
    </row>
    <row r="571">
      <c r="A571" s="41" t="n"/>
      <c r="D571" s="87" t="n"/>
      <c r="F571" s="86" t="n"/>
      <c r="H571" s="72" t="n"/>
    </row>
    <row r="572">
      <c r="A572" s="41" t="n"/>
      <c r="D572" s="87" t="n"/>
      <c r="F572" s="86" t="n"/>
      <c r="H572" s="72" t="n"/>
    </row>
    <row r="573">
      <c r="A573" s="41" t="n"/>
      <c r="D573" s="87" t="n"/>
      <c r="F573" s="86" t="n"/>
      <c r="H573" s="72" t="n"/>
    </row>
    <row r="574">
      <c r="A574" s="41" t="n"/>
      <c r="D574" s="87" t="n"/>
      <c r="F574" s="86" t="n"/>
      <c r="H574" s="72" t="n"/>
    </row>
    <row r="575">
      <c r="A575" s="41" t="n"/>
      <c r="D575" s="87" t="n"/>
      <c r="F575" s="86" t="n"/>
      <c r="H575" s="72" t="n"/>
    </row>
    <row r="576">
      <c r="A576" s="41" t="n"/>
      <c r="D576" s="87" t="n"/>
      <c r="F576" s="86" t="n"/>
      <c r="H576" s="72" t="n"/>
    </row>
    <row r="577">
      <c r="A577" s="52" t="n"/>
      <c r="D577" s="87" t="n"/>
      <c r="F577" s="86" t="n"/>
      <c r="H577" s="72" t="n"/>
    </row>
    <row r="578">
      <c r="D578" s="87" t="n"/>
      <c r="F578" s="86" t="n"/>
      <c r="H578" s="72" t="n"/>
    </row>
    <row r="579">
      <c r="D579" s="87" t="n"/>
      <c r="F579" s="86" t="n"/>
      <c r="H579" s="72" t="n"/>
    </row>
    <row r="580">
      <c r="D580" s="87" t="n"/>
      <c r="F580" s="86" t="n"/>
      <c r="H580" s="72" t="n"/>
    </row>
    <row r="581">
      <c r="A581" s="36" t="n"/>
      <c r="D581" s="87" t="n"/>
      <c r="F581" s="86" t="n"/>
      <c r="H581" s="72" t="n"/>
    </row>
    <row r="582">
      <c r="A582" s="36" t="n"/>
      <c r="D582" s="87" t="n"/>
      <c r="F582" s="86" t="n"/>
      <c r="H582" s="72" t="n"/>
    </row>
    <row r="583">
      <c r="A583" s="41" t="n"/>
      <c r="D583" s="87" t="n"/>
      <c r="F583" s="86" t="n"/>
      <c r="H583" s="72" t="n"/>
    </row>
    <row r="584">
      <c r="A584" s="41" t="n"/>
      <c r="D584" s="87" t="n"/>
      <c r="F584" s="86" t="n"/>
      <c r="H584" s="72" t="n"/>
    </row>
    <row r="585">
      <c r="A585" s="41" t="n"/>
      <c r="D585" s="87" t="n"/>
      <c r="F585" s="86" t="n"/>
      <c r="H585" s="72" t="n"/>
    </row>
    <row r="586">
      <c r="A586" s="41" t="n"/>
      <c r="D586" s="87" t="n"/>
      <c r="F586" s="86" t="n"/>
      <c r="H586" s="72" t="n"/>
    </row>
    <row r="587">
      <c r="A587" s="41" t="n"/>
      <c r="D587" s="87" t="n"/>
      <c r="F587" s="86" t="n"/>
      <c r="H587" s="72" t="n"/>
    </row>
    <row r="588">
      <c r="A588" s="41" t="n"/>
      <c r="D588" s="87" t="n"/>
      <c r="F588" s="86" t="n"/>
      <c r="H588" s="72" t="n"/>
    </row>
    <row r="589">
      <c r="A589" s="41" t="n"/>
      <c r="D589" s="87" t="n"/>
      <c r="F589" s="86" t="n"/>
      <c r="H589" s="72" t="n"/>
    </row>
    <row r="590">
      <c r="A590" s="41" t="n"/>
      <c r="D590" s="87" t="n"/>
      <c r="F590" s="86" t="n"/>
      <c r="H590" s="72" t="n"/>
    </row>
    <row r="591">
      <c r="A591" s="41" t="n"/>
      <c r="D591" s="87" t="n"/>
      <c r="F591" s="86" t="n"/>
      <c r="H591" s="72" t="n"/>
    </row>
    <row r="592">
      <c r="A592" s="41" t="n"/>
      <c r="D592" s="87" t="n"/>
      <c r="F592" s="86" t="n"/>
      <c r="H592" s="72" t="n"/>
    </row>
    <row r="593">
      <c r="A593" s="41" t="n"/>
      <c r="D593" s="87" t="n"/>
      <c r="F593" s="86" t="n"/>
      <c r="H593" s="72" t="n"/>
    </row>
    <row r="594">
      <c r="A594" s="41" t="n"/>
      <c r="D594" s="87" t="n"/>
      <c r="F594" s="86" t="n"/>
      <c r="H594" s="72" t="n"/>
    </row>
    <row r="595">
      <c r="A595" s="41" t="n"/>
      <c r="D595" s="87" t="n"/>
      <c r="F595" s="86" t="n"/>
      <c r="H595" s="72" t="n"/>
    </row>
    <row r="596">
      <c r="A596" s="41" t="n"/>
      <c r="D596" s="87" t="n"/>
      <c r="F596" s="86" t="n"/>
      <c r="H596" s="72" t="n"/>
    </row>
    <row r="597">
      <c r="A597" s="41" t="n"/>
      <c r="D597" s="87" t="n"/>
      <c r="F597" s="86" t="n"/>
      <c r="H597" s="72" t="n"/>
    </row>
    <row r="598">
      <c r="A598" s="41" t="n"/>
      <c r="D598" s="87" t="n"/>
      <c r="F598" s="86" t="n"/>
      <c r="H598" s="72" t="n"/>
    </row>
    <row r="599">
      <c r="A599" s="41" t="n"/>
      <c r="D599" s="87" t="n"/>
      <c r="F599" s="86" t="n"/>
      <c r="H599" s="72" t="n"/>
    </row>
    <row r="600">
      <c r="A600" s="41" t="n"/>
      <c r="D600" s="87" t="n"/>
      <c r="F600" s="86" t="n"/>
      <c r="H600" s="72" t="n"/>
    </row>
    <row r="601">
      <c r="A601" s="41" t="n"/>
      <c r="D601" s="87" t="n"/>
      <c r="F601" s="86" t="n"/>
      <c r="H601" s="72" t="n"/>
    </row>
    <row r="602">
      <c r="A602" s="41" t="n"/>
      <c r="D602" s="87" t="n"/>
      <c r="F602" s="86" t="n"/>
      <c r="H602" s="72" t="n"/>
    </row>
    <row r="603">
      <c r="A603" s="41" t="n"/>
      <c r="D603" s="87" t="n"/>
      <c r="F603" s="86" t="n"/>
      <c r="H603" s="72" t="n"/>
    </row>
    <row r="604">
      <c r="A604" s="41" t="n"/>
      <c r="D604" s="87" t="n"/>
      <c r="F604" s="86" t="n"/>
      <c r="H604" s="72" t="n"/>
    </row>
    <row r="605">
      <c r="A605" s="41" t="n"/>
      <c r="D605" s="87" t="n"/>
      <c r="F605" s="86" t="n"/>
      <c r="H605" s="72" t="n"/>
    </row>
    <row r="606">
      <c r="A606" s="41" t="n"/>
      <c r="D606" s="87" t="n"/>
      <c r="F606" s="86" t="n"/>
      <c r="H606" s="72" t="n"/>
    </row>
    <row r="607">
      <c r="A607" s="41" t="n"/>
      <c r="D607" s="87" t="n"/>
      <c r="F607" s="86" t="n"/>
      <c r="H607" s="72" t="n"/>
    </row>
    <row r="608">
      <c r="A608" s="41" t="n"/>
      <c r="D608" s="87" t="n"/>
      <c r="F608" s="86" t="n"/>
      <c r="H608" s="72" t="n"/>
    </row>
    <row r="609">
      <c r="A609" s="41" t="n"/>
      <c r="D609" s="87" t="n"/>
      <c r="F609" s="86" t="n"/>
      <c r="H609" s="72" t="n"/>
    </row>
    <row r="610">
      <c r="A610" s="41" t="n"/>
      <c r="D610" s="87" t="n"/>
      <c r="F610" s="86" t="n"/>
      <c r="H610" s="72" t="n"/>
    </row>
    <row r="611">
      <c r="A611" s="41" t="n"/>
      <c r="D611" s="87" t="n"/>
      <c r="F611" s="86" t="n"/>
      <c r="H611" s="72" t="n"/>
    </row>
    <row r="612">
      <c r="A612" s="41" t="n"/>
      <c r="D612" s="87" t="n"/>
      <c r="F612" s="86" t="n"/>
      <c r="H612" s="72" t="n"/>
    </row>
    <row r="613">
      <c r="A613" s="41" t="n"/>
      <c r="D613" s="87" t="n"/>
      <c r="F613" s="86" t="n"/>
      <c r="H613" s="72" t="n"/>
    </row>
    <row r="614">
      <c r="A614" s="41" t="n"/>
      <c r="D614" s="87" t="n"/>
      <c r="F614" s="86" t="n"/>
      <c r="H614" s="72" t="n"/>
    </row>
    <row r="615">
      <c r="A615" s="41" t="n"/>
      <c r="D615" s="87" t="n"/>
      <c r="F615" s="86" t="n"/>
      <c r="H615" s="72" t="n"/>
    </row>
    <row r="616">
      <c r="A616" s="41" t="n"/>
      <c r="D616" s="87" t="n"/>
      <c r="F616" s="86" t="n"/>
      <c r="H616" s="72" t="n"/>
    </row>
    <row r="617">
      <c r="A617" s="41" t="n"/>
      <c r="D617" s="87" t="n"/>
      <c r="F617" s="86" t="n"/>
      <c r="H617" s="72" t="n"/>
    </row>
    <row r="618">
      <c r="A618" s="41" t="n"/>
      <c r="D618" s="87" t="n"/>
      <c r="F618" s="86" t="n"/>
      <c r="H618" s="72" t="n"/>
    </row>
    <row r="619">
      <c r="A619" s="41" t="n"/>
      <c r="D619" s="87" t="n"/>
      <c r="F619" s="86" t="n"/>
      <c r="H619" s="72" t="n"/>
    </row>
    <row r="620">
      <c r="A620" s="41" t="n"/>
      <c r="D620" s="87" t="n"/>
      <c r="F620" s="86" t="n"/>
      <c r="H620" s="72" t="n"/>
    </row>
    <row r="621">
      <c r="A621" s="41" t="n"/>
      <c r="D621" s="87" t="n"/>
      <c r="F621" s="86" t="n"/>
      <c r="H621" s="72" t="n"/>
    </row>
    <row r="622">
      <c r="A622" s="41" t="n"/>
      <c r="D622" s="87" t="n"/>
      <c r="F622" s="86" t="n"/>
      <c r="H622" s="72" t="n"/>
    </row>
    <row r="623">
      <c r="A623" s="41" t="n"/>
      <c r="D623" s="87" t="n"/>
      <c r="F623" s="86" t="n"/>
      <c r="H623" s="72" t="n"/>
    </row>
    <row r="624">
      <c r="A624" s="41" t="n"/>
      <c r="D624" s="87" t="n"/>
      <c r="F624" s="86" t="n"/>
      <c r="H624" s="72" t="n"/>
    </row>
    <row r="625">
      <c r="A625" s="41" t="n"/>
      <c r="D625" s="87" t="n"/>
      <c r="F625" s="86" t="n"/>
      <c r="H625" s="72" t="n"/>
    </row>
    <row r="626">
      <c r="A626" s="41" t="n"/>
      <c r="D626" s="87" t="n"/>
      <c r="F626" s="86" t="n"/>
      <c r="H626" s="72" t="n"/>
    </row>
    <row r="627">
      <c r="A627" s="41" t="n"/>
      <c r="D627" s="87" t="n"/>
      <c r="F627" s="86" t="n"/>
      <c r="H627" s="72" t="n"/>
    </row>
    <row r="628">
      <c r="A628" s="41" t="n"/>
      <c r="D628" s="87" t="n"/>
      <c r="F628" s="86" t="n"/>
      <c r="H628" s="72" t="n"/>
    </row>
    <row r="629">
      <c r="A629" s="41" t="n"/>
      <c r="D629" s="87" t="n"/>
      <c r="F629" s="86" t="n"/>
      <c r="H629" s="72" t="n"/>
    </row>
    <row r="630">
      <c r="A630" s="41" t="n"/>
      <c r="D630" s="87" t="n"/>
      <c r="F630" s="86" t="n"/>
      <c r="H630" s="72" t="n"/>
    </row>
    <row r="631">
      <c r="A631" s="41" t="n"/>
      <c r="D631" s="87" t="n"/>
      <c r="F631" s="86" t="n"/>
      <c r="H631" s="72" t="n"/>
    </row>
    <row r="632">
      <c r="A632" s="41" t="n"/>
      <c r="D632" s="87" t="n"/>
      <c r="F632" s="86" t="n"/>
      <c r="H632" s="72" t="n"/>
    </row>
    <row r="633">
      <c r="A633" s="41" t="n"/>
      <c r="D633" s="87" t="n"/>
      <c r="F633" s="86" t="n"/>
      <c r="H633" s="72" t="n"/>
    </row>
    <row r="634">
      <c r="A634" s="41" t="n"/>
      <c r="D634" s="87" t="n"/>
      <c r="F634" s="86" t="n"/>
      <c r="H634" s="72" t="n"/>
    </row>
    <row r="635">
      <c r="A635" s="41" t="n"/>
      <c r="D635" s="87" t="n"/>
      <c r="F635" s="86" t="n"/>
      <c r="H635" s="72" t="n"/>
    </row>
    <row r="636">
      <c r="A636" s="41" t="n"/>
      <c r="D636" s="87" t="n"/>
      <c r="F636" s="86" t="n"/>
      <c r="H636" s="72" t="n"/>
    </row>
    <row r="637">
      <c r="A637" s="41" t="n"/>
      <c r="D637" s="87" t="n"/>
      <c r="F637" s="86" t="n"/>
      <c r="H637" s="72" t="n"/>
    </row>
    <row r="638">
      <c r="A638" s="41" t="n"/>
      <c r="D638" s="87" t="n"/>
      <c r="F638" s="86" t="n"/>
      <c r="H638" s="72" t="n"/>
    </row>
    <row r="639">
      <c r="A639" s="41" t="n"/>
      <c r="D639" s="87" t="n"/>
      <c r="F639" s="86" t="n"/>
      <c r="H639" s="72" t="n"/>
    </row>
    <row r="640">
      <c r="A640" s="41" t="n"/>
      <c r="D640" s="87" t="n"/>
      <c r="F640" s="86" t="n"/>
      <c r="H640" s="72" t="n"/>
    </row>
    <row r="641">
      <c r="A641" s="41" t="n"/>
      <c r="D641" s="87" t="n"/>
      <c r="F641" s="86" t="n"/>
      <c r="H641" s="72" t="n"/>
    </row>
    <row r="642">
      <c r="A642" s="41" t="n"/>
      <c r="D642" s="87" t="n"/>
      <c r="F642" s="86" t="n"/>
      <c r="H642" s="72" t="n"/>
    </row>
    <row r="643">
      <c r="A643" s="41" t="n"/>
      <c r="D643" s="87" t="n"/>
      <c r="F643" s="86" t="n"/>
      <c r="H643" s="72" t="n"/>
    </row>
    <row r="644">
      <c r="A644" s="41" t="n"/>
      <c r="D644" s="87" t="n"/>
      <c r="F644" s="86" t="n"/>
      <c r="H644" s="72" t="n"/>
    </row>
    <row r="645">
      <c r="A645" s="41" t="n"/>
      <c r="D645" s="87" t="n"/>
      <c r="F645" s="86" t="n"/>
      <c r="H645" s="72" t="n"/>
    </row>
    <row r="646">
      <c r="A646" s="41" t="n"/>
      <c r="D646" s="87" t="n"/>
      <c r="F646" s="86" t="n"/>
      <c r="H646" s="72" t="n"/>
    </row>
    <row r="647">
      <c r="A647" s="41" t="n"/>
      <c r="D647" s="87" t="n"/>
      <c r="F647" s="86" t="n"/>
      <c r="H647" s="72" t="n"/>
    </row>
    <row r="648">
      <c r="A648" s="41" t="n"/>
      <c r="D648" s="87" t="n"/>
      <c r="F648" s="86" t="n"/>
      <c r="H648" s="72" t="n"/>
    </row>
    <row r="649">
      <c r="A649" s="41" t="n"/>
      <c r="D649" s="87" t="n"/>
      <c r="F649" s="86" t="n"/>
      <c r="H649" s="72" t="n"/>
    </row>
    <row r="650">
      <c r="A650" s="52" t="n"/>
      <c r="D650" s="87" t="n"/>
      <c r="F650" s="86" t="n"/>
      <c r="H650" s="72" t="n"/>
    </row>
    <row r="651">
      <c r="D651" s="87" t="n"/>
      <c r="F651" s="86" t="n"/>
      <c r="H651" s="72" t="n"/>
    </row>
    <row r="652">
      <c r="D652" s="87" t="n"/>
      <c r="F652" s="86" t="n"/>
      <c r="H652" s="72" t="n"/>
    </row>
    <row r="653">
      <c r="D653" s="87" t="n"/>
      <c r="F653" s="86" t="n"/>
      <c r="H653" s="72" t="n"/>
    </row>
    <row r="654">
      <c r="A654" s="36" t="n"/>
      <c r="D654" s="87" t="n"/>
      <c r="F654" s="86" t="n"/>
      <c r="H654" s="72" t="n"/>
    </row>
    <row r="655">
      <c r="A655" s="36" t="n"/>
      <c r="D655" s="87" t="n"/>
      <c r="F655" s="86" t="n"/>
      <c r="H655" s="72" t="n"/>
    </row>
    <row r="656">
      <c r="A656" s="41" t="n"/>
      <c r="D656" s="87" t="n"/>
      <c r="F656" s="86" t="n"/>
      <c r="H656" s="72" t="n"/>
    </row>
    <row r="657">
      <c r="A657" s="41" t="n"/>
      <c r="D657" s="87" t="n"/>
      <c r="F657" s="86" t="n"/>
      <c r="H657" s="72" t="n"/>
    </row>
    <row r="658">
      <c r="A658" s="41" t="n"/>
      <c r="D658" s="87" t="n"/>
      <c r="F658" s="86" t="n"/>
      <c r="H658" s="72" t="n"/>
    </row>
    <row r="659">
      <c r="A659" s="41" t="n"/>
      <c r="D659" s="87" t="n"/>
      <c r="F659" s="86" t="n"/>
      <c r="H659" s="72" t="n"/>
    </row>
    <row r="660">
      <c r="A660" s="41" t="n"/>
      <c r="D660" s="87" t="n"/>
      <c r="F660" s="86" t="n"/>
      <c r="H660" s="72" t="n"/>
    </row>
    <row r="661">
      <c r="A661" s="41" t="n"/>
      <c r="D661" s="87" t="n"/>
      <c r="F661" s="86" t="n"/>
      <c r="H661" s="72" t="n"/>
    </row>
    <row r="662">
      <c r="A662" s="41" t="n"/>
      <c r="D662" s="87" t="n"/>
      <c r="F662" s="86" t="n"/>
      <c r="H662" s="72" t="n"/>
    </row>
    <row r="663">
      <c r="A663" s="41" t="n"/>
      <c r="D663" s="87" t="n"/>
      <c r="F663" s="86" t="n"/>
      <c r="H663" s="72" t="n"/>
    </row>
    <row r="664">
      <c r="A664" s="41" t="n"/>
      <c r="D664" s="87" t="n"/>
      <c r="F664" s="86" t="n"/>
      <c r="H664" s="72" t="n"/>
    </row>
    <row r="665">
      <c r="A665" s="41" t="n"/>
      <c r="D665" s="87" t="n"/>
      <c r="F665" s="86" t="n"/>
      <c r="H665" s="72" t="n"/>
    </row>
    <row r="666">
      <c r="A666" s="41" t="n"/>
      <c r="D666" s="87" t="n"/>
      <c r="F666" s="86" t="n"/>
      <c r="H666" s="72" t="n"/>
    </row>
    <row r="667">
      <c r="A667" s="41" t="n"/>
      <c r="D667" s="87" t="n"/>
      <c r="F667" s="86" t="n"/>
      <c r="H667" s="72" t="n"/>
    </row>
    <row r="668">
      <c r="A668" s="41" t="n"/>
      <c r="D668" s="87" t="n"/>
      <c r="F668" s="86" t="n"/>
      <c r="H668" s="72" t="n"/>
    </row>
    <row r="669">
      <c r="A669" s="41" t="n"/>
      <c r="D669" s="87" t="n"/>
      <c r="F669" s="86" t="n"/>
      <c r="H669" s="72" t="n"/>
    </row>
    <row r="670">
      <c r="A670" s="41" t="n"/>
      <c r="D670" s="87" t="n"/>
      <c r="F670" s="86" t="n"/>
      <c r="H670" s="72" t="n"/>
    </row>
    <row r="671">
      <c r="A671" s="41" t="n"/>
      <c r="D671" s="87" t="n"/>
      <c r="F671" s="86" t="n"/>
      <c r="H671" s="72" t="n"/>
    </row>
    <row r="672">
      <c r="A672" s="41" t="n"/>
      <c r="D672" s="87" t="n"/>
      <c r="F672" s="86" t="n"/>
      <c r="H672" s="72" t="n"/>
    </row>
    <row r="673">
      <c r="A673" s="41" t="n"/>
      <c r="D673" s="87" t="n"/>
      <c r="F673" s="86" t="n"/>
      <c r="H673" s="72" t="n"/>
    </row>
    <row r="674">
      <c r="A674" s="41" t="n"/>
      <c r="D674" s="87" t="n"/>
      <c r="F674" s="86" t="n"/>
      <c r="H674" s="72" t="n"/>
    </row>
    <row r="675">
      <c r="A675" s="41" t="n"/>
      <c r="D675" s="87" t="n"/>
      <c r="F675" s="86" t="n"/>
      <c r="H675" s="72" t="n"/>
    </row>
    <row r="676">
      <c r="A676" s="41" t="n"/>
      <c r="D676" s="87" t="n"/>
      <c r="F676" s="86" t="n"/>
      <c r="H676" s="72" t="n"/>
    </row>
    <row r="677">
      <c r="A677" s="41" t="n"/>
      <c r="D677" s="87" t="n"/>
      <c r="F677" s="86" t="n"/>
      <c r="H677" s="72" t="n"/>
    </row>
    <row r="678">
      <c r="A678" s="41" t="n"/>
      <c r="D678" s="87" t="n"/>
      <c r="F678" s="86" t="n"/>
      <c r="H678" s="72" t="n"/>
    </row>
    <row r="679">
      <c r="A679" s="41" t="n"/>
      <c r="D679" s="87" t="n"/>
      <c r="F679" s="86" t="n"/>
      <c r="H679" s="72" t="n"/>
    </row>
    <row r="680">
      <c r="A680" s="41" t="n"/>
      <c r="D680" s="87" t="n"/>
      <c r="F680" s="86" t="n"/>
      <c r="H680" s="72" t="n"/>
    </row>
    <row r="681">
      <c r="A681" s="41" t="n"/>
      <c r="D681" s="87" t="n"/>
      <c r="F681" s="86" t="n"/>
      <c r="H681" s="72" t="n"/>
    </row>
    <row r="682">
      <c r="A682" s="41" t="n"/>
      <c r="D682" s="87" t="n"/>
      <c r="F682" s="86" t="n"/>
      <c r="H682" s="72" t="n"/>
    </row>
    <row r="683">
      <c r="A683" s="41" t="n"/>
      <c r="D683" s="87" t="n"/>
      <c r="F683" s="86" t="n"/>
      <c r="H683" s="72" t="n"/>
    </row>
    <row r="684">
      <c r="A684" s="41" t="n"/>
      <c r="D684" s="87" t="n"/>
      <c r="F684" s="86" t="n"/>
      <c r="H684" s="72" t="n"/>
    </row>
    <row r="685">
      <c r="A685" s="41" t="n"/>
      <c r="D685" s="87" t="n"/>
      <c r="F685" s="86" t="n"/>
      <c r="H685" s="72" t="n"/>
    </row>
    <row r="686">
      <c r="A686" s="41" t="n"/>
      <c r="D686" s="87" t="n"/>
      <c r="F686" s="86" t="n"/>
      <c r="H686" s="72" t="n"/>
    </row>
    <row r="687">
      <c r="A687" s="41" t="n"/>
      <c r="D687" s="87" t="n"/>
      <c r="F687" s="86" t="n"/>
      <c r="H687" s="72" t="n"/>
    </row>
    <row r="688">
      <c r="A688" s="41" t="n"/>
      <c r="D688" s="87" t="n"/>
      <c r="F688" s="86" t="n"/>
      <c r="H688" s="72" t="n"/>
    </row>
    <row r="689">
      <c r="A689" s="41" t="n"/>
      <c r="D689" s="87" t="n"/>
      <c r="F689" s="86" t="n"/>
      <c r="H689" s="72" t="n"/>
    </row>
    <row r="690">
      <c r="A690" s="41" t="n"/>
      <c r="D690" s="87" t="n"/>
      <c r="F690" s="86" t="n"/>
      <c r="H690" s="72" t="n"/>
    </row>
    <row r="691">
      <c r="A691" s="41" t="n"/>
      <c r="D691" s="87" t="n"/>
      <c r="F691" s="86" t="n"/>
      <c r="H691" s="72" t="n"/>
    </row>
    <row r="692">
      <c r="A692" s="41" t="n"/>
      <c r="D692" s="87" t="n"/>
      <c r="F692" s="86" t="n"/>
      <c r="H692" s="72" t="n"/>
    </row>
    <row r="693">
      <c r="A693" s="41" t="n"/>
      <c r="D693" s="87" t="n"/>
      <c r="F693" s="86" t="n"/>
      <c r="H693" s="72" t="n"/>
    </row>
    <row r="694">
      <c r="A694" s="41" t="n"/>
      <c r="D694" s="87" t="n"/>
      <c r="F694" s="86" t="n"/>
      <c r="H694" s="72" t="n"/>
    </row>
    <row r="695">
      <c r="A695" s="41" t="n"/>
      <c r="D695" s="87" t="n"/>
      <c r="F695" s="86" t="n"/>
      <c r="H695" s="72" t="n"/>
    </row>
    <row r="696">
      <c r="A696" s="41" t="n"/>
      <c r="D696" s="87" t="n"/>
      <c r="F696" s="86" t="n"/>
      <c r="H696" s="72" t="n"/>
    </row>
    <row r="697">
      <c r="A697" s="41" t="n"/>
      <c r="D697" s="87" t="n"/>
      <c r="F697" s="86" t="n"/>
      <c r="H697" s="72" t="n"/>
    </row>
    <row r="698">
      <c r="A698" s="41" t="n"/>
      <c r="D698" s="87" t="n"/>
      <c r="F698" s="86" t="n"/>
      <c r="H698" s="72" t="n"/>
    </row>
    <row r="699">
      <c r="A699" s="41" t="n"/>
      <c r="D699" s="87" t="n"/>
      <c r="F699" s="86" t="n"/>
      <c r="H699" s="72" t="n"/>
    </row>
    <row r="700">
      <c r="A700" s="41" t="n"/>
      <c r="D700" s="87" t="n"/>
      <c r="F700" s="86" t="n"/>
      <c r="H700" s="72" t="n"/>
    </row>
    <row r="701">
      <c r="A701" s="41" t="n"/>
      <c r="D701" s="87" t="n"/>
      <c r="F701" s="86" t="n"/>
      <c r="H701" s="72" t="n"/>
    </row>
    <row r="702">
      <c r="A702" s="41" t="n"/>
      <c r="D702" s="87" t="n"/>
      <c r="F702" s="86" t="n"/>
      <c r="H702" s="72" t="n"/>
    </row>
    <row r="703">
      <c r="A703" s="41" t="n"/>
      <c r="D703" s="87" t="n"/>
      <c r="F703" s="86" t="n"/>
      <c r="H703" s="72" t="n"/>
    </row>
    <row r="704">
      <c r="A704" s="41" t="n"/>
      <c r="D704" s="87" t="n"/>
      <c r="F704" s="86" t="n"/>
      <c r="H704" s="72" t="n"/>
    </row>
    <row r="705">
      <c r="A705" s="41" t="n"/>
      <c r="D705" s="87" t="n"/>
      <c r="F705" s="86" t="n"/>
      <c r="H705" s="72" t="n"/>
    </row>
    <row r="706">
      <c r="A706" s="41" t="n"/>
      <c r="D706" s="87" t="n"/>
      <c r="F706" s="86" t="n"/>
      <c r="H706" s="72" t="n"/>
    </row>
    <row r="707">
      <c r="A707" s="41" t="n"/>
      <c r="D707" s="87" t="n"/>
      <c r="F707" s="86" t="n"/>
      <c r="H707" s="72" t="n"/>
    </row>
    <row r="708">
      <c r="A708" s="41" t="n"/>
      <c r="D708" s="87" t="n"/>
      <c r="F708" s="86" t="n"/>
      <c r="H708" s="72" t="n"/>
    </row>
    <row r="709">
      <c r="A709" s="41" t="n"/>
      <c r="D709" s="87" t="n"/>
      <c r="F709" s="86" t="n"/>
      <c r="H709" s="72" t="n"/>
    </row>
    <row r="710">
      <c r="A710" s="41" t="n"/>
      <c r="D710" s="87" t="n"/>
      <c r="F710" s="86" t="n"/>
      <c r="H710" s="72" t="n"/>
    </row>
    <row r="711">
      <c r="A711" s="41" t="n"/>
      <c r="D711" s="87" t="n"/>
      <c r="F711" s="86" t="n"/>
      <c r="H711" s="72" t="n"/>
    </row>
    <row r="712">
      <c r="A712" s="41" t="n"/>
      <c r="D712" s="87" t="n"/>
      <c r="F712" s="86" t="n"/>
      <c r="H712" s="72" t="n"/>
    </row>
    <row r="713">
      <c r="A713" s="41" t="n"/>
      <c r="D713" s="87" t="n"/>
      <c r="F713" s="86" t="n"/>
      <c r="H713" s="72" t="n"/>
    </row>
    <row r="714">
      <c r="A714" s="41" t="n"/>
      <c r="D714" s="87" t="n"/>
      <c r="F714" s="86" t="n"/>
      <c r="H714" s="72" t="n"/>
    </row>
    <row r="715">
      <c r="A715" s="41" t="n"/>
      <c r="D715" s="87" t="n"/>
      <c r="F715" s="86" t="n"/>
      <c r="H715" s="72" t="n"/>
    </row>
    <row r="716">
      <c r="A716" s="41" t="n"/>
      <c r="D716" s="87" t="n"/>
      <c r="F716" s="86" t="n"/>
      <c r="H716" s="72" t="n"/>
    </row>
    <row r="717">
      <c r="A717" s="41" t="n"/>
      <c r="D717" s="87" t="n"/>
      <c r="F717" s="86" t="n"/>
      <c r="H717" s="72" t="n"/>
    </row>
    <row r="718">
      <c r="A718" s="41" t="n"/>
      <c r="D718" s="87" t="n"/>
      <c r="F718" s="86" t="n"/>
      <c r="H718" s="72" t="n"/>
    </row>
    <row r="719">
      <c r="A719" s="41" t="n"/>
      <c r="D719" s="87" t="n"/>
      <c r="F719" s="86" t="n"/>
      <c r="H719" s="72" t="n"/>
    </row>
    <row r="720">
      <c r="A720" s="41" t="n"/>
      <c r="D720" s="87" t="n"/>
      <c r="F720" s="86" t="n"/>
      <c r="H720" s="72" t="n"/>
    </row>
    <row r="721">
      <c r="A721" s="41" t="n"/>
      <c r="D721" s="87" t="n"/>
      <c r="F721" s="86" t="n"/>
      <c r="H721" s="72" t="n"/>
    </row>
    <row r="722">
      <c r="A722" s="41" t="n"/>
      <c r="D722" s="87" t="n"/>
      <c r="F722" s="86" t="n"/>
      <c r="H722" s="72" t="n"/>
    </row>
    <row r="723">
      <c r="A723" s="52" t="n"/>
      <c r="D723" s="87" t="n"/>
      <c r="F723" s="86" t="n"/>
      <c r="H723" s="72" t="n"/>
    </row>
    <row r="724">
      <c r="D724" s="87" t="n"/>
      <c r="F724" s="86" t="n"/>
      <c r="H724" s="72" t="n"/>
    </row>
    <row r="725">
      <c r="D725" s="87" t="n"/>
      <c r="F725" s="86" t="n"/>
      <c r="H725" s="72" t="n"/>
    </row>
    <row r="726">
      <c r="D726" s="87" t="n"/>
      <c r="F726" s="86" t="n"/>
      <c r="H726" s="72" t="n"/>
    </row>
    <row r="727">
      <c r="A727" s="36" t="n"/>
      <c r="D727" s="87" t="n"/>
      <c r="F727" s="86" t="n"/>
      <c r="H727" s="72" t="n"/>
    </row>
    <row r="728">
      <c r="A728" s="36" t="n"/>
      <c r="D728" s="87" t="n"/>
      <c r="F728" s="86" t="n"/>
      <c r="H728" s="72" t="n"/>
    </row>
    <row r="729">
      <c r="A729" s="41" t="n"/>
      <c r="D729" s="87" t="n"/>
      <c r="F729" s="86" t="n"/>
      <c r="H729" s="72" t="n"/>
    </row>
    <row r="730">
      <c r="A730" s="41" t="n"/>
      <c r="D730" s="87" t="n"/>
      <c r="F730" s="86" t="n"/>
      <c r="H730" s="72" t="n"/>
    </row>
    <row r="731">
      <c r="A731" s="41" t="n"/>
      <c r="D731" s="87" t="n"/>
      <c r="F731" s="86" t="n"/>
      <c r="H731" s="72" t="n"/>
    </row>
    <row r="732">
      <c r="A732" s="41" t="n"/>
      <c r="D732" s="87" t="n"/>
      <c r="F732" s="86" t="n"/>
      <c r="H732" s="72" t="n"/>
    </row>
    <row r="733">
      <c r="A733" s="41" t="n"/>
      <c r="D733" s="87" t="n"/>
      <c r="F733" s="86" t="n"/>
      <c r="H733" s="72" t="n"/>
    </row>
    <row r="734">
      <c r="A734" s="41" t="n"/>
      <c r="D734" s="87" t="n"/>
      <c r="F734" s="86" t="n"/>
      <c r="H734" s="72" t="n"/>
    </row>
    <row r="735">
      <c r="A735" s="41" t="n"/>
      <c r="D735" s="87" t="n"/>
      <c r="F735" s="86" t="n"/>
      <c r="H735" s="72" t="n"/>
    </row>
    <row r="736">
      <c r="A736" s="41" t="n"/>
      <c r="D736" s="87" t="n"/>
      <c r="F736" s="86" t="n"/>
      <c r="H736" s="72" t="n"/>
    </row>
    <row r="737">
      <c r="A737" s="41" t="n"/>
      <c r="D737" s="87" t="n"/>
      <c r="F737" s="86" t="n"/>
      <c r="H737" s="72" t="n"/>
    </row>
    <row r="738">
      <c r="A738" s="41" t="n"/>
      <c r="D738" s="87" t="n"/>
      <c r="F738" s="86" t="n"/>
      <c r="H738" s="72" t="n"/>
    </row>
    <row r="739">
      <c r="A739" s="41" t="n"/>
      <c r="D739" s="87" t="n"/>
      <c r="F739" s="86" t="n"/>
      <c r="H739" s="72" t="n"/>
    </row>
    <row r="740">
      <c r="A740" s="41" t="n"/>
      <c r="D740" s="87" t="n"/>
      <c r="F740" s="86" t="n"/>
      <c r="H740" s="72" t="n"/>
    </row>
    <row r="741">
      <c r="A741" s="41" t="n"/>
      <c r="D741" s="87" t="n"/>
      <c r="F741" s="86" t="n"/>
      <c r="H741" s="72" t="n"/>
    </row>
    <row r="742">
      <c r="A742" s="41" t="n"/>
      <c r="D742" s="87" t="n"/>
      <c r="F742" s="86" t="n"/>
      <c r="H742" s="72" t="n"/>
    </row>
    <row r="743">
      <c r="A743" s="41" t="n"/>
      <c r="D743" s="87" t="n"/>
      <c r="F743" s="86" t="n"/>
      <c r="H743" s="72" t="n"/>
    </row>
    <row r="744">
      <c r="A744" s="41" t="n"/>
      <c r="D744" s="87" t="n"/>
      <c r="F744" s="86" t="n"/>
      <c r="H744" s="72" t="n"/>
    </row>
    <row r="745">
      <c r="A745" s="41" t="n"/>
      <c r="D745" s="87" t="n"/>
      <c r="F745" s="86" t="n"/>
      <c r="H745" s="72" t="n"/>
    </row>
    <row r="746">
      <c r="A746" s="41" t="n"/>
      <c r="D746" s="87" t="n"/>
      <c r="F746" s="86" t="n"/>
      <c r="H746" s="72" t="n"/>
    </row>
    <row r="747">
      <c r="A747" s="41" t="n"/>
      <c r="D747" s="87" t="n"/>
      <c r="F747" s="86" t="n"/>
      <c r="H747" s="72" t="n"/>
    </row>
    <row r="748">
      <c r="A748" s="41" t="n"/>
      <c r="D748" s="87" t="n"/>
      <c r="F748" s="86" t="n"/>
      <c r="H748" s="72" t="n"/>
    </row>
    <row r="749">
      <c r="A749" s="41" t="n"/>
      <c r="D749" s="87" t="n"/>
      <c r="F749" s="86" t="n"/>
      <c r="H749" s="72" t="n"/>
    </row>
    <row r="750">
      <c r="A750" s="41" t="n"/>
      <c r="D750" s="87" t="n"/>
      <c r="F750" s="86" t="n"/>
      <c r="H750" s="72" t="n"/>
    </row>
    <row r="751">
      <c r="A751" s="41" t="n"/>
      <c r="D751" s="87" t="n"/>
      <c r="F751" s="86" t="n"/>
      <c r="H751" s="72" t="n"/>
    </row>
    <row r="752">
      <c r="A752" s="41" t="n"/>
      <c r="D752" s="87" t="n"/>
      <c r="F752" s="86" t="n"/>
      <c r="H752" s="72" t="n"/>
    </row>
    <row r="753">
      <c r="A753" s="41" t="n"/>
      <c r="D753" s="87" t="n"/>
      <c r="F753" s="86" t="n"/>
      <c r="H753" s="72" t="n"/>
    </row>
    <row r="754">
      <c r="A754" s="41" t="n"/>
      <c r="D754" s="87" t="n"/>
      <c r="F754" s="86" t="n"/>
      <c r="H754" s="72" t="n"/>
    </row>
    <row r="755">
      <c r="A755" s="41" t="n"/>
      <c r="D755" s="87" t="n"/>
      <c r="F755" s="86" t="n"/>
      <c r="H755" s="72" t="n"/>
    </row>
    <row r="756">
      <c r="A756" s="41" t="n"/>
      <c r="D756" s="87" t="n"/>
      <c r="F756" s="86" t="n"/>
      <c r="H756" s="72" t="n"/>
    </row>
    <row r="757">
      <c r="A757" s="41" t="n"/>
      <c r="D757" s="87" t="n"/>
      <c r="F757" s="86" t="n"/>
      <c r="H757" s="72" t="n"/>
    </row>
    <row r="758">
      <c r="A758" s="41" t="n"/>
      <c r="D758" s="87" t="n"/>
      <c r="F758" s="86" t="n"/>
      <c r="H758" s="72" t="n"/>
    </row>
    <row r="759">
      <c r="A759" s="41" t="n"/>
      <c r="D759" s="87" t="n"/>
      <c r="F759" s="86" t="n"/>
      <c r="H759" s="72" t="n"/>
    </row>
    <row r="760">
      <c r="A760" s="41" t="n"/>
      <c r="D760" s="87" t="n"/>
      <c r="F760" s="86" t="n"/>
      <c r="H760" s="72" t="n"/>
    </row>
    <row r="761">
      <c r="A761" s="41" t="n"/>
      <c r="D761" s="87" t="n"/>
      <c r="F761" s="86" t="n"/>
      <c r="H761" s="72" t="n"/>
    </row>
    <row r="762">
      <c r="A762" s="41" t="n"/>
      <c r="D762" s="87" t="n"/>
      <c r="F762" s="86" t="n"/>
      <c r="H762" s="72" t="n"/>
    </row>
    <row r="763">
      <c r="A763" s="41" t="n"/>
      <c r="D763" s="87" t="n"/>
      <c r="F763" s="86" t="n"/>
      <c r="H763" s="72" t="n"/>
    </row>
    <row r="764">
      <c r="A764" s="41" t="n"/>
      <c r="D764" s="87" t="n"/>
      <c r="F764" s="86" t="n"/>
      <c r="H764" s="72" t="n"/>
    </row>
    <row r="765">
      <c r="A765" s="41" t="n"/>
      <c r="D765" s="87" t="n"/>
      <c r="F765" s="86" t="n"/>
      <c r="H765" s="72" t="n"/>
    </row>
    <row r="766">
      <c r="A766" s="41" t="n"/>
      <c r="D766" s="87" t="n"/>
      <c r="F766" s="86" t="n"/>
      <c r="H766" s="72" t="n"/>
    </row>
    <row r="767">
      <c r="A767" s="41" t="n"/>
      <c r="D767" s="87" t="n"/>
      <c r="F767" s="86" t="n"/>
      <c r="H767" s="72" t="n"/>
    </row>
    <row r="768">
      <c r="A768" s="41" t="n"/>
      <c r="D768" s="87" t="n"/>
      <c r="F768" s="86" t="n"/>
      <c r="H768" s="72" t="n"/>
    </row>
    <row r="769">
      <c r="A769" s="41" t="n"/>
      <c r="D769" s="87" t="n"/>
      <c r="F769" s="86" t="n"/>
      <c r="H769" s="72" t="n"/>
    </row>
    <row r="770">
      <c r="A770" s="41" t="n"/>
      <c r="D770" s="87" t="n"/>
      <c r="F770" s="86" t="n"/>
      <c r="H770" s="72" t="n"/>
    </row>
    <row r="771">
      <c r="A771" s="41" t="n"/>
      <c r="D771" s="87" t="n"/>
      <c r="F771" s="86" t="n"/>
      <c r="H771" s="72" t="n"/>
    </row>
    <row r="772">
      <c r="A772" s="41" t="n"/>
      <c r="D772" s="87" t="n"/>
      <c r="F772" s="86" t="n"/>
      <c r="H772" s="72" t="n"/>
    </row>
    <row r="773">
      <c r="A773" s="41" t="n"/>
      <c r="D773" s="87" t="n"/>
      <c r="F773" s="86" t="n"/>
      <c r="H773" s="72" t="n"/>
    </row>
    <row r="774">
      <c r="A774" s="41" t="n"/>
      <c r="D774" s="87" t="n"/>
      <c r="F774" s="86" t="n"/>
      <c r="H774" s="72" t="n"/>
    </row>
    <row r="775">
      <c r="A775" s="41" t="n"/>
      <c r="D775" s="87" t="n"/>
      <c r="F775" s="86" t="n"/>
      <c r="H775" s="72" t="n"/>
    </row>
    <row r="776">
      <c r="A776" s="41" t="n"/>
      <c r="D776" s="87" t="n"/>
      <c r="F776" s="86" t="n"/>
      <c r="H776" s="72" t="n"/>
    </row>
    <row r="777">
      <c r="A777" s="41" t="n"/>
      <c r="D777" s="87" t="n"/>
      <c r="F777" s="86" t="n"/>
      <c r="H777" s="72" t="n"/>
    </row>
    <row r="778">
      <c r="A778" s="41" t="n"/>
      <c r="D778" s="87" t="n"/>
      <c r="F778" s="86" t="n"/>
      <c r="H778" s="72" t="n"/>
    </row>
    <row r="779">
      <c r="A779" s="41" t="n"/>
      <c r="D779" s="87" t="n"/>
      <c r="F779" s="86" t="n"/>
      <c r="H779" s="72" t="n"/>
    </row>
    <row r="780">
      <c r="A780" s="41" t="n"/>
      <c r="D780" s="87" t="n"/>
      <c r="F780" s="86" t="n"/>
      <c r="H780" s="72" t="n"/>
    </row>
    <row r="781">
      <c r="A781" s="41" t="n"/>
      <c r="D781" s="87" t="n"/>
      <c r="F781" s="86" t="n"/>
      <c r="H781" s="72" t="n"/>
    </row>
    <row r="782">
      <c r="A782" s="41" t="n"/>
      <c r="D782" s="87" t="n"/>
      <c r="F782" s="86" t="n"/>
      <c r="H782" s="72" t="n"/>
    </row>
    <row r="783">
      <c r="A783" s="41" t="n"/>
      <c r="D783" s="87" t="n"/>
      <c r="F783" s="86" t="n"/>
      <c r="H783" s="72" t="n"/>
    </row>
    <row r="784">
      <c r="A784" s="41" t="n"/>
      <c r="D784" s="87" t="n"/>
      <c r="F784" s="86" t="n"/>
      <c r="H784" s="72" t="n"/>
    </row>
    <row r="785">
      <c r="A785" s="41" t="n"/>
      <c r="D785" s="87" t="n"/>
      <c r="F785" s="86" t="n"/>
      <c r="H785" s="72" t="n"/>
    </row>
    <row r="786">
      <c r="A786" s="41" t="n"/>
      <c r="D786" s="87" t="n"/>
      <c r="F786" s="86" t="n"/>
      <c r="H786" s="72" t="n"/>
    </row>
    <row r="787">
      <c r="A787" s="41" t="n"/>
      <c r="D787" s="87" t="n"/>
      <c r="F787" s="86" t="n"/>
      <c r="H787" s="72" t="n"/>
    </row>
    <row r="788">
      <c r="A788" s="41" t="n"/>
      <c r="D788" s="87" t="n"/>
      <c r="F788" s="86" t="n"/>
      <c r="H788" s="72" t="n"/>
    </row>
    <row r="789">
      <c r="A789" s="41" t="n"/>
      <c r="D789" s="87" t="n"/>
      <c r="F789" s="86" t="n"/>
      <c r="H789" s="72" t="n"/>
    </row>
    <row r="790">
      <c r="A790" s="41" t="n"/>
      <c r="D790" s="87" t="n"/>
      <c r="F790" s="86" t="n"/>
      <c r="H790" s="72" t="n"/>
    </row>
    <row r="791">
      <c r="A791" s="41" t="n"/>
      <c r="D791" s="87" t="n"/>
      <c r="F791" s="86" t="n"/>
      <c r="H791" s="72" t="n"/>
    </row>
    <row r="792">
      <c r="A792" s="41" t="n"/>
      <c r="D792" s="87" t="n"/>
      <c r="F792" s="86" t="n"/>
      <c r="H792" s="72" t="n"/>
    </row>
    <row r="793">
      <c r="A793" s="41" t="n"/>
      <c r="D793" s="87" t="n"/>
      <c r="F793" s="86" t="n"/>
      <c r="H793" s="72" t="n"/>
    </row>
    <row r="794">
      <c r="A794" s="41" t="n"/>
      <c r="D794" s="87" t="n"/>
      <c r="F794" s="86" t="n"/>
      <c r="H794" s="72" t="n"/>
    </row>
    <row r="795">
      <c r="A795" s="41" t="n"/>
      <c r="D795" s="87" t="n"/>
      <c r="F795" s="86" t="n"/>
      <c r="H795" s="72" t="n"/>
    </row>
    <row r="796">
      <c r="A796" s="52" t="n"/>
      <c r="D796" s="87" t="n"/>
      <c r="F796" s="86" t="n"/>
      <c r="H796" s="72" t="n"/>
    </row>
    <row r="797">
      <c r="D797" s="87" t="n"/>
      <c r="F797" s="86" t="n"/>
      <c r="H797" s="72" t="n"/>
    </row>
    <row r="798">
      <c r="D798" s="87" t="n"/>
      <c r="F798" s="86" t="n"/>
      <c r="H798" s="72" t="n"/>
    </row>
    <row r="799">
      <c r="D799" s="87" t="n"/>
      <c r="F799" s="86" t="n"/>
      <c r="H799" s="72" t="n"/>
    </row>
    <row r="800">
      <c r="A800" s="36" t="n"/>
      <c r="D800" s="87" t="n"/>
      <c r="F800" s="86" t="n"/>
      <c r="H800" s="72" t="n"/>
    </row>
    <row r="801">
      <c r="A801" s="36" t="n"/>
      <c r="D801" s="87" t="n"/>
      <c r="F801" s="86" t="n"/>
      <c r="H801" s="72" t="n"/>
    </row>
    <row r="802">
      <c r="A802" s="41" t="n"/>
      <c r="D802" s="87" t="n"/>
      <c r="F802" s="86" t="n"/>
      <c r="H802" s="72" t="n"/>
    </row>
    <row r="803">
      <c r="A803" s="41" t="n"/>
      <c r="D803" s="87" t="n"/>
      <c r="F803" s="86" t="n"/>
      <c r="H803" s="72" t="n"/>
    </row>
    <row r="804">
      <c r="A804" s="41" t="n"/>
      <c r="D804" s="87" t="n"/>
      <c r="F804" s="86" t="n"/>
      <c r="H804" s="72" t="n"/>
    </row>
    <row r="805">
      <c r="A805" s="41" t="n"/>
      <c r="D805" s="87" t="n"/>
      <c r="F805" s="86" t="n"/>
      <c r="H805" s="72" t="n"/>
    </row>
    <row r="806">
      <c r="A806" s="41" t="n"/>
      <c r="D806" s="87" t="n"/>
      <c r="F806" s="86" t="n"/>
      <c r="H806" s="72" t="n"/>
    </row>
    <row r="807">
      <c r="A807" s="41" t="n"/>
      <c r="D807" s="87" t="n"/>
      <c r="F807" s="86" t="n"/>
      <c r="H807" s="72" t="n"/>
    </row>
    <row r="808">
      <c r="A808" s="41" t="n"/>
      <c r="D808" s="87" t="n"/>
      <c r="F808" s="86" t="n"/>
      <c r="H808" s="72" t="n"/>
    </row>
    <row r="809">
      <c r="A809" s="41" t="n"/>
      <c r="D809" s="87" t="n"/>
      <c r="F809" s="86" t="n"/>
      <c r="H809" s="72" t="n"/>
    </row>
    <row r="810">
      <c r="A810" s="41" t="n"/>
      <c r="D810" s="87" t="n"/>
      <c r="F810" s="86" t="n"/>
      <c r="H810" s="72" t="n"/>
    </row>
    <row r="811">
      <c r="A811" s="41" t="n"/>
      <c r="D811" s="87" t="n"/>
      <c r="F811" s="86" t="n"/>
      <c r="H811" s="72" t="n"/>
    </row>
    <row r="812">
      <c r="A812" s="41" t="n"/>
      <c r="D812" s="87" t="n"/>
      <c r="F812" s="86" t="n"/>
      <c r="H812" s="72" t="n"/>
    </row>
    <row r="813">
      <c r="A813" s="41" t="n"/>
      <c r="D813" s="87" t="n"/>
      <c r="F813" s="86" t="n"/>
      <c r="H813" s="72" t="n"/>
    </row>
    <row r="814">
      <c r="A814" s="41" t="n"/>
      <c r="D814" s="87" t="n"/>
      <c r="F814" s="86" t="n"/>
      <c r="H814" s="72" t="n"/>
    </row>
    <row r="815">
      <c r="A815" s="41" t="n"/>
      <c r="D815" s="87" t="n"/>
      <c r="F815" s="86" t="n"/>
      <c r="H815" s="72" t="n"/>
    </row>
    <row r="816">
      <c r="A816" s="41" t="n"/>
      <c r="D816" s="87" t="n"/>
      <c r="F816" s="86" t="n"/>
      <c r="H816" s="72" t="n"/>
    </row>
    <row r="817">
      <c r="A817" s="41" t="n"/>
      <c r="D817" s="87" t="n"/>
      <c r="F817" s="86" t="n"/>
      <c r="H817" s="72" t="n"/>
    </row>
    <row r="818">
      <c r="A818" s="41" t="n"/>
      <c r="D818" s="87" t="n"/>
      <c r="F818" s="86" t="n"/>
      <c r="H818" s="72" t="n"/>
    </row>
    <row r="819">
      <c r="A819" s="41" t="n"/>
      <c r="D819" s="87" t="n"/>
      <c r="F819" s="86" t="n"/>
      <c r="H819" s="72" t="n"/>
    </row>
    <row r="820">
      <c r="A820" s="41" t="n"/>
      <c r="D820" s="87" t="n"/>
      <c r="F820" s="86" t="n"/>
      <c r="H820" s="72" t="n"/>
    </row>
    <row r="821">
      <c r="A821" s="41" t="n"/>
      <c r="D821" s="87" t="n"/>
      <c r="F821" s="86" t="n"/>
      <c r="H821" s="72" t="n"/>
    </row>
    <row r="822">
      <c r="A822" s="41" t="n"/>
      <c r="D822" s="87" t="n"/>
      <c r="F822" s="86" t="n"/>
      <c r="H822" s="72" t="n"/>
    </row>
    <row r="823">
      <c r="A823" s="41" t="n"/>
      <c r="D823" s="87" t="n"/>
      <c r="F823" s="86" t="n"/>
      <c r="H823" s="72" t="n"/>
    </row>
    <row r="824">
      <c r="A824" s="41" t="n"/>
      <c r="D824" s="87" t="n"/>
      <c r="F824" s="86" t="n"/>
      <c r="H824" s="72" t="n"/>
    </row>
    <row r="825">
      <c r="A825" s="41" t="n"/>
      <c r="D825" s="87" t="n"/>
      <c r="F825" s="86" t="n"/>
      <c r="H825" s="72" t="n"/>
    </row>
    <row r="826">
      <c r="A826" s="41" t="n"/>
      <c r="D826" s="87" t="n"/>
      <c r="F826" s="86" t="n"/>
      <c r="H826" s="72" t="n"/>
    </row>
    <row r="827">
      <c r="A827" s="41" t="n"/>
      <c r="D827" s="87" t="n"/>
      <c r="F827" s="86" t="n"/>
      <c r="H827" s="72" t="n"/>
    </row>
    <row r="828">
      <c r="A828" s="41" t="n"/>
      <c r="D828" s="87" t="n"/>
      <c r="F828" s="86" t="n"/>
      <c r="H828" s="72" t="n"/>
    </row>
    <row r="829">
      <c r="A829" s="41" t="n"/>
      <c r="D829" s="87" t="n"/>
      <c r="F829" s="86" t="n"/>
      <c r="H829" s="72" t="n"/>
    </row>
    <row r="830">
      <c r="A830" s="41" t="n"/>
      <c r="D830" s="87" t="n"/>
      <c r="F830" s="86" t="n"/>
      <c r="H830" s="72" t="n"/>
    </row>
    <row r="831">
      <c r="A831" s="41" t="n"/>
      <c r="D831" s="87" t="n"/>
      <c r="F831" s="86" t="n"/>
      <c r="H831" s="72" t="n"/>
    </row>
    <row r="832">
      <c r="A832" s="41" t="n"/>
      <c r="D832" s="87" t="n"/>
      <c r="F832" s="86" t="n"/>
      <c r="H832" s="72" t="n"/>
    </row>
    <row r="833">
      <c r="A833" s="41" t="n"/>
      <c r="D833" s="87" t="n"/>
      <c r="F833" s="86" t="n"/>
      <c r="H833" s="72" t="n"/>
    </row>
    <row r="834">
      <c r="A834" s="41" t="n"/>
      <c r="D834" s="87" t="n"/>
      <c r="F834" s="86" t="n"/>
      <c r="H834" s="72" t="n"/>
    </row>
    <row r="835">
      <c r="A835" s="41" t="n"/>
      <c r="D835" s="87" t="n"/>
      <c r="F835" s="86" t="n"/>
      <c r="H835" s="72" t="n"/>
    </row>
    <row r="836">
      <c r="A836" s="41" t="n"/>
      <c r="D836" s="87" t="n"/>
      <c r="F836" s="86" t="n"/>
      <c r="H836" s="72" t="n"/>
    </row>
    <row r="837">
      <c r="A837" s="41" t="n"/>
      <c r="D837" s="87" t="n"/>
      <c r="F837" s="86" t="n"/>
      <c r="H837" s="72" t="n"/>
    </row>
    <row r="838">
      <c r="A838" s="41" t="n"/>
      <c r="D838" s="87" t="n"/>
      <c r="F838" s="86" t="n"/>
      <c r="H838" s="72" t="n"/>
    </row>
    <row r="839">
      <c r="A839" s="41" t="n"/>
      <c r="D839" s="87" t="n"/>
      <c r="F839" s="86" t="n"/>
      <c r="H839" s="72" t="n"/>
    </row>
    <row r="840">
      <c r="A840" s="41" t="n"/>
      <c r="D840" s="87" t="n"/>
      <c r="F840" s="86" t="n"/>
      <c r="H840" s="72" t="n"/>
    </row>
    <row r="841">
      <c r="A841" s="41" t="n"/>
      <c r="D841" s="87" t="n"/>
      <c r="F841" s="86" t="n"/>
      <c r="H841" s="72" t="n"/>
    </row>
    <row r="842">
      <c r="A842" s="41" t="n"/>
      <c r="D842" s="87" t="n"/>
      <c r="F842" s="86" t="n"/>
      <c r="H842" s="72" t="n"/>
    </row>
    <row r="843">
      <c r="A843" s="41" t="n"/>
      <c r="D843" s="87" t="n"/>
      <c r="F843" s="86" t="n"/>
      <c r="H843" s="72" t="n"/>
    </row>
    <row r="844">
      <c r="A844" s="41" t="n"/>
      <c r="D844" s="87" t="n"/>
      <c r="F844" s="86" t="n"/>
      <c r="H844" s="72" t="n"/>
    </row>
    <row r="845">
      <c r="A845" s="41" t="n"/>
      <c r="D845" s="87" t="n"/>
      <c r="F845" s="86" t="n"/>
      <c r="H845" s="72" t="n"/>
    </row>
    <row r="846">
      <c r="A846" s="41" t="n"/>
      <c r="D846" s="87" t="n"/>
      <c r="F846" s="86" t="n"/>
      <c r="H846" s="72" t="n"/>
    </row>
    <row r="847">
      <c r="A847" s="41" t="n"/>
      <c r="D847" s="87" t="n"/>
      <c r="F847" s="86" t="n"/>
      <c r="H847" s="72" t="n"/>
    </row>
    <row r="848">
      <c r="A848" s="41" t="n"/>
      <c r="D848" s="87" t="n"/>
      <c r="F848" s="86" t="n"/>
      <c r="H848" s="72" t="n"/>
    </row>
    <row r="849">
      <c r="A849" s="41" t="n"/>
      <c r="D849" s="87" t="n"/>
      <c r="F849" s="86" t="n"/>
      <c r="H849" s="72" t="n"/>
    </row>
    <row r="850">
      <c r="A850" s="41" t="n"/>
      <c r="D850" s="87" t="n"/>
      <c r="F850" s="86" t="n"/>
      <c r="H850" s="72" t="n"/>
    </row>
    <row r="851">
      <c r="A851" s="41" t="n"/>
      <c r="D851" s="87" t="n"/>
      <c r="F851" s="86" t="n"/>
      <c r="H851" s="72" t="n"/>
    </row>
    <row r="852">
      <c r="A852" s="41" t="n"/>
      <c r="D852" s="87" t="n"/>
      <c r="F852" s="86" t="n"/>
      <c r="H852" s="72" t="n"/>
    </row>
    <row r="853">
      <c r="A853" s="41" t="n"/>
      <c r="D853" s="87" t="n"/>
      <c r="F853" s="86" t="n"/>
      <c r="H853" s="72" t="n"/>
    </row>
    <row r="854">
      <c r="A854" s="41" t="n"/>
      <c r="D854" s="87" t="n"/>
      <c r="F854" s="86" t="n"/>
      <c r="H854" s="72" t="n"/>
    </row>
    <row r="855">
      <c r="A855" s="41" t="n"/>
      <c r="D855" s="87" t="n"/>
      <c r="F855" s="86" t="n"/>
      <c r="H855" s="72" t="n"/>
    </row>
    <row r="856">
      <c r="A856" s="41" t="n"/>
      <c r="D856" s="87" t="n"/>
      <c r="F856" s="86" t="n"/>
      <c r="H856" s="72" t="n"/>
    </row>
    <row r="857">
      <c r="A857" s="41" t="n"/>
      <c r="D857" s="87" t="n"/>
      <c r="F857" s="86" t="n"/>
      <c r="H857" s="72" t="n"/>
    </row>
    <row r="858">
      <c r="A858" s="41" t="n"/>
      <c r="D858" s="87" t="n"/>
      <c r="F858" s="86" t="n"/>
      <c r="H858" s="72" t="n"/>
    </row>
    <row r="859">
      <c r="A859" s="41" t="n"/>
      <c r="D859" s="87" t="n"/>
      <c r="F859" s="86" t="n"/>
      <c r="H859" s="72" t="n"/>
    </row>
    <row r="860">
      <c r="A860" s="41" t="n"/>
      <c r="D860" s="87" t="n"/>
      <c r="F860" s="86" t="n"/>
      <c r="H860" s="72" t="n"/>
    </row>
    <row r="861">
      <c r="A861" s="41" t="n"/>
      <c r="D861" s="87" t="n"/>
      <c r="F861" s="86" t="n"/>
      <c r="H861" s="72" t="n"/>
    </row>
    <row r="862">
      <c r="A862" s="41" t="n"/>
      <c r="D862" s="87" t="n"/>
      <c r="F862" s="86" t="n"/>
      <c r="H862" s="72" t="n"/>
    </row>
    <row r="863">
      <c r="A863" s="41" t="n"/>
      <c r="D863" s="87" t="n"/>
      <c r="F863" s="86" t="n"/>
      <c r="H863" s="72" t="n"/>
    </row>
    <row r="864">
      <c r="A864" s="41" t="n"/>
      <c r="D864" s="87" t="n"/>
      <c r="F864" s="86" t="n"/>
      <c r="H864" s="72" t="n"/>
    </row>
    <row r="865">
      <c r="A865" s="41" t="n"/>
      <c r="D865" s="87" t="n"/>
      <c r="F865" s="86" t="n"/>
      <c r="H865" s="72" t="n"/>
    </row>
    <row r="866">
      <c r="A866" s="41" t="n"/>
      <c r="D866" s="87" t="n"/>
      <c r="F866" s="86" t="n"/>
      <c r="H866" s="72" t="n"/>
    </row>
    <row r="867">
      <c r="A867" s="41" t="n"/>
      <c r="D867" s="87" t="n"/>
      <c r="F867" s="86" t="n"/>
      <c r="H867" s="72" t="n"/>
    </row>
    <row r="868">
      <c r="A868" s="41" t="n"/>
      <c r="D868" s="87" t="n"/>
      <c r="F868" s="86" t="n"/>
      <c r="H868" s="72" t="n"/>
    </row>
    <row r="869">
      <c r="A869" s="52" t="n"/>
      <c r="D869" s="87" t="n"/>
      <c r="F869" s="86" t="n"/>
      <c r="H869" s="72" t="n"/>
    </row>
    <row r="870">
      <c r="D870" s="87" t="n"/>
      <c r="F870" s="86" t="n"/>
      <c r="H870" s="72" t="n"/>
    </row>
    <row r="871">
      <c r="D871" s="87" t="n"/>
      <c r="F871" s="86" t="n"/>
      <c r="H871" s="72" t="n"/>
    </row>
    <row r="872">
      <c r="D872" s="87" t="n"/>
      <c r="F872" s="86" t="n"/>
      <c r="H872" s="72" t="n"/>
    </row>
    <row r="873">
      <c r="A873" s="36" t="n"/>
      <c r="D873" s="87" t="n"/>
      <c r="F873" s="86" t="n"/>
      <c r="H873" s="72" t="n"/>
    </row>
    <row r="874">
      <c r="A874" s="36" t="n"/>
      <c r="D874" s="87" t="n"/>
      <c r="F874" s="86" t="n"/>
      <c r="H874" s="72" t="n"/>
    </row>
    <row r="875">
      <c r="A875" s="41" t="n"/>
      <c r="D875" s="87" t="n"/>
      <c r="F875" s="86" t="n"/>
      <c r="H875" s="72" t="n"/>
    </row>
    <row r="876">
      <c r="A876" s="41" t="n"/>
      <c r="D876" s="87" t="n"/>
      <c r="F876" s="86" t="n"/>
      <c r="H876" s="72" t="n"/>
    </row>
    <row r="877">
      <c r="A877" s="41" t="n"/>
      <c r="D877" s="87" t="n"/>
      <c r="F877" s="86" t="n"/>
      <c r="H877" s="72" t="n"/>
    </row>
    <row r="878">
      <c r="A878" s="41" t="n"/>
      <c r="D878" s="87" t="n"/>
      <c r="F878" s="86" t="n"/>
      <c r="H878" s="72" t="n"/>
    </row>
    <row r="879">
      <c r="A879" s="41" t="n"/>
      <c r="D879" s="87" t="n"/>
      <c r="F879" s="86" t="n"/>
      <c r="H879" s="72" t="n"/>
    </row>
    <row r="880">
      <c r="A880" s="41" t="n"/>
      <c r="D880" s="87" t="n"/>
      <c r="F880" s="86" t="n"/>
      <c r="H880" s="72" t="n"/>
    </row>
    <row r="881">
      <c r="A881" s="41" t="n"/>
      <c r="D881" s="87" t="n"/>
      <c r="F881" s="86" t="n"/>
      <c r="H881" s="72" t="n"/>
    </row>
    <row r="882">
      <c r="A882" s="41" t="n"/>
      <c r="D882" s="87" t="n"/>
      <c r="F882" s="86" t="n"/>
      <c r="H882" s="72" t="n"/>
    </row>
    <row r="883">
      <c r="A883" s="41" t="n"/>
      <c r="D883" s="87" t="n"/>
      <c r="F883" s="86" t="n"/>
      <c r="H883" s="72" t="n"/>
    </row>
    <row r="884">
      <c r="A884" s="41" t="n"/>
      <c r="D884" s="87" t="n"/>
      <c r="F884" s="86" t="n"/>
      <c r="H884" s="72" t="n"/>
    </row>
    <row r="885">
      <c r="A885" s="41" t="n"/>
      <c r="D885" s="87" t="n"/>
      <c r="F885" s="86" t="n"/>
      <c r="H885" s="72" t="n"/>
    </row>
    <row r="886">
      <c r="A886" s="41" t="n"/>
      <c r="D886" s="87" t="n"/>
      <c r="F886" s="86" t="n"/>
      <c r="H886" s="72" t="n"/>
    </row>
    <row r="887">
      <c r="A887" s="41" t="n"/>
      <c r="D887" s="87" t="n"/>
      <c r="F887" s="86" t="n"/>
      <c r="H887" s="72" t="n"/>
    </row>
    <row r="888">
      <c r="A888" s="41" t="n"/>
      <c r="D888" s="87" t="n"/>
      <c r="F888" s="86" t="n"/>
      <c r="H888" s="72" t="n"/>
    </row>
    <row r="889">
      <c r="A889" s="41" t="n"/>
      <c r="D889" s="87" t="n"/>
      <c r="F889" s="86" t="n"/>
      <c r="H889" s="72" t="n"/>
    </row>
    <row r="890">
      <c r="A890" s="41" t="n"/>
      <c r="D890" s="87" t="n"/>
      <c r="F890" s="86" t="n"/>
      <c r="H890" s="72" t="n"/>
    </row>
    <row r="891">
      <c r="A891" s="41" t="n"/>
      <c r="D891" s="87" t="n"/>
      <c r="F891" s="86" t="n"/>
      <c r="H891" s="72" t="n"/>
    </row>
    <row r="892">
      <c r="A892" s="41" t="n"/>
      <c r="D892" s="87" t="n"/>
      <c r="F892" s="86" t="n"/>
      <c r="H892" s="72" t="n"/>
    </row>
    <row r="893">
      <c r="A893" s="41" t="n"/>
      <c r="D893" s="87" t="n"/>
      <c r="F893" s="86" t="n"/>
      <c r="H893" s="72" t="n"/>
    </row>
    <row r="894">
      <c r="A894" s="41" t="n"/>
      <c r="D894" s="87" t="n"/>
      <c r="F894" s="86" t="n"/>
      <c r="H894" s="72" t="n"/>
    </row>
    <row r="895">
      <c r="A895" s="41" t="n"/>
      <c r="D895" s="87" t="n"/>
      <c r="F895" s="86" t="n"/>
      <c r="H895" s="72" t="n"/>
    </row>
    <row r="896">
      <c r="A896" s="41" t="n"/>
      <c r="D896" s="87" t="n"/>
      <c r="F896" s="86" t="n"/>
      <c r="H896" s="72" t="n"/>
    </row>
    <row r="897">
      <c r="A897" s="41" t="n"/>
      <c r="D897" s="87" t="n"/>
      <c r="F897" s="86" t="n"/>
      <c r="H897" s="72" t="n"/>
    </row>
    <row r="898">
      <c r="A898" s="41" t="n"/>
      <c r="D898" s="87" t="n"/>
      <c r="F898" s="86" t="n"/>
      <c r="H898" s="72" t="n"/>
    </row>
    <row r="899">
      <c r="A899" s="41" t="n"/>
      <c r="D899" s="87" t="n"/>
      <c r="F899" s="86" t="n"/>
      <c r="H899" s="72" t="n"/>
    </row>
    <row r="900">
      <c r="A900" s="41" t="n"/>
      <c r="D900" s="87" t="n"/>
      <c r="F900" s="86" t="n"/>
      <c r="H900" s="72" t="n"/>
    </row>
    <row r="901">
      <c r="A901" s="41" t="n"/>
      <c r="D901" s="87" t="n"/>
      <c r="F901" s="86" t="n"/>
      <c r="H901" s="72" t="n"/>
    </row>
    <row r="902">
      <c r="A902" s="41" t="n"/>
      <c r="D902" s="87" t="n"/>
      <c r="F902" s="86" t="n"/>
      <c r="H902" s="72" t="n"/>
    </row>
    <row r="903">
      <c r="A903" s="41" t="n"/>
      <c r="D903" s="87" t="n"/>
      <c r="F903" s="86" t="n"/>
      <c r="H903" s="72" t="n"/>
    </row>
    <row r="904">
      <c r="A904" s="41" t="n"/>
      <c r="D904" s="87" t="n"/>
      <c r="F904" s="86" t="n"/>
      <c r="H904" s="72" t="n"/>
    </row>
    <row r="905">
      <c r="A905" s="41" t="n"/>
      <c r="D905" s="87" t="n"/>
      <c r="F905" s="86" t="n"/>
      <c r="H905" s="72" t="n"/>
    </row>
    <row r="906">
      <c r="A906" s="41" t="n"/>
      <c r="D906" s="87" t="n"/>
      <c r="F906" s="86" t="n"/>
      <c r="H906" s="72" t="n"/>
    </row>
    <row r="907">
      <c r="A907" s="41" t="n"/>
      <c r="D907" s="87" t="n"/>
      <c r="F907" s="86" t="n"/>
      <c r="H907" s="72" t="n"/>
    </row>
    <row r="908">
      <c r="A908" s="41" t="n"/>
      <c r="D908" s="87" t="n"/>
      <c r="F908" s="86" t="n"/>
      <c r="H908" s="72" t="n"/>
    </row>
    <row r="909">
      <c r="A909" s="41" t="n"/>
      <c r="D909" s="87" t="n"/>
      <c r="F909" s="86" t="n"/>
      <c r="H909" s="72" t="n"/>
    </row>
    <row r="910">
      <c r="A910" s="41" t="n"/>
      <c r="D910" s="87" t="n"/>
      <c r="F910" s="86" t="n"/>
      <c r="H910" s="72" t="n"/>
    </row>
    <row r="911">
      <c r="A911" s="41" t="n"/>
      <c r="D911" s="87" t="n"/>
      <c r="F911" s="86" t="n"/>
      <c r="H911" s="72" t="n"/>
    </row>
    <row r="912">
      <c r="A912" s="41" t="n"/>
      <c r="D912" s="87" t="n"/>
      <c r="F912" s="86" t="n"/>
      <c r="H912" s="72" t="n"/>
    </row>
    <row r="913">
      <c r="A913" s="41" t="n"/>
      <c r="D913" s="87" t="n"/>
      <c r="F913" s="86" t="n"/>
      <c r="H913" s="72" t="n"/>
    </row>
    <row r="914">
      <c r="A914" s="41" t="n"/>
      <c r="D914" s="87" t="n"/>
      <c r="F914" s="86" t="n"/>
      <c r="H914" s="72" t="n"/>
    </row>
    <row r="915">
      <c r="A915" s="41" t="n"/>
      <c r="D915" s="87" t="n"/>
      <c r="F915" s="86" t="n"/>
      <c r="H915" s="72" t="n"/>
    </row>
    <row r="916">
      <c r="A916" s="41" t="n"/>
      <c r="D916" s="87" t="n"/>
      <c r="F916" s="86" t="n"/>
      <c r="H916" s="72" t="n"/>
    </row>
    <row r="917">
      <c r="A917" s="41" t="n"/>
      <c r="D917" s="87" t="n"/>
      <c r="F917" s="86" t="n"/>
      <c r="H917" s="72" t="n"/>
    </row>
    <row r="918">
      <c r="A918" s="41" t="n"/>
      <c r="D918" s="87" t="n"/>
      <c r="F918" s="86" t="n"/>
      <c r="H918" s="72" t="n"/>
    </row>
    <row r="919">
      <c r="A919" s="41" t="n"/>
      <c r="D919" s="87" t="n"/>
      <c r="F919" s="86" t="n"/>
      <c r="H919" s="72" t="n"/>
    </row>
    <row r="920">
      <c r="A920" s="41" t="n"/>
      <c r="D920" s="87" t="n"/>
      <c r="F920" s="86" t="n"/>
      <c r="H920" s="72" t="n"/>
    </row>
    <row r="921">
      <c r="A921" s="41" t="n"/>
      <c r="D921" s="87" t="n"/>
      <c r="F921" s="86" t="n"/>
      <c r="H921" s="72" t="n"/>
    </row>
    <row r="922">
      <c r="A922" s="41" t="n"/>
      <c r="D922" s="87" t="n"/>
      <c r="F922" s="86" t="n"/>
      <c r="H922" s="72" t="n"/>
    </row>
    <row r="923">
      <c r="A923" s="41" t="n"/>
      <c r="D923" s="87" t="n"/>
      <c r="F923" s="86" t="n"/>
      <c r="H923" s="72" t="n"/>
    </row>
    <row r="924">
      <c r="A924" s="41" t="n"/>
      <c r="D924" s="87" t="n"/>
      <c r="F924" s="86" t="n"/>
      <c r="H924" s="72" t="n"/>
    </row>
    <row r="925">
      <c r="A925" s="41" t="n"/>
      <c r="D925" s="87" t="n"/>
      <c r="F925" s="86" t="n"/>
      <c r="H925" s="72" t="n"/>
    </row>
    <row r="926">
      <c r="A926" s="41" t="n"/>
      <c r="D926" s="87" t="n"/>
      <c r="F926" s="86" t="n"/>
      <c r="H926" s="72" t="n"/>
    </row>
    <row r="927">
      <c r="A927" s="41" t="n"/>
      <c r="D927" s="87" t="n"/>
      <c r="F927" s="86" t="n"/>
      <c r="H927" s="72" t="n"/>
    </row>
    <row r="928">
      <c r="A928" s="41" t="n"/>
      <c r="D928" s="87" t="n"/>
      <c r="F928" s="86" t="n"/>
      <c r="H928" s="72" t="n"/>
    </row>
    <row r="929">
      <c r="A929" s="41" t="n"/>
      <c r="D929" s="87" t="n"/>
      <c r="F929" s="86" t="n"/>
      <c r="H929" s="72" t="n"/>
    </row>
    <row r="930">
      <c r="A930" s="41" t="n"/>
      <c r="D930" s="87" t="n"/>
      <c r="F930" s="86" t="n"/>
      <c r="H930" s="72" t="n"/>
    </row>
    <row r="931">
      <c r="A931" s="41" t="n"/>
      <c r="D931" s="87" t="n"/>
      <c r="F931" s="86" t="n"/>
      <c r="H931" s="72" t="n"/>
    </row>
    <row r="932">
      <c r="A932" s="41" t="n"/>
      <c r="D932" s="87" t="n"/>
      <c r="F932" s="86" t="n"/>
      <c r="H932" s="72" t="n"/>
    </row>
    <row r="933">
      <c r="A933" s="41" t="n"/>
      <c r="D933" s="87" t="n"/>
      <c r="F933" s="86" t="n"/>
      <c r="H933" s="72" t="n"/>
    </row>
    <row r="934">
      <c r="A934" s="41" t="n"/>
      <c r="D934" s="87" t="n"/>
      <c r="F934" s="86" t="n"/>
      <c r="H934" s="72" t="n"/>
    </row>
    <row r="935">
      <c r="A935" s="41" t="n"/>
      <c r="D935" s="87" t="n"/>
      <c r="F935" s="86" t="n"/>
      <c r="H935" s="72" t="n"/>
    </row>
    <row r="936">
      <c r="A936" s="41" t="n"/>
      <c r="D936" s="87" t="n"/>
      <c r="F936" s="86" t="n"/>
      <c r="H936" s="72" t="n"/>
    </row>
    <row r="937">
      <c r="A937" s="41" t="n"/>
      <c r="D937" s="87" t="n"/>
      <c r="F937" s="86" t="n"/>
      <c r="H937" s="72" t="n"/>
    </row>
    <row r="938">
      <c r="A938" s="41" t="n"/>
      <c r="D938" s="87" t="n"/>
      <c r="F938" s="86" t="n"/>
      <c r="H938" s="72" t="n"/>
    </row>
    <row r="939">
      <c r="A939" s="41" t="n"/>
      <c r="D939" s="87" t="n"/>
      <c r="F939" s="86" t="n"/>
      <c r="H939" s="72" t="n"/>
    </row>
    <row r="940">
      <c r="A940" s="41" t="n"/>
      <c r="D940" s="87" t="n"/>
      <c r="F940" s="86" t="n"/>
      <c r="H940" s="72" t="n"/>
    </row>
    <row r="941">
      <c r="A941" s="41" t="n"/>
      <c r="D941" s="87" t="n"/>
      <c r="F941" s="86" t="n"/>
      <c r="H941" s="72" t="n"/>
    </row>
    <row r="942">
      <c r="A942" s="52" t="n"/>
      <c r="D942" s="87" t="n"/>
      <c r="F942" s="86" t="n"/>
      <c r="H942" s="72" t="n"/>
    </row>
    <row r="943">
      <c r="D943" s="87" t="n"/>
      <c r="F943" s="86" t="n"/>
      <c r="H943" s="72" t="n"/>
    </row>
    <row r="944">
      <c r="D944" s="87" t="n"/>
      <c r="F944" s="86" t="n"/>
      <c r="H944" s="72" t="n"/>
    </row>
    <row r="945">
      <c r="D945" s="87" t="n"/>
      <c r="F945" s="86" t="n"/>
      <c r="H945" s="72" t="n"/>
    </row>
    <row r="946">
      <c r="D946" s="87" t="n"/>
      <c r="F946" s="86" t="n"/>
      <c r="H946" s="72" t="n"/>
    </row>
    <row r="947">
      <c r="D947" s="87" t="n"/>
      <c r="F947" s="86" t="n"/>
      <c r="H947" s="72" t="n"/>
    </row>
    <row r="948">
      <c r="D948" s="87" t="n"/>
      <c r="F948" s="86" t="n"/>
      <c r="H948" s="72" t="n"/>
    </row>
    <row r="949">
      <c r="D949" s="87" t="n"/>
      <c r="F949" s="86" t="n"/>
      <c r="H949" s="72" t="n"/>
    </row>
    <row r="950">
      <c r="D950" s="87" t="n"/>
      <c r="F950" s="86" t="n"/>
      <c r="H950" s="72" t="n"/>
    </row>
    <row r="951">
      <c r="D951" s="87" t="n"/>
      <c r="F951" s="86" t="n"/>
      <c r="H951" s="72" t="n"/>
    </row>
    <row r="952">
      <c r="D952" s="87" t="n"/>
      <c r="F952" s="86" t="n"/>
      <c r="H952" s="72" t="n"/>
    </row>
    <row r="953">
      <c r="D953" s="87" t="n"/>
      <c r="F953" s="86" t="n"/>
      <c r="H953" s="72" t="n"/>
    </row>
    <row r="954">
      <c r="D954" s="87" t="n"/>
      <c r="F954" s="86" t="n"/>
      <c r="H954" s="72" t="n"/>
    </row>
    <row r="955">
      <c r="D955" s="87" t="n"/>
      <c r="F955" s="86" t="n"/>
      <c r="H955" s="72" t="n"/>
    </row>
    <row r="956">
      <c r="D956" s="87" t="n"/>
      <c r="F956" s="86" t="n"/>
      <c r="H956" s="72" t="n"/>
    </row>
    <row r="957">
      <c r="D957" s="87" t="n"/>
      <c r="F957" s="86" t="n"/>
      <c r="H957" s="72" t="n"/>
    </row>
    <row r="958">
      <c r="D958" s="87" t="n"/>
      <c r="F958" s="86" t="n"/>
      <c r="H958" s="72" t="n"/>
    </row>
    <row r="959">
      <c r="D959" s="87" t="n"/>
      <c r="F959" s="86" t="n"/>
      <c r="H959" s="72" t="n"/>
    </row>
    <row r="960">
      <c r="D960" s="87" t="n"/>
      <c r="F960" s="86" t="n"/>
      <c r="H960" s="72" t="n"/>
    </row>
    <row r="961">
      <c r="D961" s="87" t="n"/>
      <c r="F961" s="86" t="n"/>
      <c r="H961" s="72" t="n"/>
    </row>
    <row r="962">
      <c r="D962" s="87" t="n"/>
      <c r="F962" s="86" t="n"/>
      <c r="H962" s="72" t="n"/>
    </row>
    <row r="963">
      <c r="D963" s="87" t="n"/>
      <c r="F963" s="86" t="n"/>
      <c r="H963" s="72" t="n"/>
    </row>
    <row r="964">
      <c r="D964" s="87" t="n"/>
      <c r="F964" s="86" t="n"/>
      <c r="H964" s="72" t="n"/>
    </row>
    <row r="965">
      <c r="D965" s="87" t="n"/>
      <c r="F965" s="86" t="n"/>
      <c r="H965" s="72" t="n"/>
    </row>
    <row r="966">
      <c r="D966" s="87" t="n"/>
      <c r="F966" s="86" t="n"/>
      <c r="H966" s="72" t="n"/>
    </row>
    <row r="967">
      <c r="D967" s="87" t="n"/>
      <c r="F967" s="86" t="n"/>
      <c r="H967" s="72" t="n"/>
    </row>
    <row r="968">
      <c r="D968" s="87" t="n"/>
      <c r="F968" s="86" t="n"/>
      <c r="H968" s="72" t="n"/>
    </row>
    <row r="969">
      <c r="D969" s="87" t="n"/>
      <c r="F969" s="86" t="n"/>
      <c r="H969" s="72" t="n"/>
    </row>
    <row r="970">
      <c r="D970" s="87" t="n"/>
      <c r="F970" s="86" t="n"/>
      <c r="H970" s="72" t="n"/>
    </row>
    <row r="971">
      <c r="D971" s="87" t="n"/>
      <c r="F971" s="86" t="n"/>
      <c r="H971" s="72" t="n"/>
    </row>
    <row r="972">
      <c r="D972" s="87" t="n"/>
      <c r="F972" s="86" t="n"/>
      <c r="H972" s="72" t="n"/>
    </row>
    <row r="973">
      <c r="D973" s="87" t="n"/>
      <c r="F973" s="86" t="n"/>
      <c r="H973" s="72" t="n"/>
    </row>
    <row r="974">
      <c r="D974" s="87" t="n"/>
      <c r="F974" s="86" t="n"/>
      <c r="H974" s="72" t="n"/>
    </row>
    <row r="975">
      <c r="D975" s="87" t="n"/>
      <c r="F975" s="86" t="n"/>
      <c r="H975" s="72" t="n"/>
    </row>
    <row r="976">
      <c r="D976" s="87" t="n"/>
      <c r="F976" s="86" t="n"/>
      <c r="H976" s="72" t="n"/>
    </row>
    <row r="977">
      <c r="D977" s="87" t="n"/>
      <c r="F977" s="86" t="n"/>
      <c r="H977" s="72" t="n"/>
    </row>
    <row r="978">
      <c r="D978" s="87" t="n"/>
      <c r="F978" s="86" t="n"/>
      <c r="H978" s="72" t="n"/>
    </row>
    <row r="979">
      <c r="D979" s="87" t="n"/>
      <c r="F979" s="86" t="n"/>
      <c r="H979" s="72" t="n"/>
    </row>
    <row r="980">
      <c r="D980" s="87" t="n"/>
      <c r="F980" s="86" t="n"/>
      <c r="H980" s="72" t="n"/>
    </row>
    <row r="981">
      <c r="D981" s="87" t="n"/>
      <c r="F981" s="86" t="n"/>
      <c r="H981" s="72" t="n"/>
    </row>
    <row r="982">
      <c r="D982" s="87" t="n"/>
      <c r="F982" s="86" t="n"/>
      <c r="H982" s="72" t="n"/>
    </row>
    <row r="983">
      <c r="D983" s="87" t="n"/>
      <c r="F983" s="86" t="n"/>
      <c r="H983" s="72" t="n"/>
    </row>
    <row r="984">
      <c r="D984" s="87" t="n"/>
      <c r="F984" s="86" t="n"/>
      <c r="H984" s="72" t="n"/>
    </row>
    <row r="985">
      <c r="D985" s="87" t="n"/>
      <c r="F985" s="86" t="n"/>
      <c r="H985" s="72" t="n"/>
    </row>
    <row r="986">
      <c r="D986" s="87" t="n"/>
      <c r="F986" s="86" t="n"/>
      <c r="H986" s="72" t="n"/>
    </row>
    <row r="987">
      <c r="D987" s="87" t="n"/>
      <c r="F987" s="86" t="n"/>
      <c r="H987" s="72" t="n"/>
    </row>
    <row r="988">
      <c r="D988" s="87" t="n"/>
      <c r="F988" s="86" t="n"/>
      <c r="H988" s="72" t="n"/>
    </row>
    <row r="989">
      <c r="D989" s="87" t="n"/>
      <c r="F989" s="86" t="n"/>
      <c r="H989" s="72" t="n"/>
    </row>
    <row r="990">
      <c r="D990" s="87" t="n"/>
      <c r="F990" s="86" t="n"/>
      <c r="H990" s="72" t="n"/>
    </row>
    <row r="991">
      <c r="D991" s="87" t="n"/>
      <c r="F991" s="86" t="n"/>
      <c r="H991" s="72" t="n"/>
    </row>
    <row r="992">
      <c r="D992" s="87" t="n"/>
      <c r="F992" s="86" t="n"/>
      <c r="H992" s="72" t="n"/>
    </row>
    <row r="993">
      <c r="D993" s="87" t="n"/>
      <c r="F993" s="86" t="n"/>
      <c r="H993" s="72" t="n"/>
    </row>
    <row r="994">
      <c r="D994" s="87" t="n"/>
      <c r="F994" s="86" t="n"/>
      <c r="H994" s="72" t="n"/>
    </row>
    <row r="995">
      <c r="D995" s="87" t="n"/>
      <c r="F995" s="86" t="n"/>
      <c r="H995" s="72" t="n"/>
    </row>
    <row r="996">
      <c r="D996" s="87" t="n"/>
      <c r="F996" s="86" t="n"/>
      <c r="H996" s="72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H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width="11.5" customWidth="1" style="251" min="1" max="3"/>
    <col width="16.33203125" customWidth="1" style="251" min="4" max="4"/>
    <col width="15.33203125" customWidth="1" style="251" min="5" max="5"/>
    <col width="15.83203125" customWidth="1" style="251" min="6" max="7"/>
    <col width="11.5" customWidth="1" style="251" min="8" max="9"/>
    <col width="13.5" customWidth="1" style="251" min="10" max="10"/>
    <col width="11.5" customWidth="1" style="251" min="11" max="11"/>
    <col width="15.6640625" customWidth="1" style="251" min="12" max="12"/>
    <col width="11.5" customWidth="1" style="251" min="13" max="14"/>
    <col width="14.5" customWidth="1" style="251" min="15" max="15"/>
    <col width="15.5" customWidth="1" style="251" min="16" max="18"/>
    <col width="13.5" customWidth="1" style="251" min="19" max="19"/>
    <col width="11.5" customWidth="1" style="251" min="20" max="30"/>
    <col width="13.6640625" customWidth="1" style="251" min="31" max="55"/>
    <col width="11.5" customWidth="1" style="251" min="56" max="60"/>
  </cols>
  <sheetData>
    <row r="1" ht="32.25" customHeight="1" s="251">
      <c r="A1" s="279" t="inlineStr">
        <is>
          <t>MONTHS</t>
        </is>
      </c>
      <c r="B1" s="280" t="inlineStr">
        <is>
          <t>VARIABLE EXPENSE</t>
        </is>
      </c>
      <c r="C1" s="281" t="n"/>
      <c r="D1" s="280" t="inlineStr">
        <is>
          <t>FIXED EXPENSE</t>
        </is>
      </c>
      <c r="E1" s="282" t="n"/>
      <c r="F1" s="282" t="n"/>
      <c r="G1" s="282" t="n"/>
      <c r="H1" s="282" t="n"/>
      <c r="I1" s="282" t="n"/>
      <c r="J1" s="282" t="n"/>
      <c r="K1" s="282" t="n"/>
      <c r="L1" s="282" t="n"/>
      <c r="M1" s="282" t="n"/>
      <c r="N1" s="282" t="n"/>
      <c r="O1" s="282" t="n"/>
      <c r="P1" s="282" t="n"/>
      <c r="Q1" s="282" t="n"/>
      <c r="R1" s="282" t="n"/>
      <c r="S1" s="282" t="n"/>
      <c r="T1" s="282" t="n"/>
      <c r="U1" s="282" t="n"/>
      <c r="V1" s="282" t="n"/>
      <c r="W1" s="282" t="n"/>
      <c r="X1" s="282" t="n"/>
      <c r="Y1" s="282" t="n"/>
      <c r="Z1" s="282" t="n"/>
      <c r="AA1" s="282" t="n"/>
      <c r="AB1" s="282" t="n"/>
      <c r="AC1" s="282" t="n"/>
      <c r="AD1" s="282" t="n"/>
      <c r="AE1" s="282" t="n"/>
      <c r="AF1" s="282" t="n"/>
      <c r="AG1" s="282" t="n"/>
      <c r="AH1" s="282" t="n"/>
      <c r="AI1" s="282" t="n"/>
      <c r="AJ1" s="282" t="n"/>
      <c r="AK1" s="282" t="n"/>
      <c r="AL1" s="282" t="n"/>
      <c r="AM1" s="282" t="n"/>
      <c r="AN1" s="282" t="n"/>
      <c r="AO1" s="282" t="n"/>
      <c r="AP1" s="282" t="n"/>
      <c r="AQ1" s="282" t="n"/>
      <c r="AR1" s="282" t="n"/>
      <c r="AS1" s="282" t="n"/>
      <c r="AT1" s="282" t="n"/>
      <c r="AU1" s="282" t="n"/>
      <c r="AV1" s="282" t="n"/>
      <c r="AW1" s="282" t="n"/>
      <c r="AX1" s="282" t="n"/>
      <c r="AY1" s="282" t="n"/>
      <c r="AZ1" s="282" t="n"/>
      <c r="BA1" s="282" t="n"/>
      <c r="BB1" s="282" t="n"/>
      <c r="BC1" s="281" t="n"/>
      <c r="BD1" s="283" t="inlineStr">
        <is>
          <t>GROSS EXPENSE</t>
        </is>
      </c>
      <c r="BE1" s="140" t="inlineStr">
        <is>
          <t>GROSS VARIABLE EXPENSE</t>
        </is>
      </c>
      <c r="BF1" s="140" t="inlineStr">
        <is>
          <t>GROSS FIXED EXPENSE</t>
        </is>
      </c>
      <c r="BG1" s="140" t="inlineStr">
        <is>
          <t>WATER METER RENT</t>
        </is>
      </c>
      <c r="BH1" s="140" t="inlineStr">
        <is>
          <t>TOTAL EXPENSE</t>
        </is>
      </c>
    </row>
    <row r="2" ht="38.25" customHeight="1" s="251">
      <c r="A2" s="284" t="n"/>
      <c r="B2" s="140" t="inlineStr">
        <is>
          <t>DRINKING WATER
SLN WATER SUP</t>
        </is>
      </c>
      <c r="C2" s="140" t="inlineStr">
        <is>
          <t>STP SLUDGE CLEANING
BALAJI</t>
        </is>
      </c>
      <c r="D2" s="140" t="inlineStr">
        <is>
          <t>STP MAINTENANCE</t>
        </is>
      </c>
      <c r="E2" s="140" t="inlineStr">
        <is>
          <t>STP MATERIALS</t>
        </is>
      </c>
      <c r="F2" s="140" t="inlineStr">
        <is>
          <t>STP REPAIR</t>
        </is>
      </c>
      <c r="G2" s="140" t="inlineStr">
        <is>
          <t xml:space="preserve">COMMON 
ELECTRICITY BILL
</t>
        </is>
      </c>
      <c r="H2" s="140" t="inlineStr">
        <is>
          <t>BECOM Service tax</t>
        </is>
      </c>
      <c r="I2" s="140" t="inlineStr">
        <is>
          <t>SECURITY SERVICES</t>
        </is>
      </c>
      <c r="J2" s="140" t="inlineStr">
        <is>
          <t>GARBAGE REMOVAL</t>
        </is>
      </c>
      <c r="K2" s="140" t="inlineStr">
        <is>
          <t>PETTY CASH</t>
        </is>
      </c>
      <c r="L2" s="140" t="inlineStr">
        <is>
          <t>ELEVATOR MAINTENANCE</t>
        </is>
      </c>
      <c r="M2" s="140" t="inlineStr">
        <is>
          <t>MOTOR REPAIR</t>
        </is>
      </c>
      <c r="N2" s="140" t="inlineStr">
        <is>
          <t>PLUMBING MATERIAL</t>
        </is>
      </c>
      <c r="O2" s="140" t="inlineStr">
        <is>
          <t>ELECTRICITY MATERIAL</t>
        </is>
      </c>
      <c r="P2" s="140" t="inlineStr">
        <is>
          <t>ELECTRICITY MATERIAL</t>
        </is>
      </c>
      <c r="Q2" s="140" t="inlineStr">
        <is>
          <t>TRANSFORMER REPAIR</t>
        </is>
      </c>
      <c r="R2" s="140" t="inlineStr">
        <is>
          <t>GENERATOR MAINTENANCE
EPITOME</t>
        </is>
      </c>
      <c r="S2" s="140" t="inlineStr">
        <is>
          <t>GARDENING</t>
        </is>
      </c>
      <c r="T2" s="140" t="inlineStr">
        <is>
          <t>PLUMBER WAGE</t>
        </is>
      </c>
      <c r="U2" s="140" t="inlineStr">
        <is>
          <t>ELECTRICIAN WAGE</t>
        </is>
      </c>
      <c r="V2" s="140" t="inlineStr">
        <is>
          <t>MANAGER WAGE</t>
        </is>
      </c>
      <c r="W2" s="140" t="inlineStr">
        <is>
          <t>TANK AND SUMP CLEANING</t>
        </is>
      </c>
      <c r="X2" s="140" t="inlineStr">
        <is>
          <t>SECURITY WATER EXPENSES GREENMART</t>
        </is>
      </c>
      <c r="Y2" s="140" t="inlineStr">
        <is>
          <t>SWIMMING POOL MOTOR REPAIR</t>
        </is>
      </c>
      <c r="Z2" s="140" t="inlineStr">
        <is>
          <t>CCTV REPAIR</t>
        </is>
      </c>
      <c r="AA2" s="140" t="inlineStr">
        <is>
          <t>CCTV monitor</t>
        </is>
      </c>
      <c r="AB2" s="140" t="inlineStr">
        <is>
          <t xml:space="preserve">WATER PIPE </t>
        </is>
      </c>
      <c r="AC2" s="140" t="inlineStr">
        <is>
          <t>RAILING FOR STAIRCASE</t>
        </is>
      </c>
      <c r="AD2" s="140" t="inlineStr">
        <is>
          <t>Play area sand</t>
        </is>
      </c>
      <c r="AE2" s="140" t="inlineStr">
        <is>
          <t>BARBED WIRE REPAIR</t>
        </is>
      </c>
      <c r="AF2" s="140" t="inlineStr">
        <is>
          <t>DRIED LEAVES REMOVAL</t>
        </is>
      </c>
      <c r="AG2" s="140" t="inlineStr">
        <is>
          <t>DRAIN CLEANING</t>
        </is>
      </c>
      <c r="AH2" s="140" t="inlineStr">
        <is>
          <t>Security room &amp; Play area painting</t>
        </is>
      </c>
      <c r="AI2" s="140" t="inlineStr">
        <is>
          <t>Play area sand removal &amp; cracks filling</t>
        </is>
      </c>
      <c r="AJ2" s="140" t="inlineStr">
        <is>
          <t>Front garden cleaning and red soil filling</t>
        </is>
      </c>
      <c r="AK2" s="140" t="inlineStr">
        <is>
          <t>Landscaping work for STP water disposal</t>
        </is>
      </c>
      <c r="AL2" s="140" t="inlineStr">
        <is>
          <t>ACCOUNTING</t>
        </is>
      </c>
      <c r="AM2" s="140" t="inlineStr">
        <is>
          <t>Lift Painting</t>
        </is>
      </c>
      <c r="AN2" s="140" t="inlineStr">
        <is>
          <t>Lift wiring sepration</t>
        </is>
      </c>
      <c r="AO2" s="140" t="inlineStr">
        <is>
          <t>Earthing repair</t>
        </is>
      </c>
      <c r="AP2" s="140" t="inlineStr">
        <is>
          <t>Pest Control</t>
        </is>
      </c>
      <c r="AQ2" s="140" t="inlineStr">
        <is>
          <t>Freshwater pipe repair</t>
        </is>
      </c>
      <c r="AR2" s="140" t="inlineStr">
        <is>
          <t>NBH device replacement</t>
        </is>
      </c>
      <c r="AS2" s="140" t="inlineStr">
        <is>
          <t>NBH VMS</t>
        </is>
      </c>
      <c r="AT2" s="140" t="inlineStr">
        <is>
          <t>REPAIRS</t>
        </is>
      </c>
      <c r="AU2" s="140" t="inlineStr">
        <is>
          <t>Cricket Net</t>
        </is>
      </c>
      <c r="AV2" s="140" t="inlineStr">
        <is>
          <t>LOOK AHEAD EXPENSE</t>
        </is>
      </c>
      <c r="AW2" s="140" t="inlineStr">
        <is>
          <t>Rear bondary cleaning</t>
        </is>
      </c>
      <c r="AX2" s="140" t="inlineStr">
        <is>
          <t>9,7,8,11 series terrace pipe repairs</t>
        </is>
      </c>
      <c r="AY2" s="140" t="inlineStr">
        <is>
          <t>Speed Breaker near the gate</t>
        </is>
      </c>
      <c r="AZ2" s="140" t="inlineStr">
        <is>
          <t>Gym Equipment Repairs</t>
        </is>
      </c>
      <c r="BA2" s="140" t="inlineStr">
        <is>
          <t>Additional Waste Disposal</t>
        </is>
      </c>
      <c r="BB2" s="140" t="inlineStr">
        <is>
          <t>Swimming Pool Cleaning</t>
        </is>
      </c>
      <c r="BC2" s="140" t="inlineStr">
        <is>
          <t>HOUSE KEEPING MATERIALS</t>
        </is>
      </c>
      <c r="BD2" s="284" t="n"/>
      <c r="BE2" s="284" t="n"/>
      <c r="BF2" s="284" t="n"/>
      <c r="BG2" s="284" t="n"/>
      <c r="BH2" s="284" t="n"/>
    </row>
    <row r="3" ht="30" customHeight="1" s="251">
      <c r="A3" s="141" t="inlineStr">
        <is>
          <t>APRIL 2026</t>
        </is>
      </c>
      <c r="B3" s="142" t="n">
        <v>0</v>
      </c>
      <c r="C3" s="142" t="n">
        <v>0</v>
      </c>
      <c r="D3" s="142" t="n">
        <v>0</v>
      </c>
      <c r="E3" s="142" t="n">
        <v>0</v>
      </c>
      <c r="F3" s="143" t="n"/>
      <c r="G3" s="142" t="n">
        <v>0</v>
      </c>
      <c r="H3" s="143" t="n"/>
      <c r="I3" s="142" t="n">
        <v>0</v>
      </c>
      <c r="J3" s="142" t="n">
        <v>0</v>
      </c>
      <c r="K3" s="142" t="n">
        <v>0</v>
      </c>
      <c r="L3" s="142" t="n"/>
      <c r="M3" s="143" t="n">
        <v>0</v>
      </c>
      <c r="N3" s="142" t="n">
        <v>0</v>
      </c>
      <c r="O3" s="143">
        <f>3290+4300</f>
        <v/>
      </c>
      <c r="P3" s="143" t="n"/>
      <c r="Q3" s="143" t="n"/>
      <c r="R3" s="143" t="n"/>
      <c r="S3" s="143" t="n">
        <v>0</v>
      </c>
      <c r="T3" s="142" t="n">
        <v>0</v>
      </c>
      <c r="U3" s="142" t="n">
        <v>0</v>
      </c>
      <c r="V3" s="142" t="n">
        <v>0</v>
      </c>
      <c r="W3" s="143" t="n"/>
      <c r="X3" s="142" t="n"/>
      <c r="Y3" s="143" t="n"/>
      <c r="Z3" s="142" t="n"/>
      <c r="AA3" s="143" t="n"/>
      <c r="AB3" s="143" t="n"/>
      <c r="AC3" s="143" t="n"/>
      <c r="AD3" s="142" t="n"/>
      <c r="AE3" s="143" t="n"/>
      <c r="AF3" s="142" t="n"/>
      <c r="AG3" s="143" t="n"/>
      <c r="AH3" s="143" t="n"/>
      <c r="AI3" s="143" t="n"/>
      <c r="AJ3" s="143" t="n"/>
      <c r="AK3" s="143" t="n"/>
      <c r="AL3" s="143" t="n">
        <v>0</v>
      </c>
      <c r="AM3" s="142" t="n"/>
      <c r="AN3" s="142" t="n"/>
      <c r="AO3" s="142" t="n"/>
      <c r="AP3" s="142" t="n">
        <v>0</v>
      </c>
      <c r="AQ3" s="142" t="n"/>
      <c r="AR3" s="142" t="n"/>
      <c r="AS3" s="142" t="n">
        <v>0</v>
      </c>
      <c r="AT3" s="142" t="n"/>
      <c r="AU3" s="142" t="n"/>
      <c r="AV3" s="143" t="n"/>
      <c r="AW3" s="142" t="n"/>
      <c r="AX3" s="142" t="n"/>
      <c r="AY3" s="142" t="n"/>
      <c r="AZ3" s="142" t="n"/>
      <c r="BA3" s="142" t="n"/>
      <c r="BB3" s="142" t="n"/>
      <c r="BC3" s="142" t="n"/>
      <c r="BD3" s="144">
        <f>SUM(B3:BC3)</f>
        <v/>
      </c>
      <c r="BE3" s="144">
        <f>SUM(B3:C3)</f>
        <v/>
      </c>
      <c r="BF3" s="144">
        <f>BD3-BE3</f>
        <v/>
      </c>
      <c r="BG3" s="145" t="n">
        <v>0</v>
      </c>
      <c r="BH3" s="144">
        <f>BD3+BG3</f>
        <v/>
      </c>
    </row>
    <row r="4" ht="30" customHeight="1" s="251">
      <c r="A4" s="141" t="inlineStr">
        <is>
          <t>MAY 2026</t>
        </is>
      </c>
      <c r="B4" s="142" t="n">
        <v>0</v>
      </c>
      <c r="C4" s="142" t="n">
        <v>0</v>
      </c>
      <c r="D4" s="142" t="n">
        <v>0</v>
      </c>
      <c r="E4" s="142" t="n">
        <v>0</v>
      </c>
      <c r="F4" s="143" t="n"/>
      <c r="G4" s="142" t="n">
        <v>0</v>
      </c>
      <c r="H4" s="143" t="n"/>
      <c r="I4" s="142" t="n">
        <v>0</v>
      </c>
      <c r="J4" s="142" t="n">
        <v>0</v>
      </c>
      <c r="K4" s="142" t="n">
        <v>0</v>
      </c>
      <c r="L4" s="142" t="n"/>
      <c r="M4" s="143" t="n"/>
      <c r="N4" s="142" t="n">
        <v>0</v>
      </c>
      <c r="O4" s="143" t="n"/>
      <c r="P4" s="143" t="n"/>
      <c r="Q4" s="143" t="n"/>
      <c r="R4" s="143" t="n"/>
      <c r="S4" s="143" t="n">
        <v>0</v>
      </c>
      <c r="T4" s="142" t="n">
        <v>0</v>
      </c>
      <c r="U4" s="142" t="n">
        <v>0</v>
      </c>
      <c r="V4" s="142" t="n">
        <v>0</v>
      </c>
      <c r="W4" s="143" t="n"/>
      <c r="X4" s="142" t="n"/>
      <c r="Y4" s="143" t="n"/>
      <c r="Z4" s="142" t="n"/>
      <c r="AA4" s="143" t="n"/>
      <c r="AB4" s="143" t="n"/>
      <c r="AC4" s="143" t="n"/>
      <c r="AD4" s="142" t="n"/>
      <c r="AE4" s="143" t="n"/>
      <c r="AF4" s="142" t="n"/>
      <c r="AG4" s="143" t="n"/>
      <c r="AH4" s="143" t="n"/>
      <c r="AI4" s="143" t="n"/>
      <c r="AJ4" s="143" t="n"/>
      <c r="AK4" s="143" t="n"/>
      <c r="AL4" s="143" t="n">
        <v>0</v>
      </c>
      <c r="AM4" s="142" t="n"/>
      <c r="AN4" s="142" t="n"/>
      <c r="AO4" s="142" t="n"/>
      <c r="AP4" s="142" t="n">
        <v>0</v>
      </c>
      <c r="AQ4" s="142" t="n"/>
      <c r="AR4" s="142" t="n"/>
      <c r="AS4" s="142" t="n"/>
      <c r="AT4" s="142" t="n"/>
      <c r="AU4" s="142" t="n"/>
      <c r="AV4" s="143" t="n"/>
      <c r="AW4" s="142" t="n"/>
      <c r="AX4" s="142" t="n"/>
      <c r="AY4" s="142" t="n"/>
      <c r="AZ4" s="142" t="n"/>
      <c r="BA4" s="142" t="n"/>
      <c r="BB4" s="142" t="n"/>
      <c r="BC4" s="142" t="n"/>
      <c r="BD4" s="144">
        <f>SUM(B4:BC4)</f>
        <v/>
      </c>
      <c r="BE4" s="144">
        <f>SUM(B4:C4)</f>
        <v/>
      </c>
      <c r="BF4" s="144">
        <f>BD4-BE4</f>
        <v/>
      </c>
      <c r="BG4" s="145" t="n">
        <v>0</v>
      </c>
      <c r="BH4" s="144">
        <f>BD4+BG4</f>
        <v/>
      </c>
    </row>
    <row r="5" ht="30" customHeight="1" s="251">
      <c r="A5" s="141" t="inlineStr">
        <is>
          <t>JUN 2026</t>
        </is>
      </c>
      <c r="B5" s="142" t="n">
        <v>0</v>
      </c>
      <c r="C5" s="142" t="n">
        <v>0</v>
      </c>
      <c r="D5" s="142" t="n">
        <v>0</v>
      </c>
      <c r="E5" s="142" t="n">
        <v>0</v>
      </c>
      <c r="F5" s="143" t="n"/>
      <c r="G5" s="142" t="n">
        <v>0</v>
      </c>
      <c r="H5" s="143" t="n"/>
      <c r="I5" s="142" t="n">
        <v>0</v>
      </c>
      <c r="J5" s="142" t="n">
        <v>0</v>
      </c>
      <c r="K5" s="142" t="n">
        <v>0</v>
      </c>
      <c r="L5" s="143" t="n"/>
      <c r="M5" s="143" t="n"/>
      <c r="N5" s="143" t="n"/>
      <c r="O5" s="142" t="n"/>
      <c r="P5" s="143" t="n"/>
      <c r="Q5" s="143" t="n"/>
      <c r="R5" s="143" t="n"/>
      <c r="S5" s="143" t="n">
        <v>0</v>
      </c>
      <c r="T5" s="146" t="n">
        <v>0</v>
      </c>
      <c r="U5" s="142" t="n">
        <v>0</v>
      </c>
      <c r="V5" s="142" t="n">
        <v>0</v>
      </c>
      <c r="W5" s="143" t="n"/>
      <c r="X5" s="142" t="n"/>
      <c r="Y5" s="143" t="n"/>
      <c r="Z5" s="143" t="n"/>
      <c r="AA5" s="142" t="n"/>
      <c r="AB5" s="143" t="n"/>
      <c r="AC5" s="143" t="n"/>
      <c r="AD5" s="143" t="n"/>
      <c r="AE5" s="143" t="n"/>
      <c r="AF5" s="142" t="n">
        <v>0</v>
      </c>
      <c r="AG5" s="143" t="n"/>
      <c r="AH5" s="143" t="n"/>
      <c r="AI5" s="143" t="n"/>
      <c r="AJ5" s="143" t="n"/>
      <c r="AK5" s="143" t="n"/>
      <c r="AL5" s="143" t="n">
        <v>0</v>
      </c>
      <c r="AM5" s="143" t="n"/>
      <c r="AN5" s="143" t="n"/>
      <c r="AO5" s="143" t="n"/>
      <c r="AP5" s="143" t="n">
        <v>0</v>
      </c>
      <c r="AQ5" s="143" t="n"/>
      <c r="AR5" s="143" t="n"/>
      <c r="AS5" s="143" t="n"/>
      <c r="AT5" s="143" t="n"/>
      <c r="AU5" s="143" t="n"/>
      <c r="AV5" s="143" t="n"/>
      <c r="AW5" s="143" t="n"/>
      <c r="AX5" s="143" t="n"/>
      <c r="AY5" s="143" t="n"/>
      <c r="AZ5" s="143" t="n"/>
      <c r="BA5" s="143" t="n"/>
      <c r="BB5" s="143" t="n"/>
      <c r="BC5" s="143" t="n">
        <v>0</v>
      </c>
      <c r="BD5" s="144">
        <f>SUM(B5:BC5)</f>
        <v/>
      </c>
      <c r="BE5" s="144">
        <f>SUM(B5:C5)</f>
        <v/>
      </c>
      <c r="BF5" s="144">
        <f>BD5-BE5</f>
        <v/>
      </c>
      <c r="BG5" s="145" t="n">
        <v>0</v>
      </c>
      <c r="BH5" s="144">
        <f>BD5+BG5</f>
        <v/>
      </c>
    </row>
    <row r="6" ht="30" customHeight="1" s="251">
      <c r="A6" s="141" t="inlineStr">
        <is>
          <t>JUL 2026</t>
        </is>
      </c>
      <c r="B6" s="142" t="n">
        <v>0</v>
      </c>
      <c r="C6" s="142" t="n">
        <v>0</v>
      </c>
      <c r="D6" s="142" t="n">
        <v>0</v>
      </c>
      <c r="E6" s="142" t="n">
        <v>0</v>
      </c>
      <c r="F6" s="143" t="n"/>
      <c r="G6" s="142" t="n">
        <v>0</v>
      </c>
      <c r="H6" s="143" t="n"/>
      <c r="I6" s="142" t="n">
        <v>0</v>
      </c>
      <c r="J6" s="142" t="n">
        <v>0</v>
      </c>
      <c r="K6" s="142" t="n">
        <v>0</v>
      </c>
      <c r="L6" s="143" t="n">
        <v>0</v>
      </c>
      <c r="M6" s="142" t="n"/>
      <c r="N6" s="142" t="n"/>
      <c r="O6" s="143" t="n"/>
      <c r="P6" s="143" t="n"/>
      <c r="Q6" s="143" t="n"/>
      <c r="R6" s="143" t="n"/>
      <c r="S6" s="143" t="n">
        <v>0</v>
      </c>
      <c r="T6" s="146" t="n">
        <v>0</v>
      </c>
      <c r="U6" s="142" t="n">
        <v>0</v>
      </c>
      <c r="V6" s="142" t="n">
        <v>0</v>
      </c>
      <c r="W6" s="143" t="n"/>
      <c r="X6" s="143" t="n"/>
      <c r="Y6" s="143" t="n"/>
      <c r="Z6" s="143" t="n"/>
      <c r="AA6" s="143" t="n"/>
      <c r="AB6" s="143" t="n"/>
      <c r="AC6" s="143" t="n"/>
      <c r="AD6" s="143" t="n"/>
      <c r="AE6" s="143" t="n"/>
      <c r="AF6" s="142" t="n">
        <v>0</v>
      </c>
      <c r="AG6" s="143" t="n"/>
      <c r="AH6" s="143" t="n"/>
      <c r="AI6" s="143" t="n"/>
      <c r="AJ6" s="143" t="n"/>
      <c r="AK6" s="142" t="n"/>
      <c r="AL6" s="143" t="n">
        <v>0</v>
      </c>
      <c r="AM6" s="143" t="n"/>
      <c r="AN6" s="143" t="n"/>
      <c r="AO6" s="143" t="n"/>
      <c r="AP6" s="143" t="n">
        <v>0</v>
      </c>
      <c r="AQ6" s="143" t="n"/>
      <c r="AR6" s="143" t="n"/>
      <c r="AS6" s="143" t="n"/>
      <c r="AT6" s="143" t="n"/>
      <c r="AU6" s="143" t="n"/>
      <c r="AV6" s="143" t="n"/>
      <c r="AW6" s="143" t="n"/>
      <c r="AX6" s="143" t="n"/>
      <c r="AY6" s="143" t="n">
        <v>0</v>
      </c>
      <c r="BA6" s="147" t="n"/>
      <c r="BB6" s="147" t="n"/>
      <c r="BC6" s="143" t="n"/>
      <c r="BD6" s="144">
        <f>SUM(B6:BC6)</f>
        <v/>
      </c>
      <c r="BE6" s="144">
        <f>SUM(B6:C6)</f>
        <v/>
      </c>
      <c r="BF6" s="144">
        <f>BD6-BE6</f>
        <v/>
      </c>
      <c r="BG6" s="146" t="n">
        <v>0</v>
      </c>
      <c r="BH6" s="144">
        <f>BD6+BG6</f>
        <v/>
      </c>
    </row>
    <row r="7" ht="30" customHeight="1" s="251">
      <c r="A7" s="141" t="inlineStr">
        <is>
          <t>AUG 2026</t>
        </is>
      </c>
      <c r="B7" s="142" t="n">
        <v>0</v>
      </c>
      <c r="C7" s="146" t="n">
        <v>0</v>
      </c>
      <c r="D7" s="146" t="n">
        <v>0</v>
      </c>
      <c r="E7" s="146" t="n">
        <v>0</v>
      </c>
      <c r="F7" s="142" t="n"/>
      <c r="G7" s="146" t="n">
        <v>0</v>
      </c>
      <c r="H7" s="143" t="n"/>
      <c r="I7" s="142" t="n">
        <v>0</v>
      </c>
      <c r="J7" s="146" t="n">
        <v>0</v>
      </c>
      <c r="K7" s="146" t="n">
        <v>0</v>
      </c>
      <c r="L7" s="143" t="n"/>
      <c r="M7" s="143" t="n"/>
      <c r="N7" s="143" t="n"/>
      <c r="O7" s="143">
        <f>25000</f>
        <v/>
      </c>
      <c r="P7" s="148" t="n">
        <v>0</v>
      </c>
      <c r="Q7" s="143" t="n"/>
      <c r="R7" s="142" t="n"/>
      <c r="S7" s="148" t="n">
        <v>0</v>
      </c>
      <c r="T7" s="146" t="n">
        <v>0</v>
      </c>
      <c r="U7" s="146" t="n">
        <v>0</v>
      </c>
      <c r="V7" s="146" t="n">
        <v>0</v>
      </c>
      <c r="W7" s="143" t="n"/>
      <c r="X7" s="143" t="n"/>
      <c r="Y7" s="143" t="n"/>
      <c r="Z7" s="143" t="n"/>
      <c r="AA7" s="143" t="n"/>
      <c r="AB7" s="143" t="n"/>
      <c r="AC7" s="143" t="n"/>
      <c r="AD7" s="143" t="n"/>
      <c r="AE7" s="143" t="n"/>
      <c r="AF7" s="148" t="n">
        <v>0</v>
      </c>
      <c r="AG7" s="143" t="n"/>
      <c r="AH7" s="143" t="n"/>
      <c r="AI7" s="143" t="n"/>
      <c r="AJ7" s="143" t="n"/>
      <c r="AK7" s="143" t="n"/>
      <c r="AL7" s="143" t="n">
        <v>0</v>
      </c>
      <c r="AM7" s="142" t="n"/>
      <c r="AN7" s="142" t="n"/>
      <c r="AO7" s="142" t="n"/>
      <c r="AP7" s="143" t="n">
        <v>0</v>
      </c>
      <c r="AQ7" s="143" t="n"/>
      <c r="AR7" s="148" t="n">
        <v>0</v>
      </c>
      <c r="AS7" s="143" t="n"/>
      <c r="AT7" s="143" t="n"/>
      <c r="AU7" s="143" t="n"/>
      <c r="AV7" s="143" t="n"/>
      <c r="AW7" s="143" t="n"/>
      <c r="AX7" s="143" t="n"/>
      <c r="AY7" s="143" t="n"/>
      <c r="AZ7" s="143" t="n">
        <v>0</v>
      </c>
      <c r="BA7" s="143" t="n"/>
      <c r="BB7" s="143" t="n"/>
      <c r="BC7" s="143" t="n"/>
      <c r="BD7" s="144">
        <f>SUM(B7:BC7)</f>
        <v/>
      </c>
      <c r="BE7" s="144">
        <f>SUM(B7:C7)</f>
        <v/>
      </c>
      <c r="BF7" s="144">
        <f>BD7-BE7</f>
        <v/>
      </c>
      <c r="BG7" s="146" t="n">
        <v>0</v>
      </c>
      <c r="BH7" s="144">
        <f>BD7+BG7</f>
        <v/>
      </c>
    </row>
    <row r="8" ht="30" customHeight="1" s="251">
      <c r="A8" s="141" t="inlineStr">
        <is>
          <t>SEP 2026</t>
        </is>
      </c>
      <c r="B8" s="143" t="n">
        <v>0</v>
      </c>
      <c r="C8" s="143" t="n">
        <v>0</v>
      </c>
      <c r="D8" s="143" t="n">
        <v>0</v>
      </c>
      <c r="E8" s="143" t="n">
        <v>0</v>
      </c>
      <c r="F8" s="143" t="n"/>
      <c r="G8" s="143" t="n">
        <v>0</v>
      </c>
      <c r="H8" s="143" t="n"/>
      <c r="I8" s="143" t="n">
        <v>0</v>
      </c>
      <c r="J8" s="142" t="n">
        <v>0</v>
      </c>
      <c r="K8" s="142" t="n">
        <v>0</v>
      </c>
      <c r="L8" s="143" t="n"/>
      <c r="M8" s="143" t="n"/>
      <c r="N8" s="143" t="n"/>
      <c r="O8" s="143" t="n">
        <v>0</v>
      </c>
      <c r="P8" s="143" t="n">
        <v>0</v>
      </c>
      <c r="Q8" s="143" t="n"/>
      <c r="R8" s="143" t="n"/>
      <c r="S8" s="143" t="n">
        <v>0</v>
      </c>
      <c r="T8" s="143" t="n">
        <v>0</v>
      </c>
      <c r="U8" s="142" t="n">
        <v>0</v>
      </c>
      <c r="V8" s="142" t="n">
        <v>0</v>
      </c>
      <c r="W8" s="143" t="n"/>
      <c r="X8" s="143" t="n"/>
      <c r="Y8" s="143" t="n"/>
      <c r="Z8" s="143" t="n"/>
      <c r="AA8" s="143" t="n"/>
      <c r="AB8" s="143" t="n"/>
      <c r="AC8" s="143" t="n"/>
      <c r="AD8" s="143" t="n"/>
      <c r="AE8" s="143" t="n"/>
      <c r="AF8" s="142" t="n">
        <v>0</v>
      </c>
      <c r="AG8" s="143" t="n"/>
      <c r="AH8" s="143" t="n"/>
      <c r="AI8" s="143" t="n"/>
      <c r="AJ8" s="143" t="n"/>
      <c r="AK8" s="143" t="n"/>
      <c r="AM8" s="143" t="n"/>
      <c r="AN8" s="143" t="n"/>
      <c r="AO8" s="142" t="n"/>
      <c r="AP8" s="143" t="n"/>
      <c r="AQ8" s="143" t="n"/>
      <c r="AR8" s="143" t="n"/>
      <c r="AS8" s="143" t="n">
        <v>0</v>
      </c>
      <c r="AT8" s="143" t="n"/>
      <c r="AU8" s="143" t="n"/>
      <c r="AV8" s="143" t="n"/>
      <c r="AW8" s="143" t="n"/>
      <c r="AX8" s="143" t="n"/>
      <c r="AY8" s="143" t="n"/>
      <c r="AZ8" s="143" t="n"/>
      <c r="BA8" s="143" t="n"/>
      <c r="BB8" s="143" t="n"/>
      <c r="BC8" s="143" t="n"/>
      <c r="BD8" s="144">
        <f>SUM(B8:BC8)</f>
        <v/>
      </c>
      <c r="BE8" s="144">
        <f>SUM(B8:C8)</f>
        <v/>
      </c>
      <c r="BF8" s="144">
        <f>BD8-BE8</f>
        <v/>
      </c>
      <c r="BG8" s="145" t="n">
        <v>0</v>
      </c>
      <c r="BH8" s="144">
        <f>BD8+BG8</f>
        <v/>
      </c>
    </row>
    <row r="9" ht="30" customHeight="1" s="251">
      <c r="A9" s="141" t="inlineStr">
        <is>
          <t>OCT 2026</t>
        </is>
      </c>
      <c r="B9" s="143" t="n">
        <v>0</v>
      </c>
      <c r="C9" s="143" t="n">
        <v>0</v>
      </c>
      <c r="D9" s="143" t="n">
        <v>0</v>
      </c>
      <c r="E9" s="143" t="n">
        <v>0</v>
      </c>
      <c r="F9" s="143" t="n"/>
      <c r="G9" s="143" t="n">
        <v>0</v>
      </c>
      <c r="H9" s="143" t="n"/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/>
      <c r="O9" s="143" t="n"/>
      <c r="P9" s="143" t="n"/>
      <c r="Q9" s="143" t="n"/>
      <c r="R9" s="143" t="n"/>
      <c r="S9" s="143" t="n">
        <v>0</v>
      </c>
      <c r="T9" s="143" t="n">
        <v>0</v>
      </c>
      <c r="U9" s="143" t="n">
        <v>0</v>
      </c>
      <c r="V9" s="143" t="n">
        <v>0</v>
      </c>
      <c r="W9" s="143" t="n"/>
      <c r="X9" s="143" t="n"/>
      <c r="Y9" s="143" t="n"/>
      <c r="Z9" s="143" t="n"/>
      <c r="AA9" s="143" t="n"/>
      <c r="AB9" s="143" t="n"/>
      <c r="AC9" s="143" t="n"/>
      <c r="AD9" s="143" t="n"/>
      <c r="AE9" s="143" t="n"/>
      <c r="AF9" s="143" t="n">
        <v>0</v>
      </c>
      <c r="AG9" s="143" t="n"/>
      <c r="AH9" s="143" t="n"/>
      <c r="AI9" s="143" t="n"/>
      <c r="AJ9" s="143" t="n"/>
      <c r="AK9" s="143" t="n"/>
      <c r="AL9" s="143" t="n">
        <v>0</v>
      </c>
      <c r="AM9" s="143" t="n"/>
      <c r="AN9" s="143" t="n"/>
      <c r="AO9" s="143" t="n"/>
      <c r="AP9" s="143" t="n"/>
      <c r="AQ9" s="143" t="n"/>
      <c r="AR9" s="143" t="n"/>
      <c r="AS9" s="143" t="n"/>
      <c r="AT9" s="143" t="n">
        <v>0</v>
      </c>
      <c r="AU9" s="143" t="n"/>
      <c r="AV9" s="143" t="n"/>
      <c r="AW9" s="143" t="n"/>
      <c r="AX9" s="143" t="n"/>
      <c r="AY9" s="143" t="n"/>
      <c r="AZ9" s="143" t="n"/>
      <c r="BA9" s="143" t="n"/>
      <c r="BB9" s="143" t="n"/>
      <c r="BC9" s="143">
        <f>4309+1367+3127</f>
        <v/>
      </c>
      <c r="BD9" s="144">
        <f>SUM(B9:BC9)</f>
        <v/>
      </c>
      <c r="BE9" s="144">
        <f>SUM(B9:C9)</f>
        <v/>
      </c>
      <c r="BF9" s="144">
        <f>BD9-BE9</f>
        <v/>
      </c>
      <c r="BG9" s="145" t="n">
        <v>0</v>
      </c>
      <c r="BH9" s="144">
        <f>BD9+BG9</f>
        <v/>
      </c>
    </row>
    <row r="10" ht="30" customHeight="1" s="251">
      <c r="A10" s="141" t="inlineStr">
        <is>
          <t>NOV 2026</t>
        </is>
      </c>
      <c r="B10" s="142" t="n">
        <v>0</v>
      </c>
      <c r="C10" s="143" t="n">
        <v>0</v>
      </c>
      <c r="D10" s="143" t="n">
        <v>0</v>
      </c>
      <c r="E10" s="143" t="n">
        <v>0</v>
      </c>
      <c r="F10" s="143" t="n"/>
      <c r="G10" s="143" t="n">
        <v>0</v>
      </c>
      <c r="H10" s="143" t="n"/>
      <c r="I10" s="143" t="n">
        <v>0</v>
      </c>
      <c r="J10" s="143" t="n">
        <v>0</v>
      </c>
      <c r="K10" s="143" t="n">
        <v>0</v>
      </c>
      <c r="L10" s="143" t="n">
        <v>0</v>
      </c>
      <c r="M10" s="143" t="n"/>
      <c r="N10" s="143" t="n"/>
      <c r="O10" s="143" t="n"/>
      <c r="P10" s="143" t="n"/>
      <c r="Q10" s="143" t="n"/>
      <c r="R10" s="143" t="n">
        <v>0</v>
      </c>
      <c r="S10" s="143" t="n">
        <v>0</v>
      </c>
      <c r="T10" s="143" t="n">
        <v>0</v>
      </c>
      <c r="U10" s="143" t="n">
        <v>0</v>
      </c>
      <c r="V10" s="143" t="n">
        <v>0</v>
      </c>
      <c r="W10" s="143" t="n">
        <v>0</v>
      </c>
      <c r="X10" s="143" t="n"/>
      <c r="Y10" s="143" t="n"/>
      <c r="Z10" s="143" t="n"/>
      <c r="AA10" s="143" t="n"/>
      <c r="AB10" s="143" t="n"/>
      <c r="AC10" s="143" t="n"/>
      <c r="AD10" s="143" t="n"/>
      <c r="AE10" s="143" t="n"/>
      <c r="AF10" s="143" t="n">
        <v>0</v>
      </c>
      <c r="AG10" s="143" t="n"/>
      <c r="AH10" s="143" t="n"/>
      <c r="AI10" s="143" t="n"/>
      <c r="AJ10" s="143" t="n"/>
      <c r="AK10" s="143" t="n"/>
      <c r="AL10" s="143" t="n"/>
      <c r="AM10" s="143" t="n"/>
      <c r="AN10" s="143" t="n"/>
      <c r="AO10" s="143" t="n"/>
      <c r="AP10" s="143" t="n"/>
      <c r="AQ10" s="143" t="n"/>
      <c r="AR10" s="143" t="n"/>
      <c r="AS10" s="143" t="n"/>
      <c r="AT10" s="143" t="n"/>
      <c r="AU10" s="143" t="n"/>
      <c r="AV10" s="143" t="n"/>
      <c r="AW10" s="143" t="n"/>
      <c r="AX10" s="143" t="n"/>
      <c r="AY10" s="143" t="n"/>
      <c r="AZ10" s="143" t="n"/>
      <c r="BA10" s="143" t="n">
        <v>0</v>
      </c>
      <c r="BB10" s="143" t="n">
        <v>0</v>
      </c>
      <c r="BC10" s="143" t="n"/>
      <c r="BD10" s="144">
        <f>SUM(B10:BC10)</f>
        <v/>
      </c>
      <c r="BE10" s="144">
        <f>SUM(B10:C10)</f>
        <v/>
      </c>
      <c r="BF10" s="144">
        <f>BD10-BE10</f>
        <v/>
      </c>
      <c r="BG10" s="145" t="n">
        <v>0</v>
      </c>
      <c r="BH10" s="144">
        <f>BD10+BG10</f>
        <v/>
      </c>
    </row>
    <row r="11" ht="30" customHeight="1" s="251">
      <c r="A11" s="141" t="inlineStr">
        <is>
          <t>DEC 2026</t>
        </is>
      </c>
      <c r="B11" s="143" t="n">
        <v>0</v>
      </c>
      <c r="C11" s="143" t="n">
        <v>0</v>
      </c>
      <c r="D11" s="143" t="n">
        <v>0</v>
      </c>
      <c r="E11" s="143" t="n">
        <v>0</v>
      </c>
      <c r="F11" s="143" t="n"/>
      <c r="G11" s="143" t="n">
        <v>0</v>
      </c>
      <c r="H11" s="143" t="n"/>
      <c r="I11" s="143" t="n">
        <v>0</v>
      </c>
      <c r="J11" s="143" t="n">
        <v>0</v>
      </c>
      <c r="K11" s="143" t="n">
        <v>0</v>
      </c>
      <c r="L11" s="143" t="n"/>
      <c r="M11" s="143" t="n"/>
      <c r="N11" s="143" t="n"/>
      <c r="O11" s="143" t="n"/>
      <c r="P11" s="143" t="n"/>
      <c r="Q11" s="143" t="n"/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/>
      <c r="X11" s="143" t="n"/>
      <c r="Y11" s="143" t="n"/>
      <c r="Z11" s="143" t="n"/>
      <c r="AA11" s="143" t="n"/>
      <c r="AB11" s="143" t="n"/>
      <c r="AC11" s="143" t="n"/>
      <c r="AD11" s="143" t="n"/>
      <c r="AE11" s="143" t="n"/>
      <c r="AF11" s="143" t="n">
        <v>0</v>
      </c>
      <c r="AG11" s="143" t="n"/>
      <c r="AH11" s="143" t="n"/>
      <c r="AI11" s="143" t="n"/>
      <c r="AJ11" s="143" t="n"/>
      <c r="AK11" s="143" t="n"/>
      <c r="AL11" s="143" t="n">
        <v>0</v>
      </c>
      <c r="AM11" s="143" t="n"/>
      <c r="AN11" s="143" t="n"/>
      <c r="AO11" s="143" t="n"/>
      <c r="AP11" s="143" t="n"/>
      <c r="AQ11" s="143" t="n"/>
      <c r="AR11" s="143" t="n"/>
      <c r="AS11" s="143" t="n"/>
      <c r="AT11" s="143" t="n"/>
      <c r="AU11" s="143" t="n"/>
      <c r="AV11" s="143" t="n"/>
      <c r="AW11" s="143" t="n"/>
      <c r="AX11" s="143" t="n"/>
      <c r="AY11" s="143" t="n"/>
      <c r="AZ11" s="143" t="n"/>
      <c r="BA11" s="143" t="n"/>
      <c r="BB11" s="143" t="n"/>
      <c r="BC11" s="143" t="n"/>
      <c r="BD11" s="144">
        <f>SUM(B11:BC11)</f>
        <v/>
      </c>
      <c r="BE11" s="144">
        <f>SUM(B11:C11)</f>
        <v/>
      </c>
      <c r="BF11" s="144">
        <f>BD11-BE11</f>
        <v/>
      </c>
      <c r="BG11" s="145" t="n">
        <v>0</v>
      </c>
      <c r="BH11" s="144">
        <f>BD11+BG11</f>
        <v/>
      </c>
    </row>
    <row r="12" ht="30" customHeight="1" s="251">
      <c r="A12" s="141" t="inlineStr">
        <is>
          <t>JAN 2027</t>
        </is>
      </c>
      <c r="B12" s="143" t="n">
        <v>0</v>
      </c>
      <c r="C12" s="143" t="n">
        <v>0</v>
      </c>
      <c r="D12" s="143" t="n">
        <v>0</v>
      </c>
      <c r="E12" s="143" t="n">
        <v>0</v>
      </c>
      <c r="F12" s="143" t="n"/>
      <c r="G12" s="143" t="n">
        <v>0</v>
      </c>
      <c r="H12" s="143" t="n"/>
      <c r="I12" s="143" t="n">
        <v>0</v>
      </c>
      <c r="J12" s="143" t="n">
        <v>0</v>
      </c>
      <c r="K12" s="143" t="n">
        <v>0</v>
      </c>
      <c r="L12" s="143" t="n"/>
      <c r="M12" s="143" t="n"/>
      <c r="N12" s="143" t="n"/>
      <c r="O12" s="143" t="n"/>
      <c r="P12" s="143" t="n"/>
      <c r="Q12" s="143" t="n"/>
      <c r="R12" s="143" t="n"/>
      <c r="S12" s="143" t="n">
        <v>0</v>
      </c>
      <c r="T12" s="143" t="n">
        <v>0</v>
      </c>
      <c r="U12" s="143" t="n">
        <v>0</v>
      </c>
      <c r="V12" s="143" t="n">
        <v>0</v>
      </c>
      <c r="W12" s="143" t="n"/>
      <c r="X12" s="143" t="n"/>
      <c r="Y12" s="143" t="n"/>
      <c r="Z12" s="143" t="n"/>
      <c r="AA12" s="143" t="n"/>
      <c r="AB12" s="143" t="n"/>
      <c r="AC12" s="143" t="n"/>
      <c r="AD12" s="143" t="n"/>
      <c r="AE12" s="143" t="n"/>
      <c r="AF12" s="143">
        <f>3300+8500</f>
        <v/>
      </c>
      <c r="AG12" s="143" t="n"/>
      <c r="AH12" s="143" t="n"/>
      <c r="AI12" s="143" t="n"/>
      <c r="AJ12" s="143" t="n"/>
      <c r="AK12" s="143" t="n"/>
      <c r="AL12" s="143" t="n">
        <v>0</v>
      </c>
      <c r="AM12" s="143" t="n"/>
      <c r="AN12" s="143" t="n"/>
      <c r="AO12" s="143" t="n"/>
      <c r="AP12" s="143" t="n"/>
      <c r="AQ12" s="143" t="n"/>
      <c r="AR12" s="143" t="n"/>
      <c r="AS12" s="143" t="n"/>
      <c r="AT12" s="143" t="n"/>
      <c r="AU12" s="143" t="n"/>
      <c r="AV12" s="143" t="n"/>
      <c r="AW12" s="143" t="n"/>
      <c r="AX12" s="143" t="n"/>
      <c r="AY12" s="143" t="n"/>
      <c r="AZ12" s="143" t="n"/>
      <c r="BA12" s="143" t="n"/>
      <c r="BB12" s="143" t="n"/>
      <c r="BC12" s="143">
        <f>3198+3127</f>
        <v/>
      </c>
      <c r="BD12" s="144">
        <f>SUM(B12:BC12)</f>
        <v/>
      </c>
      <c r="BE12" s="144">
        <f>SUM(B12:C12)</f>
        <v/>
      </c>
      <c r="BF12" s="144">
        <f>BD12-BE12</f>
        <v/>
      </c>
      <c r="BG12" s="145" t="n">
        <v>0</v>
      </c>
      <c r="BH12" s="144">
        <f>BD12+BG12</f>
        <v/>
      </c>
    </row>
    <row r="13" ht="30" customHeight="1" s="251">
      <c r="A13" s="141" t="inlineStr">
        <is>
          <t>FEB 2027</t>
        </is>
      </c>
      <c r="B13" s="143" t="n">
        <v>0</v>
      </c>
      <c r="C13" s="143" t="n">
        <v>0</v>
      </c>
      <c r="D13" s="143" t="n">
        <v>0</v>
      </c>
      <c r="E13" s="143" t="n">
        <v>0</v>
      </c>
      <c r="F13" s="143" t="n"/>
      <c r="G13" s="143" t="n">
        <v>0</v>
      </c>
      <c r="H13" s="143" t="n"/>
      <c r="I13" s="143" t="n">
        <v>0</v>
      </c>
      <c r="J13" s="143" t="n">
        <v>0</v>
      </c>
      <c r="K13" s="143" t="n">
        <v>0</v>
      </c>
      <c r="L13" s="143" t="n"/>
      <c r="M13" s="143" t="n"/>
      <c r="N13" s="143" t="n"/>
      <c r="O13" s="143" t="n"/>
      <c r="P13" s="143" t="n"/>
      <c r="Q13" s="143" t="n"/>
      <c r="R13" s="143" t="n"/>
      <c r="S13" s="143" t="n">
        <v>0</v>
      </c>
      <c r="T13" s="143" t="n">
        <v>0</v>
      </c>
      <c r="U13" s="143" t="n">
        <v>0</v>
      </c>
      <c r="V13" s="143" t="n">
        <v>0</v>
      </c>
      <c r="W13" s="143" t="n"/>
      <c r="X13" s="143" t="n"/>
      <c r="Y13" s="143" t="n"/>
      <c r="Z13" s="143" t="n"/>
      <c r="AA13" s="143" t="n"/>
      <c r="AB13" s="143" t="n"/>
      <c r="AC13" s="143" t="n"/>
      <c r="AD13" s="143" t="n"/>
      <c r="AE13" s="143" t="n"/>
      <c r="AF13" s="143" t="n">
        <v>0</v>
      </c>
      <c r="AG13" s="143" t="n"/>
      <c r="AH13" s="143" t="n"/>
      <c r="AI13" s="143" t="n"/>
      <c r="AJ13" s="143" t="n"/>
      <c r="AK13" s="143" t="n"/>
      <c r="AL13" s="143" t="n">
        <v>0</v>
      </c>
      <c r="AM13" s="143" t="n"/>
      <c r="AN13" s="143" t="n"/>
      <c r="AO13" s="143" t="n"/>
      <c r="AP13" s="143" t="n"/>
      <c r="AQ13" s="143" t="n"/>
      <c r="AR13" s="143" t="n"/>
      <c r="AS13" s="143" t="n"/>
      <c r="AT13" s="143" t="n"/>
      <c r="AU13" s="143" t="n"/>
      <c r="AV13" s="143" t="n"/>
      <c r="AW13" s="143" t="n"/>
      <c r="AX13" s="143" t="n"/>
      <c r="AY13" s="143" t="n"/>
      <c r="AZ13" s="143" t="n"/>
      <c r="BA13" s="143" t="n"/>
      <c r="BB13" s="143" t="n"/>
      <c r="BC13" s="143" t="n"/>
      <c r="BD13" s="144">
        <f>SUM(B13:BC13)</f>
        <v/>
      </c>
      <c r="BE13" s="144">
        <f>SUM(B13:C13)</f>
        <v/>
      </c>
      <c r="BF13" s="144">
        <f>BD13-BE13</f>
        <v/>
      </c>
      <c r="BG13" s="145" t="n">
        <v>0</v>
      </c>
      <c r="BH13" s="144">
        <f>BD13+BG13</f>
        <v/>
      </c>
    </row>
    <row r="14" ht="30" customHeight="1" s="251">
      <c r="A14" s="141" t="inlineStr">
        <is>
          <t>MAR 2027</t>
        </is>
      </c>
      <c r="B14" s="143" t="n">
        <v>0</v>
      </c>
      <c r="C14" s="143" t="n">
        <v>0</v>
      </c>
      <c r="D14" s="143" t="n">
        <v>0</v>
      </c>
      <c r="E14" s="143" t="n">
        <v>0</v>
      </c>
      <c r="F14" s="143" t="n"/>
      <c r="G14" s="143" t="n">
        <v>0</v>
      </c>
      <c r="H14" s="143" t="n"/>
      <c r="I14" s="143" t="n">
        <v>0</v>
      </c>
      <c r="J14" s="143" t="n">
        <v>0</v>
      </c>
      <c r="K14" s="143" t="n">
        <v>0</v>
      </c>
      <c r="L14" s="143" t="n"/>
      <c r="M14" s="143" t="n"/>
      <c r="N14" s="143" t="n"/>
      <c r="O14" s="143" t="n"/>
      <c r="P14" s="143" t="n"/>
      <c r="Q14" s="143" t="n"/>
      <c r="R14" s="143" t="n"/>
      <c r="S14" s="143" t="n">
        <v>0</v>
      </c>
      <c r="T14" s="143" t="n">
        <v>0</v>
      </c>
      <c r="U14" s="143" t="n">
        <v>0</v>
      </c>
      <c r="V14" s="143" t="n">
        <v>0</v>
      </c>
      <c r="W14" s="143" t="n"/>
      <c r="X14" s="143" t="n"/>
      <c r="Y14" s="143" t="n"/>
      <c r="Z14" s="143" t="n"/>
      <c r="AA14" s="143" t="n"/>
      <c r="AB14" s="143" t="n"/>
      <c r="AC14" s="143" t="n"/>
      <c r="AD14" s="143" t="n"/>
      <c r="AE14" s="143" t="n"/>
      <c r="AF14" s="143" t="n">
        <v>0</v>
      </c>
      <c r="AG14" s="143" t="n"/>
      <c r="AH14" s="143" t="n"/>
      <c r="AI14" s="143" t="n"/>
      <c r="AJ14" s="143" t="n"/>
      <c r="AK14" s="143" t="n"/>
      <c r="AL14" s="143" t="n">
        <v>0</v>
      </c>
      <c r="AM14" s="143" t="n"/>
      <c r="AN14" s="143" t="n"/>
      <c r="AO14" s="143" t="n"/>
      <c r="AP14" s="143" t="n"/>
      <c r="AQ14" s="143" t="n"/>
      <c r="AR14" s="143" t="n"/>
      <c r="AS14" s="143" t="n"/>
      <c r="AT14" s="143" t="n"/>
      <c r="AU14" s="143" t="n"/>
      <c r="AV14" s="143" t="n"/>
      <c r="AW14" s="143" t="n"/>
      <c r="AX14" s="143" t="n"/>
      <c r="AY14" s="143" t="n"/>
      <c r="AZ14" s="143" t="n"/>
      <c r="BA14" s="143" t="n"/>
      <c r="BB14" s="143" t="n"/>
      <c r="BC14" s="143">
        <f>4575+3198</f>
        <v/>
      </c>
      <c r="BD14" s="144">
        <f>SUM(B14:BC14)</f>
        <v/>
      </c>
      <c r="BE14" s="144">
        <f>SUM(B14:C14)</f>
        <v/>
      </c>
      <c r="BF14" s="144">
        <f>BD14-BE14</f>
        <v/>
      </c>
      <c r="BG14" s="145" t="n">
        <v>0</v>
      </c>
      <c r="BH14" s="144">
        <f>BD14+BG14</f>
        <v/>
      </c>
    </row>
    <row r="15" ht="30" customHeight="1" s="251">
      <c r="A15" s="149" t="inlineStr">
        <is>
          <t>TOTAL</t>
        </is>
      </c>
      <c r="B15" s="150">
        <f>SUM(B3:B14)</f>
        <v/>
      </c>
      <c r="C15" s="150">
        <f>SUM(C3:C14)</f>
        <v/>
      </c>
      <c r="D15" s="150">
        <f>SUM(D3:D14)</f>
        <v/>
      </c>
      <c r="E15" s="150">
        <f>SUM(E3:E14)</f>
        <v/>
      </c>
      <c r="F15" s="150" t="n"/>
      <c r="G15" s="150">
        <f>SUM(G3:G14)</f>
        <v/>
      </c>
      <c r="H15" s="150" t="n"/>
      <c r="I15" s="150">
        <f>SUM(I3:I14)</f>
        <v/>
      </c>
      <c r="J15" s="150">
        <f>SUM(J3:J14)</f>
        <v/>
      </c>
      <c r="K15" s="150">
        <f>SUM(K3:K14)</f>
        <v/>
      </c>
      <c r="L15" s="150">
        <f>SUM(L3:L14)</f>
        <v/>
      </c>
      <c r="M15" s="150" t="n"/>
      <c r="N15" s="150">
        <f>SUM(N3:N14)</f>
        <v/>
      </c>
      <c r="O15" s="150">
        <f>SUM(O3:O14)</f>
        <v/>
      </c>
      <c r="P15" s="150" t="n"/>
      <c r="Q15" s="150">
        <f>SUM(Q3:Q14)</f>
        <v/>
      </c>
      <c r="R15" s="150">
        <f>SUM(R3:R14)</f>
        <v/>
      </c>
      <c r="S15" s="150">
        <f>SUM(S3:S14)</f>
        <v/>
      </c>
      <c r="T15" s="150">
        <f>SUM(T3:T14)</f>
        <v/>
      </c>
      <c r="U15" s="150">
        <f>SUM(U3:U14)</f>
        <v/>
      </c>
      <c r="V15" s="150">
        <f>SUM(V3:V14)</f>
        <v/>
      </c>
      <c r="W15" s="150">
        <f>SUM(W3:W14)</f>
        <v/>
      </c>
      <c r="X15" s="150">
        <f>SUM(X3:X14)</f>
        <v/>
      </c>
      <c r="Y15" s="150">
        <f>SUM(Y3:Y14)</f>
        <v/>
      </c>
      <c r="Z15" s="150">
        <f>SUM(Z3:Z14)</f>
        <v/>
      </c>
      <c r="AA15" s="150" t="n"/>
      <c r="AB15" s="150" t="n"/>
      <c r="AC15" s="150" t="n"/>
      <c r="AD15" s="150">
        <f>SUM(AD3:AD14)</f>
        <v/>
      </c>
      <c r="AE15" s="150" t="n"/>
      <c r="AF15" s="150">
        <f>SUM(AF3:AF14)</f>
        <v/>
      </c>
      <c r="AG15" s="150" t="n"/>
      <c r="AH15" s="150" t="n"/>
      <c r="AI15" s="150" t="n"/>
      <c r="AJ15" s="150" t="n"/>
      <c r="AK15" s="150" t="n"/>
      <c r="AL15" s="150" t="n"/>
      <c r="AM15" s="150" t="n"/>
      <c r="AN15" s="150" t="n"/>
      <c r="AO15" s="150" t="n"/>
      <c r="AP15" s="150" t="n"/>
      <c r="AQ15" s="150" t="n"/>
      <c r="AR15" s="150" t="n"/>
      <c r="AS15" s="150" t="n"/>
      <c r="AT15" s="150" t="n"/>
      <c r="AU15" s="150" t="n"/>
      <c r="AV15" s="150" t="n"/>
      <c r="AW15" s="150" t="n"/>
      <c r="AX15" s="150" t="n"/>
      <c r="AY15" s="150" t="n"/>
      <c r="AZ15" s="150" t="n"/>
      <c r="BA15" s="150" t="n"/>
      <c r="BB15" s="150" t="n"/>
      <c r="BC15" s="150">
        <f>SUM(BC3:BC14)</f>
        <v/>
      </c>
      <c r="BD15" s="150">
        <f>SUM(B15:BC15)</f>
        <v/>
      </c>
      <c r="BE15" s="151">
        <f>SUM(BE3:BE14)</f>
        <v/>
      </c>
      <c r="BF15" s="151">
        <f>SUM(BF3:BF14)</f>
        <v/>
      </c>
      <c r="BG15" s="150">
        <f>SUM(BG3:BG14)</f>
        <v/>
      </c>
      <c r="BH15" s="150">
        <f>SUM(BH3:BH14)</f>
        <v/>
      </c>
    </row>
    <row r="16" ht="30" customHeight="1" s="251">
      <c r="A16" s="152" t="n"/>
      <c r="B16" s="147" t="n"/>
      <c r="C16" s="147" t="n"/>
      <c r="D16" s="147" t="n"/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  <c r="AA16" s="147" t="n"/>
      <c r="AB16" s="147" t="n"/>
      <c r="AC16" s="147" t="n"/>
      <c r="AD16" s="147" t="n"/>
      <c r="AE16" s="147" t="n"/>
      <c r="AF16" s="147" t="n"/>
      <c r="AG16" s="147" t="n"/>
      <c r="AH16" s="147" t="n"/>
      <c r="AI16" s="147" t="n"/>
      <c r="AJ16" s="147" t="n"/>
      <c r="AK16" s="147" t="n"/>
      <c r="AL16" s="147" t="n"/>
      <c r="AM16" s="147" t="n"/>
      <c r="AN16" s="147" t="n"/>
      <c r="AO16" s="147" t="n"/>
      <c r="AP16" s="147" t="n"/>
      <c r="AQ16" s="147" t="n"/>
      <c r="AR16" s="147" t="n"/>
      <c r="AS16" s="147" t="n"/>
      <c r="AT16" s="147" t="n"/>
      <c r="AU16" s="147" t="n"/>
      <c r="AV16" s="147" t="n"/>
      <c r="AW16" s="147" t="n"/>
      <c r="AX16" s="147" t="n"/>
      <c r="AY16" s="147" t="n"/>
      <c r="AZ16" s="147" t="n"/>
      <c r="BA16" s="147" t="n"/>
      <c r="BB16" s="147" t="n"/>
      <c r="BC16" s="147" t="n"/>
      <c r="BD16" s="147" t="n"/>
      <c r="BE16" s="147" t="n"/>
      <c r="BF16" s="147" t="n"/>
      <c r="BG16" s="147" t="n"/>
      <c r="BH16" s="147" t="n"/>
    </row>
    <row r="17" ht="30" customHeight="1" s="251">
      <c r="A17" s="152" t="n"/>
      <c r="B17" s="147" t="n"/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7" t="n"/>
      <c r="N17" s="147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  <c r="AA17" s="147" t="n"/>
      <c r="AB17" s="147" t="n"/>
      <c r="AC17" s="147" t="n"/>
      <c r="AD17" s="147" t="n"/>
      <c r="AE17" s="147" t="n"/>
      <c r="AF17" s="147" t="n"/>
      <c r="AG17" s="147" t="n"/>
      <c r="AH17" s="147" t="n"/>
      <c r="AI17" s="147" t="n"/>
      <c r="AJ17" s="147" t="n"/>
      <c r="AK17" s="147" t="n"/>
      <c r="AL17" s="147" t="n"/>
      <c r="AM17" s="147" t="n"/>
      <c r="AN17" s="147" t="n"/>
      <c r="AO17" s="147" t="n"/>
      <c r="AP17" s="147" t="n"/>
      <c r="AQ17" s="147" t="n"/>
      <c r="AR17" s="147" t="n"/>
      <c r="AS17" s="147" t="n"/>
      <c r="AT17" s="147" t="n"/>
      <c r="AU17" s="147" t="n"/>
      <c r="AV17" s="147" t="n"/>
      <c r="AW17" s="147" t="n"/>
      <c r="AX17" s="147" t="n"/>
      <c r="AY17" s="147" t="n"/>
      <c r="AZ17" s="147" t="n"/>
      <c r="BA17" s="147" t="n"/>
      <c r="BB17" s="147" t="n"/>
      <c r="BC17" s="147" t="n"/>
      <c r="BD17" s="147" t="n"/>
      <c r="BE17" s="147" t="n"/>
      <c r="BF17" s="147" t="n"/>
      <c r="BG17" s="147" t="n"/>
      <c r="BH17" s="147" t="n"/>
    </row>
    <row r="18" ht="30" customHeight="1" s="251">
      <c r="A18" s="152" t="n"/>
      <c r="B18" s="147" t="n"/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  <c r="AA18" s="147" t="n"/>
      <c r="AB18" s="147" t="n"/>
      <c r="AC18" s="147" t="n"/>
      <c r="AD18" s="147" t="n"/>
      <c r="AE18" s="147" t="n"/>
      <c r="AF18" s="147" t="n"/>
      <c r="AG18" s="147" t="n"/>
      <c r="AH18" s="147" t="n"/>
      <c r="AI18" s="147" t="n"/>
      <c r="AJ18" s="147" t="n"/>
      <c r="AK18" s="147" t="n"/>
      <c r="AL18" s="147" t="n"/>
      <c r="AM18" s="147" t="n"/>
      <c r="AN18" s="147" t="n"/>
      <c r="AO18" s="147" t="n"/>
      <c r="AP18" s="147" t="n"/>
      <c r="AQ18" s="147" t="n"/>
      <c r="AR18" s="147" t="n"/>
      <c r="AS18" s="147" t="n"/>
      <c r="AT18" s="147" t="n"/>
      <c r="AU18" s="147" t="n"/>
      <c r="AV18" s="147" t="n"/>
      <c r="AW18" s="147" t="n"/>
      <c r="AX18" s="147" t="n"/>
      <c r="AY18" s="147" t="n"/>
      <c r="AZ18" s="147" t="n"/>
      <c r="BA18" s="147" t="n"/>
      <c r="BB18" s="147" t="n"/>
      <c r="BC18" s="147" t="n"/>
      <c r="BD18" s="147" t="n"/>
      <c r="BE18" s="147" t="n"/>
      <c r="BF18" s="147" t="n"/>
      <c r="BG18" s="147" t="n"/>
      <c r="BH18" s="147" t="n"/>
    </row>
    <row r="19" ht="30" customHeight="1" s="251">
      <c r="A19" s="152" t="n"/>
      <c r="B19" s="147" t="n"/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7" t="n"/>
      <c r="N19" s="147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  <c r="AA19" s="147" t="n"/>
      <c r="AB19" s="147" t="n"/>
      <c r="AC19" s="147" t="n"/>
      <c r="AD19" s="147" t="n"/>
      <c r="AE19" s="147" t="n"/>
      <c r="AF19" s="147" t="n"/>
      <c r="AG19" s="147" t="n"/>
      <c r="AH19" s="147" t="n"/>
      <c r="AI19" s="147" t="n"/>
      <c r="AJ19" s="147" t="n"/>
      <c r="AK19" s="147" t="n"/>
      <c r="AL19" s="147" t="n"/>
      <c r="AM19" s="147" t="n"/>
      <c r="AN19" s="147" t="n"/>
      <c r="AO19" s="147" t="n"/>
      <c r="AP19" s="147" t="n"/>
      <c r="AQ19" s="147" t="n"/>
      <c r="AR19" s="147" t="n"/>
      <c r="AS19" s="147" t="n"/>
      <c r="AT19" s="147" t="n"/>
      <c r="AU19" s="147" t="n"/>
      <c r="AV19" s="147" t="n"/>
      <c r="AW19" s="147" t="n"/>
      <c r="AX19" s="147" t="n"/>
      <c r="AY19" s="147" t="n"/>
      <c r="AZ19" s="147" t="n"/>
      <c r="BA19" s="147" t="n"/>
      <c r="BB19" s="147" t="n"/>
      <c r="BC19" s="147" t="n"/>
      <c r="BD19" s="147" t="n"/>
      <c r="BE19" s="147" t="n"/>
      <c r="BF19" s="147" t="n"/>
      <c r="BG19" s="147" t="n"/>
      <c r="BH19" s="147" t="n"/>
    </row>
    <row r="20" ht="30" customHeight="1" s="251">
      <c r="A20" s="152" t="n"/>
      <c r="B20" s="147" t="n"/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  <c r="AA20" s="147" t="n"/>
      <c r="AB20" s="147" t="n"/>
      <c r="AC20" s="147" t="n"/>
      <c r="AD20" s="147" t="n"/>
      <c r="AE20" s="147" t="n"/>
      <c r="AF20" s="147" t="n"/>
      <c r="AG20" s="147" t="n"/>
      <c r="AH20" s="147" t="n"/>
      <c r="AI20" s="147" t="n"/>
      <c r="AJ20" s="147" t="n"/>
      <c r="AK20" s="147" t="n"/>
      <c r="AL20" s="147" t="n"/>
      <c r="AM20" s="147" t="n"/>
      <c r="AN20" s="147" t="n"/>
      <c r="AO20" s="147" t="n"/>
      <c r="AP20" s="147" t="n"/>
      <c r="AQ20" s="147" t="n"/>
      <c r="AR20" s="147" t="n"/>
      <c r="AS20" s="147" t="n"/>
      <c r="AT20" s="147" t="n"/>
      <c r="AU20" s="147" t="n"/>
      <c r="AV20" s="147" t="n"/>
      <c r="AW20" s="147" t="n"/>
      <c r="AX20" s="147" t="n"/>
      <c r="AY20" s="147" t="n"/>
      <c r="AZ20" s="147" t="n"/>
      <c r="BA20" s="147" t="n"/>
      <c r="BB20" s="147" t="n"/>
      <c r="BC20" s="147" t="n"/>
      <c r="BD20" s="147" t="n"/>
      <c r="BE20" s="147" t="n"/>
      <c r="BF20" s="147" t="n"/>
      <c r="BG20" s="147" t="n"/>
      <c r="BH20" s="147" t="n"/>
    </row>
    <row r="21" ht="30" customHeight="1" s="251">
      <c r="A21" s="152" t="n"/>
      <c r="B21" s="147" t="n"/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147" t="n"/>
      <c r="L21" s="147" t="n"/>
      <c r="M21" s="147" t="n"/>
      <c r="N21" s="147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147" t="n"/>
      <c r="AH21" s="147" t="n"/>
      <c r="AI21" s="147" t="n"/>
      <c r="AJ21" s="147" t="n"/>
      <c r="AK21" s="147" t="n"/>
      <c r="AL21" s="147" t="n"/>
      <c r="AM21" s="147" t="n"/>
      <c r="AN21" s="147" t="n"/>
      <c r="AO21" s="147" t="n"/>
      <c r="AP21" s="147" t="n"/>
      <c r="AQ21" s="147" t="n"/>
      <c r="AR21" s="147" t="n"/>
      <c r="AS21" s="147" t="n"/>
      <c r="AT21" s="147" t="n"/>
      <c r="AU21" s="147" t="n"/>
      <c r="AV21" s="147" t="n"/>
      <c r="AW21" s="147" t="n"/>
      <c r="AX21" s="147" t="n"/>
      <c r="AY21" s="147" t="n"/>
      <c r="AZ21" s="147" t="n"/>
      <c r="BA21" s="147" t="n"/>
      <c r="BB21" s="147" t="n"/>
      <c r="BC21" s="147" t="n"/>
      <c r="BD21" s="147" t="n"/>
      <c r="BE21" s="147" t="n"/>
      <c r="BF21" s="147" t="n"/>
      <c r="BG21" s="147" t="n"/>
      <c r="BH21" s="147" t="n"/>
    </row>
    <row r="22" ht="30" customHeight="1" s="251">
      <c r="A22" s="152" t="n"/>
      <c r="B22" s="147" t="n"/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147" t="n"/>
      <c r="L22" s="147" t="n"/>
      <c r="M22" s="147" t="n"/>
      <c r="N22" s="147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147" t="n"/>
      <c r="AH22" s="147" t="n"/>
      <c r="AI22" s="147" t="n"/>
      <c r="AJ22" s="147" t="n"/>
      <c r="AK22" s="147" t="n"/>
      <c r="AL22" s="147" t="n"/>
      <c r="AM22" s="147" t="n"/>
      <c r="AN22" s="147" t="n"/>
      <c r="AO22" s="147" t="n"/>
      <c r="AP22" s="147" t="n"/>
      <c r="AQ22" s="147" t="n"/>
      <c r="AR22" s="147" t="n"/>
      <c r="AS22" s="147" t="n"/>
      <c r="AT22" s="147" t="n"/>
      <c r="AU22" s="147" t="n"/>
      <c r="AV22" s="147" t="n"/>
      <c r="AW22" s="147" t="n"/>
      <c r="AX22" s="147" t="n"/>
      <c r="AY22" s="147" t="n"/>
      <c r="AZ22" s="147" t="n"/>
      <c r="BA22" s="147" t="n"/>
      <c r="BB22" s="147" t="n"/>
      <c r="BC22" s="147" t="n"/>
      <c r="BD22" s="147" t="n"/>
      <c r="BE22" s="147" t="n"/>
      <c r="BF22" s="147" t="n"/>
      <c r="BG22" s="147" t="n"/>
      <c r="BH22" s="147" t="n"/>
    </row>
    <row r="23" ht="30" customHeight="1" s="251">
      <c r="A23" s="152" t="n"/>
      <c r="B23" s="147" t="n"/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  <c r="AA23" s="147" t="n"/>
      <c r="AB23" s="147" t="n"/>
      <c r="AC23" s="147" t="n"/>
      <c r="AD23" s="147" t="n"/>
      <c r="AE23" s="147" t="n"/>
      <c r="AF23" s="147" t="n"/>
      <c r="AG23" s="147" t="n"/>
      <c r="AH23" s="147" t="n"/>
      <c r="AI23" s="147" t="n"/>
      <c r="AJ23" s="147" t="n"/>
      <c r="AK23" s="147" t="n"/>
      <c r="AL23" s="147" t="n"/>
      <c r="AM23" s="147" t="n"/>
      <c r="AN23" s="147" t="n"/>
      <c r="AO23" s="147" t="n"/>
      <c r="AP23" s="147" t="n"/>
      <c r="AQ23" s="147" t="n"/>
      <c r="AR23" s="147" t="n"/>
      <c r="AS23" s="147" t="n"/>
      <c r="AT23" s="147" t="n"/>
      <c r="AU23" s="147" t="n"/>
      <c r="AV23" s="147" t="n"/>
      <c r="AW23" s="147" t="n"/>
      <c r="AX23" s="147" t="n"/>
      <c r="AY23" s="147" t="n"/>
      <c r="AZ23" s="147" t="n"/>
      <c r="BA23" s="147" t="n"/>
      <c r="BB23" s="147" t="n"/>
      <c r="BC23" s="147" t="n"/>
      <c r="BD23" s="147" t="n"/>
      <c r="BE23" s="147" t="n"/>
      <c r="BF23" s="147" t="n"/>
      <c r="BG23" s="147" t="n"/>
      <c r="BH23" s="147" t="n"/>
    </row>
    <row r="24" ht="30" customHeight="1" s="251">
      <c r="A24" s="152" t="n"/>
      <c r="B24" s="147" t="n"/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7" t="n"/>
      <c r="N24" s="147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  <c r="AA24" s="147" t="n"/>
      <c r="AB24" s="147" t="n"/>
      <c r="AC24" s="147" t="n"/>
      <c r="AD24" s="147" t="n"/>
      <c r="AE24" s="147" t="n"/>
      <c r="AF24" s="147" t="n"/>
      <c r="AG24" s="147" t="n"/>
      <c r="AH24" s="147" t="n"/>
      <c r="AI24" s="147" t="n"/>
      <c r="AJ24" s="147" t="n"/>
      <c r="AK24" s="147" t="n"/>
      <c r="AL24" s="147" t="n"/>
      <c r="AM24" s="147" t="n"/>
      <c r="AN24" s="147" t="n"/>
      <c r="AO24" s="147" t="n"/>
      <c r="AP24" s="147" t="n"/>
      <c r="AQ24" s="147" t="n"/>
      <c r="AR24" s="147" t="n"/>
      <c r="AS24" s="147" t="n"/>
      <c r="AT24" s="147" t="n"/>
      <c r="AU24" s="147" t="n"/>
      <c r="AV24" s="147" t="n"/>
      <c r="AW24" s="147" t="n"/>
      <c r="AX24" s="147" t="n"/>
      <c r="AY24" s="147" t="n"/>
      <c r="AZ24" s="147" t="n"/>
      <c r="BA24" s="147" t="n"/>
      <c r="BB24" s="147" t="n"/>
      <c r="BC24" s="147" t="n"/>
      <c r="BD24" s="147" t="n"/>
      <c r="BE24" s="147" t="n"/>
      <c r="BF24" s="147" t="n"/>
      <c r="BG24" s="147" t="n"/>
      <c r="BH24" s="147" t="n"/>
    </row>
    <row r="25" ht="30" customHeight="1" s="251">
      <c r="A25" s="152" t="n"/>
      <c r="B25" s="147" t="n"/>
      <c r="C25" s="147" t="n"/>
      <c r="D25" s="147" t="n"/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7" t="n"/>
      <c r="N25" s="147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147" t="n"/>
      <c r="AH25" s="147" t="n"/>
      <c r="AI25" s="147" t="n"/>
      <c r="AJ25" s="147" t="n"/>
      <c r="AK25" s="147" t="n"/>
      <c r="AL25" s="147" t="n"/>
      <c r="AM25" s="147" t="n"/>
      <c r="AN25" s="147" t="n"/>
      <c r="AO25" s="147" t="n"/>
      <c r="AP25" s="147" t="n"/>
      <c r="AQ25" s="147" t="n"/>
      <c r="AR25" s="147" t="n"/>
      <c r="AS25" s="147" t="n"/>
      <c r="AT25" s="147" t="n"/>
      <c r="AU25" s="147" t="n"/>
      <c r="AV25" s="147" t="n"/>
      <c r="AW25" s="147" t="n"/>
      <c r="AX25" s="147" t="n"/>
      <c r="AY25" s="147" t="n"/>
      <c r="AZ25" s="147" t="n"/>
      <c r="BA25" s="147" t="n"/>
      <c r="BB25" s="147" t="n"/>
      <c r="BC25" s="147" t="n"/>
      <c r="BD25" s="147" t="n"/>
      <c r="BE25" s="147" t="n"/>
      <c r="BF25" s="147" t="n"/>
      <c r="BG25" s="147" t="n"/>
      <c r="BH25" s="147" t="n"/>
    </row>
    <row r="26" ht="30" customHeight="1" s="251">
      <c r="A26" s="152" t="n"/>
      <c r="B26" s="147" t="n"/>
      <c r="C26" s="147" t="n"/>
      <c r="D26" s="147" t="n"/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7" t="n"/>
      <c r="N26" s="147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7" t="n"/>
      <c r="AL26" s="147" t="n"/>
      <c r="AM26" s="147" t="n"/>
      <c r="AN26" s="147" t="n"/>
      <c r="AO26" s="147" t="n"/>
      <c r="AP26" s="147" t="n"/>
      <c r="AQ26" s="147" t="n"/>
      <c r="AR26" s="147" t="n"/>
      <c r="AS26" s="147" t="n"/>
      <c r="AT26" s="147" t="n"/>
      <c r="AU26" s="147" t="n"/>
      <c r="AV26" s="147" t="n"/>
      <c r="AW26" s="147" t="n"/>
      <c r="AX26" s="147" t="n"/>
      <c r="AY26" s="147" t="n"/>
      <c r="AZ26" s="147" t="n"/>
      <c r="BA26" s="147" t="n"/>
      <c r="BB26" s="147" t="n"/>
      <c r="BC26" s="147" t="n"/>
      <c r="BD26" s="147" t="n"/>
      <c r="BE26" s="147" t="n"/>
      <c r="BF26" s="147" t="n"/>
      <c r="BG26" s="147" t="n"/>
      <c r="BH26" s="147" t="n"/>
    </row>
    <row r="27" ht="30" customHeight="1" s="251">
      <c r="A27" s="152" t="n"/>
      <c r="B27" s="147" t="n"/>
      <c r="C27" s="147" t="n"/>
      <c r="D27" s="147" t="n"/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7" t="n"/>
      <c r="N27" s="147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  <c r="AA27" s="147" t="n"/>
      <c r="AB27" s="147" t="n"/>
      <c r="AC27" s="147" t="n"/>
      <c r="AD27" s="147" t="n"/>
      <c r="AE27" s="147" t="n"/>
      <c r="AF27" s="147" t="n"/>
      <c r="AG27" s="147" t="n"/>
      <c r="AH27" s="147" t="n"/>
      <c r="AI27" s="147" t="n"/>
      <c r="AJ27" s="147" t="n"/>
      <c r="AK27" s="147" t="n"/>
      <c r="AL27" s="147" t="n"/>
      <c r="AM27" s="147" t="n"/>
      <c r="AN27" s="147" t="n"/>
      <c r="AO27" s="147" t="n"/>
      <c r="AP27" s="147" t="n"/>
      <c r="AQ27" s="147" t="n"/>
      <c r="AR27" s="147" t="n"/>
      <c r="AS27" s="147" t="n"/>
      <c r="AT27" s="147" t="n"/>
      <c r="AU27" s="147" t="n"/>
      <c r="AV27" s="147" t="n"/>
      <c r="AW27" s="147" t="n"/>
      <c r="AX27" s="147" t="n"/>
      <c r="AY27" s="147" t="n"/>
      <c r="AZ27" s="147" t="n"/>
      <c r="BA27" s="147" t="n"/>
      <c r="BB27" s="147" t="n"/>
      <c r="BC27" s="147" t="n"/>
      <c r="BD27" s="147" t="n"/>
      <c r="BE27" s="147" t="n"/>
      <c r="BF27" s="147" t="n"/>
      <c r="BG27" s="147" t="n"/>
      <c r="BH27" s="147" t="n"/>
    </row>
    <row r="28" ht="30" customHeight="1" s="251">
      <c r="A28" s="152" t="n"/>
      <c r="B28" s="147" t="n"/>
      <c r="C28" s="147" t="n"/>
      <c r="D28" s="147" t="n"/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7" t="n"/>
      <c r="N28" s="147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7" t="n"/>
      <c r="AL28" s="147" t="n"/>
      <c r="AM28" s="147" t="n"/>
      <c r="AN28" s="147" t="n"/>
      <c r="AO28" s="147" t="n"/>
      <c r="AP28" s="147" t="n"/>
      <c r="AQ28" s="147" t="n"/>
      <c r="AR28" s="147" t="n"/>
      <c r="AS28" s="147" t="n"/>
      <c r="AT28" s="147" t="n"/>
      <c r="AU28" s="147" t="n"/>
      <c r="AV28" s="147" t="n"/>
      <c r="AW28" s="147" t="n"/>
      <c r="AX28" s="147" t="n"/>
      <c r="AY28" s="147" t="n"/>
      <c r="AZ28" s="147" t="n"/>
      <c r="BA28" s="147" t="n"/>
      <c r="BB28" s="147" t="n"/>
      <c r="BC28" s="147" t="n"/>
      <c r="BD28" s="147" t="n"/>
      <c r="BE28" s="147" t="n"/>
      <c r="BF28" s="147" t="n"/>
      <c r="BG28" s="147" t="n"/>
      <c r="BH28" s="147" t="n"/>
    </row>
    <row r="29" ht="30" customHeight="1" s="251">
      <c r="A29" s="152" t="n"/>
      <c r="B29" s="147" t="n"/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7" t="n"/>
      <c r="N29" s="147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  <c r="AA29" s="147" t="n"/>
      <c r="AB29" s="147" t="n"/>
      <c r="AC29" s="147" t="n"/>
      <c r="AD29" s="147" t="n"/>
      <c r="AE29" s="147" t="n"/>
      <c r="AF29" s="147" t="n"/>
      <c r="AG29" s="147" t="n"/>
      <c r="AH29" s="147" t="n"/>
      <c r="AI29" s="147" t="n"/>
      <c r="AJ29" s="147" t="n"/>
      <c r="AK29" s="147" t="n"/>
      <c r="AL29" s="147" t="n"/>
      <c r="AM29" s="147" t="n"/>
      <c r="AN29" s="147" t="n"/>
      <c r="AO29" s="147" t="n"/>
      <c r="AP29" s="147" t="n"/>
      <c r="AQ29" s="147" t="n"/>
      <c r="AR29" s="147" t="n"/>
      <c r="AS29" s="147" t="n"/>
      <c r="AT29" s="147" t="n"/>
      <c r="AU29" s="147" t="n"/>
      <c r="AV29" s="147" t="n"/>
      <c r="AW29" s="147" t="n"/>
      <c r="AX29" s="147" t="n"/>
      <c r="AY29" s="147" t="n"/>
      <c r="AZ29" s="147" t="n"/>
      <c r="BA29" s="147" t="n"/>
      <c r="BB29" s="147" t="n"/>
      <c r="BC29" s="147" t="n"/>
      <c r="BD29" s="147" t="n"/>
      <c r="BE29" s="147" t="n"/>
      <c r="BF29" s="147" t="n"/>
      <c r="BG29" s="147" t="n"/>
      <c r="BH29" s="147" t="n"/>
    </row>
    <row r="30" ht="30" customHeight="1" s="251">
      <c r="A30" s="152" t="n"/>
      <c r="B30" s="147" t="n"/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7" t="n"/>
      <c r="N30" s="147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  <c r="AA30" s="147" t="n"/>
      <c r="AB30" s="147" t="n"/>
      <c r="AC30" s="147" t="n"/>
      <c r="AD30" s="147" t="n"/>
      <c r="AE30" s="147" t="n"/>
      <c r="AF30" s="147" t="n"/>
      <c r="AG30" s="147" t="n"/>
      <c r="AH30" s="147" t="n"/>
      <c r="AI30" s="147" t="n"/>
      <c r="AJ30" s="147" t="n"/>
      <c r="AK30" s="147" t="n"/>
      <c r="AL30" s="147" t="n"/>
      <c r="AM30" s="147" t="n"/>
      <c r="AN30" s="147" t="n"/>
      <c r="AO30" s="147" t="n"/>
      <c r="AP30" s="147" t="n"/>
      <c r="AQ30" s="147" t="n"/>
      <c r="AR30" s="147" t="n"/>
      <c r="AS30" s="147" t="n"/>
      <c r="AT30" s="147" t="n"/>
      <c r="AU30" s="147" t="n"/>
      <c r="AV30" s="147" t="n"/>
      <c r="AW30" s="147" t="n"/>
      <c r="AX30" s="147" t="n"/>
      <c r="AY30" s="147" t="n"/>
      <c r="AZ30" s="147" t="n"/>
      <c r="BA30" s="147" t="n"/>
      <c r="BB30" s="147" t="n"/>
      <c r="BC30" s="147" t="n"/>
      <c r="BD30" s="147" t="n"/>
      <c r="BE30" s="147" t="n"/>
      <c r="BF30" s="147" t="n"/>
      <c r="BG30" s="147" t="n"/>
      <c r="BH30" s="147" t="n"/>
    </row>
    <row r="31" ht="30" customHeight="1" s="251">
      <c r="A31" s="152" t="n"/>
      <c r="B31" s="147" t="n"/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7" t="n"/>
      <c r="N31" s="147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  <c r="Z31" s="147" t="n"/>
      <c r="AA31" s="147" t="n"/>
      <c r="AB31" s="147" t="n"/>
      <c r="AC31" s="147" t="n"/>
      <c r="AD31" s="147" t="n"/>
      <c r="AE31" s="147" t="n"/>
      <c r="AF31" s="147" t="n"/>
      <c r="AG31" s="147" t="n"/>
      <c r="AH31" s="147" t="n"/>
      <c r="AI31" s="147" t="n"/>
      <c r="AJ31" s="147" t="n"/>
      <c r="AK31" s="147" t="n"/>
      <c r="AL31" s="147" t="n"/>
      <c r="AM31" s="147" t="n"/>
      <c r="AN31" s="147" t="n"/>
      <c r="AO31" s="147" t="n"/>
      <c r="AP31" s="147" t="n"/>
      <c r="AQ31" s="147" t="n"/>
      <c r="AR31" s="147" t="n"/>
      <c r="AS31" s="147" t="n"/>
      <c r="AT31" s="147" t="n"/>
      <c r="AU31" s="147" t="n"/>
      <c r="AV31" s="147" t="n"/>
      <c r="AW31" s="147" t="n"/>
      <c r="AX31" s="147" t="n"/>
      <c r="AY31" s="147" t="n"/>
      <c r="AZ31" s="147" t="n"/>
      <c r="BA31" s="147" t="n"/>
      <c r="BB31" s="147" t="n"/>
      <c r="BC31" s="147" t="n"/>
      <c r="BD31" s="147" t="n"/>
      <c r="BE31" s="147" t="n"/>
      <c r="BF31" s="147" t="n"/>
      <c r="BG31" s="147" t="n"/>
      <c r="BH31" s="147" t="n"/>
    </row>
    <row r="32" ht="30" customHeight="1" s="251">
      <c r="A32" s="152" t="n"/>
      <c r="B32" s="147" t="n"/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147" t="n"/>
      <c r="L32" s="147" t="n"/>
      <c r="M32" s="147" t="n"/>
      <c r="N32" s="147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  <c r="AA32" s="147" t="n"/>
      <c r="AB32" s="147" t="n"/>
      <c r="AC32" s="147" t="n"/>
      <c r="AD32" s="147" t="n"/>
      <c r="AE32" s="147" t="n"/>
      <c r="AF32" s="147" t="n"/>
      <c r="AG32" s="147" t="n"/>
      <c r="AH32" s="147" t="n"/>
      <c r="AI32" s="147" t="n"/>
      <c r="AJ32" s="147" t="n"/>
      <c r="AK32" s="147" t="n"/>
      <c r="AL32" s="147" t="n"/>
      <c r="AM32" s="147" t="n"/>
      <c r="AN32" s="147" t="n"/>
      <c r="AO32" s="147" t="n"/>
      <c r="AP32" s="147" t="n"/>
      <c r="AQ32" s="147" t="n"/>
      <c r="AR32" s="147" t="n"/>
      <c r="AS32" s="147" t="n"/>
      <c r="AT32" s="147" t="n"/>
      <c r="AU32" s="147" t="n"/>
      <c r="AV32" s="147" t="n"/>
      <c r="AW32" s="147" t="n"/>
      <c r="AX32" s="147" t="n"/>
      <c r="AY32" s="147" t="n"/>
      <c r="AZ32" s="147" t="n"/>
      <c r="BA32" s="147" t="n"/>
      <c r="BB32" s="147" t="n"/>
      <c r="BC32" s="147" t="n"/>
      <c r="BD32" s="147" t="n"/>
      <c r="BE32" s="147" t="n"/>
      <c r="BF32" s="147" t="n"/>
      <c r="BG32" s="147" t="n"/>
      <c r="BH32" s="147" t="n"/>
    </row>
    <row r="33" ht="30" customHeight="1" s="251">
      <c r="A33" s="152" t="n"/>
      <c r="B33" s="147" t="n"/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147" t="n"/>
      <c r="L33" s="147" t="n"/>
      <c r="M33" s="147" t="n"/>
      <c r="N33" s="147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  <c r="AA33" s="147" t="n"/>
      <c r="AB33" s="147" t="n"/>
      <c r="AC33" s="147" t="n"/>
      <c r="AD33" s="147" t="n"/>
      <c r="AE33" s="147" t="n"/>
      <c r="AF33" s="147" t="n"/>
      <c r="AG33" s="147" t="n"/>
      <c r="AH33" s="147" t="n"/>
      <c r="AI33" s="147" t="n"/>
      <c r="AJ33" s="147" t="n"/>
      <c r="AK33" s="147" t="n"/>
      <c r="AL33" s="147" t="n"/>
      <c r="AM33" s="147" t="n"/>
      <c r="AN33" s="147" t="n"/>
      <c r="AO33" s="147" t="n"/>
      <c r="AP33" s="147" t="n"/>
      <c r="AQ33" s="147" t="n"/>
      <c r="AR33" s="147" t="n"/>
      <c r="AS33" s="147" t="n"/>
      <c r="AT33" s="147" t="n"/>
      <c r="AU33" s="147" t="n"/>
      <c r="AV33" s="147" t="n"/>
      <c r="AW33" s="147" t="n"/>
      <c r="AX33" s="147" t="n"/>
      <c r="AY33" s="147" t="n"/>
      <c r="AZ33" s="147" t="n"/>
      <c r="BA33" s="147" t="n"/>
      <c r="BB33" s="147" t="n"/>
      <c r="BC33" s="147" t="n"/>
      <c r="BD33" s="147" t="n"/>
      <c r="BE33" s="147" t="n"/>
      <c r="BF33" s="147" t="n"/>
      <c r="BG33" s="147" t="n"/>
      <c r="BH33" s="147" t="n"/>
    </row>
    <row r="34" ht="30" customHeight="1" s="251">
      <c r="A34" s="152" t="n"/>
      <c r="B34" s="147" t="n"/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147" t="n"/>
      <c r="L34" s="147" t="n"/>
      <c r="M34" s="147" t="n"/>
      <c r="N34" s="147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47" t="n"/>
      <c r="AC34" s="147" t="n"/>
      <c r="AD34" s="147" t="n"/>
      <c r="AE34" s="147" t="n"/>
      <c r="AF34" s="147" t="n"/>
      <c r="AG34" s="147" t="n"/>
      <c r="AH34" s="147" t="n"/>
      <c r="AI34" s="147" t="n"/>
      <c r="AJ34" s="147" t="n"/>
      <c r="AK34" s="147" t="n"/>
      <c r="AL34" s="147" t="n"/>
      <c r="AM34" s="147" t="n"/>
      <c r="AN34" s="147" t="n"/>
      <c r="AO34" s="147" t="n"/>
      <c r="AP34" s="147" t="n"/>
      <c r="AQ34" s="147" t="n"/>
      <c r="AR34" s="147" t="n"/>
      <c r="AS34" s="147" t="n"/>
      <c r="AT34" s="147" t="n"/>
      <c r="AU34" s="147" t="n"/>
      <c r="AV34" s="147" t="n"/>
      <c r="AW34" s="147" t="n"/>
      <c r="AX34" s="147" t="n"/>
      <c r="AY34" s="147" t="n"/>
      <c r="AZ34" s="147" t="n"/>
      <c r="BA34" s="147" t="n"/>
      <c r="BB34" s="147" t="n"/>
      <c r="BC34" s="147" t="n"/>
      <c r="BD34" s="147" t="n"/>
      <c r="BE34" s="147" t="n"/>
      <c r="BF34" s="147" t="n"/>
      <c r="BG34" s="147" t="n"/>
      <c r="BH34" s="147" t="n"/>
    </row>
    <row r="35" ht="30" customHeight="1" s="251">
      <c r="A35" s="152" t="n"/>
      <c r="B35" s="147" t="n"/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47" t="n"/>
      <c r="AC35" s="147" t="n"/>
      <c r="AD35" s="147" t="n"/>
      <c r="AE35" s="147" t="n"/>
      <c r="AF35" s="147" t="n"/>
      <c r="AG35" s="147" t="n"/>
      <c r="AH35" s="147" t="n"/>
      <c r="AI35" s="147" t="n"/>
      <c r="AJ35" s="147" t="n"/>
      <c r="AK35" s="147" t="n"/>
      <c r="AL35" s="147" t="n"/>
      <c r="AM35" s="147" t="n"/>
      <c r="AN35" s="147" t="n"/>
      <c r="AO35" s="147" t="n"/>
      <c r="AP35" s="147" t="n"/>
      <c r="AQ35" s="147" t="n"/>
      <c r="AR35" s="147" t="n"/>
      <c r="AS35" s="147" t="n"/>
      <c r="AT35" s="147" t="n"/>
      <c r="AU35" s="147" t="n"/>
      <c r="AV35" s="147" t="n"/>
      <c r="AW35" s="147" t="n"/>
      <c r="AX35" s="147" t="n"/>
      <c r="AY35" s="147" t="n"/>
      <c r="AZ35" s="147" t="n"/>
      <c r="BA35" s="147" t="n"/>
      <c r="BB35" s="147" t="n"/>
      <c r="BC35" s="147" t="n"/>
      <c r="BD35" s="147" t="n"/>
      <c r="BE35" s="147" t="n"/>
      <c r="BF35" s="147" t="n"/>
      <c r="BG35" s="147" t="n"/>
      <c r="BH35" s="147" t="n"/>
    </row>
    <row r="36" ht="30" customHeight="1" s="251">
      <c r="A36" s="152" t="n"/>
      <c r="B36" s="147" t="n"/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147" t="n"/>
      <c r="L36" s="147" t="n"/>
      <c r="M36" s="147" t="n"/>
      <c r="N36" s="147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  <c r="AA36" s="147" t="n"/>
      <c r="AB36" s="147" t="n"/>
      <c r="AC36" s="147" t="n"/>
      <c r="AD36" s="147" t="n"/>
      <c r="AE36" s="147" t="n"/>
      <c r="AF36" s="147" t="n"/>
      <c r="AG36" s="147" t="n"/>
      <c r="AH36" s="147" t="n"/>
      <c r="AI36" s="147" t="n"/>
      <c r="AJ36" s="147" t="n"/>
      <c r="AK36" s="147" t="n"/>
      <c r="AL36" s="147" t="n"/>
      <c r="AM36" s="147" t="n"/>
      <c r="AN36" s="147" t="n"/>
      <c r="AO36" s="147" t="n"/>
      <c r="AP36" s="147" t="n"/>
      <c r="AQ36" s="147" t="n"/>
      <c r="AR36" s="147" t="n"/>
      <c r="AS36" s="147" t="n"/>
      <c r="AT36" s="147" t="n"/>
      <c r="AU36" s="147" t="n"/>
      <c r="AV36" s="147" t="n"/>
      <c r="AW36" s="147" t="n"/>
      <c r="AX36" s="147" t="n"/>
      <c r="AY36" s="147" t="n"/>
      <c r="AZ36" s="147" t="n"/>
      <c r="BA36" s="147" t="n"/>
      <c r="BB36" s="147" t="n"/>
      <c r="BC36" s="147" t="n"/>
      <c r="BD36" s="147" t="n"/>
      <c r="BE36" s="147" t="n"/>
      <c r="BF36" s="147" t="n"/>
      <c r="BG36" s="147" t="n"/>
      <c r="BH36" s="147" t="n"/>
    </row>
    <row r="37" ht="30" customHeight="1" s="251">
      <c r="A37" s="152" t="n"/>
      <c r="B37" s="147" t="n"/>
      <c r="C37" s="147" t="n"/>
      <c r="D37" s="147" t="n"/>
      <c r="E37" s="147" t="n"/>
      <c r="F37" s="147" t="n"/>
      <c r="G37" s="147" t="n"/>
      <c r="H37" s="147" t="n"/>
      <c r="I37" s="147" t="n"/>
      <c r="J37" s="147" t="n"/>
      <c r="K37" s="147" t="n"/>
      <c r="L37" s="147" t="n"/>
      <c r="M37" s="147" t="n"/>
      <c r="N37" s="147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  <c r="AA37" s="147" t="n"/>
      <c r="AB37" s="147" t="n"/>
      <c r="AC37" s="147" t="n"/>
      <c r="AD37" s="147" t="n"/>
      <c r="AE37" s="147" t="n"/>
      <c r="AF37" s="147" t="n"/>
      <c r="AG37" s="147" t="n"/>
      <c r="AH37" s="147" t="n"/>
      <c r="AI37" s="147" t="n"/>
      <c r="AJ37" s="147" t="n"/>
      <c r="AK37" s="147" t="n"/>
      <c r="AL37" s="147" t="n"/>
      <c r="AM37" s="147" t="n"/>
      <c r="AN37" s="147" t="n"/>
      <c r="AO37" s="147" t="n"/>
      <c r="AP37" s="147" t="n"/>
      <c r="AQ37" s="147" t="n"/>
      <c r="AR37" s="147" t="n"/>
      <c r="AS37" s="147" t="n"/>
      <c r="AT37" s="147" t="n"/>
      <c r="AU37" s="147" t="n"/>
      <c r="AV37" s="147" t="n"/>
      <c r="AW37" s="147" t="n"/>
      <c r="AX37" s="147" t="n"/>
      <c r="AY37" s="147" t="n"/>
      <c r="AZ37" s="147" t="n"/>
      <c r="BA37" s="147" t="n"/>
      <c r="BB37" s="147" t="n"/>
      <c r="BC37" s="147" t="n"/>
      <c r="BD37" s="147" t="n"/>
      <c r="BE37" s="147" t="n"/>
      <c r="BF37" s="147" t="n"/>
      <c r="BG37" s="147" t="n"/>
      <c r="BH37" s="147" t="n"/>
    </row>
    <row r="38" ht="30" customHeight="1" s="251">
      <c r="A38" s="152" t="n"/>
      <c r="B38" s="147" t="n"/>
      <c r="C38" s="147" t="n"/>
      <c r="D38" s="147" t="n"/>
      <c r="E38" s="147" t="n"/>
      <c r="F38" s="147" t="n"/>
      <c r="G38" s="147" t="n"/>
      <c r="H38" s="147" t="n"/>
      <c r="I38" s="147" t="n"/>
      <c r="J38" s="147" t="n"/>
      <c r="K38" s="147" t="n"/>
      <c r="L38" s="147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  <c r="AA38" s="147" t="n"/>
      <c r="AB38" s="147" t="n"/>
      <c r="AC38" s="147" t="n"/>
      <c r="AD38" s="147" t="n"/>
      <c r="AE38" s="147" t="n"/>
      <c r="AF38" s="147" t="n"/>
      <c r="AG38" s="147" t="n"/>
      <c r="AH38" s="147" t="n"/>
      <c r="AI38" s="147" t="n"/>
      <c r="AJ38" s="147" t="n"/>
      <c r="AK38" s="147" t="n"/>
      <c r="AL38" s="147" t="n"/>
      <c r="AM38" s="147" t="n"/>
      <c r="AN38" s="147" t="n"/>
      <c r="AO38" s="147" t="n"/>
      <c r="AP38" s="147" t="n"/>
      <c r="AQ38" s="147" t="n"/>
      <c r="AR38" s="147" t="n"/>
      <c r="AS38" s="147" t="n"/>
      <c r="AT38" s="147" t="n"/>
      <c r="AU38" s="147" t="n"/>
      <c r="AV38" s="147" t="n"/>
      <c r="AW38" s="147" t="n"/>
      <c r="AX38" s="147" t="n"/>
      <c r="AY38" s="147" t="n"/>
      <c r="AZ38" s="147" t="n"/>
      <c r="BA38" s="147" t="n"/>
      <c r="BB38" s="147" t="n"/>
      <c r="BC38" s="147" t="n"/>
      <c r="BD38" s="147" t="n"/>
      <c r="BE38" s="147" t="n"/>
      <c r="BF38" s="147" t="n"/>
      <c r="BG38" s="147" t="n"/>
      <c r="BH38" s="147" t="n"/>
    </row>
    <row r="39" ht="30" customHeight="1" s="251">
      <c r="A39" s="152" t="n"/>
      <c r="B39" s="147" t="n"/>
      <c r="C39" s="147" t="n"/>
      <c r="D39" s="147" t="n"/>
      <c r="E39" s="147" t="n"/>
      <c r="F39" s="147" t="n"/>
      <c r="G39" s="147" t="n"/>
      <c r="H39" s="147" t="n"/>
      <c r="I39" s="147" t="n"/>
      <c r="J39" s="147" t="n"/>
      <c r="K39" s="147" t="n"/>
      <c r="L39" s="147" t="n"/>
      <c r="M39" s="147" t="n"/>
      <c r="N39" s="147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  <c r="AA39" s="147" t="n"/>
      <c r="AB39" s="147" t="n"/>
      <c r="AC39" s="147" t="n"/>
      <c r="AD39" s="147" t="n"/>
      <c r="AE39" s="147" t="n"/>
      <c r="AF39" s="147" t="n"/>
      <c r="AG39" s="147" t="n"/>
      <c r="AH39" s="147" t="n"/>
      <c r="AI39" s="147" t="n"/>
      <c r="AJ39" s="147" t="n"/>
      <c r="AK39" s="147" t="n"/>
      <c r="AL39" s="147" t="n"/>
      <c r="AM39" s="147" t="n"/>
      <c r="AN39" s="147" t="n"/>
      <c r="AO39" s="147" t="n"/>
      <c r="AP39" s="147" t="n"/>
      <c r="AQ39" s="147" t="n"/>
      <c r="AR39" s="147" t="n"/>
      <c r="AS39" s="147" t="n"/>
      <c r="AT39" s="147" t="n"/>
      <c r="AU39" s="147" t="n"/>
      <c r="AV39" s="147" t="n"/>
      <c r="AW39" s="147" t="n"/>
      <c r="AX39" s="147" t="n"/>
      <c r="AY39" s="147" t="n"/>
      <c r="AZ39" s="147" t="n"/>
      <c r="BA39" s="147" t="n"/>
      <c r="BB39" s="147" t="n"/>
      <c r="BC39" s="147" t="n"/>
      <c r="BD39" s="147" t="n"/>
      <c r="BE39" s="147" t="n"/>
      <c r="BF39" s="147" t="n"/>
      <c r="BG39" s="147" t="n"/>
      <c r="BH39" s="147" t="n"/>
    </row>
    <row r="40" ht="30" customHeight="1" s="251">
      <c r="A40" s="152" t="n"/>
      <c r="B40" s="147" t="n"/>
      <c r="C40" s="147" t="n"/>
      <c r="D40" s="147" t="n"/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7" t="n"/>
      <c r="N40" s="147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47" t="n"/>
      <c r="AC40" s="147" t="n"/>
      <c r="AD40" s="147" t="n"/>
      <c r="AE40" s="147" t="n"/>
      <c r="AF40" s="147" t="n"/>
      <c r="AG40" s="147" t="n"/>
      <c r="AH40" s="147" t="n"/>
      <c r="AI40" s="147" t="n"/>
      <c r="AJ40" s="147" t="n"/>
      <c r="AK40" s="147" t="n"/>
      <c r="AL40" s="147" t="n"/>
      <c r="AM40" s="147" t="n"/>
      <c r="AN40" s="147" t="n"/>
      <c r="AO40" s="147" t="n"/>
      <c r="AP40" s="147" t="n"/>
      <c r="AQ40" s="147" t="n"/>
      <c r="AR40" s="147" t="n"/>
      <c r="AS40" s="147" t="n"/>
      <c r="AT40" s="147" t="n"/>
      <c r="AU40" s="147" t="n"/>
      <c r="AV40" s="147" t="n"/>
      <c r="AW40" s="147" t="n"/>
      <c r="AX40" s="147" t="n"/>
      <c r="AY40" s="147" t="n"/>
      <c r="AZ40" s="147" t="n"/>
      <c r="BA40" s="147" t="n"/>
      <c r="BB40" s="147" t="n"/>
      <c r="BC40" s="147" t="n"/>
      <c r="BD40" s="147" t="n"/>
      <c r="BE40" s="147" t="n"/>
      <c r="BF40" s="147" t="n"/>
      <c r="BG40" s="147" t="n"/>
      <c r="BH40" s="147" t="n"/>
    </row>
    <row r="41" ht="30" customHeight="1" s="251">
      <c r="A41" s="152" t="n"/>
      <c r="B41" s="147" t="n"/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7" t="n"/>
      <c r="N41" s="147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47" t="n"/>
      <c r="AC41" s="147" t="n"/>
      <c r="AD41" s="147" t="n"/>
      <c r="AE41" s="147" t="n"/>
      <c r="AF41" s="147" t="n"/>
      <c r="AG41" s="147" t="n"/>
      <c r="AH41" s="147" t="n"/>
      <c r="AI41" s="147" t="n"/>
      <c r="AJ41" s="147" t="n"/>
      <c r="AK41" s="147" t="n"/>
      <c r="AL41" s="147" t="n"/>
      <c r="AM41" s="147" t="n"/>
      <c r="AN41" s="147" t="n"/>
      <c r="AO41" s="147" t="n"/>
      <c r="AP41" s="147" t="n"/>
      <c r="AQ41" s="147" t="n"/>
      <c r="AR41" s="147" t="n"/>
      <c r="AS41" s="147" t="n"/>
      <c r="AT41" s="147" t="n"/>
      <c r="AU41" s="147" t="n"/>
      <c r="AV41" s="147" t="n"/>
      <c r="AW41" s="147" t="n"/>
      <c r="AX41" s="147" t="n"/>
      <c r="AY41" s="147" t="n"/>
      <c r="AZ41" s="147" t="n"/>
      <c r="BA41" s="147" t="n"/>
      <c r="BB41" s="147" t="n"/>
      <c r="BC41" s="147" t="n"/>
      <c r="BD41" s="147" t="n"/>
      <c r="BE41" s="147" t="n"/>
      <c r="BF41" s="147" t="n"/>
      <c r="BG41" s="147" t="n"/>
      <c r="BH41" s="147" t="n"/>
    </row>
    <row r="42" ht="30" customHeight="1" s="251">
      <c r="A42" s="152" t="n"/>
      <c r="B42" s="147" t="n"/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7" t="n"/>
      <c r="N42" s="147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  <c r="AA42" s="147" t="n"/>
      <c r="AB42" s="147" t="n"/>
      <c r="AC42" s="147" t="n"/>
      <c r="AD42" s="147" t="n"/>
      <c r="AE42" s="147" t="n"/>
      <c r="AF42" s="147" t="n"/>
      <c r="AG42" s="147" t="n"/>
      <c r="AH42" s="147" t="n"/>
      <c r="AI42" s="147" t="n"/>
      <c r="AJ42" s="147" t="n"/>
      <c r="AK42" s="147" t="n"/>
      <c r="AL42" s="147" t="n"/>
      <c r="AM42" s="147" t="n"/>
      <c r="AN42" s="147" t="n"/>
      <c r="AO42" s="147" t="n"/>
      <c r="AP42" s="147" t="n"/>
      <c r="AQ42" s="147" t="n"/>
      <c r="AR42" s="147" t="n"/>
      <c r="AS42" s="147" t="n"/>
      <c r="AT42" s="147" t="n"/>
      <c r="AU42" s="147" t="n"/>
      <c r="AV42" s="147" t="n"/>
      <c r="AW42" s="147" t="n"/>
      <c r="AX42" s="147" t="n"/>
      <c r="AY42" s="147" t="n"/>
      <c r="AZ42" s="147" t="n"/>
      <c r="BA42" s="147" t="n"/>
      <c r="BB42" s="147" t="n"/>
      <c r="BC42" s="147" t="n"/>
      <c r="BD42" s="147" t="n"/>
      <c r="BE42" s="147" t="n"/>
      <c r="BF42" s="147" t="n"/>
      <c r="BG42" s="147" t="n"/>
      <c r="BH42" s="147" t="n"/>
    </row>
    <row r="43" ht="30" customHeight="1" s="251">
      <c r="A43" s="152" t="n"/>
      <c r="B43" s="147" t="n"/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7" t="n"/>
      <c r="N43" s="147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  <c r="Z43" s="147" t="n"/>
      <c r="AA43" s="147" t="n"/>
      <c r="AB43" s="147" t="n"/>
      <c r="AC43" s="147" t="n"/>
      <c r="AD43" s="147" t="n"/>
      <c r="AE43" s="147" t="n"/>
      <c r="AF43" s="147" t="n"/>
      <c r="AG43" s="147" t="n"/>
      <c r="AH43" s="147" t="n"/>
      <c r="AI43" s="147" t="n"/>
      <c r="AJ43" s="147" t="n"/>
      <c r="AK43" s="147" t="n"/>
      <c r="AL43" s="147" t="n"/>
      <c r="AM43" s="147" t="n"/>
      <c r="AN43" s="147" t="n"/>
      <c r="AO43" s="147" t="n"/>
      <c r="AP43" s="147" t="n"/>
      <c r="AQ43" s="147" t="n"/>
      <c r="AR43" s="147" t="n"/>
      <c r="AS43" s="147" t="n"/>
      <c r="AT43" s="147" t="n"/>
      <c r="AU43" s="147" t="n"/>
      <c r="AV43" s="147" t="n"/>
      <c r="AW43" s="147" t="n"/>
      <c r="AX43" s="147" t="n"/>
      <c r="AY43" s="147" t="n"/>
      <c r="AZ43" s="147" t="n"/>
      <c r="BA43" s="147" t="n"/>
      <c r="BB43" s="147" t="n"/>
      <c r="BC43" s="147" t="n"/>
      <c r="BD43" s="147" t="n"/>
      <c r="BE43" s="147" t="n"/>
      <c r="BF43" s="147" t="n"/>
      <c r="BG43" s="147" t="n"/>
      <c r="BH43" s="147" t="n"/>
    </row>
    <row r="44" ht="30" customHeight="1" s="251">
      <c r="A44" s="152" t="n"/>
      <c r="B44" s="147" t="n"/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7" t="n"/>
      <c r="BG44" s="147" t="n"/>
      <c r="BH44" s="147" t="n"/>
    </row>
    <row r="45" ht="30" customHeight="1" s="251">
      <c r="A45" s="152" t="n"/>
      <c r="B45" s="147" t="n"/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7" t="n"/>
      <c r="N45" s="147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  <c r="AA45" s="147" t="n"/>
      <c r="AB45" s="147" t="n"/>
      <c r="AC45" s="147" t="n"/>
      <c r="AD45" s="147" t="n"/>
      <c r="AE45" s="147" t="n"/>
      <c r="AF45" s="147" t="n"/>
      <c r="AG45" s="147" t="n"/>
      <c r="AH45" s="147" t="n"/>
      <c r="AI45" s="147" t="n"/>
      <c r="AJ45" s="147" t="n"/>
      <c r="AK45" s="147" t="n"/>
      <c r="AL45" s="147" t="n"/>
      <c r="AM45" s="147" t="n"/>
      <c r="AN45" s="147" t="n"/>
      <c r="AO45" s="147" t="n"/>
      <c r="AP45" s="147" t="n"/>
      <c r="AQ45" s="147" t="n"/>
      <c r="AR45" s="147" t="n"/>
      <c r="AS45" s="147" t="n"/>
      <c r="AT45" s="147" t="n"/>
      <c r="AU45" s="147" t="n"/>
      <c r="AV45" s="147" t="n"/>
      <c r="AW45" s="147" t="n"/>
      <c r="AX45" s="147" t="n"/>
      <c r="AY45" s="147" t="n"/>
      <c r="AZ45" s="147" t="n"/>
      <c r="BA45" s="147" t="n"/>
      <c r="BB45" s="147" t="n"/>
      <c r="BC45" s="147" t="n"/>
      <c r="BD45" s="147" t="n"/>
      <c r="BE45" s="147" t="n"/>
      <c r="BF45" s="147" t="n"/>
      <c r="BG45" s="147" t="n"/>
      <c r="BH45" s="147" t="n"/>
    </row>
    <row r="46" ht="30" customHeight="1" s="251">
      <c r="A46" s="152" t="n"/>
      <c r="B46" s="147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  <c r="Z46" s="147" t="n"/>
      <c r="AA46" s="147" t="n"/>
      <c r="AB46" s="147" t="n"/>
      <c r="AC46" s="147" t="n"/>
      <c r="AD46" s="147" t="n"/>
      <c r="AE46" s="147" t="n"/>
      <c r="AF46" s="147" t="n"/>
      <c r="AG46" s="147" t="n"/>
      <c r="AH46" s="147" t="n"/>
      <c r="AI46" s="147" t="n"/>
      <c r="AJ46" s="147" t="n"/>
      <c r="AK46" s="147" t="n"/>
      <c r="AL46" s="147" t="n"/>
      <c r="AM46" s="147" t="n"/>
      <c r="AN46" s="147" t="n"/>
      <c r="AO46" s="147" t="n"/>
      <c r="AP46" s="147" t="n"/>
      <c r="AQ46" s="147" t="n"/>
      <c r="AR46" s="147" t="n"/>
      <c r="AS46" s="147" t="n"/>
      <c r="AT46" s="147" t="n"/>
      <c r="AU46" s="147" t="n"/>
      <c r="AV46" s="147" t="n"/>
      <c r="AW46" s="147" t="n"/>
      <c r="AX46" s="147" t="n"/>
      <c r="AY46" s="147" t="n"/>
      <c r="AZ46" s="147" t="n"/>
      <c r="BA46" s="147" t="n"/>
      <c r="BB46" s="147" t="n"/>
      <c r="BC46" s="147" t="n"/>
      <c r="BD46" s="147" t="n"/>
      <c r="BE46" s="147" t="n"/>
      <c r="BF46" s="147" t="n"/>
      <c r="BG46" s="147" t="n"/>
      <c r="BH46" s="147" t="n"/>
    </row>
    <row r="47" ht="30" customHeight="1" s="251">
      <c r="A47" s="152" t="n"/>
      <c r="B47" s="147" t="n"/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147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  <c r="Z47" s="147" t="n"/>
      <c r="AA47" s="147" t="n"/>
      <c r="AB47" s="147" t="n"/>
      <c r="AC47" s="147" t="n"/>
      <c r="AD47" s="147" t="n"/>
      <c r="AE47" s="147" t="n"/>
      <c r="AF47" s="147" t="n"/>
      <c r="AG47" s="147" t="n"/>
      <c r="AH47" s="147" t="n"/>
      <c r="AI47" s="147" t="n"/>
      <c r="AJ47" s="147" t="n"/>
      <c r="AK47" s="147" t="n"/>
      <c r="AL47" s="147" t="n"/>
      <c r="AM47" s="147" t="n"/>
      <c r="AN47" s="147" t="n"/>
      <c r="AO47" s="147" t="n"/>
      <c r="AP47" s="147" t="n"/>
      <c r="AQ47" s="147" t="n"/>
      <c r="AR47" s="147" t="n"/>
      <c r="AS47" s="147" t="n"/>
      <c r="AT47" s="147" t="n"/>
      <c r="AU47" s="147" t="n"/>
      <c r="AV47" s="147" t="n"/>
      <c r="AW47" s="147" t="n"/>
      <c r="AX47" s="147" t="n"/>
      <c r="AY47" s="147" t="n"/>
      <c r="AZ47" s="147" t="n"/>
      <c r="BA47" s="147" t="n"/>
      <c r="BB47" s="147" t="n"/>
      <c r="BC47" s="147" t="n"/>
      <c r="BD47" s="147" t="n"/>
      <c r="BE47" s="147" t="n"/>
      <c r="BF47" s="147" t="n"/>
      <c r="BG47" s="147" t="n"/>
      <c r="BH47" s="147" t="n"/>
    </row>
    <row r="48" ht="30" customHeight="1" s="251">
      <c r="A48" s="152" t="n"/>
      <c r="B48" s="147" t="n"/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  <c r="AA48" s="147" t="n"/>
      <c r="AB48" s="147" t="n"/>
      <c r="AC48" s="147" t="n"/>
      <c r="AD48" s="147" t="n"/>
      <c r="AE48" s="147" t="n"/>
      <c r="AF48" s="147" t="n"/>
      <c r="AG48" s="147" t="n"/>
      <c r="AH48" s="147" t="n"/>
      <c r="AI48" s="147" t="n"/>
      <c r="AJ48" s="147" t="n"/>
      <c r="AK48" s="147" t="n"/>
      <c r="AL48" s="147" t="n"/>
      <c r="AM48" s="147" t="n"/>
      <c r="AN48" s="147" t="n"/>
      <c r="AO48" s="147" t="n"/>
      <c r="AP48" s="147" t="n"/>
      <c r="AQ48" s="147" t="n"/>
      <c r="AR48" s="147" t="n"/>
      <c r="AS48" s="147" t="n"/>
      <c r="AT48" s="147" t="n"/>
      <c r="AU48" s="147" t="n"/>
      <c r="AV48" s="147" t="n"/>
      <c r="AW48" s="147" t="n"/>
      <c r="AX48" s="147" t="n"/>
      <c r="AY48" s="147" t="n"/>
      <c r="AZ48" s="147" t="n"/>
      <c r="BA48" s="147" t="n"/>
      <c r="BB48" s="147" t="n"/>
      <c r="BC48" s="147" t="n"/>
      <c r="BD48" s="147" t="n"/>
      <c r="BE48" s="147" t="n"/>
      <c r="BF48" s="147" t="n"/>
      <c r="BG48" s="147" t="n"/>
      <c r="BH48" s="147" t="n"/>
    </row>
    <row r="49" ht="30" customHeight="1" s="251">
      <c r="A49" s="152" t="n"/>
      <c r="B49" s="147" t="n"/>
      <c r="C49" s="147" t="n"/>
      <c r="D49" s="147" t="n"/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7" t="n"/>
      <c r="N49" s="147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  <c r="Z49" s="147" t="n"/>
      <c r="AA49" s="147" t="n"/>
      <c r="AB49" s="147" t="n"/>
      <c r="AC49" s="147" t="n"/>
      <c r="AD49" s="147" t="n"/>
      <c r="AE49" s="147" t="n"/>
      <c r="AF49" s="147" t="n"/>
      <c r="AG49" s="147" t="n"/>
      <c r="AH49" s="147" t="n"/>
      <c r="AI49" s="147" t="n"/>
      <c r="AJ49" s="147" t="n"/>
      <c r="AK49" s="147" t="n"/>
      <c r="AL49" s="147" t="n"/>
      <c r="AM49" s="147" t="n"/>
      <c r="AN49" s="147" t="n"/>
      <c r="AO49" s="147" t="n"/>
      <c r="AP49" s="147" t="n"/>
      <c r="AQ49" s="147" t="n"/>
      <c r="AR49" s="147" t="n"/>
      <c r="AS49" s="147" t="n"/>
      <c r="AT49" s="147" t="n"/>
      <c r="AU49" s="147" t="n"/>
      <c r="AV49" s="147" t="n"/>
      <c r="AW49" s="147" t="n"/>
      <c r="AX49" s="147" t="n"/>
      <c r="AY49" s="147" t="n"/>
      <c r="AZ49" s="147" t="n"/>
      <c r="BA49" s="147" t="n"/>
      <c r="BB49" s="147" t="n"/>
      <c r="BC49" s="147" t="n"/>
      <c r="BD49" s="147" t="n"/>
      <c r="BE49" s="147" t="n"/>
      <c r="BF49" s="147" t="n"/>
      <c r="BG49" s="147" t="n"/>
      <c r="BH49" s="147" t="n"/>
    </row>
    <row r="50" ht="30" customHeight="1" s="251">
      <c r="A50" s="152" t="n"/>
      <c r="B50" s="147" t="n"/>
      <c r="C50" s="147" t="n"/>
      <c r="D50" s="147" t="n"/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7" t="n"/>
      <c r="N50" s="147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  <c r="AA50" s="147" t="n"/>
      <c r="AB50" s="147" t="n"/>
      <c r="AC50" s="147" t="n"/>
      <c r="AD50" s="147" t="n"/>
      <c r="AE50" s="147" t="n"/>
      <c r="AF50" s="147" t="n"/>
      <c r="AG50" s="147" t="n"/>
      <c r="AH50" s="147" t="n"/>
      <c r="AI50" s="147" t="n"/>
      <c r="AJ50" s="147" t="n"/>
      <c r="AK50" s="147" t="n"/>
      <c r="AL50" s="147" t="n"/>
      <c r="AM50" s="147" t="n"/>
      <c r="AN50" s="147" t="n"/>
      <c r="AO50" s="147" t="n"/>
      <c r="AP50" s="147" t="n"/>
      <c r="AQ50" s="147" t="n"/>
      <c r="AR50" s="147" t="n"/>
      <c r="AS50" s="147" t="n"/>
      <c r="AT50" s="147" t="n"/>
      <c r="AU50" s="147" t="n"/>
      <c r="AV50" s="147" t="n"/>
      <c r="AW50" s="147" t="n"/>
      <c r="AX50" s="147" t="n"/>
      <c r="AY50" s="147" t="n"/>
      <c r="AZ50" s="147" t="n"/>
      <c r="BA50" s="147" t="n"/>
      <c r="BB50" s="147" t="n"/>
      <c r="BC50" s="147" t="n"/>
      <c r="BD50" s="147" t="n"/>
      <c r="BE50" s="147" t="n"/>
      <c r="BF50" s="147" t="n"/>
      <c r="BG50" s="147" t="n"/>
      <c r="BH50" s="147" t="n"/>
    </row>
    <row r="51" ht="30" customHeight="1" s="251">
      <c r="A51" s="152" t="n"/>
      <c r="B51" s="147" t="n"/>
      <c r="C51" s="147" t="n"/>
      <c r="D51" s="147" t="n"/>
      <c r="E51" s="147" t="n"/>
      <c r="F51" s="147" t="n"/>
      <c r="G51" s="147" t="n"/>
      <c r="H51" s="147" t="n"/>
      <c r="I51" s="147" t="n"/>
      <c r="J51" s="147" t="n"/>
      <c r="K51" s="147" t="n"/>
      <c r="L51" s="147" t="n"/>
      <c r="M51" s="147" t="n"/>
      <c r="N51" s="147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  <c r="AA51" s="147" t="n"/>
      <c r="AB51" s="147" t="n"/>
      <c r="AC51" s="147" t="n"/>
      <c r="AD51" s="147" t="n"/>
      <c r="AE51" s="147" t="n"/>
      <c r="AF51" s="147" t="n"/>
      <c r="AG51" s="147" t="n"/>
      <c r="AH51" s="147" t="n"/>
      <c r="AI51" s="147" t="n"/>
      <c r="AJ51" s="147" t="n"/>
      <c r="AK51" s="147" t="n"/>
      <c r="AL51" s="147" t="n"/>
      <c r="AM51" s="147" t="n"/>
      <c r="AN51" s="147" t="n"/>
      <c r="AO51" s="147" t="n"/>
      <c r="AP51" s="147" t="n"/>
      <c r="AQ51" s="147" t="n"/>
      <c r="AR51" s="147" t="n"/>
      <c r="AS51" s="147" t="n"/>
      <c r="AT51" s="147" t="n"/>
      <c r="AU51" s="147" t="n"/>
      <c r="AV51" s="147" t="n"/>
      <c r="AW51" s="147" t="n"/>
      <c r="AX51" s="147" t="n"/>
      <c r="AY51" s="147" t="n"/>
      <c r="AZ51" s="147" t="n"/>
      <c r="BA51" s="147" t="n"/>
      <c r="BB51" s="147" t="n"/>
      <c r="BC51" s="147" t="n"/>
      <c r="BD51" s="147" t="n"/>
      <c r="BE51" s="147" t="n"/>
      <c r="BF51" s="147" t="n"/>
      <c r="BG51" s="147" t="n"/>
      <c r="BH51" s="147" t="n"/>
    </row>
    <row r="52" ht="30" customHeight="1" s="251">
      <c r="A52" s="152" t="n"/>
      <c r="B52" s="147" t="n"/>
      <c r="C52" s="147" t="n"/>
      <c r="D52" s="147" t="n"/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7" t="n"/>
      <c r="N52" s="147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  <c r="AA52" s="147" t="n"/>
      <c r="AB52" s="147" t="n"/>
      <c r="AC52" s="147" t="n"/>
      <c r="AD52" s="147" t="n"/>
      <c r="AE52" s="147" t="n"/>
      <c r="AF52" s="147" t="n"/>
      <c r="AG52" s="147" t="n"/>
      <c r="AH52" s="147" t="n"/>
      <c r="AI52" s="147" t="n"/>
      <c r="AJ52" s="147" t="n"/>
      <c r="AK52" s="147" t="n"/>
      <c r="AL52" s="147" t="n"/>
      <c r="AM52" s="147" t="n"/>
      <c r="AN52" s="147" t="n"/>
      <c r="AO52" s="147" t="n"/>
      <c r="AP52" s="147" t="n"/>
      <c r="AQ52" s="147" t="n"/>
      <c r="AR52" s="147" t="n"/>
      <c r="AS52" s="147" t="n"/>
      <c r="AT52" s="147" t="n"/>
      <c r="AU52" s="147" t="n"/>
      <c r="AV52" s="147" t="n"/>
      <c r="AW52" s="147" t="n"/>
      <c r="AX52" s="147" t="n"/>
      <c r="AY52" s="147" t="n"/>
      <c r="AZ52" s="147" t="n"/>
      <c r="BA52" s="147" t="n"/>
      <c r="BB52" s="147" t="n"/>
      <c r="BC52" s="147" t="n"/>
      <c r="BD52" s="147" t="n"/>
      <c r="BE52" s="147" t="n"/>
      <c r="BF52" s="147" t="n"/>
      <c r="BG52" s="147" t="n"/>
      <c r="BH52" s="147" t="n"/>
    </row>
    <row r="53" ht="30" customHeight="1" s="251">
      <c r="A53" s="152" t="n"/>
      <c r="B53" s="147" t="n"/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147" t="n"/>
      <c r="L53" s="147" t="n"/>
      <c r="M53" s="147" t="n"/>
      <c r="N53" s="147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  <c r="Z53" s="147" t="n"/>
      <c r="AA53" s="147" t="n"/>
      <c r="AB53" s="147" t="n"/>
      <c r="AC53" s="147" t="n"/>
      <c r="AD53" s="147" t="n"/>
      <c r="AE53" s="147" t="n"/>
      <c r="AF53" s="147" t="n"/>
      <c r="AG53" s="147" t="n"/>
      <c r="AH53" s="147" t="n"/>
      <c r="AI53" s="147" t="n"/>
      <c r="AJ53" s="147" t="n"/>
      <c r="AK53" s="147" t="n"/>
      <c r="AL53" s="147" t="n"/>
      <c r="AM53" s="147" t="n"/>
      <c r="AN53" s="147" t="n"/>
      <c r="AO53" s="147" t="n"/>
      <c r="AP53" s="147" t="n"/>
      <c r="AQ53" s="147" t="n"/>
      <c r="AR53" s="147" t="n"/>
      <c r="AS53" s="147" t="n"/>
      <c r="AT53" s="147" t="n"/>
      <c r="AU53" s="147" t="n"/>
      <c r="AV53" s="147" t="n"/>
      <c r="AW53" s="147" t="n"/>
      <c r="AX53" s="147" t="n"/>
      <c r="AY53" s="147" t="n"/>
      <c r="AZ53" s="147" t="n"/>
      <c r="BA53" s="147" t="n"/>
      <c r="BB53" s="147" t="n"/>
      <c r="BC53" s="147" t="n"/>
      <c r="BD53" s="147" t="n"/>
      <c r="BE53" s="147" t="n"/>
      <c r="BF53" s="147" t="n"/>
      <c r="BG53" s="147" t="n"/>
      <c r="BH53" s="147" t="n"/>
    </row>
    <row r="54" ht="30" customHeight="1" s="251">
      <c r="A54" s="152" t="n"/>
      <c r="B54" s="147" t="n"/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147" t="n"/>
      <c r="L54" s="147" t="n"/>
      <c r="M54" s="147" t="n"/>
      <c r="N54" s="147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  <c r="Z54" s="147" t="n"/>
      <c r="AA54" s="147" t="n"/>
      <c r="AB54" s="147" t="n"/>
      <c r="AC54" s="147" t="n"/>
      <c r="AD54" s="147" t="n"/>
      <c r="AE54" s="147" t="n"/>
      <c r="AF54" s="147" t="n"/>
      <c r="AG54" s="147" t="n"/>
      <c r="AH54" s="147" t="n"/>
      <c r="AI54" s="147" t="n"/>
      <c r="AJ54" s="147" t="n"/>
      <c r="AK54" s="147" t="n"/>
      <c r="AL54" s="147" t="n"/>
      <c r="AM54" s="147" t="n"/>
      <c r="AN54" s="147" t="n"/>
      <c r="AO54" s="147" t="n"/>
      <c r="AP54" s="147" t="n"/>
      <c r="AQ54" s="147" t="n"/>
      <c r="AR54" s="147" t="n"/>
      <c r="AS54" s="147" t="n"/>
      <c r="AT54" s="147" t="n"/>
      <c r="AU54" s="147" t="n"/>
      <c r="AV54" s="147" t="n"/>
      <c r="AW54" s="147" t="n"/>
      <c r="AX54" s="147" t="n"/>
      <c r="AY54" s="147" t="n"/>
      <c r="AZ54" s="147" t="n"/>
      <c r="BA54" s="147" t="n"/>
      <c r="BB54" s="147" t="n"/>
      <c r="BC54" s="147" t="n"/>
      <c r="BD54" s="147" t="n"/>
      <c r="BE54" s="147" t="n"/>
      <c r="BF54" s="147" t="n"/>
      <c r="BG54" s="147" t="n"/>
      <c r="BH54" s="147" t="n"/>
    </row>
    <row r="55" ht="30" customHeight="1" s="251">
      <c r="A55" s="152" t="n"/>
      <c r="B55" s="147" t="n"/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7" t="n"/>
      <c r="N55" s="147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  <c r="AA55" s="147" t="n"/>
      <c r="AB55" s="147" t="n"/>
      <c r="AC55" s="147" t="n"/>
      <c r="AD55" s="147" t="n"/>
      <c r="AE55" s="147" t="n"/>
      <c r="AF55" s="147" t="n"/>
      <c r="AG55" s="147" t="n"/>
      <c r="AH55" s="147" t="n"/>
      <c r="AI55" s="147" t="n"/>
      <c r="AJ55" s="147" t="n"/>
      <c r="AK55" s="147" t="n"/>
      <c r="AL55" s="147" t="n"/>
      <c r="AM55" s="147" t="n"/>
      <c r="AN55" s="147" t="n"/>
      <c r="AO55" s="147" t="n"/>
      <c r="AP55" s="147" t="n"/>
      <c r="AQ55" s="147" t="n"/>
      <c r="AR55" s="147" t="n"/>
      <c r="AS55" s="147" t="n"/>
      <c r="AT55" s="147" t="n"/>
      <c r="AU55" s="147" t="n"/>
      <c r="AV55" s="147" t="n"/>
      <c r="AW55" s="147" t="n"/>
      <c r="AX55" s="147" t="n"/>
      <c r="AY55" s="147" t="n"/>
      <c r="AZ55" s="147" t="n"/>
      <c r="BA55" s="147" t="n"/>
      <c r="BB55" s="147" t="n"/>
      <c r="BC55" s="147" t="n"/>
      <c r="BD55" s="147" t="n"/>
      <c r="BE55" s="147" t="n"/>
      <c r="BF55" s="147" t="n"/>
      <c r="BG55" s="147" t="n"/>
      <c r="BH55" s="147" t="n"/>
    </row>
    <row r="56" ht="30" customHeight="1" s="251">
      <c r="A56" s="152" t="n"/>
      <c r="B56" s="147" t="n"/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147" t="n"/>
      <c r="L56" s="147" t="n"/>
      <c r="M56" s="147" t="n"/>
      <c r="N56" s="147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  <c r="Z56" s="147" t="n"/>
      <c r="AA56" s="147" t="n"/>
      <c r="AB56" s="147" t="n"/>
      <c r="AC56" s="147" t="n"/>
      <c r="AD56" s="147" t="n"/>
      <c r="AE56" s="147" t="n"/>
      <c r="AF56" s="147" t="n"/>
      <c r="AG56" s="147" t="n"/>
      <c r="AH56" s="147" t="n"/>
      <c r="AI56" s="147" t="n"/>
      <c r="AJ56" s="147" t="n"/>
      <c r="AK56" s="147" t="n"/>
      <c r="AL56" s="147" t="n"/>
      <c r="AM56" s="147" t="n"/>
      <c r="AN56" s="147" t="n"/>
      <c r="AO56" s="147" t="n"/>
      <c r="AP56" s="147" t="n"/>
      <c r="AQ56" s="147" t="n"/>
      <c r="AR56" s="147" t="n"/>
      <c r="AS56" s="147" t="n"/>
      <c r="AT56" s="147" t="n"/>
      <c r="AU56" s="147" t="n"/>
      <c r="AV56" s="147" t="n"/>
      <c r="AW56" s="147" t="n"/>
      <c r="AX56" s="147" t="n"/>
      <c r="AY56" s="147" t="n"/>
      <c r="AZ56" s="147" t="n"/>
      <c r="BA56" s="147" t="n"/>
      <c r="BB56" s="147" t="n"/>
      <c r="BC56" s="147" t="n"/>
      <c r="BD56" s="147" t="n"/>
      <c r="BE56" s="147" t="n"/>
      <c r="BF56" s="147" t="n"/>
      <c r="BG56" s="147" t="n"/>
      <c r="BH56" s="147" t="n"/>
    </row>
    <row r="57" ht="30" customHeight="1" s="251">
      <c r="A57" s="152" t="n"/>
      <c r="B57" s="147" t="n"/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147" t="n"/>
      <c r="L57" s="147" t="n"/>
      <c r="M57" s="147" t="n"/>
      <c r="N57" s="147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  <c r="Z57" s="147" t="n"/>
      <c r="AA57" s="147" t="n"/>
      <c r="AB57" s="147" t="n"/>
      <c r="AC57" s="147" t="n"/>
      <c r="AD57" s="147" t="n"/>
      <c r="AE57" s="147" t="n"/>
      <c r="AF57" s="147" t="n"/>
      <c r="AG57" s="147" t="n"/>
      <c r="AH57" s="147" t="n"/>
      <c r="AI57" s="147" t="n"/>
      <c r="AJ57" s="147" t="n"/>
      <c r="AK57" s="147" t="n"/>
      <c r="AL57" s="147" t="n"/>
      <c r="AM57" s="147" t="n"/>
      <c r="AN57" s="147" t="n"/>
      <c r="AO57" s="147" t="n"/>
      <c r="AP57" s="147" t="n"/>
      <c r="AQ57" s="147" t="n"/>
      <c r="AR57" s="147" t="n"/>
      <c r="AS57" s="147" t="n"/>
      <c r="AT57" s="147" t="n"/>
      <c r="AU57" s="147" t="n"/>
      <c r="AV57" s="147" t="n"/>
      <c r="AW57" s="147" t="n"/>
      <c r="AX57" s="147" t="n"/>
      <c r="AY57" s="147" t="n"/>
      <c r="AZ57" s="147" t="n"/>
      <c r="BA57" s="147" t="n"/>
      <c r="BB57" s="147" t="n"/>
      <c r="BC57" s="147" t="n"/>
      <c r="BD57" s="147" t="n"/>
      <c r="BE57" s="147" t="n"/>
      <c r="BF57" s="147" t="n"/>
      <c r="BG57" s="147" t="n"/>
      <c r="BH57" s="147" t="n"/>
    </row>
    <row r="58" ht="30" customHeight="1" s="251">
      <c r="A58" s="152" t="n"/>
      <c r="B58" s="147" t="n"/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147" t="n"/>
      <c r="L58" s="147" t="n"/>
      <c r="M58" s="147" t="n"/>
      <c r="N58" s="147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  <c r="Z58" s="147" t="n"/>
      <c r="AA58" s="147" t="n"/>
      <c r="AB58" s="147" t="n"/>
      <c r="AC58" s="147" t="n"/>
      <c r="AD58" s="147" t="n"/>
      <c r="AE58" s="147" t="n"/>
      <c r="AF58" s="147" t="n"/>
      <c r="AG58" s="147" t="n"/>
      <c r="AH58" s="147" t="n"/>
      <c r="AI58" s="147" t="n"/>
      <c r="AJ58" s="147" t="n"/>
      <c r="AK58" s="147" t="n"/>
      <c r="AL58" s="147" t="n"/>
      <c r="AM58" s="147" t="n"/>
      <c r="AN58" s="147" t="n"/>
      <c r="AO58" s="147" t="n"/>
      <c r="AP58" s="147" t="n"/>
      <c r="AQ58" s="147" t="n"/>
      <c r="AR58" s="147" t="n"/>
      <c r="AS58" s="147" t="n"/>
      <c r="AT58" s="147" t="n"/>
      <c r="AU58" s="147" t="n"/>
      <c r="AV58" s="147" t="n"/>
      <c r="AW58" s="147" t="n"/>
      <c r="AX58" s="147" t="n"/>
      <c r="AY58" s="147" t="n"/>
      <c r="AZ58" s="147" t="n"/>
      <c r="BA58" s="147" t="n"/>
      <c r="BB58" s="147" t="n"/>
      <c r="BC58" s="147" t="n"/>
      <c r="BD58" s="147" t="n"/>
      <c r="BE58" s="147" t="n"/>
      <c r="BF58" s="147" t="n"/>
      <c r="BG58" s="147" t="n"/>
      <c r="BH58" s="147" t="n"/>
    </row>
    <row r="59" ht="30" customHeight="1" s="251">
      <c r="A59" s="152" t="n"/>
      <c r="B59" s="147" t="n"/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147" t="n"/>
      <c r="L59" s="147" t="n"/>
      <c r="M59" s="147" t="n"/>
      <c r="N59" s="147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  <c r="Z59" s="147" t="n"/>
      <c r="AA59" s="147" t="n"/>
      <c r="AB59" s="147" t="n"/>
      <c r="AC59" s="147" t="n"/>
      <c r="AD59" s="147" t="n"/>
      <c r="AE59" s="147" t="n"/>
      <c r="AF59" s="147" t="n"/>
      <c r="AG59" s="147" t="n"/>
      <c r="AH59" s="147" t="n"/>
      <c r="AI59" s="147" t="n"/>
      <c r="AJ59" s="147" t="n"/>
      <c r="AK59" s="147" t="n"/>
      <c r="AL59" s="147" t="n"/>
      <c r="AM59" s="147" t="n"/>
      <c r="AN59" s="147" t="n"/>
      <c r="AO59" s="147" t="n"/>
      <c r="AP59" s="147" t="n"/>
      <c r="AQ59" s="147" t="n"/>
      <c r="AR59" s="147" t="n"/>
      <c r="AS59" s="147" t="n"/>
      <c r="AT59" s="147" t="n"/>
      <c r="AU59" s="147" t="n"/>
      <c r="AV59" s="147" t="n"/>
      <c r="AW59" s="147" t="n"/>
      <c r="AX59" s="147" t="n"/>
      <c r="AY59" s="147" t="n"/>
      <c r="AZ59" s="147" t="n"/>
      <c r="BA59" s="147" t="n"/>
      <c r="BB59" s="147" t="n"/>
      <c r="BC59" s="147" t="n"/>
      <c r="BD59" s="147" t="n"/>
      <c r="BE59" s="147" t="n"/>
      <c r="BF59" s="147" t="n"/>
      <c r="BG59" s="147" t="n"/>
      <c r="BH59" s="147" t="n"/>
    </row>
    <row r="60" ht="30" customHeight="1" s="251">
      <c r="A60" s="152" t="n"/>
      <c r="B60" s="147" t="n"/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147" t="n"/>
      <c r="L60" s="147" t="n"/>
      <c r="M60" s="147" t="n"/>
      <c r="N60" s="147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  <c r="AA60" s="147" t="n"/>
      <c r="AB60" s="147" t="n"/>
      <c r="AC60" s="147" t="n"/>
      <c r="AD60" s="147" t="n"/>
      <c r="AE60" s="147" t="n"/>
      <c r="AF60" s="147" t="n"/>
      <c r="AG60" s="147" t="n"/>
      <c r="AH60" s="147" t="n"/>
      <c r="AI60" s="147" t="n"/>
      <c r="AJ60" s="147" t="n"/>
      <c r="AK60" s="147" t="n"/>
      <c r="AL60" s="147" t="n"/>
      <c r="AM60" s="147" t="n"/>
      <c r="AN60" s="147" t="n"/>
      <c r="AO60" s="147" t="n"/>
      <c r="AP60" s="147" t="n"/>
      <c r="AQ60" s="147" t="n"/>
      <c r="AR60" s="147" t="n"/>
      <c r="AS60" s="147" t="n"/>
      <c r="AT60" s="147" t="n"/>
      <c r="AU60" s="147" t="n"/>
      <c r="AV60" s="147" t="n"/>
      <c r="AW60" s="147" t="n"/>
      <c r="AX60" s="147" t="n"/>
      <c r="AY60" s="147" t="n"/>
      <c r="AZ60" s="147" t="n"/>
      <c r="BA60" s="147" t="n"/>
      <c r="BB60" s="147" t="n"/>
      <c r="BC60" s="147" t="n"/>
      <c r="BD60" s="147" t="n"/>
      <c r="BE60" s="147" t="n"/>
      <c r="BF60" s="147" t="n"/>
      <c r="BG60" s="147" t="n"/>
      <c r="BH60" s="147" t="n"/>
    </row>
    <row r="61" ht="30" customHeight="1" s="251">
      <c r="A61" s="152" t="n"/>
      <c r="B61" s="147" t="n"/>
      <c r="C61" s="147" t="n"/>
      <c r="D61" s="147" t="n"/>
      <c r="E61" s="147" t="n"/>
      <c r="F61" s="147" t="n"/>
      <c r="G61" s="147" t="n"/>
      <c r="H61" s="147" t="n"/>
      <c r="I61" s="147" t="n"/>
      <c r="J61" s="147" t="n"/>
      <c r="K61" s="147" t="n"/>
      <c r="L61" s="147" t="n"/>
      <c r="M61" s="147" t="n"/>
      <c r="N61" s="147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  <c r="Z61" s="147" t="n"/>
      <c r="AA61" s="147" t="n"/>
      <c r="AB61" s="147" t="n"/>
      <c r="AC61" s="147" t="n"/>
      <c r="AD61" s="147" t="n"/>
      <c r="AE61" s="147" t="n"/>
      <c r="AF61" s="147" t="n"/>
      <c r="AG61" s="147" t="n"/>
      <c r="AH61" s="147" t="n"/>
      <c r="AI61" s="147" t="n"/>
      <c r="AJ61" s="147" t="n"/>
      <c r="AK61" s="147" t="n"/>
      <c r="AL61" s="147" t="n"/>
      <c r="AM61" s="147" t="n"/>
      <c r="AN61" s="147" t="n"/>
      <c r="AO61" s="147" t="n"/>
      <c r="AP61" s="147" t="n"/>
      <c r="AQ61" s="147" t="n"/>
      <c r="AR61" s="147" t="n"/>
      <c r="AS61" s="147" t="n"/>
      <c r="AT61" s="147" t="n"/>
      <c r="AU61" s="147" t="n"/>
      <c r="AV61" s="147" t="n"/>
      <c r="AW61" s="147" t="n"/>
      <c r="AX61" s="147" t="n"/>
      <c r="AY61" s="147" t="n"/>
      <c r="AZ61" s="147" t="n"/>
      <c r="BA61" s="147" t="n"/>
      <c r="BB61" s="147" t="n"/>
      <c r="BC61" s="147" t="n"/>
      <c r="BD61" s="147" t="n"/>
      <c r="BE61" s="147" t="n"/>
      <c r="BF61" s="147" t="n"/>
      <c r="BG61" s="147" t="n"/>
      <c r="BH61" s="147" t="n"/>
    </row>
    <row r="62" ht="30" customHeight="1" s="251">
      <c r="A62" s="152" t="n"/>
      <c r="B62" s="147" t="n"/>
      <c r="C62" s="147" t="n"/>
      <c r="D62" s="147" t="n"/>
      <c r="E62" s="147" t="n"/>
      <c r="F62" s="147" t="n"/>
      <c r="G62" s="147" t="n"/>
      <c r="H62" s="147" t="n"/>
      <c r="I62" s="147" t="n"/>
      <c r="J62" s="147" t="n"/>
      <c r="K62" s="147" t="n"/>
      <c r="L62" s="147" t="n"/>
      <c r="M62" s="147" t="n"/>
      <c r="N62" s="147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  <c r="Z62" s="147" t="n"/>
      <c r="AA62" s="147" t="n"/>
      <c r="AB62" s="147" t="n"/>
      <c r="AC62" s="147" t="n"/>
      <c r="AD62" s="147" t="n"/>
      <c r="AE62" s="147" t="n"/>
      <c r="AF62" s="147" t="n"/>
      <c r="AG62" s="147" t="n"/>
      <c r="AH62" s="147" t="n"/>
      <c r="AI62" s="147" t="n"/>
      <c r="AJ62" s="147" t="n"/>
      <c r="AK62" s="147" t="n"/>
      <c r="AL62" s="147" t="n"/>
      <c r="AM62" s="147" t="n"/>
      <c r="AN62" s="147" t="n"/>
      <c r="AO62" s="147" t="n"/>
      <c r="AP62" s="147" t="n"/>
      <c r="AQ62" s="147" t="n"/>
      <c r="AR62" s="147" t="n"/>
      <c r="AS62" s="147" t="n"/>
      <c r="AT62" s="147" t="n"/>
      <c r="AU62" s="147" t="n"/>
      <c r="AV62" s="147" t="n"/>
      <c r="AW62" s="147" t="n"/>
      <c r="AX62" s="147" t="n"/>
      <c r="AY62" s="147" t="n"/>
      <c r="AZ62" s="147" t="n"/>
      <c r="BA62" s="147" t="n"/>
      <c r="BB62" s="147" t="n"/>
      <c r="BC62" s="147" t="n"/>
      <c r="BD62" s="147" t="n"/>
      <c r="BE62" s="147" t="n"/>
      <c r="BF62" s="147" t="n"/>
      <c r="BG62" s="147" t="n"/>
      <c r="BH62" s="147" t="n"/>
    </row>
    <row r="63" ht="30" customHeight="1" s="251">
      <c r="A63" s="152" t="n"/>
      <c r="B63" s="147" t="n"/>
      <c r="C63" s="147" t="n"/>
      <c r="D63" s="147" t="n"/>
      <c r="E63" s="147" t="n"/>
      <c r="F63" s="147" t="n"/>
      <c r="G63" s="147" t="n"/>
      <c r="H63" s="147" t="n"/>
      <c r="I63" s="147" t="n"/>
      <c r="J63" s="147" t="n"/>
      <c r="K63" s="147" t="n"/>
      <c r="L63" s="147" t="n"/>
      <c r="M63" s="147" t="n"/>
      <c r="N63" s="147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  <c r="Z63" s="147" t="n"/>
      <c r="AA63" s="147" t="n"/>
      <c r="AB63" s="147" t="n"/>
      <c r="AC63" s="147" t="n"/>
      <c r="AD63" s="147" t="n"/>
      <c r="AE63" s="147" t="n"/>
      <c r="AF63" s="147" t="n"/>
      <c r="AG63" s="147" t="n"/>
      <c r="AH63" s="147" t="n"/>
      <c r="AI63" s="147" t="n"/>
      <c r="AJ63" s="147" t="n"/>
      <c r="AK63" s="147" t="n"/>
      <c r="AL63" s="147" t="n"/>
      <c r="AM63" s="147" t="n"/>
      <c r="AN63" s="147" t="n"/>
      <c r="AO63" s="147" t="n"/>
      <c r="AP63" s="147" t="n"/>
      <c r="AQ63" s="147" t="n"/>
      <c r="AR63" s="147" t="n"/>
      <c r="AS63" s="147" t="n"/>
      <c r="AT63" s="147" t="n"/>
      <c r="AU63" s="147" t="n"/>
      <c r="AV63" s="147" t="n"/>
      <c r="AW63" s="147" t="n"/>
      <c r="AX63" s="147" t="n"/>
      <c r="AY63" s="147" t="n"/>
      <c r="AZ63" s="147" t="n"/>
      <c r="BA63" s="147" t="n"/>
      <c r="BB63" s="147" t="n"/>
      <c r="BC63" s="147" t="n"/>
      <c r="BD63" s="147" t="n"/>
      <c r="BE63" s="147" t="n"/>
      <c r="BF63" s="147" t="n"/>
      <c r="BG63" s="147" t="n"/>
      <c r="BH63" s="147" t="n"/>
    </row>
    <row r="64" ht="30" customHeight="1" s="251">
      <c r="A64" s="152" t="n"/>
      <c r="B64" s="147" t="n"/>
      <c r="C64" s="147" t="n"/>
      <c r="D64" s="147" t="n"/>
      <c r="E64" s="147" t="n"/>
      <c r="F64" s="147" t="n"/>
      <c r="G64" s="147" t="n"/>
      <c r="H64" s="147" t="n"/>
      <c r="I64" s="147" t="n"/>
      <c r="J64" s="147" t="n"/>
      <c r="K64" s="147" t="n"/>
      <c r="L64" s="147" t="n"/>
      <c r="M64" s="147" t="n"/>
      <c r="N64" s="147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7" t="n"/>
      <c r="AL64" s="147" t="n"/>
      <c r="AM64" s="147" t="n"/>
      <c r="AN64" s="147" t="n"/>
      <c r="AO64" s="147" t="n"/>
      <c r="AP64" s="147" t="n"/>
      <c r="AQ64" s="147" t="n"/>
      <c r="AR64" s="147" t="n"/>
      <c r="AS64" s="147" t="n"/>
      <c r="AT64" s="147" t="n"/>
      <c r="AU64" s="147" t="n"/>
      <c r="AV64" s="147" t="n"/>
      <c r="AW64" s="147" t="n"/>
      <c r="AX64" s="147" t="n"/>
      <c r="AY64" s="147" t="n"/>
      <c r="AZ64" s="147" t="n"/>
      <c r="BA64" s="147" t="n"/>
      <c r="BB64" s="147" t="n"/>
      <c r="BC64" s="147" t="n"/>
      <c r="BD64" s="147" t="n"/>
      <c r="BE64" s="147" t="n"/>
      <c r="BF64" s="147" t="n"/>
      <c r="BG64" s="147" t="n"/>
      <c r="BH64" s="147" t="n"/>
    </row>
    <row r="65" ht="30" customHeight="1" s="251">
      <c r="A65" s="152" t="n"/>
      <c r="B65" s="147" t="n"/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147" t="n"/>
      <c r="L65" s="147" t="n"/>
      <c r="M65" s="147" t="n"/>
      <c r="N65" s="147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  <c r="Z65" s="147" t="n"/>
      <c r="AA65" s="147" t="n"/>
      <c r="AB65" s="147" t="n"/>
      <c r="AC65" s="147" t="n"/>
      <c r="AD65" s="147" t="n"/>
      <c r="AE65" s="147" t="n"/>
      <c r="AF65" s="147" t="n"/>
      <c r="AG65" s="147" t="n"/>
      <c r="AH65" s="147" t="n"/>
      <c r="AI65" s="147" t="n"/>
      <c r="AJ65" s="147" t="n"/>
      <c r="AK65" s="147" t="n"/>
      <c r="AL65" s="147" t="n"/>
      <c r="AM65" s="147" t="n"/>
      <c r="AN65" s="147" t="n"/>
      <c r="AO65" s="147" t="n"/>
      <c r="AP65" s="147" t="n"/>
      <c r="AQ65" s="147" t="n"/>
      <c r="AR65" s="147" t="n"/>
      <c r="AS65" s="147" t="n"/>
      <c r="AT65" s="147" t="n"/>
      <c r="AU65" s="147" t="n"/>
      <c r="AV65" s="147" t="n"/>
      <c r="AW65" s="147" t="n"/>
      <c r="AX65" s="147" t="n"/>
      <c r="AY65" s="147" t="n"/>
      <c r="AZ65" s="147" t="n"/>
      <c r="BA65" s="147" t="n"/>
      <c r="BB65" s="147" t="n"/>
      <c r="BC65" s="147" t="n"/>
      <c r="BD65" s="147" t="n"/>
      <c r="BE65" s="147" t="n"/>
      <c r="BF65" s="147" t="n"/>
      <c r="BG65" s="147" t="n"/>
      <c r="BH65" s="147" t="n"/>
    </row>
    <row r="66" ht="30" customHeight="1" s="251">
      <c r="A66" s="152" t="n"/>
      <c r="B66" s="147" t="n"/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147" t="n"/>
      <c r="L66" s="147" t="n"/>
      <c r="M66" s="147" t="n"/>
      <c r="N66" s="147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  <c r="Z66" s="147" t="n"/>
      <c r="AA66" s="147" t="n"/>
      <c r="AB66" s="147" t="n"/>
      <c r="AC66" s="147" t="n"/>
      <c r="AD66" s="147" t="n"/>
      <c r="AE66" s="147" t="n"/>
      <c r="AF66" s="147" t="n"/>
      <c r="AG66" s="147" t="n"/>
      <c r="AH66" s="147" t="n"/>
      <c r="AI66" s="147" t="n"/>
      <c r="AJ66" s="147" t="n"/>
      <c r="AK66" s="147" t="n"/>
      <c r="AL66" s="147" t="n"/>
      <c r="AM66" s="147" t="n"/>
      <c r="AN66" s="147" t="n"/>
      <c r="AO66" s="147" t="n"/>
      <c r="AP66" s="147" t="n"/>
      <c r="AQ66" s="147" t="n"/>
      <c r="AR66" s="147" t="n"/>
      <c r="AS66" s="147" t="n"/>
      <c r="AT66" s="147" t="n"/>
      <c r="AU66" s="147" t="n"/>
      <c r="AV66" s="147" t="n"/>
      <c r="AW66" s="147" t="n"/>
      <c r="AX66" s="147" t="n"/>
      <c r="AY66" s="147" t="n"/>
      <c r="AZ66" s="147" t="n"/>
      <c r="BA66" s="147" t="n"/>
      <c r="BB66" s="147" t="n"/>
      <c r="BC66" s="147" t="n"/>
      <c r="BD66" s="147" t="n"/>
      <c r="BE66" s="147" t="n"/>
      <c r="BF66" s="147" t="n"/>
      <c r="BG66" s="147" t="n"/>
      <c r="BH66" s="147" t="n"/>
    </row>
    <row r="67" ht="30" customHeight="1" s="251">
      <c r="A67" s="152" t="n"/>
      <c r="B67" s="147" t="n"/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147" t="n"/>
      <c r="L67" s="147" t="n"/>
      <c r="M67" s="147" t="n"/>
      <c r="N67" s="147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  <c r="Z67" s="147" t="n"/>
      <c r="AA67" s="147" t="n"/>
      <c r="AB67" s="147" t="n"/>
      <c r="AC67" s="147" t="n"/>
      <c r="AD67" s="147" t="n"/>
      <c r="AE67" s="147" t="n"/>
      <c r="AF67" s="147" t="n"/>
      <c r="AG67" s="147" t="n"/>
      <c r="AH67" s="147" t="n"/>
      <c r="AI67" s="147" t="n"/>
      <c r="AJ67" s="147" t="n"/>
      <c r="AK67" s="147" t="n"/>
      <c r="AL67" s="147" t="n"/>
      <c r="AM67" s="147" t="n"/>
      <c r="AN67" s="147" t="n"/>
      <c r="AO67" s="147" t="n"/>
      <c r="AP67" s="147" t="n"/>
      <c r="AQ67" s="147" t="n"/>
      <c r="AR67" s="147" t="n"/>
      <c r="AS67" s="147" t="n"/>
      <c r="AT67" s="147" t="n"/>
      <c r="AU67" s="147" t="n"/>
      <c r="AV67" s="147" t="n"/>
      <c r="AW67" s="147" t="n"/>
      <c r="AX67" s="147" t="n"/>
      <c r="AY67" s="147" t="n"/>
      <c r="AZ67" s="147" t="n"/>
      <c r="BA67" s="147" t="n"/>
      <c r="BB67" s="147" t="n"/>
      <c r="BC67" s="147" t="n"/>
      <c r="BD67" s="147" t="n"/>
      <c r="BE67" s="147" t="n"/>
      <c r="BF67" s="147" t="n"/>
      <c r="BG67" s="147" t="n"/>
      <c r="BH67" s="147" t="n"/>
    </row>
    <row r="68" ht="30" customHeight="1" s="251">
      <c r="A68" s="152" t="n"/>
      <c r="B68" s="147" t="n"/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147" t="n"/>
      <c r="L68" s="147" t="n"/>
      <c r="M68" s="147" t="n"/>
      <c r="N68" s="147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  <c r="Z68" s="147" t="n"/>
      <c r="AA68" s="147" t="n"/>
      <c r="AB68" s="147" t="n"/>
      <c r="AC68" s="147" t="n"/>
      <c r="AD68" s="147" t="n"/>
      <c r="AE68" s="147" t="n"/>
      <c r="AF68" s="147" t="n"/>
      <c r="AG68" s="147" t="n"/>
      <c r="AH68" s="147" t="n"/>
      <c r="AI68" s="147" t="n"/>
      <c r="AJ68" s="147" t="n"/>
      <c r="AK68" s="147" t="n"/>
      <c r="AL68" s="147" t="n"/>
      <c r="AM68" s="147" t="n"/>
      <c r="AN68" s="147" t="n"/>
      <c r="AO68" s="147" t="n"/>
      <c r="AP68" s="147" t="n"/>
      <c r="AQ68" s="147" t="n"/>
      <c r="AR68" s="147" t="n"/>
      <c r="AS68" s="147" t="n"/>
      <c r="AT68" s="147" t="n"/>
      <c r="AU68" s="147" t="n"/>
      <c r="AV68" s="147" t="n"/>
      <c r="AW68" s="147" t="n"/>
      <c r="AX68" s="147" t="n"/>
      <c r="AY68" s="147" t="n"/>
      <c r="AZ68" s="147" t="n"/>
      <c r="BA68" s="147" t="n"/>
      <c r="BB68" s="147" t="n"/>
      <c r="BC68" s="147" t="n"/>
      <c r="BD68" s="147" t="n"/>
      <c r="BE68" s="147" t="n"/>
      <c r="BF68" s="147" t="n"/>
      <c r="BG68" s="147" t="n"/>
      <c r="BH68" s="147" t="n"/>
    </row>
    <row r="69" ht="30" customHeight="1" s="251">
      <c r="A69" s="152" t="n"/>
      <c r="B69" s="147" t="n"/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147" t="n"/>
      <c r="L69" s="147" t="n"/>
      <c r="M69" s="147" t="n"/>
      <c r="N69" s="147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  <c r="AA69" s="147" t="n"/>
      <c r="AB69" s="147" t="n"/>
      <c r="AC69" s="147" t="n"/>
      <c r="AD69" s="147" t="n"/>
      <c r="AE69" s="147" t="n"/>
      <c r="AF69" s="147" t="n"/>
      <c r="AG69" s="147" t="n"/>
      <c r="AH69" s="147" t="n"/>
      <c r="AI69" s="147" t="n"/>
      <c r="AJ69" s="147" t="n"/>
      <c r="AK69" s="147" t="n"/>
      <c r="AL69" s="147" t="n"/>
      <c r="AM69" s="147" t="n"/>
      <c r="AN69" s="147" t="n"/>
      <c r="AO69" s="147" t="n"/>
      <c r="AP69" s="147" t="n"/>
      <c r="AQ69" s="147" t="n"/>
      <c r="AR69" s="147" t="n"/>
      <c r="AS69" s="147" t="n"/>
      <c r="AT69" s="147" t="n"/>
      <c r="AU69" s="147" t="n"/>
      <c r="AV69" s="147" t="n"/>
      <c r="AW69" s="147" t="n"/>
      <c r="AX69" s="147" t="n"/>
      <c r="AY69" s="147" t="n"/>
      <c r="AZ69" s="147" t="n"/>
      <c r="BA69" s="147" t="n"/>
      <c r="BB69" s="147" t="n"/>
      <c r="BC69" s="147" t="n"/>
      <c r="BD69" s="147" t="n"/>
      <c r="BE69" s="147" t="n"/>
      <c r="BF69" s="147" t="n"/>
      <c r="BG69" s="147" t="n"/>
      <c r="BH69" s="147" t="n"/>
    </row>
    <row r="70" ht="30" customHeight="1" s="251">
      <c r="A70" s="152" t="n"/>
      <c r="B70" s="147" t="n"/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147" t="n"/>
      <c r="L70" s="147" t="n"/>
      <c r="M70" s="147" t="n"/>
      <c r="N70" s="147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  <c r="Z70" s="147" t="n"/>
      <c r="AA70" s="147" t="n"/>
      <c r="AB70" s="147" t="n"/>
      <c r="AC70" s="147" t="n"/>
      <c r="AD70" s="147" t="n"/>
      <c r="AE70" s="147" t="n"/>
      <c r="AF70" s="147" t="n"/>
      <c r="AG70" s="147" t="n"/>
      <c r="AH70" s="147" t="n"/>
      <c r="AI70" s="147" t="n"/>
      <c r="AJ70" s="147" t="n"/>
      <c r="AK70" s="147" t="n"/>
      <c r="AL70" s="147" t="n"/>
      <c r="AM70" s="147" t="n"/>
      <c r="AN70" s="147" t="n"/>
      <c r="AO70" s="147" t="n"/>
      <c r="AP70" s="147" t="n"/>
      <c r="AQ70" s="147" t="n"/>
      <c r="AR70" s="147" t="n"/>
      <c r="AS70" s="147" t="n"/>
      <c r="AT70" s="147" t="n"/>
      <c r="AU70" s="147" t="n"/>
      <c r="AV70" s="147" t="n"/>
      <c r="AW70" s="147" t="n"/>
      <c r="AX70" s="147" t="n"/>
      <c r="AY70" s="147" t="n"/>
      <c r="AZ70" s="147" t="n"/>
      <c r="BA70" s="147" t="n"/>
      <c r="BB70" s="147" t="n"/>
      <c r="BC70" s="147" t="n"/>
      <c r="BD70" s="147" t="n"/>
      <c r="BE70" s="147" t="n"/>
      <c r="BF70" s="147" t="n"/>
      <c r="BG70" s="147" t="n"/>
      <c r="BH70" s="147" t="n"/>
    </row>
    <row r="71" ht="30" customHeight="1" s="251">
      <c r="A71" s="152" t="n"/>
      <c r="B71" s="147" t="n"/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147" t="n"/>
      <c r="L71" s="147" t="n"/>
      <c r="M71" s="147" t="n"/>
      <c r="N71" s="147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  <c r="Z71" s="147" t="n"/>
      <c r="AA71" s="147" t="n"/>
      <c r="AB71" s="147" t="n"/>
      <c r="AC71" s="147" t="n"/>
      <c r="AD71" s="147" t="n"/>
      <c r="AE71" s="147" t="n"/>
      <c r="AF71" s="147" t="n"/>
      <c r="AG71" s="147" t="n"/>
      <c r="AH71" s="147" t="n"/>
      <c r="AI71" s="147" t="n"/>
      <c r="AJ71" s="147" t="n"/>
      <c r="AK71" s="147" t="n"/>
      <c r="AL71" s="147" t="n"/>
      <c r="AM71" s="147" t="n"/>
      <c r="AN71" s="147" t="n"/>
      <c r="AO71" s="147" t="n"/>
      <c r="AP71" s="147" t="n"/>
      <c r="AQ71" s="147" t="n"/>
      <c r="AR71" s="147" t="n"/>
      <c r="AS71" s="147" t="n"/>
      <c r="AT71" s="147" t="n"/>
      <c r="AU71" s="147" t="n"/>
      <c r="AV71" s="147" t="n"/>
      <c r="AW71" s="147" t="n"/>
      <c r="AX71" s="147" t="n"/>
      <c r="AY71" s="147" t="n"/>
      <c r="AZ71" s="147" t="n"/>
      <c r="BA71" s="147" t="n"/>
      <c r="BB71" s="147" t="n"/>
      <c r="BC71" s="147" t="n"/>
      <c r="BD71" s="147" t="n"/>
      <c r="BE71" s="147" t="n"/>
      <c r="BF71" s="147" t="n"/>
      <c r="BG71" s="147" t="n"/>
      <c r="BH71" s="147" t="n"/>
    </row>
    <row r="72" ht="30" customHeight="1" s="251">
      <c r="A72" s="152" t="n"/>
      <c r="B72" s="147" t="n"/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147" t="n"/>
      <c r="L72" s="147" t="n"/>
      <c r="M72" s="147" t="n"/>
      <c r="N72" s="147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  <c r="Z72" s="147" t="n"/>
      <c r="AA72" s="147" t="n"/>
      <c r="AB72" s="147" t="n"/>
      <c r="AC72" s="147" t="n"/>
      <c r="AD72" s="147" t="n"/>
      <c r="AE72" s="147" t="n"/>
      <c r="AF72" s="147" t="n"/>
      <c r="AG72" s="147" t="n"/>
      <c r="AH72" s="147" t="n"/>
      <c r="AI72" s="147" t="n"/>
      <c r="AJ72" s="147" t="n"/>
      <c r="AK72" s="147" t="n"/>
      <c r="AL72" s="147" t="n"/>
      <c r="AM72" s="147" t="n"/>
      <c r="AN72" s="147" t="n"/>
      <c r="AO72" s="147" t="n"/>
      <c r="AP72" s="147" t="n"/>
      <c r="AQ72" s="147" t="n"/>
      <c r="AR72" s="147" t="n"/>
      <c r="AS72" s="147" t="n"/>
      <c r="AT72" s="147" t="n"/>
      <c r="AU72" s="147" t="n"/>
      <c r="AV72" s="147" t="n"/>
      <c r="AW72" s="147" t="n"/>
      <c r="AX72" s="147" t="n"/>
      <c r="AY72" s="147" t="n"/>
      <c r="AZ72" s="147" t="n"/>
      <c r="BA72" s="147" t="n"/>
      <c r="BB72" s="147" t="n"/>
      <c r="BC72" s="147" t="n"/>
      <c r="BD72" s="147" t="n"/>
      <c r="BE72" s="147" t="n"/>
      <c r="BF72" s="147" t="n"/>
      <c r="BG72" s="147" t="n"/>
      <c r="BH72" s="147" t="n"/>
    </row>
    <row r="73" ht="30" customHeight="1" s="251">
      <c r="A73" s="152" t="n"/>
      <c r="B73" s="147" t="n"/>
      <c r="C73" s="147" t="n"/>
      <c r="D73" s="147" t="n"/>
      <c r="E73" s="147" t="n"/>
      <c r="F73" s="147" t="n"/>
      <c r="G73" s="147" t="n"/>
      <c r="H73" s="147" t="n"/>
      <c r="I73" s="147" t="n"/>
      <c r="J73" s="147" t="n"/>
      <c r="K73" s="147" t="n"/>
      <c r="L73" s="147" t="n"/>
      <c r="M73" s="147" t="n"/>
      <c r="N73" s="147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  <c r="Z73" s="147" t="n"/>
      <c r="AA73" s="147" t="n"/>
      <c r="AB73" s="147" t="n"/>
      <c r="AC73" s="147" t="n"/>
      <c r="AD73" s="147" t="n"/>
      <c r="AE73" s="147" t="n"/>
      <c r="AF73" s="147" t="n"/>
      <c r="AG73" s="147" t="n"/>
      <c r="AH73" s="147" t="n"/>
      <c r="AI73" s="147" t="n"/>
      <c r="AJ73" s="147" t="n"/>
      <c r="AK73" s="147" t="n"/>
      <c r="AL73" s="147" t="n"/>
      <c r="AM73" s="147" t="n"/>
      <c r="AN73" s="147" t="n"/>
      <c r="AO73" s="147" t="n"/>
      <c r="AP73" s="147" t="n"/>
      <c r="AQ73" s="147" t="n"/>
      <c r="AR73" s="147" t="n"/>
      <c r="AS73" s="147" t="n"/>
      <c r="AT73" s="147" t="n"/>
      <c r="AU73" s="147" t="n"/>
      <c r="AV73" s="147" t="n"/>
      <c r="AW73" s="147" t="n"/>
      <c r="AX73" s="147" t="n"/>
      <c r="AY73" s="147" t="n"/>
      <c r="AZ73" s="147" t="n"/>
      <c r="BA73" s="147" t="n"/>
      <c r="BB73" s="147" t="n"/>
      <c r="BC73" s="147" t="n"/>
      <c r="BD73" s="147" t="n"/>
      <c r="BE73" s="147" t="n"/>
      <c r="BF73" s="147" t="n"/>
      <c r="BG73" s="147" t="n"/>
      <c r="BH73" s="147" t="n"/>
    </row>
    <row r="74" ht="30" customHeight="1" s="251">
      <c r="A74" s="152" t="n"/>
      <c r="B74" s="147" t="n"/>
      <c r="C74" s="147" t="n"/>
      <c r="D74" s="147" t="n"/>
      <c r="E74" s="147" t="n"/>
      <c r="F74" s="147" t="n"/>
      <c r="G74" s="147" t="n"/>
      <c r="H74" s="147" t="n"/>
      <c r="I74" s="147" t="n"/>
      <c r="J74" s="147" t="n"/>
      <c r="K74" s="147" t="n"/>
      <c r="L74" s="147" t="n"/>
      <c r="M74" s="147" t="n"/>
      <c r="N74" s="147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  <c r="AA74" s="147" t="n"/>
      <c r="AB74" s="147" t="n"/>
      <c r="AC74" s="147" t="n"/>
      <c r="AD74" s="147" t="n"/>
      <c r="AE74" s="147" t="n"/>
      <c r="AF74" s="147" t="n"/>
      <c r="AG74" s="147" t="n"/>
      <c r="AH74" s="147" t="n"/>
      <c r="AI74" s="147" t="n"/>
      <c r="AJ74" s="147" t="n"/>
      <c r="AK74" s="147" t="n"/>
      <c r="AL74" s="147" t="n"/>
      <c r="AM74" s="147" t="n"/>
      <c r="AN74" s="147" t="n"/>
      <c r="AO74" s="147" t="n"/>
      <c r="AP74" s="147" t="n"/>
      <c r="AQ74" s="147" t="n"/>
      <c r="AR74" s="147" t="n"/>
      <c r="AS74" s="147" t="n"/>
      <c r="AT74" s="147" t="n"/>
      <c r="AU74" s="147" t="n"/>
      <c r="AV74" s="147" t="n"/>
      <c r="AW74" s="147" t="n"/>
      <c r="AX74" s="147" t="n"/>
      <c r="AY74" s="147" t="n"/>
      <c r="AZ74" s="147" t="n"/>
      <c r="BA74" s="147" t="n"/>
      <c r="BB74" s="147" t="n"/>
      <c r="BC74" s="147" t="n"/>
      <c r="BD74" s="147" t="n"/>
      <c r="BE74" s="147" t="n"/>
      <c r="BF74" s="147" t="n"/>
      <c r="BG74" s="147" t="n"/>
      <c r="BH74" s="147" t="n"/>
    </row>
    <row r="75" ht="30" customHeight="1" s="251">
      <c r="A75" s="152" t="n"/>
      <c r="B75" s="147" t="n"/>
      <c r="C75" s="147" t="n"/>
      <c r="D75" s="147" t="n"/>
      <c r="E75" s="147" t="n"/>
      <c r="F75" s="147" t="n"/>
      <c r="G75" s="147" t="n"/>
      <c r="H75" s="147" t="n"/>
      <c r="I75" s="147" t="n"/>
      <c r="J75" s="147" t="n"/>
      <c r="K75" s="147" t="n"/>
      <c r="L75" s="147" t="n"/>
      <c r="M75" s="147" t="n"/>
      <c r="N75" s="147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  <c r="Z75" s="147" t="n"/>
      <c r="AA75" s="147" t="n"/>
      <c r="AB75" s="147" t="n"/>
      <c r="AC75" s="147" t="n"/>
      <c r="AD75" s="147" t="n"/>
      <c r="AE75" s="147" t="n"/>
      <c r="AF75" s="147" t="n"/>
      <c r="AG75" s="147" t="n"/>
      <c r="AH75" s="147" t="n"/>
      <c r="AI75" s="147" t="n"/>
      <c r="AJ75" s="147" t="n"/>
      <c r="AK75" s="147" t="n"/>
      <c r="AL75" s="147" t="n"/>
      <c r="AM75" s="147" t="n"/>
      <c r="AN75" s="147" t="n"/>
      <c r="AO75" s="147" t="n"/>
      <c r="AP75" s="147" t="n"/>
      <c r="AQ75" s="147" t="n"/>
      <c r="AR75" s="147" t="n"/>
      <c r="AS75" s="147" t="n"/>
      <c r="AT75" s="147" t="n"/>
      <c r="AU75" s="147" t="n"/>
      <c r="AV75" s="147" t="n"/>
      <c r="AW75" s="147" t="n"/>
      <c r="AX75" s="147" t="n"/>
      <c r="AY75" s="147" t="n"/>
      <c r="AZ75" s="147" t="n"/>
      <c r="BA75" s="147" t="n"/>
      <c r="BB75" s="147" t="n"/>
      <c r="BC75" s="147" t="n"/>
      <c r="BD75" s="147" t="n"/>
      <c r="BE75" s="147" t="n"/>
      <c r="BF75" s="147" t="n"/>
      <c r="BG75" s="147" t="n"/>
      <c r="BH75" s="147" t="n"/>
    </row>
    <row r="76" ht="30" customHeight="1" s="251">
      <c r="A76" s="152" t="n"/>
      <c r="B76" s="147" t="n"/>
      <c r="C76" s="147" t="n"/>
      <c r="D76" s="147" t="n"/>
      <c r="E76" s="147" t="n"/>
      <c r="F76" s="147" t="n"/>
      <c r="G76" s="147" t="n"/>
      <c r="H76" s="147" t="n"/>
      <c r="I76" s="147" t="n"/>
      <c r="J76" s="147" t="n"/>
      <c r="K76" s="147" t="n"/>
      <c r="L76" s="147" t="n"/>
      <c r="M76" s="147" t="n"/>
      <c r="N76" s="147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  <c r="Z76" s="147" t="n"/>
      <c r="AA76" s="147" t="n"/>
      <c r="AB76" s="147" t="n"/>
      <c r="AC76" s="147" t="n"/>
      <c r="AD76" s="147" t="n"/>
      <c r="AE76" s="147" t="n"/>
      <c r="AF76" s="147" t="n"/>
      <c r="AG76" s="147" t="n"/>
      <c r="AH76" s="147" t="n"/>
      <c r="AI76" s="147" t="n"/>
      <c r="AJ76" s="147" t="n"/>
      <c r="AK76" s="147" t="n"/>
      <c r="AL76" s="147" t="n"/>
      <c r="AM76" s="147" t="n"/>
      <c r="AN76" s="147" t="n"/>
      <c r="AO76" s="147" t="n"/>
      <c r="AP76" s="147" t="n"/>
      <c r="AQ76" s="147" t="n"/>
      <c r="AR76" s="147" t="n"/>
      <c r="AS76" s="147" t="n"/>
      <c r="AT76" s="147" t="n"/>
      <c r="AU76" s="147" t="n"/>
      <c r="AV76" s="147" t="n"/>
      <c r="AW76" s="147" t="n"/>
      <c r="AX76" s="147" t="n"/>
      <c r="AY76" s="147" t="n"/>
      <c r="AZ76" s="147" t="n"/>
      <c r="BA76" s="147" t="n"/>
      <c r="BB76" s="147" t="n"/>
      <c r="BC76" s="147" t="n"/>
      <c r="BD76" s="147" t="n"/>
      <c r="BE76" s="147" t="n"/>
      <c r="BF76" s="147" t="n"/>
      <c r="BG76" s="147" t="n"/>
      <c r="BH76" s="147" t="n"/>
    </row>
    <row r="77" ht="30" customHeight="1" s="251">
      <c r="A77" s="152" t="n"/>
      <c r="B77" s="147" t="n"/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147" t="n"/>
      <c r="L77" s="147" t="n"/>
      <c r="M77" s="147" t="n"/>
      <c r="N77" s="147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  <c r="Z77" s="147" t="n"/>
      <c r="AA77" s="147" t="n"/>
      <c r="AB77" s="147" t="n"/>
      <c r="AC77" s="147" t="n"/>
      <c r="AD77" s="147" t="n"/>
      <c r="AE77" s="147" t="n"/>
      <c r="AF77" s="147" t="n"/>
      <c r="AG77" s="147" t="n"/>
      <c r="AH77" s="147" t="n"/>
      <c r="AI77" s="147" t="n"/>
      <c r="AJ77" s="147" t="n"/>
      <c r="AK77" s="147" t="n"/>
      <c r="AL77" s="147" t="n"/>
      <c r="AM77" s="147" t="n"/>
      <c r="AN77" s="147" t="n"/>
      <c r="AO77" s="147" t="n"/>
      <c r="AP77" s="147" t="n"/>
      <c r="AQ77" s="147" t="n"/>
      <c r="AR77" s="147" t="n"/>
      <c r="AS77" s="147" t="n"/>
      <c r="AT77" s="147" t="n"/>
      <c r="AU77" s="147" t="n"/>
      <c r="AV77" s="147" t="n"/>
      <c r="AW77" s="147" t="n"/>
      <c r="AX77" s="147" t="n"/>
      <c r="AY77" s="147" t="n"/>
      <c r="AZ77" s="147" t="n"/>
      <c r="BA77" s="147" t="n"/>
      <c r="BB77" s="147" t="n"/>
      <c r="BC77" s="147" t="n"/>
      <c r="BD77" s="147" t="n"/>
      <c r="BE77" s="147" t="n"/>
      <c r="BF77" s="147" t="n"/>
      <c r="BG77" s="147" t="n"/>
      <c r="BH77" s="147" t="n"/>
    </row>
    <row r="78" ht="30" customHeight="1" s="251">
      <c r="A78" s="152" t="n"/>
      <c r="B78" s="147" t="n"/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147" t="n"/>
      <c r="L78" s="147" t="n"/>
      <c r="M78" s="147" t="n"/>
      <c r="N78" s="147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  <c r="Z78" s="147" t="n"/>
      <c r="AA78" s="147" t="n"/>
      <c r="AB78" s="147" t="n"/>
      <c r="AC78" s="147" t="n"/>
      <c r="AD78" s="147" t="n"/>
      <c r="AE78" s="147" t="n"/>
      <c r="AF78" s="147" t="n"/>
      <c r="AG78" s="147" t="n"/>
      <c r="AH78" s="147" t="n"/>
      <c r="AI78" s="147" t="n"/>
      <c r="AJ78" s="147" t="n"/>
      <c r="AK78" s="147" t="n"/>
      <c r="AL78" s="147" t="n"/>
      <c r="AM78" s="147" t="n"/>
      <c r="AN78" s="147" t="n"/>
      <c r="AO78" s="147" t="n"/>
      <c r="AP78" s="147" t="n"/>
      <c r="AQ78" s="147" t="n"/>
      <c r="AR78" s="147" t="n"/>
      <c r="AS78" s="147" t="n"/>
      <c r="AT78" s="147" t="n"/>
      <c r="AU78" s="147" t="n"/>
      <c r="AV78" s="147" t="n"/>
      <c r="AW78" s="147" t="n"/>
      <c r="AX78" s="147" t="n"/>
      <c r="AY78" s="147" t="n"/>
      <c r="AZ78" s="147" t="n"/>
      <c r="BA78" s="147" t="n"/>
      <c r="BB78" s="147" t="n"/>
      <c r="BC78" s="147" t="n"/>
      <c r="BD78" s="147" t="n"/>
      <c r="BE78" s="147" t="n"/>
      <c r="BF78" s="147" t="n"/>
      <c r="BG78" s="147" t="n"/>
      <c r="BH78" s="147" t="n"/>
    </row>
    <row r="79" ht="30" customHeight="1" s="251">
      <c r="A79" s="152" t="n"/>
      <c r="B79" s="147" t="n"/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147" t="n"/>
      <c r="L79" s="147" t="n"/>
      <c r="M79" s="147" t="n"/>
      <c r="N79" s="147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7" t="n"/>
      <c r="AL79" s="147" t="n"/>
      <c r="AM79" s="147" t="n"/>
      <c r="AN79" s="147" t="n"/>
      <c r="AO79" s="147" t="n"/>
      <c r="AP79" s="147" t="n"/>
      <c r="AQ79" s="147" t="n"/>
      <c r="AR79" s="147" t="n"/>
      <c r="AS79" s="147" t="n"/>
      <c r="AT79" s="147" t="n"/>
      <c r="AU79" s="147" t="n"/>
      <c r="AV79" s="147" t="n"/>
      <c r="AW79" s="147" t="n"/>
      <c r="AX79" s="147" t="n"/>
      <c r="AY79" s="147" t="n"/>
      <c r="AZ79" s="147" t="n"/>
      <c r="BA79" s="147" t="n"/>
      <c r="BB79" s="147" t="n"/>
      <c r="BC79" s="147" t="n"/>
      <c r="BD79" s="147" t="n"/>
      <c r="BE79" s="147" t="n"/>
      <c r="BF79" s="147" t="n"/>
      <c r="BG79" s="147" t="n"/>
      <c r="BH79" s="147" t="n"/>
    </row>
    <row r="80" ht="30" customHeight="1" s="251">
      <c r="A80" s="152" t="n"/>
      <c r="B80" s="147" t="n"/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147" t="n"/>
      <c r="L80" s="147" t="n"/>
      <c r="M80" s="147" t="n"/>
      <c r="N80" s="147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  <c r="Z80" s="147" t="n"/>
      <c r="AA80" s="147" t="n"/>
      <c r="AB80" s="147" t="n"/>
      <c r="AC80" s="147" t="n"/>
      <c r="AD80" s="147" t="n"/>
      <c r="AE80" s="147" t="n"/>
      <c r="AF80" s="147" t="n"/>
      <c r="AG80" s="147" t="n"/>
      <c r="AH80" s="147" t="n"/>
      <c r="AI80" s="147" t="n"/>
      <c r="AJ80" s="147" t="n"/>
      <c r="AK80" s="147" t="n"/>
      <c r="AL80" s="147" t="n"/>
      <c r="AM80" s="147" t="n"/>
      <c r="AN80" s="147" t="n"/>
      <c r="AO80" s="147" t="n"/>
      <c r="AP80" s="147" t="n"/>
      <c r="AQ80" s="147" t="n"/>
      <c r="AR80" s="147" t="n"/>
      <c r="AS80" s="147" t="n"/>
      <c r="AT80" s="147" t="n"/>
      <c r="AU80" s="147" t="n"/>
      <c r="AV80" s="147" t="n"/>
      <c r="AW80" s="147" t="n"/>
      <c r="AX80" s="147" t="n"/>
      <c r="AY80" s="147" t="n"/>
      <c r="AZ80" s="147" t="n"/>
      <c r="BA80" s="147" t="n"/>
      <c r="BB80" s="147" t="n"/>
      <c r="BC80" s="147" t="n"/>
      <c r="BD80" s="147" t="n"/>
      <c r="BE80" s="147" t="n"/>
      <c r="BF80" s="147" t="n"/>
      <c r="BG80" s="147" t="n"/>
      <c r="BH80" s="147" t="n"/>
    </row>
    <row r="81" ht="30" customHeight="1" s="251">
      <c r="A81" s="152" t="n"/>
      <c r="B81" s="147" t="n"/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147" t="n"/>
      <c r="L81" s="147" t="n"/>
      <c r="M81" s="147" t="n"/>
      <c r="N81" s="147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  <c r="Z81" s="147" t="n"/>
      <c r="AA81" s="147" t="n"/>
      <c r="AB81" s="147" t="n"/>
      <c r="AC81" s="147" t="n"/>
      <c r="AD81" s="147" t="n"/>
      <c r="AE81" s="147" t="n"/>
      <c r="AF81" s="147" t="n"/>
      <c r="AG81" s="147" t="n"/>
      <c r="AH81" s="147" t="n"/>
      <c r="AI81" s="147" t="n"/>
      <c r="AJ81" s="147" t="n"/>
      <c r="AK81" s="147" t="n"/>
      <c r="AL81" s="147" t="n"/>
      <c r="AM81" s="147" t="n"/>
      <c r="AN81" s="147" t="n"/>
      <c r="AO81" s="147" t="n"/>
      <c r="AP81" s="147" t="n"/>
      <c r="AQ81" s="147" t="n"/>
      <c r="AR81" s="147" t="n"/>
      <c r="AS81" s="147" t="n"/>
      <c r="AT81" s="147" t="n"/>
      <c r="AU81" s="147" t="n"/>
      <c r="AV81" s="147" t="n"/>
      <c r="AW81" s="147" t="n"/>
      <c r="AX81" s="147" t="n"/>
      <c r="AY81" s="147" t="n"/>
      <c r="AZ81" s="147" t="n"/>
      <c r="BA81" s="147" t="n"/>
      <c r="BB81" s="147" t="n"/>
      <c r="BC81" s="147" t="n"/>
      <c r="BD81" s="147" t="n"/>
      <c r="BE81" s="147" t="n"/>
      <c r="BF81" s="147" t="n"/>
      <c r="BG81" s="147" t="n"/>
      <c r="BH81" s="147" t="n"/>
    </row>
    <row r="82" ht="30" customHeight="1" s="251">
      <c r="A82" s="152" t="n"/>
      <c r="B82" s="147" t="n"/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147" t="n"/>
      <c r="L82" s="147" t="n"/>
      <c r="M82" s="147" t="n"/>
      <c r="N82" s="147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  <c r="Z82" s="147" t="n"/>
      <c r="AA82" s="147" t="n"/>
      <c r="AB82" s="147" t="n"/>
      <c r="AC82" s="147" t="n"/>
      <c r="AD82" s="147" t="n"/>
      <c r="AE82" s="147" t="n"/>
      <c r="AF82" s="147" t="n"/>
      <c r="AG82" s="147" t="n"/>
      <c r="AH82" s="147" t="n"/>
      <c r="AI82" s="147" t="n"/>
      <c r="AJ82" s="147" t="n"/>
      <c r="AK82" s="147" t="n"/>
      <c r="AL82" s="147" t="n"/>
      <c r="AM82" s="147" t="n"/>
      <c r="AN82" s="147" t="n"/>
      <c r="AO82" s="147" t="n"/>
      <c r="AP82" s="147" t="n"/>
      <c r="AQ82" s="147" t="n"/>
      <c r="AR82" s="147" t="n"/>
      <c r="AS82" s="147" t="n"/>
      <c r="AT82" s="147" t="n"/>
      <c r="AU82" s="147" t="n"/>
      <c r="AV82" s="147" t="n"/>
      <c r="AW82" s="147" t="n"/>
      <c r="AX82" s="147" t="n"/>
      <c r="AY82" s="147" t="n"/>
      <c r="AZ82" s="147" t="n"/>
      <c r="BA82" s="147" t="n"/>
      <c r="BB82" s="147" t="n"/>
      <c r="BC82" s="147" t="n"/>
      <c r="BD82" s="147" t="n"/>
      <c r="BE82" s="147" t="n"/>
      <c r="BF82" s="147" t="n"/>
      <c r="BG82" s="147" t="n"/>
      <c r="BH82" s="147" t="n"/>
    </row>
    <row r="83" ht="30" customHeight="1" s="251">
      <c r="A83" s="152" t="n"/>
      <c r="B83" s="147" t="n"/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147" t="n"/>
      <c r="L83" s="147" t="n"/>
      <c r="M83" s="147" t="n"/>
      <c r="N83" s="147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  <c r="Z83" s="147" t="n"/>
      <c r="AA83" s="147" t="n"/>
      <c r="AB83" s="147" t="n"/>
      <c r="AC83" s="147" t="n"/>
      <c r="AD83" s="147" t="n"/>
      <c r="AE83" s="147" t="n"/>
      <c r="AF83" s="147" t="n"/>
      <c r="AG83" s="147" t="n"/>
      <c r="AH83" s="147" t="n"/>
      <c r="AI83" s="147" t="n"/>
      <c r="AJ83" s="147" t="n"/>
      <c r="AK83" s="147" t="n"/>
      <c r="AL83" s="147" t="n"/>
      <c r="AM83" s="147" t="n"/>
      <c r="AN83" s="147" t="n"/>
      <c r="AO83" s="147" t="n"/>
      <c r="AP83" s="147" t="n"/>
      <c r="AQ83" s="147" t="n"/>
      <c r="AR83" s="147" t="n"/>
      <c r="AS83" s="147" t="n"/>
      <c r="AT83" s="147" t="n"/>
      <c r="AU83" s="147" t="n"/>
      <c r="AV83" s="147" t="n"/>
      <c r="AW83" s="147" t="n"/>
      <c r="AX83" s="147" t="n"/>
      <c r="AY83" s="147" t="n"/>
      <c r="AZ83" s="147" t="n"/>
      <c r="BA83" s="147" t="n"/>
      <c r="BB83" s="147" t="n"/>
      <c r="BC83" s="147" t="n"/>
      <c r="BD83" s="147" t="n"/>
      <c r="BE83" s="147" t="n"/>
      <c r="BF83" s="147" t="n"/>
      <c r="BG83" s="147" t="n"/>
      <c r="BH83" s="147" t="n"/>
    </row>
    <row r="84" ht="30" customHeight="1" s="251">
      <c r="A84" s="152" t="n"/>
      <c r="B84" s="147" t="n"/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147" t="n"/>
      <c r="L84" s="147" t="n"/>
      <c r="M84" s="147" t="n"/>
      <c r="N84" s="147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  <c r="Z84" s="147" t="n"/>
      <c r="AA84" s="147" t="n"/>
      <c r="AB84" s="147" t="n"/>
      <c r="AC84" s="147" t="n"/>
      <c r="AD84" s="147" t="n"/>
      <c r="AE84" s="147" t="n"/>
      <c r="AF84" s="147" t="n"/>
      <c r="AG84" s="147" t="n"/>
      <c r="AH84" s="147" t="n"/>
      <c r="AI84" s="147" t="n"/>
      <c r="AJ84" s="147" t="n"/>
      <c r="AK84" s="147" t="n"/>
      <c r="AL84" s="147" t="n"/>
      <c r="AM84" s="147" t="n"/>
      <c r="AN84" s="147" t="n"/>
      <c r="AO84" s="147" t="n"/>
      <c r="AP84" s="147" t="n"/>
      <c r="AQ84" s="147" t="n"/>
      <c r="AR84" s="147" t="n"/>
      <c r="AS84" s="147" t="n"/>
      <c r="AT84" s="147" t="n"/>
      <c r="AU84" s="147" t="n"/>
      <c r="AV84" s="147" t="n"/>
      <c r="AW84" s="147" t="n"/>
      <c r="AX84" s="147" t="n"/>
      <c r="AY84" s="147" t="n"/>
      <c r="AZ84" s="147" t="n"/>
      <c r="BA84" s="147" t="n"/>
      <c r="BB84" s="147" t="n"/>
      <c r="BC84" s="147" t="n"/>
      <c r="BD84" s="147" t="n"/>
      <c r="BE84" s="147" t="n"/>
      <c r="BF84" s="147" t="n"/>
      <c r="BG84" s="147" t="n"/>
      <c r="BH84" s="147" t="n"/>
    </row>
    <row r="85" ht="30" customHeight="1" s="251">
      <c r="A85" s="152" t="n"/>
      <c r="B85" s="147" t="n"/>
      <c r="C85" s="147" t="n"/>
      <c r="D85" s="147" t="n"/>
      <c r="E85" s="147" t="n"/>
      <c r="F85" s="147" t="n"/>
      <c r="G85" s="147" t="n"/>
      <c r="H85" s="147" t="n"/>
      <c r="I85" s="147" t="n"/>
      <c r="J85" s="147" t="n"/>
      <c r="K85" s="147" t="n"/>
      <c r="L85" s="147" t="n"/>
      <c r="M85" s="147" t="n"/>
      <c r="N85" s="147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  <c r="Z85" s="147" t="n"/>
      <c r="AA85" s="147" t="n"/>
      <c r="AB85" s="147" t="n"/>
      <c r="AC85" s="147" t="n"/>
      <c r="AD85" s="147" t="n"/>
      <c r="AE85" s="147" t="n"/>
      <c r="AF85" s="147" t="n"/>
      <c r="AG85" s="147" t="n"/>
      <c r="AH85" s="147" t="n"/>
      <c r="AI85" s="147" t="n"/>
      <c r="AJ85" s="147" t="n"/>
      <c r="AK85" s="147" t="n"/>
      <c r="AL85" s="147" t="n"/>
      <c r="AM85" s="147" t="n"/>
      <c r="AN85" s="147" t="n"/>
      <c r="AO85" s="147" t="n"/>
      <c r="AP85" s="147" t="n"/>
      <c r="AQ85" s="147" t="n"/>
      <c r="AR85" s="147" t="n"/>
      <c r="AS85" s="147" t="n"/>
      <c r="AT85" s="147" t="n"/>
      <c r="AU85" s="147" t="n"/>
      <c r="AV85" s="147" t="n"/>
      <c r="AW85" s="147" t="n"/>
      <c r="AX85" s="147" t="n"/>
      <c r="AY85" s="147" t="n"/>
      <c r="AZ85" s="147" t="n"/>
      <c r="BA85" s="147" t="n"/>
      <c r="BB85" s="147" t="n"/>
      <c r="BC85" s="147" t="n"/>
      <c r="BD85" s="147" t="n"/>
      <c r="BE85" s="147" t="n"/>
      <c r="BF85" s="147" t="n"/>
      <c r="BG85" s="147" t="n"/>
      <c r="BH85" s="147" t="n"/>
    </row>
    <row r="86" ht="30" customHeight="1" s="251">
      <c r="A86" s="152" t="n"/>
      <c r="B86" s="147" t="n"/>
      <c r="C86" s="147" t="n"/>
      <c r="D86" s="147" t="n"/>
      <c r="E86" s="147" t="n"/>
      <c r="F86" s="147" t="n"/>
      <c r="G86" s="147" t="n"/>
      <c r="H86" s="147" t="n"/>
      <c r="I86" s="147" t="n"/>
      <c r="J86" s="147" t="n"/>
      <c r="K86" s="147" t="n"/>
      <c r="L86" s="147" t="n"/>
      <c r="M86" s="147" t="n"/>
      <c r="N86" s="147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  <c r="Z86" s="147" t="n"/>
      <c r="AA86" s="147" t="n"/>
      <c r="AB86" s="147" t="n"/>
      <c r="AC86" s="147" t="n"/>
      <c r="AD86" s="147" t="n"/>
      <c r="AE86" s="147" t="n"/>
      <c r="AF86" s="147" t="n"/>
      <c r="AG86" s="147" t="n"/>
      <c r="AH86" s="147" t="n"/>
      <c r="AI86" s="147" t="n"/>
      <c r="AJ86" s="147" t="n"/>
      <c r="AK86" s="147" t="n"/>
      <c r="AL86" s="147" t="n"/>
      <c r="AM86" s="147" t="n"/>
      <c r="AN86" s="147" t="n"/>
      <c r="AO86" s="147" t="n"/>
      <c r="AP86" s="147" t="n"/>
      <c r="AQ86" s="147" t="n"/>
      <c r="AR86" s="147" t="n"/>
      <c r="AS86" s="147" t="n"/>
      <c r="AT86" s="147" t="n"/>
      <c r="AU86" s="147" t="n"/>
      <c r="AV86" s="147" t="n"/>
      <c r="AW86" s="147" t="n"/>
      <c r="AX86" s="147" t="n"/>
      <c r="AY86" s="147" t="n"/>
      <c r="AZ86" s="147" t="n"/>
      <c r="BA86" s="147" t="n"/>
      <c r="BB86" s="147" t="n"/>
      <c r="BC86" s="147" t="n"/>
      <c r="BD86" s="147" t="n"/>
      <c r="BE86" s="147" t="n"/>
      <c r="BF86" s="147" t="n"/>
      <c r="BG86" s="147" t="n"/>
      <c r="BH86" s="147" t="n"/>
    </row>
    <row r="87" ht="30" customHeight="1" s="251">
      <c r="A87" s="152" t="n"/>
      <c r="B87" s="147" t="n"/>
      <c r="C87" s="147" t="n"/>
      <c r="D87" s="147" t="n"/>
      <c r="E87" s="147" t="n"/>
      <c r="F87" s="147" t="n"/>
      <c r="G87" s="147" t="n"/>
      <c r="H87" s="147" t="n"/>
      <c r="I87" s="147" t="n"/>
      <c r="J87" s="147" t="n"/>
      <c r="K87" s="147" t="n"/>
      <c r="L87" s="147" t="n"/>
      <c r="M87" s="147" t="n"/>
      <c r="N87" s="147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  <c r="AA87" s="147" t="n"/>
      <c r="AB87" s="147" t="n"/>
      <c r="AC87" s="147" t="n"/>
      <c r="AD87" s="147" t="n"/>
      <c r="AE87" s="147" t="n"/>
      <c r="AF87" s="147" t="n"/>
      <c r="AG87" s="147" t="n"/>
      <c r="AH87" s="147" t="n"/>
      <c r="AI87" s="147" t="n"/>
      <c r="AJ87" s="147" t="n"/>
      <c r="AK87" s="147" t="n"/>
      <c r="AL87" s="147" t="n"/>
      <c r="AM87" s="147" t="n"/>
      <c r="AN87" s="147" t="n"/>
      <c r="AO87" s="147" t="n"/>
      <c r="AP87" s="147" t="n"/>
      <c r="AQ87" s="147" t="n"/>
      <c r="AR87" s="147" t="n"/>
      <c r="AS87" s="147" t="n"/>
      <c r="AT87" s="147" t="n"/>
      <c r="AU87" s="147" t="n"/>
      <c r="AV87" s="147" t="n"/>
      <c r="AW87" s="147" t="n"/>
      <c r="AX87" s="147" t="n"/>
      <c r="AY87" s="147" t="n"/>
      <c r="AZ87" s="147" t="n"/>
      <c r="BA87" s="147" t="n"/>
      <c r="BB87" s="147" t="n"/>
      <c r="BC87" s="147" t="n"/>
      <c r="BD87" s="147" t="n"/>
      <c r="BE87" s="147" t="n"/>
      <c r="BF87" s="147" t="n"/>
      <c r="BG87" s="147" t="n"/>
      <c r="BH87" s="147" t="n"/>
    </row>
    <row r="88" ht="30" customHeight="1" s="251">
      <c r="A88" s="152" t="n"/>
      <c r="B88" s="147" t="n"/>
      <c r="C88" s="147" t="n"/>
      <c r="D88" s="147" t="n"/>
      <c r="E88" s="147" t="n"/>
      <c r="F88" s="147" t="n"/>
      <c r="G88" s="147" t="n"/>
      <c r="H88" s="147" t="n"/>
      <c r="I88" s="147" t="n"/>
      <c r="J88" s="147" t="n"/>
      <c r="K88" s="147" t="n"/>
      <c r="L88" s="147" t="n"/>
      <c r="M88" s="147" t="n"/>
      <c r="N88" s="147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  <c r="Z88" s="147" t="n"/>
      <c r="AA88" s="147" t="n"/>
      <c r="AB88" s="147" t="n"/>
      <c r="AC88" s="147" t="n"/>
      <c r="AD88" s="147" t="n"/>
      <c r="AE88" s="147" t="n"/>
      <c r="AF88" s="147" t="n"/>
      <c r="AG88" s="147" t="n"/>
      <c r="AH88" s="147" t="n"/>
      <c r="AI88" s="147" t="n"/>
      <c r="AJ88" s="147" t="n"/>
      <c r="AK88" s="147" t="n"/>
      <c r="AL88" s="147" t="n"/>
      <c r="AM88" s="147" t="n"/>
      <c r="AN88" s="147" t="n"/>
      <c r="AO88" s="147" t="n"/>
      <c r="AP88" s="147" t="n"/>
      <c r="AQ88" s="147" t="n"/>
      <c r="AR88" s="147" t="n"/>
      <c r="AS88" s="147" t="n"/>
      <c r="AT88" s="147" t="n"/>
      <c r="AU88" s="147" t="n"/>
      <c r="AV88" s="147" t="n"/>
      <c r="AW88" s="147" t="n"/>
      <c r="AX88" s="147" t="n"/>
      <c r="AY88" s="147" t="n"/>
      <c r="AZ88" s="147" t="n"/>
      <c r="BA88" s="147" t="n"/>
      <c r="BB88" s="147" t="n"/>
      <c r="BC88" s="147" t="n"/>
      <c r="BD88" s="147" t="n"/>
      <c r="BE88" s="147" t="n"/>
      <c r="BF88" s="147" t="n"/>
      <c r="BG88" s="147" t="n"/>
      <c r="BH88" s="147" t="n"/>
    </row>
    <row r="89" ht="30" customHeight="1" s="251">
      <c r="A89" s="152" t="n"/>
      <c r="B89" s="147" t="n"/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147" t="n"/>
      <c r="L89" s="147" t="n"/>
      <c r="M89" s="147" t="n"/>
      <c r="N89" s="147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  <c r="AA89" s="147" t="n"/>
      <c r="AB89" s="147" t="n"/>
      <c r="AC89" s="147" t="n"/>
      <c r="AD89" s="147" t="n"/>
      <c r="AE89" s="147" t="n"/>
      <c r="AF89" s="147" t="n"/>
      <c r="AG89" s="147" t="n"/>
      <c r="AH89" s="147" t="n"/>
      <c r="AI89" s="147" t="n"/>
      <c r="AJ89" s="147" t="n"/>
      <c r="AK89" s="147" t="n"/>
      <c r="AL89" s="147" t="n"/>
      <c r="AM89" s="147" t="n"/>
      <c r="AN89" s="147" t="n"/>
      <c r="AO89" s="147" t="n"/>
      <c r="AP89" s="147" t="n"/>
      <c r="AQ89" s="147" t="n"/>
      <c r="AR89" s="147" t="n"/>
      <c r="AS89" s="147" t="n"/>
      <c r="AT89" s="147" t="n"/>
      <c r="AU89" s="147" t="n"/>
      <c r="AV89" s="147" t="n"/>
      <c r="AW89" s="147" t="n"/>
      <c r="AX89" s="147" t="n"/>
      <c r="AY89" s="147" t="n"/>
      <c r="AZ89" s="147" t="n"/>
      <c r="BA89" s="147" t="n"/>
      <c r="BB89" s="147" t="n"/>
      <c r="BC89" s="147" t="n"/>
      <c r="BD89" s="147" t="n"/>
      <c r="BE89" s="147" t="n"/>
      <c r="BF89" s="147" t="n"/>
      <c r="BG89" s="147" t="n"/>
      <c r="BH89" s="147" t="n"/>
    </row>
    <row r="90" ht="30" customHeight="1" s="251">
      <c r="A90" s="152" t="n"/>
      <c r="B90" s="147" t="n"/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147" t="n"/>
      <c r="L90" s="147" t="n"/>
      <c r="M90" s="147" t="n"/>
      <c r="N90" s="147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  <c r="Z90" s="147" t="n"/>
      <c r="AA90" s="147" t="n"/>
      <c r="AB90" s="147" t="n"/>
      <c r="AC90" s="147" t="n"/>
      <c r="AD90" s="147" t="n"/>
      <c r="AE90" s="147" t="n"/>
      <c r="AF90" s="147" t="n"/>
      <c r="AG90" s="147" t="n"/>
      <c r="AH90" s="147" t="n"/>
      <c r="AI90" s="147" t="n"/>
      <c r="AJ90" s="147" t="n"/>
      <c r="AK90" s="147" t="n"/>
      <c r="AL90" s="147" t="n"/>
      <c r="AM90" s="147" t="n"/>
      <c r="AN90" s="147" t="n"/>
      <c r="AO90" s="147" t="n"/>
      <c r="AP90" s="147" t="n"/>
      <c r="AQ90" s="147" t="n"/>
      <c r="AR90" s="147" t="n"/>
      <c r="AS90" s="147" t="n"/>
      <c r="AT90" s="147" t="n"/>
      <c r="AU90" s="147" t="n"/>
      <c r="AV90" s="147" t="n"/>
      <c r="AW90" s="147" t="n"/>
      <c r="AX90" s="147" t="n"/>
      <c r="AY90" s="147" t="n"/>
      <c r="AZ90" s="147" t="n"/>
      <c r="BA90" s="147" t="n"/>
      <c r="BB90" s="147" t="n"/>
      <c r="BC90" s="147" t="n"/>
      <c r="BD90" s="147" t="n"/>
      <c r="BE90" s="147" t="n"/>
      <c r="BF90" s="147" t="n"/>
      <c r="BG90" s="147" t="n"/>
      <c r="BH90" s="147" t="n"/>
    </row>
    <row r="91" ht="30" customHeight="1" s="251">
      <c r="A91" s="152" t="n"/>
      <c r="B91" s="147" t="n"/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147" t="n"/>
      <c r="L91" s="147" t="n"/>
      <c r="M91" s="147" t="n"/>
      <c r="N91" s="147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  <c r="Z91" s="147" t="n"/>
      <c r="AA91" s="147" t="n"/>
      <c r="AB91" s="147" t="n"/>
      <c r="AC91" s="147" t="n"/>
      <c r="AD91" s="147" t="n"/>
      <c r="AE91" s="147" t="n"/>
      <c r="AF91" s="147" t="n"/>
      <c r="AG91" s="147" t="n"/>
      <c r="AH91" s="147" t="n"/>
      <c r="AI91" s="147" t="n"/>
      <c r="AJ91" s="147" t="n"/>
      <c r="AK91" s="147" t="n"/>
      <c r="AL91" s="147" t="n"/>
      <c r="AM91" s="147" t="n"/>
      <c r="AN91" s="147" t="n"/>
      <c r="AO91" s="147" t="n"/>
      <c r="AP91" s="147" t="n"/>
      <c r="AQ91" s="147" t="n"/>
      <c r="AR91" s="147" t="n"/>
      <c r="AS91" s="147" t="n"/>
      <c r="AT91" s="147" t="n"/>
      <c r="AU91" s="147" t="n"/>
      <c r="AV91" s="147" t="n"/>
      <c r="AW91" s="147" t="n"/>
      <c r="AX91" s="147" t="n"/>
      <c r="AY91" s="147" t="n"/>
      <c r="AZ91" s="147" t="n"/>
      <c r="BA91" s="147" t="n"/>
      <c r="BB91" s="147" t="n"/>
      <c r="BC91" s="147" t="n"/>
      <c r="BD91" s="147" t="n"/>
      <c r="BE91" s="147" t="n"/>
      <c r="BF91" s="147" t="n"/>
      <c r="BG91" s="147" t="n"/>
      <c r="BH91" s="147" t="n"/>
    </row>
    <row r="92" ht="30" customHeight="1" s="251">
      <c r="A92" s="152" t="n"/>
      <c r="B92" s="147" t="n"/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147" t="n"/>
      <c r="L92" s="147" t="n"/>
      <c r="M92" s="147" t="n"/>
      <c r="N92" s="147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  <c r="Z92" s="147" t="n"/>
      <c r="AA92" s="147" t="n"/>
      <c r="AB92" s="147" t="n"/>
      <c r="AC92" s="147" t="n"/>
      <c r="AD92" s="147" t="n"/>
      <c r="AE92" s="147" t="n"/>
      <c r="AF92" s="147" t="n"/>
      <c r="AG92" s="147" t="n"/>
      <c r="AH92" s="147" t="n"/>
      <c r="AI92" s="147" t="n"/>
      <c r="AJ92" s="147" t="n"/>
      <c r="AK92" s="147" t="n"/>
      <c r="AL92" s="147" t="n"/>
      <c r="AM92" s="147" t="n"/>
      <c r="AN92" s="147" t="n"/>
      <c r="AO92" s="147" t="n"/>
      <c r="AP92" s="147" t="n"/>
      <c r="AQ92" s="147" t="n"/>
      <c r="AR92" s="147" t="n"/>
      <c r="AS92" s="147" t="n"/>
      <c r="AT92" s="147" t="n"/>
      <c r="AU92" s="147" t="n"/>
      <c r="AV92" s="147" t="n"/>
      <c r="AW92" s="147" t="n"/>
      <c r="AX92" s="147" t="n"/>
      <c r="AY92" s="147" t="n"/>
      <c r="AZ92" s="147" t="n"/>
      <c r="BA92" s="147" t="n"/>
      <c r="BB92" s="147" t="n"/>
      <c r="BC92" s="147" t="n"/>
      <c r="BD92" s="147" t="n"/>
      <c r="BE92" s="147" t="n"/>
      <c r="BF92" s="147" t="n"/>
      <c r="BG92" s="147" t="n"/>
      <c r="BH92" s="147" t="n"/>
    </row>
    <row r="93" ht="30" customHeight="1" s="251">
      <c r="A93" s="152" t="n"/>
      <c r="B93" s="147" t="n"/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147" t="n"/>
      <c r="L93" s="147" t="n"/>
      <c r="M93" s="147" t="n"/>
      <c r="N93" s="147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  <c r="Z93" s="147" t="n"/>
      <c r="AA93" s="147" t="n"/>
      <c r="AB93" s="147" t="n"/>
      <c r="AC93" s="147" t="n"/>
      <c r="AD93" s="147" t="n"/>
      <c r="AE93" s="147" t="n"/>
      <c r="AF93" s="147" t="n"/>
      <c r="AG93" s="147" t="n"/>
      <c r="AH93" s="147" t="n"/>
      <c r="AI93" s="147" t="n"/>
      <c r="AJ93" s="147" t="n"/>
      <c r="AK93" s="147" t="n"/>
      <c r="AL93" s="147" t="n"/>
      <c r="AM93" s="147" t="n"/>
      <c r="AN93" s="147" t="n"/>
      <c r="AO93" s="147" t="n"/>
      <c r="AP93" s="147" t="n"/>
      <c r="AQ93" s="147" t="n"/>
      <c r="AR93" s="147" t="n"/>
      <c r="AS93" s="147" t="n"/>
      <c r="AT93" s="147" t="n"/>
      <c r="AU93" s="147" t="n"/>
      <c r="AV93" s="147" t="n"/>
      <c r="AW93" s="147" t="n"/>
      <c r="AX93" s="147" t="n"/>
      <c r="AY93" s="147" t="n"/>
      <c r="AZ93" s="147" t="n"/>
      <c r="BA93" s="147" t="n"/>
      <c r="BB93" s="147" t="n"/>
      <c r="BC93" s="147" t="n"/>
      <c r="BD93" s="147" t="n"/>
      <c r="BE93" s="147" t="n"/>
      <c r="BF93" s="147" t="n"/>
      <c r="BG93" s="147" t="n"/>
      <c r="BH93" s="147" t="n"/>
    </row>
    <row r="94" ht="30" customHeight="1" s="251">
      <c r="A94" s="152" t="n"/>
      <c r="B94" s="147" t="n"/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147" t="n"/>
      <c r="L94" s="147" t="n"/>
      <c r="M94" s="147" t="n"/>
      <c r="N94" s="147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  <c r="Z94" s="147" t="n"/>
      <c r="AA94" s="147" t="n"/>
      <c r="AB94" s="147" t="n"/>
      <c r="AC94" s="147" t="n"/>
      <c r="AD94" s="147" t="n"/>
      <c r="AE94" s="147" t="n"/>
      <c r="AF94" s="147" t="n"/>
      <c r="AG94" s="147" t="n"/>
      <c r="AH94" s="147" t="n"/>
      <c r="AI94" s="147" t="n"/>
      <c r="AJ94" s="147" t="n"/>
      <c r="AK94" s="147" t="n"/>
      <c r="AL94" s="147" t="n"/>
      <c r="AM94" s="147" t="n"/>
      <c r="AN94" s="147" t="n"/>
      <c r="AO94" s="147" t="n"/>
      <c r="AP94" s="147" t="n"/>
      <c r="AQ94" s="147" t="n"/>
      <c r="AR94" s="147" t="n"/>
      <c r="AS94" s="147" t="n"/>
      <c r="AT94" s="147" t="n"/>
      <c r="AU94" s="147" t="n"/>
      <c r="AV94" s="147" t="n"/>
      <c r="AW94" s="147" t="n"/>
      <c r="AX94" s="147" t="n"/>
      <c r="AY94" s="147" t="n"/>
      <c r="AZ94" s="147" t="n"/>
      <c r="BA94" s="147" t="n"/>
      <c r="BB94" s="147" t="n"/>
      <c r="BC94" s="147" t="n"/>
      <c r="BD94" s="147" t="n"/>
      <c r="BE94" s="147" t="n"/>
      <c r="BF94" s="147" t="n"/>
      <c r="BG94" s="147" t="n"/>
      <c r="BH94" s="147" t="n"/>
    </row>
    <row r="95" ht="30" customHeight="1" s="251">
      <c r="A95" s="152" t="n"/>
      <c r="B95" s="147" t="n"/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147" t="n"/>
      <c r="L95" s="147" t="n"/>
      <c r="M95" s="147" t="n"/>
      <c r="N95" s="147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  <c r="Z95" s="147" t="n"/>
      <c r="AA95" s="147" t="n"/>
      <c r="AB95" s="147" t="n"/>
      <c r="AC95" s="147" t="n"/>
      <c r="AD95" s="147" t="n"/>
      <c r="AE95" s="147" t="n"/>
      <c r="AF95" s="147" t="n"/>
      <c r="AG95" s="147" t="n"/>
      <c r="AH95" s="147" t="n"/>
      <c r="AI95" s="147" t="n"/>
      <c r="AJ95" s="147" t="n"/>
      <c r="AK95" s="147" t="n"/>
      <c r="AL95" s="147" t="n"/>
      <c r="AM95" s="147" t="n"/>
      <c r="AN95" s="147" t="n"/>
      <c r="AO95" s="147" t="n"/>
      <c r="AP95" s="147" t="n"/>
      <c r="AQ95" s="147" t="n"/>
      <c r="AR95" s="147" t="n"/>
      <c r="AS95" s="147" t="n"/>
      <c r="AT95" s="147" t="n"/>
      <c r="AU95" s="147" t="n"/>
      <c r="AV95" s="147" t="n"/>
      <c r="AW95" s="147" t="n"/>
      <c r="AX95" s="147" t="n"/>
      <c r="AY95" s="147" t="n"/>
      <c r="AZ95" s="147" t="n"/>
      <c r="BA95" s="147" t="n"/>
      <c r="BB95" s="147" t="n"/>
      <c r="BC95" s="147" t="n"/>
      <c r="BD95" s="147" t="n"/>
      <c r="BE95" s="147" t="n"/>
      <c r="BF95" s="147" t="n"/>
      <c r="BG95" s="147" t="n"/>
      <c r="BH95" s="147" t="n"/>
    </row>
    <row r="96" ht="30" customHeight="1" s="251">
      <c r="A96" s="152" t="n"/>
      <c r="B96" s="147" t="n"/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147" t="n"/>
      <c r="L96" s="147" t="n"/>
      <c r="M96" s="147" t="n"/>
      <c r="N96" s="147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  <c r="Z96" s="147" t="n"/>
      <c r="AA96" s="147" t="n"/>
      <c r="AB96" s="147" t="n"/>
      <c r="AC96" s="147" t="n"/>
      <c r="AD96" s="147" t="n"/>
      <c r="AE96" s="147" t="n"/>
      <c r="AF96" s="147" t="n"/>
      <c r="AG96" s="147" t="n"/>
      <c r="AH96" s="147" t="n"/>
      <c r="AI96" s="147" t="n"/>
      <c r="AJ96" s="147" t="n"/>
      <c r="AK96" s="147" t="n"/>
      <c r="AL96" s="147" t="n"/>
      <c r="AM96" s="147" t="n"/>
      <c r="AN96" s="147" t="n"/>
      <c r="AO96" s="147" t="n"/>
      <c r="AP96" s="147" t="n"/>
      <c r="AQ96" s="147" t="n"/>
      <c r="AR96" s="147" t="n"/>
      <c r="AS96" s="147" t="n"/>
      <c r="AT96" s="147" t="n"/>
      <c r="AU96" s="147" t="n"/>
      <c r="AV96" s="147" t="n"/>
      <c r="AW96" s="147" t="n"/>
      <c r="AX96" s="147" t="n"/>
      <c r="AY96" s="147" t="n"/>
      <c r="AZ96" s="147" t="n"/>
      <c r="BA96" s="147" t="n"/>
      <c r="BB96" s="147" t="n"/>
      <c r="BC96" s="147" t="n"/>
      <c r="BD96" s="147" t="n"/>
      <c r="BE96" s="147" t="n"/>
      <c r="BF96" s="147" t="n"/>
      <c r="BG96" s="147" t="n"/>
      <c r="BH96" s="147" t="n"/>
    </row>
    <row r="97" ht="30" customHeight="1" s="251">
      <c r="A97" s="152" t="n"/>
      <c r="B97" s="147" t="n"/>
      <c r="C97" s="147" t="n"/>
      <c r="D97" s="147" t="n"/>
      <c r="E97" s="147" t="n"/>
      <c r="F97" s="147" t="n"/>
      <c r="G97" s="147" t="n"/>
      <c r="H97" s="147" t="n"/>
      <c r="I97" s="147" t="n"/>
      <c r="J97" s="147" t="n"/>
      <c r="K97" s="147" t="n"/>
      <c r="L97" s="147" t="n"/>
      <c r="M97" s="147" t="n"/>
      <c r="N97" s="147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  <c r="Z97" s="147" t="n"/>
      <c r="AA97" s="147" t="n"/>
      <c r="AB97" s="147" t="n"/>
      <c r="AC97" s="147" t="n"/>
      <c r="AD97" s="147" t="n"/>
      <c r="AE97" s="147" t="n"/>
      <c r="AF97" s="147" t="n"/>
      <c r="AG97" s="147" t="n"/>
      <c r="AH97" s="147" t="n"/>
      <c r="AI97" s="147" t="n"/>
      <c r="AJ97" s="147" t="n"/>
      <c r="AK97" s="147" t="n"/>
      <c r="AL97" s="147" t="n"/>
      <c r="AM97" s="147" t="n"/>
      <c r="AN97" s="147" t="n"/>
      <c r="AO97" s="147" t="n"/>
      <c r="AP97" s="147" t="n"/>
      <c r="AQ97" s="147" t="n"/>
      <c r="AR97" s="147" t="n"/>
      <c r="AS97" s="147" t="n"/>
      <c r="AT97" s="147" t="n"/>
      <c r="AU97" s="147" t="n"/>
      <c r="AV97" s="147" t="n"/>
      <c r="AW97" s="147" t="n"/>
      <c r="AX97" s="147" t="n"/>
      <c r="AY97" s="147" t="n"/>
      <c r="AZ97" s="147" t="n"/>
      <c r="BA97" s="147" t="n"/>
      <c r="BB97" s="147" t="n"/>
      <c r="BC97" s="147" t="n"/>
      <c r="BD97" s="147" t="n"/>
      <c r="BE97" s="147" t="n"/>
      <c r="BF97" s="147" t="n"/>
      <c r="BG97" s="147" t="n"/>
      <c r="BH97" s="147" t="n"/>
    </row>
    <row r="98" ht="30" customHeight="1" s="251">
      <c r="A98" s="152" t="n"/>
      <c r="B98" s="147" t="n"/>
      <c r="C98" s="147" t="n"/>
      <c r="D98" s="147" t="n"/>
      <c r="E98" s="147" t="n"/>
      <c r="F98" s="147" t="n"/>
      <c r="G98" s="147" t="n"/>
      <c r="H98" s="147" t="n"/>
      <c r="I98" s="147" t="n"/>
      <c r="J98" s="147" t="n"/>
      <c r="K98" s="147" t="n"/>
      <c r="L98" s="147" t="n"/>
      <c r="M98" s="147" t="n"/>
      <c r="N98" s="147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  <c r="Z98" s="147" t="n"/>
      <c r="AA98" s="147" t="n"/>
      <c r="AB98" s="147" t="n"/>
      <c r="AC98" s="147" t="n"/>
      <c r="AD98" s="147" t="n"/>
      <c r="AE98" s="147" t="n"/>
      <c r="AF98" s="147" t="n"/>
      <c r="AG98" s="147" t="n"/>
      <c r="AH98" s="147" t="n"/>
      <c r="AI98" s="147" t="n"/>
      <c r="AJ98" s="147" t="n"/>
      <c r="AK98" s="147" t="n"/>
      <c r="AL98" s="147" t="n"/>
      <c r="AM98" s="147" t="n"/>
      <c r="AN98" s="147" t="n"/>
      <c r="AO98" s="147" t="n"/>
      <c r="AP98" s="147" t="n"/>
      <c r="AQ98" s="147" t="n"/>
      <c r="AR98" s="147" t="n"/>
      <c r="AS98" s="147" t="n"/>
      <c r="AT98" s="147" t="n"/>
      <c r="AU98" s="147" t="n"/>
      <c r="AV98" s="147" t="n"/>
      <c r="AW98" s="147" t="n"/>
      <c r="AX98" s="147" t="n"/>
      <c r="AY98" s="147" t="n"/>
      <c r="AZ98" s="147" t="n"/>
      <c r="BA98" s="147" t="n"/>
      <c r="BB98" s="147" t="n"/>
      <c r="BC98" s="147" t="n"/>
      <c r="BD98" s="147" t="n"/>
      <c r="BE98" s="147" t="n"/>
      <c r="BF98" s="147" t="n"/>
      <c r="BG98" s="147" t="n"/>
      <c r="BH98" s="147" t="n"/>
    </row>
    <row r="99" ht="30" customHeight="1" s="251">
      <c r="A99" s="152" t="n"/>
      <c r="B99" s="147" t="n"/>
      <c r="C99" s="147" t="n"/>
      <c r="D99" s="147" t="n"/>
      <c r="E99" s="147" t="n"/>
      <c r="F99" s="147" t="n"/>
      <c r="G99" s="147" t="n"/>
      <c r="H99" s="147" t="n"/>
      <c r="I99" s="147" t="n"/>
      <c r="J99" s="147" t="n"/>
      <c r="K99" s="147" t="n"/>
      <c r="L99" s="147" t="n"/>
      <c r="M99" s="147" t="n"/>
      <c r="N99" s="147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  <c r="Z99" s="147" t="n"/>
      <c r="AA99" s="147" t="n"/>
      <c r="AB99" s="147" t="n"/>
      <c r="AC99" s="147" t="n"/>
      <c r="AD99" s="147" t="n"/>
      <c r="AE99" s="147" t="n"/>
      <c r="AF99" s="147" t="n"/>
      <c r="AG99" s="147" t="n"/>
      <c r="AH99" s="147" t="n"/>
      <c r="AI99" s="147" t="n"/>
      <c r="AJ99" s="147" t="n"/>
      <c r="AK99" s="147" t="n"/>
      <c r="AL99" s="147" t="n"/>
      <c r="AM99" s="147" t="n"/>
      <c r="AN99" s="147" t="n"/>
      <c r="AO99" s="147" t="n"/>
      <c r="AP99" s="147" t="n"/>
      <c r="AQ99" s="147" t="n"/>
      <c r="AR99" s="147" t="n"/>
      <c r="AS99" s="147" t="n"/>
      <c r="AT99" s="147" t="n"/>
      <c r="AU99" s="147" t="n"/>
      <c r="AV99" s="147" t="n"/>
      <c r="AW99" s="147" t="n"/>
      <c r="AX99" s="147" t="n"/>
      <c r="AY99" s="147" t="n"/>
      <c r="AZ99" s="147" t="n"/>
      <c r="BA99" s="147" t="n"/>
      <c r="BB99" s="147" t="n"/>
      <c r="BC99" s="147" t="n"/>
      <c r="BD99" s="147" t="n"/>
      <c r="BE99" s="147" t="n"/>
      <c r="BF99" s="147" t="n"/>
      <c r="BG99" s="147" t="n"/>
      <c r="BH99" s="147" t="n"/>
    </row>
    <row r="100" ht="30" customHeight="1" s="251">
      <c r="A100" s="152" t="n"/>
      <c r="B100" s="147" t="n"/>
      <c r="C100" s="147" t="n"/>
      <c r="D100" s="147" t="n"/>
      <c r="E100" s="147" t="n"/>
      <c r="F100" s="147" t="n"/>
      <c r="G100" s="147" t="n"/>
      <c r="H100" s="147" t="n"/>
      <c r="I100" s="147" t="n"/>
      <c r="J100" s="147" t="n"/>
      <c r="K100" s="147" t="n"/>
      <c r="L100" s="147" t="n"/>
      <c r="M100" s="147" t="n"/>
      <c r="N100" s="147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  <c r="Z100" s="147" t="n"/>
      <c r="AA100" s="147" t="n"/>
      <c r="AB100" s="147" t="n"/>
      <c r="AC100" s="147" t="n"/>
      <c r="AD100" s="147" t="n"/>
      <c r="AE100" s="147" t="n"/>
      <c r="AF100" s="147" t="n"/>
      <c r="AG100" s="147" t="n"/>
      <c r="AH100" s="147" t="n"/>
      <c r="AI100" s="147" t="n"/>
      <c r="AJ100" s="147" t="n"/>
      <c r="AK100" s="147" t="n"/>
      <c r="AL100" s="147" t="n"/>
      <c r="AM100" s="147" t="n"/>
      <c r="AN100" s="147" t="n"/>
      <c r="AO100" s="147" t="n"/>
      <c r="AP100" s="147" t="n"/>
      <c r="AQ100" s="147" t="n"/>
      <c r="AR100" s="147" t="n"/>
      <c r="AS100" s="147" t="n"/>
      <c r="AT100" s="147" t="n"/>
      <c r="AU100" s="147" t="n"/>
      <c r="AV100" s="147" t="n"/>
      <c r="AW100" s="147" t="n"/>
      <c r="AX100" s="147" t="n"/>
      <c r="AY100" s="147" t="n"/>
      <c r="AZ100" s="147" t="n"/>
      <c r="BA100" s="147" t="n"/>
      <c r="BB100" s="147" t="n"/>
      <c r="BC100" s="147" t="n"/>
      <c r="BD100" s="147" t="n"/>
      <c r="BE100" s="147" t="n"/>
      <c r="BF100" s="147" t="n"/>
      <c r="BG100" s="147" t="n"/>
      <c r="BH100" s="147" t="n"/>
    </row>
    <row r="101" ht="30" customHeight="1" s="251">
      <c r="A101" s="152" t="n"/>
      <c r="B101" s="147" t="n"/>
      <c r="C101" s="147" t="n"/>
      <c r="D101" s="147" t="n"/>
      <c r="E101" s="147" t="n"/>
      <c r="F101" s="147" t="n"/>
      <c r="G101" s="147" t="n"/>
      <c r="H101" s="147" t="n"/>
      <c r="I101" s="147" t="n"/>
      <c r="J101" s="147" t="n"/>
      <c r="K101" s="147" t="n"/>
      <c r="L101" s="147" t="n"/>
      <c r="M101" s="147" t="n"/>
      <c r="N101" s="147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  <c r="Z101" s="147" t="n"/>
      <c r="AA101" s="147" t="n"/>
      <c r="AB101" s="147" t="n"/>
      <c r="AC101" s="147" t="n"/>
      <c r="AD101" s="147" t="n"/>
      <c r="AE101" s="147" t="n"/>
      <c r="AF101" s="147" t="n"/>
      <c r="AG101" s="147" t="n"/>
      <c r="AH101" s="147" t="n"/>
      <c r="AI101" s="147" t="n"/>
      <c r="AJ101" s="147" t="n"/>
      <c r="AK101" s="147" t="n"/>
      <c r="AL101" s="147" t="n"/>
      <c r="AM101" s="147" t="n"/>
      <c r="AN101" s="147" t="n"/>
      <c r="AO101" s="147" t="n"/>
      <c r="AP101" s="147" t="n"/>
      <c r="AQ101" s="147" t="n"/>
      <c r="AR101" s="147" t="n"/>
      <c r="AS101" s="147" t="n"/>
      <c r="AT101" s="147" t="n"/>
      <c r="AU101" s="147" t="n"/>
      <c r="AV101" s="147" t="n"/>
      <c r="AW101" s="147" t="n"/>
      <c r="AX101" s="147" t="n"/>
      <c r="AY101" s="147" t="n"/>
      <c r="AZ101" s="147" t="n"/>
      <c r="BA101" s="147" t="n"/>
      <c r="BB101" s="147" t="n"/>
      <c r="BC101" s="147" t="n"/>
      <c r="BD101" s="147" t="n"/>
      <c r="BE101" s="147" t="n"/>
      <c r="BF101" s="147" t="n"/>
      <c r="BG101" s="147" t="n"/>
      <c r="BH101" s="147" t="n"/>
    </row>
    <row r="102" ht="30" customHeight="1" s="251">
      <c r="A102" s="152" t="n"/>
      <c r="B102" s="147" t="n"/>
      <c r="C102" s="147" t="n"/>
      <c r="D102" s="147" t="n"/>
      <c r="E102" s="147" t="n"/>
      <c r="F102" s="147" t="n"/>
      <c r="G102" s="147" t="n"/>
      <c r="H102" s="147" t="n"/>
      <c r="I102" s="147" t="n"/>
      <c r="J102" s="147" t="n"/>
      <c r="K102" s="147" t="n"/>
      <c r="L102" s="147" t="n"/>
      <c r="M102" s="147" t="n"/>
      <c r="N102" s="147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  <c r="Z102" s="147" t="n"/>
      <c r="AA102" s="147" t="n"/>
      <c r="AB102" s="147" t="n"/>
      <c r="AC102" s="147" t="n"/>
      <c r="AD102" s="147" t="n"/>
      <c r="AE102" s="147" t="n"/>
      <c r="AF102" s="147" t="n"/>
      <c r="AG102" s="147" t="n"/>
      <c r="AH102" s="147" t="n"/>
      <c r="AI102" s="147" t="n"/>
      <c r="AJ102" s="147" t="n"/>
      <c r="AK102" s="147" t="n"/>
      <c r="AL102" s="147" t="n"/>
      <c r="AM102" s="147" t="n"/>
      <c r="AN102" s="147" t="n"/>
      <c r="AO102" s="147" t="n"/>
      <c r="AP102" s="147" t="n"/>
      <c r="AQ102" s="147" t="n"/>
      <c r="AR102" s="147" t="n"/>
      <c r="AS102" s="147" t="n"/>
      <c r="AT102" s="147" t="n"/>
      <c r="AU102" s="147" t="n"/>
      <c r="AV102" s="147" t="n"/>
      <c r="AW102" s="147" t="n"/>
      <c r="AX102" s="147" t="n"/>
      <c r="AY102" s="147" t="n"/>
      <c r="AZ102" s="147" t="n"/>
      <c r="BA102" s="147" t="n"/>
      <c r="BB102" s="147" t="n"/>
      <c r="BC102" s="147" t="n"/>
      <c r="BD102" s="147" t="n"/>
      <c r="BE102" s="147" t="n"/>
      <c r="BF102" s="147" t="n"/>
      <c r="BG102" s="147" t="n"/>
      <c r="BH102" s="147" t="n"/>
    </row>
    <row r="103" ht="30" customHeight="1" s="251">
      <c r="A103" s="152" t="n"/>
      <c r="B103" s="147" t="n"/>
      <c r="C103" s="147" t="n"/>
      <c r="D103" s="147" t="n"/>
      <c r="E103" s="147" t="n"/>
      <c r="F103" s="147" t="n"/>
      <c r="G103" s="147" t="n"/>
      <c r="H103" s="147" t="n"/>
      <c r="I103" s="147" t="n"/>
      <c r="J103" s="147" t="n"/>
      <c r="K103" s="147" t="n"/>
      <c r="L103" s="147" t="n"/>
      <c r="M103" s="147" t="n"/>
      <c r="N103" s="147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  <c r="Z103" s="147" t="n"/>
      <c r="AA103" s="147" t="n"/>
      <c r="AB103" s="147" t="n"/>
      <c r="AC103" s="147" t="n"/>
      <c r="AD103" s="147" t="n"/>
      <c r="AE103" s="147" t="n"/>
      <c r="AF103" s="147" t="n"/>
      <c r="AG103" s="147" t="n"/>
      <c r="AH103" s="147" t="n"/>
      <c r="AI103" s="147" t="n"/>
      <c r="AJ103" s="147" t="n"/>
      <c r="AK103" s="147" t="n"/>
      <c r="AL103" s="147" t="n"/>
      <c r="AM103" s="147" t="n"/>
      <c r="AN103" s="147" t="n"/>
      <c r="AO103" s="147" t="n"/>
      <c r="AP103" s="147" t="n"/>
      <c r="AQ103" s="147" t="n"/>
      <c r="AR103" s="147" t="n"/>
      <c r="AS103" s="147" t="n"/>
      <c r="AT103" s="147" t="n"/>
      <c r="AU103" s="147" t="n"/>
      <c r="AV103" s="147" t="n"/>
      <c r="AW103" s="147" t="n"/>
      <c r="AX103" s="147" t="n"/>
      <c r="AY103" s="147" t="n"/>
      <c r="AZ103" s="147" t="n"/>
      <c r="BA103" s="147" t="n"/>
      <c r="BB103" s="147" t="n"/>
      <c r="BC103" s="147" t="n"/>
      <c r="BD103" s="147" t="n"/>
      <c r="BE103" s="147" t="n"/>
      <c r="BF103" s="147" t="n"/>
      <c r="BG103" s="147" t="n"/>
      <c r="BH103" s="147" t="n"/>
    </row>
    <row r="104" ht="30" customHeight="1" s="251">
      <c r="A104" s="152" t="n"/>
      <c r="B104" s="147" t="n"/>
      <c r="C104" s="147" t="n"/>
      <c r="D104" s="147" t="n"/>
      <c r="E104" s="147" t="n"/>
      <c r="F104" s="147" t="n"/>
      <c r="G104" s="147" t="n"/>
      <c r="H104" s="147" t="n"/>
      <c r="I104" s="147" t="n"/>
      <c r="J104" s="147" t="n"/>
      <c r="K104" s="147" t="n"/>
      <c r="L104" s="147" t="n"/>
      <c r="M104" s="147" t="n"/>
      <c r="N104" s="147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  <c r="Z104" s="147" t="n"/>
      <c r="AA104" s="147" t="n"/>
      <c r="AB104" s="147" t="n"/>
      <c r="AC104" s="147" t="n"/>
      <c r="AD104" s="147" t="n"/>
      <c r="AE104" s="147" t="n"/>
      <c r="AF104" s="147" t="n"/>
      <c r="AG104" s="147" t="n"/>
      <c r="AH104" s="147" t="n"/>
      <c r="AI104" s="147" t="n"/>
      <c r="AJ104" s="147" t="n"/>
      <c r="AK104" s="147" t="n"/>
      <c r="AL104" s="147" t="n"/>
      <c r="AM104" s="147" t="n"/>
      <c r="AN104" s="147" t="n"/>
      <c r="AO104" s="147" t="n"/>
      <c r="AP104" s="147" t="n"/>
      <c r="AQ104" s="147" t="n"/>
      <c r="AR104" s="147" t="n"/>
      <c r="AS104" s="147" t="n"/>
      <c r="AT104" s="147" t="n"/>
      <c r="AU104" s="147" t="n"/>
      <c r="AV104" s="147" t="n"/>
      <c r="AW104" s="147" t="n"/>
      <c r="AX104" s="147" t="n"/>
      <c r="AY104" s="147" t="n"/>
      <c r="AZ104" s="147" t="n"/>
      <c r="BA104" s="147" t="n"/>
      <c r="BB104" s="147" t="n"/>
      <c r="BC104" s="147" t="n"/>
      <c r="BD104" s="147" t="n"/>
      <c r="BE104" s="147" t="n"/>
      <c r="BF104" s="147" t="n"/>
      <c r="BG104" s="147" t="n"/>
      <c r="BH104" s="147" t="n"/>
    </row>
    <row r="105" ht="30" customHeight="1" s="251">
      <c r="A105" s="152" t="n"/>
      <c r="B105" s="147" t="n"/>
      <c r="C105" s="147" t="n"/>
      <c r="D105" s="147" t="n"/>
      <c r="E105" s="147" t="n"/>
      <c r="F105" s="147" t="n"/>
      <c r="G105" s="147" t="n"/>
      <c r="H105" s="147" t="n"/>
      <c r="I105" s="147" t="n"/>
      <c r="J105" s="147" t="n"/>
      <c r="K105" s="147" t="n"/>
      <c r="L105" s="147" t="n"/>
      <c r="M105" s="147" t="n"/>
      <c r="N105" s="147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  <c r="Z105" s="147" t="n"/>
      <c r="AA105" s="147" t="n"/>
      <c r="AB105" s="147" t="n"/>
      <c r="AC105" s="147" t="n"/>
      <c r="AD105" s="147" t="n"/>
      <c r="AE105" s="147" t="n"/>
      <c r="AF105" s="147" t="n"/>
      <c r="AG105" s="147" t="n"/>
      <c r="AH105" s="147" t="n"/>
      <c r="AI105" s="147" t="n"/>
      <c r="AJ105" s="147" t="n"/>
      <c r="AK105" s="147" t="n"/>
      <c r="AL105" s="147" t="n"/>
      <c r="AM105" s="147" t="n"/>
      <c r="AN105" s="147" t="n"/>
      <c r="AO105" s="147" t="n"/>
      <c r="AP105" s="147" t="n"/>
      <c r="AQ105" s="147" t="n"/>
      <c r="AR105" s="147" t="n"/>
      <c r="AS105" s="147" t="n"/>
      <c r="AT105" s="147" t="n"/>
      <c r="AU105" s="147" t="n"/>
      <c r="AV105" s="147" t="n"/>
      <c r="AW105" s="147" t="n"/>
      <c r="AX105" s="147" t="n"/>
      <c r="AY105" s="147" t="n"/>
      <c r="AZ105" s="147" t="n"/>
      <c r="BA105" s="147" t="n"/>
      <c r="BB105" s="147" t="n"/>
      <c r="BC105" s="147" t="n"/>
      <c r="BD105" s="147" t="n"/>
      <c r="BE105" s="147" t="n"/>
      <c r="BF105" s="147" t="n"/>
      <c r="BG105" s="147" t="n"/>
      <c r="BH105" s="147" t="n"/>
    </row>
    <row r="106" ht="30" customHeight="1" s="251">
      <c r="A106" s="152" t="n"/>
      <c r="B106" s="147" t="n"/>
      <c r="C106" s="147" t="n"/>
      <c r="D106" s="147" t="n"/>
      <c r="E106" s="147" t="n"/>
      <c r="F106" s="147" t="n"/>
      <c r="G106" s="147" t="n"/>
      <c r="H106" s="147" t="n"/>
      <c r="I106" s="147" t="n"/>
      <c r="J106" s="147" t="n"/>
      <c r="K106" s="147" t="n"/>
      <c r="L106" s="147" t="n"/>
      <c r="M106" s="147" t="n"/>
      <c r="N106" s="147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  <c r="Z106" s="147" t="n"/>
      <c r="AA106" s="147" t="n"/>
      <c r="AB106" s="147" t="n"/>
      <c r="AC106" s="147" t="n"/>
      <c r="AD106" s="147" t="n"/>
      <c r="AE106" s="147" t="n"/>
      <c r="AF106" s="147" t="n"/>
      <c r="AG106" s="147" t="n"/>
      <c r="AH106" s="147" t="n"/>
      <c r="AI106" s="147" t="n"/>
      <c r="AJ106" s="147" t="n"/>
      <c r="AK106" s="147" t="n"/>
      <c r="AL106" s="147" t="n"/>
      <c r="AM106" s="147" t="n"/>
      <c r="AN106" s="147" t="n"/>
      <c r="AO106" s="147" t="n"/>
      <c r="AP106" s="147" t="n"/>
      <c r="AQ106" s="147" t="n"/>
      <c r="AR106" s="147" t="n"/>
      <c r="AS106" s="147" t="n"/>
      <c r="AT106" s="147" t="n"/>
      <c r="AU106" s="147" t="n"/>
      <c r="AV106" s="147" t="n"/>
      <c r="AW106" s="147" t="n"/>
      <c r="AX106" s="147" t="n"/>
      <c r="AY106" s="147" t="n"/>
      <c r="AZ106" s="147" t="n"/>
      <c r="BA106" s="147" t="n"/>
      <c r="BB106" s="147" t="n"/>
      <c r="BC106" s="147" t="n"/>
      <c r="BD106" s="147" t="n"/>
      <c r="BE106" s="147" t="n"/>
      <c r="BF106" s="147" t="n"/>
      <c r="BG106" s="147" t="n"/>
      <c r="BH106" s="147" t="n"/>
    </row>
    <row r="107" ht="30" customHeight="1" s="251">
      <c r="A107" s="152" t="n"/>
      <c r="B107" s="147" t="n"/>
      <c r="C107" s="147" t="n"/>
      <c r="D107" s="147" t="n"/>
      <c r="E107" s="147" t="n"/>
      <c r="F107" s="147" t="n"/>
      <c r="G107" s="147" t="n"/>
      <c r="H107" s="147" t="n"/>
      <c r="I107" s="147" t="n"/>
      <c r="J107" s="147" t="n"/>
      <c r="K107" s="147" t="n"/>
      <c r="L107" s="147" t="n"/>
      <c r="M107" s="147" t="n"/>
      <c r="N107" s="147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  <c r="Z107" s="147" t="n"/>
      <c r="AA107" s="147" t="n"/>
      <c r="AB107" s="147" t="n"/>
      <c r="AC107" s="147" t="n"/>
      <c r="AD107" s="147" t="n"/>
      <c r="AE107" s="147" t="n"/>
      <c r="AF107" s="147" t="n"/>
      <c r="AG107" s="147" t="n"/>
      <c r="AH107" s="147" t="n"/>
      <c r="AI107" s="147" t="n"/>
      <c r="AJ107" s="147" t="n"/>
      <c r="AK107" s="147" t="n"/>
      <c r="AL107" s="147" t="n"/>
      <c r="AM107" s="147" t="n"/>
      <c r="AN107" s="147" t="n"/>
      <c r="AO107" s="147" t="n"/>
      <c r="AP107" s="147" t="n"/>
      <c r="AQ107" s="147" t="n"/>
      <c r="AR107" s="147" t="n"/>
      <c r="AS107" s="147" t="n"/>
      <c r="AT107" s="147" t="n"/>
      <c r="AU107" s="147" t="n"/>
      <c r="AV107" s="147" t="n"/>
      <c r="AW107" s="147" t="n"/>
      <c r="AX107" s="147" t="n"/>
      <c r="AY107" s="147" t="n"/>
      <c r="AZ107" s="147" t="n"/>
      <c r="BA107" s="147" t="n"/>
      <c r="BB107" s="147" t="n"/>
      <c r="BC107" s="147" t="n"/>
      <c r="BD107" s="147" t="n"/>
      <c r="BE107" s="147" t="n"/>
      <c r="BF107" s="147" t="n"/>
      <c r="BG107" s="147" t="n"/>
      <c r="BH107" s="147" t="n"/>
    </row>
    <row r="108" ht="30" customHeight="1" s="251">
      <c r="A108" s="152" t="n"/>
      <c r="B108" s="147" t="n"/>
      <c r="C108" s="147" t="n"/>
      <c r="D108" s="147" t="n"/>
      <c r="E108" s="147" t="n"/>
      <c r="F108" s="147" t="n"/>
      <c r="G108" s="147" t="n"/>
      <c r="H108" s="147" t="n"/>
      <c r="I108" s="147" t="n"/>
      <c r="J108" s="147" t="n"/>
      <c r="K108" s="147" t="n"/>
      <c r="L108" s="147" t="n"/>
      <c r="M108" s="147" t="n"/>
      <c r="N108" s="147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  <c r="Z108" s="147" t="n"/>
      <c r="AA108" s="147" t="n"/>
      <c r="AB108" s="147" t="n"/>
      <c r="AC108" s="147" t="n"/>
      <c r="AD108" s="147" t="n"/>
      <c r="AE108" s="147" t="n"/>
      <c r="AF108" s="147" t="n"/>
      <c r="AG108" s="147" t="n"/>
      <c r="AH108" s="147" t="n"/>
      <c r="AI108" s="147" t="n"/>
      <c r="AJ108" s="147" t="n"/>
      <c r="AK108" s="147" t="n"/>
      <c r="AL108" s="147" t="n"/>
      <c r="AM108" s="147" t="n"/>
      <c r="AN108" s="147" t="n"/>
      <c r="AO108" s="147" t="n"/>
      <c r="AP108" s="147" t="n"/>
      <c r="AQ108" s="147" t="n"/>
      <c r="AR108" s="147" t="n"/>
      <c r="AS108" s="147" t="n"/>
      <c r="AT108" s="147" t="n"/>
      <c r="AU108" s="147" t="n"/>
      <c r="AV108" s="147" t="n"/>
      <c r="AW108" s="147" t="n"/>
      <c r="AX108" s="147" t="n"/>
      <c r="AY108" s="147" t="n"/>
      <c r="AZ108" s="147" t="n"/>
      <c r="BA108" s="147" t="n"/>
      <c r="BB108" s="147" t="n"/>
      <c r="BC108" s="147" t="n"/>
      <c r="BD108" s="147" t="n"/>
      <c r="BE108" s="147" t="n"/>
      <c r="BF108" s="147" t="n"/>
      <c r="BG108" s="147" t="n"/>
      <c r="BH108" s="147" t="n"/>
    </row>
    <row r="109" ht="30" customHeight="1" s="251">
      <c r="A109" s="152" t="n"/>
      <c r="B109" s="147" t="n"/>
      <c r="C109" s="147" t="n"/>
      <c r="D109" s="147" t="n"/>
      <c r="E109" s="147" t="n"/>
      <c r="F109" s="147" t="n"/>
      <c r="G109" s="147" t="n"/>
      <c r="H109" s="147" t="n"/>
      <c r="I109" s="147" t="n"/>
      <c r="J109" s="147" t="n"/>
      <c r="K109" s="147" t="n"/>
      <c r="L109" s="147" t="n"/>
      <c r="M109" s="147" t="n"/>
      <c r="N109" s="147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  <c r="Z109" s="147" t="n"/>
      <c r="AA109" s="147" t="n"/>
      <c r="AB109" s="147" t="n"/>
      <c r="AC109" s="147" t="n"/>
      <c r="AD109" s="147" t="n"/>
      <c r="AE109" s="147" t="n"/>
      <c r="AF109" s="147" t="n"/>
      <c r="AG109" s="147" t="n"/>
      <c r="AH109" s="147" t="n"/>
      <c r="AI109" s="147" t="n"/>
      <c r="AJ109" s="147" t="n"/>
      <c r="AK109" s="147" t="n"/>
      <c r="AL109" s="147" t="n"/>
      <c r="AM109" s="147" t="n"/>
      <c r="AN109" s="147" t="n"/>
      <c r="AO109" s="147" t="n"/>
      <c r="AP109" s="147" t="n"/>
      <c r="AQ109" s="147" t="n"/>
      <c r="AR109" s="147" t="n"/>
      <c r="AS109" s="147" t="n"/>
      <c r="AT109" s="147" t="n"/>
      <c r="AU109" s="147" t="n"/>
      <c r="AV109" s="147" t="n"/>
      <c r="AW109" s="147" t="n"/>
      <c r="AX109" s="147" t="n"/>
      <c r="AY109" s="147" t="n"/>
      <c r="AZ109" s="147" t="n"/>
      <c r="BA109" s="147" t="n"/>
      <c r="BB109" s="147" t="n"/>
      <c r="BC109" s="147" t="n"/>
      <c r="BD109" s="147" t="n"/>
      <c r="BE109" s="147" t="n"/>
      <c r="BF109" s="147" t="n"/>
      <c r="BG109" s="147" t="n"/>
      <c r="BH109" s="147" t="n"/>
    </row>
    <row r="110" ht="30" customHeight="1" s="251">
      <c r="A110" s="152" t="n"/>
      <c r="B110" s="147" t="n"/>
      <c r="C110" s="147" t="n"/>
      <c r="D110" s="147" t="n"/>
      <c r="E110" s="147" t="n"/>
      <c r="F110" s="147" t="n"/>
      <c r="G110" s="147" t="n"/>
      <c r="H110" s="147" t="n"/>
      <c r="I110" s="147" t="n"/>
      <c r="J110" s="147" t="n"/>
      <c r="K110" s="147" t="n"/>
      <c r="L110" s="147" t="n"/>
      <c r="M110" s="147" t="n"/>
      <c r="N110" s="147" t="n"/>
      <c r="O110" s="147" t="n"/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  <c r="Z110" s="147" t="n"/>
      <c r="AA110" s="147" t="n"/>
      <c r="AB110" s="147" t="n"/>
      <c r="AC110" s="147" t="n"/>
      <c r="AD110" s="147" t="n"/>
      <c r="AE110" s="147" t="n"/>
      <c r="AF110" s="147" t="n"/>
      <c r="AG110" s="147" t="n"/>
      <c r="AH110" s="147" t="n"/>
      <c r="AI110" s="147" t="n"/>
      <c r="AJ110" s="147" t="n"/>
      <c r="AK110" s="147" t="n"/>
      <c r="AL110" s="147" t="n"/>
      <c r="AM110" s="147" t="n"/>
      <c r="AN110" s="147" t="n"/>
      <c r="AO110" s="147" t="n"/>
      <c r="AP110" s="147" t="n"/>
      <c r="AQ110" s="147" t="n"/>
      <c r="AR110" s="147" t="n"/>
      <c r="AS110" s="147" t="n"/>
      <c r="AT110" s="147" t="n"/>
      <c r="AU110" s="147" t="n"/>
      <c r="AV110" s="147" t="n"/>
      <c r="AW110" s="147" t="n"/>
      <c r="AX110" s="147" t="n"/>
      <c r="AY110" s="147" t="n"/>
      <c r="AZ110" s="147" t="n"/>
      <c r="BA110" s="147" t="n"/>
      <c r="BB110" s="147" t="n"/>
      <c r="BC110" s="147" t="n"/>
      <c r="BD110" s="147" t="n"/>
      <c r="BE110" s="147" t="n"/>
      <c r="BF110" s="147" t="n"/>
      <c r="BG110" s="147" t="n"/>
      <c r="BH110" s="147" t="n"/>
    </row>
    <row r="111" ht="30" customHeight="1" s="251">
      <c r="A111" s="152" t="n"/>
      <c r="B111" s="147" t="n"/>
      <c r="C111" s="147" t="n"/>
      <c r="D111" s="147" t="n"/>
      <c r="E111" s="147" t="n"/>
      <c r="F111" s="147" t="n"/>
      <c r="G111" s="147" t="n"/>
      <c r="H111" s="147" t="n"/>
      <c r="I111" s="147" t="n"/>
      <c r="J111" s="147" t="n"/>
      <c r="K111" s="147" t="n"/>
      <c r="L111" s="147" t="n"/>
      <c r="M111" s="147" t="n"/>
      <c r="N111" s="147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  <c r="Z111" s="147" t="n"/>
      <c r="AA111" s="147" t="n"/>
      <c r="AB111" s="147" t="n"/>
      <c r="AC111" s="147" t="n"/>
      <c r="AD111" s="147" t="n"/>
      <c r="AE111" s="147" t="n"/>
      <c r="AF111" s="147" t="n"/>
      <c r="AG111" s="147" t="n"/>
      <c r="AH111" s="147" t="n"/>
      <c r="AI111" s="147" t="n"/>
      <c r="AJ111" s="147" t="n"/>
      <c r="AK111" s="147" t="n"/>
      <c r="AL111" s="147" t="n"/>
      <c r="AM111" s="147" t="n"/>
      <c r="AN111" s="147" t="n"/>
      <c r="AO111" s="147" t="n"/>
      <c r="AP111" s="147" t="n"/>
      <c r="AQ111" s="147" t="n"/>
      <c r="AR111" s="147" t="n"/>
      <c r="AS111" s="147" t="n"/>
      <c r="AT111" s="147" t="n"/>
      <c r="AU111" s="147" t="n"/>
      <c r="AV111" s="147" t="n"/>
      <c r="AW111" s="147" t="n"/>
      <c r="AX111" s="147" t="n"/>
      <c r="AY111" s="147" t="n"/>
      <c r="AZ111" s="147" t="n"/>
      <c r="BA111" s="147" t="n"/>
      <c r="BB111" s="147" t="n"/>
      <c r="BC111" s="147" t="n"/>
      <c r="BD111" s="147" t="n"/>
      <c r="BE111" s="147" t="n"/>
      <c r="BF111" s="147" t="n"/>
      <c r="BG111" s="147" t="n"/>
      <c r="BH111" s="147" t="n"/>
    </row>
    <row r="112" ht="30" customHeight="1" s="251">
      <c r="A112" s="152" t="n"/>
      <c r="B112" s="147" t="n"/>
      <c r="C112" s="147" t="n"/>
      <c r="D112" s="147" t="n"/>
      <c r="E112" s="147" t="n"/>
      <c r="F112" s="147" t="n"/>
      <c r="G112" s="147" t="n"/>
      <c r="H112" s="147" t="n"/>
      <c r="I112" s="147" t="n"/>
      <c r="J112" s="147" t="n"/>
      <c r="K112" s="147" t="n"/>
      <c r="L112" s="147" t="n"/>
      <c r="M112" s="147" t="n"/>
      <c r="N112" s="147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  <c r="Z112" s="147" t="n"/>
      <c r="AA112" s="147" t="n"/>
      <c r="AB112" s="147" t="n"/>
      <c r="AC112" s="147" t="n"/>
      <c r="AD112" s="147" t="n"/>
      <c r="AE112" s="147" t="n"/>
      <c r="AF112" s="147" t="n"/>
      <c r="AG112" s="147" t="n"/>
      <c r="AH112" s="147" t="n"/>
      <c r="AI112" s="147" t="n"/>
      <c r="AJ112" s="147" t="n"/>
      <c r="AK112" s="147" t="n"/>
      <c r="AL112" s="147" t="n"/>
      <c r="AM112" s="147" t="n"/>
      <c r="AN112" s="147" t="n"/>
      <c r="AO112" s="147" t="n"/>
      <c r="AP112" s="147" t="n"/>
      <c r="AQ112" s="147" t="n"/>
      <c r="AR112" s="147" t="n"/>
      <c r="AS112" s="147" t="n"/>
      <c r="AT112" s="147" t="n"/>
      <c r="AU112" s="147" t="n"/>
      <c r="AV112" s="147" t="n"/>
      <c r="AW112" s="147" t="n"/>
      <c r="AX112" s="147" t="n"/>
      <c r="AY112" s="147" t="n"/>
      <c r="AZ112" s="147" t="n"/>
      <c r="BA112" s="147" t="n"/>
      <c r="BB112" s="147" t="n"/>
      <c r="BC112" s="147" t="n"/>
      <c r="BD112" s="147" t="n"/>
      <c r="BE112" s="147" t="n"/>
      <c r="BF112" s="147" t="n"/>
      <c r="BG112" s="147" t="n"/>
      <c r="BH112" s="147" t="n"/>
    </row>
    <row r="113" ht="30" customHeight="1" s="251">
      <c r="A113" s="152" t="n"/>
      <c r="B113" s="147" t="n"/>
      <c r="C113" s="147" t="n"/>
      <c r="D113" s="147" t="n"/>
      <c r="E113" s="147" t="n"/>
      <c r="F113" s="147" t="n"/>
      <c r="G113" s="147" t="n"/>
      <c r="H113" s="147" t="n"/>
      <c r="I113" s="147" t="n"/>
      <c r="J113" s="147" t="n"/>
      <c r="K113" s="147" t="n"/>
      <c r="L113" s="147" t="n"/>
      <c r="M113" s="147" t="n"/>
      <c r="N113" s="147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  <c r="Z113" s="147" t="n"/>
      <c r="AA113" s="147" t="n"/>
      <c r="AB113" s="147" t="n"/>
      <c r="AC113" s="147" t="n"/>
      <c r="AD113" s="147" t="n"/>
      <c r="AE113" s="147" t="n"/>
      <c r="AF113" s="147" t="n"/>
      <c r="AG113" s="147" t="n"/>
      <c r="AH113" s="147" t="n"/>
      <c r="AI113" s="147" t="n"/>
      <c r="AJ113" s="147" t="n"/>
      <c r="AK113" s="147" t="n"/>
      <c r="AL113" s="147" t="n"/>
      <c r="AM113" s="147" t="n"/>
      <c r="AN113" s="147" t="n"/>
      <c r="AO113" s="147" t="n"/>
      <c r="AP113" s="147" t="n"/>
      <c r="AQ113" s="147" t="n"/>
      <c r="AR113" s="147" t="n"/>
      <c r="AS113" s="147" t="n"/>
      <c r="AT113" s="147" t="n"/>
      <c r="AU113" s="147" t="n"/>
      <c r="AV113" s="147" t="n"/>
      <c r="AW113" s="147" t="n"/>
      <c r="AX113" s="147" t="n"/>
      <c r="AY113" s="147" t="n"/>
      <c r="AZ113" s="147" t="n"/>
      <c r="BA113" s="147" t="n"/>
      <c r="BB113" s="147" t="n"/>
      <c r="BC113" s="147" t="n"/>
      <c r="BD113" s="147" t="n"/>
      <c r="BE113" s="147" t="n"/>
      <c r="BF113" s="147" t="n"/>
      <c r="BG113" s="147" t="n"/>
      <c r="BH113" s="147" t="n"/>
    </row>
    <row r="114" ht="30" customHeight="1" s="251">
      <c r="A114" s="152" t="n"/>
      <c r="B114" s="147" t="n"/>
      <c r="C114" s="147" t="n"/>
      <c r="D114" s="147" t="n"/>
      <c r="E114" s="147" t="n"/>
      <c r="F114" s="147" t="n"/>
      <c r="G114" s="147" t="n"/>
      <c r="H114" s="147" t="n"/>
      <c r="I114" s="147" t="n"/>
      <c r="J114" s="147" t="n"/>
      <c r="K114" s="147" t="n"/>
      <c r="L114" s="147" t="n"/>
      <c r="M114" s="147" t="n"/>
      <c r="N114" s="147" t="n"/>
      <c r="O114" s="147" t="n"/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  <c r="Z114" s="147" t="n"/>
      <c r="AA114" s="147" t="n"/>
      <c r="AB114" s="147" t="n"/>
      <c r="AC114" s="147" t="n"/>
      <c r="AD114" s="147" t="n"/>
      <c r="AE114" s="147" t="n"/>
      <c r="AF114" s="147" t="n"/>
      <c r="AG114" s="147" t="n"/>
      <c r="AH114" s="147" t="n"/>
      <c r="AI114" s="147" t="n"/>
      <c r="AJ114" s="147" t="n"/>
      <c r="AK114" s="147" t="n"/>
      <c r="AL114" s="147" t="n"/>
      <c r="AM114" s="147" t="n"/>
      <c r="AN114" s="147" t="n"/>
      <c r="AO114" s="147" t="n"/>
      <c r="AP114" s="147" t="n"/>
      <c r="AQ114" s="147" t="n"/>
      <c r="AR114" s="147" t="n"/>
      <c r="AS114" s="147" t="n"/>
      <c r="AT114" s="147" t="n"/>
      <c r="AU114" s="147" t="n"/>
      <c r="AV114" s="147" t="n"/>
      <c r="AW114" s="147" t="n"/>
      <c r="AX114" s="147" t="n"/>
      <c r="AY114" s="147" t="n"/>
      <c r="AZ114" s="147" t="n"/>
      <c r="BA114" s="147" t="n"/>
      <c r="BB114" s="147" t="n"/>
      <c r="BC114" s="147" t="n"/>
      <c r="BD114" s="147" t="n"/>
      <c r="BE114" s="147" t="n"/>
      <c r="BF114" s="147" t="n"/>
      <c r="BG114" s="147" t="n"/>
      <c r="BH114" s="147" t="n"/>
    </row>
    <row r="115" ht="30" customHeight="1" s="251">
      <c r="A115" s="152" t="n"/>
      <c r="B115" s="147" t="n"/>
      <c r="C115" s="147" t="n"/>
      <c r="D115" s="147" t="n"/>
      <c r="E115" s="147" t="n"/>
      <c r="F115" s="147" t="n"/>
      <c r="G115" s="147" t="n"/>
      <c r="H115" s="147" t="n"/>
      <c r="I115" s="147" t="n"/>
      <c r="J115" s="147" t="n"/>
      <c r="K115" s="147" t="n"/>
      <c r="L115" s="147" t="n"/>
      <c r="M115" s="147" t="n"/>
      <c r="N115" s="147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  <c r="Z115" s="147" t="n"/>
      <c r="AA115" s="147" t="n"/>
      <c r="AB115" s="147" t="n"/>
      <c r="AC115" s="147" t="n"/>
      <c r="AD115" s="147" t="n"/>
      <c r="AE115" s="147" t="n"/>
      <c r="AF115" s="147" t="n"/>
      <c r="AG115" s="147" t="n"/>
      <c r="AH115" s="147" t="n"/>
      <c r="AI115" s="147" t="n"/>
      <c r="AJ115" s="147" t="n"/>
      <c r="AK115" s="147" t="n"/>
      <c r="AL115" s="147" t="n"/>
      <c r="AM115" s="147" t="n"/>
      <c r="AN115" s="147" t="n"/>
      <c r="AO115" s="147" t="n"/>
      <c r="AP115" s="147" t="n"/>
      <c r="AQ115" s="147" t="n"/>
      <c r="AR115" s="147" t="n"/>
      <c r="AS115" s="147" t="n"/>
      <c r="AT115" s="147" t="n"/>
      <c r="AU115" s="147" t="n"/>
      <c r="AV115" s="147" t="n"/>
      <c r="AW115" s="147" t="n"/>
      <c r="AX115" s="147" t="n"/>
      <c r="AY115" s="147" t="n"/>
      <c r="AZ115" s="147" t="n"/>
      <c r="BA115" s="147" t="n"/>
      <c r="BB115" s="147" t="n"/>
      <c r="BC115" s="147" t="n"/>
      <c r="BD115" s="147" t="n"/>
      <c r="BE115" s="147" t="n"/>
      <c r="BF115" s="147" t="n"/>
      <c r="BG115" s="147" t="n"/>
      <c r="BH115" s="147" t="n"/>
    </row>
    <row r="116" ht="30" customHeight="1" s="251">
      <c r="A116" s="152" t="n"/>
      <c r="B116" s="147" t="n"/>
      <c r="C116" s="147" t="n"/>
      <c r="D116" s="147" t="n"/>
      <c r="E116" s="147" t="n"/>
      <c r="F116" s="147" t="n"/>
      <c r="G116" s="147" t="n"/>
      <c r="H116" s="147" t="n"/>
      <c r="I116" s="147" t="n"/>
      <c r="J116" s="147" t="n"/>
      <c r="K116" s="147" t="n"/>
      <c r="L116" s="147" t="n"/>
      <c r="M116" s="147" t="n"/>
      <c r="N116" s="147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  <c r="Z116" s="147" t="n"/>
      <c r="AA116" s="147" t="n"/>
      <c r="AB116" s="147" t="n"/>
      <c r="AC116" s="147" t="n"/>
      <c r="AD116" s="147" t="n"/>
      <c r="AE116" s="147" t="n"/>
      <c r="AF116" s="147" t="n"/>
      <c r="AG116" s="147" t="n"/>
      <c r="AH116" s="147" t="n"/>
      <c r="AI116" s="147" t="n"/>
      <c r="AJ116" s="147" t="n"/>
      <c r="AK116" s="147" t="n"/>
      <c r="AL116" s="147" t="n"/>
      <c r="AM116" s="147" t="n"/>
      <c r="AN116" s="147" t="n"/>
      <c r="AO116" s="147" t="n"/>
      <c r="AP116" s="147" t="n"/>
      <c r="AQ116" s="147" t="n"/>
      <c r="AR116" s="147" t="n"/>
      <c r="AS116" s="147" t="n"/>
      <c r="AT116" s="147" t="n"/>
      <c r="AU116" s="147" t="n"/>
      <c r="AV116" s="147" t="n"/>
      <c r="AW116" s="147" t="n"/>
      <c r="AX116" s="147" t="n"/>
      <c r="AY116" s="147" t="n"/>
      <c r="AZ116" s="147" t="n"/>
      <c r="BA116" s="147" t="n"/>
      <c r="BB116" s="147" t="n"/>
      <c r="BC116" s="147" t="n"/>
      <c r="BD116" s="147" t="n"/>
      <c r="BE116" s="147" t="n"/>
      <c r="BF116" s="147" t="n"/>
      <c r="BG116" s="147" t="n"/>
      <c r="BH116" s="147" t="n"/>
    </row>
    <row r="117" ht="30" customHeight="1" s="251">
      <c r="A117" s="152" t="n"/>
      <c r="B117" s="147" t="n"/>
      <c r="C117" s="147" t="n"/>
      <c r="D117" s="147" t="n"/>
      <c r="E117" s="147" t="n"/>
      <c r="F117" s="147" t="n"/>
      <c r="G117" s="147" t="n"/>
      <c r="H117" s="147" t="n"/>
      <c r="I117" s="147" t="n"/>
      <c r="J117" s="147" t="n"/>
      <c r="K117" s="147" t="n"/>
      <c r="L117" s="147" t="n"/>
      <c r="M117" s="147" t="n"/>
      <c r="N117" s="147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  <c r="Z117" s="147" t="n"/>
      <c r="AA117" s="147" t="n"/>
      <c r="AB117" s="147" t="n"/>
      <c r="AC117" s="147" t="n"/>
      <c r="AD117" s="147" t="n"/>
      <c r="AE117" s="147" t="n"/>
      <c r="AF117" s="147" t="n"/>
      <c r="AG117" s="147" t="n"/>
      <c r="AH117" s="147" t="n"/>
      <c r="AI117" s="147" t="n"/>
      <c r="AJ117" s="147" t="n"/>
      <c r="AK117" s="147" t="n"/>
      <c r="AL117" s="147" t="n"/>
      <c r="AM117" s="147" t="n"/>
      <c r="AN117" s="147" t="n"/>
      <c r="AO117" s="147" t="n"/>
      <c r="AP117" s="147" t="n"/>
      <c r="AQ117" s="147" t="n"/>
      <c r="AR117" s="147" t="n"/>
      <c r="AS117" s="147" t="n"/>
      <c r="AT117" s="147" t="n"/>
      <c r="AU117" s="147" t="n"/>
      <c r="AV117" s="147" t="n"/>
      <c r="AW117" s="147" t="n"/>
      <c r="AX117" s="147" t="n"/>
      <c r="AY117" s="147" t="n"/>
      <c r="AZ117" s="147" t="n"/>
      <c r="BA117" s="147" t="n"/>
      <c r="BB117" s="147" t="n"/>
      <c r="BC117" s="147" t="n"/>
      <c r="BD117" s="147" t="n"/>
      <c r="BE117" s="147" t="n"/>
      <c r="BF117" s="147" t="n"/>
      <c r="BG117" s="147" t="n"/>
      <c r="BH117" s="147" t="n"/>
    </row>
    <row r="118" ht="30" customHeight="1" s="251">
      <c r="A118" s="152" t="n"/>
      <c r="B118" s="147" t="n"/>
      <c r="C118" s="147" t="n"/>
      <c r="D118" s="147" t="n"/>
      <c r="E118" s="147" t="n"/>
      <c r="F118" s="147" t="n"/>
      <c r="G118" s="147" t="n"/>
      <c r="H118" s="147" t="n"/>
      <c r="I118" s="147" t="n"/>
      <c r="J118" s="147" t="n"/>
      <c r="K118" s="147" t="n"/>
      <c r="L118" s="147" t="n"/>
      <c r="M118" s="147" t="n"/>
      <c r="N118" s="147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  <c r="Z118" s="147" t="n"/>
      <c r="AA118" s="147" t="n"/>
      <c r="AB118" s="147" t="n"/>
      <c r="AC118" s="147" t="n"/>
      <c r="AD118" s="147" t="n"/>
      <c r="AE118" s="147" t="n"/>
      <c r="AF118" s="147" t="n"/>
      <c r="AG118" s="147" t="n"/>
      <c r="AH118" s="147" t="n"/>
      <c r="AI118" s="147" t="n"/>
      <c r="AJ118" s="147" t="n"/>
      <c r="AK118" s="147" t="n"/>
      <c r="AL118" s="147" t="n"/>
      <c r="AM118" s="147" t="n"/>
      <c r="AN118" s="147" t="n"/>
      <c r="AO118" s="147" t="n"/>
      <c r="AP118" s="147" t="n"/>
      <c r="AQ118" s="147" t="n"/>
      <c r="AR118" s="147" t="n"/>
      <c r="AS118" s="147" t="n"/>
      <c r="AT118" s="147" t="n"/>
      <c r="AU118" s="147" t="n"/>
      <c r="AV118" s="147" t="n"/>
      <c r="AW118" s="147" t="n"/>
      <c r="AX118" s="147" t="n"/>
      <c r="AY118" s="147" t="n"/>
      <c r="AZ118" s="147" t="n"/>
      <c r="BA118" s="147" t="n"/>
      <c r="BB118" s="147" t="n"/>
      <c r="BC118" s="147" t="n"/>
      <c r="BD118" s="147" t="n"/>
      <c r="BE118" s="147" t="n"/>
      <c r="BF118" s="147" t="n"/>
      <c r="BG118" s="147" t="n"/>
      <c r="BH118" s="147" t="n"/>
    </row>
    <row r="119" ht="30" customHeight="1" s="251">
      <c r="A119" s="152" t="n"/>
      <c r="B119" s="147" t="n"/>
      <c r="C119" s="147" t="n"/>
      <c r="D119" s="147" t="n"/>
      <c r="E119" s="147" t="n"/>
      <c r="F119" s="147" t="n"/>
      <c r="G119" s="147" t="n"/>
      <c r="H119" s="147" t="n"/>
      <c r="I119" s="147" t="n"/>
      <c r="J119" s="147" t="n"/>
      <c r="K119" s="147" t="n"/>
      <c r="L119" s="147" t="n"/>
      <c r="M119" s="147" t="n"/>
      <c r="N119" s="147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  <c r="Z119" s="147" t="n"/>
      <c r="AA119" s="147" t="n"/>
      <c r="AB119" s="147" t="n"/>
      <c r="AC119" s="147" t="n"/>
      <c r="AD119" s="147" t="n"/>
      <c r="AE119" s="147" t="n"/>
      <c r="AF119" s="147" t="n"/>
      <c r="AG119" s="147" t="n"/>
      <c r="AH119" s="147" t="n"/>
      <c r="AI119" s="147" t="n"/>
      <c r="AJ119" s="147" t="n"/>
      <c r="AK119" s="147" t="n"/>
      <c r="AL119" s="147" t="n"/>
      <c r="AM119" s="147" t="n"/>
      <c r="AN119" s="147" t="n"/>
      <c r="AO119" s="147" t="n"/>
      <c r="AP119" s="147" t="n"/>
      <c r="AQ119" s="147" t="n"/>
      <c r="AR119" s="147" t="n"/>
      <c r="AS119" s="147" t="n"/>
      <c r="AT119" s="147" t="n"/>
      <c r="AU119" s="147" t="n"/>
      <c r="AV119" s="147" t="n"/>
      <c r="AW119" s="147" t="n"/>
      <c r="AX119" s="147" t="n"/>
      <c r="AY119" s="147" t="n"/>
      <c r="AZ119" s="147" t="n"/>
      <c r="BA119" s="147" t="n"/>
      <c r="BB119" s="147" t="n"/>
      <c r="BC119" s="147" t="n"/>
      <c r="BD119" s="147" t="n"/>
      <c r="BE119" s="147" t="n"/>
      <c r="BF119" s="147" t="n"/>
      <c r="BG119" s="147" t="n"/>
      <c r="BH119" s="147" t="n"/>
    </row>
    <row r="120" ht="30" customHeight="1" s="251">
      <c r="A120" s="152" t="n"/>
      <c r="B120" s="147" t="n"/>
      <c r="C120" s="147" t="n"/>
      <c r="D120" s="147" t="n"/>
      <c r="E120" s="147" t="n"/>
      <c r="F120" s="147" t="n"/>
      <c r="G120" s="147" t="n"/>
      <c r="H120" s="147" t="n"/>
      <c r="I120" s="147" t="n"/>
      <c r="J120" s="147" t="n"/>
      <c r="K120" s="147" t="n"/>
      <c r="L120" s="147" t="n"/>
      <c r="M120" s="147" t="n"/>
      <c r="N120" s="147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  <c r="Z120" s="147" t="n"/>
      <c r="AA120" s="147" t="n"/>
      <c r="AB120" s="147" t="n"/>
      <c r="AC120" s="147" t="n"/>
      <c r="AD120" s="147" t="n"/>
      <c r="AE120" s="147" t="n"/>
      <c r="AF120" s="147" t="n"/>
      <c r="AG120" s="147" t="n"/>
      <c r="AH120" s="147" t="n"/>
      <c r="AI120" s="147" t="n"/>
      <c r="AJ120" s="147" t="n"/>
      <c r="AK120" s="147" t="n"/>
      <c r="AL120" s="147" t="n"/>
      <c r="AM120" s="147" t="n"/>
      <c r="AN120" s="147" t="n"/>
      <c r="AO120" s="147" t="n"/>
      <c r="AP120" s="147" t="n"/>
      <c r="AQ120" s="147" t="n"/>
      <c r="AR120" s="147" t="n"/>
      <c r="AS120" s="147" t="n"/>
      <c r="AT120" s="147" t="n"/>
      <c r="AU120" s="147" t="n"/>
      <c r="AV120" s="147" t="n"/>
      <c r="AW120" s="147" t="n"/>
      <c r="AX120" s="147" t="n"/>
      <c r="AY120" s="147" t="n"/>
      <c r="AZ120" s="147" t="n"/>
      <c r="BA120" s="147" t="n"/>
      <c r="BB120" s="147" t="n"/>
      <c r="BC120" s="147" t="n"/>
      <c r="BD120" s="147" t="n"/>
      <c r="BE120" s="147" t="n"/>
      <c r="BF120" s="147" t="n"/>
      <c r="BG120" s="147" t="n"/>
      <c r="BH120" s="147" t="n"/>
    </row>
    <row r="121" ht="30" customHeight="1" s="251">
      <c r="A121" s="152" t="n"/>
      <c r="B121" s="147" t="n"/>
      <c r="C121" s="147" t="n"/>
      <c r="D121" s="147" t="n"/>
      <c r="E121" s="147" t="n"/>
      <c r="F121" s="147" t="n"/>
      <c r="G121" s="147" t="n"/>
      <c r="H121" s="147" t="n"/>
      <c r="I121" s="147" t="n"/>
      <c r="J121" s="147" t="n"/>
      <c r="K121" s="147" t="n"/>
      <c r="L121" s="147" t="n"/>
      <c r="M121" s="147" t="n"/>
      <c r="N121" s="147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  <c r="Z121" s="147" t="n"/>
      <c r="AA121" s="147" t="n"/>
      <c r="AB121" s="147" t="n"/>
      <c r="AC121" s="147" t="n"/>
      <c r="AD121" s="147" t="n"/>
      <c r="AE121" s="147" t="n"/>
      <c r="AF121" s="147" t="n"/>
      <c r="AG121" s="147" t="n"/>
      <c r="AH121" s="147" t="n"/>
      <c r="AI121" s="147" t="n"/>
      <c r="AJ121" s="147" t="n"/>
      <c r="AK121" s="147" t="n"/>
      <c r="AL121" s="147" t="n"/>
      <c r="AM121" s="147" t="n"/>
      <c r="AN121" s="147" t="n"/>
      <c r="AO121" s="147" t="n"/>
      <c r="AP121" s="147" t="n"/>
      <c r="AQ121" s="147" t="n"/>
      <c r="AR121" s="147" t="n"/>
      <c r="AS121" s="147" t="n"/>
      <c r="AT121" s="147" t="n"/>
      <c r="AU121" s="147" t="n"/>
      <c r="AV121" s="147" t="n"/>
      <c r="AW121" s="147" t="n"/>
      <c r="AX121" s="147" t="n"/>
      <c r="AY121" s="147" t="n"/>
      <c r="AZ121" s="147" t="n"/>
      <c r="BA121" s="147" t="n"/>
      <c r="BB121" s="147" t="n"/>
      <c r="BC121" s="147" t="n"/>
      <c r="BD121" s="147" t="n"/>
      <c r="BE121" s="147" t="n"/>
      <c r="BF121" s="147" t="n"/>
      <c r="BG121" s="147" t="n"/>
      <c r="BH121" s="147" t="n"/>
    </row>
    <row r="122" ht="30" customHeight="1" s="251">
      <c r="A122" s="152" t="n"/>
      <c r="B122" s="147" t="n"/>
      <c r="C122" s="147" t="n"/>
      <c r="D122" s="147" t="n"/>
      <c r="E122" s="147" t="n"/>
      <c r="F122" s="147" t="n"/>
      <c r="G122" s="147" t="n"/>
      <c r="H122" s="147" t="n"/>
      <c r="I122" s="147" t="n"/>
      <c r="J122" s="147" t="n"/>
      <c r="K122" s="147" t="n"/>
      <c r="L122" s="147" t="n"/>
      <c r="M122" s="147" t="n"/>
      <c r="N122" s="147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  <c r="Z122" s="147" t="n"/>
      <c r="AA122" s="147" t="n"/>
      <c r="AB122" s="147" t="n"/>
      <c r="AC122" s="147" t="n"/>
      <c r="AD122" s="147" t="n"/>
      <c r="AE122" s="147" t="n"/>
      <c r="AF122" s="147" t="n"/>
      <c r="AG122" s="147" t="n"/>
      <c r="AH122" s="147" t="n"/>
      <c r="AI122" s="147" t="n"/>
      <c r="AJ122" s="147" t="n"/>
      <c r="AK122" s="147" t="n"/>
      <c r="AL122" s="147" t="n"/>
      <c r="AM122" s="147" t="n"/>
      <c r="AN122" s="147" t="n"/>
      <c r="AO122" s="147" t="n"/>
      <c r="AP122" s="147" t="n"/>
      <c r="AQ122" s="147" t="n"/>
      <c r="AR122" s="147" t="n"/>
      <c r="AS122" s="147" t="n"/>
      <c r="AT122" s="147" t="n"/>
      <c r="AU122" s="147" t="n"/>
      <c r="AV122" s="147" t="n"/>
      <c r="AW122" s="147" t="n"/>
      <c r="AX122" s="147" t="n"/>
      <c r="AY122" s="147" t="n"/>
      <c r="AZ122" s="147" t="n"/>
      <c r="BA122" s="147" t="n"/>
      <c r="BB122" s="147" t="n"/>
      <c r="BC122" s="147" t="n"/>
      <c r="BD122" s="147" t="n"/>
      <c r="BE122" s="147" t="n"/>
      <c r="BF122" s="147" t="n"/>
      <c r="BG122" s="147" t="n"/>
      <c r="BH122" s="147" t="n"/>
    </row>
    <row r="123" ht="30" customHeight="1" s="251">
      <c r="A123" s="152" t="n"/>
      <c r="B123" s="147" t="n"/>
      <c r="C123" s="147" t="n"/>
      <c r="D123" s="147" t="n"/>
      <c r="E123" s="147" t="n"/>
      <c r="F123" s="147" t="n"/>
      <c r="G123" s="147" t="n"/>
      <c r="H123" s="147" t="n"/>
      <c r="I123" s="147" t="n"/>
      <c r="J123" s="147" t="n"/>
      <c r="K123" s="147" t="n"/>
      <c r="L123" s="147" t="n"/>
      <c r="M123" s="147" t="n"/>
      <c r="N123" s="147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  <c r="Z123" s="147" t="n"/>
      <c r="AA123" s="147" t="n"/>
      <c r="AB123" s="147" t="n"/>
      <c r="AC123" s="147" t="n"/>
      <c r="AD123" s="147" t="n"/>
      <c r="AE123" s="147" t="n"/>
      <c r="AF123" s="147" t="n"/>
      <c r="AG123" s="147" t="n"/>
      <c r="AH123" s="147" t="n"/>
      <c r="AI123" s="147" t="n"/>
      <c r="AJ123" s="147" t="n"/>
      <c r="AK123" s="147" t="n"/>
      <c r="AL123" s="147" t="n"/>
      <c r="AM123" s="147" t="n"/>
      <c r="AN123" s="147" t="n"/>
      <c r="AO123" s="147" t="n"/>
      <c r="AP123" s="147" t="n"/>
      <c r="AQ123" s="147" t="n"/>
      <c r="AR123" s="147" t="n"/>
      <c r="AS123" s="147" t="n"/>
      <c r="AT123" s="147" t="n"/>
      <c r="AU123" s="147" t="n"/>
      <c r="AV123" s="147" t="n"/>
      <c r="AW123" s="147" t="n"/>
      <c r="AX123" s="147" t="n"/>
      <c r="AY123" s="147" t="n"/>
      <c r="AZ123" s="147" t="n"/>
      <c r="BA123" s="147" t="n"/>
      <c r="BB123" s="147" t="n"/>
      <c r="BC123" s="147" t="n"/>
      <c r="BD123" s="147" t="n"/>
      <c r="BE123" s="147" t="n"/>
      <c r="BF123" s="147" t="n"/>
      <c r="BG123" s="147" t="n"/>
      <c r="BH123" s="147" t="n"/>
    </row>
    <row r="124" ht="30" customHeight="1" s="251">
      <c r="A124" s="152" t="n"/>
      <c r="B124" s="147" t="n"/>
      <c r="C124" s="147" t="n"/>
      <c r="D124" s="147" t="n"/>
      <c r="E124" s="147" t="n"/>
      <c r="F124" s="147" t="n"/>
      <c r="G124" s="147" t="n"/>
      <c r="H124" s="147" t="n"/>
      <c r="I124" s="147" t="n"/>
      <c r="J124" s="147" t="n"/>
      <c r="K124" s="147" t="n"/>
      <c r="L124" s="147" t="n"/>
      <c r="M124" s="147" t="n"/>
      <c r="N124" s="147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 t="n"/>
      <c r="AB124" s="147" t="n"/>
      <c r="AC124" s="147" t="n"/>
      <c r="AD124" s="147" t="n"/>
      <c r="AE124" s="147" t="n"/>
      <c r="AF124" s="147" t="n"/>
      <c r="AG124" s="147" t="n"/>
      <c r="AH124" s="147" t="n"/>
      <c r="AI124" s="147" t="n"/>
      <c r="AJ124" s="147" t="n"/>
      <c r="AK124" s="147" t="n"/>
      <c r="AL124" s="147" t="n"/>
      <c r="AM124" s="147" t="n"/>
      <c r="AN124" s="147" t="n"/>
      <c r="AO124" s="147" t="n"/>
      <c r="AP124" s="147" t="n"/>
      <c r="AQ124" s="147" t="n"/>
      <c r="AR124" s="147" t="n"/>
      <c r="AS124" s="147" t="n"/>
      <c r="AT124" s="147" t="n"/>
      <c r="AU124" s="147" t="n"/>
      <c r="AV124" s="147" t="n"/>
      <c r="AW124" s="147" t="n"/>
      <c r="AX124" s="147" t="n"/>
      <c r="AY124" s="147" t="n"/>
      <c r="AZ124" s="147" t="n"/>
      <c r="BA124" s="147" t="n"/>
      <c r="BB124" s="147" t="n"/>
      <c r="BC124" s="147" t="n"/>
      <c r="BD124" s="147" t="n"/>
      <c r="BE124" s="147" t="n"/>
      <c r="BF124" s="147" t="n"/>
      <c r="BG124" s="147" t="n"/>
      <c r="BH124" s="147" t="n"/>
    </row>
    <row r="125" ht="30" customHeight="1" s="251">
      <c r="A125" s="152" t="n"/>
      <c r="B125" s="147" t="n"/>
      <c r="C125" s="147" t="n"/>
      <c r="D125" s="147" t="n"/>
      <c r="E125" s="147" t="n"/>
      <c r="F125" s="147" t="n"/>
      <c r="G125" s="147" t="n"/>
      <c r="H125" s="147" t="n"/>
      <c r="I125" s="147" t="n"/>
      <c r="J125" s="147" t="n"/>
      <c r="K125" s="147" t="n"/>
      <c r="L125" s="147" t="n"/>
      <c r="M125" s="147" t="n"/>
      <c r="N125" s="147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  <c r="Z125" s="147" t="n"/>
      <c r="AA125" s="147" t="n"/>
      <c r="AB125" s="147" t="n"/>
      <c r="AC125" s="147" t="n"/>
      <c r="AD125" s="147" t="n"/>
      <c r="AE125" s="147" t="n"/>
      <c r="AF125" s="147" t="n"/>
      <c r="AG125" s="147" t="n"/>
      <c r="AH125" s="147" t="n"/>
      <c r="AI125" s="147" t="n"/>
      <c r="AJ125" s="147" t="n"/>
      <c r="AK125" s="147" t="n"/>
      <c r="AL125" s="147" t="n"/>
      <c r="AM125" s="147" t="n"/>
      <c r="AN125" s="147" t="n"/>
      <c r="AO125" s="147" t="n"/>
      <c r="AP125" s="147" t="n"/>
      <c r="AQ125" s="147" t="n"/>
      <c r="AR125" s="147" t="n"/>
      <c r="AS125" s="147" t="n"/>
      <c r="AT125" s="147" t="n"/>
      <c r="AU125" s="147" t="n"/>
      <c r="AV125" s="147" t="n"/>
      <c r="AW125" s="147" t="n"/>
      <c r="AX125" s="147" t="n"/>
      <c r="AY125" s="147" t="n"/>
      <c r="AZ125" s="147" t="n"/>
      <c r="BA125" s="147" t="n"/>
      <c r="BB125" s="147" t="n"/>
      <c r="BC125" s="147" t="n"/>
      <c r="BD125" s="147" t="n"/>
      <c r="BE125" s="147" t="n"/>
      <c r="BF125" s="147" t="n"/>
      <c r="BG125" s="147" t="n"/>
      <c r="BH125" s="147" t="n"/>
    </row>
    <row r="126" ht="30" customHeight="1" s="251">
      <c r="A126" s="152" t="n"/>
      <c r="B126" s="147" t="n"/>
      <c r="C126" s="147" t="n"/>
      <c r="D126" s="147" t="n"/>
      <c r="E126" s="147" t="n"/>
      <c r="F126" s="147" t="n"/>
      <c r="G126" s="147" t="n"/>
      <c r="H126" s="147" t="n"/>
      <c r="I126" s="147" t="n"/>
      <c r="J126" s="147" t="n"/>
      <c r="K126" s="147" t="n"/>
      <c r="L126" s="147" t="n"/>
      <c r="M126" s="147" t="n"/>
      <c r="N126" s="147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  <c r="Z126" s="147" t="n"/>
      <c r="AA126" s="147" t="n"/>
      <c r="AB126" s="147" t="n"/>
      <c r="AC126" s="147" t="n"/>
      <c r="AD126" s="147" t="n"/>
      <c r="AE126" s="147" t="n"/>
      <c r="AF126" s="147" t="n"/>
      <c r="AG126" s="147" t="n"/>
      <c r="AH126" s="147" t="n"/>
      <c r="AI126" s="147" t="n"/>
      <c r="AJ126" s="147" t="n"/>
      <c r="AK126" s="147" t="n"/>
      <c r="AL126" s="147" t="n"/>
      <c r="AM126" s="147" t="n"/>
      <c r="AN126" s="147" t="n"/>
      <c r="AO126" s="147" t="n"/>
      <c r="AP126" s="147" t="n"/>
      <c r="AQ126" s="147" t="n"/>
      <c r="AR126" s="147" t="n"/>
      <c r="AS126" s="147" t="n"/>
      <c r="AT126" s="147" t="n"/>
      <c r="AU126" s="147" t="n"/>
      <c r="AV126" s="147" t="n"/>
      <c r="AW126" s="147" t="n"/>
      <c r="AX126" s="147" t="n"/>
      <c r="AY126" s="147" t="n"/>
      <c r="AZ126" s="147" t="n"/>
      <c r="BA126" s="147" t="n"/>
      <c r="BB126" s="147" t="n"/>
      <c r="BC126" s="147" t="n"/>
      <c r="BD126" s="147" t="n"/>
      <c r="BE126" s="147" t="n"/>
      <c r="BF126" s="147" t="n"/>
      <c r="BG126" s="147" t="n"/>
      <c r="BH126" s="147" t="n"/>
    </row>
    <row r="127" ht="30" customHeight="1" s="251">
      <c r="A127" s="152" t="n"/>
      <c r="B127" s="147" t="n"/>
      <c r="C127" s="147" t="n"/>
      <c r="D127" s="147" t="n"/>
      <c r="E127" s="147" t="n"/>
      <c r="F127" s="147" t="n"/>
      <c r="G127" s="147" t="n"/>
      <c r="H127" s="147" t="n"/>
      <c r="I127" s="147" t="n"/>
      <c r="J127" s="147" t="n"/>
      <c r="K127" s="147" t="n"/>
      <c r="L127" s="147" t="n"/>
      <c r="M127" s="147" t="n"/>
      <c r="N127" s="147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  <c r="Z127" s="147" t="n"/>
      <c r="AA127" s="147" t="n"/>
      <c r="AB127" s="147" t="n"/>
      <c r="AC127" s="147" t="n"/>
      <c r="AD127" s="147" t="n"/>
      <c r="AE127" s="147" t="n"/>
      <c r="AF127" s="147" t="n"/>
      <c r="AG127" s="147" t="n"/>
      <c r="AH127" s="147" t="n"/>
      <c r="AI127" s="147" t="n"/>
      <c r="AJ127" s="147" t="n"/>
      <c r="AK127" s="147" t="n"/>
      <c r="AL127" s="147" t="n"/>
      <c r="AM127" s="147" t="n"/>
      <c r="AN127" s="147" t="n"/>
      <c r="AO127" s="147" t="n"/>
      <c r="AP127" s="147" t="n"/>
      <c r="AQ127" s="147" t="n"/>
      <c r="AR127" s="147" t="n"/>
      <c r="AS127" s="147" t="n"/>
      <c r="AT127" s="147" t="n"/>
      <c r="AU127" s="147" t="n"/>
      <c r="AV127" s="147" t="n"/>
      <c r="AW127" s="147" t="n"/>
      <c r="AX127" s="147" t="n"/>
      <c r="AY127" s="147" t="n"/>
      <c r="AZ127" s="147" t="n"/>
      <c r="BA127" s="147" t="n"/>
      <c r="BB127" s="147" t="n"/>
      <c r="BC127" s="147" t="n"/>
      <c r="BD127" s="147" t="n"/>
      <c r="BE127" s="147" t="n"/>
      <c r="BF127" s="147" t="n"/>
      <c r="BG127" s="147" t="n"/>
      <c r="BH127" s="147" t="n"/>
    </row>
    <row r="128" ht="30" customHeight="1" s="251">
      <c r="A128" s="152" t="n"/>
      <c r="B128" s="147" t="n"/>
      <c r="C128" s="147" t="n"/>
      <c r="D128" s="147" t="n"/>
      <c r="E128" s="147" t="n"/>
      <c r="F128" s="147" t="n"/>
      <c r="G128" s="147" t="n"/>
      <c r="H128" s="147" t="n"/>
      <c r="I128" s="147" t="n"/>
      <c r="J128" s="147" t="n"/>
      <c r="K128" s="147" t="n"/>
      <c r="L128" s="147" t="n"/>
      <c r="M128" s="147" t="n"/>
      <c r="N128" s="147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  <c r="Z128" s="147" t="n"/>
      <c r="AA128" s="147" t="n"/>
      <c r="AB128" s="147" t="n"/>
      <c r="AC128" s="147" t="n"/>
      <c r="AD128" s="147" t="n"/>
      <c r="AE128" s="147" t="n"/>
      <c r="AF128" s="147" t="n"/>
      <c r="AG128" s="147" t="n"/>
      <c r="AH128" s="147" t="n"/>
      <c r="AI128" s="147" t="n"/>
      <c r="AJ128" s="147" t="n"/>
      <c r="AK128" s="147" t="n"/>
      <c r="AL128" s="147" t="n"/>
      <c r="AM128" s="147" t="n"/>
      <c r="AN128" s="147" t="n"/>
      <c r="AO128" s="147" t="n"/>
      <c r="AP128" s="147" t="n"/>
      <c r="AQ128" s="147" t="n"/>
      <c r="AR128" s="147" t="n"/>
      <c r="AS128" s="147" t="n"/>
      <c r="AT128" s="147" t="n"/>
      <c r="AU128" s="147" t="n"/>
      <c r="AV128" s="147" t="n"/>
      <c r="AW128" s="147" t="n"/>
      <c r="AX128" s="147" t="n"/>
      <c r="AY128" s="147" t="n"/>
      <c r="AZ128" s="147" t="n"/>
      <c r="BA128" s="147" t="n"/>
      <c r="BB128" s="147" t="n"/>
      <c r="BC128" s="147" t="n"/>
      <c r="BD128" s="147" t="n"/>
      <c r="BE128" s="147" t="n"/>
      <c r="BF128" s="147" t="n"/>
      <c r="BG128" s="147" t="n"/>
      <c r="BH128" s="147" t="n"/>
    </row>
    <row r="129" ht="30" customHeight="1" s="251">
      <c r="A129" s="152" t="n"/>
      <c r="B129" s="147" t="n"/>
      <c r="C129" s="147" t="n"/>
      <c r="D129" s="147" t="n"/>
      <c r="E129" s="147" t="n"/>
      <c r="F129" s="147" t="n"/>
      <c r="G129" s="147" t="n"/>
      <c r="H129" s="147" t="n"/>
      <c r="I129" s="147" t="n"/>
      <c r="J129" s="147" t="n"/>
      <c r="K129" s="147" t="n"/>
      <c r="L129" s="147" t="n"/>
      <c r="M129" s="147" t="n"/>
      <c r="N129" s="147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  <c r="Z129" s="147" t="n"/>
      <c r="AA129" s="147" t="n"/>
      <c r="AB129" s="147" t="n"/>
      <c r="AC129" s="147" t="n"/>
      <c r="AD129" s="147" t="n"/>
      <c r="AE129" s="147" t="n"/>
      <c r="AF129" s="147" t="n"/>
      <c r="AG129" s="147" t="n"/>
      <c r="AH129" s="147" t="n"/>
      <c r="AI129" s="147" t="n"/>
      <c r="AJ129" s="147" t="n"/>
      <c r="AK129" s="147" t="n"/>
      <c r="AL129" s="147" t="n"/>
      <c r="AM129" s="147" t="n"/>
      <c r="AN129" s="147" t="n"/>
      <c r="AO129" s="147" t="n"/>
      <c r="AP129" s="147" t="n"/>
      <c r="AQ129" s="147" t="n"/>
      <c r="AR129" s="147" t="n"/>
      <c r="AS129" s="147" t="n"/>
      <c r="AT129" s="147" t="n"/>
      <c r="AU129" s="147" t="n"/>
      <c r="AV129" s="147" t="n"/>
      <c r="AW129" s="147" t="n"/>
      <c r="AX129" s="147" t="n"/>
      <c r="AY129" s="147" t="n"/>
      <c r="AZ129" s="147" t="n"/>
      <c r="BA129" s="147" t="n"/>
      <c r="BB129" s="147" t="n"/>
      <c r="BC129" s="147" t="n"/>
      <c r="BD129" s="147" t="n"/>
      <c r="BE129" s="147" t="n"/>
      <c r="BF129" s="147" t="n"/>
      <c r="BG129" s="147" t="n"/>
      <c r="BH129" s="147" t="n"/>
    </row>
    <row r="130" ht="30" customHeight="1" s="251">
      <c r="A130" s="152" t="n"/>
      <c r="B130" s="147" t="n"/>
      <c r="C130" s="147" t="n"/>
      <c r="D130" s="147" t="n"/>
      <c r="E130" s="147" t="n"/>
      <c r="F130" s="147" t="n"/>
      <c r="G130" s="147" t="n"/>
      <c r="H130" s="147" t="n"/>
      <c r="I130" s="147" t="n"/>
      <c r="J130" s="147" t="n"/>
      <c r="K130" s="147" t="n"/>
      <c r="L130" s="147" t="n"/>
      <c r="M130" s="147" t="n"/>
      <c r="N130" s="147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  <c r="Z130" s="147" t="n"/>
      <c r="AA130" s="147" t="n"/>
      <c r="AB130" s="147" t="n"/>
      <c r="AC130" s="147" t="n"/>
      <c r="AD130" s="147" t="n"/>
      <c r="AE130" s="147" t="n"/>
      <c r="AF130" s="147" t="n"/>
      <c r="AG130" s="147" t="n"/>
      <c r="AH130" s="147" t="n"/>
      <c r="AI130" s="147" t="n"/>
      <c r="AJ130" s="147" t="n"/>
      <c r="AK130" s="147" t="n"/>
      <c r="AL130" s="147" t="n"/>
      <c r="AM130" s="147" t="n"/>
      <c r="AN130" s="147" t="n"/>
      <c r="AO130" s="147" t="n"/>
      <c r="AP130" s="147" t="n"/>
      <c r="AQ130" s="147" t="n"/>
      <c r="AR130" s="147" t="n"/>
      <c r="AS130" s="147" t="n"/>
      <c r="AT130" s="147" t="n"/>
      <c r="AU130" s="147" t="n"/>
      <c r="AV130" s="147" t="n"/>
      <c r="AW130" s="147" t="n"/>
      <c r="AX130" s="147" t="n"/>
      <c r="AY130" s="147" t="n"/>
      <c r="AZ130" s="147" t="n"/>
      <c r="BA130" s="147" t="n"/>
      <c r="BB130" s="147" t="n"/>
      <c r="BC130" s="147" t="n"/>
      <c r="BD130" s="147" t="n"/>
      <c r="BE130" s="147" t="n"/>
      <c r="BF130" s="147" t="n"/>
      <c r="BG130" s="147" t="n"/>
      <c r="BH130" s="147" t="n"/>
    </row>
    <row r="131" ht="30" customHeight="1" s="251">
      <c r="A131" s="152" t="n"/>
      <c r="B131" s="147" t="n"/>
      <c r="C131" s="147" t="n"/>
      <c r="D131" s="147" t="n"/>
      <c r="E131" s="147" t="n"/>
      <c r="F131" s="147" t="n"/>
      <c r="G131" s="147" t="n"/>
      <c r="H131" s="147" t="n"/>
      <c r="I131" s="147" t="n"/>
      <c r="J131" s="147" t="n"/>
      <c r="K131" s="147" t="n"/>
      <c r="L131" s="147" t="n"/>
      <c r="M131" s="147" t="n"/>
      <c r="N131" s="147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  <c r="Z131" s="147" t="n"/>
      <c r="AA131" s="147" t="n"/>
      <c r="AB131" s="147" t="n"/>
      <c r="AC131" s="147" t="n"/>
      <c r="AD131" s="147" t="n"/>
      <c r="AE131" s="147" t="n"/>
      <c r="AF131" s="147" t="n"/>
      <c r="AG131" s="147" t="n"/>
      <c r="AH131" s="147" t="n"/>
      <c r="AI131" s="147" t="n"/>
      <c r="AJ131" s="147" t="n"/>
      <c r="AK131" s="147" t="n"/>
      <c r="AL131" s="147" t="n"/>
      <c r="AM131" s="147" t="n"/>
      <c r="AN131" s="147" t="n"/>
      <c r="AO131" s="147" t="n"/>
      <c r="AP131" s="147" t="n"/>
      <c r="AQ131" s="147" t="n"/>
      <c r="AR131" s="147" t="n"/>
      <c r="AS131" s="147" t="n"/>
      <c r="AT131" s="147" t="n"/>
      <c r="AU131" s="147" t="n"/>
      <c r="AV131" s="147" t="n"/>
      <c r="AW131" s="147" t="n"/>
      <c r="AX131" s="147" t="n"/>
      <c r="AY131" s="147" t="n"/>
      <c r="AZ131" s="147" t="n"/>
      <c r="BA131" s="147" t="n"/>
      <c r="BB131" s="147" t="n"/>
      <c r="BC131" s="147" t="n"/>
      <c r="BD131" s="147" t="n"/>
      <c r="BE131" s="147" t="n"/>
      <c r="BF131" s="147" t="n"/>
      <c r="BG131" s="147" t="n"/>
      <c r="BH131" s="147" t="n"/>
    </row>
    <row r="132" ht="30" customHeight="1" s="251">
      <c r="A132" s="152" t="n"/>
      <c r="B132" s="147" t="n"/>
      <c r="C132" s="147" t="n"/>
      <c r="D132" s="147" t="n"/>
      <c r="E132" s="147" t="n"/>
      <c r="F132" s="147" t="n"/>
      <c r="G132" s="147" t="n"/>
      <c r="H132" s="147" t="n"/>
      <c r="I132" s="147" t="n"/>
      <c r="J132" s="147" t="n"/>
      <c r="K132" s="147" t="n"/>
      <c r="L132" s="147" t="n"/>
      <c r="M132" s="147" t="n"/>
      <c r="N132" s="147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  <c r="Z132" s="147" t="n"/>
      <c r="AA132" s="147" t="n"/>
      <c r="AB132" s="147" t="n"/>
      <c r="AC132" s="147" t="n"/>
      <c r="AD132" s="147" t="n"/>
      <c r="AE132" s="147" t="n"/>
      <c r="AF132" s="147" t="n"/>
      <c r="AG132" s="147" t="n"/>
      <c r="AH132" s="147" t="n"/>
      <c r="AI132" s="147" t="n"/>
      <c r="AJ132" s="147" t="n"/>
      <c r="AK132" s="147" t="n"/>
      <c r="AL132" s="147" t="n"/>
      <c r="AM132" s="147" t="n"/>
      <c r="AN132" s="147" t="n"/>
      <c r="AO132" s="147" t="n"/>
      <c r="AP132" s="147" t="n"/>
      <c r="AQ132" s="147" t="n"/>
      <c r="AR132" s="147" t="n"/>
      <c r="AS132" s="147" t="n"/>
      <c r="AT132" s="147" t="n"/>
      <c r="AU132" s="147" t="n"/>
      <c r="AV132" s="147" t="n"/>
      <c r="AW132" s="147" t="n"/>
      <c r="AX132" s="147" t="n"/>
      <c r="AY132" s="147" t="n"/>
      <c r="AZ132" s="147" t="n"/>
      <c r="BA132" s="147" t="n"/>
      <c r="BB132" s="147" t="n"/>
      <c r="BC132" s="147" t="n"/>
      <c r="BD132" s="147" t="n"/>
      <c r="BE132" s="147" t="n"/>
      <c r="BF132" s="147" t="n"/>
      <c r="BG132" s="147" t="n"/>
      <c r="BH132" s="147" t="n"/>
    </row>
    <row r="133" ht="30" customHeight="1" s="251">
      <c r="A133" s="152" t="n"/>
      <c r="B133" s="147" t="n"/>
      <c r="C133" s="147" t="n"/>
      <c r="D133" s="147" t="n"/>
      <c r="E133" s="147" t="n"/>
      <c r="F133" s="147" t="n"/>
      <c r="G133" s="147" t="n"/>
      <c r="H133" s="147" t="n"/>
      <c r="I133" s="147" t="n"/>
      <c r="J133" s="147" t="n"/>
      <c r="K133" s="147" t="n"/>
      <c r="L133" s="147" t="n"/>
      <c r="M133" s="147" t="n"/>
      <c r="N133" s="147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  <c r="Z133" s="147" t="n"/>
      <c r="AA133" s="147" t="n"/>
      <c r="AB133" s="147" t="n"/>
      <c r="AC133" s="147" t="n"/>
      <c r="AD133" s="147" t="n"/>
      <c r="AE133" s="147" t="n"/>
      <c r="AF133" s="147" t="n"/>
      <c r="AG133" s="147" t="n"/>
      <c r="AH133" s="147" t="n"/>
      <c r="AI133" s="147" t="n"/>
      <c r="AJ133" s="147" t="n"/>
      <c r="AK133" s="147" t="n"/>
      <c r="AL133" s="147" t="n"/>
      <c r="AM133" s="147" t="n"/>
      <c r="AN133" s="147" t="n"/>
      <c r="AO133" s="147" t="n"/>
      <c r="AP133" s="147" t="n"/>
      <c r="AQ133" s="147" t="n"/>
      <c r="AR133" s="147" t="n"/>
      <c r="AS133" s="147" t="n"/>
      <c r="AT133" s="147" t="n"/>
      <c r="AU133" s="147" t="n"/>
      <c r="AV133" s="147" t="n"/>
      <c r="AW133" s="147" t="n"/>
      <c r="AX133" s="147" t="n"/>
      <c r="AY133" s="147" t="n"/>
      <c r="AZ133" s="147" t="n"/>
      <c r="BA133" s="147" t="n"/>
      <c r="BB133" s="147" t="n"/>
      <c r="BC133" s="147" t="n"/>
      <c r="BD133" s="147" t="n"/>
      <c r="BE133" s="147" t="n"/>
      <c r="BF133" s="147" t="n"/>
      <c r="BG133" s="147" t="n"/>
      <c r="BH133" s="147" t="n"/>
    </row>
    <row r="134" ht="30" customHeight="1" s="251">
      <c r="A134" s="152" t="n"/>
      <c r="B134" s="147" t="n"/>
      <c r="C134" s="147" t="n"/>
      <c r="D134" s="147" t="n"/>
      <c r="E134" s="147" t="n"/>
      <c r="F134" s="147" t="n"/>
      <c r="G134" s="147" t="n"/>
      <c r="H134" s="147" t="n"/>
      <c r="I134" s="147" t="n"/>
      <c r="J134" s="147" t="n"/>
      <c r="K134" s="147" t="n"/>
      <c r="L134" s="147" t="n"/>
      <c r="M134" s="147" t="n"/>
      <c r="N134" s="147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  <c r="Z134" s="147" t="n"/>
      <c r="AA134" s="147" t="n"/>
      <c r="AB134" s="147" t="n"/>
      <c r="AC134" s="147" t="n"/>
      <c r="AD134" s="147" t="n"/>
      <c r="AE134" s="147" t="n"/>
      <c r="AF134" s="147" t="n"/>
      <c r="AG134" s="147" t="n"/>
      <c r="AH134" s="147" t="n"/>
      <c r="AI134" s="147" t="n"/>
      <c r="AJ134" s="147" t="n"/>
      <c r="AK134" s="147" t="n"/>
      <c r="AL134" s="147" t="n"/>
      <c r="AM134" s="147" t="n"/>
      <c r="AN134" s="147" t="n"/>
      <c r="AO134" s="147" t="n"/>
      <c r="AP134" s="147" t="n"/>
      <c r="AQ134" s="147" t="n"/>
      <c r="AR134" s="147" t="n"/>
      <c r="AS134" s="147" t="n"/>
      <c r="AT134" s="147" t="n"/>
      <c r="AU134" s="147" t="n"/>
      <c r="AV134" s="147" t="n"/>
      <c r="AW134" s="147" t="n"/>
      <c r="AX134" s="147" t="n"/>
      <c r="AY134" s="147" t="n"/>
      <c r="AZ134" s="147" t="n"/>
      <c r="BA134" s="147" t="n"/>
      <c r="BB134" s="147" t="n"/>
      <c r="BC134" s="147" t="n"/>
      <c r="BD134" s="147" t="n"/>
      <c r="BE134" s="147" t="n"/>
      <c r="BF134" s="147" t="n"/>
      <c r="BG134" s="147" t="n"/>
      <c r="BH134" s="147" t="n"/>
    </row>
    <row r="135" ht="30" customHeight="1" s="251">
      <c r="A135" s="152" t="n"/>
      <c r="B135" s="147" t="n"/>
      <c r="C135" s="147" t="n"/>
      <c r="D135" s="147" t="n"/>
      <c r="E135" s="147" t="n"/>
      <c r="F135" s="147" t="n"/>
      <c r="G135" s="147" t="n"/>
      <c r="H135" s="147" t="n"/>
      <c r="I135" s="147" t="n"/>
      <c r="J135" s="147" t="n"/>
      <c r="K135" s="147" t="n"/>
      <c r="L135" s="147" t="n"/>
      <c r="M135" s="147" t="n"/>
      <c r="N135" s="147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  <c r="Z135" s="147" t="n"/>
      <c r="AA135" s="147" t="n"/>
      <c r="AB135" s="147" t="n"/>
      <c r="AC135" s="147" t="n"/>
      <c r="AD135" s="147" t="n"/>
      <c r="AE135" s="147" t="n"/>
      <c r="AF135" s="147" t="n"/>
      <c r="AG135" s="147" t="n"/>
      <c r="AH135" s="147" t="n"/>
      <c r="AI135" s="147" t="n"/>
      <c r="AJ135" s="147" t="n"/>
      <c r="AK135" s="147" t="n"/>
      <c r="AL135" s="147" t="n"/>
      <c r="AM135" s="147" t="n"/>
      <c r="AN135" s="147" t="n"/>
      <c r="AO135" s="147" t="n"/>
      <c r="AP135" s="147" t="n"/>
      <c r="AQ135" s="147" t="n"/>
      <c r="AR135" s="147" t="n"/>
      <c r="AS135" s="147" t="n"/>
      <c r="AT135" s="147" t="n"/>
      <c r="AU135" s="147" t="n"/>
      <c r="AV135" s="147" t="n"/>
      <c r="AW135" s="147" t="n"/>
      <c r="AX135" s="147" t="n"/>
      <c r="AY135" s="147" t="n"/>
      <c r="AZ135" s="147" t="n"/>
      <c r="BA135" s="147" t="n"/>
      <c r="BB135" s="147" t="n"/>
      <c r="BC135" s="147" t="n"/>
      <c r="BD135" s="147" t="n"/>
      <c r="BE135" s="147" t="n"/>
      <c r="BF135" s="147" t="n"/>
      <c r="BG135" s="147" t="n"/>
      <c r="BH135" s="147" t="n"/>
    </row>
    <row r="136" ht="30" customHeight="1" s="251">
      <c r="A136" s="152" t="n"/>
      <c r="B136" s="147" t="n"/>
      <c r="C136" s="147" t="n"/>
      <c r="D136" s="147" t="n"/>
      <c r="E136" s="147" t="n"/>
      <c r="F136" s="147" t="n"/>
      <c r="G136" s="147" t="n"/>
      <c r="H136" s="147" t="n"/>
      <c r="I136" s="147" t="n"/>
      <c r="J136" s="147" t="n"/>
      <c r="K136" s="147" t="n"/>
      <c r="L136" s="147" t="n"/>
      <c r="M136" s="147" t="n"/>
      <c r="N136" s="147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  <c r="Z136" s="147" t="n"/>
      <c r="AA136" s="147" t="n"/>
      <c r="AB136" s="147" t="n"/>
      <c r="AC136" s="147" t="n"/>
      <c r="AD136" s="147" t="n"/>
      <c r="AE136" s="147" t="n"/>
      <c r="AF136" s="147" t="n"/>
      <c r="AG136" s="147" t="n"/>
      <c r="AH136" s="147" t="n"/>
      <c r="AI136" s="147" t="n"/>
      <c r="AJ136" s="147" t="n"/>
      <c r="AK136" s="147" t="n"/>
      <c r="AL136" s="147" t="n"/>
      <c r="AM136" s="147" t="n"/>
      <c r="AN136" s="147" t="n"/>
      <c r="AO136" s="147" t="n"/>
      <c r="AP136" s="147" t="n"/>
      <c r="AQ136" s="147" t="n"/>
      <c r="AR136" s="147" t="n"/>
      <c r="AS136" s="147" t="n"/>
      <c r="AT136" s="147" t="n"/>
      <c r="AU136" s="147" t="n"/>
      <c r="AV136" s="147" t="n"/>
      <c r="AW136" s="147" t="n"/>
      <c r="AX136" s="147" t="n"/>
      <c r="AY136" s="147" t="n"/>
      <c r="AZ136" s="147" t="n"/>
      <c r="BA136" s="147" t="n"/>
      <c r="BB136" s="147" t="n"/>
      <c r="BC136" s="147" t="n"/>
      <c r="BD136" s="147" t="n"/>
      <c r="BE136" s="147" t="n"/>
      <c r="BF136" s="147" t="n"/>
      <c r="BG136" s="147" t="n"/>
      <c r="BH136" s="147" t="n"/>
    </row>
    <row r="137" ht="30" customHeight="1" s="251">
      <c r="A137" s="152" t="n"/>
      <c r="B137" s="147" t="n"/>
      <c r="C137" s="147" t="n"/>
      <c r="D137" s="147" t="n"/>
      <c r="E137" s="147" t="n"/>
      <c r="F137" s="147" t="n"/>
      <c r="G137" s="147" t="n"/>
      <c r="H137" s="147" t="n"/>
      <c r="I137" s="147" t="n"/>
      <c r="J137" s="147" t="n"/>
      <c r="K137" s="147" t="n"/>
      <c r="L137" s="147" t="n"/>
      <c r="M137" s="147" t="n"/>
      <c r="N137" s="147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  <c r="Z137" s="147" t="n"/>
      <c r="AA137" s="147" t="n"/>
      <c r="AB137" s="147" t="n"/>
      <c r="AC137" s="147" t="n"/>
      <c r="AD137" s="147" t="n"/>
      <c r="AE137" s="147" t="n"/>
      <c r="AF137" s="147" t="n"/>
      <c r="AG137" s="147" t="n"/>
      <c r="AH137" s="147" t="n"/>
      <c r="AI137" s="147" t="n"/>
      <c r="AJ137" s="147" t="n"/>
      <c r="AK137" s="147" t="n"/>
      <c r="AL137" s="147" t="n"/>
      <c r="AM137" s="147" t="n"/>
      <c r="AN137" s="147" t="n"/>
      <c r="AO137" s="147" t="n"/>
      <c r="AP137" s="147" t="n"/>
      <c r="AQ137" s="147" t="n"/>
      <c r="AR137" s="147" t="n"/>
      <c r="AS137" s="147" t="n"/>
      <c r="AT137" s="147" t="n"/>
      <c r="AU137" s="147" t="n"/>
      <c r="AV137" s="147" t="n"/>
      <c r="AW137" s="147" t="n"/>
      <c r="AX137" s="147" t="n"/>
      <c r="AY137" s="147" t="n"/>
      <c r="AZ137" s="147" t="n"/>
      <c r="BA137" s="147" t="n"/>
      <c r="BB137" s="147" t="n"/>
      <c r="BC137" s="147" t="n"/>
      <c r="BD137" s="147" t="n"/>
      <c r="BE137" s="147" t="n"/>
      <c r="BF137" s="147" t="n"/>
      <c r="BG137" s="147" t="n"/>
      <c r="BH137" s="147" t="n"/>
    </row>
    <row r="138" ht="30" customHeight="1" s="251">
      <c r="A138" s="152" t="n"/>
      <c r="B138" s="147" t="n"/>
      <c r="C138" s="147" t="n"/>
      <c r="D138" s="147" t="n"/>
      <c r="E138" s="147" t="n"/>
      <c r="F138" s="147" t="n"/>
      <c r="G138" s="147" t="n"/>
      <c r="H138" s="147" t="n"/>
      <c r="I138" s="147" t="n"/>
      <c r="J138" s="147" t="n"/>
      <c r="K138" s="147" t="n"/>
      <c r="L138" s="147" t="n"/>
      <c r="M138" s="147" t="n"/>
      <c r="N138" s="147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  <c r="Z138" s="147" t="n"/>
      <c r="AA138" s="147" t="n"/>
      <c r="AB138" s="147" t="n"/>
      <c r="AC138" s="147" t="n"/>
      <c r="AD138" s="147" t="n"/>
      <c r="AE138" s="147" t="n"/>
      <c r="AF138" s="147" t="n"/>
      <c r="AG138" s="147" t="n"/>
      <c r="AH138" s="147" t="n"/>
      <c r="AI138" s="147" t="n"/>
      <c r="AJ138" s="147" t="n"/>
      <c r="AK138" s="147" t="n"/>
      <c r="AL138" s="147" t="n"/>
      <c r="AM138" s="147" t="n"/>
      <c r="AN138" s="147" t="n"/>
      <c r="AO138" s="147" t="n"/>
      <c r="AP138" s="147" t="n"/>
      <c r="AQ138" s="147" t="n"/>
      <c r="AR138" s="147" t="n"/>
      <c r="AS138" s="147" t="n"/>
      <c r="AT138" s="147" t="n"/>
      <c r="AU138" s="147" t="n"/>
      <c r="AV138" s="147" t="n"/>
      <c r="AW138" s="147" t="n"/>
      <c r="AX138" s="147" t="n"/>
      <c r="AY138" s="147" t="n"/>
      <c r="AZ138" s="147" t="n"/>
      <c r="BA138" s="147" t="n"/>
      <c r="BB138" s="147" t="n"/>
      <c r="BC138" s="147" t="n"/>
      <c r="BD138" s="147" t="n"/>
      <c r="BE138" s="147" t="n"/>
      <c r="BF138" s="147" t="n"/>
      <c r="BG138" s="147" t="n"/>
      <c r="BH138" s="147" t="n"/>
    </row>
    <row r="139" ht="30" customHeight="1" s="251">
      <c r="A139" s="152" t="n"/>
      <c r="B139" s="147" t="n"/>
      <c r="C139" s="147" t="n"/>
      <c r="D139" s="147" t="n"/>
      <c r="E139" s="147" t="n"/>
      <c r="F139" s="147" t="n"/>
      <c r="G139" s="147" t="n"/>
      <c r="H139" s="147" t="n"/>
      <c r="I139" s="147" t="n"/>
      <c r="J139" s="147" t="n"/>
      <c r="K139" s="147" t="n"/>
      <c r="L139" s="147" t="n"/>
      <c r="M139" s="147" t="n"/>
      <c r="N139" s="147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  <c r="Z139" s="147" t="n"/>
      <c r="AA139" s="147" t="n"/>
      <c r="AB139" s="147" t="n"/>
      <c r="AC139" s="147" t="n"/>
      <c r="AD139" s="147" t="n"/>
      <c r="AE139" s="147" t="n"/>
      <c r="AF139" s="147" t="n"/>
      <c r="AG139" s="147" t="n"/>
      <c r="AH139" s="147" t="n"/>
      <c r="AI139" s="147" t="n"/>
      <c r="AJ139" s="147" t="n"/>
      <c r="AK139" s="147" t="n"/>
      <c r="AL139" s="147" t="n"/>
      <c r="AM139" s="147" t="n"/>
      <c r="AN139" s="147" t="n"/>
      <c r="AO139" s="147" t="n"/>
      <c r="AP139" s="147" t="n"/>
      <c r="AQ139" s="147" t="n"/>
      <c r="AR139" s="147" t="n"/>
      <c r="AS139" s="147" t="n"/>
      <c r="AT139" s="147" t="n"/>
      <c r="AU139" s="147" t="n"/>
      <c r="AV139" s="147" t="n"/>
      <c r="AW139" s="147" t="n"/>
      <c r="AX139" s="147" t="n"/>
      <c r="AY139" s="147" t="n"/>
      <c r="AZ139" s="147" t="n"/>
      <c r="BA139" s="147" t="n"/>
      <c r="BB139" s="147" t="n"/>
      <c r="BC139" s="147" t="n"/>
      <c r="BD139" s="147" t="n"/>
      <c r="BE139" s="147" t="n"/>
      <c r="BF139" s="147" t="n"/>
      <c r="BG139" s="147" t="n"/>
      <c r="BH139" s="147" t="n"/>
    </row>
    <row r="140" ht="30" customHeight="1" s="251">
      <c r="A140" s="152" t="n"/>
      <c r="B140" s="147" t="n"/>
      <c r="C140" s="147" t="n"/>
      <c r="D140" s="147" t="n"/>
      <c r="E140" s="147" t="n"/>
      <c r="F140" s="147" t="n"/>
      <c r="G140" s="147" t="n"/>
      <c r="H140" s="147" t="n"/>
      <c r="I140" s="147" t="n"/>
      <c r="J140" s="147" t="n"/>
      <c r="K140" s="147" t="n"/>
      <c r="L140" s="147" t="n"/>
      <c r="M140" s="147" t="n"/>
      <c r="N140" s="147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  <c r="Z140" s="147" t="n"/>
      <c r="AA140" s="147" t="n"/>
      <c r="AB140" s="147" t="n"/>
      <c r="AC140" s="147" t="n"/>
      <c r="AD140" s="147" t="n"/>
      <c r="AE140" s="147" t="n"/>
      <c r="AF140" s="147" t="n"/>
      <c r="AG140" s="147" t="n"/>
      <c r="AH140" s="147" t="n"/>
      <c r="AI140" s="147" t="n"/>
      <c r="AJ140" s="147" t="n"/>
      <c r="AK140" s="147" t="n"/>
      <c r="AL140" s="147" t="n"/>
      <c r="AM140" s="147" t="n"/>
      <c r="AN140" s="147" t="n"/>
      <c r="AO140" s="147" t="n"/>
      <c r="AP140" s="147" t="n"/>
      <c r="AQ140" s="147" t="n"/>
      <c r="AR140" s="147" t="n"/>
      <c r="AS140" s="147" t="n"/>
      <c r="AT140" s="147" t="n"/>
      <c r="AU140" s="147" t="n"/>
      <c r="AV140" s="147" t="n"/>
      <c r="AW140" s="147" t="n"/>
      <c r="AX140" s="147" t="n"/>
      <c r="AY140" s="147" t="n"/>
      <c r="AZ140" s="147" t="n"/>
      <c r="BA140" s="147" t="n"/>
      <c r="BB140" s="147" t="n"/>
      <c r="BC140" s="147" t="n"/>
      <c r="BD140" s="147" t="n"/>
      <c r="BE140" s="147" t="n"/>
      <c r="BF140" s="147" t="n"/>
      <c r="BG140" s="147" t="n"/>
      <c r="BH140" s="147" t="n"/>
    </row>
    <row r="141" ht="30" customHeight="1" s="251">
      <c r="A141" s="152" t="n"/>
      <c r="B141" s="147" t="n"/>
      <c r="C141" s="147" t="n"/>
      <c r="D141" s="147" t="n"/>
      <c r="E141" s="147" t="n"/>
      <c r="F141" s="147" t="n"/>
      <c r="G141" s="147" t="n"/>
      <c r="H141" s="147" t="n"/>
      <c r="I141" s="147" t="n"/>
      <c r="J141" s="147" t="n"/>
      <c r="K141" s="147" t="n"/>
      <c r="L141" s="147" t="n"/>
      <c r="M141" s="147" t="n"/>
      <c r="N141" s="147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  <c r="Z141" s="147" t="n"/>
      <c r="AA141" s="147" t="n"/>
      <c r="AB141" s="147" t="n"/>
      <c r="AC141" s="147" t="n"/>
      <c r="AD141" s="147" t="n"/>
      <c r="AE141" s="147" t="n"/>
      <c r="AF141" s="147" t="n"/>
      <c r="AG141" s="147" t="n"/>
      <c r="AH141" s="147" t="n"/>
      <c r="AI141" s="147" t="n"/>
      <c r="AJ141" s="147" t="n"/>
      <c r="AK141" s="147" t="n"/>
      <c r="AL141" s="147" t="n"/>
      <c r="AM141" s="147" t="n"/>
      <c r="AN141" s="147" t="n"/>
      <c r="AO141" s="147" t="n"/>
      <c r="AP141" s="147" t="n"/>
      <c r="AQ141" s="147" t="n"/>
      <c r="AR141" s="147" t="n"/>
      <c r="AS141" s="147" t="n"/>
      <c r="AT141" s="147" t="n"/>
      <c r="AU141" s="147" t="n"/>
      <c r="AV141" s="147" t="n"/>
      <c r="AW141" s="147" t="n"/>
      <c r="AX141" s="147" t="n"/>
      <c r="AY141" s="147" t="n"/>
      <c r="AZ141" s="147" t="n"/>
      <c r="BA141" s="147" t="n"/>
      <c r="BB141" s="147" t="n"/>
      <c r="BC141" s="147" t="n"/>
      <c r="BD141" s="147" t="n"/>
      <c r="BE141" s="147" t="n"/>
      <c r="BF141" s="147" t="n"/>
      <c r="BG141" s="147" t="n"/>
      <c r="BH141" s="147" t="n"/>
    </row>
    <row r="142" ht="30" customHeight="1" s="251">
      <c r="A142" s="152" t="n"/>
      <c r="B142" s="147" t="n"/>
      <c r="C142" s="147" t="n"/>
      <c r="D142" s="147" t="n"/>
      <c r="E142" s="147" t="n"/>
      <c r="F142" s="147" t="n"/>
      <c r="G142" s="147" t="n"/>
      <c r="H142" s="147" t="n"/>
      <c r="I142" s="147" t="n"/>
      <c r="J142" s="147" t="n"/>
      <c r="K142" s="147" t="n"/>
      <c r="L142" s="147" t="n"/>
      <c r="M142" s="147" t="n"/>
      <c r="N142" s="147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  <c r="Z142" s="147" t="n"/>
      <c r="AA142" s="147" t="n"/>
      <c r="AB142" s="147" t="n"/>
      <c r="AC142" s="147" t="n"/>
      <c r="AD142" s="147" t="n"/>
      <c r="AE142" s="147" t="n"/>
      <c r="AF142" s="147" t="n"/>
      <c r="AG142" s="147" t="n"/>
      <c r="AH142" s="147" t="n"/>
      <c r="AI142" s="147" t="n"/>
      <c r="AJ142" s="147" t="n"/>
      <c r="AK142" s="147" t="n"/>
      <c r="AL142" s="147" t="n"/>
      <c r="AM142" s="147" t="n"/>
      <c r="AN142" s="147" t="n"/>
      <c r="AO142" s="147" t="n"/>
      <c r="AP142" s="147" t="n"/>
      <c r="AQ142" s="147" t="n"/>
      <c r="AR142" s="147" t="n"/>
      <c r="AS142" s="147" t="n"/>
      <c r="AT142" s="147" t="n"/>
      <c r="AU142" s="147" t="n"/>
      <c r="AV142" s="147" t="n"/>
      <c r="AW142" s="147" t="n"/>
      <c r="AX142" s="147" t="n"/>
      <c r="AY142" s="147" t="n"/>
      <c r="AZ142" s="147" t="n"/>
      <c r="BA142" s="147" t="n"/>
      <c r="BB142" s="147" t="n"/>
      <c r="BC142" s="147" t="n"/>
      <c r="BD142" s="147" t="n"/>
      <c r="BE142" s="147" t="n"/>
      <c r="BF142" s="147" t="n"/>
      <c r="BG142" s="147" t="n"/>
      <c r="BH142" s="147" t="n"/>
    </row>
    <row r="143" ht="30" customHeight="1" s="251">
      <c r="A143" s="152" t="n"/>
      <c r="B143" s="147" t="n"/>
      <c r="C143" s="147" t="n"/>
      <c r="D143" s="147" t="n"/>
      <c r="E143" s="147" t="n"/>
      <c r="F143" s="147" t="n"/>
      <c r="G143" s="147" t="n"/>
      <c r="H143" s="147" t="n"/>
      <c r="I143" s="147" t="n"/>
      <c r="J143" s="147" t="n"/>
      <c r="K143" s="147" t="n"/>
      <c r="L143" s="147" t="n"/>
      <c r="M143" s="147" t="n"/>
      <c r="N143" s="147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  <c r="Z143" s="147" t="n"/>
      <c r="AA143" s="147" t="n"/>
      <c r="AB143" s="147" t="n"/>
      <c r="AC143" s="147" t="n"/>
      <c r="AD143" s="147" t="n"/>
      <c r="AE143" s="147" t="n"/>
      <c r="AF143" s="147" t="n"/>
      <c r="AG143" s="147" t="n"/>
      <c r="AH143" s="147" t="n"/>
      <c r="AI143" s="147" t="n"/>
      <c r="AJ143" s="147" t="n"/>
      <c r="AK143" s="147" t="n"/>
      <c r="AL143" s="147" t="n"/>
      <c r="AM143" s="147" t="n"/>
      <c r="AN143" s="147" t="n"/>
      <c r="AO143" s="147" t="n"/>
      <c r="AP143" s="147" t="n"/>
      <c r="AQ143" s="147" t="n"/>
      <c r="AR143" s="147" t="n"/>
      <c r="AS143" s="147" t="n"/>
      <c r="AT143" s="147" t="n"/>
      <c r="AU143" s="147" t="n"/>
      <c r="AV143" s="147" t="n"/>
      <c r="AW143" s="147" t="n"/>
      <c r="AX143" s="147" t="n"/>
      <c r="AY143" s="147" t="n"/>
      <c r="AZ143" s="147" t="n"/>
      <c r="BA143" s="147" t="n"/>
      <c r="BB143" s="147" t="n"/>
      <c r="BC143" s="147" t="n"/>
      <c r="BD143" s="147" t="n"/>
      <c r="BE143" s="147" t="n"/>
      <c r="BF143" s="147" t="n"/>
      <c r="BG143" s="147" t="n"/>
      <c r="BH143" s="147" t="n"/>
    </row>
    <row r="144" ht="30" customHeight="1" s="251">
      <c r="A144" s="152" t="n"/>
      <c r="B144" s="147" t="n"/>
      <c r="C144" s="147" t="n"/>
      <c r="D144" s="147" t="n"/>
      <c r="E144" s="147" t="n"/>
      <c r="F144" s="147" t="n"/>
      <c r="G144" s="147" t="n"/>
      <c r="H144" s="147" t="n"/>
      <c r="I144" s="147" t="n"/>
      <c r="J144" s="147" t="n"/>
      <c r="K144" s="147" t="n"/>
      <c r="L144" s="147" t="n"/>
      <c r="M144" s="147" t="n"/>
      <c r="N144" s="147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  <c r="Z144" s="147" t="n"/>
      <c r="AA144" s="147" t="n"/>
      <c r="AB144" s="147" t="n"/>
      <c r="AC144" s="147" t="n"/>
      <c r="AD144" s="147" t="n"/>
      <c r="AE144" s="147" t="n"/>
      <c r="AF144" s="147" t="n"/>
      <c r="AG144" s="147" t="n"/>
      <c r="AH144" s="147" t="n"/>
      <c r="AI144" s="147" t="n"/>
      <c r="AJ144" s="147" t="n"/>
      <c r="AK144" s="147" t="n"/>
      <c r="AL144" s="147" t="n"/>
      <c r="AM144" s="147" t="n"/>
      <c r="AN144" s="147" t="n"/>
      <c r="AO144" s="147" t="n"/>
      <c r="AP144" s="147" t="n"/>
      <c r="AQ144" s="147" t="n"/>
      <c r="AR144" s="147" t="n"/>
      <c r="AS144" s="147" t="n"/>
      <c r="AT144" s="147" t="n"/>
      <c r="AU144" s="147" t="n"/>
      <c r="AV144" s="147" t="n"/>
      <c r="AW144" s="147" t="n"/>
      <c r="AX144" s="147" t="n"/>
      <c r="AY144" s="147" t="n"/>
      <c r="AZ144" s="147" t="n"/>
      <c r="BA144" s="147" t="n"/>
      <c r="BB144" s="147" t="n"/>
      <c r="BC144" s="147" t="n"/>
      <c r="BD144" s="147" t="n"/>
      <c r="BE144" s="147" t="n"/>
      <c r="BF144" s="147" t="n"/>
      <c r="BG144" s="147" t="n"/>
      <c r="BH144" s="147" t="n"/>
    </row>
    <row r="145" ht="30" customHeight="1" s="251">
      <c r="A145" s="152" t="n"/>
      <c r="B145" s="147" t="n"/>
      <c r="C145" s="147" t="n"/>
      <c r="D145" s="147" t="n"/>
      <c r="E145" s="147" t="n"/>
      <c r="F145" s="147" t="n"/>
      <c r="G145" s="147" t="n"/>
      <c r="H145" s="147" t="n"/>
      <c r="I145" s="147" t="n"/>
      <c r="J145" s="147" t="n"/>
      <c r="K145" s="147" t="n"/>
      <c r="L145" s="147" t="n"/>
      <c r="M145" s="147" t="n"/>
      <c r="N145" s="147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  <c r="Z145" s="147" t="n"/>
      <c r="AA145" s="147" t="n"/>
      <c r="AB145" s="147" t="n"/>
      <c r="AC145" s="147" t="n"/>
      <c r="AD145" s="147" t="n"/>
      <c r="AE145" s="147" t="n"/>
      <c r="AF145" s="147" t="n"/>
      <c r="AG145" s="147" t="n"/>
      <c r="AH145" s="147" t="n"/>
      <c r="AI145" s="147" t="n"/>
      <c r="AJ145" s="147" t="n"/>
      <c r="AK145" s="147" t="n"/>
      <c r="AL145" s="147" t="n"/>
      <c r="AM145" s="147" t="n"/>
      <c r="AN145" s="147" t="n"/>
      <c r="AO145" s="147" t="n"/>
      <c r="AP145" s="147" t="n"/>
      <c r="AQ145" s="147" t="n"/>
      <c r="AR145" s="147" t="n"/>
      <c r="AS145" s="147" t="n"/>
      <c r="AT145" s="147" t="n"/>
      <c r="AU145" s="147" t="n"/>
      <c r="AV145" s="147" t="n"/>
      <c r="AW145" s="147" t="n"/>
      <c r="AX145" s="147" t="n"/>
      <c r="AY145" s="147" t="n"/>
      <c r="AZ145" s="147" t="n"/>
      <c r="BA145" s="147" t="n"/>
      <c r="BB145" s="147" t="n"/>
      <c r="BC145" s="147" t="n"/>
      <c r="BD145" s="147" t="n"/>
      <c r="BE145" s="147" t="n"/>
      <c r="BF145" s="147" t="n"/>
      <c r="BG145" s="147" t="n"/>
      <c r="BH145" s="147" t="n"/>
    </row>
    <row r="146" ht="30" customHeight="1" s="251">
      <c r="A146" s="152" t="n"/>
      <c r="B146" s="147" t="n"/>
      <c r="C146" s="147" t="n"/>
      <c r="D146" s="147" t="n"/>
      <c r="E146" s="147" t="n"/>
      <c r="F146" s="147" t="n"/>
      <c r="G146" s="147" t="n"/>
      <c r="H146" s="147" t="n"/>
      <c r="I146" s="147" t="n"/>
      <c r="J146" s="147" t="n"/>
      <c r="K146" s="147" t="n"/>
      <c r="L146" s="147" t="n"/>
      <c r="M146" s="147" t="n"/>
      <c r="N146" s="147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  <c r="Z146" s="147" t="n"/>
      <c r="AA146" s="147" t="n"/>
      <c r="AB146" s="147" t="n"/>
      <c r="AC146" s="147" t="n"/>
      <c r="AD146" s="147" t="n"/>
      <c r="AE146" s="147" t="n"/>
      <c r="AF146" s="147" t="n"/>
      <c r="AG146" s="147" t="n"/>
      <c r="AH146" s="147" t="n"/>
      <c r="AI146" s="147" t="n"/>
      <c r="AJ146" s="147" t="n"/>
      <c r="AK146" s="147" t="n"/>
      <c r="AL146" s="147" t="n"/>
      <c r="AM146" s="147" t="n"/>
      <c r="AN146" s="147" t="n"/>
      <c r="AO146" s="147" t="n"/>
      <c r="AP146" s="147" t="n"/>
      <c r="AQ146" s="147" t="n"/>
      <c r="AR146" s="147" t="n"/>
      <c r="AS146" s="147" t="n"/>
      <c r="AT146" s="147" t="n"/>
      <c r="AU146" s="147" t="n"/>
      <c r="AV146" s="147" t="n"/>
      <c r="AW146" s="147" t="n"/>
      <c r="AX146" s="147" t="n"/>
      <c r="AY146" s="147" t="n"/>
      <c r="AZ146" s="147" t="n"/>
      <c r="BA146" s="147" t="n"/>
      <c r="BB146" s="147" t="n"/>
      <c r="BC146" s="147" t="n"/>
      <c r="BD146" s="147" t="n"/>
      <c r="BE146" s="147" t="n"/>
      <c r="BF146" s="147" t="n"/>
      <c r="BG146" s="147" t="n"/>
      <c r="BH146" s="147" t="n"/>
    </row>
    <row r="147" ht="30" customHeight="1" s="251">
      <c r="A147" s="152" t="n"/>
      <c r="B147" s="147" t="n"/>
      <c r="C147" s="147" t="n"/>
      <c r="D147" s="147" t="n"/>
      <c r="E147" s="147" t="n"/>
      <c r="F147" s="147" t="n"/>
      <c r="G147" s="147" t="n"/>
      <c r="H147" s="147" t="n"/>
      <c r="I147" s="147" t="n"/>
      <c r="J147" s="147" t="n"/>
      <c r="K147" s="147" t="n"/>
      <c r="L147" s="147" t="n"/>
      <c r="M147" s="147" t="n"/>
      <c r="N147" s="147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  <c r="Z147" s="147" t="n"/>
      <c r="AA147" s="147" t="n"/>
      <c r="AB147" s="147" t="n"/>
      <c r="AC147" s="147" t="n"/>
      <c r="AD147" s="147" t="n"/>
      <c r="AE147" s="147" t="n"/>
      <c r="AF147" s="147" t="n"/>
      <c r="AG147" s="147" t="n"/>
      <c r="AH147" s="147" t="n"/>
      <c r="AI147" s="147" t="n"/>
      <c r="AJ147" s="147" t="n"/>
      <c r="AK147" s="147" t="n"/>
      <c r="AL147" s="147" t="n"/>
      <c r="AM147" s="147" t="n"/>
      <c r="AN147" s="147" t="n"/>
      <c r="AO147" s="147" t="n"/>
      <c r="AP147" s="147" t="n"/>
      <c r="AQ147" s="147" t="n"/>
      <c r="AR147" s="147" t="n"/>
      <c r="AS147" s="147" t="n"/>
      <c r="AT147" s="147" t="n"/>
      <c r="AU147" s="147" t="n"/>
      <c r="AV147" s="147" t="n"/>
      <c r="AW147" s="147" t="n"/>
      <c r="AX147" s="147" t="n"/>
      <c r="AY147" s="147" t="n"/>
      <c r="AZ147" s="147" t="n"/>
      <c r="BA147" s="147" t="n"/>
      <c r="BB147" s="147" t="n"/>
      <c r="BC147" s="147" t="n"/>
      <c r="BD147" s="147" t="n"/>
      <c r="BE147" s="147" t="n"/>
      <c r="BF147" s="147" t="n"/>
      <c r="BG147" s="147" t="n"/>
      <c r="BH147" s="147" t="n"/>
    </row>
    <row r="148" ht="30" customHeight="1" s="251">
      <c r="A148" s="152" t="n"/>
      <c r="B148" s="147" t="n"/>
      <c r="C148" s="147" t="n"/>
      <c r="D148" s="147" t="n"/>
      <c r="E148" s="147" t="n"/>
      <c r="F148" s="147" t="n"/>
      <c r="G148" s="147" t="n"/>
      <c r="H148" s="147" t="n"/>
      <c r="I148" s="147" t="n"/>
      <c r="J148" s="147" t="n"/>
      <c r="K148" s="147" t="n"/>
      <c r="L148" s="147" t="n"/>
      <c r="M148" s="147" t="n"/>
      <c r="N148" s="147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  <c r="Z148" s="147" t="n"/>
      <c r="AA148" s="147" t="n"/>
      <c r="AB148" s="147" t="n"/>
      <c r="AC148" s="147" t="n"/>
      <c r="AD148" s="147" t="n"/>
      <c r="AE148" s="147" t="n"/>
      <c r="AF148" s="147" t="n"/>
      <c r="AG148" s="147" t="n"/>
      <c r="AH148" s="147" t="n"/>
      <c r="AI148" s="147" t="n"/>
      <c r="AJ148" s="147" t="n"/>
      <c r="AK148" s="147" t="n"/>
      <c r="AL148" s="147" t="n"/>
      <c r="AM148" s="147" t="n"/>
      <c r="AN148" s="147" t="n"/>
      <c r="AO148" s="147" t="n"/>
      <c r="AP148" s="147" t="n"/>
      <c r="AQ148" s="147" t="n"/>
      <c r="AR148" s="147" t="n"/>
      <c r="AS148" s="147" t="n"/>
      <c r="AT148" s="147" t="n"/>
      <c r="AU148" s="147" t="n"/>
      <c r="AV148" s="147" t="n"/>
      <c r="AW148" s="147" t="n"/>
      <c r="AX148" s="147" t="n"/>
      <c r="AY148" s="147" t="n"/>
      <c r="AZ148" s="147" t="n"/>
      <c r="BA148" s="147" t="n"/>
      <c r="BB148" s="147" t="n"/>
      <c r="BC148" s="147" t="n"/>
      <c r="BD148" s="147" t="n"/>
      <c r="BE148" s="147" t="n"/>
      <c r="BF148" s="147" t="n"/>
      <c r="BG148" s="147" t="n"/>
      <c r="BH148" s="147" t="n"/>
    </row>
    <row r="149" ht="30" customHeight="1" s="251">
      <c r="A149" s="152" t="n"/>
      <c r="B149" s="147" t="n"/>
      <c r="C149" s="147" t="n"/>
      <c r="D149" s="147" t="n"/>
      <c r="E149" s="147" t="n"/>
      <c r="F149" s="147" t="n"/>
      <c r="G149" s="147" t="n"/>
      <c r="H149" s="147" t="n"/>
      <c r="I149" s="147" t="n"/>
      <c r="J149" s="147" t="n"/>
      <c r="K149" s="147" t="n"/>
      <c r="L149" s="147" t="n"/>
      <c r="M149" s="147" t="n"/>
      <c r="N149" s="147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  <c r="Z149" s="147" t="n"/>
      <c r="AA149" s="147" t="n"/>
      <c r="AB149" s="147" t="n"/>
      <c r="AC149" s="147" t="n"/>
      <c r="AD149" s="147" t="n"/>
      <c r="AE149" s="147" t="n"/>
      <c r="AF149" s="147" t="n"/>
      <c r="AG149" s="147" t="n"/>
      <c r="AH149" s="147" t="n"/>
      <c r="AI149" s="147" t="n"/>
      <c r="AJ149" s="147" t="n"/>
      <c r="AK149" s="147" t="n"/>
      <c r="AL149" s="147" t="n"/>
      <c r="AM149" s="147" t="n"/>
      <c r="AN149" s="147" t="n"/>
      <c r="AO149" s="147" t="n"/>
      <c r="AP149" s="147" t="n"/>
      <c r="AQ149" s="147" t="n"/>
      <c r="AR149" s="147" t="n"/>
      <c r="AS149" s="147" t="n"/>
      <c r="AT149" s="147" t="n"/>
      <c r="AU149" s="147" t="n"/>
      <c r="AV149" s="147" t="n"/>
      <c r="AW149" s="147" t="n"/>
      <c r="AX149" s="147" t="n"/>
      <c r="AY149" s="147" t="n"/>
      <c r="AZ149" s="147" t="n"/>
      <c r="BA149" s="147" t="n"/>
      <c r="BB149" s="147" t="n"/>
      <c r="BC149" s="147" t="n"/>
      <c r="BD149" s="147" t="n"/>
      <c r="BE149" s="147" t="n"/>
      <c r="BF149" s="147" t="n"/>
      <c r="BG149" s="147" t="n"/>
      <c r="BH149" s="147" t="n"/>
    </row>
    <row r="150" ht="30" customHeight="1" s="251">
      <c r="A150" s="152" t="n"/>
      <c r="B150" s="147" t="n"/>
      <c r="C150" s="147" t="n"/>
      <c r="D150" s="147" t="n"/>
      <c r="E150" s="147" t="n"/>
      <c r="F150" s="147" t="n"/>
      <c r="G150" s="147" t="n"/>
      <c r="H150" s="147" t="n"/>
      <c r="I150" s="147" t="n"/>
      <c r="J150" s="147" t="n"/>
      <c r="K150" s="147" t="n"/>
      <c r="L150" s="147" t="n"/>
      <c r="M150" s="147" t="n"/>
      <c r="N150" s="147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  <c r="Z150" s="147" t="n"/>
      <c r="AA150" s="147" t="n"/>
      <c r="AB150" s="147" t="n"/>
      <c r="AC150" s="147" t="n"/>
      <c r="AD150" s="147" t="n"/>
      <c r="AE150" s="147" t="n"/>
      <c r="AF150" s="147" t="n"/>
      <c r="AG150" s="147" t="n"/>
      <c r="AH150" s="147" t="n"/>
      <c r="AI150" s="147" t="n"/>
      <c r="AJ150" s="147" t="n"/>
      <c r="AK150" s="147" t="n"/>
      <c r="AL150" s="147" t="n"/>
      <c r="AM150" s="147" t="n"/>
      <c r="AN150" s="147" t="n"/>
      <c r="AO150" s="147" t="n"/>
      <c r="AP150" s="147" t="n"/>
      <c r="AQ150" s="147" t="n"/>
      <c r="AR150" s="147" t="n"/>
      <c r="AS150" s="147" t="n"/>
      <c r="AT150" s="147" t="n"/>
      <c r="AU150" s="147" t="n"/>
      <c r="AV150" s="147" t="n"/>
      <c r="AW150" s="147" t="n"/>
      <c r="AX150" s="147" t="n"/>
      <c r="AY150" s="147" t="n"/>
      <c r="AZ150" s="147" t="n"/>
      <c r="BA150" s="147" t="n"/>
      <c r="BB150" s="147" t="n"/>
      <c r="BC150" s="147" t="n"/>
      <c r="BD150" s="147" t="n"/>
      <c r="BE150" s="147" t="n"/>
      <c r="BF150" s="147" t="n"/>
      <c r="BG150" s="147" t="n"/>
      <c r="BH150" s="147" t="n"/>
    </row>
    <row r="151" ht="30" customHeight="1" s="251">
      <c r="A151" s="152" t="n"/>
      <c r="B151" s="147" t="n"/>
      <c r="C151" s="147" t="n"/>
      <c r="D151" s="147" t="n"/>
      <c r="E151" s="147" t="n"/>
      <c r="F151" s="147" t="n"/>
      <c r="G151" s="147" t="n"/>
      <c r="H151" s="147" t="n"/>
      <c r="I151" s="147" t="n"/>
      <c r="J151" s="147" t="n"/>
      <c r="K151" s="147" t="n"/>
      <c r="L151" s="147" t="n"/>
      <c r="M151" s="147" t="n"/>
      <c r="N151" s="147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  <c r="Z151" s="147" t="n"/>
      <c r="AA151" s="147" t="n"/>
      <c r="AB151" s="147" t="n"/>
      <c r="AC151" s="147" t="n"/>
      <c r="AD151" s="147" t="n"/>
      <c r="AE151" s="147" t="n"/>
      <c r="AF151" s="147" t="n"/>
      <c r="AG151" s="147" t="n"/>
      <c r="AH151" s="147" t="n"/>
      <c r="AI151" s="147" t="n"/>
      <c r="AJ151" s="147" t="n"/>
      <c r="AK151" s="147" t="n"/>
      <c r="AL151" s="147" t="n"/>
      <c r="AM151" s="147" t="n"/>
      <c r="AN151" s="147" t="n"/>
      <c r="AO151" s="147" t="n"/>
      <c r="AP151" s="147" t="n"/>
      <c r="AQ151" s="147" t="n"/>
      <c r="AR151" s="147" t="n"/>
      <c r="AS151" s="147" t="n"/>
      <c r="AT151" s="147" t="n"/>
      <c r="AU151" s="147" t="n"/>
      <c r="AV151" s="147" t="n"/>
      <c r="AW151" s="147" t="n"/>
      <c r="AX151" s="147" t="n"/>
      <c r="AY151" s="147" t="n"/>
      <c r="AZ151" s="147" t="n"/>
      <c r="BA151" s="147" t="n"/>
      <c r="BB151" s="147" t="n"/>
      <c r="BC151" s="147" t="n"/>
      <c r="BD151" s="147" t="n"/>
      <c r="BE151" s="147" t="n"/>
      <c r="BF151" s="147" t="n"/>
      <c r="BG151" s="147" t="n"/>
      <c r="BH151" s="147" t="n"/>
    </row>
    <row r="152" ht="30" customHeight="1" s="251">
      <c r="A152" s="152" t="n"/>
      <c r="B152" s="147" t="n"/>
      <c r="C152" s="147" t="n"/>
      <c r="D152" s="147" t="n"/>
      <c r="E152" s="147" t="n"/>
      <c r="F152" s="147" t="n"/>
      <c r="G152" s="147" t="n"/>
      <c r="H152" s="147" t="n"/>
      <c r="I152" s="147" t="n"/>
      <c r="J152" s="147" t="n"/>
      <c r="K152" s="147" t="n"/>
      <c r="L152" s="147" t="n"/>
      <c r="M152" s="147" t="n"/>
      <c r="N152" s="147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  <c r="Z152" s="147" t="n"/>
      <c r="AA152" s="147" t="n"/>
      <c r="AB152" s="147" t="n"/>
      <c r="AC152" s="147" t="n"/>
      <c r="AD152" s="147" t="n"/>
      <c r="AE152" s="147" t="n"/>
      <c r="AF152" s="147" t="n"/>
      <c r="AG152" s="147" t="n"/>
      <c r="AH152" s="147" t="n"/>
      <c r="AI152" s="147" t="n"/>
      <c r="AJ152" s="147" t="n"/>
      <c r="AK152" s="147" t="n"/>
      <c r="AL152" s="147" t="n"/>
      <c r="AM152" s="147" t="n"/>
      <c r="AN152" s="147" t="n"/>
      <c r="AO152" s="147" t="n"/>
      <c r="AP152" s="147" t="n"/>
      <c r="AQ152" s="147" t="n"/>
      <c r="AR152" s="147" t="n"/>
      <c r="AS152" s="147" t="n"/>
      <c r="AT152" s="147" t="n"/>
      <c r="AU152" s="147" t="n"/>
      <c r="AV152" s="147" t="n"/>
      <c r="AW152" s="147" t="n"/>
      <c r="AX152" s="147" t="n"/>
      <c r="AY152" s="147" t="n"/>
      <c r="AZ152" s="147" t="n"/>
      <c r="BA152" s="147" t="n"/>
      <c r="BB152" s="147" t="n"/>
      <c r="BC152" s="147" t="n"/>
      <c r="BD152" s="147" t="n"/>
      <c r="BE152" s="147" t="n"/>
      <c r="BF152" s="147" t="n"/>
      <c r="BG152" s="147" t="n"/>
      <c r="BH152" s="147" t="n"/>
    </row>
    <row r="153" ht="30" customHeight="1" s="251">
      <c r="A153" s="152" t="n"/>
      <c r="B153" s="147" t="n"/>
      <c r="C153" s="147" t="n"/>
      <c r="D153" s="147" t="n"/>
      <c r="E153" s="147" t="n"/>
      <c r="F153" s="147" t="n"/>
      <c r="G153" s="147" t="n"/>
      <c r="H153" s="147" t="n"/>
      <c r="I153" s="147" t="n"/>
      <c r="J153" s="147" t="n"/>
      <c r="K153" s="147" t="n"/>
      <c r="L153" s="147" t="n"/>
      <c r="M153" s="147" t="n"/>
      <c r="N153" s="147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  <c r="Z153" s="147" t="n"/>
      <c r="AA153" s="147" t="n"/>
      <c r="AB153" s="147" t="n"/>
      <c r="AC153" s="147" t="n"/>
      <c r="AD153" s="147" t="n"/>
      <c r="AE153" s="147" t="n"/>
      <c r="AF153" s="147" t="n"/>
      <c r="AG153" s="147" t="n"/>
      <c r="AH153" s="147" t="n"/>
      <c r="AI153" s="147" t="n"/>
      <c r="AJ153" s="147" t="n"/>
      <c r="AK153" s="147" t="n"/>
      <c r="AL153" s="147" t="n"/>
      <c r="AM153" s="147" t="n"/>
      <c r="AN153" s="147" t="n"/>
      <c r="AO153" s="147" t="n"/>
      <c r="AP153" s="147" t="n"/>
      <c r="AQ153" s="147" t="n"/>
      <c r="AR153" s="147" t="n"/>
      <c r="AS153" s="147" t="n"/>
      <c r="AT153" s="147" t="n"/>
      <c r="AU153" s="147" t="n"/>
      <c r="AV153" s="147" t="n"/>
      <c r="AW153" s="147" t="n"/>
      <c r="AX153" s="147" t="n"/>
      <c r="AY153" s="147" t="n"/>
      <c r="AZ153" s="147" t="n"/>
      <c r="BA153" s="147" t="n"/>
      <c r="BB153" s="147" t="n"/>
      <c r="BC153" s="147" t="n"/>
      <c r="BD153" s="147" t="n"/>
      <c r="BE153" s="147" t="n"/>
      <c r="BF153" s="147" t="n"/>
      <c r="BG153" s="147" t="n"/>
      <c r="BH153" s="147" t="n"/>
    </row>
    <row r="154" ht="30" customHeight="1" s="251">
      <c r="A154" s="152" t="n"/>
      <c r="B154" s="147" t="n"/>
      <c r="C154" s="147" t="n"/>
      <c r="D154" s="147" t="n"/>
      <c r="E154" s="147" t="n"/>
      <c r="F154" s="147" t="n"/>
      <c r="G154" s="147" t="n"/>
      <c r="H154" s="147" t="n"/>
      <c r="I154" s="147" t="n"/>
      <c r="J154" s="147" t="n"/>
      <c r="K154" s="147" t="n"/>
      <c r="L154" s="147" t="n"/>
      <c r="M154" s="147" t="n"/>
      <c r="N154" s="147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  <c r="Z154" s="147" t="n"/>
      <c r="AA154" s="147" t="n"/>
      <c r="AB154" s="147" t="n"/>
      <c r="AC154" s="147" t="n"/>
      <c r="AD154" s="147" t="n"/>
      <c r="AE154" s="147" t="n"/>
      <c r="AF154" s="147" t="n"/>
      <c r="AG154" s="147" t="n"/>
      <c r="AH154" s="147" t="n"/>
      <c r="AI154" s="147" t="n"/>
      <c r="AJ154" s="147" t="n"/>
      <c r="AK154" s="147" t="n"/>
      <c r="AL154" s="147" t="n"/>
      <c r="AM154" s="147" t="n"/>
      <c r="AN154" s="147" t="n"/>
      <c r="AO154" s="147" t="n"/>
      <c r="AP154" s="147" t="n"/>
      <c r="AQ154" s="147" t="n"/>
      <c r="AR154" s="147" t="n"/>
      <c r="AS154" s="147" t="n"/>
      <c r="AT154" s="147" t="n"/>
      <c r="AU154" s="147" t="n"/>
      <c r="AV154" s="147" t="n"/>
      <c r="AW154" s="147" t="n"/>
      <c r="AX154" s="147" t="n"/>
      <c r="AY154" s="147" t="n"/>
      <c r="AZ154" s="147" t="n"/>
      <c r="BA154" s="147" t="n"/>
      <c r="BB154" s="147" t="n"/>
      <c r="BC154" s="147" t="n"/>
      <c r="BD154" s="147" t="n"/>
      <c r="BE154" s="147" t="n"/>
      <c r="BF154" s="147" t="n"/>
      <c r="BG154" s="147" t="n"/>
      <c r="BH154" s="147" t="n"/>
    </row>
    <row r="155" ht="30" customHeight="1" s="251">
      <c r="A155" s="152" t="n"/>
      <c r="B155" s="147" t="n"/>
      <c r="C155" s="147" t="n"/>
      <c r="D155" s="147" t="n"/>
      <c r="E155" s="147" t="n"/>
      <c r="F155" s="147" t="n"/>
      <c r="G155" s="147" t="n"/>
      <c r="H155" s="147" t="n"/>
      <c r="I155" s="147" t="n"/>
      <c r="J155" s="147" t="n"/>
      <c r="K155" s="147" t="n"/>
      <c r="L155" s="147" t="n"/>
      <c r="M155" s="147" t="n"/>
      <c r="N155" s="147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  <c r="Z155" s="147" t="n"/>
      <c r="AA155" s="147" t="n"/>
      <c r="AB155" s="147" t="n"/>
      <c r="AC155" s="147" t="n"/>
      <c r="AD155" s="147" t="n"/>
      <c r="AE155" s="147" t="n"/>
      <c r="AF155" s="147" t="n"/>
      <c r="AG155" s="147" t="n"/>
      <c r="AH155" s="147" t="n"/>
      <c r="AI155" s="147" t="n"/>
      <c r="AJ155" s="147" t="n"/>
      <c r="AK155" s="147" t="n"/>
      <c r="AL155" s="147" t="n"/>
      <c r="AM155" s="147" t="n"/>
      <c r="AN155" s="147" t="n"/>
      <c r="AO155" s="147" t="n"/>
      <c r="AP155" s="147" t="n"/>
      <c r="AQ155" s="147" t="n"/>
      <c r="AR155" s="147" t="n"/>
      <c r="AS155" s="147" t="n"/>
      <c r="AT155" s="147" t="n"/>
      <c r="AU155" s="147" t="n"/>
      <c r="AV155" s="147" t="n"/>
      <c r="AW155" s="147" t="n"/>
      <c r="AX155" s="147" t="n"/>
      <c r="AY155" s="147" t="n"/>
      <c r="AZ155" s="147" t="n"/>
      <c r="BA155" s="147" t="n"/>
      <c r="BB155" s="147" t="n"/>
      <c r="BC155" s="147" t="n"/>
      <c r="BD155" s="147" t="n"/>
      <c r="BE155" s="147" t="n"/>
      <c r="BF155" s="147" t="n"/>
      <c r="BG155" s="147" t="n"/>
      <c r="BH155" s="147" t="n"/>
    </row>
    <row r="156" ht="30" customHeight="1" s="251">
      <c r="A156" s="152" t="n"/>
      <c r="B156" s="147" t="n"/>
      <c r="C156" s="147" t="n"/>
      <c r="D156" s="147" t="n"/>
      <c r="E156" s="147" t="n"/>
      <c r="F156" s="147" t="n"/>
      <c r="G156" s="147" t="n"/>
      <c r="H156" s="147" t="n"/>
      <c r="I156" s="147" t="n"/>
      <c r="J156" s="147" t="n"/>
      <c r="K156" s="147" t="n"/>
      <c r="L156" s="147" t="n"/>
      <c r="M156" s="147" t="n"/>
      <c r="N156" s="147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  <c r="Z156" s="147" t="n"/>
      <c r="AA156" s="147" t="n"/>
      <c r="AB156" s="147" t="n"/>
      <c r="AC156" s="147" t="n"/>
      <c r="AD156" s="147" t="n"/>
      <c r="AE156" s="147" t="n"/>
      <c r="AF156" s="147" t="n"/>
      <c r="AG156" s="147" t="n"/>
      <c r="AH156" s="147" t="n"/>
      <c r="AI156" s="147" t="n"/>
      <c r="AJ156" s="147" t="n"/>
      <c r="AK156" s="147" t="n"/>
      <c r="AL156" s="147" t="n"/>
      <c r="AM156" s="147" t="n"/>
      <c r="AN156" s="147" t="n"/>
      <c r="AO156" s="147" t="n"/>
      <c r="AP156" s="147" t="n"/>
      <c r="AQ156" s="147" t="n"/>
      <c r="AR156" s="147" t="n"/>
      <c r="AS156" s="147" t="n"/>
      <c r="AT156" s="147" t="n"/>
      <c r="AU156" s="147" t="n"/>
      <c r="AV156" s="147" t="n"/>
      <c r="AW156" s="147" t="n"/>
      <c r="AX156" s="147" t="n"/>
      <c r="AY156" s="147" t="n"/>
      <c r="AZ156" s="147" t="n"/>
      <c r="BA156" s="147" t="n"/>
      <c r="BB156" s="147" t="n"/>
      <c r="BC156" s="147" t="n"/>
      <c r="BD156" s="147" t="n"/>
      <c r="BE156" s="147" t="n"/>
      <c r="BF156" s="147" t="n"/>
      <c r="BG156" s="147" t="n"/>
      <c r="BH156" s="147" t="n"/>
    </row>
    <row r="157" ht="30" customHeight="1" s="251">
      <c r="A157" s="152" t="n"/>
      <c r="B157" s="147" t="n"/>
      <c r="C157" s="147" t="n"/>
      <c r="D157" s="147" t="n"/>
      <c r="E157" s="147" t="n"/>
      <c r="F157" s="147" t="n"/>
      <c r="G157" s="147" t="n"/>
      <c r="H157" s="147" t="n"/>
      <c r="I157" s="147" t="n"/>
      <c r="J157" s="147" t="n"/>
      <c r="K157" s="147" t="n"/>
      <c r="L157" s="147" t="n"/>
      <c r="M157" s="147" t="n"/>
      <c r="N157" s="147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  <c r="Z157" s="147" t="n"/>
      <c r="AA157" s="147" t="n"/>
      <c r="AB157" s="147" t="n"/>
      <c r="AC157" s="147" t="n"/>
      <c r="AD157" s="147" t="n"/>
      <c r="AE157" s="147" t="n"/>
      <c r="AF157" s="147" t="n"/>
      <c r="AG157" s="147" t="n"/>
      <c r="AH157" s="147" t="n"/>
      <c r="AI157" s="147" t="n"/>
      <c r="AJ157" s="147" t="n"/>
      <c r="AK157" s="147" t="n"/>
      <c r="AL157" s="147" t="n"/>
      <c r="AM157" s="147" t="n"/>
      <c r="AN157" s="147" t="n"/>
      <c r="AO157" s="147" t="n"/>
      <c r="AP157" s="147" t="n"/>
      <c r="AQ157" s="147" t="n"/>
      <c r="AR157" s="147" t="n"/>
      <c r="AS157" s="147" t="n"/>
      <c r="AT157" s="147" t="n"/>
      <c r="AU157" s="147" t="n"/>
      <c r="AV157" s="147" t="n"/>
      <c r="AW157" s="147" t="n"/>
      <c r="AX157" s="147" t="n"/>
      <c r="AY157" s="147" t="n"/>
      <c r="AZ157" s="147" t="n"/>
      <c r="BA157" s="147" t="n"/>
      <c r="BB157" s="147" t="n"/>
      <c r="BC157" s="147" t="n"/>
      <c r="BD157" s="147" t="n"/>
      <c r="BE157" s="147" t="n"/>
      <c r="BF157" s="147" t="n"/>
      <c r="BG157" s="147" t="n"/>
      <c r="BH157" s="147" t="n"/>
    </row>
    <row r="158" ht="30" customHeight="1" s="251">
      <c r="A158" s="152" t="n"/>
      <c r="B158" s="147" t="n"/>
      <c r="C158" s="147" t="n"/>
      <c r="D158" s="147" t="n"/>
      <c r="E158" s="147" t="n"/>
      <c r="F158" s="147" t="n"/>
      <c r="G158" s="147" t="n"/>
      <c r="H158" s="147" t="n"/>
      <c r="I158" s="147" t="n"/>
      <c r="J158" s="147" t="n"/>
      <c r="K158" s="147" t="n"/>
      <c r="L158" s="147" t="n"/>
      <c r="M158" s="147" t="n"/>
      <c r="N158" s="147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  <c r="Z158" s="147" t="n"/>
      <c r="AA158" s="147" t="n"/>
      <c r="AB158" s="147" t="n"/>
      <c r="AC158" s="147" t="n"/>
      <c r="AD158" s="147" t="n"/>
      <c r="AE158" s="147" t="n"/>
      <c r="AF158" s="147" t="n"/>
      <c r="AG158" s="147" t="n"/>
      <c r="AH158" s="147" t="n"/>
      <c r="AI158" s="147" t="n"/>
      <c r="AJ158" s="147" t="n"/>
      <c r="AK158" s="147" t="n"/>
      <c r="AL158" s="147" t="n"/>
      <c r="AM158" s="147" t="n"/>
      <c r="AN158" s="147" t="n"/>
      <c r="AO158" s="147" t="n"/>
      <c r="AP158" s="147" t="n"/>
      <c r="AQ158" s="147" t="n"/>
      <c r="AR158" s="147" t="n"/>
      <c r="AS158" s="147" t="n"/>
      <c r="AT158" s="147" t="n"/>
      <c r="AU158" s="147" t="n"/>
      <c r="AV158" s="147" t="n"/>
      <c r="AW158" s="147" t="n"/>
      <c r="AX158" s="147" t="n"/>
      <c r="AY158" s="147" t="n"/>
      <c r="AZ158" s="147" t="n"/>
      <c r="BA158" s="147" t="n"/>
      <c r="BB158" s="147" t="n"/>
      <c r="BC158" s="147" t="n"/>
      <c r="BD158" s="147" t="n"/>
      <c r="BE158" s="147" t="n"/>
      <c r="BF158" s="147" t="n"/>
      <c r="BG158" s="147" t="n"/>
      <c r="BH158" s="147" t="n"/>
    </row>
    <row r="159" ht="30" customHeight="1" s="251">
      <c r="A159" s="152" t="n"/>
      <c r="B159" s="147" t="n"/>
      <c r="C159" s="147" t="n"/>
      <c r="D159" s="147" t="n"/>
      <c r="E159" s="147" t="n"/>
      <c r="F159" s="147" t="n"/>
      <c r="G159" s="147" t="n"/>
      <c r="H159" s="147" t="n"/>
      <c r="I159" s="147" t="n"/>
      <c r="J159" s="147" t="n"/>
      <c r="K159" s="147" t="n"/>
      <c r="L159" s="147" t="n"/>
      <c r="M159" s="147" t="n"/>
      <c r="N159" s="147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  <c r="Z159" s="147" t="n"/>
      <c r="AA159" s="147" t="n"/>
      <c r="AB159" s="147" t="n"/>
      <c r="AC159" s="147" t="n"/>
      <c r="AD159" s="147" t="n"/>
      <c r="AE159" s="147" t="n"/>
      <c r="AF159" s="147" t="n"/>
      <c r="AG159" s="147" t="n"/>
      <c r="AH159" s="147" t="n"/>
      <c r="AI159" s="147" t="n"/>
      <c r="AJ159" s="147" t="n"/>
      <c r="AK159" s="147" t="n"/>
      <c r="AL159" s="147" t="n"/>
      <c r="AM159" s="147" t="n"/>
      <c r="AN159" s="147" t="n"/>
      <c r="AO159" s="147" t="n"/>
      <c r="AP159" s="147" t="n"/>
      <c r="AQ159" s="147" t="n"/>
      <c r="AR159" s="147" t="n"/>
      <c r="AS159" s="147" t="n"/>
      <c r="AT159" s="147" t="n"/>
      <c r="AU159" s="147" t="n"/>
      <c r="AV159" s="147" t="n"/>
      <c r="AW159" s="147" t="n"/>
      <c r="AX159" s="147" t="n"/>
      <c r="AY159" s="147" t="n"/>
      <c r="AZ159" s="147" t="n"/>
      <c r="BA159" s="147" t="n"/>
      <c r="BB159" s="147" t="n"/>
      <c r="BC159" s="147" t="n"/>
      <c r="BD159" s="147" t="n"/>
      <c r="BE159" s="147" t="n"/>
      <c r="BF159" s="147" t="n"/>
      <c r="BG159" s="147" t="n"/>
      <c r="BH159" s="147" t="n"/>
    </row>
    <row r="160" ht="30" customHeight="1" s="251">
      <c r="A160" s="152" t="n"/>
      <c r="B160" s="147" t="n"/>
      <c r="C160" s="147" t="n"/>
      <c r="D160" s="147" t="n"/>
      <c r="E160" s="147" t="n"/>
      <c r="F160" s="147" t="n"/>
      <c r="G160" s="147" t="n"/>
      <c r="H160" s="147" t="n"/>
      <c r="I160" s="147" t="n"/>
      <c r="J160" s="147" t="n"/>
      <c r="K160" s="147" t="n"/>
      <c r="L160" s="147" t="n"/>
      <c r="M160" s="147" t="n"/>
      <c r="N160" s="147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  <c r="Z160" s="147" t="n"/>
      <c r="AA160" s="147" t="n"/>
      <c r="AB160" s="147" t="n"/>
      <c r="AC160" s="147" t="n"/>
      <c r="AD160" s="147" t="n"/>
      <c r="AE160" s="147" t="n"/>
      <c r="AF160" s="147" t="n"/>
      <c r="AG160" s="147" t="n"/>
      <c r="AH160" s="147" t="n"/>
      <c r="AI160" s="147" t="n"/>
      <c r="AJ160" s="147" t="n"/>
      <c r="AK160" s="147" t="n"/>
      <c r="AL160" s="147" t="n"/>
      <c r="AM160" s="147" t="n"/>
      <c r="AN160" s="147" t="n"/>
      <c r="AO160" s="147" t="n"/>
      <c r="AP160" s="147" t="n"/>
      <c r="AQ160" s="147" t="n"/>
      <c r="AR160" s="147" t="n"/>
      <c r="AS160" s="147" t="n"/>
      <c r="AT160" s="147" t="n"/>
      <c r="AU160" s="147" t="n"/>
      <c r="AV160" s="147" t="n"/>
      <c r="AW160" s="147" t="n"/>
      <c r="AX160" s="147" t="n"/>
      <c r="AY160" s="147" t="n"/>
      <c r="AZ160" s="147" t="n"/>
      <c r="BA160" s="147" t="n"/>
      <c r="BB160" s="147" t="n"/>
      <c r="BC160" s="147" t="n"/>
      <c r="BD160" s="147" t="n"/>
      <c r="BE160" s="147" t="n"/>
      <c r="BF160" s="147" t="n"/>
      <c r="BG160" s="147" t="n"/>
      <c r="BH160" s="147" t="n"/>
    </row>
    <row r="161" ht="30" customHeight="1" s="251">
      <c r="A161" s="152" t="n"/>
      <c r="B161" s="147" t="n"/>
      <c r="C161" s="147" t="n"/>
      <c r="D161" s="147" t="n"/>
      <c r="E161" s="147" t="n"/>
      <c r="F161" s="147" t="n"/>
      <c r="G161" s="147" t="n"/>
      <c r="H161" s="147" t="n"/>
      <c r="I161" s="147" t="n"/>
      <c r="J161" s="147" t="n"/>
      <c r="K161" s="147" t="n"/>
      <c r="L161" s="147" t="n"/>
      <c r="M161" s="147" t="n"/>
      <c r="N161" s="147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  <c r="Z161" s="147" t="n"/>
      <c r="AA161" s="147" t="n"/>
      <c r="AB161" s="147" t="n"/>
      <c r="AC161" s="147" t="n"/>
      <c r="AD161" s="147" t="n"/>
      <c r="AE161" s="147" t="n"/>
      <c r="AF161" s="147" t="n"/>
      <c r="AG161" s="147" t="n"/>
      <c r="AH161" s="147" t="n"/>
      <c r="AI161" s="147" t="n"/>
      <c r="AJ161" s="147" t="n"/>
      <c r="AK161" s="147" t="n"/>
      <c r="AL161" s="147" t="n"/>
      <c r="AM161" s="147" t="n"/>
      <c r="AN161" s="147" t="n"/>
      <c r="AO161" s="147" t="n"/>
      <c r="AP161" s="147" t="n"/>
      <c r="AQ161" s="147" t="n"/>
      <c r="AR161" s="147" t="n"/>
      <c r="AS161" s="147" t="n"/>
      <c r="AT161" s="147" t="n"/>
      <c r="AU161" s="147" t="n"/>
      <c r="AV161" s="147" t="n"/>
      <c r="AW161" s="147" t="n"/>
      <c r="AX161" s="147" t="n"/>
      <c r="AY161" s="147" t="n"/>
      <c r="AZ161" s="147" t="n"/>
      <c r="BA161" s="147" t="n"/>
      <c r="BB161" s="147" t="n"/>
      <c r="BC161" s="147" t="n"/>
      <c r="BD161" s="147" t="n"/>
      <c r="BE161" s="147" t="n"/>
      <c r="BF161" s="147" t="n"/>
      <c r="BG161" s="147" t="n"/>
      <c r="BH161" s="147" t="n"/>
    </row>
    <row r="162" ht="30" customHeight="1" s="251">
      <c r="A162" s="152" t="n"/>
      <c r="B162" s="147" t="n"/>
      <c r="C162" s="147" t="n"/>
      <c r="D162" s="147" t="n"/>
      <c r="E162" s="147" t="n"/>
      <c r="F162" s="147" t="n"/>
      <c r="G162" s="147" t="n"/>
      <c r="H162" s="147" t="n"/>
      <c r="I162" s="147" t="n"/>
      <c r="J162" s="147" t="n"/>
      <c r="K162" s="147" t="n"/>
      <c r="L162" s="147" t="n"/>
      <c r="M162" s="147" t="n"/>
      <c r="N162" s="147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  <c r="Z162" s="147" t="n"/>
      <c r="AA162" s="147" t="n"/>
      <c r="AB162" s="147" t="n"/>
      <c r="AC162" s="147" t="n"/>
      <c r="AD162" s="147" t="n"/>
      <c r="AE162" s="147" t="n"/>
      <c r="AF162" s="147" t="n"/>
      <c r="AG162" s="147" t="n"/>
      <c r="AH162" s="147" t="n"/>
      <c r="AI162" s="147" t="n"/>
      <c r="AJ162" s="147" t="n"/>
      <c r="AK162" s="147" t="n"/>
      <c r="AL162" s="147" t="n"/>
      <c r="AM162" s="147" t="n"/>
      <c r="AN162" s="147" t="n"/>
      <c r="AO162" s="147" t="n"/>
      <c r="AP162" s="147" t="n"/>
      <c r="AQ162" s="147" t="n"/>
      <c r="AR162" s="147" t="n"/>
      <c r="AS162" s="147" t="n"/>
      <c r="AT162" s="147" t="n"/>
      <c r="AU162" s="147" t="n"/>
      <c r="AV162" s="147" t="n"/>
      <c r="AW162" s="147" t="n"/>
      <c r="AX162" s="147" t="n"/>
      <c r="AY162" s="147" t="n"/>
      <c r="AZ162" s="147" t="n"/>
      <c r="BA162" s="147" t="n"/>
      <c r="BB162" s="147" t="n"/>
      <c r="BC162" s="147" t="n"/>
      <c r="BD162" s="147" t="n"/>
      <c r="BE162" s="147" t="n"/>
      <c r="BF162" s="147" t="n"/>
      <c r="BG162" s="147" t="n"/>
      <c r="BH162" s="147" t="n"/>
    </row>
    <row r="163" ht="30" customHeight="1" s="251">
      <c r="A163" s="152" t="n"/>
      <c r="B163" s="147" t="n"/>
      <c r="C163" s="147" t="n"/>
      <c r="D163" s="147" t="n"/>
      <c r="E163" s="147" t="n"/>
      <c r="F163" s="147" t="n"/>
      <c r="G163" s="147" t="n"/>
      <c r="H163" s="147" t="n"/>
      <c r="I163" s="147" t="n"/>
      <c r="J163" s="147" t="n"/>
      <c r="K163" s="147" t="n"/>
      <c r="L163" s="147" t="n"/>
      <c r="M163" s="147" t="n"/>
      <c r="N163" s="147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  <c r="Z163" s="147" t="n"/>
      <c r="AA163" s="147" t="n"/>
      <c r="AB163" s="147" t="n"/>
      <c r="AC163" s="147" t="n"/>
      <c r="AD163" s="147" t="n"/>
      <c r="AE163" s="147" t="n"/>
      <c r="AF163" s="147" t="n"/>
      <c r="AG163" s="147" t="n"/>
      <c r="AH163" s="147" t="n"/>
      <c r="AI163" s="147" t="n"/>
      <c r="AJ163" s="147" t="n"/>
      <c r="AK163" s="147" t="n"/>
      <c r="AL163" s="147" t="n"/>
      <c r="AM163" s="147" t="n"/>
      <c r="AN163" s="147" t="n"/>
      <c r="AO163" s="147" t="n"/>
      <c r="AP163" s="147" t="n"/>
      <c r="AQ163" s="147" t="n"/>
      <c r="AR163" s="147" t="n"/>
      <c r="AS163" s="147" t="n"/>
      <c r="AT163" s="147" t="n"/>
      <c r="AU163" s="147" t="n"/>
      <c r="AV163" s="147" t="n"/>
      <c r="AW163" s="147" t="n"/>
      <c r="AX163" s="147" t="n"/>
      <c r="AY163" s="147" t="n"/>
      <c r="AZ163" s="147" t="n"/>
      <c r="BA163" s="147" t="n"/>
      <c r="BB163" s="147" t="n"/>
      <c r="BC163" s="147" t="n"/>
      <c r="BD163" s="147" t="n"/>
      <c r="BE163" s="147" t="n"/>
      <c r="BF163" s="147" t="n"/>
      <c r="BG163" s="147" t="n"/>
      <c r="BH163" s="147" t="n"/>
    </row>
    <row r="164" ht="30" customHeight="1" s="251">
      <c r="A164" s="152" t="n"/>
      <c r="B164" s="147" t="n"/>
      <c r="C164" s="147" t="n"/>
      <c r="D164" s="147" t="n"/>
      <c r="E164" s="147" t="n"/>
      <c r="F164" s="147" t="n"/>
      <c r="G164" s="147" t="n"/>
      <c r="H164" s="147" t="n"/>
      <c r="I164" s="147" t="n"/>
      <c r="J164" s="147" t="n"/>
      <c r="K164" s="147" t="n"/>
      <c r="L164" s="147" t="n"/>
      <c r="M164" s="147" t="n"/>
      <c r="N164" s="147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  <c r="Z164" s="147" t="n"/>
      <c r="AA164" s="147" t="n"/>
      <c r="AB164" s="147" t="n"/>
      <c r="AC164" s="147" t="n"/>
      <c r="AD164" s="147" t="n"/>
      <c r="AE164" s="147" t="n"/>
      <c r="AF164" s="147" t="n"/>
      <c r="AG164" s="147" t="n"/>
      <c r="AH164" s="147" t="n"/>
      <c r="AI164" s="147" t="n"/>
      <c r="AJ164" s="147" t="n"/>
      <c r="AK164" s="147" t="n"/>
      <c r="AL164" s="147" t="n"/>
      <c r="AM164" s="147" t="n"/>
      <c r="AN164" s="147" t="n"/>
      <c r="AO164" s="147" t="n"/>
      <c r="AP164" s="147" t="n"/>
      <c r="AQ164" s="147" t="n"/>
      <c r="AR164" s="147" t="n"/>
      <c r="AS164" s="147" t="n"/>
      <c r="AT164" s="147" t="n"/>
      <c r="AU164" s="147" t="n"/>
      <c r="AV164" s="147" t="n"/>
      <c r="AW164" s="147" t="n"/>
      <c r="AX164" s="147" t="n"/>
      <c r="AY164" s="147" t="n"/>
      <c r="AZ164" s="147" t="n"/>
      <c r="BA164" s="147" t="n"/>
      <c r="BB164" s="147" t="n"/>
      <c r="BC164" s="147" t="n"/>
      <c r="BD164" s="147" t="n"/>
      <c r="BE164" s="147" t="n"/>
      <c r="BF164" s="147" t="n"/>
      <c r="BG164" s="147" t="n"/>
      <c r="BH164" s="147" t="n"/>
    </row>
    <row r="165" ht="30" customHeight="1" s="251">
      <c r="A165" s="152" t="n"/>
      <c r="B165" s="147" t="n"/>
      <c r="C165" s="147" t="n"/>
      <c r="D165" s="147" t="n"/>
      <c r="E165" s="147" t="n"/>
      <c r="F165" s="147" t="n"/>
      <c r="G165" s="147" t="n"/>
      <c r="H165" s="147" t="n"/>
      <c r="I165" s="147" t="n"/>
      <c r="J165" s="147" t="n"/>
      <c r="K165" s="147" t="n"/>
      <c r="L165" s="147" t="n"/>
      <c r="M165" s="147" t="n"/>
      <c r="N165" s="147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  <c r="Z165" s="147" t="n"/>
      <c r="AA165" s="147" t="n"/>
      <c r="AB165" s="147" t="n"/>
      <c r="AC165" s="147" t="n"/>
      <c r="AD165" s="147" t="n"/>
      <c r="AE165" s="147" t="n"/>
      <c r="AF165" s="147" t="n"/>
      <c r="AG165" s="147" t="n"/>
      <c r="AH165" s="147" t="n"/>
      <c r="AI165" s="147" t="n"/>
      <c r="AJ165" s="147" t="n"/>
      <c r="AK165" s="147" t="n"/>
      <c r="AL165" s="147" t="n"/>
      <c r="AM165" s="147" t="n"/>
      <c r="AN165" s="147" t="n"/>
      <c r="AO165" s="147" t="n"/>
      <c r="AP165" s="147" t="n"/>
      <c r="AQ165" s="147" t="n"/>
      <c r="AR165" s="147" t="n"/>
      <c r="AS165" s="147" t="n"/>
      <c r="AT165" s="147" t="n"/>
      <c r="AU165" s="147" t="n"/>
      <c r="AV165" s="147" t="n"/>
      <c r="AW165" s="147" t="n"/>
      <c r="AX165" s="147" t="n"/>
      <c r="AY165" s="147" t="n"/>
      <c r="AZ165" s="147" t="n"/>
      <c r="BA165" s="147" t="n"/>
      <c r="BB165" s="147" t="n"/>
      <c r="BC165" s="147" t="n"/>
      <c r="BD165" s="147" t="n"/>
      <c r="BE165" s="147" t="n"/>
      <c r="BF165" s="147" t="n"/>
      <c r="BG165" s="147" t="n"/>
      <c r="BH165" s="147" t="n"/>
    </row>
    <row r="166" ht="30" customHeight="1" s="251">
      <c r="A166" s="152" t="n"/>
      <c r="B166" s="147" t="n"/>
      <c r="C166" s="147" t="n"/>
      <c r="D166" s="147" t="n"/>
      <c r="E166" s="147" t="n"/>
      <c r="F166" s="147" t="n"/>
      <c r="G166" s="147" t="n"/>
      <c r="H166" s="147" t="n"/>
      <c r="I166" s="147" t="n"/>
      <c r="J166" s="147" t="n"/>
      <c r="K166" s="147" t="n"/>
      <c r="L166" s="147" t="n"/>
      <c r="M166" s="147" t="n"/>
      <c r="N166" s="147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  <c r="Z166" s="147" t="n"/>
      <c r="AA166" s="147" t="n"/>
      <c r="AB166" s="147" t="n"/>
      <c r="AC166" s="147" t="n"/>
      <c r="AD166" s="147" t="n"/>
      <c r="AE166" s="147" t="n"/>
      <c r="AF166" s="147" t="n"/>
      <c r="AG166" s="147" t="n"/>
      <c r="AH166" s="147" t="n"/>
      <c r="AI166" s="147" t="n"/>
      <c r="AJ166" s="147" t="n"/>
      <c r="AK166" s="147" t="n"/>
      <c r="AL166" s="147" t="n"/>
      <c r="AM166" s="147" t="n"/>
      <c r="AN166" s="147" t="n"/>
      <c r="AO166" s="147" t="n"/>
      <c r="AP166" s="147" t="n"/>
      <c r="AQ166" s="147" t="n"/>
      <c r="AR166" s="147" t="n"/>
      <c r="AS166" s="147" t="n"/>
      <c r="AT166" s="147" t="n"/>
      <c r="AU166" s="147" t="n"/>
      <c r="AV166" s="147" t="n"/>
      <c r="AW166" s="147" t="n"/>
      <c r="AX166" s="147" t="n"/>
      <c r="AY166" s="147" t="n"/>
      <c r="AZ166" s="147" t="n"/>
      <c r="BA166" s="147" t="n"/>
      <c r="BB166" s="147" t="n"/>
      <c r="BC166" s="147" t="n"/>
      <c r="BD166" s="147" t="n"/>
      <c r="BE166" s="147" t="n"/>
      <c r="BF166" s="147" t="n"/>
      <c r="BG166" s="147" t="n"/>
      <c r="BH166" s="147" t="n"/>
    </row>
    <row r="167" ht="30" customHeight="1" s="251">
      <c r="A167" s="152" t="n"/>
      <c r="B167" s="147" t="n"/>
      <c r="C167" s="147" t="n"/>
      <c r="D167" s="147" t="n"/>
      <c r="E167" s="147" t="n"/>
      <c r="F167" s="147" t="n"/>
      <c r="G167" s="147" t="n"/>
      <c r="H167" s="147" t="n"/>
      <c r="I167" s="147" t="n"/>
      <c r="J167" s="147" t="n"/>
      <c r="K167" s="147" t="n"/>
      <c r="L167" s="147" t="n"/>
      <c r="M167" s="147" t="n"/>
      <c r="N167" s="147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  <c r="Z167" s="147" t="n"/>
      <c r="AA167" s="147" t="n"/>
      <c r="AB167" s="147" t="n"/>
      <c r="AC167" s="147" t="n"/>
      <c r="AD167" s="147" t="n"/>
      <c r="AE167" s="147" t="n"/>
      <c r="AF167" s="147" t="n"/>
      <c r="AG167" s="147" t="n"/>
      <c r="AH167" s="147" t="n"/>
      <c r="AI167" s="147" t="n"/>
      <c r="AJ167" s="147" t="n"/>
      <c r="AK167" s="147" t="n"/>
      <c r="AL167" s="147" t="n"/>
      <c r="AM167" s="147" t="n"/>
      <c r="AN167" s="147" t="n"/>
      <c r="AO167" s="147" t="n"/>
      <c r="AP167" s="147" t="n"/>
      <c r="AQ167" s="147" t="n"/>
      <c r="AR167" s="147" t="n"/>
      <c r="AS167" s="147" t="n"/>
      <c r="AT167" s="147" t="n"/>
      <c r="AU167" s="147" t="n"/>
      <c r="AV167" s="147" t="n"/>
      <c r="AW167" s="147" t="n"/>
      <c r="AX167" s="147" t="n"/>
      <c r="AY167" s="147" t="n"/>
      <c r="AZ167" s="147" t="n"/>
      <c r="BA167" s="147" t="n"/>
      <c r="BB167" s="147" t="n"/>
      <c r="BC167" s="147" t="n"/>
      <c r="BD167" s="147" t="n"/>
      <c r="BE167" s="147" t="n"/>
      <c r="BF167" s="147" t="n"/>
      <c r="BG167" s="147" t="n"/>
      <c r="BH167" s="147" t="n"/>
    </row>
    <row r="168" ht="30" customHeight="1" s="251">
      <c r="A168" s="152" t="n"/>
      <c r="B168" s="147" t="n"/>
      <c r="C168" s="147" t="n"/>
      <c r="D168" s="147" t="n"/>
      <c r="E168" s="147" t="n"/>
      <c r="F168" s="147" t="n"/>
      <c r="G168" s="147" t="n"/>
      <c r="H168" s="147" t="n"/>
      <c r="I168" s="147" t="n"/>
      <c r="J168" s="147" t="n"/>
      <c r="K168" s="147" t="n"/>
      <c r="L168" s="147" t="n"/>
      <c r="M168" s="147" t="n"/>
      <c r="N168" s="147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  <c r="Z168" s="147" t="n"/>
      <c r="AA168" s="147" t="n"/>
      <c r="AB168" s="147" t="n"/>
      <c r="AC168" s="147" t="n"/>
      <c r="AD168" s="147" t="n"/>
      <c r="AE168" s="147" t="n"/>
      <c r="AF168" s="147" t="n"/>
      <c r="AG168" s="147" t="n"/>
      <c r="AH168" s="147" t="n"/>
      <c r="AI168" s="147" t="n"/>
      <c r="AJ168" s="147" t="n"/>
      <c r="AK168" s="147" t="n"/>
      <c r="AL168" s="147" t="n"/>
      <c r="AM168" s="147" t="n"/>
      <c r="AN168" s="147" t="n"/>
      <c r="AO168" s="147" t="n"/>
      <c r="AP168" s="147" t="n"/>
      <c r="AQ168" s="147" t="n"/>
      <c r="AR168" s="147" t="n"/>
      <c r="AS168" s="147" t="n"/>
      <c r="AT168" s="147" t="n"/>
      <c r="AU168" s="147" t="n"/>
      <c r="AV168" s="147" t="n"/>
      <c r="AW168" s="147" t="n"/>
      <c r="AX168" s="147" t="n"/>
      <c r="AY168" s="147" t="n"/>
      <c r="AZ168" s="147" t="n"/>
      <c r="BA168" s="147" t="n"/>
      <c r="BB168" s="147" t="n"/>
      <c r="BC168" s="147" t="n"/>
      <c r="BD168" s="147" t="n"/>
      <c r="BE168" s="147" t="n"/>
      <c r="BF168" s="147" t="n"/>
      <c r="BG168" s="147" t="n"/>
      <c r="BH168" s="147" t="n"/>
    </row>
    <row r="169" ht="30" customHeight="1" s="251">
      <c r="A169" s="152" t="n"/>
      <c r="B169" s="147" t="n"/>
      <c r="C169" s="147" t="n"/>
      <c r="D169" s="147" t="n"/>
      <c r="E169" s="147" t="n"/>
      <c r="F169" s="147" t="n"/>
      <c r="G169" s="147" t="n"/>
      <c r="H169" s="147" t="n"/>
      <c r="I169" s="147" t="n"/>
      <c r="J169" s="147" t="n"/>
      <c r="K169" s="147" t="n"/>
      <c r="L169" s="147" t="n"/>
      <c r="M169" s="147" t="n"/>
      <c r="N169" s="147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  <c r="Z169" s="147" t="n"/>
      <c r="AA169" s="147" t="n"/>
      <c r="AB169" s="147" t="n"/>
      <c r="AC169" s="147" t="n"/>
      <c r="AD169" s="147" t="n"/>
      <c r="AE169" s="147" t="n"/>
      <c r="AF169" s="147" t="n"/>
      <c r="AG169" s="147" t="n"/>
      <c r="AH169" s="147" t="n"/>
      <c r="AI169" s="147" t="n"/>
      <c r="AJ169" s="147" t="n"/>
      <c r="AK169" s="147" t="n"/>
      <c r="AL169" s="147" t="n"/>
      <c r="AM169" s="147" t="n"/>
      <c r="AN169" s="147" t="n"/>
      <c r="AO169" s="147" t="n"/>
      <c r="AP169" s="147" t="n"/>
      <c r="AQ169" s="147" t="n"/>
      <c r="AR169" s="147" t="n"/>
      <c r="AS169" s="147" t="n"/>
      <c r="AT169" s="147" t="n"/>
      <c r="AU169" s="147" t="n"/>
      <c r="AV169" s="147" t="n"/>
      <c r="AW169" s="147" t="n"/>
      <c r="AX169" s="147" t="n"/>
      <c r="AY169" s="147" t="n"/>
      <c r="AZ169" s="147" t="n"/>
      <c r="BA169" s="147" t="n"/>
      <c r="BB169" s="147" t="n"/>
      <c r="BC169" s="147" t="n"/>
      <c r="BD169" s="147" t="n"/>
      <c r="BE169" s="147" t="n"/>
      <c r="BF169" s="147" t="n"/>
      <c r="BG169" s="147" t="n"/>
      <c r="BH169" s="147" t="n"/>
    </row>
    <row r="170" ht="30" customHeight="1" s="251">
      <c r="A170" s="152" t="n"/>
      <c r="B170" s="147" t="n"/>
      <c r="C170" s="147" t="n"/>
      <c r="D170" s="147" t="n"/>
      <c r="E170" s="147" t="n"/>
      <c r="F170" s="147" t="n"/>
      <c r="G170" s="147" t="n"/>
      <c r="H170" s="147" t="n"/>
      <c r="I170" s="147" t="n"/>
      <c r="J170" s="147" t="n"/>
      <c r="K170" s="147" t="n"/>
      <c r="L170" s="147" t="n"/>
      <c r="M170" s="147" t="n"/>
      <c r="N170" s="147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  <c r="Z170" s="147" t="n"/>
      <c r="AA170" s="147" t="n"/>
      <c r="AB170" s="147" t="n"/>
      <c r="AC170" s="147" t="n"/>
      <c r="AD170" s="147" t="n"/>
      <c r="AE170" s="147" t="n"/>
      <c r="AF170" s="147" t="n"/>
      <c r="AG170" s="147" t="n"/>
      <c r="AH170" s="147" t="n"/>
      <c r="AI170" s="147" t="n"/>
      <c r="AJ170" s="147" t="n"/>
      <c r="AK170" s="147" t="n"/>
      <c r="AL170" s="147" t="n"/>
      <c r="AM170" s="147" t="n"/>
      <c r="AN170" s="147" t="n"/>
      <c r="AO170" s="147" t="n"/>
      <c r="AP170" s="147" t="n"/>
      <c r="AQ170" s="147" t="n"/>
      <c r="AR170" s="147" t="n"/>
      <c r="AS170" s="147" t="n"/>
      <c r="AT170" s="147" t="n"/>
      <c r="AU170" s="147" t="n"/>
      <c r="AV170" s="147" t="n"/>
      <c r="AW170" s="147" t="n"/>
      <c r="AX170" s="147" t="n"/>
      <c r="AY170" s="147" t="n"/>
      <c r="AZ170" s="147" t="n"/>
      <c r="BA170" s="147" t="n"/>
      <c r="BB170" s="147" t="n"/>
      <c r="BC170" s="147" t="n"/>
      <c r="BD170" s="147" t="n"/>
      <c r="BE170" s="147" t="n"/>
      <c r="BF170" s="147" t="n"/>
      <c r="BG170" s="147" t="n"/>
      <c r="BH170" s="147" t="n"/>
    </row>
    <row r="171" ht="30" customHeight="1" s="251">
      <c r="A171" s="152" t="n"/>
      <c r="B171" s="147" t="n"/>
      <c r="C171" s="147" t="n"/>
      <c r="D171" s="147" t="n"/>
      <c r="E171" s="147" t="n"/>
      <c r="F171" s="147" t="n"/>
      <c r="G171" s="147" t="n"/>
      <c r="H171" s="147" t="n"/>
      <c r="I171" s="147" t="n"/>
      <c r="J171" s="147" t="n"/>
      <c r="K171" s="147" t="n"/>
      <c r="L171" s="147" t="n"/>
      <c r="M171" s="147" t="n"/>
      <c r="N171" s="147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  <c r="Z171" s="147" t="n"/>
      <c r="AA171" s="147" t="n"/>
      <c r="AB171" s="147" t="n"/>
      <c r="AC171" s="147" t="n"/>
      <c r="AD171" s="147" t="n"/>
      <c r="AE171" s="147" t="n"/>
      <c r="AF171" s="147" t="n"/>
      <c r="AG171" s="147" t="n"/>
      <c r="AH171" s="147" t="n"/>
      <c r="AI171" s="147" t="n"/>
      <c r="AJ171" s="147" t="n"/>
      <c r="AK171" s="147" t="n"/>
      <c r="AL171" s="147" t="n"/>
      <c r="AM171" s="147" t="n"/>
      <c r="AN171" s="147" t="n"/>
      <c r="AO171" s="147" t="n"/>
      <c r="AP171" s="147" t="n"/>
      <c r="AQ171" s="147" t="n"/>
      <c r="AR171" s="147" t="n"/>
      <c r="AS171" s="147" t="n"/>
      <c r="AT171" s="147" t="n"/>
      <c r="AU171" s="147" t="n"/>
      <c r="AV171" s="147" t="n"/>
      <c r="AW171" s="147" t="n"/>
      <c r="AX171" s="147" t="n"/>
      <c r="AY171" s="147" t="n"/>
      <c r="AZ171" s="147" t="n"/>
      <c r="BA171" s="147" t="n"/>
      <c r="BB171" s="147" t="n"/>
      <c r="BC171" s="147" t="n"/>
      <c r="BD171" s="147" t="n"/>
      <c r="BE171" s="147" t="n"/>
      <c r="BF171" s="147" t="n"/>
      <c r="BG171" s="147" t="n"/>
      <c r="BH171" s="147" t="n"/>
    </row>
    <row r="172" ht="30" customHeight="1" s="251">
      <c r="A172" s="152" t="n"/>
      <c r="B172" s="147" t="n"/>
      <c r="C172" s="147" t="n"/>
      <c r="D172" s="147" t="n"/>
      <c r="E172" s="147" t="n"/>
      <c r="F172" s="147" t="n"/>
      <c r="G172" s="147" t="n"/>
      <c r="H172" s="147" t="n"/>
      <c r="I172" s="147" t="n"/>
      <c r="J172" s="147" t="n"/>
      <c r="K172" s="147" t="n"/>
      <c r="L172" s="147" t="n"/>
      <c r="M172" s="147" t="n"/>
      <c r="N172" s="147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  <c r="Z172" s="147" t="n"/>
      <c r="AA172" s="147" t="n"/>
      <c r="AB172" s="147" t="n"/>
      <c r="AC172" s="147" t="n"/>
      <c r="AD172" s="147" t="n"/>
      <c r="AE172" s="147" t="n"/>
      <c r="AF172" s="147" t="n"/>
      <c r="AG172" s="147" t="n"/>
      <c r="AH172" s="147" t="n"/>
      <c r="AI172" s="147" t="n"/>
      <c r="AJ172" s="147" t="n"/>
      <c r="AK172" s="147" t="n"/>
      <c r="AL172" s="147" t="n"/>
      <c r="AM172" s="147" t="n"/>
      <c r="AN172" s="147" t="n"/>
      <c r="AO172" s="147" t="n"/>
      <c r="AP172" s="147" t="n"/>
      <c r="AQ172" s="147" t="n"/>
      <c r="AR172" s="147" t="n"/>
      <c r="AS172" s="147" t="n"/>
      <c r="AT172" s="147" t="n"/>
      <c r="AU172" s="147" t="n"/>
      <c r="AV172" s="147" t="n"/>
      <c r="AW172" s="147" t="n"/>
      <c r="AX172" s="147" t="n"/>
      <c r="AY172" s="147" t="n"/>
      <c r="AZ172" s="147" t="n"/>
      <c r="BA172" s="147" t="n"/>
      <c r="BB172" s="147" t="n"/>
      <c r="BC172" s="147" t="n"/>
      <c r="BD172" s="147" t="n"/>
      <c r="BE172" s="147" t="n"/>
      <c r="BF172" s="147" t="n"/>
      <c r="BG172" s="147" t="n"/>
      <c r="BH172" s="147" t="n"/>
    </row>
    <row r="173" ht="30" customHeight="1" s="251">
      <c r="A173" s="152" t="n"/>
      <c r="B173" s="147" t="n"/>
      <c r="C173" s="147" t="n"/>
      <c r="D173" s="147" t="n"/>
      <c r="E173" s="147" t="n"/>
      <c r="F173" s="147" t="n"/>
      <c r="G173" s="147" t="n"/>
      <c r="H173" s="147" t="n"/>
      <c r="I173" s="147" t="n"/>
      <c r="J173" s="147" t="n"/>
      <c r="K173" s="147" t="n"/>
      <c r="L173" s="147" t="n"/>
      <c r="M173" s="147" t="n"/>
      <c r="N173" s="147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  <c r="Z173" s="147" t="n"/>
      <c r="AA173" s="147" t="n"/>
      <c r="AB173" s="147" t="n"/>
      <c r="AC173" s="147" t="n"/>
      <c r="AD173" s="147" t="n"/>
      <c r="AE173" s="147" t="n"/>
      <c r="AF173" s="147" t="n"/>
      <c r="AG173" s="147" t="n"/>
      <c r="AH173" s="147" t="n"/>
      <c r="AI173" s="147" t="n"/>
      <c r="AJ173" s="147" t="n"/>
      <c r="AK173" s="147" t="n"/>
      <c r="AL173" s="147" t="n"/>
      <c r="AM173" s="147" t="n"/>
      <c r="AN173" s="147" t="n"/>
      <c r="AO173" s="147" t="n"/>
      <c r="AP173" s="147" t="n"/>
      <c r="AQ173" s="147" t="n"/>
      <c r="AR173" s="147" t="n"/>
      <c r="AS173" s="147" t="n"/>
      <c r="AT173" s="147" t="n"/>
      <c r="AU173" s="147" t="n"/>
      <c r="AV173" s="147" t="n"/>
      <c r="AW173" s="147" t="n"/>
      <c r="AX173" s="147" t="n"/>
      <c r="AY173" s="147" t="n"/>
      <c r="AZ173" s="147" t="n"/>
      <c r="BA173" s="147" t="n"/>
      <c r="BB173" s="147" t="n"/>
      <c r="BC173" s="147" t="n"/>
      <c r="BD173" s="147" t="n"/>
      <c r="BE173" s="147" t="n"/>
      <c r="BF173" s="147" t="n"/>
      <c r="BG173" s="147" t="n"/>
      <c r="BH173" s="147" t="n"/>
    </row>
    <row r="174" ht="30" customHeight="1" s="251">
      <c r="A174" s="152" t="n"/>
      <c r="B174" s="147" t="n"/>
      <c r="C174" s="147" t="n"/>
      <c r="D174" s="147" t="n"/>
      <c r="E174" s="147" t="n"/>
      <c r="F174" s="147" t="n"/>
      <c r="G174" s="147" t="n"/>
      <c r="H174" s="147" t="n"/>
      <c r="I174" s="147" t="n"/>
      <c r="J174" s="147" t="n"/>
      <c r="K174" s="147" t="n"/>
      <c r="L174" s="147" t="n"/>
      <c r="M174" s="147" t="n"/>
      <c r="N174" s="147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  <c r="Z174" s="147" t="n"/>
      <c r="AA174" s="147" t="n"/>
      <c r="AB174" s="147" t="n"/>
      <c r="AC174" s="147" t="n"/>
      <c r="AD174" s="147" t="n"/>
      <c r="AE174" s="147" t="n"/>
      <c r="AF174" s="147" t="n"/>
      <c r="AG174" s="147" t="n"/>
      <c r="AH174" s="147" t="n"/>
      <c r="AI174" s="147" t="n"/>
      <c r="AJ174" s="147" t="n"/>
      <c r="AK174" s="147" t="n"/>
      <c r="AL174" s="147" t="n"/>
      <c r="AM174" s="147" t="n"/>
      <c r="AN174" s="147" t="n"/>
      <c r="AO174" s="147" t="n"/>
      <c r="AP174" s="147" t="n"/>
      <c r="AQ174" s="147" t="n"/>
      <c r="AR174" s="147" t="n"/>
      <c r="AS174" s="147" t="n"/>
      <c r="AT174" s="147" t="n"/>
      <c r="AU174" s="147" t="n"/>
      <c r="AV174" s="147" t="n"/>
      <c r="AW174" s="147" t="n"/>
      <c r="AX174" s="147" t="n"/>
      <c r="AY174" s="147" t="n"/>
      <c r="AZ174" s="147" t="n"/>
      <c r="BA174" s="147" t="n"/>
      <c r="BB174" s="147" t="n"/>
      <c r="BC174" s="147" t="n"/>
      <c r="BD174" s="147" t="n"/>
      <c r="BE174" s="147" t="n"/>
      <c r="BF174" s="147" t="n"/>
      <c r="BG174" s="147" t="n"/>
      <c r="BH174" s="147" t="n"/>
    </row>
    <row r="175" ht="30" customHeight="1" s="251">
      <c r="A175" s="152" t="n"/>
      <c r="B175" s="147" t="n"/>
      <c r="C175" s="147" t="n"/>
      <c r="D175" s="147" t="n"/>
      <c r="E175" s="147" t="n"/>
      <c r="F175" s="147" t="n"/>
      <c r="G175" s="147" t="n"/>
      <c r="H175" s="147" t="n"/>
      <c r="I175" s="147" t="n"/>
      <c r="J175" s="147" t="n"/>
      <c r="K175" s="147" t="n"/>
      <c r="L175" s="147" t="n"/>
      <c r="M175" s="147" t="n"/>
      <c r="N175" s="147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  <c r="Z175" s="147" t="n"/>
      <c r="AA175" s="147" t="n"/>
      <c r="AB175" s="147" t="n"/>
      <c r="AC175" s="147" t="n"/>
      <c r="AD175" s="147" t="n"/>
      <c r="AE175" s="147" t="n"/>
      <c r="AF175" s="147" t="n"/>
      <c r="AG175" s="147" t="n"/>
      <c r="AH175" s="147" t="n"/>
      <c r="AI175" s="147" t="n"/>
      <c r="AJ175" s="147" t="n"/>
      <c r="AK175" s="147" t="n"/>
      <c r="AL175" s="147" t="n"/>
      <c r="AM175" s="147" t="n"/>
      <c r="AN175" s="147" t="n"/>
      <c r="AO175" s="147" t="n"/>
      <c r="AP175" s="147" t="n"/>
      <c r="AQ175" s="147" t="n"/>
      <c r="AR175" s="147" t="n"/>
      <c r="AS175" s="147" t="n"/>
      <c r="AT175" s="147" t="n"/>
      <c r="AU175" s="147" t="n"/>
      <c r="AV175" s="147" t="n"/>
      <c r="AW175" s="147" t="n"/>
      <c r="AX175" s="147" t="n"/>
      <c r="AY175" s="147" t="n"/>
      <c r="AZ175" s="147" t="n"/>
      <c r="BA175" s="147" t="n"/>
      <c r="BB175" s="147" t="n"/>
      <c r="BC175" s="147" t="n"/>
      <c r="BD175" s="147" t="n"/>
      <c r="BE175" s="147" t="n"/>
      <c r="BF175" s="147" t="n"/>
      <c r="BG175" s="147" t="n"/>
      <c r="BH175" s="147" t="n"/>
    </row>
    <row r="176" ht="30" customHeight="1" s="251">
      <c r="A176" s="152" t="n"/>
      <c r="B176" s="147" t="n"/>
      <c r="C176" s="147" t="n"/>
      <c r="D176" s="147" t="n"/>
      <c r="E176" s="147" t="n"/>
      <c r="F176" s="147" t="n"/>
      <c r="G176" s="147" t="n"/>
      <c r="H176" s="147" t="n"/>
      <c r="I176" s="147" t="n"/>
      <c r="J176" s="147" t="n"/>
      <c r="K176" s="147" t="n"/>
      <c r="L176" s="147" t="n"/>
      <c r="M176" s="147" t="n"/>
      <c r="N176" s="147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  <c r="Z176" s="147" t="n"/>
      <c r="AA176" s="147" t="n"/>
      <c r="AB176" s="147" t="n"/>
      <c r="AC176" s="147" t="n"/>
      <c r="AD176" s="147" t="n"/>
      <c r="AE176" s="147" t="n"/>
      <c r="AF176" s="147" t="n"/>
      <c r="AG176" s="147" t="n"/>
      <c r="AH176" s="147" t="n"/>
      <c r="AI176" s="147" t="n"/>
      <c r="AJ176" s="147" t="n"/>
      <c r="AK176" s="147" t="n"/>
      <c r="AL176" s="147" t="n"/>
      <c r="AM176" s="147" t="n"/>
      <c r="AN176" s="147" t="n"/>
      <c r="AO176" s="147" t="n"/>
      <c r="AP176" s="147" t="n"/>
      <c r="AQ176" s="147" t="n"/>
      <c r="AR176" s="147" t="n"/>
      <c r="AS176" s="147" t="n"/>
      <c r="AT176" s="147" t="n"/>
      <c r="AU176" s="147" t="n"/>
      <c r="AV176" s="147" t="n"/>
      <c r="AW176" s="147" t="n"/>
      <c r="AX176" s="147" t="n"/>
      <c r="AY176" s="147" t="n"/>
      <c r="AZ176" s="147" t="n"/>
      <c r="BA176" s="147" t="n"/>
      <c r="BB176" s="147" t="n"/>
      <c r="BC176" s="147" t="n"/>
      <c r="BD176" s="147" t="n"/>
      <c r="BE176" s="147" t="n"/>
      <c r="BF176" s="147" t="n"/>
      <c r="BG176" s="147" t="n"/>
      <c r="BH176" s="147" t="n"/>
    </row>
    <row r="177" ht="30" customHeight="1" s="251">
      <c r="A177" s="152" t="n"/>
      <c r="B177" s="147" t="n"/>
      <c r="C177" s="147" t="n"/>
      <c r="D177" s="147" t="n"/>
      <c r="E177" s="147" t="n"/>
      <c r="F177" s="147" t="n"/>
      <c r="G177" s="147" t="n"/>
      <c r="H177" s="147" t="n"/>
      <c r="I177" s="147" t="n"/>
      <c r="J177" s="147" t="n"/>
      <c r="K177" s="147" t="n"/>
      <c r="L177" s="147" t="n"/>
      <c r="M177" s="147" t="n"/>
      <c r="N177" s="147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  <c r="Z177" s="147" t="n"/>
      <c r="AA177" s="147" t="n"/>
      <c r="AB177" s="147" t="n"/>
      <c r="AC177" s="147" t="n"/>
      <c r="AD177" s="147" t="n"/>
      <c r="AE177" s="147" t="n"/>
      <c r="AF177" s="147" t="n"/>
      <c r="AG177" s="147" t="n"/>
      <c r="AH177" s="147" t="n"/>
      <c r="AI177" s="147" t="n"/>
      <c r="AJ177" s="147" t="n"/>
      <c r="AK177" s="147" t="n"/>
      <c r="AL177" s="147" t="n"/>
      <c r="AM177" s="147" t="n"/>
      <c r="AN177" s="147" t="n"/>
      <c r="AO177" s="147" t="n"/>
      <c r="AP177" s="147" t="n"/>
      <c r="AQ177" s="147" t="n"/>
      <c r="AR177" s="147" t="n"/>
      <c r="AS177" s="147" t="n"/>
      <c r="AT177" s="147" t="n"/>
      <c r="AU177" s="147" t="n"/>
      <c r="AV177" s="147" t="n"/>
      <c r="AW177" s="147" t="n"/>
      <c r="AX177" s="147" t="n"/>
      <c r="AY177" s="147" t="n"/>
      <c r="AZ177" s="147" t="n"/>
      <c r="BA177" s="147" t="n"/>
      <c r="BB177" s="147" t="n"/>
      <c r="BC177" s="147" t="n"/>
      <c r="BD177" s="147" t="n"/>
      <c r="BE177" s="147" t="n"/>
      <c r="BF177" s="147" t="n"/>
      <c r="BG177" s="147" t="n"/>
      <c r="BH177" s="147" t="n"/>
    </row>
    <row r="178" ht="30" customHeight="1" s="251">
      <c r="A178" s="152" t="n"/>
      <c r="B178" s="147" t="n"/>
      <c r="C178" s="147" t="n"/>
      <c r="D178" s="147" t="n"/>
      <c r="E178" s="147" t="n"/>
      <c r="F178" s="147" t="n"/>
      <c r="G178" s="147" t="n"/>
      <c r="H178" s="147" t="n"/>
      <c r="I178" s="147" t="n"/>
      <c r="J178" s="147" t="n"/>
      <c r="K178" s="147" t="n"/>
      <c r="L178" s="147" t="n"/>
      <c r="M178" s="147" t="n"/>
      <c r="N178" s="147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  <c r="Z178" s="147" t="n"/>
      <c r="AA178" s="147" t="n"/>
      <c r="AB178" s="147" t="n"/>
      <c r="AC178" s="147" t="n"/>
      <c r="AD178" s="147" t="n"/>
      <c r="AE178" s="147" t="n"/>
      <c r="AF178" s="147" t="n"/>
      <c r="AG178" s="147" t="n"/>
      <c r="AH178" s="147" t="n"/>
      <c r="AI178" s="147" t="n"/>
      <c r="AJ178" s="147" t="n"/>
      <c r="AK178" s="147" t="n"/>
      <c r="AL178" s="147" t="n"/>
      <c r="AM178" s="147" t="n"/>
      <c r="AN178" s="147" t="n"/>
      <c r="AO178" s="147" t="n"/>
      <c r="AP178" s="147" t="n"/>
      <c r="AQ178" s="147" t="n"/>
      <c r="AR178" s="147" t="n"/>
      <c r="AS178" s="147" t="n"/>
      <c r="AT178" s="147" t="n"/>
      <c r="AU178" s="147" t="n"/>
      <c r="AV178" s="147" t="n"/>
      <c r="AW178" s="147" t="n"/>
      <c r="AX178" s="147" t="n"/>
      <c r="AY178" s="147" t="n"/>
      <c r="AZ178" s="147" t="n"/>
      <c r="BA178" s="147" t="n"/>
      <c r="BB178" s="147" t="n"/>
      <c r="BC178" s="147" t="n"/>
      <c r="BD178" s="147" t="n"/>
      <c r="BE178" s="147" t="n"/>
      <c r="BF178" s="147" t="n"/>
      <c r="BG178" s="147" t="n"/>
      <c r="BH178" s="147" t="n"/>
    </row>
    <row r="179" ht="30" customHeight="1" s="251">
      <c r="A179" s="152" t="n"/>
      <c r="B179" s="147" t="n"/>
      <c r="C179" s="147" t="n"/>
      <c r="D179" s="147" t="n"/>
      <c r="E179" s="147" t="n"/>
      <c r="F179" s="147" t="n"/>
      <c r="G179" s="147" t="n"/>
      <c r="H179" s="147" t="n"/>
      <c r="I179" s="147" t="n"/>
      <c r="J179" s="147" t="n"/>
      <c r="K179" s="147" t="n"/>
      <c r="L179" s="147" t="n"/>
      <c r="M179" s="147" t="n"/>
      <c r="N179" s="147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  <c r="Z179" s="147" t="n"/>
      <c r="AA179" s="147" t="n"/>
      <c r="AB179" s="147" t="n"/>
      <c r="AC179" s="147" t="n"/>
      <c r="AD179" s="147" t="n"/>
      <c r="AE179" s="147" t="n"/>
      <c r="AF179" s="147" t="n"/>
      <c r="AG179" s="147" t="n"/>
      <c r="AH179" s="147" t="n"/>
      <c r="AI179" s="147" t="n"/>
      <c r="AJ179" s="147" t="n"/>
      <c r="AK179" s="147" t="n"/>
      <c r="AL179" s="147" t="n"/>
      <c r="AM179" s="147" t="n"/>
      <c r="AN179" s="147" t="n"/>
      <c r="AO179" s="147" t="n"/>
      <c r="AP179" s="147" t="n"/>
      <c r="AQ179" s="147" t="n"/>
      <c r="AR179" s="147" t="n"/>
      <c r="AS179" s="147" t="n"/>
      <c r="AT179" s="147" t="n"/>
      <c r="AU179" s="147" t="n"/>
      <c r="AV179" s="147" t="n"/>
      <c r="AW179" s="147" t="n"/>
      <c r="AX179" s="147" t="n"/>
      <c r="AY179" s="147" t="n"/>
      <c r="AZ179" s="147" t="n"/>
      <c r="BA179" s="147" t="n"/>
      <c r="BB179" s="147" t="n"/>
      <c r="BC179" s="147" t="n"/>
      <c r="BD179" s="147" t="n"/>
      <c r="BE179" s="147" t="n"/>
      <c r="BF179" s="147" t="n"/>
      <c r="BG179" s="147" t="n"/>
      <c r="BH179" s="147" t="n"/>
    </row>
    <row r="180" ht="30" customHeight="1" s="251">
      <c r="A180" s="152" t="n"/>
      <c r="B180" s="147" t="n"/>
      <c r="C180" s="147" t="n"/>
      <c r="D180" s="147" t="n"/>
      <c r="E180" s="147" t="n"/>
      <c r="F180" s="147" t="n"/>
      <c r="G180" s="147" t="n"/>
      <c r="H180" s="147" t="n"/>
      <c r="I180" s="147" t="n"/>
      <c r="J180" s="147" t="n"/>
      <c r="K180" s="147" t="n"/>
      <c r="L180" s="147" t="n"/>
      <c r="M180" s="147" t="n"/>
      <c r="N180" s="147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  <c r="Z180" s="147" t="n"/>
      <c r="AA180" s="147" t="n"/>
      <c r="AB180" s="147" t="n"/>
      <c r="AC180" s="147" t="n"/>
      <c r="AD180" s="147" t="n"/>
      <c r="AE180" s="147" t="n"/>
      <c r="AF180" s="147" t="n"/>
      <c r="AG180" s="147" t="n"/>
      <c r="AH180" s="147" t="n"/>
      <c r="AI180" s="147" t="n"/>
      <c r="AJ180" s="147" t="n"/>
      <c r="AK180" s="147" t="n"/>
      <c r="AL180" s="147" t="n"/>
      <c r="AM180" s="147" t="n"/>
      <c r="AN180" s="147" t="n"/>
      <c r="AO180" s="147" t="n"/>
      <c r="AP180" s="147" t="n"/>
      <c r="AQ180" s="147" t="n"/>
      <c r="AR180" s="147" t="n"/>
      <c r="AS180" s="147" t="n"/>
      <c r="AT180" s="147" t="n"/>
      <c r="AU180" s="147" t="n"/>
      <c r="AV180" s="147" t="n"/>
      <c r="AW180" s="147" t="n"/>
      <c r="AX180" s="147" t="n"/>
      <c r="AY180" s="147" t="n"/>
      <c r="AZ180" s="147" t="n"/>
      <c r="BA180" s="147" t="n"/>
      <c r="BB180" s="147" t="n"/>
      <c r="BC180" s="147" t="n"/>
      <c r="BD180" s="147" t="n"/>
      <c r="BE180" s="147" t="n"/>
      <c r="BF180" s="147" t="n"/>
      <c r="BG180" s="147" t="n"/>
      <c r="BH180" s="147" t="n"/>
    </row>
    <row r="181" ht="30" customHeight="1" s="251">
      <c r="A181" s="152" t="n"/>
      <c r="B181" s="147" t="n"/>
      <c r="C181" s="147" t="n"/>
      <c r="D181" s="147" t="n"/>
      <c r="E181" s="147" t="n"/>
      <c r="F181" s="147" t="n"/>
      <c r="G181" s="147" t="n"/>
      <c r="H181" s="147" t="n"/>
      <c r="I181" s="147" t="n"/>
      <c r="J181" s="147" t="n"/>
      <c r="K181" s="147" t="n"/>
      <c r="L181" s="147" t="n"/>
      <c r="M181" s="147" t="n"/>
      <c r="N181" s="147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  <c r="Z181" s="147" t="n"/>
      <c r="AA181" s="147" t="n"/>
      <c r="AB181" s="147" t="n"/>
      <c r="AC181" s="147" t="n"/>
      <c r="AD181" s="147" t="n"/>
      <c r="AE181" s="147" t="n"/>
      <c r="AF181" s="147" t="n"/>
      <c r="AG181" s="147" t="n"/>
      <c r="AH181" s="147" t="n"/>
      <c r="AI181" s="147" t="n"/>
      <c r="AJ181" s="147" t="n"/>
      <c r="AK181" s="147" t="n"/>
      <c r="AL181" s="147" t="n"/>
      <c r="AM181" s="147" t="n"/>
      <c r="AN181" s="147" t="n"/>
      <c r="AO181" s="147" t="n"/>
      <c r="AP181" s="147" t="n"/>
      <c r="AQ181" s="147" t="n"/>
      <c r="AR181" s="147" t="n"/>
      <c r="AS181" s="147" t="n"/>
      <c r="AT181" s="147" t="n"/>
      <c r="AU181" s="147" t="n"/>
      <c r="AV181" s="147" t="n"/>
      <c r="AW181" s="147" t="n"/>
      <c r="AX181" s="147" t="n"/>
      <c r="AY181" s="147" t="n"/>
      <c r="AZ181" s="147" t="n"/>
      <c r="BA181" s="147" t="n"/>
      <c r="BB181" s="147" t="n"/>
      <c r="BC181" s="147" t="n"/>
      <c r="BD181" s="147" t="n"/>
      <c r="BE181" s="147" t="n"/>
      <c r="BF181" s="147" t="n"/>
      <c r="BG181" s="147" t="n"/>
      <c r="BH181" s="147" t="n"/>
    </row>
    <row r="182" ht="30" customHeight="1" s="251">
      <c r="A182" s="152" t="n"/>
      <c r="B182" s="147" t="n"/>
      <c r="C182" s="147" t="n"/>
      <c r="D182" s="147" t="n"/>
      <c r="E182" s="147" t="n"/>
      <c r="F182" s="147" t="n"/>
      <c r="G182" s="147" t="n"/>
      <c r="H182" s="147" t="n"/>
      <c r="I182" s="147" t="n"/>
      <c r="J182" s="147" t="n"/>
      <c r="K182" s="147" t="n"/>
      <c r="L182" s="147" t="n"/>
      <c r="M182" s="147" t="n"/>
      <c r="N182" s="147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  <c r="Z182" s="147" t="n"/>
      <c r="AA182" s="147" t="n"/>
      <c r="AB182" s="147" t="n"/>
      <c r="AC182" s="147" t="n"/>
      <c r="AD182" s="147" t="n"/>
      <c r="AE182" s="147" t="n"/>
      <c r="AF182" s="147" t="n"/>
      <c r="AG182" s="147" t="n"/>
      <c r="AH182" s="147" t="n"/>
      <c r="AI182" s="147" t="n"/>
      <c r="AJ182" s="147" t="n"/>
      <c r="AK182" s="147" t="n"/>
      <c r="AL182" s="147" t="n"/>
      <c r="AM182" s="147" t="n"/>
      <c r="AN182" s="147" t="n"/>
      <c r="AO182" s="147" t="n"/>
      <c r="AP182" s="147" t="n"/>
      <c r="AQ182" s="147" t="n"/>
      <c r="AR182" s="147" t="n"/>
      <c r="AS182" s="147" t="n"/>
      <c r="AT182" s="147" t="n"/>
      <c r="AU182" s="147" t="n"/>
      <c r="AV182" s="147" t="n"/>
      <c r="AW182" s="147" t="n"/>
      <c r="AX182" s="147" t="n"/>
      <c r="AY182" s="147" t="n"/>
      <c r="AZ182" s="147" t="n"/>
      <c r="BA182" s="147" t="n"/>
      <c r="BB182" s="147" t="n"/>
      <c r="BC182" s="147" t="n"/>
      <c r="BD182" s="147" t="n"/>
      <c r="BE182" s="147" t="n"/>
      <c r="BF182" s="147" t="n"/>
      <c r="BG182" s="147" t="n"/>
      <c r="BH182" s="147" t="n"/>
    </row>
    <row r="183" ht="30" customHeight="1" s="251">
      <c r="A183" s="152" t="n"/>
      <c r="B183" s="147" t="n"/>
      <c r="C183" s="147" t="n"/>
      <c r="D183" s="147" t="n"/>
      <c r="E183" s="147" t="n"/>
      <c r="F183" s="147" t="n"/>
      <c r="G183" s="147" t="n"/>
      <c r="H183" s="147" t="n"/>
      <c r="I183" s="147" t="n"/>
      <c r="J183" s="147" t="n"/>
      <c r="K183" s="147" t="n"/>
      <c r="L183" s="147" t="n"/>
      <c r="M183" s="147" t="n"/>
      <c r="N183" s="147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  <c r="Z183" s="147" t="n"/>
      <c r="AA183" s="147" t="n"/>
      <c r="AB183" s="147" t="n"/>
      <c r="AC183" s="147" t="n"/>
      <c r="AD183" s="147" t="n"/>
      <c r="AE183" s="147" t="n"/>
      <c r="AF183" s="147" t="n"/>
      <c r="AG183" s="147" t="n"/>
      <c r="AH183" s="147" t="n"/>
      <c r="AI183" s="147" t="n"/>
      <c r="AJ183" s="147" t="n"/>
      <c r="AK183" s="147" t="n"/>
      <c r="AL183" s="147" t="n"/>
      <c r="AM183" s="147" t="n"/>
      <c r="AN183" s="147" t="n"/>
      <c r="AO183" s="147" t="n"/>
      <c r="AP183" s="147" t="n"/>
      <c r="AQ183" s="147" t="n"/>
      <c r="AR183" s="147" t="n"/>
      <c r="AS183" s="147" t="n"/>
      <c r="AT183" s="147" t="n"/>
      <c r="AU183" s="147" t="n"/>
      <c r="AV183" s="147" t="n"/>
      <c r="AW183" s="147" t="n"/>
      <c r="AX183" s="147" t="n"/>
      <c r="AY183" s="147" t="n"/>
      <c r="AZ183" s="147" t="n"/>
      <c r="BA183" s="147" t="n"/>
      <c r="BB183" s="147" t="n"/>
      <c r="BC183" s="147" t="n"/>
      <c r="BD183" s="147" t="n"/>
      <c r="BE183" s="147" t="n"/>
      <c r="BF183" s="147" t="n"/>
      <c r="BG183" s="147" t="n"/>
      <c r="BH183" s="147" t="n"/>
    </row>
    <row r="184" ht="30" customHeight="1" s="251">
      <c r="A184" s="152" t="n"/>
      <c r="B184" s="147" t="n"/>
      <c r="C184" s="147" t="n"/>
      <c r="D184" s="147" t="n"/>
      <c r="E184" s="147" t="n"/>
      <c r="F184" s="147" t="n"/>
      <c r="G184" s="147" t="n"/>
      <c r="H184" s="147" t="n"/>
      <c r="I184" s="147" t="n"/>
      <c r="J184" s="147" t="n"/>
      <c r="K184" s="147" t="n"/>
      <c r="L184" s="147" t="n"/>
      <c r="M184" s="147" t="n"/>
      <c r="N184" s="147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  <c r="Z184" s="147" t="n"/>
      <c r="AA184" s="147" t="n"/>
      <c r="AB184" s="147" t="n"/>
      <c r="AC184" s="147" t="n"/>
      <c r="AD184" s="147" t="n"/>
      <c r="AE184" s="147" t="n"/>
      <c r="AF184" s="147" t="n"/>
      <c r="AG184" s="147" t="n"/>
      <c r="AH184" s="147" t="n"/>
      <c r="AI184" s="147" t="n"/>
      <c r="AJ184" s="147" t="n"/>
      <c r="AK184" s="147" t="n"/>
      <c r="AL184" s="147" t="n"/>
      <c r="AM184" s="147" t="n"/>
      <c r="AN184" s="147" t="n"/>
      <c r="AO184" s="147" t="n"/>
      <c r="AP184" s="147" t="n"/>
      <c r="AQ184" s="147" t="n"/>
      <c r="AR184" s="147" t="n"/>
      <c r="AS184" s="147" t="n"/>
      <c r="AT184" s="147" t="n"/>
      <c r="AU184" s="147" t="n"/>
      <c r="AV184" s="147" t="n"/>
      <c r="AW184" s="147" t="n"/>
      <c r="AX184" s="147" t="n"/>
      <c r="AY184" s="147" t="n"/>
      <c r="AZ184" s="147" t="n"/>
      <c r="BA184" s="147" t="n"/>
      <c r="BB184" s="147" t="n"/>
      <c r="BC184" s="147" t="n"/>
      <c r="BD184" s="147" t="n"/>
      <c r="BE184" s="147" t="n"/>
      <c r="BF184" s="147" t="n"/>
      <c r="BG184" s="147" t="n"/>
      <c r="BH184" s="147" t="n"/>
    </row>
    <row r="185" ht="30" customHeight="1" s="251">
      <c r="A185" s="152" t="n"/>
      <c r="B185" s="147" t="n"/>
      <c r="C185" s="147" t="n"/>
      <c r="D185" s="147" t="n"/>
      <c r="E185" s="147" t="n"/>
      <c r="F185" s="147" t="n"/>
      <c r="G185" s="147" t="n"/>
      <c r="H185" s="147" t="n"/>
      <c r="I185" s="147" t="n"/>
      <c r="J185" s="147" t="n"/>
      <c r="K185" s="147" t="n"/>
      <c r="L185" s="147" t="n"/>
      <c r="M185" s="147" t="n"/>
      <c r="N185" s="147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  <c r="Z185" s="147" t="n"/>
      <c r="AA185" s="147" t="n"/>
      <c r="AB185" s="147" t="n"/>
      <c r="AC185" s="147" t="n"/>
      <c r="AD185" s="147" t="n"/>
      <c r="AE185" s="147" t="n"/>
      <c r="AF185" s="147" t="n"/>
      <c r="AG185" s="147" t="n"/>
      <c r="AH185" s="147" t="n"/>
      <c r="AI185" s="147" t="n"/>
      <c r="AJ185" s="147" t="n"/>
      <c r="AK185" s="147" t="n"/>
      <c r="AL185" s="147" t="n"/>
      <c r="AM185" s="147" t="n"/>
      <c r="AN185" s="147" t="n"/>
      <c r="AO185" s="147" t="n"/>
      <c r="AP185" s="147" t="n"/>
      <c r="AQ185" s="147" t="n"/>
      <c r="AR185" s="147" t="n"/>
      <c r="AS185" s="147" t="n"/>
      <c r="AT185" s="147" t="n"/>
      <c r="AU185" s="147" t="n"/>
      <c r="AV185" s="147" t="n"/>
      <c r="AW185" s="147" t="n"/>
      <c r="AX185" s="147" t="n"/>
      <c r="AY185" s="147" t="n"/>
      <c r="AZ185" s="147" t="n"/>
      <c r="BA185" s="147" t="n"/>
      <c r="BB185" s="147" t="n"/>
      <c r="BC185" s="147" t="n"/>
      <c r="BD185" s="147" t="n"/>
      <c r="BE185" s="147" t="n"/>
      <c r="BF185" s="147" t="n"/>
      <c r="BG185" s="147" t="n"/>
      <c r="BH185" s="147" t="n"/>
    </row>
    <row r="186" ht="30" customHeight="1" s="251">
      <c r="A186" s="152" t="n"/>
      <c r="B186" s="147" t="n"/>
      <c r="C186" s="147" t="n"/>
      <c r="D186" s="147" t="n"/>
      <c r="E186" s="147" t="n"/>
      <c r="F186" s="147" t="n"/>
      <c r="G186" s="147" t="n"/>
      <c r="H186" s="147" t="n"/>
      <c r="I186" s="147" t="n"/>
      <c r="J186" s="147" t="n"/>
      <c r="K186" s="147" t="n"/>
      <c r="L186" s="147" t="n"/>
      <c r="M186" s="147" t="n"/>
      <c r="N186" s="147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  <c r="Z186" s="147" t="n"/>
      <c r="AA186" s="147" t="n"/>
      <c r="AB186" s="147" t="n"/>
      <c r="AC186" s="147" t="n"/>
      <c r="AD186" s="147" t="n"/>
      <c r="AE186" s="147" t="n"/>
      <c r="AF186" s="147" t="n"/>
      <c r="AG186" s="147" t="n"/>
      <c r="AH186" s="147" t="n"/>
      <c r="AI186" s="147" t="n"/>
      <c r="AJ186" s="147" t="n"/>
      <c r="AK186" s="147" t="n"/>
      <c r="AL186" s="147" t="n"/>
      <c r="AM186" s="147" t="n"/>
      <c r="AN186" s="147" t="n"/>
      <c r="AO186" s="147" t="n"/>
      <c r="AP186" s="147" t="n"/>
      <c r="AQ186" s="147" t="n"/>
      <c r="AR186" s="147" t="n"/>
      <c r="AS186" s="147" t="n"/>
      <c r="AT186" s="147" t="n"/>
      <c r="AU186" s="147" t="n"/>
      <c r="AV186" s="147" t="n"/>
      <c r="AW186" s="147" t="n"/>
      <c r="AX186" s="147" t="n"/>
      <c r="AY186" s="147" t="n"/>
      <c r="AZ186" s="147" t="n"/>
      <c r="BA186" s="147" t="n"/>
      <c r="BB186" s="147" t="n"/>
      <c r="BC186" s="147" t="n"/>
      <c r="BD186" s="147" t="n"/>
      <c r="BE186" s="147" t="n"/>
      <c r="BF186" s="147" t="n"/>
      <c r="BG186" s="147" t="n"/>
      <c r="BH186" s="147" t="n"/>
    </row>
    <row r="187" ht="30" customHeight="1" s="251">
      <c r="A187" s="152" t="n"/>
      <c r="B187" s="147" t="n"/>
      <c r="C187" s="147" t="n"/>
      <c r="D187" s="147" t="n"/>
      <c r="E187" s="147" t="n"/>
      <c r="F187" s="147" t="n"/>
      <c r="G187" s="147" t="n"/>
      <c r="H187" s="147" t="n"/>
      <c r="I187" s="147" t="n"/>
      <c r="J187" s="147" t="n"/>
      <c r="K187" s="147" t="n"/>
      <c r="L187" s="147" t="n"/>
      <c r="M187" s="147" t="n"/>
      <c r="N187" s="147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  <c r="Z187" s="147" t="n"/>
      <c r="AA187" s="147" t="n"/>
      <c r="AB187" s="147" t="n"/>
      <c r="AC187" s="147" t="n"/>
      <c r="AD187" s="147" t="n"/>
      <c r="AE187" s="147" t="n"/>
      <c r="AF187" s="147" t="n"/>
      <c r="AG187" s="147" t="n"/>
      <c r="AH187" s="147" t="n"/>
      <c r="AI187" s="147" t="n"/>
      <c r="AJ187" s="147" t="n"/>
      <c r="AK187" s="147" t="n"/>
      <c r="AL187" s="147" t="n"/>
      <c r="AM187" s="147" t="n"/>
      <c r="AN187" s="147" t="n"/>
      <c r="AO187" s="147" t="n"/>
      <c r="AP187" s="147" t="n"/>
      <c r="AQ187" s="147" t="n"/>
      <c r="AR187" s="147" t="n"/>
      <c r="AS187" s="147" t="n"/>
      <c r="AT187" s="147" t="n"/>
      <c r="AU187" s="147" t="n"/>
      <c r="AV187" s="147" t="n"/>
      <c r="AW187" s="147" t="n"/>
      <c r="AX187" s="147" t="n"/>
      <c r="AY187" s="147" t="n"/>
      <c r="AZ187" s="147" t="n"/>
      <c r="BA187" s="147" t="n"/>
      <c r="BB187" s="147" t="n"/>
      <c r="BC187" s="147" t="n"/>
      <c r="BD187" s="147" t="n"/>
      <c r="BE187" s="147" t="n"/>
      <c r="BF187" s="147" t="n"/>
      <c r="BG187" s="147" t="n"/>
      <c r="BH187" s="147" t="n"/>
    </row>
    <row r="188" ht="30" customHeight="1" s="251">
      <c r="A188" s="152" t="n"/>
      <c r="B188" s="147" t="n"/>
      <c r="C188" s="147" t="n"/>
      <c r="D188" s="147" t="n"/>
      <c r="E188" s="147" t="n"/>
      <c r="F188" s="147" t="n"/>
      <c r="G188" s="147" t="n"/>
      <c r="H188" s="147" t="n"/>
      <c r="I188" s="147" t="n"/>
      <c r="J188" s="147" t="n"/>
      <c r="K188" s="147" t="n"/>
      <c r="L188" s="147" t="n"/>
      <c r="M188" s="147" t="n"/>
      <c r="N188" s="147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  <c r="Z188" s="147" t="n"/>
      <c r="AA188" s="147" t="n"/>
      <c r="AB188" s="147" t="n"/>
      <c r="AC188" s="147" t="n"/>
      <c r="AD188" s="147" t="n"/>
      <c r="AE188" s="147" t="n"/>
      <c r="AF188" s="147" t="n"/>
      <c r="AG188" s="147" t="n"/>
      <c r="AH188" s="147" t="n"/>
      <c r="AI188" s="147" t="n"/>
      <c r="AJ188" s="147" t="n"/>
      <c r="AK188" s="147" t="n"/>
      <c r="AL188" s="147" t="n"/>
      <c r="AM188" s="147" t="n"/>
      <c r="AN188" s="147" t="n"/>
      <c r="AO188" s="147" t="n"/>
      <c r="AP188" s="147" t="n"/>
      <c r="AQ188" s="147" t="n"/>
      <c r="AR188" s="147" t="n"/>
      <c r="AS188" s="147" t="n"/>
      <c r="AT188" s="147" t="n"/>
      <c r="AU188" s="147" t="n"/>
      <c r="AV188" s="147" t="n"/>
      <c r="AW188" s="147" t="n"/>
      <c r="AX188" s="147" t="n"/>
      <c r="AY188" s="147" t="n"/>
      <c r="AZ188" s="147" t="n"/>
      <c r="BA188" s="147" t="n"/>
      <c r="BB188" s="147" t="n"/>
      <c r="BC188" s="147" t="n"/>
      <c r="BD188" s="147" t="n"/>
      <c r="BE188" s="147" t="n"/>
      <c r="BF188" s="147" t="n"/>
      <c r="BG188" s="147" t="n"/>
      <c r="BH188" s="147" t="n"/>
    </row>
    <row r="189" ht="30" customHeight="1" s="251">
      <c r="A189" s="152" t="n"/>
      <c r="B189" s="147" t="n"/>
      <c r="C189" s="147" t="n"/>
      <c r="D189" s="147" t="n"/>
      <c r="E189" s="147" t="n"/>
      <c r="F189" s="147" t="n"/>
      <c r="G189" s="147" t="n"/>
      <c r="H189" s="147" t="n"/>
      <c r="I189" s="147" t="n"/>
      <c r="J189" s="147" t="n"/>
      <c r="K189" s="147" t="n"/>
      <c r="L189" s="147" t="n"/>
      <c r="M189" s="147" t="n"/>
      <c r="N189" s="147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  <c r="Z189" s="147" t="n"/>
      <c r="AA189" s="147" t="n"/>
      <c r="AB189" s="147" t="n"/>
      <c r="AC189" s="147" t="n"/>
      <c r="AD189" s="147" t="n"/>
      <c r="AE189" s="147" t="n"/>
      <c r="AF189" s="147" t="n"/>
      <c r="AG189" s="147" t="n"/>
      <c r="AH189" s="147" t="n"/>
      <c r="AI189" s="147" t="n"/>
      <c r="AJ189" s="147" t="n"/>
      <c r="AK189" s="147" t="n"/>
      <c r="AL189" s="147" t="n"/>
      <c r="AM189" s="147" t="n"/>
      <c r="AN189" s="147" t="n"/>
      <c r="AO189" s="147" t="n"/>
      <c r="AP189" s="147" t="n"/>
      <c r="AQ189" s="147" t="n"/>
      <c r="AR189" s="147" t="n"/>
      <c r="AS189" s="147" t="n"/>
      <c r="AT189" s="147" t="n"/>
      <c r="AU189" s="147" t="n"/>
      <c r="AV189" s="147" t="n"/>
      <c r="AW189" s="147" t="n"/>
      <c r="AX189" s="147" t="n"/>
      <c r="AY189" s="147" t="n"/>
      <c r="AZ189" s="147" t="n"/>
      <c r="BA189" s="147" t="n"/>
      <c r="BB189" s="147" t="n"/>
      <c r="BC189" s="147" t="n"/>
      <c r="BD189" s="147" t="n"/>
      <c r="BE189" s="147" t="n"/>
      <c r="BF189" s="147" t="n"/>
      <c r="BG189" s="147" t="n"/>
      <c r="BH189" s="147" t="n"/>
    </row>
    <row r="190" ht="30" customHeight="1" s="251">
      <c r="A190" s="152" t="n"/>
      <c r="B190" s="147" t="n"/>
      <c r="C190" s="147" t="n"/>
      <c r="D190" s="147" t="n"/>
      <c r="E190" s="147" t="n"/>
      <c r="F190" s="147" t="n"/>
      <c r="G190" s="147" t="n"/>
      <c r="H190" s="147" t="n"/>
      <c r="I190" s="147" t="n"/>
      <c r="J190" s="147" t="n"/>
      <c r="K190" s="147" t="n"/>
      <c r="L190" s="147" t="n"/>
      <c r="M190" s="147" t="n"/>
      <c r="N190" s="147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  <c r="Z190" s="147" t="n"/>
      <c r="AA190" s="147" t="n"/>
      <c r="AB190" s="147" t="n"/>
      <c r="AC190" s="147" t="n"/>
      <c r="AD190" s="147" t="n"/>
      <c r="AE190" s="147" t="n"/>
      <c r="AF190" s="147" t="n"/>
      <c r="AG190" s="147" t="n"/>
      <c r="AH190" s="147" t="n"/>
      <c r="AI190" s="147" t="n"/>
      <c r="AJ190" s="147" t="n"/>
      <c r="AK190" s="147" t="n"/>
      <c r="AL190" s="147" t="n"/>
      <c r="AM190" s="147" t="n"/>
      <c r="AN190" s="147" t="n"/>
      <c r="AO190" s="147" t="n"/>
      <c r="AP190" s="147" t="n"/>
      <c r="AQ190" s="147" t="n"/>
      <c r="AR190" s="147" t="n"/>
      <c r="AS190" s="147" t="n"/>
      <c r="AT190" s="147" t="n"/>
      <c r="AU190" s="147" t="n"/>
      <c r="AV190" s="147" t="n"/>
      <c r="AW190" s="147" t="n"/>
      <c r="AX190" s="147" t="n"/>
      <c r="AY190" s="147" t="n"/>
      <c r="AZ190" s="147" t="n"/>
      <c r="BA190" s="147" t="n"/>
      <c r="BB190" s="147" t="n"/>
      <c r="BC190" s="147" t="n"/>
      <c r="BD190" s="147" t="n"/>
      <c r="BE190" s="147" t="n"/>
      <c r="BF190" s="147" t="n"/>
      <c r="BG190" s="147" t="n"/>
      <c r="BH190" s="147" t="n"/>
    </row>
    <row r="191" ht="30" customHeight="1" s="251">
      <c r="A191" s="152" t="n"/>
      <c r="B191" s="147" t="n"/>
      <c r="C191" s="147" t="n"/>
      <c r="D191" s="147" t="n"/>
      <c r="E191" s="147" t="n"/>
      <c r="F191" s="147" t="n"/>
      <c r="G191" s="147" t="n"/>
      <c r="H191" s="147" t="n"/>
      <c r="I191" s="147" t="n"/>
      <c r="J191" s="147" t="n"/>
      <c r="K191" s="147" t="n"/>
      <c r="L191" s="147" t="n"/>
      <c r="M191" s="147" t="n"/>
      <c r="N191" s="147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  <c r="Z191" s="147" t="n"/>
      <c r="AA191" s="147" t="n"/>
      <c r="AB191" s="147" t="n"/>
      <c r="AC191" s="147" t="n"/>
      <c r="AD191" s="147" t="n"/>
      <c r="AE191" s="147" t="n"/>
      <c r="AF191" s="147" t="n"/>
      <c r="AG191" s="147" t="n"/>
      <c r="AH191" s="147" t="n"/>
      <c r="AI191" s="147" t="n"/>
      <c r="AJ191" s="147" t="n"/>
      <c r="AK191" s="147" t="n"/>
      <c r="AL191" s="147" t="n"/>
      <c r="AM191" s="147" t="n"/>
      <c r="AN191" s="147" t="n"/>
      <c r="AO191" s="147" t="n"/>
      <c r="AP191" s="147" t="n"/>
      <c r="AQ191" s="147" t="n"/>
      <c r="AR191" s="147" t="n"/>
      <c r="AS191" s="147" t="n"/>
      <c r="AT191" s="147" t="n"/>
      <c r="AU191" s="147" t="n"/>
      <c r="AV191" s="147" t="n"/>
      <c r="AW191" s="147" t="n"/>
      <c r="AX191" s="147" t="n"/>
      <c r="AY191" s="147" t="n"/>
      <c r="AZ191" s="147" t="n"/>
      <c r="BA191" s="147" t="n"/>
      <c r="BB191" s="147" t="n"/>
      <c r="BC191" s="147" t="n"/>
      <c r="BD191" s="147" t="n"/>
      <c r="BE191" s="147" t="n"/>
      <c r="BF191" s="147" t="n"/>
      <c r="BG191" s="147" t="n"/>
      <c r="BH191" s="147" t="n"/>
    </row>
    <row r="192" ht="30" customHeight="1" s="251">
      <c r="A192" s="152" t="n"/>
      <c r="B192" s="147" t="n"/>
      <c r="C192" s="147" t="n"/>
      <c r="D192" s="147" t="n"/>
      <c r="E192" s="147" t="n"/>
      <c r="F192" s="147" t="n"/>
      <c r="G192" s="147" t="n"/>
      <c r="H192" s="147" t="n"/>
      <c r="I192" s="147" t="n"/>
      <c r="J192" s="147" t="n"/>
      <c r="K192" s="147" t="n"/>
      <c r="L192" s="147" t="n"/>
      <c r="M192" s="147" t="n"/>
      <c r="N192" s="147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  <c r="Z192" s="147" t="n"/>
      <c r="AA192" s="147" t="n"/>
      <c r="AB192" s="147" t="n"/>
      <c r="AC192" s="147" t="n"/>
      <c r="AD192" s="147" t="n"/>
      <c r="AE192" s="147" t="n"/>
      <c r="AF192" s="147" t="n"/>
      <c r="AG192" s="147" t="n"/>
      <c r="AH192" s="147" t="n"/>
      <c r="AI192" s="147" t="n"/>
      <c r="AJ192" s="147" t="n"/>
      <c r="AK192" s="147" t="n"/>
      <c r="AL192" s="147" t="n"/>
      <c r="AM192" s="147" t="n"/>
      <c r="AN192" s="147" t="n"/>
      <c r="AO192" s="147" t="n"/>
      <c r="AP192" s="147" t="n"/>
      <c r="AQ192" s="147" t="n"/>
      <c r="AR192" s="147" t="n"/>
      <c r="AS192" s="147" t="n"/>
      <c r="AT192" s="147" t="n"/>
      <c r="AU192" s="147" t="n"/>
      <c r="AV192" s="147" t="n"/>
      <c r="AW192" s="147" t="n"/>
      <c r="AX192" s="147" t="n"/>
      <c r="AY192" s="147" t="n"/>
      <c r="AZ192" s="147" t="n"/>
      <c r="BA192" s="147" t="n"/>
      <c r="BB192" s="147" t="n"/>
      <c r="BC192" s="147" t="n"/>
      <c r="BD192" s="147" t="n"/>
      <c r="BE192" s="147" t="n"/>
      <c r="BF192" s="147" t="n"/>
      <c r="BG192" s="147" t="n"/>
      <c r="BH192" s="147" t="n"/>
    </row>
    <row r="193" ht="30" customHeight="1" s="251">
      <c r="A193" s="152" t="n"/>
      <c r="B193" s="147" t="n"/>
      <c r="C193" s="147" t="n"/>
      <c r="D193" s="147" t="n"/>
      <c r="E193" s="147" t="n"/>
      <c r="F193" s="147" t="n"/>
      <c r="G193" s="147" t="n"/>
      <c r="H193" s="147" t="n"/>
      <c r="I193" s="147" t="n"/>
      <c r="J193" s="147" t="n"/>
      <c r="K193" s="147" t="n"/>
      <c r="L193" s="147" t="n"/>
      <c r="M193" s="147" t="n"/>
      <c r="N193" s="147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  <c r="Z193" s="147" t="n"/>
      <c r="AA193" s="147" t="n"/>
      <c r="AB193" s="147" t="n"/>
      <c r="AC193" s="147" t="n"/>
      <c r="AD193" s="147" t="n"/>
      <c r="AE193" s="147" t="n"/>
      <c r="AF193" s="147" t="n"/>
      <c r="AG193" s="147" t="n"/>
      <c r="AH193" s="147" t="n"/>
      <c r="AI193" s="147" t="n"/>
      <c r="AJ193" s="147" t="n"/>
      <c r="AK193" s="147" t="n"/>
      <c r="AL193" s="147" t="n"/>
      <c r="AM193" s="147" t="n"/>
      <c r="AN193" s="147" t="n"/>
      <c r="AO193" s="147" t="n"/>
      <c r="AP193" s="147" t="n"/>
      <c r="AQ193" s="147" t="n"/>
      <c r="AR193" s="147" t="n"/>
      <c r="AS193" s="147" t="n"/>
      <c r="AT193" s="147" t="n"/>
      <c r="AU193" s="147" t="n"/>
      <c r="AV193" s="147" t="n"/>
      <c r="AW193" s="147" t="n"/>
      <c r="AX193" s="147" t="n"/>
      <c r="AY193" s="147" t="n"/>
      <c r="AZ193" s="147" t="n"/>
      <c r="BA193" s="147" t="n"/>
      <c r="BB193" s="147" t="n"/>
      <c r="BC193" s="147" t="n"/>
      <c r="BD193" s="147" t="n"/>
      <c r="BE193" s="147" t="n"/>
      <c r="BF193" s="147" t="n"/>
      <c r="BG193" s="147" t="n"/>
      <c r="BH193" s="147" t="n"/>
    </row>
    <row r="194" ht="30" customHeight="1" s="251">
      <c r="A194" s="152" t="n"/>
      <c r="B194" s="147" t="n"/>
      <c r="C194" s="147" t="n"/>
      <c r="D194" s="147" t="n"/>
      <c r="E194" s="147" t="n"/>
      <c r="F194" s="147" t="n"/>
      <c r="G194" s="147" t="n"/>
      <c r="H194" s="147" t="n"/>
      <c r="I194" s="147" t="n"/>
      <c r="J194" s="147" t="n"/>
      <c r="K194" s="147" t="n"/>
      <c r="L194" s="147" t="n"/>
      <c r="M194" s="147" t="n"/>
      <c r="N194" s="147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  <c r="Z194" s="147" t="n"/>
      <c r="AA194" s="147" t="n"/>
      <c r="AB194" s="147" t="n"/>
      <c r="AC194" s="147" t="n"/>
      <c r="AD194" s="147" t="n"/>
      <c r="AE194" s="147" t="n"/>
      <c r="AF194" s="147" t="n"/>
      <c r="AG194" s="147" t="n"/>
      <c r="AH194" s="147" t="n"/>
      <c r="AI194" s="147" t="n"/>
      <c r="AJ194" s="147" t="n"/>
      <c r="AK194" s="147" t="n"/>
      <c r="AL194" s="147" t="n"/>
      <c r="AM194" s="147" t="n"/>
      <c r="AN194" s="147" t="n"/>
      <c r="AO194" s="147" t="n"/>
      <c r="AP194" s="147" t="n"/>
      <c r="AQ194" s="147" t="n"/>
      <c r="AR194" s="147" t="n"/>
      <c r="AS194" s="147" t="n"/>
      <c r="AT194" s="147" t="n"/>
      <c r="AU194" s="147" t="n"/>
      <c r="AV194" s="147" t="n"/>
      <c r="AW194" s="147" t="n"/>
      <c r="AX194" s="147" t="n"/>
      <c r="AY194" s="147" t="n"/>
      <c r="AZ194" s="147" t="n"/>
      <c r="BA194" s="147" t="n"/>
      <c r="BB194" s="147" t="n"/>
      <c r="BC194" s="147" t="n"/>
      <c r="BD194" s="147" t="n"/>
      <c r="BE194" s="147" t="n"/>
      <c r="BF194" s="147" t="n"/>
      <c r="BG194" s="147" t="n"/>
      <c r="BH194" s="147" t="n"/>
    </row>
    <row r="195" ht="30" customHeight="1" s="251">
      <c r="A195" s="152" t="n"/>
      <c r="B195" s="147" t="n"/>
      <c r="C195" s="147" t="n"/>
      <c r="D195" s="147" t="n"/>
      <c r="E195" s="147" t="n"/>
      <c r="F195" s="147" t="n"/>
      <c r="G195" s="147" t="n"/>
      <c r="H195" s="147" t="n"/>
      <c r="I195" s="147" t="n"/>
      <c r="J195" s="147" t="n"/>
      <c r="K195" s="147" t="n"/>
      <c r="L195" s="147" t="n"/>
      <c r="M195" s="147" t="n"/>
      <c r="N195" s="147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  <c r="Z195" s="147" t="n"/>
      <c r="AA195" s="147" t="n"/>
      <c r="AB195" s="147" t="n"/>
      <c r="AC195" s="147" t="n"/>
      <c r="AD195" s="147" t="n"/>
      <c r="AE195" s="147" t="n"/>
      <c r="AF195" s="147" t="n"/>
      <c r="AG195" s="147" t="n"/>
      <c r="AH195" s="147" t="n"/>
      <c r="AI195" s="147" t="n"/>
      <c r="AJ195" s="147" t="n"/>
      <c r="AK195" s="147" t="n"/>
      <c r="AL195" s="147" t="n"/>
      <c r="AM195" s="147" t="n"/>
      <c r="AN195" s="147" t="n"/>
      <c r="AO195" s="147" t="n"/>
      <c r="AP195" s="147" t="n"/>
      <c r="AQ195" s="147" t="n"/>
      <c r="AR195" s="147" t="n"/>
      <c r="AS195" s="147" t="n"/>
      <c r="AT195" s="147" t="n"/>
      <c r="AU195" s="147" t="n"/>
      <c r="AV195" s="147" t="n"/>
      <c r="AW195" s="147" t="n"/>
      <c r="AX195" s="147" t="n"/>
      <c r="AY195" s="147" t="n"/>
      <c r="AZ195" s="147" t="n"/>
      <c r="BA195" s="147" t="n"/>
      <c r="BB195" s="147" t="n"/>
      <c r="BC195" s="147" t="n"/>
      <c r="BD195" s="147" t="n"/>
      <c r="BE195" s="147" t="n"/>
      <c r="BF195" s="147" t="n"/>
      <c r="BG195" s="147" t="n"/>
      <c r="BH195" s="147" t="n"/>
    </row>
    <row r="196" ht="30" customHeight="1" s="251">
      <c r="A196" s="152" t="n"/>
      <c r="B196" s="147" t="n"/>
      <c r="C196" s="147" t="n"/>
      <c r="D196" s="147" t="n"/>
      <c r="E196" s="147" t="n"/>
      <c r="F196" s="147" t="n"/>
      <c r="G196" s="147" t="n"/>
      <c r="H196" s="147" t="n"/>
      <c r="I196" s="147" t="n"/>
      <c r="J196" s="147" t="n"/>
      <c r="K196" s="147" t="n"/>
      <c r="L196" s="147" t="n"/>
      <c r="M196" s="147" t="n"/>
      <c r="N196" s="147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  <c r="Z196" s="147" t="n"/>
      <c r="AA196" s="147" t="n"/>
      <c r="AB196" s="147" t="n"/>
      <c r="AC196" s="147" t="n"/>
      <c r="AD196" s="147" t="n"/>
      <c r="AE196" s="147" t="n"/>
      <c r="AF196" s="147" t="n"/>
      <c r="AG196" s="147" t="n"/>
      <c r="AH196" s="147" t="n"/>
      <c r="AI196" s="147" t="n"/>
      <c r="AJ196" s="147" t="n"/>
      <c r="AK196" s="147" t="n"/>
      <c r="AL196" s="147" t="n"/>
      <c r="AM196" s="147" t="n"/>
      <c r="AN196" s="147" t="n"/>
      <c r="AO196" s="147" t="n"/>
      <c r="AP196" s="147" t="n"/>
      <c r="AQ196" s="147" t="n"/>
      <c r="AR196" s="147" t="n"/>
      <c r="AS196" s="147" t="n"/>
      <c r="AT196" s="147" t="n"/>
      <c r="AU196" s="147" t="n"/>
      <c r="AV196" s="147" t="n"/>
      <c r="AW196" s="147" t="n"/>
      <c r="AX196" s="147" t="n"/>
      <c r="AY196" s="147" t="n"/>
      <c r="AZ196" s="147" t="n"/>
      <c r="BA196" s="147" t="n"/>
      <c r="BB196" s="147" t="n"/>
      <c r="BC196" s="147" t="n"/>
      <c r="BD196" s="147" t="n"/>
      <c r="BE196" s="147" t="n"/>
      <c r="BF196" s="147" t="n"/>
      <c r="BG196" s="147" t="n"/>
      <c r="BH196" s="147" t="n"/>
    </row>
    <row r="197" ht="30" customHeight="1" s="251">
      <c r="A197" s="152" t="n"/>
      <c r="B197" s="147" t="n"/>
      <c r="C197" s="147" t="n"/>
      <c r="D197" s="147" t="n"/>
      <c r="E197" s="147" t="n"/>
      <c r="F197" s="147" t="n"/>
      <c r="G197" s="147" t="n"/>
      <c r="H197" s="147" t="n"/>
      <c r="I197" s="147" t="n"/>
      <c r="J197" s="147" t="n"/>
      <c r="K197" s="147" t="n"/>
      <c r="L197" s="147" t="n"/>
      <c r="M197" s="147" t="n"/>
      <c r="N197" s="147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  <c r="Z197" s="147" t="n"/>
      <c r="AA197" s="147" t="n"/>
      <c r="AB197" s="147" t="n"/>
      <c r="AC197" s="147" t="n"/>
      <c r="AD197" s="147" t="n"/>
      <c r="AE197" s="147" t="n"/>
      <c r="AF197" s="147" t="n"/>
      <c r="AG197" s="147" t="n"/>
      <c r="AH197" s="147" t="n"/>
      <c r="AI197" s="147" t="n"/>
      <c r="AJ197" s="147" t="n"/>
      <c r="AK197" s="147" t="n"/>
      <c r="AL197" s="147" t="n"/>
      <c r="AM197" s="147" t="n"/>
      <c r="AN197" s="147" t="n"/>
      <c r="AO197" s="147" t="n"/>
      <c r="AP197" s="147" t="n"/>
      <c r="AQ197" s="147" t="n"/>
      <c r="AR197" s="147" t="n"/>
      <c r="AS197" s="147" t="n"/>
      <c r="AT197" s="147" t="n"/>
      <c r="AU197" s="147" t="n"/>
      <c r="AV197" s="147" t="n"/>
      <c r="AW197" s="147" t="n"/>
      <c r="AX197" s="147" t="n"/>
      <c r="AY197" s="147" t="n"/>
      <c r="AZ197" s="147" t="n"/>
      <c r="BA197" s="147" t="n"/>
      <c r="BB197" s="147" t="n"/>
      <c r="BC197" s="147" t="n"/>
      <c r="BD197" s="147" t="n"/>
      <c r="BE197" s="147" t="n"/>
      <c r="BF197" s="147" t="n"/>
      <c r="BG197" s="147" t="n"/>
      <c r="BH197" s="147" t="n"/>
    </row>
    <row r="198" ht="30" customHeight="1" s="251">
      <c r="A198" s="152" t="n"/>
      <c r="B198" s="147" t="n"/>
      <c r="C198" s="147" t="n"/>
      <c r="D198" s="147" t="n"/>
      <c r="E198" s="147" t="n"/>
      <c r="F198" s="147" t="n"/>
      <c r="G198" s="147" t="n"/>
      <c r="H198" s="147" t="n"/>
      <c r="I198" s="147" t="n"/>
      <c r="J198" s="147" t="n"/>
      <c r="K198" s="147" t="n"/>
      <c r="L198" s="147" t="n"/>
      <c r="M198" s="147" t="n"/>
      <c r="N198" s="147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  <c r="Z198" s="147" t="n"/>
      <c r="AA198" s="147" t="n"/>
      <c r="AB198" s="147" t="n"/>
      <c r="AC198" s="147" t="n"/>
      <c r="AD198" s="147" t="n"/>
      <c r="AE198" s="147" t="n"/>
      <c r="AF198" s="147" t="n"/>
      <c r="AG198" s="147" t="n"/>
      <c r="AH198" s="147" t="n"/>
      <c r="AI198" s="147" t="n"/>
      <c r="AJ198" s="147" t="n"/>
      <c r="AK198" s="147" t="n"/>
      <c r="AL198" s="147" t="n"/>
      <c r="AM198" s="147" t="n"/>
      <c r="AN198" s="147" t="n"/>
      <c r="AO198" s="147" t="n"/>
      <c r="AP198" s="147" t="n"/>
      <c r="AQ198" s="147" t="n"/>
      <c r="AR198" s="147" t="n"/>
      <c r="AS198" s="147" t="n"/>
      <c r="AT198" s="147" t="n"/>
      <c r="AU198" s="147" t="n"/>
      <c r="AV198" s="147" t="n"/>
      <c r="AW198" s="147" t="n"/>
      <c r="AX198" s="147" t="n"/>
      <c r="AY198" s="147" t="n"/>
      <c r="AZ198" s="147" t="n"/>
      <c r="BA198" s="147" t="n"/>
      <c r="BB198" s="147" t="n"/>
      <c r="BC198" s="147" t="n"/>
      <c r="BD198" s="147" t="n"/>
      <c r="BE198" s="147" t="n"/>
      <c r="BF198" s="147" t="n"/>
      <c r="BG198" s="147" t="n"/>
      <c r="BH198" s="147" t="n"/>
    </row>
    <row r="199" ht="30" customHeight="1" s="251">
      <c r="A199" s="152" t="n"/>
      <c r="B199" s="147" t="n"/>
      <c r="C199" s="147" t="n"/>
      <c r="D199" s="147" t="n"/>
      <c r="E199" s="147" t="n"/>
      <c r="F199" s="147" t="n"/>
      <c r="G199" s="147" t="n"/>
      <c r="H199" s="147" t="n"/>
      <c r="I199" s="147" t="n"/>
      <c r="J199" s="147" t="n"/>
      <c r="K199" s="147" t="n"/>
      <c r="L199" s="147" t="n"/>
      <c r="M199" s="147" t="n"/>
      <c r="N199" s="147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  <c r="Z199" s="147" t="n"/>
      <c r="AA199" s="147" t="n"/>
      <c r="AB199" s="147" t="n"/>
      <c r="AC199" s="147" t="n"/>
      <c r="AD199" s="147" t="n"/>
      <c r="AE199" s="147" t="n"/>
      <c r="AF199" s="147" t="n"/>
      <c r="AG199" s="147" t="n"/>
      <c r="AH199" s="147" t="n"/>
      <c r="AI199" s="147" t="n"/>
      <c r="AJ199" s="147" t="n"/>
      <c r="AK199" s="147" t="n"/>
      <c r="AL199" s="147" t="n"/>
      <c r="AM199" s="147" t="n"/>
      <c r="AN199" s="147" t="n"/>
      <c r="AO199" s="147" t="n"/>
      <c r="AP199" s="147" t="n"/>
      <c r="AQ199" s="147" t="n"/>
      <c r="AR199" s="147" t="n"/>
      <c r="AS199" s="147" t="n"/>
      <c r="AT199" s="147" t="n"/>
      <c r="AU199" s="147" t="n"/>
      <c r="AV199" s="147" t="n"/>
      <c r="AW199" s="147" t="n"/>
      <c r="AX199" s="147" t="n"/>
      <c r="AY199" s="147" t="n"/>
      <c r="AZ199" s="147" t="n"/>
      <c r="BA199" s="147" t="n"/>
      <c r="BB199" s="147" t="n"/>
      <c r="BC199" s="147" t="n"/>
      <c r="BD199" s="147" t="n"/>
      <c r="BE199" s="147" t="n"/>
      <c r="BF199" s="147" t="n"/>
      <c r="BG199" s="147" t="n"/>
      <c r="BH199" s="147" t="n"/>
    </row>
    <row r="200" ht="30" customHeight="1" s="251">
      <c r="A200" s="152" t="n"/>
      <c r="B200" s="147" t="n"/>
      <c r="C200" s="147" t="n"/>
      <c r="D200" s="147" t="n"/>
      <c r="E200" s="147" t="n"/>
      <c r="F200" s="147" t="n"/>
      <c r="G200" s="147" t="n"/>
      <c r="H200" s="147" t="n"/>
      <c r="I200" s="147" t="n"/>
      <c r="J200" s="147" t="n"/>
      <c r="K200" s="147" t="n"/>
      <c r="L200" s="147" t="n"/>
      <c r="M200" s="147" t="n"/>
      <c r="N200" s="147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  <c r="Z200" s="147" t="n"/>
      <c r="AA200" s="147" t="n"/>
      <c r="AB200" s="147" t="n"/>
      <c r="AC200" s="147" t="n"/>
      <c r="AD200" s="147" t="n"/>
      <c r="AE200" s="147" t="n"/>
      <c r="AF200" s="147" t="n"/>
      <c r="AG200" s="147" t="n"/>
      <c r="AH200" s="147" t="n"/>
      <c r="AI200" s="147" t="n"/>
      <c r="AJ200" s="147" t="n"/>
      <c r="AK200" s="147" t="n"/>
      <c r="AL200" s="147" t="n"/>
      <c r="AM200" s="147" t="n"/>
      <c r="AN200" s="147" t="n"/>
      <c r="AO200" s="147" t="n"/>
      <c r="AP200" s="147" t="n"/>
      <c r="AQ200" s="147" t="n"/>
      <c r="AR200" s="147" t="n"/>
      <c r="AS200" s="147" t="n"/>
      <c r="AT200" s="147" t="n"/>
      <c r="AU200" s="147" t="n"/>
      <c r="AV200" s="147" t="n"/>
      <c r="AW200" s="147" t="n"/>
      <c r="AX200" s="147" t="n"/>
      <c r="AY200" s="147" t="n"/>
      <c r="AZ200" s="147" t="n"/>
      <c r="BA200" s="147" t="n"/>
      <c r="BB200" s="147" t="n"/>
      <c r="BC200" s="147" t="n"/>
      <c r="BD200" s="147" t="n"/>
      <c r="BE200" s="147" t="n"/>
      <c r="BF200" s="147" t="n"/>
      <c r="BG200" s="147" t="n"/>
      <c r="BH200" s="147" t="n"/>
    </row>
    <row r="201" ht="30" customHeight="1" s="251">
      <c r="A201" s="152" t="n"/>
      <c r="B201" s="147" t="n"/>
      <c r="C201" s="147" t="n"/>
      <c r="D201" s="147" t="n"/>
      <c r="E201" s="147" t="n"/>
      <c r="F201" s="147" t="n"/>
      <c r="G201" s="147" t="n"/>
      <c r="H201" s="147" t="n"/>
      <c r="I201" s="147" t="n"/>
      <c r="J201" s="147" t="n"/>
      <c r="K201" s="147" t="n"/>
      <c r="L201" s="147" t="n"/>
      <c r="M201" s="147" t="n"/>
      <c r="N201" s="147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  <c r="Z201" s="147" t="n"/>
      <c r="AA201" s="147" t="n"/>
      <c r="AB201" s="147" t="n"/>
      <c r="AC201" s="147" t="n"/>
      <c r="AD201" s="147" t="n"/>
      <c r="AE201" s="147" t="n"/>
      <c r="AF201" s="147" t="n"/>
      <c r="AG201" s="147" t="n"/>
      <c r="AH201" s="147" t="n"/>
      <c r="AI201" s="147" t="n"/>
      <c r="AJ201" s="147" t="n"/>
      <c r="AK201" s="147" t="n"/>
      <c r="AL201" s="147" t="n"/>
      <c r="AM201" s="147" t="n"/>
      <c r="AN201" s="147" t="n"/>
      <c r="AO201" s="147" t="n"/>
      <c r="AP201" s="147" t="n"/>
      <c r="AQ201" s="147" t="n"/>
      <c r="AR201" s="147" t="n"/>
      <c r="AS201" s="147" t="n"/>
      <c r="AT201" s="147" t="n"/>
      <c r="AU201" s="147" t="n"/>
      <c r="AV201" s="147" t="n"/>
      <c r="AW201" s="147" t="n"/>
      <c r="AX201" s="147" t="n"/>
      <c r="AY201" s="147" t="n"/>
      <c r="AZ201" s="147" t="n"/>
      <c r="BA201" s="147" t="n"/>
      <c r="BB201" s="147" t="n"/>
      <c r="BC201" s="147" t="n"/>
      <c r="BD201" s="147" t="n"/>
      <c r="BE201" s="147" t="n"/>
      <c r="BF201" s="147" t="n"/>
      <c r="BG201" s="147" t="n"/>
      <c r="BH201" s="147" t="n"/>
    </row>
    <row r="202" ht="30" customHeight="1" s="251">
      <c r="A202" s="152" t="n"/>
      <c r="B202" s="147" t="n"/>
      <c r="C202" s="147" t="n"/>
      <c r="D202" s="147" t="n"/>
      <c r="E202" s="147" t="n"/>
      <c r="F202" s="147" t="n"/>
      <c r="G202" s="147" t="n"/>
      <c r="H202" s="147" t="n"/>
      <c r="I202" s="147" t="n"/>
      <c r="J202" s="147" t="n"/>
      <c r="K202" s="147" t="n"/>
      <c r="L202" s="147" t="n"/>
      <c r="M202" s="147" t="n"/>
      <c r="N202" s="147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  <c r="Z202" s="147" t="n"/>
      <c r="AA202" s="147" t="n"/>
      <c r="AB202" s="147" t="n"/>
      <c r="AC202" s="147" t="n"/>
      <c r="AD202" s="147" t="n"/>
      <c r="AE202" s="147" t="n"/>
      <c r="AF202" s="147" t="n"/>
      <c r="AG202" s="147" t="n"/>
      <c r="AH202" s="147" t="n"/>
      <c r="AI202" s="147" t="n"/>
      <c r="AJ202" s="147" t="n"/>
      <c r="AK202" s="147" t="n"/>
      <c r="AL202" s="147" t="n"/>
      <c r="AM202" s="147" t="n"/>
      <c r="AN202" s="147" t="n"/>
      <c r="AO202" s="147" t="n"/>
      <c r="AP202" s="147" t="n"/>
      <c r="AQ202" s="147" t="n"/>
      <c r="AR202" s="147" t="n"/>
      <c r="AS202" s="147" t="n"/>
      <c r="AT202" s="147" t="n"/>
      <c r="AU202" s="147" t="n"/>
      <c r="AV202" s="147" t="n"/>
      <c r="AW202" s="147" t="n"/>
      <c r="AX202" s="147" t="n"/>
      <c r="AY202" s="147" t="n"/>
      <c r="AZ202" s="147" t="n"/>
      <c r="BA202" s="147" t="n"/>
      <c r="BB202" s="147" t="n"/>
      <c r="BC202" s="147" t="n"/>
      <c r="BD202" s="147" t="n"/>
      <c r="BE202" s="147" t="n"/>
      <c r="BF202" s="147" t="n"/>
      <c r="BG202" s="147" t="n"/>
      <c r="BH202" s="147" t="n"/>
    </row>
    <row r="203" ht="30" customHeight="1" s="251">
      <c r="A203" s="152" t="n"/>
      <c r="B203" s="147" t="n"/>
      <c r="C203" s="147" t="n"/>
      <c r="D203" s="147" t="n"/>
      <c r="E203" s="147" t="n"/>
      <c r="F203" s="147" t="n"/>
      <c r="G203" s="147" t="n"/>
      <c r="H203" s="147" t="n"/>
      <c r="I203" s="147" t="n"/>
      <c r="J203" s="147" t="n"/>
      <c r="K203" s="147" t="n"/>
      <c r="L203" s="147" t="n"/>
      <c r="M203" s="147" t="n"/>
      <c r="N203" s="147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  <c r="Z203" s="147" t="n"/>
      <c r="AA203" s="147" t="n"/>
      <c r="AB203" s="147" t="n"/>
      <c r="AC203" s="147" t="n"/>
      <c r="AD203" s="147" t="n"/>
      <c r="AE203" s="147" t="n"/>
      <c r="AF203" s="147" t="n"/>
      <c r="AG203" s="147" t="n"/>
      <c r="AH203" s="147" t="n"/>
      <c r="AI203" s="147" t="n"/>
      <c r="AJ203" s="147" t="n"/>
      <c r="AK203" s="147" t="n"/>
      <c r="AL203" s="147" t="n"/>
      <c r="AM203" s="147" t="n"/>
      <c r="AN203" s="147" t="n"/>
      <c r="AO203" s="147" t="n"/>
      <c r="AP203" s="147" t="n"/>
      <c r="AQ203" s="147" t="n"/>
      <c r="AR203" s="147" t="n"/>
      <c r="AS203" s="147" t="n"/>
      <c r="AT203" s="147" t="n"/>
      <c r="AU203" s="147" t="n"/>
      <c r="AV203" s="147" t="n"/>
      <c r="AW203" s="147" t="n"/>
      <c r="AX203" s="147" t="n"/>
      <c r="AY203" s="147" t="n"/>
      <c r="AZ203" s="147" t="n"/>
      <c r="BA203" s="147" t="n"/>
      <c r="BB203" s="147" t="n"/>
      <c r="BC203" s="147" t="n"/>
      <c r="BD203" s="147" t="n"/>
      <c r="BE203" s="147" t="n"/>
      <c r="BF203" s="147" t="n"/>
      <c r="BG203" s="147" t="n"/>
      <c r="BH203" s="147" t="n"/>
    </row>
    <row r="204" ht="30" customHeight="1" s="251">
      <c r="A204" s="152" t="n"/>
      <c r="B204" s="147" t="n"/>
      <c r="C204" s="147" t="n"/>
      <c r="D204" s="147" t="n"/>
      <c r="E204" s="147" t="n"/>
      <c r="F204" s="147" t="n"/>
      <c r="G204" s="147" t="n"/>
      <c r="H204" s="147" t="n"/>
      <c r="I204" s="147" t="n"/>
      <c r="J204" s="147" t="n"/>
      <c r="K204" s="147" t="n"/>
      <c r="L204" s="147" t="n"/>
      <c r="M204" s="147" t="n"/>
      <c r="N204" s="147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  <c r="Z204" s="147" t="n"/>
      <c r="AA204" s="147" t="n"/>
      <c r="AB204" s="147" t="n"/>
      <c r="AC204" s="147" t="n"/>
      <c r="AD204" s="147" t="n"/>
      <c r="AE204" s="147" t="n"/>
      <c r="AF204" s="147" t="n"/>
      <c r="AG204" s="147" t="n"/>
      <c r="AH204" s="147" t="n"/>
      <c r="AI204" s="147" t="n"/>
      <c r="AJ204" s="147" t="n"/>
      <c r="AK204" s="147" t="n"/>
      <c r="AL204" s="147" t="n"/>
      <c r="AM204" s="147" t="n"/>
      <c r="AN204" s="147" t="n"/>
      <c r="AO204" s="147" t="n"/>
      <c r="AP204" s="147" t="n"/>
      <c r="AQ204" s="147" t="n"/>
      <c r="AR204" s="147" t="n"/>
      <c r="AS204" s="147" t="n"/>
      <c r="AT204" s="147" t="n"/>
      <c r="AU204" s="147" t="n"/>
      <c r="AV204" s="147" t="n"/>
      <c r="AW204" s="147" t="n"/>
      <c r="AX204" s="147" t="n"/>
      <c r="AY204" s="147" t="n"/>
      <c r="AZ204" s="147" t="n"/>
      <c r="BA204" s="147" t="n"/>
      <c r="BB204" s="147" t="n"/>
      <c r="BC204" s="147" t="n"/>
      <c r="BD204" s="147" t="n"/>
      <c r="BE204" s="147" t="n"/>
      <c r="BF204" s="147" t="n"/>
      <c r="BG204" s="147" t="n"/>
      <c r="BH204" s="147" t="n"/>
    </row>
    <row r="205" ht="30" customHeight="1" s="251">
      <c r="A205" s="152" t="n"/>
      <c r="B205" s="147" t="n"/>
      <c r="C205" s="147" t="n"/>
      <c r="D205" s="147" t="n"/>
      <c r="E205" s="147" t="n"/>
      <c r="F205" s="147" t="n"/>
      <c r="G205" s="147" t="n"/>
      <c r="H205" s="147" t="n"/>
      <c r="I205" s="147" t="n"/>
      <c r="J205" s="147" t="n"/>
      <c r="K205" s="147" t="n"/>
      <c r="L205" s="147" t="n"/>
      <c r="M205" s="147" t="n"/>
      <c r="N205" s="147" t="n"/>
      <c r="O205" s="147" t="n"/>
      <c r="P205" s="147" t="n"/>
      <c r="Q205" s="147" t="n"/>
      <c r="R205" s="147" t="n"/>
      <c r="S205" s="147" t="n"/>
      <c r="T205" s="147" t="n"/>
      <c r="U205" s="147" t="n"/>
      <c r="V205" s="147" t="n"/>
      <c r="W205" s="147" t="n"/>
      <c r="X205" s="147" t="n"/>
      <c r="Y205" s="147" t="n"/>
      <c r="Z205" s="147" t="n"/>
      <c r="AA205" s="147" t="n"/>
      <c r="AB205" s="147" t="n"/>
      <c r="AC205" s="147" t="n"/>
      <c r="AD205" s="147" t="n"/>
      <c r="AE205" s="147" t="n"/>
      <c r="AF205" s="147" t="n"/>
      <c r="AG205" s="147" t="n"/>
      <c r="AH205" s="147" t="n"/>
      <c r="AI205" s="147" t="n"/>
      <c r="AJ205" s="147" t="n"/>
      <c r="AK205" s="147" t="n"/>
      <c r="AL205" s="147" t="n"/>
      <c r="AM205" s="147" t="n"/>
      <c r="AN205" s="147" t="n"/>
      <c r="AO205" s="147" t="n"/>
      <c r="AP205" s="147" t="n"/>
      <c r="AQ205" s="147" t="n"/>
      <c r="AR205" s="147" t="n"/>
      <c r="AS205" s="147" t="n"/>
      <c r="AT205" s="147" t="n"/>
      <c r="AU205" s="147" t="n"/>
      <c r="AV205" s="147" t="n"/>
      <c r="AW205" s="147" t="n"/>
      <c r="AX205" s="147" t="n"/>
      <c r="AY205" s="147" t="n"/>
      <c r="AZ205" s="147" t="n"/>
      <c r="BA205" s="147" t="n"/>
      <c r="BB205" s="147" t="n"/>
      <c r="BC205" s="147" t="n"/>
      <c r="BD205" s="147" t="n"/>
      <c r="BE205" s="147" t="n"/>
      <c r="BF205" s="147" t="n"/>
      <c r="BG205" s="147" t="n"/>
      <c r="BH205" s="147" t="n"/>
    </row>
    <row r="206" ht="30" customHeight="1" s="251">
      <c r="A206" s="152" t="n"/>
      <c r="B206" s="147" t="n"/>
      <c r="C206" s="147" t="n"/>
      <c r="D206" s="147" t="n"/>
      <c r="E206" s="147" t="n"/>
      <c r="F206" s="147" t="n"/>
      <c r="G206" s="147" t="n"/>
      <c r="H206" s="147" t="n"/>
      <c r="I206" s="147" t="n"/>
      <c r="J206" s="147" t="n"/>
      <c r="K206" s="147" t="n"/>
      <c r="L206" s="147" t="n"/>
      <c r="M206" s="147" t="n"/>
      <c r="N206" s="147" t="n"/>
      <c r="O206" s="147" t="n"/>
      <c r="P206" s="147" t="n"/>
      <c r="Q206" s="147" t="n"/>
      <c r="R206" s="147" t="n"/>
      <c r="S206" s="147" t="n"/>
      <c r="T206" s="147" t="n"/>
      <c r="U206" s="147" t="n"/>
      <c r="V206" s="147" t="n"/>
      <c r="W206" s="147" t="n"/>
      <c r="X206" s="147" t="n"/>
      <c r="Y206" s="147" t="n"/>
      <c r="Z206" s="147" t="n"/>
      <c r="AA206" s="147" t="n"/>
      <c r="AB206" s="147" t="n"/>
      <c r="AC206" s="147" t="n"/>
      <c r="AD206" s="147" t="n"/>
      <c r="AE206" s="147" t="n"/>
      <c r="AF206" s="147" t="n"/>
      <c r="AG206" s="147" t="n"/>
      <c r="AH206" s="147" t="n"/>
      <c r="AI206" s="147" t="n"/>
      <c r="AJ206" s="147" t="n"/>
      <c r="AK206" s="147" t="n"/>
      <c r="AL206" s="147" t="n"/>
      <c r="AM206" s="147" t="n"/>
      <c r="AN206" s="147" t="n"/>
      <c r="AO206" s="147" t="n"/>
      <c r="AP206" s="147" t="n"/>
      <c r="AQ206" s="147" t="n"/>
      <c r="AR206" s="147" t="n"/>
      <c r="AS206" s="147" t="n"/>
      <c r="AT206" s="147" t="n"/>
      <c r="AU206" s="147" t="n"/>
      <c r="AV206" s="147" t="n"/>
      <c r="AW206" s="147" t="n"/>
      <c r="AX206" s="147" t="n"/>
      <c r="AY206" s="147" t="n"/>
      <c r="AZ206" s="147" t="n"/>
      <c r="BA206" s="147" t="n"/>
      <c r="BB206" s="147" t="n"/>
      <c r="BC206" s="147" t="n"/>
      <c r="BD206" s="147" t="n"/>
      <c r="BE206" s="147" t="n"/>
      <c r="BF206" s="147" t="n"/>
      <c r="BG206" s="147" t="n"/>
      <c r="BH206" s="147" t="n"/>
    </row>
    <row r="207" ht="30" customHeight="1" s="251">
      <c r="A207" s="152" t="n"/>
      <c r="B207" s="147" t="n"/>
      <c r="C207" s="147" t="n"/>
      <c r="D207" s="147" t="n"/>
      <c r="E207" s="147" t="n"/>
      <c r="F207" s="147" t="n"/>
      <c r="G207" s="147" t="n"/>
      <c r="H207" s="147" t="n"/>
      <c r="I207" s="147" t="n"/>
      <c r="J207" s="147" t="n"/>
      <c r="K207" s="147" t="n"/>
      <c r="L207" s="147" t="n"/>
      <c r="M207" s="147" t="n"/>
      <c r="N207" s="147" t="n"/>
      <c r="O207" s="147" t="n"/>
      <c r="P207" s="147" t="n"/>
      <c r="Q207" s="147" t="n"/>
      <c r="R207" s="147" t="n"/>
      <c r="S207" s="147" t="n"/>
      <c r="T207" s="147" t="n"/>
      <c r="U207" s="147" t="n"/>
      <c r="V207" s="147" t="n"/>
      <c r="W207" s="147" t="n"/>
      <c r="X207" s="147" t="n"/>
      <c r="Y207" s="147" t="n"/>
      <c r="Z207" s="147" t="n"/>
      <c r="AA207" s="147" t="n"/>
      <c r="AB207" s="147" t="n"/>
      <c r="AC207" s="147" t="n"/>
      <c r="AD207" s="147" t="n"/>
      <c r="AE207" s="147" t="n"/>
      <c r="AF207" s="147" t="n"/>
      <c r="AG207" s="147" t="n"/>
      <c r="AH207" s="147" t="n"/>
      <c r="AI207" s="147" t="n"/>
      <c r="AJ207" s="147" t="n"/>
      <c r="AK207" s="147" t="n"/>
      <c r="AL207" s="147" t="n"/>
      <c r="AM207" s="147" t="n"/>
      <c r="AN207" s="147" t="n"/>
      <c r="AO207" s="147" t="n"/>
      <c r="AP207" s="147" t="n"/>
      <c r="AQ207" s="147" t="n"/>
      <c r="AR207" s="147" t="n"/>
      <c r="AS207" s="147" t="n"/>
      <c r="AT207" s="147" t="n"/>
      <c r="AU207" s="147" t="n"/>
      <c r="AV207" s="147" t="n"/>
      <c r="AW207" s="147" t="n"/>
      <c r="AX207" s="147" t="n"/>
      <c r="AY207" s="147" t="n"/>
      <c r="AZ207" s="147" t="n"/>
      <c r="BA207" s="147" t="n"/>
      <c r="BB207" s="147" t="n"/>
      <c r="BC207" s="147" t="n"/>
      <c r="BD207" s="147" t="n"/>
      <c r="BE207" s="147" t="n"/>
      <c r="BF207" s="147" t="n"/>
      <c r="BG207" s="147" t="n"/>
      <c r="BH207" s="147" t="n"/>
    </row>
    <row r="208" ht="30" customHeight="1" s="251">
      <c r="A208" s="152" t="n"/>
      <c r="B208" s="147" t="n"/>
      <c r="C208" s="147" t="n"/>
      <c r="D208" s="147" t="n"/>
      <c r="E208" s="147" t="n"/>
      <c r="F208" s="147" t="n"/>
      <c r="G208" s="147" t="n"/>
      <c r="H208" s="147" t="n"/>
      <c r="I208" s="147" t="n"/>
      <c r="J208" s="147" t="n"/>
      <c r="K208" s="147" t="n"/>
      <c r="L208" s="147" t="n"/>
      <c r="M208" s="147" t="n"/>
      <c r="N208" s="147" t="n"/>
      <c r="O208" s="147" t="n"/>
      <c r="P208" s="147" t="n"/>
      <c r="Q208" s="147" t="n"/>
      <c r="R208" s="147" t="n"/>
      <c r="S208" s="147" t="n"/>
      <c r="T208" s="147" t="n"/>
      <c r="U208" s="147" t="n"/>
      <c r="V208" s="147" t="n"/>
      <c r="W208" s="147" t="n"/>
      <c r="X208" s="147" t="n"/>
      <c r="Y208" s="147" t="n"/>
      <c r="Z208" s="147" t="n"/>
      <c r="AA208" s="147" t="n"/>
      <c r="AB208" s="147" t="n"/>
      <c r="AC208" s="147" t="n"/>
      <c r="AD208" s="147" t="n"/>
      <c r="AE208" s="147" t="n"/>
      <c r="AF208" s="147" t="n"/>
      <c r="AG208" s="147" t="n"/>
      <c r="AH208" s="147" t="n"/>
      <c r="AI208" s="147" t="n"/>
      <c r="AJ208" s="147" t="n"/>
      <c r="AK208" s="147" t="n"/>
      <c r="AL208" s="147" t="n"/>
      <c r="AM208" s="147" t="n"/>
      <c r="AN208" s="147" t="n"/>
      <c r="AO208" s="147" t="n"/>
      <c r="AP208" s="147" t="n"/>
      <c r="AQ208" s="147" t="n"/>
      <c r="AR208" s="147" t="n"/>
      <c r="AS208" s="147" t="n"/>
      <c r="AT208" s="147" t="n"/>
      <c r="AU208" s="147" t="n"/>
      <c r="AV208" s="147" t="n"/>
      <c r="AW208" s="147" t="n"/>
      <c r="AX208" s="147" t="n"/>
      <c r="AY208" s="147" t="n"/>
      <c r="AZ208" s="147" t="n"/>
      <c r="BA208" s="147" t="n"/>
      <c r="BB208" s="147" t="n"/>
      <c r="BC208" s="147" t="n"/>
      <c r="BD208" s="147" t="n"/>
      <c r="BE208" s="147" t="n"/>
      <c r="BF208" s="147" t="n"/>
      <c r="BG208" s="147" t="n"/>
      <c r="BH208" s="147" t="n"/>
    </row>
    <row r="209" ht="30" customHeight="1" s="251">
      <c r="A209" s="152" t="n"/>
      <c r="B209" s="147" t="n"/>
      <c r="C209" s="147" t="n"/>
      <c r="D209" s="147" t="n"/>
      <c r="E209" s="147" t="n"/>
      <c r="F209" s="147" t="n"/>
      <c r="G209" s="147" t="n"/>
      <c r="H209" s="147" t="n"/>
      <c r="I209" s="147" t="n"/>
      <c r="J209" s="147" t="n"/>
      <c r="K209" s="147" t="n"/>
      <c r="L209" s="147" t="n"/>
      <c r="M209" s="147" t="n"/>
      <c r="N209" s="147" t="n"/>
      <c r="O209" s="147" t="n"/>
      <c r="P209" s="147" t="n"/>
      <c r="Q209" s="147" t="n"/>
      <c r="R209" s="147" t="n"/>
      <c r="S209" s="147" t="n"/>
      <c r="T209" s="147" t="n"/>
      <c r="U209" s="147" t="n"/>
      <c r="V209" s="147" t="n"/>
      <c r="W209" s="147" t="n"/>
      <c r="X209" s="147" t="n"/>
      <c r="Y209" s="147" t="n"/>
      <c r="Z209" s="147" t="n"/>
      <c r="AA209" s="147" t="n"/>
      <c r="AB209" s="147" t="n"/>
      <c r="AC209" s="147" t="n"/>
      <c r="AD209" s="147" t="n"/>
      <c r="AE209" s="147" t="n"/>
      <c r="AF209" s="147" t="n"/>
      <c r="AG209" s="147" t="n"/>
      <c r="AH209" s="147" t="n"/>
      <c r="AI209" s="147" t="n"/>
      <c r="AJ209" s="147" t="n"/>
      <c r="AK209" s="147" t="n"/>
      <c r="AL209" s="147" t="n"/>
      <c r="AM209" s="147" t="n"/>
      <c r="AN209" s="147" t="n"/>
      <c r="AO209" s="147" t="n"/>
      <c r="AP209" s="147" t="n"/>
      <c r="AQ209" s="147" t="n"/>
      <c r="AR209" s="147" t="n"/>
      <c r="AS209" s="147" t="n"/>
      <c r="AT209" s="147" t="n"/>
      <c r="AU209" s="147" t="n"/>
      <c r="AV209" s="147" t="n"/>
      <c r="AW209" s="147" t="n"/>
      <c r="AX209" s="147" t="n"/>
      <c r="AY209" s="147" t="n"/>
      <c r="AZ209" s="147" t="n"/>
      <c r="BA209" s="147" t="n"/>
      <c r="BB209" s="147" t="n"/>
      <c r="BC209" s="147" t="n"/>
      <c r="BD209" s="147" t="n"/>
      <c r="BE209" s="147" t="n"/>
      <c r="BF209" s="147" t="n"/>
      <c r="BG209" s="147" t="n"/>
      <c r="BH209" s="147" t="n"/>
    </row>
    <row r="210" ht="30" customHeight="1" s="251">
      <c r="A210" s="152" t="n"/>
      <c r="B210" s="147" t="n"/>
      <c r="C210" s="147" t="n"/>
      <c r="D210" s="147" t="n"/>
      <c r="E210" s="147" t="n"/>
      <c r="F210" s="147" t="n"/>
      <c r="G210" s="147" t="n"/>
      <c r="H210" s="147" t="n"/>
      <c r="I210" s="147" t="n"/>
      <c r="J210" s="147" t="n"/>
      <c r="K210" s="147" t="n"/>
      <c r="L210" s="147" t="n"/>
      <c r="M210" s="147" t="n"/>
      <c r="N210" s="147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47" t="n"/>
      <c r="X210" s="147" t="n"/>
      <c r="Y210" s="147" t="n"/>
      <c r="Z210" s="147" t="n"/>
      <c r="AA210" s="147" t="n"/>
      <c r="AB210" s="147" t="n"/>
      <c r="AC210" s="147" t="n"/>
      <c r="AD210" s="147" t="n"/>
      <c r="AE210" s="147" t="n"/>
      <c r="AF210" s="147" t="n"/>
      <c r="AG210" s="147" t="n"/>
      <c r="AH210" s="147" t="n"/>
      <c r="AI210" s="147" t="n"/>
      <c r="AJ210" s="147" t="n"/>
      <c r="AK210" s="147" t="n"/>
      <c r="AL210" s="147" t="n"/>
      <c r="AM210" s="147" t="n"/>
      <c r="AN210" s="147" t="n"/>
      <c r="AO210" s="147" t="n"/>
      <c r="AP210" s="147" t="n"/>
      <c r="AQ210" s="147" t="n"/>
      <c r="AR210" s="147" t="n"/>
      <c r="AS210" s="147" t="n"/>
      <c r="AT210" s="147" t="n"/>
      <c r="AU210" s="147" t="n"/>
      <c r="AV210" s="147" t="n"/>
      <c r="AW210" s="147" t="n"/>
      <c r="AX210" s="147" t="n"/>
      <c r="AY210" s="147" t="n"/>
      <c r="AZ210" s="147" t="n"/>
      <c r="BA210" s="147" t="n"/>
      <c r="BB210" s="147" t="n"/>
      <c r="BC210" s="147" t="n"/>
      <c r="BD210" s="147" t="n"/>
      <c r="BE210" s="147" t="n"/>
      <c r="BF210" s="147" t="n"/>
      <c r="BG210" s="147" t="n"/>
      <c r="BH210" s="147" t="n"/>
    </row>
    <row r="211" ht="30" customHeight="1" s="251">
      <c r="A211" s="152" t="n"/>
      <c r="B211" s="147" t="n"/>
      <c r="C211" s="147" t="n"/>
      <c r="D211" s="147" t="n"/>
      <c r="E211" s="147" t="n"/>
      <c r="F211" s="147" t="n"/>
      <c r="G211" s="147" t="n"/>
      <c r="H211" s="147" t="n"/>
      <c r="I211" s="147" t="n"/>
      <c r="J211" s="147" t="n"/>
      <c r="K211" s="147" t="n"/>
      <c r="L211" s="147" t="n"/>
      <c r="M211" s="147" t="n"/>
      <c r="N211" s="147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47" t="n"/>
      <c r="X211" s="147" t="n"/>
      <c r="Y211" s="147" t="n"/>
      <c r="Z211" s="147" t="n"/>
      <c r="AA211" s="147" t="n"/>
      <c r="AB211" s="147" t="n"/>
      <c r="AC211" s="147" t="n"/>
      <c r="AD211" s="147" t="n"/>
      <c r="AE211" s="147" t="n"/>
      <c r="AF211" s="147" t="n"/>
      <c r="AG211" s="147" t="n"/>
      <c r="AH211" s="147" t="n"/>
      <c r="AI211" s="147" t="n"/>
      <c r="AJ211" s="147" t="n"/>
      <c r="AK211" s="147" t="n"/>
      <c r="AL211" s="147" t="n"/>
      <c r="AM211" s="147" t="n"/>
      <c r="AN211" s="147" t="n"/>
      <c r="AO211" s="147" t="n"/>
      <c r="AP211" s="147" t="n"/>
      <c r="AQ211" s="147" t="n"/>
      <c r="AR211" s="147" t="n"/>
      <c r="AS211" s="147" t="n"/>
      <c r="AT211" s="147" t="n"/>
      <c r="AU211" s="147" t="n"/>
      <c r="AV211" s="147" t="n"/>
      <c r="AW211" s="147" t="n"/>
      <c r="AX211" s="147" t="n"/>
      <c r="AY211" s="147" t="n"/>
      <c r="AZ211" s="147" t="n"/>
      <c r="BA211" s="147" t="n"/>
      <c r="BB211" s="147" t="n"/>
      <c r="BC211" s="147" t="n"/>
      <c r="BD211" s="147" t="n"/>
      <c r="BE211" s="147" t="n"/>
      <c r="BF211" s="147" t="n"/>
      <c r="BG211" s="147" t="n"/>
      <c r="BH211" s="147" t="n"/>
    </row>
    <row r="212" ht="30" customHeight="1" s="251">
      <c r="A212" s="152" t="n"/>
      <c r="B212" s="147" t="n"/>
      <c r="C212" s="147" t="n"/>
      <c r="D212" s="147" t="n"/>
      <c r="E212" s="147" t="n"/>
      <c r="F212" s="147" t="n"/>
      <c r="G212" s="147" t="n"/>
      <c r="H212" s="147" t="n"/>
      <c r="I212" s="147" t="n"/>
      <c r="J212" s="147" t="n"/>
      <c r="K212" s="147" t="n"/>
      <c r="L212" s="147" t="n"/>
      <c r="M212" s="147" t="n"/>
      <c r="N212" s="147" t="n"/>
      <c r="O212" s="147" t="n"/>
      <c r="P212" s="147" t="n"/>
      <c r="Q212" s="147" t="n"/>
      <c r="R212" s="147" t="n"/>
      <c r="S212" s="147" t="n"/>
      <c r="T212" s="147" t="n"/>
      <c r="U212" s="147" t="n"/>
      <c r="V212" s="147" t="n"/>
      <c r="W212" s="147" t="n"/>
      <c r="X212" s="147" t="n"/>
      <c r="Y212" s="147" t="n"/>
      <c r="Z212" s="147" t="n"/>
      <c r="AA212" s="147" t="n"/>
      <c r="AB212" s="147" t="n"/>
      <c r="AC212" s="147" t="n"/>
      <c r="AD212" s="147" t="n"/>
      <c r="AE212" s="147" t="n"/>
      <c r="AF212" s="147" t="n"/>
      <c r="AG212" s="147" t="n"/>
      <c r="AH212" s="147" t="n"/>
      <c r="AI212" s="147" t="n"/>
      <c r="AJ212" s="147" t="n"/>
      <c r="AK212" s="147" t="n"/>
      <c r="AL212" s="147" t="n"/>
      <c r="AM212" s="147" t="n"/>
      <c r="AN212" s="147" t="n"/>
      <c r="AO212" s="147" t="n"/>
      <c r="AP212" s="147" t="n"/>
      <c r="AQ212" s="147" t="n"/>
      <c r="AR212" s="147" t="n"/>
      <c r="AS212" s="147" t="n"/>
      <c r="AT212" s="147" t="n"/>
      <c r="AU212" s="147" t="n"/>
      <c r="AV212" s="147" t="n"/>
      <c r="AW212" s="147" t="n"/>
      <c r="AX212" s="147" t="n"/>
      <c r="AY212" s="147" t="n"/>
      <c r="AZ212" s="147" t="n"/>
      <c r="BA212" s="147" t="n"/>
      <c r="BB212" s="147" t="n"/>
      <c r="BC212" s="147" t="n"/>
      <c r="BD212" s="147" t="n"/>
      <c r="BE212" s="147" t="n"/>
      <c r="BF212" s="147" t="n"/>
      <c r="BG212" s="147" t="n"/>
      <c r="BH212" s="147" t="n"/>
    </row>
    <row r="213" ht="30" customHeight="1" s="251">
      <c r="A213" s="152" t="n"/>
      <c r="B213" s="147" t="n"/>
      <c r="C213" s="147" t="n"/>
      <c r="D213" s="147" t="n"/>
      <c r="E213" s="147" t="n"/>
      <c r="F213" s="147" t="n"/>
      <c r="G213" s="147" t="n"/>
      <c r="H213" s="147" t="n"/>
      <c r="I213" s="147" t="n"/>
      <c r="J213" s="147" t="n"/>
      <c r="K213" s="147" t="n"/>
      <c r="L213" s="147" t="n"/>
      <c r="M213" s="147" t="n"/>
      <c r="N213" s="147" t="n"/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47" t="n"/>
      <c r="X213" s="147" t="n"/>
      <c r="Y213" s="147" t="n"/>
      <c r="Z213" s="147" t="n"/>
      <c r="AA213" s="147" t="n"/>
      <c r="AB213" s="147" t="n"/>
      <c r="AC213" s="147" t="n"/>
      <c r="AD213" s="147" t="n"/>
      <c r="AE213" s="147" t="n"/>
      <c r="AF213" s="147" t="n"/>
      <c r="AG213" s="147" t="n"/>
      <c r="AH213" s="147" t="n"/>
      <c r="AI213" s="147" t="n"/>
      <c r="AJ213" s="147" t="n"/>
      <c r="AK213" s="147" t="n"/>
      <c r="AL213" s="147" t="n"/>
      <c r="AM213" s="147" t="n"/>
      <c r="AN213" s="147" t="n"/>
      <c r="AO213" s="147" t="n"/>
      <c r="AP213" s="147" t="n"/>
      <c r="AQ213" s="147" t="n"/>
      <c r="AR213" s="147" t="n"/>
      <c r="AS213" s="147" t="n"/>
      <c r="AT213" s="147" t="n"/>
      <c r="AU213" s="147" t="n"/>
      <c r="AV213" s="147" t="n"/>
      <c r="AW213" s="147" t="n"/>
      <c r="AX213" s="147" t="n"/>
      <c r="AY213" s="147" t="n"/>
      <c r="AZ213" s="147" t="n"/>
      <c r="BA213" s="147" t="n"/>
      <c r="BB213" s="147" t="n"/>
      <c r="BC213" s="147" t="n"/>
      <c r="BD213" s="147" t="n"/>
      <c r="BE213" s="147" t="n"/>
      <c r="BF213" s="147" t="n"/>
      <c r="BG213" s="147" t="n"/>
      <c r="BH213" s="147" t="n"/>
    </row>
    <row r="214" ht="30" customHeight="1" s="251">
      <c r="A214" s="152" t="n"/>
      <c r="B214" s="147" t="n"/>
      <c r="C214" s="147" t="n"/>
      <c r="D214" s="147" t="n"/>
      <c r="E214" s="147" t="n"/>
      <c r="F214" s="147" t="n"/>
      <c r="G214" s="147" t="n"/>
      <c r="H214" s="147" t="n"/>
      <c r="I214" s="147" t="n"/>
      <c r="J214" s="147" t="n"/>
      <c r="K214" s="147" t="n"/>
      <c r="L214" s="147" t="n"/>
      <c r="M214" s="147" t="n"/>
      <c r="N214" s="147" t="n"/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47" t="n"/>
      <c r="X214" s="147" t="n"/>
      <c r="Y214" s="147" t="n"/>
      <c r="Z214" s="147" t="n"/>
      <c r="AA214" s="147" t="n"/>
      <c r="AB214" s="147" t="n"/>
      <c r="AC214" s="147" t="n"/>
      <c r="AD214" s="147" t="n"/>
      <c r="AE214" s="147" t="n"/>
      <c r="AF214" s="147" t="n"/>
      <c r="AG214" s="147" t="n"/>
      <c r="AH214" s="147" t="n"/>
      <c r="AI214" s="147" t="n"/>
      <c r="AJ214" s="147" t="n"/>
      <c r="AK214" s="147" t="n"/>
      <c r="AL214" s="147" t="n"/>
      <c r="AM214" s="147" t="n"/>
      <c r="AN214" s="147" t="n"/>
      <c r="AO214" s="147" t="n"/>
      <c r="AP214" s="147" t="n"/>
      <c r="AQ214" s="147" t="n"/>
      <c r="AR214" s="147" t="n"/>
      <c r="AS214" s="147" t="n"/>
      <c r="AT214" s="147" t="n"/>
      <c r="AU214" s="147" t="n"/>
      <c r="AV214" s="147" t="n"/>
      <c r="AW214" s="147" t="n"/>
      <c r="AX214" s="147" t="n"/>
      <c r="AY214" s="147" t="n"/>
      <c r="AZ214" s="147" t="n"/>
      <c r="BA214" s="147" t="n"/>
      <c r="BB214" s="147" t="n"/>
      <c r="BC214" s="147" t="n"/>
      <c r="BD214" s="147" t="n"/>
      <c r="BE214" s="147" t="n"/>
      <c r="BF214" s="147" t="n"/>
      <c r="BG214" s="147" t="n"/>
      <c r="BH214" s="147" t="n"/>
    </row>
    <row r="215" ht="30" customHeight="1" s="251">
      <c r="A215" s="152" t="n"/>
      <c r="B215" s="147" t="n"/>
      <c r="C215" s="147" t="n"/>
      <c r="D215" s="147" t="n"/>
      <c r="E215" s="147" t="n"/>
      <c r="F215" s="147" t="n"/>
      <c r="G215" s="147" t="n"/>
      <c r="H215" s="147" t="n"/>
      <c r="I215" s="147" t="n"/>
      <c r="J215" s="147" t="n"/>
      <c r="K215" s="147" t="n"/>
      <c r="L215" s="147" t="n"/>
      <c r="M215" s="147" t="n"/>
      <c r="N215" s="147" t="n"/>
      <c r="O215" s="147" t="n"/>
      <c r="P215" s="147" t="n"/>
      <c r="Q215" s="147" t="n"/>
      <c r="R215" s="147" t="n"/>
      <c r="S215" s="147" t="n"/>
      <c r="T215" s="147" t="n"/>
      <c r="U215" s="147" t="n"/>
      <c r="V215" s="147" t="n"/>
      <c r="W215" s="147" t="n"/>
      <c r="X215" s="147" t="n"/>
      <c r="Y215" s="147" t="n"/>
      <c r="Z215" s="147" t="n"/>
      <c r="AA215" s="147" t="n"/>
      <c r="AB215" s="147" t="n"/>
      <c r="AC215" s="147" t="n"/>
      <c r="AD215" s="147" t="n"/>
      <c r="AE215" s="147" t="n"/>
      <c r="AF215" s="147" t="n"/>
      <c r="AG215" s="147" t="n"/>
      <c r="AH215" s="147" t="n"/>
      <c r="AI215" s="147" t="n"/>
      <c r="AJ215" s="147" t="n"/>
      <c r="AK215" s="147" t="n"/>
      <c r="AL215" s="147" t="n"/>
      <c r="AM215" s="147" t="n"/>
      <c r="AN215" s="147" t="n"/>
      <c r="AO215" s="147" t="n"/>
      <c r="AP215" s="147" t="n"/>
      <c r="AQ215" s="147" t="n"/>
      <c r="AR215" s="147" t="n"/>
      <c r="AS215" s="147" t="n"/>
      <c r="AT215" s="147" t="n"/>
      <c r="AU215" s="147" t="n"/>
      <c r="AV215" s="147" t="n"/>
      <c r="AW215" s="147" t="n"/>
      <c r="AX215" s="147" t="n"/>
      <c r="AY215" s="147" t="n"/>
      <c r="AZ215" s="147" t="n"/>
      <c r="BA215" s="147" t="n"/>
      <c r="BB215" s="147" t="n"/>
      <c r="BC215" s="147" t="n"/>
      <c r="BD215" s="147" t="n"/>
      <c r="BE215" s="147" t="n"/>
      <c r="BF215" s="147" t="n"/>
      <c r="BG215" s="147" t="n"/>
      <c r="BH215" s="147" t="n"/>
    </row>
    <row r="216" ht="30" customHeight="1" s="251">
      <c r="A216" s="152" t="n"/>
      <c r="B216" s="147" t="n"/>
      <c r="C216" s="147" t="n"/>
      <c r="D216" s="147" t="n"/>
      <c r="E216" s="147" t="n"/>
      <c r="F216" s="147" t="n"/>
      <c r="G216" s="147" t="n"/>
      <c r="H216" s="147" t="n"/>
      <c r="I216" s="147" t="n"/>
      <c r="J216" s="147" t="n"/>
      <c r="K216" s="147" t="n"/>
      <c r="L216" s="147" t="n"/>
      <c r="M216" s="147" t="n"/>
      <c r="N216" s="147" t="n"/>
      <c r="O216" s="147" t="n"/>
      <c r="P216" s="147" t="n"/>
      <c r="Q216" s="147" t="n"/>
      <c r="R216" s="147" t="n"/>
      <c r="S216" s="147" t="n"/>
      <c r="T216" s="147" t="n"/>
      <c r="U216" s="147" t="n"/>
      <c r="V216" s="147" t="n"/>
      <c r="W216" s="147" t="n"/>
      <c r="X216" s="147" t="n"/>
      <c r="Y216" s="147" t="n"/>
      <c r="Z216" s="147" t="n"/>
      <c r="AA216" s="147" t="n"/>
      <c r="AB216" s="147" t="n"/>
      <c r="AC216" s="147" t="n"/>
      <c r="AD216" s="147" t="n"/>
      <c r="AE216" s="147" t="n"/>
      <c r="AF216" s="147" t="n"/>
      <c r="AG216" s="147" t="n"/>
      <c r="AH216" s="147" t="n"/>
      <c r="AI216" s="147" t="n"/>
      <c r="AJ216" s="147" t="n"/>
      <c r="AK216" s="147" t="n"/>
      <c r="AL216" s="147" t="n"/>
      <c r="AM216" s="147" t="n"/>
      <c r="AN216" s="147" t="n"/>
      <c r="AO216" s="147" t="n"/>
      <c r="AP216" s="147" t="n"/>
      <c r="AQ216" s="147" t="n"/>
      <c r="AR216" s="147" t="n"/>
      <c r="AS216" s="147" t="n"/>
      <c r="AT216" s="147" t="n"/>
      <c r="AU216" s="147" t="n"/>
      <c r="AV216" s="147" t="n"/>
      <c r="AW216" s="147" t="n"/>
      <c r="AX216" s="147" t="n"/>
      <c r="AY216" s="147" t="n"/>
      <c r="AZ216" s="147" t="n"/>
      <c r="BA216" s="147" t="n"/>
      <c r="BB216" s="147" t="n"/>
      <c r="BC216" s="147" t="n"/>
      <c r="BD216" s="147" t="n"/>
      <c r="BE216" s="147" t="n"/>
      <c r="BF216" s="147" t="n"/>
      <c r="BG216" s="147" t="n"/>
      <c r="BH216" s="147" t="n"/>
    </row>
    <row r="217" ht="30" customHeight="1" s="251">
      <c r="A217" s="152" t="n"/>
      <c r="B217" s="147" t="n"/>
      <c r="C217" s="147" t="n"/>
      <c r="D217" s="147" t="n"/>
      <c r="E217" s="147" t="n"/>
      <c r="F217" s="147" t="n"/>
      <c r="G217" s="147" t="n"/>
      <c r="H217" s="147" t="n"/>
      <c r="I217" s="147" t="n"/>
      <c r="J217" s="147" t="n"/>
      <c r="K217" s="147" t="n"/>
      <c r="L217" s="147" t="n"/>
      <c r="M217" s="147" t="n"/>
      <c r="N217" s="147" t="n"/>
      <c r="O217" s="147" t="n"/>
      <c r="P217" s="147" t="n"/>
      <c r="Q217" s="147" t="n"/>
      <c r="R217" s="147" t="n"/>
      <c r="S217" s="147" t="n"/>
      <c r="T217" s="147" t="n"/>
      <c r="U217" s="147" t="n"/>
      <c r="V217" s="147" t="n"/>
      <c r="W217" s="147" t="n"/>
      <c r="X217" s="147" t="n"/>
      <c r="Y217" s="147" t="n"/>
      <c r="Z217" s="147" t="n"/>
      <c r="AA217" s="147" t="n"/>
      <c r="AB217" s="147" t="n"/>
      <c r="AC217" s="147" t="n"/>
      <c r="AD217" s="147" t="n"/>
      <c r="AE217" s="147" t="n"/>
      <c r="AF217" s="147" t="n"/>
      <c r="AG217" s="147" t="n"/>
      <c r="AH217" s="147" t="n"/>
      <c r="AI217" s="147" t="n"/>
      <c r="AJ217" s="147" t="n"/>
      <c r="AK217" s="147" t="n"/>
      <c r="AL217" s="147" t="n"/>
      <c r="AM217" s="147" t="n"/>
      <c r="AN217" s="147" t="n"/>
      <c r="AO217" s="147" t="n"/>
      <c r="AP217" s="147" t="n"/>
      <c r="AQ217" s="147" t="n"/>
      <c r="AR217" s="147" t="n"/>
      <c r="AS217" s="147" t="n"/>
      <c r="AT217" s="147" t="n"/>
      <c r="AU217" s="147" t="n"/>
      <c r="AV217" s="147" t="n"/>
      <c r="AW217" s="147" t="n"/>
      <c r="AX217" s="147" t="n"/>
      <c r="AY217" s="147" t="n"/>
      <c r="AZ217" s="147" t="n"/>
      <c r="BA217" s="147" t="n"/>
      <c r="BB217" s="147" t="n"/>
      <c r="BC217" s="147" t="n"/>
      <c r="BD217" s="147" t="n"/>
      <c r="BE217" s="147" t="n"/>
      <c r="BF217" s="147" t="n"/>
      <c r="BG217" s="147" t="n"/>
      <c r="BH217" s="147" t="n"/>
    </row>
    <row r="218" ht="30" customHeight="1" s="251">
      <c r="A218" s="152" t="n"/>
      <c r="B218" s="147" t="n"/>
      <c r="C218" s="147" t="n"/>
      <c r="D218" s="147" t="n"/>
      <c r="E218" s="147" t="n"/>
      <c r="F218" s="147" t="n"/>
      <c r="G218" s="147" t="n"/>
      <c r="H218" s="147" t="n"/>
      <c r="I218" s="147" t="n"/>
      <c r="J218" s="147" t="n"/>
      <c r="K218" s="147" t="n"/>
      <c r="L218" s="147" t="n"/>
      <c r="M218" s="147" t="n"/>
      <c r="N218" s="147" t="n"/>
      <c r="O218" s="147" t="n"/>
      <c r="P218" s="147" t="n"/>
      <c r="Q218" s="147" t="n"/>
      <c r="R218" s="147" t="n"/>
      <c r="S218" s="147" t="n"/>
      <c r="T218" s="147" t="n"/>
      <c r="U218" s="147" t="n"/>
      <c r="V218" s="147" t="n"/>
      <c r="W218" s="147" t="n"/>
      <c r="X218" s="147" t="n"/>
      <c r="Y218" s="147" t="n"/>
      <c r="Z218" s="147" t="n"/>
      <c r="AA218" s="147" t="n"/>
      <c r="AB218" s="147" t="n"/>
      <c r="AC218" s="147" t="n"/>
      <c r="AD218" s="147" t="n"/>
      <c r="AE218" s="147" t="n"/>
      <c r="AF218" s="147" t="n"/>
      <c r="AG218" s="147" t="n"/>
      <c r="AH218" s="147" t="n"/>
      <c r="AI218" s="147" t="n"/>
      <c r="AJ218" s="147" t="n"/>
      <c r="AK218" s="147" t="n"/>
      <c r="AL218" s="147" t="n"/>
      <c r="AM218" s="147" t="n"/>
      <c r="AN218" s="147" t="n"/>
      <c r="AO218" s="147" t="n"/>
      <c r="AP218" s="147" t="n"/>
      <c r="AQ218" s="147" t="n"/>
      <c r="AR218" s="147" t="n"/>
      <c r="AS218" s="147" t="n"/>
      <c r="AT218" s="147" t="n"/>
      <c r="AU218" s="147" t="n"/>
      <c r="AV218" s="147" t="n"/>
      <c r="AW218" s="147" t="n"/>
      <c r="AX218" s="147" t="n"/>
      <c r="AY218" s="147" t="n"/>
      <c r="AZ218" s="147" t="n"/>
      <c r="BA218" s="147" t="n"/>
      <c r="BB218" s="147" t="n"/>
      <c r="BC218" s="147" t="n"/>
      <c r="BD218" s="147" t="n"/>
      <c r="BE218" s="147" t="n"/>
      <c r="BF218" s="147" t="n"/>
      <c r="BG218" s="147" t="n"/>
      <c r="BH218" s="147" t="n"/>
    </row>
    <row r="219" ht="30" customHeight="1" s="251">
      <c r="A219" s="152" t="n"/>
      <c r="B219" s="147" t="n"/>
      <c r="C219" s="147" t="n"/>
      <c r="D219" s="147" t="n"/>
      <c r="E219" s="147" t="n"/>
      <c r="F219" s="147" t="n"/>
      <c r="G219" s="147" t="n"/>
      <c r="H219" s="147" t="n"/>
      <c r="I219" s="147" t="n"/>
      <c r="J219" s="147" t="n"/>
      <c r="K219" s="147" t="n"/>
      <c r="L219" s="147" t="n"/>
      <c r="M219" s="147" t="n"/>
      <c r="N219" s="147" t="n"/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47" t="n"/>
      <c r="X219" s="147" t="n"/>
      <c r="Y219" s="147" t="n"/>
      <c r="Z219" s="147" t="n"/>
      <c r="AA219" s="147" t="n"/>
      <c r="AB219" s="147" t="n"/>
      <c r="AC219" s="147" t="n"/>
      <c r="AD219" s="147" t="n"/>
      <c r="AE219" s="147" t="n"/>
      <c r="AF219" s="147" t="n"/>
      <c r="AG219" s="147" t="n"/>
      <c r="AH219" s="147" t="n"/>
      <c r="AI219" s="147" t="n"/>
      <c r="AJ219" s="147" t="n"/>
      <c r="AK219" s="147" t="n"/>
      <c r="AL219" s="147" t="n"/>
      <c r="AM219" s="147" t="n"/>
      <c r="AN219" s="147" t="n"/>
      <c r="AO219" s="147" t="n"/>
      <c r="AP219" s="147" t="n"/>
      <c r="AQ219" s="147" t="n"/>
      <c r="AR219" s="147" t="n"/>
      <c r="AS219" s="147" t="n"/>
      <c r="AT219" s="147" t="n"/>
      <c r="AU219" s="147" t="n"/>
      <c r="AV219" s="147" t="n"/>
      <c r="AW219" s="147" t="n"/>
      <c r="AX219" s="147" t="n"/>
      <c r="AY219" s="147" t="n"/>
      <c r="AZ219" s="147" t="n"/>
      <c r="BA219" s="147" t="n"/>
      <c r="BB219" s="147" t="n"/>
      <c r="BC219" s="147" t="n"/>
      <c r="BD219" s="147" t="n"/>
      <c r="BE219" s="147" t="n"/>
      <c r="BF219" s="147" t="n"/>
      <c r="BG219" s="147" t="n"/>
      <c r="BH219" s="147" t="n"/>
    </row>
    <row r="220" ht="30" customHeight="1" s="251">
      <c r="A220" s="152" t="n"/>
      <c r="B220" s="147" t="n"/>
      <c r="C220" s="147" t="n"/>
      <c r="D220" s="147" t="n"/>
      <c r="E220" s="147" t="n"/>
      <c r="F220" s="147" t="n"/>
      <c r="G220" s="147" t="n"/>
      <c r="H220" s="147" t="n"/>
      <c r="I220" s="147" t="n"/>
      <c r="J220" s="147" t="n"/>
      <c r="K220" s="147" t="n"/>
      <c r="L220" s="147" t="n"/>
      <c r="M220" s="147" t="n"/>
      <c r="N220" s="147" t="n"/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47" t="n"/>
      <c r="X220" s="147" t="n"/>
      <c r="Y220" s="147" t="n"/>
      <c r="Z220" s="147" t="n"/>
      <c r="AA220" s="147" t="n"/>
      <c r="AB220" s="147" t="n"/>
      <c r="AC220" s="147" t="n"/>
      <c r="AD220" s="147" t="n"/>
      <c r="AE220" s="147" t="n"/>
      <c r="AF220" s="147" t="n"/>
      <c r="AG220" s="147" t="n"/>
      <c r="AH220" s="147" t="n"/>
      <c r="AI220" s="147" t="n"/>
      <c r="AJ220" s="147" t="n"/>
      <c r="AK220" s="147" t="n"/>
      <c r="AL220" s="147" t="n"/>
      <c r="AM220" s="147" t="n"/>
      <c r="AN220" s="147" t="n"/>
      <c r="AO220" s="147" t="n"/>
      <c r="AP220" s="147" t="n"/>
      <c r="AQ220" s="147" t="n"/>
      <c r="AR220" s="147" t="n"/>
      <c r="AS220" s="147" t="n"/>
      <c r="AT220" s="147" t="n"/>
      <c r="AU220" s="147" t="n"/>
      <c r="AV220" s="147" t="n"/>
      <c r="AW220" s="147" t="n"/>
      <c r="AX220" s="147" t="n"/>
      <c r="AY220" s="147" t="n"/>
      <c r="AZ220" s="147" t="n"/>
      <c r="BA220" s="147" t="n"/>
      <c r="BB220" s="147" t="n"/>
      <c r="BC220" s="147" t="n"/>
      <c r="BD220" s="147" t="n"/>
      <c r="BE220" s="147" t="n"/>
      <c r="BF220" s="147" t="n"/>
      <c r="BG220" s="147" t="n"/>
      <c r="BH220" s="147" t="n"/>
    </row>
    <row r="221" ht="30" customHeight="1" s="251">
      <c r="A221" s="152" t="n"/>
      <c r="B221" s="147" t="n"/>
      <c r="C221" s="147" t="n"/>
      <c r="D221" s="147" t="n"/>
      <c r="E221" s="147" t="n"/>
      <c r="F221" s="147" t="n"/>
      <c r="G221" s="147" t="n"/>
      <c r="H221" s="147" t="n"/>
      <c r="I221" s="147" t="n"/>
      <c r="J221" s="147" t="n"/>
      <c r="K221" s="147" t="n"/>
      <c r="L221" s="147" t="n"/>
      <c r="M221" s="147" t="n"/>
      <c r="N221" s="147" t="n"/>
      <c r="O221" s="147" t="n"/>
      <c r="P221" s="147" t="n"/>
      <c r="Q221" s="147" t="n"/>
      <c r="R221" s="147" t="n"/>
      <c r="S221" s="147" t="n"/>
      <c r="T221" s="147" t="n"/>
      <c r="U221" s="147" t="n"/>
      <c r="V221" s="147" t="n"/>
      <c r="W221" s="147" t="n"/>
      <c r="X221" s="147" t="n"/>
      <c r="Y221" s="147" t="n"/>
      <c r="Z221" s="147" t="n"/>
      <c r="AA221" s="147" t="n"/>
      <c r="AB221" s="147" t="n"/>
      <c r="AC221" s="147" t="n"/>
      <c r="AD221" s="147" t="n"/>
      <c r="AE221" s="147" t="n"/>
      <c r="AF221" s="147" t="n"/>
      <c r="AG221" s="147" t="n"/>
      <c r="AH221" s="147" t="n"/>
      <c r="AI221" s="147" t="n"/>
      <c r="AJ221" s="147" t="n"/>
      <c r="AK221" s="147" t="n"/>
      <c r="AL221" s="147" t="n"/>
      <c r="AM221" s="147" t="n"/>
      <c r="AN221" s="147" t="n"/>
      <c r="AO221" s="147" t="n"/>
      <c r="AP221" s="147" t="n"/>
      <c r="AQ221" s="147" t="n"/>
      <c r="AR221" s="147" t="n"/>
      <c r="AS221" s="147" t="n"/>
      <c r="AT221" s="147" t="n"/>
      <c r="AU221" s="147" t="n"/>
      <c r="AV221" s="147" t="n"/>
      <c r="AW221" s="147" t="n"/>
      <c r="AX221" s="147" t="n"/>
      <c r="AY221" s="147" t="n"/>
      <c r="AZ221" s="147" t="n"/>
      <c r="BA221" s="147" t="n"/>
      <c r="BB221" s="147" t="n"/>
      <c r="BC221" s="147" t="n"/>
      <c r="BD221" s="147" t="n"/>
      <c r="BE221" s="147" t="n"/>
      <c r="BF221" s="147" t="n"/>
      <c r="BG221" s="147" t="n"/>
      <c r="BH221" s="147" t="n"/>
    </row>
    <row r="222" ht="15.75" customHeight="1" s="251">
      <c r="A222" s="153" t="n"/>
      <c r="B222" s="154" t="n"/>
      <c r="C222" s="154" t="n"/>
      <c r="D222" s="154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  <c r="AA222" s="154" t="n"/>
      <c r="AB222" s="154" t="n"/>
      <c r="AC222" s="154" t="n"/>
      <c r="AD222" s="154" t="n"/>
      <c r="AE222" s="154" t="n"/>
      <c r="AF222" s="154" t="n"/>
      <c r="AG222" s="154" t="n"/>
      <c r="AH222" s="154" t="n"/>
      <c r="AI222" s="154" t="n"/>
      <c r="AJ222" s="154" t="n"/>
      <c r="AK222" s="154" t="n"/>
      <c r="AL222" s="154" t="n"/>
      <c r="AM222" s="154" t="n"/>
      <c r="AN222" s="154" t="n"/>
      <c r="AO222" s="154" t="n"/>
      <c r="AP222" s="154" t="n"/>
      <c r="AQ222" s="154" t="n"/>
      <c r="AR222" s="154" t="n"/>
      <c r="AS222" s="154" t="n"/>
      <c r="AT222" s="154" t="n"/>
      <c r="AU222" s="154" t="n"/>
      <c r="AV222" s="154" t="n"/>
      <c r="AW222" s="154" t="n"/>
      <c r="AX222" s="154" t="n"/>
      <c r="AY222" s="154" t="n"/>
      <c r="AZ222" s="154" t="n"/>
      <c r="BA222" s="154" t="n"/>
      <c r="BB222" s="154" t="n"/>
      <c r="BC222" s="154" t="n"/>
      <c r="BD222" s="154" t="n"/>
      <c r="BE222" s="154" t="n"/>
      <c r="BF222" s="154" t="n"/>
      <c r="BG222" s="154" t="n"/>
      <c r="BH222" s="154" t="n"/>
    </row>
    <row r="223" ht="15.75" customHeight="1" s="251">
      <c r="A223" s="153" t="n"/>
      <c r="B223" s="154" t="n"/>
      <c r="C223" s="154" t="n"/>
      <c r="D223" s="154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  <c r="AA223" s="154" t="n"/>
      <c r="AB223" s="154" t="n"/>
      <c r="AC223" s="154" t="n"/>
      <c r="AD223" s="154" t="n"/>
      <c r="AE223" s="154" t="n"/>
      <c r="AF223" s="154" t="n"/>
      <c r="AG223" s="154" t="n"/>
      <c r="AH223" s="154" t="n"/>
      <c r="AI223" s="154" t="n"/>
      <c r="AJ223" s="154" t="n"/>
      <c r="AK223" s="154" t="n"/>
      <c r="AL223" s="154" t="n"/>
      <c r="AM223" s="154" t="n"/>
      <c r="AN223" s="154" t="n"/>
      <c r="AO223" s="154" t="n"/>
      <c r="AP223" s="154" t="n"/>
      <c r="AQ223" s="154" t="n"/>
      <c r="AR223" s="154" t="n"/>
      <c r="AS223" s="154" t="n"/>
      <c r="AT223" s="154" t="n"/>
      <c r="AU223" s="154" t="n"/>
      <c r="AV223" s="154" t="n"/>
      <c r="AW223" s="154" t="n"/>
      <c r="AX223" s="154" t="n"/>
      <c r="AY223" s="154" t="n"/>
      <c r="AZ223" s="154" t="n"/>
      <c r="BA223" s="154" t="n"/>
      <c r="BB223" s="154" t="n"/>
      <c r="BC223" s="154" t="n"/>
      <c r="BD223" s="154" t="n"/>
      <c r="BE223" s="154" t="n"/>
      <c r="BF223" s="154" t="n"/>
      <c r="BG223" s="154" t="n"/>
      <c r="BH223" s="154" t="n"/>
    </row>
    <row r="224" ht="15.75" customHeight="1" s="251">
      <c r="A224" s="153" t="n"/>
      <c r="B224" s="154" t="n"/>
      <c r="C224" s="154" t="n"/>
      <c r="D224" s="154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  <c r="AA224" s="154" t="n"/>
      <c r="AB224" s="154" t="n"/>
      <c r="AC224" s="154" t="n"/>
      <c r="AD224" s="154" t="n"/>
      <c r="AE224" s="154" t="n"/>
      <c r="AF224" s="154" t="n"/>
      <c r="AG224" s="154" t="n"/>
      <c r="AH224" s="154" t="n"/>
      <c r="AI224" s="154" t="n"/>
      <c r="AJ224" s="154" t="n"/>
      <c r="AK224" s="154" t="n"/>
      <c r="AL224" s="154" t="n"/>
      <c r="AM224" s="154" t="n"/>
      <c r="AN224" s="154" t="n"/>
      <c r="AO224" s="154" t="n"/>
      <c r="AP224" s="154" t="n"/>
      <c r="AQ224" s="154" t="n"/>
      <c r="AR224" s="154" t="n"/>
      <c r="AS224" s="154" t="n"/>
      <c r="AT224" s="154" t="n"/>
      <c r="AU224" s="154" t="n"/>
      <c r="AV224" s="154" t="n"/>
      <c r="AW224" s="154" t="n"/>
      <c r="AX224" s="154" t="n"/>
      <c r="AY224" s="154" t="n"/>
      <c r="AZ224" s="154" t="n"/>
      <c r="BA224" s="154" t="n"/>
      <c r="BB224" s="154" t="n"/>
      <c r="BC224" s="154" t="n"/>
      <c r="BD224" s="154" t="n"/>
      <c r="BE224" s="154" t="n"/>
      <c r="BF224" s="154" t="n"/>
      <c r="BG224" s="154" t="n"/>
      <c r="BH224" s="154" t="n"/>
    </row>
    <row r="225" ht="15.75" customHeight="1" s="251">
      <c r="A225" s="153" t="n"/>
      <c r="B225" s="154" t="n"/>
      <c r="C225" s="154" t="n"/>
      <c r="D225" s="154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  <c r="AA225" s="154" t="n"/>
      <c r="AB225" s="154" t="n"/>
      <c r="AC225" s="154" t="n"/>
      <c r="AD225" s="154" t="n"/>
      <c r="AE225" s="154" t="n"/>
      <c r="AF225" s="154" t="n"/>
      <c r="AG225" s="154" t="n"/>
      <c r="AH225" s="154" t="n"/>
      <c r="AI225" s="154" t="n"/>
      <c r="AJ225" s="154" t="n"/>
      <c r="AK225" s="154" t="n"/>
      <c r="AL225" s="154" t="n"/>
      <c r="AM225" s="154" t="n"/>
      <c r="AN225" s="154" t="n"/>
      <c r="AO225" s="154" t="n"/>
      <c r="AP225" s="154" t="n"/>
      <c r="AQ225" s="154" t="n"/>
      <c r="AR225" s="154" t="n"/>
      <c r="AS225" s="154" t="n"/>
      <c r="AT225" s="154" t="n"/>
      <c r="AU225" s="154" t="n"/>
      <c r="AV225" s="154" t="n"/>
      <c r="AW225" s="154" t="n"/>
      <c r="AX225" s="154" t="n"/>
      <c r="AY225" s="154" t="n"/>
      <c r="AZ225" s="154" t="n"/>
      <c r="BA225" s="154" t="n"/>
      <c r="BB225" s="154" t="n"/>
      <c r="BC225" s="154" t="n"/>
      <c r="BD225" s="154" t="n"/>
      <c r="BE225" s="154" t="n"/>
      <c r="BF225" s="154" t="n"/>
      <c r="BG225" s="154" t="n"/>
      <c r="BH225" s="154" t="n"/>
    </row>
    <row r="226" ht="15.75" customHeight="1" s="251">
      <c r="A226" s="153" t="n"/>
      <c r="B226" s="154" t="n"/>
      <c r="C226" s="154" t="n"/>
      <c r="D226" s="154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  <c r="AA226" s="154" t="n"/>
      <c r="AB226" s="154" t="n"/>
      <c r="AC226" s="154" t="n"/>
      <c r="AD226" s="154" t="n"/>
      <c r="AE226" s="154" t="n"/>
      <c r="AF226" s="154" t="n"/>
      <c r="AG226" s="154" t="n"/>
      <c r="AH226" s="154" t="n"/>
      <c r="AI226" s="154" t="n"/>
      <c r="AJ226" s="154" t="n"/>
      <c r="AK226" s="154" t="n"/>
      <c r="AL226" s="154" t="n"/>
      <c r="AM226" s="154" t="n"/>
      <c r="AN226" s="154" t="n"/>
      <c r="AO226" s="154" t="n"/>
      <c r="AP226" s="154" t="n"/>
      <c r="AQ226" s="154" t="n"/>
      <c r="AR226" s="154" t="n"/>
      <c r="AS226" s="154" t="n"/>
      <c r="AT226" s="154" t="n"/>
      <c r="AU226" s="154" t="n"/>
      <c r="AV226" s="154" t="n"/>
      <c r="AW226" s="154" t="n"/>
      <c r="AX226" s="154" t="n"/>
      <c r="AY226" s="154" t="n"/>
      <c r="AZ226" s="154" t="n"/>
      <c r="BA226" s="154" t="n"/>
      <c r="BB226" s="154" t="n"/>
      <c r="BC226" s="154" t="n"/>
      <c r="BD226" s="154" t="n"/>
      <c r="BE226" s="154" t="n"/>
      <c r="BF226" s="154" t="n"/>
      <c r="BG226" s="154" t="n"/>
      <c r="BH226" s="154" t="n"/>
    </row>
    <row r="227" ht="15.75" customHeight="1" s="251">
      <c r="A227" s="153" t="n"/>
      <c r="B227" s="154" t="n"/>
      <c r="C227" s="154" t="n"/>
      <c r="D227" s="154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  <c r="AA227" s="154" t="n"/>
      <c r="AB227" s="154" t="n"/>
      <c r="AC227" s="154" t="n"/>
      <c r="AD227" s="154" t="n"/>
      <c r="AE227" s="154" t="n"/>
      <c r="AF227" s="154" t="n"/>
      <c r="AG227" s="154" t="n"/>
      <c r="AH227" s="154" t="n"/>
      <c r="AI227" s="154" t="n"/>
      <c r="AJ227" s="154" t="n"/>
      <c r="AK227" s="154" t="n"/>
      <c r="AL227" s="154" t="n"/>
      <c r="AM227" s="154" t="n"/>
      <c r="AN227" s="154" t="n"/>
      <c r="AO227" s="154" t="n"/>
      <c r="AP227" s="154" t="n"/>
      <c r="AQ227" s="154" t="n"/>
      <c r="AR227" s="154" t="n"/>
      <c r="AS227" s="154" t="n"/>
      <c r="AT227" s="154" t="n"/>
      <c r="AU227" s="154" t="n"/>
      <c r="AV227" s="154" t="n"/>
      <c r="AW227" s="154" t="n"/>
      <c r="AX227" s="154" t="n"/>
      <c r="AY227" s="154" t="n"/>
      <c r="AZ227" s="154" t="n"/>
      <c r="BA227" s="154" t="n"/>
      <c r="BB227" s="154" t="n"/>
      <c r="BC227" s="154" t="n"/>
      <c r="BD227" s="154" t="n"/>
      <c r="BE227" s="154" t="n"/>
      <c r="BF227" s="154" t="n"/>
      <c r="BG227" s="154" t="n"/>
      <c r="BH227" s="154" t="n"/>
    </row>
    <row r="228" ht="15.75" customHeight="1" s="251">
      <c r="A228" s="153" t="n"/>
      <c r="B228" s="154" t="n"/>
      <c r="C228" s="154" t="n"/>
      <c r="D228" s="154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  <c r="AA228" s="154" t="n"/>
      <c r="AB228" s="154" t="n"/>
      <c r="AC228" s="154" t="n"/>
      <c r="AD228" s="154" t="n"/>
      <c r="AE228" s="154" t="n"/>
      <c r="AF228" s="154" t="n"/>
      <c r="AG228" s="154" t="n"/>
      <c r="AH228" s="154" t="n"/>
      <c r="AI228" s="154" t="n"/>
      <c r="AJ228" s="154" t="n"/>
      <c r="AK228" s="154" t="n"/>
      <c r="AL228" s="154" t="n"/>
      <c r="AM228" s="154" t="n"/>
      <c r="AN228" s="154" t="n"/>
      <c r="AO228" s="154" t="n"/>
      <c r="AP228" s="154" t="n"/>
      <c r="AQ228" s="154" t="n"/>
      <c r="AR228" s="154" t="n"/>
      <c r="AS228" s="154" t="n"/>
      <c r="AT228" s="154" t="n"/>
      <c r="AU228" s="154" t="n"/>
      <c r="AV228" s="154" t="n"/>
      <c r="AW228" s="154" t="n"/>
      <c r="AX228" s="154" t="n"/>
      <c r="AY228" s="154" t="n"/>
      <c r="AZ228" s="154" t="n"/>
      <c r="BA228" s="154" t="n"/>
      <c r="BB228" s="154" t="n"/>
      <c r="BC228" s="154" t="n"/>
      <c r="BD228" s="154" t="n"/>
      <c r="BE228" s="154" t="n"/>
      <c r="BF228" s="154" t="n"/>
      <c r="BG228" s="154" t="n"/>
      <c r="BH228" s="154" t="n"/>
    </row>
    <row r="229" ht="15.75" customHeight="1" s="251">
      <c r="A229" s="153" t="n"/>
      <c r="B229" s="154" t="n"/>
      <c r="C229" s="154" t="n"/>
      <c r="D229" s="154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  <c r="AA229" s="154" t="n"/>
      <c r="AB229" s="154" t="n"/>
      <c r="AC229" s="154" t="n"/>
      <c r="AD229" s="154" t="n"/>
      <c r="AE229" s="154" t="n"/>
      <c r="AF229" s="154" t="n"/>
      <c r="AG229" s="154" t="n"/>
      <c r="AH229" s="154" t="n"/>
      <c r="AI229" s="154" t="n"/>
      <c r="AJ229" s="154" t="n"/>
      <c r="AK229" s="154" t="n"/>
      <c r="AL229" s="154" t="n"/>
      <c r="AM229" s="154" t="n"/>
      <c r="AN229" s="154" t="n"/>
      <c r="AO229" s="154" t="n"/>
      <c r="AP229" s="154" t="n"/>
      <c r="AQ229" s="154" t="n"/>
      <c r="AR229" s="154" t="n"/>
      <c r="AS229" s="154" t="n"/>
      <c r="AT229" s="154" t="n"/>
      <c r="AU229" s="154" t="n"/>
      <c r="AV229" s="154" t="n"/>
      <c r="AW229" s="154" t="n"/>
      <c r="AX229" s="154" t="n"/>
      <c r="AY229" s="154" t="n"/>
      <c r="AZ229" s="154" t="n"/>
      <c r="BA229" s="154" t="n"/>
      <c r="BB229" s="154" t="n"/>
      <c r="BC229" s="154" t="n"/>
      <c r="BD229" s="154" t="n"/>
      <c r="BE229" s="154" t="n"/>
      <c r="BF229" s="154" t="n"/>
      <c r="BG229" s="154" t="n"/>
      <c r="BH229" s="154" t="n"/>
    </row>
    <row r="230" ht="15.75" customHeight="1" s="251">
      <c r="A230" s="153" t="n"/>
      <c r="B230" s="154" t="n"/>
      <c r="C230" s="154" t="n"/>
      <c r="D230" s="154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  <c r="AA230" s="154" t="n"/>
      <c r="AB230" s="154" t="n"/>
      <c r="AC230" s="154" t="n"/>
      <c r="AD230" s="154" t="n"/>
      <c r="AE230" s="154" t="n"/>
      <c r="AF230" s="154" t="n"/>
      <c r="AG230" s="154" t="n"/>
      <c r="AH230" s="154" t="n"/>
      <c r="AI230" s="154" t="n"/>
      <c r="AJ230" s="154" t="n"/>
      <c r="AK230" s="154" t="n"/>
      <c r="AL230" s="154" t="n"/>
      <c r="AM230" s="154" t="n"/>
      <c r="AN230" s="154" t="n"/>
      <c r="AO230" s="154" t="n"/>
      <c r="AP230" s="154" t="n"/>
      <c r="AQ230" s="154" t="n"/>
      <c r="AR230" s="154" t="n"/>
      <c r="AS230" s="154" t="n"/>
      <c r="AT230" s="154" t="n"/>
      <c r="AU230" s="154" t="n"/>
      <c r="AV230" s="154" t="n"/>
      <c r="AW230" s="154" t="n"/>
      <c r="AX230" s="154" t="n"/>
      <c r="AY230" s="154" t="n"/>
      <c r="AZ230" s="154" t="n"/>
      <c r="BA230" s="154" t="n"/>
      <c r="BB230" s="154" t="n"/>
      <c r="BC230" s="154" t="n"/>
      <c r="BD230" s="154" t="n"/>
      <c r="BE230" s="154" t="n"/>
      <c r="BF230" s="154" t="n"/>
      <c r="BG230" s="154" t="n"/>
      <c r="BH230" s="154" t="n"/>
    </row>
    <row r="231" ht="15.75" customHeight="1" s="251">
      <c r="A231" s="153" t="n"/>
      <c r="B231" s="154" t="n"/>
      <c r="C231" s="154" t="n"/>
      <c r="D231" s="154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  <c r="AA231" s="154" t="n"/>
      <c r="AB231" s="154" t="n"/>
      <c r="AC231" s="154" t="n"/>
      <c r="AD231" s="154" t="n"/>
      <c r="AE231" s="154" t="n"/>
      <c r="AF231" s="154" t="n"/>
      <c r="AG231" s="154" t="n"/>
      <c r="AH231" s="154" t="n"/>
      <c r="AI231" s="154" t="n"/>
      <c r="AJ231" s="154" t="n"/>
      <c r="AK231" s="154" t="n"/>
      <c r="AL231" s="154" t="n"/>
      <c r="AM231" s="154" t="n"/>
      <c r="AN231" s="154" t="n"/>
      <c r="AO231" s="154" t="n"/>
      <c r="AP231" s="154" t="n"/>
      <c r="AQ231" s="154" t="n"/>
      <c r="AR231" s="154" t="n"/>
      <c r="AS231" s="154" t="n"/>
      <c r="AT231" s="154" t="n"/>
      <c r="AU231" s="154" t="n"/>
      <c r="AV231" s="154" t="n"/>
      <c r="AW231" s="154" t="n"/>
      <c r="AX231" s="154" t="n"/>
      <c r="AY231" s="154" t="n"/>
      <c r="AZ231" s="154" t="n"/>
      <c r="BA231" s="154" t="n"/>
      <c r="BB231" s="154" t="n"/>
      <c r="BC231" s="154" t="n"/>
      <c r="BD231" s="154" t="n"/>
      <c r="BE231" s="154" t="n"/>
      <c r="BF231" s="154" t="n"/>
      <c r="BG231" s="154" t="n"/>
      <c r="BH231" s="154" t="n"/>
    </row>
    <row r="232" ht="15.75" customHeight="1" s="251">
      <c r="A232" s="153" t="n"/>
      <c r="B232" s="154" t="n"/>
      <c r="C232" s="154" t="n"/>
      <c r="D232" s="154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  <c r="AA232" s="154" t="n"/>
      <c r="AB232" s="154" t="n"/>
      <c r="AC232" s="154" t="n"/>
      <c r="AD232" s="154" t="n"/>
      <c r="AE232" s="154" t="n"/>
      <c r="AF232" s="154" t="n"/>
      <c r="AG232" s="154" t="n"/>
      <c r="AH232" s="154" t="n"/>
      <c r="AI232" s="154" t="n"/>
      <c r="AJ232" s="154" t="n"/>
      <c r="AK232" s="154" t="n"/>
      <c r="AL232" s="154" t="n"/>
      <c r="AM232" s="154" t="n"/>
      <c r="AN232" s="154" t="n"/>
      <c r="AO232" s="154" t="n"/>
      <c r="AP232" s="154" t="n"/>
      <c r="AQ232" s="154" t="n"/>
      <c r="AR232" s="154" t="n"/>
      <c r="AS232" s="154" t="n"/>
      <c r="AT232" s="154" t="n"/>
      <c r="AU232" s="154" t="n"/>
      <c r="AV232" s="154" t="n"/>
      <c r="AW232" s="154" t="n"/>
      <c r="AX232" s="154" t="n"/>
      <c r="AY232" s="154" t="n"/>
      <c r="AZ232" s="154" t="n"/>
      <c r="BA232" s="154" t="n"/>
      <c r="BB232" s="154" t="n"/>
      <c r="BC232" s="154" t="n"/>
      <c r="BD232" s="154" t="n"/>
      <c r="BE232" s="154" t="n"/>
      <c r="BF232" s="154" t="n"/>
      <c r="BG232" s="154" t="n"/>
      <c r="BH232" s="154" t="n"/>
    </row>
    <row r="233" ht="15.75" customHeight="1" s="251">
      <c r="A233" s="153" t="n"/>
      <c r="B233" s="154" t="n"/>
      <c r="C233" s="154" t="n"/>
      <c r="D233" s="154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  <c r="AA233" s="154" t="n"/>
      <c r="AB233" s="154" t="n"/>
      <c r="AC233" s="154" t="n"/>
      <c r="AD233" s="154" t="n"/>
      <c r="AE233" s="154" t="n"/>
      <c r="AF233" s="154" t="n"/>
      <c r="AG233" s="154" t="n"/>
      <c r="AH233" s="154" t="n"/>
      <c r="AI233" s="154" t="n"/>
      <c r="AJ233" s="154" t="n"/>
      <c r="AK233" s="154" t="n"/>
      <c r="AL233" s="154" t="n"/>
      <c r="AM233" s="154" t="n"/>
      <c r="AN233" s="154" t="n"/>
      <c r="AO233" s="154" t="n"/>
      <c r="AP233" s="154" t="n"/>
      <c r="AQ233" s="154" t="n"/>
      <c r="AR233" s="154" t="n"/>
      <c r="AS233" s="154" t="n"/>
      <c r="AT233" s="154" t="n"/>
      <c r="AU233" s="154" t="n"/>
      <c r="AV233" s="154" t="n"/>
      <c r="AW233" s="154" t="n"/>
      <c r="AX233" s="154" t="n"/>
      <c r="AY233" s="154" t="n"/>
      <c r="AZ233" s="154" t="n"/>
      <c r="BA233" s="154" t="n"/>
      <c r="BB233" s="154" t="n"/>
      <c r="BC233" s="154" t="n"/>
      <c r="BD233" s="154" t="n"/>
      <c r="BE233" s="154" t="n"/>
      <c r="BF233" s="154" t="n"/>
      <c r="BG233" s="154" t="n"/>
      <c r="BH233" s="154" t="n"/>
    </row>
    <row r="234" ht="15.75" customHeight="1" s="251">
      <c r="A234" s="153" t="n"/>
      <c r="B234" s="154" t="n"/>
      <c r="C234" s="154" t="n"/>
      <c r="D234" s="154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  <c r="AA234" s="154" t="n"/>
      <c r="AB234" s="154" t="n"/>
      <c r="AC234" s="154" t="n"/>
      <c r="AD234" s="154" t="n"/>
      <c r="AE234" s="154" t="n"/>
      <c r="AF234" s="154" t="n"/>
      <c r="AG234" s="154" t="n"/>
      <c r="AH234" s="154" t="n"/>
      <c r="AI234" s="154" t="n"/>
      <c r="AJ234" s="154" t="n"/>
      <c r="AK234" s="154" t="n"/>
      <c r="AL234" s="154" t="n"/>
      <c r="AM234" s="154" t="n"/>
      <c r="AN234" s="154" t="n"/>
      <c r="AO234" s="154" t="n"/>
      <c r="AP234" s="154" t="n"/>
      <c r="AQ234" s="154" t="n"/>
      <c r="AR234" s="154" t="n"/>
      <c r="AS234" s="154" t="n"/>
      <c r="AT234" s="154" t="n"/>
      <c r="AU234" s="154" t="n"/>
      <c r="AV234" s="154" t="n"/>
      <c r="AW234" s="154" t="n"/>
      <c r="AX234" s="154" t="n"/>
      <c r="AY234" s="154" t="n"/>
      <c r="AZ234" s="154" t="n"/>
      <c r="BA234" s="154" t="n"/>
      <c r="BB234" s="154" t="n"/>
      <c r="BC234" s="154" t="n"/>
      <c r="BD234" s="154" t="n"/>
      <c r="BE234" s="154" t="n"/>
      <c r="BF234" s="154" t="n"/>
      <c r="BG234" s="154" t="n"/>
      <c r="BH234" s="154" t="n"/>
    </row>
    <row r="235" ht="15.75" customHeight="1" s="251">
      <c r="A235" s="153" t="n"/>
      <c r="B235" s="154" t="n"/>
      <c r="C235" s="154" t="n"/>
      <c r="D235" s="154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  <c r="AA235" s="154" t="n"/>
      <c r="AB235" s="154" t="n"/>
      <c r="AC235" s="154" t="n"/>
      <c r="AD235" s="154" t="n"/>
      <c r="AE235" s="154" t="n"/>
      <c r="AF235" s="154" t="n"/>
      <c r="AG235" s="154" t="n"/>
      <c r="AH235" s="154" t="n"/>
      <c r="AI235" s="154" t="n"/>
      <c r="AJ235" s="154" t="n"/>
      <c r="AK235" s="154" t="n"/>
      <c r="AL235" s="154" t="n"/>
      <c r="AM235" s="154" t="n"/>
      <c r="AN235" s="154" t="n"/>
      <c r="AO235" s="154" t="n"/>
      <c r="AP235" s="154" t="n"/>
      <c r="AQ235" s="154" t="n"/>
      <c r="AR235" s="154" t="n"/>
      <c r="AS235" s="154" t="n"/>
      <c r="AT235" s="154" t="n"/>
      <c r="AU235" s="154" t="n"/>
      <c r="AV235" s="154" t="n"/>
      <c r="AW235" s="154" t="n"/>
      <c r="AX235" s="154" t="n"/>
      <c r="AY235" s="154" t="n"/>
      <c r="AZ235" s="154" t="n"/>
      <c r="BA235" s="154" t="n"/>
      <c r="BB235" s="154" t="n"/>
      <c r="BC235" s="154" t="n"/>
      <c r="BD235" s="154" t="n"/>
      <c r="BE235" s="154" t="n"/>
      <c r="BF235" s="154" t="n"/>
      <c r="BG235" s="154" t="n"/>
      <c r="BH235" s="154" t="n"/>
    </row>
    <row r="236" ht="15.75" customHeight="1" s="251">
      <c r="A236" s="153" t="n"/>
      <c r="B236" s="154" t="n"/>
      <c r="C236" s="154" t="n"/>
      <c r="D236" s="154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  <c r="AA236" s="154" t="n"/>
      <c r="AB236" s="154" t="n"/>
      <c r="AC236" s="154" t="n"/>
      <c r="AD236" s="154" t="n"/>
      <c r="AE236" s="154" t="n"/>
      <c r="AF236" s="154" t="n"/>
      <c r="AG236" s="154" t="n"/>
      <c r="AH236" s="154" t="n"/>
      <c r="AI236" s="154" t="n"/>
      <c r="AJ236" s="154" t="n"/>
      <c r="AK236" s="154" t="n"/>
      <c r="AL236" s="154" t="n"/>
      <c r="AM236" s="154" t="n"/>
      <c r="AN236" s="154" t="n"/>
      <c r="AO236" s="154" t="n"/>
      <c r="AP236" s="154" t="n"/>
      <c r="AQ236" s="154" t="n"/>
      <c r="AR236" s="154" t="n"/>
      <c r="AS236" s="154" t="n"/>
      <c r="AT236" s="154" t="n"/>
      <c r="AU236" s="154" t="n"/>
      <c r="AV236" s="154" t="n"/>
      <c r="AW236" s="154" t="n"/>
      <c r="AX236" s="154" t="n"/>
      <c r="AY236" s="154" t="n"/>
      <c r="AZ236" s="154" t="n"/>
      <c r="BA236" s="154" t="n"/>
      <c r="BB236" s="154" t="n"/>
      <c r="BC236" s="154" t="n"/>
      <c r="BD236" s="154" t="n"/>
      <c r="BE236" s="154" t="n"/>
      <c r="BF236" s="154" t="n"/>
      <c r="BG236" s="154" t="n"/>
      <c r="BH236" s="154" t="n"/>
    </row>
    <row r="237" ht="15.75" customHeight="1" s="251">
      <c r="A237" s="153" t="n"/>
      <c r="B237" s="154" t="n"/>
      <c r="C237" s="154" t="n"/>
      <c r="D237" s="154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  <c r="AA237" s="154" t="n"/>
      <c r="AB237" s="154" t="n"/>
      <c r="AC237" s="154" t="n"/>
      <c r="AD237" s="154" t="n"/>
      <c r="AE237" s="154" t="n"/>
      <c r="AF237" s="154" t="n"/>
      <c r="AG237" s="154" t="n"/>
      <c r="AH237" s="154" t="n"/>
      <c r="AI237" s="154" t="n"/>
      <c r="AJ237" s="154" t="n"/>
      <c r="AK237" s="154" t="n"/>
      <c r="AL237" s="154" t="n"/>
      <c r="AM237" s="154" t="n"/>
      <c r="AN237" s="154" t="n"/>
      <c r="AO237" s="154" t="n"/>
      <c r="AP237" s="154" t="n"/>
      <c r="AQ237" s="154" t="n"/>
      <c r="AR237" s="154" t="n"/>
      <c r="AS237" s="154" t="n"/>
      <c r="AT237" s="154" t="n"/>
      <c r="AU237" s="154" t="n"/>
      <c r="AV237" s="154" t="n"/>
      <c r="AW237" s="154" t="n"/>
      <c r="AX237" s="154" t="n"/>
      <c r="AY237" s="154" t="n"/>
      <c r="AZ237" s="154" t="n"/>
      <c r="BA237" s="154" t="n"/>
      <c r="BB237" s="154" t="n"/>
      <c r="BC237" s="154" t="n"/>
      <c r="BD237" s="154" t="n"/>
      <c r="BE237" s="154" t="n"/>
      <c r="BF237" s="154" t="n"/>
      <c r="BG237" s="154" t="n"/>
      <c r="BH237" s="154" t="n"/>
    </row>
    <row r="238" ht="15.75" customHeight="1" s="251">
      <c r="A238" s="153" t="n"/>
      <c r="B238" s="154" t="n"/>
      <c r="C238" s="154" t="n"/>
      <c r="D238" s="154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  <c r="AA238" s="154" t="n"/>
      <c r="AB238" s="154" t="n"/>
      <c r="AC238" s="154" t="n"/>
      <c r="AD238" s="154" t="n"/>
      <c r="AE238" s="154" t="n"/>
      <c r="AF238" s="154" t="n"/>
      <c r="AG238" s="154" t="n"/>
      <c r="AH238" s="154" t="n"/>
      <c r="AI238" s="154" t="n"/>
      <c r="AJ238" s="154" t="n"/>
      <c r="AK238" s="154" t="n"/>
      <c r="AL238" s="154" t="n"/>
      <c r="AM238" s="154" t="n"/>
      <c r="AN238" s="154" t="n"/>
      <c r="AO238" s="154" t="n"/>
      <c r="AP238" s="154" t="n"/>
      <c r="AQ238" s="154" t="n"/>
      <c r="AR238" s="154" t="n"/>
      <c r="AS238" s="154" t="n"/>
      <c r="AT238" s="154" t="n"/>
      <c r="AU238" s="154" t="n"/>
      <c r="AV238" s="154" t="n"/>
      <c r="AW238" s="154" t="n"/>
      <c r="AX238" s="154" t="n"/>
      <c r="AY238" s="154" t="n"/>
      <c r="AZ238" s="154" t="n"/>
      <c r="BA238" s="154" t="n"/>
      <c r="BB238" s="154" t="n"/>
      <c r="BC238" s="154" t="n"/>
      <c r="BD238" s="154" t="n"/>
      <c r="BE238" s="154" t="n"/>
      <c r="BF238" s="154" t="n"/>
      <c r="BG238" s="154" t="n"/>
      <c r="BH238" s="154" t="n"/>
    </row>
    <row r="239" ht="15.75" customHeight="1" s="251">
      <c r="A239" s="153" t="n"/>
      <c r="B239" s="154" t="n"/>
      <c r="C239" s="154" t="n"/>
      <c r="D239" s="154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  <c r="AA239" s="154" t="n"/>
      <c r="AB239" s="154" t="n"/>
      <c r="AC239" s="154" t="n"/>
      <c r="AD239" s="154" t="n"/>
      <c r="AE239" s="154" t="n"/>
      <c r="AF239" s="154" t="n"/>
      <c r="AG239" s="154" t="n"/>
      <c r="AH239" s="154" t="n"/>
      <c r="AI239" s="154" t="n"/>
      <c r="AJ239" s="154" t="n"/>
      <c r="AK239" s="154" t="n"/>
      <c r="AL239" s="154" t="n"/>
      <c r="AM239" s="154" t="n"/>
      <c r="AN239" s="154" t="n"/>
      <c r="AO239" s="154" t="n"/>
      <c r="AP239" s="154" t="n"/>
      <c r="AQ239" s="154" t="n"/>
      <c r="AR239" s="154" t="n"/>
      <c r="AS239" s="154" t="n"/>
      <c r="AT239" s="154" t="n"/>
      <c r="AU239" s="154" t="n"/>
      <c r="AV239" s="154" t="n"/>
      <c r="AW239" s="154" t="n"/>
      <c r="AX239" s="154" t="n"/>
      <c r="AY239" s="154" t="n"/>
      <c r="AZ239" s="154" t="n"/>
      <c r="BA239" s="154" t="n"/>
      <c r="BB239" s="154" t="n"/>
      <c r="BC239" s="154" t="n"/>
      <c r="BD239" s="154" t="n"/>
      <c r="BE239" s="154" t="n"/>
      <c r="BF239" s="154" t="n"/>
      <c r="BG239" s="154" t="n"/>
      <c r="BH239" s="154" t="n"/>
    </row>
    <row r="240" ht="15.75" customHeight="1" s="251">
      <c r="A240" s="153" t="n"/>
      <c r="B240" s="154" t="n"/>
      <c r="C240" s="154" t="n"/>
      <c r="D240" s="154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  <c r="AA240" s="154" t="n"/>
      <c r="AB240" s="154" t="n"/>
      <c r="AC240" s="154" t="n"/>
      <c r="AD240" s="154" t="n"/>
      <c r="AE240" s="154" t="n"/>
      <c r="AF240" s="154" t="n"/>
      <c r="AG240" s="154" t="n"/>
      <c r="AH240" s="154" t="n"/>
      <c r="AI240" s="154" t="n"/>
      <c r="AJ240" s="154" t="n"/>
      <c r="AK240" s="154" t="n"/>
      <c r="AL240" s="154" t="n"/>
      <c r="AM240" s="154" t="n"/>
      <c r="AN240" s="154" t="n"/>
      <c r="AO240" s="154" t="n"/>
      <c r="AP240" s="154" t="n"/>
      <c r="AQ240" s="154" t="n"/>
      <c r="AR240" s="154" t="n"/>
      <c r="AS240" s="154" t="n"/>
      <c r="AT240" s="154" t="n"/>
      <c r="AU240" s="154" t="n"/>
      <c r="AV240" s="154" t="n"/>
      <c r="AW240" s="154" t="n"/>
      <c r="AX240" s="154" t="n"/>
      <c r="AY240" s="154" t="n"/>
      <c r="AZ240" s="154" t="n"/>
      <c r="BA240" s="154" t="n"/>
      <c r="BB240" s="154" t="n"/>
      <c r="BC240" s="154" t="n"/>
      <c r="BD240" s="154" t="n"/>
      <c r="BE240" s="154" t="n"/>
      <c r="BF240" s="154" t="n"/>
      <c r="BG240" s="154" t="n"/>
      <c r="BH240" s="154" t="n"/>
    </row>
    <row r="241" ht="15.75" customHeight="1" s="251">
      <c r="A241" s="153" t="n"/>
      <c r="B241" s="154" t="n"/>
      <c r="C241" s="154" t="n"/>
      <c r="D241" s="154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  <c r="AA241" s="154" t="n"/>
      <c r="AB241" s="154" t="n"/>
      <c r="AC241" s="154" t="n"/>
      <c r="AD241" s="154" t="n"/>
      <c r="AE241" s="154" t="n"/>
      <c r="AF241" s="154" t="n"/>
      <c r="AG241" s="154" t="n"/>
      <c r="AH241" s="154" t="n"/>
      <c r="AI241" s="154" t="n"/>
      <c r="AJ241" s="154" t="n"/>
      <c r="AK241" s="154" t="n"/>
      <c r="AL241" s="154" t="n"/>
      <c r="AM241" s="154" t="n"/>
      <c r="AN241" s="154" t="n"/>
      <c r="AO241" s="154" t="n"/>
      <c r="AP241" s="154" t="n"/>
      <c r="AQ241" s="154" t="n"/>
      <c r="AR241" s="154" t="n"/>
      <c r="AS241" s="154" t="n"/>
      <c r="AT241" s="154" t="n"/>
      <c r="AU241" s="154" t="n"/>
      <c r="AV241" s="154" t="n"/>
      <c r="AW241" s="154" t="n"/>
      <c r="AX241" s="154" t="n"/>
      <c r="AY241" s="154" t="n"/>
      <c r="AZ241" s="154" t="n"/>
      <c r="BA241" s="154" t="n"/>
      <c r="BB241" s="154" t="n"/>
      <c r="BC241" s="154" t="n"/>
      <c r="BD241" s="154" t="n"/>
      <c r="BE241" s="154" t="n"/>
      <c r="BF241" s="154" t="n"/>
      <c r="BG241" s="154" t="n"/>
      <c r="BH241" s="154" t="n"/>
    </row>
    <row r="242" ht="15.75" customHeight="1" s="251">
      <c r="A242" s="153" t="n"/>
      <c r="B242" s="154" t="n"/>
      <c r="C242" s="154" t="n"/>
      <c r="D242" s="154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  <c r="AA242" s="154" t="n"/>
      <c r="AB242" s="154" t="n"/>
      <c r="AC242" s="154" t="n"/>
      <c r="AD242" s="154" t="n"/>
      <c r="AE242" s="154" t="n"/>
      <c r="AF242" s="154" t="n"/>
      <c r="AG242" s="154" t="n"/>
      <c r="AH242" s="154" t="n"/>
      <c r="AI242" s="154" t="n"/>
      <c r="AJ242" s="154" t="n"/>
      <c r="AK242" s="154" t="n"/>
      <c r="AL242" s="154" t="n"/>
      <c r="AM242" s="154" t="n"/>
      <c r="AN242" s="154" t="n"/>
      <c r="AO242" s="154" t="n"/>
      <c r="AP242" s="154" t="n"/>
      <c r="AQ242" s="154" t="n"/>
      <c r="AR242" s="154" t="n"/>
      <c r="AS242" s="154" t="n"/>
      <c r="AT242" s="154" t="n"/>
      <c r="AU242" s="154" t="n"/>
      <c r="AV242" s="154" t="n"/>
      <c r="AW242" s="154" t="n"/>
      <c r="AX242" s="154" t="n"/>
      <c r="AY242" s="154" t="n"/>
      <c r="AZ242" s="154" t="n"/>
      <c r="BA242" s="154" t="n"/>
      <c r="BB242" s="154" t="n"/>
      <c r="BC242" s="154" t="n"/>
      <c r="BD242" s="154" t="n"/>
      <c r="BE242" s="154" t="n"/>
      <c r="BF242" s="154" t="n"/>
      <c r="BG242" s="154" t="n"/>
      <c r="BH242" s="154" t="n"/>
    </row>
    <row r="243" ht="15.75" customHeight="1" s="251">
      <c r="A243" s="153" t="n"/>
      <c r="B243" s="154" t="n"/>
      <c r="C243" s="154" t="n"/>
      <c r="D243" s="154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  <c r="AA243" s="154" t="n"/>
      <c r="AB243" s="154" t="n"/>
      <c r="AC243" s="154" t="n"/>
      <c r="AD243" s="154" t="n"/>
      <c r="AE243" s="154" t="n"/>
      <c r="AF243" s="154" t="n"/>
      <c r="AG243" s="154" t="n"/>
      <c r="AH243" s="154" t="n"/>
      <c r="AI243" s="154" t="n"/>
      <c r="AJ243" s="154" t="n"/>
      <c r="AK243" s="154" t="n"/>
      <c r="AL243" s="154" t="n"/>
      <c r="AM243" s="154" t="n"/>
      <c r="AN243" s="154" t="n"/>
      <c r="AO243" s="154" t="n"/>
      <c r="AP243" s="154" t="n"/>
      <c r="AQ243" s="154" t="n"/>
      <c r="AR243" s="154" t="n"/>
      <c r="AS243" s="154" t="n"/>
      <c r="AT243" s="154" t="n"/>
      <c r="AU243" s="154" t="n"/>
      <c r="AV243" s="154" t="n"/>
      <c r="AW243" s="154" t="n"/>
      <c r="AX243" s="154" t="n"/>
      <c r="AY243" s="154" t="n"/>
      <c r="AZ243" s="154" t="n"/>
      <c r="BA243" s="154" t="n"/>
      <c r="BB243" s="154" t="n"/>
      <c r="BC243" s="154" t="n"/>
      <c r="BD243" s="154" t="n"/>
      <c r="BE243" s="154" t="n"/>
      <c r="BF243" s="154" t="n"/>
      <c r="BG243" s="154" t="n"/>
      <c r="BH243" s="154" t="n"/>
    </row>
    <row r="244" ht="15.75" customHeight="1" s="251">
      <c r="A244" s="153" t="n"/>
      <c r="B244" s="154" t="n"/>
      <c r="C244" s="154" t="n"/>
      <c r="D244" s="154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  <c r="AA244" s="154" t="n"/>
      <c r="AB244" s="154" t="n"/>
      <c r="AC244" s="154" t="n"/>
      <c r="AD244" s="154" t="n"/>
      <c r="AE244" s="154" t="n"/>
      <c r="AF244" s="154" t="n"/>
      <c r="AG244" s="154" t="n"/>
      <c r="AH244" s="154" t="n"/>
      <c r="AI244" s="154" t="n"/>
      <c r="AJ244" s="154" t="n"/>
      <c r="AK244" s="154" t="n"/>
      <c r="AL244" s="154" t="n"/>
      <c r="AM244" s="154" t="n"/>
      <c r="AN244" s="154" t="n"/>
      <c r="AO244" s="154" t="n"/>
      <c r="AP244" s="154" t="n"/>
      <c r="AQ244" s="154" t="n"/>
      <c r="AR244" s="154" t="n"/>
      <c r="AS244" s="154" t="n"/>
      <c r="AT244" s="154" t="n"/>
      <c r="AU244" s="154" t="n"/>
      <c r="AV244" s="154" t="n"/>
      <c r="AW244" s="154" t="n"/>
      <c r="AX244" s="154" t="n"/>
      <c r="AY244" s="154" t="n"/>
      <c r="AZ244" s="154" t="n"/>
      <c r="BA244" s="154" t="n"/>
      <c r="BB244" s="154" t="n"/>
      <c r="BC244" s="154" t="n"/>
      <c r="BD244" s="154" t="n"/>
      <c r="BE244" s="154" t="n"/>
      <c r="BF244" s="154" t="n"/>
      <c r="BG244" s="154" t="n"/>
      <c r="BH244" s="154" t="n"/>
    </row>
    <row r="245" ht="15.75" customHeight="1" s="251">
      <c r="A245" s="153" t="n"/>
      <c r="B245" s="154" t="n"/>
      <c r="C245" s="154" t="n"/>
      <c r="D245" s="154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  <c r="AA245" s="154" t="n"/>
      <c r="AB245" s="154" t="n"/>
      <c r="AC245" s="154" t="n"/>
      <c r="AD245" s="154" t="n"/>
      <c r="AE245" s="154" t="n"/>
      <c r="AF245" s="154" t="n"/>
      <c r="AG245" s="154" t="n"/>
      <c r="AH245" s="154" t="n"/>
      <c r="AI245" s="154" t="n"/>
      <c r="AJ245" s="154" t="n"/>
      <c r="AK245" s="154" t="n"/>
      <c r="AL245" s="154" t="n"/>
      <c r="AM245" s="154" t="n"/>
      <c r="AN245" s="154" t="n"/>
      <c r="AO245" s="154" t="n"/>
      <c r="AP245" s="154" t="n"/>
      <c r="AQ245" s="154" t="n"/>
      <c r="AR245" s="154" t="n"/>
      <c r="AS245" s="154" t="n"/>
      <c r="AT245" s="154" t="n"/>
      <c r="AU245" s="154" t="n"/>
      <c r="AV245" s="154" t="n"/>
      <c r="AW245" s="154" t="n"/>
      <c r="AX245" s="154" t="n"/>
      <c r="AY245" s="154" t="n"/>
      <c r="AZ245" s="154" t="n"/>
      <c r="BA245" s="154" t="n"/>
      <c r="BB245" s="154" t="n"/>
      <c r="BC245" s="154" t="n"/>
      <c r="BD245" s="154" t="n"/>
      <c r="BE245" s="154" t="n"/>
      <c r="BF245" s="154" t="n"/>
      <c r="BG245" s="154" t="n"/>
      <c r="BH245" s="154" t="n"/>
    </row>
    <row r="246" ht="15.75" customHeight="1" s="251">
      <c r="A246" s="153" t="n"/>
      <c r="B246" s="154" t="n"/>
      <c r="C246" s="154" t="n"/>
      <c r="D246" s="154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  <c r="AA246" s="154" t="n"/>
      <c r="AB246" s="154" t="n"/>
      <c r="AC246" s="154" t="n"/>
      <c r="AD246" s="154" t="n"/>
      <c r="AE246" s="154" t="n"/>
      <c r="AF246" s="154" t="n"/>
      <c r="AG246" s="154" t="n"/>
      <c r="AH246" s="154" t="n"/>
      <c r="AI246" s="154" t="n"/>
      <c r="AJ246" s="154" t="n"/>
      <c r="AK246" s="154" t="n"/>
      <c r="AL246" s="154" t="n"/>
      <c r="AM246" s="154" t="n"/>
      <c r="AN246" s="154" t="n"/>
      <c r="AO246" s="154" t="n"/>
      <c r="AP246" s="154" t="n"/>
      <c r="AQ246" s="154" t="n"/>
      <c r="AR246" s="154" t="n"/>
      <c r="AS246" s="154" t="n"/>
      <c r="AT246" s="154" t="n"/>
      <c r="AU246" s="154" t="n"/>
      <c r="AV246" s="154" t="n"/>
      <c r="AW246" s="154" t="n"/>
      <c r="AX246" s="154" t="n"/>
      <c r="AY246" s="154" t="n"/>
      <c r="AZ246" s="154" t="n"/>
      <c r="BA246" s="154" t="n"/>
      <c r="BB246" s="154" t="n"/>
      <c r="BC246" s="154" t="n"/>
      <c r="BD246" s="154" t="n"/>
      <c r="BE246" s="154" t="n"/>
      <c r="BF246" s="154" t="n"/>
      <c r="BG246" s="154" t="n"/>
      <c r="BH246" s="154" t="n"/>
    </row>
    <row r="247" ht="15.75" customHeight="1" s="251">
      <c r="A247" s="153" t="n"/>
      <c r="B247" s="154" t="n"/>
      <c r="C247" s="154" t="n"/>
      <c r="D247" s="154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  <c r="AA247" s="154" t="n"/>
      <c r="AB247" s="154" t="n"/>
      <c r="AC247" s="154" t="n"/>
      <c r="AD247" s="154" t="n"/>
      <c r="AE247" s="154" t="n"/>
      <c r="AF247" s="154" t="n"/>
      <c r="AG247" s="154" t="n"/>
      <c r="AH247" s="154" t="n"/>
      <c r="AI247" s="154" t="n"/>
      <c r="AJ247" s="154" t="n"/>
      <c r="AK247" s="154" t="n"/>
      <c r="AL247" s="154" t="n"/>
      <c r="AM247" s="154" t="n"/>
      <c r="AN247" s="154" t="n"/>
      <c r="AO247" s="154" t="n"/>
      <c r="AP247" s="154" t="n"/>
      <c r="AQ247" s="154" t="n"/>
      <c r="AR247" s="154" t="n"/>
      <c r="AS247" s="154" t="n"/>
      <c r="AT247" s="154" t="n"/>
      <c r="AU247" s="154" t="n"/>
      <c r="AV247" s="154" t="n"/>
      <c r="AW247" s="154" t="n"/>
      <c r="AX247" s="154" t="n"/>
      <c r="AY247" s="154" t="n"/>
      <c r="AZ247" s="154" t="n"/>
      <c r="BA247" s="154" t="n"/>
      <c r="BB247" s="154" t="n"/>
      <c r="BC247" s="154" t="n"/>
      <c r="BD247" s="154" t="n"/>
      <c r="BE247" s="154" t="n"/>
      <c r="BF247" s="154" t="n"/>
      <c r="BG247" s="154" t="n"/>
      <c r="BH247" s="154" t="n"/>
    </row>
    <row r="248" ht="15.75" customHeight="1" s="251">
      <c r="A248" s="153" t="n"/>
      <c r="B248" s="154" t="n"/>
      <c r="C248" s="154" t="n"/>
      <c r="D248" s="154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  <c r="AA248" s="154" t="n"/>
      <c r="AB248" s="154" t="n"/>
      <c r="AC248" s="154" t="n"/>
      <c r="AD248" s="154" t="n"/>
      <c r="AE248" s="154" t="n"/>
      <c r="AF248" s="154" t="n"/>
      <c r="AG248" s="154" t="n"/>
      <c r="AH248" s="154" t="n"/>
      <c r="AI248" s="154" t="n"/>
      <c r="AJ248" s="154" t="n"/>
      <c r="AK248" s="154" t="n"/>
      <c r="AL248" s="154" t="n"/>
      <c r="AM248" s="154" t="n"/>
      <c r="AN248" s="154" t="n"/>
      <c r="AO248" s="154" t="n"/>
      <c r="AP248" s="154" t="n"/>
      <c r="AQ248" s="154" t="n"/>
      <c r="AR248" s="154" t="n"/>
      <c r="AS248" s="154" t="n"/>
      <c r="AT248" s="154" t="n"/>
      <c r="AU248" s="154" t="n"/>
      <c r="AV248" s="154" t="n"/>
      <c r="AW248" s="154" t="n"/>
      <c r="AX248" s="154" t="n"/>
      <c r="AY248" s="154" t="n"/>
      <c r="AZ248" s="154" t="n"/>
      <c r="BA248" s="154" t="n"/>
      <c r="BB248" s="154" t="n"/>
      <c r="BC248" s="154" t="n"/>
      <c r="BD248" s="154" t="n"/>
      <c r="BE248" s="154" t="n"/>
      <c r="BF248" s="154" t="n"/>
      <c r="BG248" s="154" t="n"/>
      <c r="BH248" s="154" t="n"/>
    </row>
    <row r="249" ht="15.75" customHeight="1" s="251">
      <c r="A249" s="153" t="n"/>
      <c r="B249" s="154" t="n"/>
      <c r="C249" s="154" t="n"/>
      <c r="D249" s="154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  <c r="AA249" s="154" t="n"/>
      <c r="AB249" s="154" t="n"/>
      <c r="AC249" s="154" t="n"/>
      <c r="AD249" s="154" t="n"/>
      <c r="AE249" s="154" t="n"/>
      <c r="AF249" s="154" t="n"/>
      <c r="AG249" s="154" t="n"/>
      <c r="AH249" s="154" t="n"/>
      <c r="AI249" s="154" t="n"/>
      <c r="AJ249" s="154" t="n"/>
      <c r="AK249" s="154" t="n"/>
      <c r="AL249" s="154" t="n"/>
      <c r="AM249" s="154" t="n"/>
      <c r="AN249" s="154" t="n"/>
      <c r="AO249" s="154" t="n"/>
      <c r="AP249" s="154" t="n"/>
      <c r="AQ249" s="154" t="n"/>
      <c r="AR249" s="154" t="n"/>
      <c r="AS249" s="154" t="n"/>
      <c r="AT249" s="154" t="n"/>
      <c r="AU249" s="154" t="n"/>
      <c r="AV249" s="154" t="n"/>
      <c r="AW249" s="154" t="n"/>
      <c r="AX249" s="154" t="n"/>
      <c r="AY249" s="154" t="n"/>
      <c r="AZ249" s="154" t="n"/>
      <c r="BA249" s="154" t="n"/>
      <c r="BB249" s="154" t="n"/>
      <c r="BC249" s="154" t="n"/>
      <c r="BD249" s="154" t="n"/>
      <c r="BE249" s="154" t="n"/>
      <c r="BF249" s="154" t="n"/>
      <c r="BG249" s="154" t="n"/>
      <c r="BH249" s="154" t="n"/>
    </row>
    <row r="250" ht="15.75" customHeight="1" s="251">
      <c r="A250" s="153" t="n"/>
      <c r="B250" s="154" t="n"/>
      <c r="C250" s="154" t="n"/>
      <c r="D250" s="154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  <c r="AA250" s="154" t="n"/>
      <c r="AB250" s="154" t="n"/>
      <c r="AC250" s="154" t="n"/>
      <c r="AD250" s="154" t="n"/>
      <c r="AE250" s="154" t="n"/>
      <c r="AF250" s="154" t="n"/>
      <c r="AG250" s="154" t="n"/>
      <c r="AH250" s="154" t="n"/>
      <c r="AI250" s="154" t="n"/>
      <c r="AJ250" s="154" t="n"/>
      <c r="AK250" s="154" t="n"/>
      <c r="AL250" s="154" t="n"/>
      <c r="AM250" s="154" t="n"/>
      <c r="AN250" s="154" t="n"/>
      <c r="AO250" s="154" t="n"/>
      <c r="AP250" s="154" t="n"/>
      <c r="AQ250" s="154" t="n"/>
      <c r="AR250" s="154" t="n"/>
      <c r="AS250" s="154" t="n"/>
      <c r="AT250" s="154" t="n"/>
      <c r="AU250" s="154" t="n"/>
      <c r="AV250" s="154" t="n"/>
      <c r="AW250" s="154" t="n"/>
      <c r="AX250" s="154" t="n"/>
      <c r="AY250" s="154" t="n"/>
      <c r="AZ250" s="154" t="n"/>
      <c r="BA250" s="154" t="n"/>
      <c r="BB250" s="154" t="n"/>
      <c r="BC250" s="154" t="n"/>
      <c r="BD250" s="154" t="n"/>
      <c r="BE250" s="154" t="n"/>
      <c r="BF250" s="154" t="n"/>
      <c r="BG250" s="154" t="n"/>
      <c r="BH250" s="154" t="n"/>
    </row>
    <row r="251" ht="15.75" customHeight="1" s="251">
      <c r="A251" s="153" t="n"/>
      <c r="B251" s="154" t="n"/>
      <c r="C251" s="154" t="n"/>
      <c r="D251" s="154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  <c r="AA251" s="154" t="n"/>
      <c r="AB251" s="154" t="n"/>
      <c r="AC251" s="154" t="n"/>
      <c r="AD251" s="154" t="n"/>
      <c r="AE251" s="154" t="n"/>
      <c r="AF251" s="154" t="n"/>
      <c r="AG251" s="154" t="n"/>
      <c r="AH251" s="154" t="n"/>
      <c r="AI251" s="154" t="n"/>
      <c r="AJ251" s="154" t="n"/>
      <c r="AK251" s="154" t="n"/>
      <c r="AL251" s="154" t="n"/>
      <c r="AM251" s="154" t="n"/>
      <c r="AN251" s="154" t="n"/>
      <c r="AO251" s="154" t="n"/>
      <c r="AP251" s="154" t="n"/>
      <c r="AQ251" s="154" t="n"/>
      <c r="AR251" s="154" t="n"/>
      <c r="AS251" s="154" t="n"/>
      <c r="AT251" s="154" t="n"/>
      <c r="AU251" s="154" t="n"/>
      <c r="AV251" s="154" t="n"/>
      <c r="AW251" s="154" t="n"/>
      <c r="AX251" s="154" t="n"/>
      <c r="AY251" s="154" t="n"/>
      <c r="AZ251" s="154" t="n"/>
      <c r="BA251" s="154" t="n"/>
      <c r="BB251" s="154" t="n"/>
      <c r="BC251" s="154" t="n"/>
      <c r="BD251" s="154" t="n"/>
      <c r="BE251" s="154" t="n"/>
      <c r="BF251" s="154" t="n"/>
      <c r="BG251" s="154" t="n"/>
      <c r="BH251" s="154" t="n"/>
    </row>
    <row r="252" ht="15.75" customHeight="1" s="251">
      <c r="A252" s="153" t="n"/>
      <c r="B252" s="154" t="n"/>
      <c r="C252" s="154" t="n"/>
      <c r="D252" s="154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  <c r="AA252" s="154" t="n"/>
      <c r="AB252" s="154" t="n"/>
      <c r="AC252" s="154" t="n"/>
      <c r="AD252" s="154" t="n"/>
      <c r="AE252" s="154" t="n"/>
      <c r="AF252" s="154" t="n"/>
      <c r="AG252" s="154" t="n"/>
      <c r="AH252" s="154" t="n"/>
      <c r="AI252" s="154" t="n"/>
      <c r="AJ252" s="154" t="n"/>
      <c r="AK252" s="154" t="n"/>
      <c r="AL252" s="154" t="n"/>
      <c r="AM252" s="154" t="n"/>
      <c r="AN252" s="154" t="n"/>
      <c r="AO252" s="154" t="n"/>
      <c r="AP252" s="154" t="n"/>
      <c r="AQ252" s="154" t="n"/>
      <c r="AR252" s="154" t="n"/>
      <c r="AS252" s="154" t="n"/>
      <c r="AT252" s="154" t="n"/>
      <c r="AU252" s="154" t="n"/>
      <c r="AV252" s="154" t="n"/>
      <c r="AW252" s="154" t="n"/>
      <c r="AX252" s="154" t="n"/>
      <c r="AY252" s="154" t="n"/>
      <c r="AZ252" s="154" t="n"/>
      <c r="BA252" s="154" t="n"/>
      <c r="BB252" s="154" t="n"/>
      <c r="BC252" s="154" t="n"/>
      <c r="BD252" s="154" t="n"/>
      <c r="BE252" s="154" t="n"/>
      <c r="BF252" s="154" t="n"/>
      <c r="BG252" s="154" t="n"/>
      <c r="BH252" s="154" t="n"/>
    </row>
    <row r="253" ht="15.75" customHeight="1" s="251">
      <c r="A253" s="153" t="n"/>
      <c r="B253" s="154" t="n"/>
      <c r="C253" s="154" t="n"/>
      <c r="D253" s="154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  <c r="AA253" s="154" t="n"/>
      <c r="AB253" s="154" t="n"/>
      <c r="AC253" s="154" t="n"/>
      <c r="AD253" s="154" t="n"/>
      <c r="AE253" s="154" t="n"/>
      <c r="AF253" s="154" t="n"/>
      <c r="AG253" s="154" t="n"/>
      <c r="AH253" s="154" t="n"/>
      <c r="AI253" s="154" t="n"/>
      <c r="AJ253" s="154" t="n"/>
      <c r="AK253" s="154" t="n"/>
      <c r="AL253" s="154" t="n"/>
      <c r="AM253" s="154" t="n"/>
      <c r="AN253" s="154" t="n"/>
      <c r="AO253" s="154" t="n"/>
      <c r="AP253" s="154" t="n"/>
      <c r="AQ253" s="154" t="n"/>
      <c r="AR253" s="154" t="n"/>
      <c r="AS253" s="154" t="n"/>
      <c r="AT253" s="154" t="n"/>
      <c r="AU253" s="154" t="n"/>
      <c r="AV253" s="154" t="n"/>
      <c r="AW253" s="154" t="n"/>
      <c r="AX253" s="154" t="n"/>
      <c r="AY253" s="154" t="n"/>
      <c r="AZ253" s="154" t="n"/>
      <c r="BA253" s="154" t="n"/>
      <c r="BB253" s="154" t="n"/>
      <c r="BC253" s="154" t="n"/>
      <c r="BD253" s="154" t="n"/>
      <c r="BE253" s="154" t="n"/>
      <c r="BF253" s="154" t="n"/>
      <c r="BG253" s="154" t="n"/>
      <c r="BH253" s="154" t="n"/>
    </row>
    <row r="254" ht="15.75" customHeight="1" s="251">
      <c r="A254" s="153" t="n"/>
      <c r="B254" s="154" t="n"/>
      <c r="C254" s="154" t="n"/>
      <c r="D254" s="154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  <c r="AA254" s="154" t="n"/>
      <c r="AB254" s="154" t="n"/>
      <c r="AC254" s="154" t="n"/>
      <c r="AD254" s="154" t="n"/>
      <c r="AE254" s="154" t="n"/>
      <c r="AF254" s="154" t="n"/>
      <c r="AG254" s="154" t="n"/>
      <c r="AH254" s="154" t="n"/>
      <c r="AI254" s="154" t="n"/>
      <c r="AJ254" s="154" t="n"/>
      <c r="AK254" s="154" t="n"/>
      <c r="AL254" s="154" t="n"/>
      <c r="AM254" s="154" t="n"/>
      <c r="AN254" s="154" t="n"/>
      <c r="AO254" s="154" t="n"/>
      <c r="AP254" s="154" t="n"/>
      <c r="AQ254" s="154" t="n"/>
      <c r="AR254" s="154" t="n"/>
      <c r="AS254" s="154" t="n"/>
      <c r="AT254" s="154" t="n"/>
      <c r="AU254" s="154" t="n"/>
      <c r="AV254" s="154" t="n"/>
      <c r="AW254" s="154" t="n"/>
      <c r="AX254" s="154" t="n"/>
      <c r="AY254" s="154" t="n"/>
      <c r="AZ254" s="154" t="n"/>
      <c r="BA254" s="154" t="n"/>
      <c r="BB254" s="154" t="n"/>
      <c r="BC254" s="154" t="n"/>
      <c r="BD254" s="154" t="n"/>
      <c r="BE254" s="154" t="n"/>
      <c r="BF254" s="154" t="n"/>
      <c r="BG254" s="154" t="n"/>
      <c r="BH254" s="154" t="n"/>
    </row>
    <row r="255" ht="15.75" customHeight="1" s="251">
      <c r="A255" s="153" t="n"/>
      <c r="B255" s="154" t="n"/>
      <c r="C255" s="154" t="n"/>
      <c r="D255" s="154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  <c r="AA255" s="154" t="n"/>
      <c r="AB255" s="154" t="n"/>
      <c r="AC255" s="154" t="n"/>
      <c r="AD255" s="154" t="n"/>
      <c r="AE255" s="154" t="n"/>
      <c r="AF255" s="154" t="n"/>
      <c r="AG255" s="154" t="n"/>
      <c r="AH255" s="154" t="n"/>
      <c r="AI255" s="154" t="n"/>
      <c r="AJ255" s="154" t="n"/>
      <c r="AK255" s="154" t="n"/>
      <c r="AL255" s="154" t="n"/>
      <c r="AM255" s="154" t="n"/>
      <c r="AN255" s="154" t="n"/>
      <c r="AO255" s="154" t="n"/>
      <c r="AP255" s="154" t="n"/>
      <c r="AQ255" s="154" t="n"/>
      <c r="AR255" s="154" t="n"/>
      <c r="AS255" s="154" t="n"/>
      <c r="AT255" s="154" t="n"/>
      <c r="AU255" s="154" t="n"/>
      <c r="AV255" s="154" t="n"/>
      <c r="AW255" s="154" t="n"/>
      <c r="AX255" s="154" t="n"/>
      <c r="AY255" s="154" t="n"/>
      <c r="AZ255" s="154" t="n"/>
      <c r="BA255" s="154" t="n"/>
      <c r="BB255" s="154" t="n"/>
      <c r="BC255" s="154" t="n"/>
      <c r="BD255" s="154" t="n"/>
      <c r="BE255" s="154" t="n"/>
      <c r="BF255" s="154" t="n"/>
      <c r="BG255" s="154" t="n"/>
      <c r="BH255" s="154" t="n"/>
    </row>
    <row r="256" ht="15.75" customHeight="1" s="251">
      <c r="A256" s="153" t="n"/>
      <c r="B256" s="154" t="n"/>
      <c r="C256" s="154" t="n"/>
      <c r="D256" s="154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  <c r="AA256" s="154" t="n"/>
      <c r="AB256" s="154" t="n"/>
      <c r="AC256" s="154" t="n"/>
      <c r="AD256" s="154" t="n"/>
      <c r="AE256" s="154" t="n"/>
      <c r="AF256" s="154" t="n"/>
      <c r="AG256" s="154" t="n"/>
      <c r="AH256" s="154" t="n"/>
      <c r="AI256" s="154" t="n"/>
      <c r="AJ256" s="154" t="n"/>
      <c r="AK256" s="154" t="n"/>
      <c r="AL256" s="154" t="n"/>
      <c r="AM256" s="154" t="n"/>
      <c r="AN256" s="154" t="n"/>
      <c r="AO256" s="154" t="n"/>
      <c r="AP256" s="154" t="n"/>
      <c r="AQ256" s="154" t="n"/>
      <c r="AR256" s="154" t="n"/>
      <c r="AS256" s="154" t="n"/>
      <c r="AT256" s="154" t="n"/>
      <c r="AU256" s="154" t="n"/>
      <c r="AV256" s="154" t="n"/>
      <c r="AW256" s="154" t="n"/>
      <c r="AX256" s="154" t="n"/>
      <c r="AY256" s="154" t="n"/>
      <c r="AZ256" s="154" t="n"/>
      <c r="BA256" s="154" t="n"/>
      <c r="BB256" s="154" t="n"/>
      <c r="BC256" s="154" t="n"/>
      <c r="BD256" s="154" t="n"/>
      <c r="BE256" s="154" t="n"/>
      <c r="BF256" s="154" t="n"/>
      <c r="BG256" s="154" t="n"/>
      <c r="BH256" s="154" t="n"/>
    </row>
    <row r="257" ht="15.75" customHeight="1" s="251">
      <c r="A257" s="153" t="n"/>
      <c r="B257" s="154" t="n"/>
      <c r="C257" s="154" t="n"/>
      <c r="D257" s="154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  <c r="AA257" s="154" t="n"/>
      <c r="AB257" s="154" t="n"/>
      <c r="AC257" s="154" t="n"/>
      <c r="AD257" s="154" t="n"/>
      <c r="AE257" s="154" t="n"/>
      <c r="AF257" s="154" t="n"/>
      <c r="AG257" s="154" t="n"/>
      <c r="AH257" s="154" t="n"/>
      <c r="AI257" s="154" t="n"/>
      <c r="AJ257" s="154" t="n"/>
      <c r="AK257" s="154" t="n"/>
      <c r="AL257" s="154" t="n"/>
      <c r="AM257" s="154" t="n"/>
      <c r="AN257" s="154" t="n"/>
      <c r="AO257" s="154" t="n"/>
      <c r="AP257" s="154" t="n"/>
      <c r="AQ257" s="154" t="n"/>
      <c r="AR257" s="154" t="n"/>
      <c r="AS257" s="154" t="n"/>
      <c r="AT257" s="154" t="n"/>
      <c r="AU257" s="154" t="n"/>
      <c r="AV257" s="154" t="n"/>
      <c r="AW257" s="154" t="n"/>
      <c r="AX257" s="154" t="n"/>
      <c r="AY257" s="154" t="n"/>
      <c r="AZ257" s="154" t="n"/>
      <c r="BA257" s="154" t="n"/>
      <c r="BB257" s="154" t="n"/>
      <c r="BC257" s="154" t="n"/>
      <c r="BD257" s="154" t="n"/>
      <c r="BE257" s="154" t="n"/>
      <c r="BF257" s="154" t="n"/>
      <c r="BG257" s="154" t="n"/>
      <c r="BH257" s="154" t="n"/>
    </row>
    <row r="258" ht="15.75" customHeight="1" s="251">
      <c r="A258" s="153" t="n"/>
      <c r="B258" s="154" t="n"/>
      <c r="C258" s="154" t="n"/>
      <c r="D258" s="154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  <c r="AA258" s="154" t="n"/>
      <c r="AB258" s="154" t="n"/>
      <c r="AC258" s="154" t="n"/>
      <c r="AD258" s="154" t="n"/>
      <c r="AE258" s="154" t="n"/>
      <c r="AF258" s="154" t="n"/>
      <c r="AG258" s="154" t="n"/>
      <c r="AH258" s="154" t="n"/>
      <c r="AI258" s="154" t="n"/>
      <c r="AJ258" s="154" t="n"/>
      <c r="AK258" s="154" t="n"/>
      <c r="AL258" s="154" t="n"/>
      <c r="AM258" s="154" t="n"/>
      <c r="AN258" s="154" t="n"/>
      <c r="AO258" s="154" t="n"/>
      <c r="AP258" s="154" t="n"/>
      <c r="AQ258" s="154" t="n"/>
      <c r="AR258" s="154" t="n"/>
      <c r="AS258" s="154" t="n"/>
      <c r="AT258" s="154" t="n"/>
      <c r="AU258" s="154" t="n"/>
      <c r="AV258" s="154" t="n"/>
      <c r="AW258" s="154" t="n"/>
      <c r="AX258" s="154" t="n"/>
      <c r="AY258" s="154" t="n"/>
      <c r="AZ258" s="154" t="n"/>
      <c r="BA258" s="154" t="n"/>
      <c r="BB258" s="154" t="n"/>
      <c r="BC258" s="154" t="n"/>
      <c r="BD258" s="154" t="n"/>
      <c r="BE258" s="154" t="n"/>
      <c r="BF258" s="154" t="n"/>
      <c r="BG258" s="154" t="n"/>
      <c r="BH258" s="154" t="n"/>
    </row>
    <row r="259" ht="15.75" customHeight="1" s="251">
      <c r="A259" s="153" t="n"/>
      <c r="B259" s="154" t="n"/>
      <c r="C259" s="154" t="n"/>
      <c r="D259" s="154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  <c r="AA259" s="154" t="n"/>
      <c r="AB259" s="154" t="n"/>
      <c r="AC259" s="154" t="n"/>
      <c r="AD259" s="154" t="n"/>
      <c r="AE259" s="154" t="n"/>
      <c r="AF259" s="154" t="n"/>
      <c r="AG259" s="154" t="n"/>
      <c r="AH259" s="154" t="n"/>
      <c r="AI259" s="154" t="n"/>
      <c r="AJ259" s="154" t="n"/>
      <c r="AK259" s="154" t="n"/>
      <c r="AL259" s="154" t="n"/>
      <c r="AM259" s="154" t="n"/>
      <c r="AN259" s="154" t="n"/>
      <c r="AO259" s="154" t="n"/>
      <c r="AP259" s="154" t="n"/>
      <c r="AQ259" s="154" t="n"/>
      <c r="AR259" s="154" t="n"/>
      <c r="AS259" s="154" t="n"/>
      <c r="AT259" s="154" t="n"/>
      <c r="AU259" s="154" t="n"/>
      <c r="AV259" s="154" t="n"/>
      <c r="AW259" s="154" t="n"/>
      <c r="AX259" s="154" t="n"/>
      <c r="AY259" s="154" t="n"/>
      <c r="AZ259" s="154" t="n"/>
      <c r="BA259" s="154" t="n"/>
      <c r="BB259" s="154" t="n"/>
      <c r="BC259" s="154" t="n"/>
      <c r="BD259" s="154" t="n"/>
      <c r="BE259" s="154" t="n"/>
      <c r="BF259" s="154" t="n"/>
      <c r="BG259" s="154" t="n"/>
      <c r="BH259" s="154" t="n"/>
    </row>
    <row r="260" ht="15.75" customHeight="1" s="251">
      <c r="A260" s="153" t="n"/>
      <c r="B260" s="154" t="n"/>
      <c r="C260" s="154" t="n"/>
      <c r="D260" s="154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  <c r="AA260" s="154" t="n"/>
      <c r="AB260" s="154" t="n"/>
      <c r="AC260" s="154" t="n"/>
      <c r="AD260" s="154" t="n"/>
      <c r="AE260" s="154" t="n"/>
      <c r="AF260" s="154" t="n"/>
      <c r="AG260" s="154" t="n"/>
      <c r="AH260" s="154" t="n"/>
      <c r="AI260" s="154" t="n"/>
      <c r="AJ260" s="154" t="n"/>
      <c r="AK260" s="154" t="n"/>
      <c r="AL260" s="154" t="n"/>
      <c r="AM260" s="154" t="n"/>
      <c r="AN260" s="154" t="n"/>
      <c r="AO260" s="154" t="n"/>
      <c r="AP260" s="154" t="n"/>
      <c r="AQ260" s="154" t="n"/>
      <c r="AR260" s="154" t="n"/>
      <c r="AS260" s="154" t="n"/>
      <c r="AT260" s="154" t="n"/>
      <c r="AU260" s="154" t="n"/>
      <c r="AV260" s="154" t="n"/>
      <c r="AW260" s="154" t="n"/>
      <c r="AX260" s="154" t="n"/>
      <c r="AY260" s="154" t="n"/>
      <c r="AZ260" s="154" t="n"/>
      <c r="BA260" s="154" t="n"/>
      <c r="BB260" s="154" t="n"/>
      <c r="BC260" s="154" t="n"/>
      <c r="BD260" s="154" t="n"/>
      <c r="BE260" s="154" t="n"/>
      <c r="BF260" s="154" t="n"/>
      <c r="BG260" s="154" t="n"/>
      <c r="BH260" s="154" t="n"/>
    </row>
    <row r="261" ht="15.75" customHeight="1" s="251">
      <c r="A261" s="153" t="n"/>
      <c r="B261" s="154" t="n"/>
      <c r="C261" s="154" t="n"/>
      <c r="D261" s="154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  <c r="AA261" s="154" t="n"/>
      <c r="AB261" s="154" t="n"/>
      <c r="AC261" s="154" t="n"/>
      <c r="AD261" s="154" t="n"/>
      <c r="AE261" s="154" t="n"/>
      <c r="AF261" s="154" t="n"/>
      <c r="AG261" s="154" t="n"/>
      <c r="AH261" s="154" t="n"/>
      <c r="AI261" s="154" t="n"/>
      <c r="AJ261" s="154" t="n"/>
      <c r="AK261" s="154" t="n"/>
      <c r="AL261" s="154" t="n"/>
      <c r="AM261" s="154" t="n"/>
      <c r="AN261" s="154" t="n"/>
      <c r="AO261" s="154" t="n"/>
      <c r="AP261" s="154" t="n"/>
      <c r="AQ261" s="154" t="n"/>
      <c r="AR261" s="154" t="n"/>
      <c r="AS261" s="154" t="n"/>
      <c r="AT261" s="154" t="n"/>
      <c r="AU261" s="154" t="n"/>
      <c r="AV261" s="154" t="n"/>
      <c r="AW261" s="154" t="n"/>
      <c r="AX261" s="154" t="n"/>
      <c r="AY261" s="154" t="n"/>
      <c r="AZ261" s="154" t="n"/>
      <c r="BA261" s="154" t="n"/>
      <c r="BB261" s="154" t="n"/>
      <c r="BC261" s="154" t="n"/>
      <c r="BD261" s="154" t="n"/>
      <c r="BE261" s="154" t="n"/>
      <c r="BF261" s="154" t="n"/>
      <c r="BG261" s="154" t="n"/>
      <c r="BH261" s="154" t="n"/>
    </row>
    <row r="262" ht="15.75" customHeight="1" s="251">
      <c r="A262" s="153" t="n"/>
      <c r="B262" s="154" t="n"/>
      <c r="C262" s="154" t="n"/>
      <c r="D262" s="154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  <c r="AA262" s="154" t="n"/>
      <c r="AB262" s="154" t="n"/>
      <c r="AC262" s="154" t="n"/>
      <c r="AD262" s="154" t="n"/>
      <c r="AE262" s="154" t="n"/>
      <c r="AF262" s="154" t="n"/>
      <c r="AG262" s="154" t="n"/>
      <c r="AH262" s="154" t="n"/>
      <c r="AI262" s="154" t="n"/>
      <c r="AJ262" s="154" t="n"/>
      <c r="AK262" s="154" t="n"/>
      <c r="AL262" s="154" t="n"/>
      <c r="AM262" s="154" t="n"/>
      <c r="AN262" s="154" t="n"/>
      <c r="AO262" s="154" t="n"/>
      <c r="AP262" s="154" t="n"/>
      <c r="AQ262" s="154" t="n"/>
      <c r="AR262" s="154" t="n"/>
      <c r="AS262" s="154" t="n"/>
      <c r="AT262" s="154" t="n"/>
      <c r="AU262" s="154" t="n"/>
      <c r="AV262" s="154" t="n"/>
      <c r="AW262" s="154" t="n"/>
      <c r="AX262" s="154" t="n"/>
      <c r="AY262" s="154" t="n"/>
      <c r="AZ262" s="154" t="n"/>
      <c r="BA262" s="154" t="n"/>
      <c r="BB262" s="154" t="n"/>
      <c r="BC262" s="154" t="n"/>
      <c r="BD262" s="154" t="n"/>
      <c r="BE262" s="154" t="n"/>
      <c r="BF262" s="154" t="n"/>
      <c r="BG262" s="154" t="n"/>
      <c r="BH262" s="154" t="n"/>
    </row>
    <row r="263" ht="15.75" customHeight="1" s="251">
      <c r="A263" s="153" t="n"/>
      <c r="B263" s="154" t="n"/>
      <c r="C263" s="154" t="n"/>
      <c r="D263" s="154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  <c r="AA263" s="154" t="n"/>
      <c r="AB263" s="154" t="n"/>
      <c r="AC263" s="154" t="n"/>
      <c r="AD263" s="154" t="n"/>
      <c r="AE263" s="154" t="n"/>
      <c r="AF263" s="154" t="n"/>
      <c r="AG263" s="154" t="n"/>
      <c r="AH263" s="154" t="n"/>
      <c r="AI263" s="154" t="n"/>
      <c r="AJ263" s="154" t="n"/>
      <c r="AK263" s="154" t="n"/>
      <c r="AL263" s="154" t="n"/>
      <c r="AM263" s="154" t="n"/>
      <c r="AN263" s="154" t="n"/>
      <c r="AO263" s="154" t="n"/>
      <c r="AP263" s="154" t="n"/>
      <c r="AQ263" s="154" t="n"/>
      <c r="AR263" s="154" t="n"/>
      <c r="AS263" s="154" t="n"/>
      <c r="AT263" s="154" t="n"/>
      <c r="AU263" s="154" t="n"/>
      <c r="AV263" s="154" t="n"/>
      <c r="AW263" s="154" t="n"/>
      <c r="AX263" s="154" t="n"/>
      <c r="AY263" s="154" t="n"/>
      <c r="AZ263" s="154" t="n"/>
      <c r="BA263" s="154" t="n"/>
      <c r="BB263" s="154" t="n"/>
      <c r="BC263" s="154" t="n"/>
      <c r="BD263" s="154" t="n"/>
      <c r="BE263" s="154" t="n"/>
      <c r="BF263" s="154" t="n"/>
      <c r="BG263" s="154" t="n"/>
      <c r="BH263" s="154" t="n"/>
    </row>
    <row r="264" ht="15.75" customHeight="1" s="251">
      <c r="A264" s="153" t="n"/>
      <c r="B264" s="154" t="n"/>
      <c r="C264" s="154" t="n"/>
      <c r="D264" s="154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  <c r="AA264" s="154" t="n"/>
      <c r="AB264" s="154" t="n"/>
      <c r="AC264" s="154" t="n"/>
      <c r="AD264" s="154" t="n"/>
      <c r="AE264" s="154" t="n"/>
      <c r="AF264" s="154" t="n"/>
      <c r="AG264" s="154" t="n"/>
      <c r="AH264" s="154" t="n"/>
      <c r="AI264" s="154" t="n"/>
      <c r="AJ264" s="154" t="n"/>
      <c r="AK264" s="154" t="n"/>
      <c r="AL264" s="154" t="n"/>
      <c r="AM264" s="154" t="n"/>
      <c r="AN264" s="154" t="n"/>
      <c r="AO264" s="154" t="n"/>
      <c r="AP264" s="154" t="n"/>
      <c r="AQ264" s="154" t="n"/>
      <c r="AR264" s="154" t="n"/>
      <c r="AS264" s="154" t="n"/>
      <c r="AT264" s="154" t="n"/>
      <c r="AU264" s="154" t="n"/>
      <c r="AV264" s="154" t="n"/>
      <c r="AW264" s="154" t="n"/>
      <c r="AX264" s="154" t="n"/>
      <c r="AY264" s="154" t="n"/>
      <c r="AZ264" s="154" t="n"/>
      <c r="BA264" s="154" t="n"/>
      <c r="BB264" s="154" t="n"/>
      <c r="BC264" s="154" t="n"/>
      <c r="BD264" s="154" t="n"/>
      <c r="BE264" s="154" t="n"/>
      <c r="BF264" s="154" t="n"/>
      <c r="BG264" s="154" t="n"/>
      <c r="BH264" s="154" t="n"/>
    </row>
    <row r="265" ht="15.75" customHeight="1" s="251">
      <c r="A265" s="153" t="n"/>
      <c r="B265" s="154" t="n"/>
      <c r="C265" s="154" t="n"/>
      <c r="D265" s="154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  <c r="AA265" s="154" t="n"/>
      <c r="AB265" s="154" t="n"/>
      <c r="AC265" s="154" t="n"/>
      <c r="AD265" s="154" t="n"/>
      <c r="AE265" s="154" t="n"/>
      <c r="AF265" s="154" t="n"/>
      <c r="AG265" s="154" t="n"/>
      <c r="AH265" s="154" t="n"/>
      <c r="AI265" s="154" t="n"/>
      <c r="AJ265" s="154" t="n"/>
      <c r="AK265" s="154" t="n"/>
      <c r="AL265" s="154" t="n"/>
      <c r="AM265" s="154" t="n"/>
      <c r="AN265" s="154" t="n"/>
      <c r="AO265" s="154" t="n"/>
      <c r="AP265" s="154" t="n"/>
      <c r="AQ265" s="154" t="n"/>
      <c r="AR265" s="154" t="n"/>
      <c r="AS265" s="154" t="n"/>
      <c r="AT265" s="154" t="n"/>
      <c r="AU265" s="154" t="n"/>
      <c r="AV265" s="154" t="n"/>
      <c r="AW265" s="154" t="n"/>
      <c r="AX265" s="154" t="n"/>
      <c r="AY265" s="154" t="n"/>
      <c r="AZ265" s="154" t="n"/>
      <c r="BA265" s="154" t="n"/>
      <c r="BB265" s="154" t="n"/>
      <c r="BC265" s="154" t="n"/>
      <c r="BD265" s="154" t="n"/>
      <c r="BE265" s="154" t="n"/>
      <c r="BF265" s="154" t="n"/>
      <c r="BG265" s="154" t="n"/>
      <c r="BH265" s="154" t="n"/>
    </row>
    <row r="266" ht="15.75" customHeight="1" s="251">
      <c r="A266" s="153" t="n"/>
      <c r="B266" s="154" t="n"/>
      <c r="C266" s="154" t="n"/>
      <c r="D266" s="154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  <c r="AA266" s="154" t="n"/>
      <c r="AB266" s="154" t="n"/>
      <c r="AC266" s="154" t="n"/>
      <c r="AD266" s="154" t="n"/>
      <c r="AE266" s="154" t="n"/>
      <c r="AF266" s="154" t="n"/>
      <c r="AG266" s="154" t="n"/>
      <c r="AH266" s="154" t="n"/>
      <c r="AI266" s="154" t="n"/>
      <c r="AJ266" s="154" t="n"/>
      <c r="AK266" s="154" t="n"/>
      <c r="AL266" s="154" t="n"/>
      <c r="AM266" s="154" t="n"/>
      <c r="AN266" s="154" t="n"/>
      <c r="AO266" s="154" t="n"/>
      <c r="AP266" s="154" t="n"/>
      <c r="AQ266" s="154" t="n"/>
      <c r="AR266" s="154" t="n"/>
      <c r="AS266" s="154" t="n"/>
      <c r="AT266" s="154" t="n"/>
      <c r="AU266" s="154" t="n"/>
      <c r="AV266" s="154" t="n"/>
      <c r="AW266" s="154" t="n"/>
      <c r="AX266" s="154" t="n"/>
      <c r="AY266" s="154" t="n"/>
      <c r="AZ266" s="154" t="n"/>
      <c r="BA266" s="154" t="n"/>
      <c r="BB266" s="154" t="n"/>
      <c r="BC266" s="154" t="n"/>
      <c r="BD266" s="154" t="n"/>
      <c r="BE266" s="154" t="n"/>
      <c r="BF266" s="154" t="n"/>
      <c r="BG266" s="154" t="n"/>
      <c r="BH266" s="154" t="n"/>
    </row>
    <row r="267" ht="15.75" customHeight="1" s="251">
      <c r="A267" s="153" t="n"/>
      <c r="B267" s="154" t="n"/>
      <c r="C267" s="154" t="n"/>
      <c r="D267" s="154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  <c r="AA267" s="154" t="n"/>
      <c r="AB267" s="154" t="n"/>
      <c r="AC267" s="154" t="n"/>
      <c r="AD267" s="154" t="n"/>
      <c r="AE267" s="154" t="n"/>
      <c r="AF267" s="154" t="n"/>
      <c r="AG267" s="154" t="n"/>
      <c r="AH267" s="154" t="n"/>
      <c r="AI267" s="154" t="n"/>
      <c r="AJ267" s="154" t="n"/>
      <c r="AK267" s="154" t="n"/>
      <c r="AL267" s="154" t="n"/>
      <c r="AM267" s="154" t="n"/>
      <c r="AN267" s="154" t="n"/>
      <c r="AO267" s="154" t="n"/>
      <c r="AP267" s="154" t="n"/>
      <c r="AQ267" s="154" t="n"/>
      <c r="AR267" s="154" t="n"/>
      <c r="AS267" s="154" t="n"/>
      <c r="AT267" s="154" t="n"/>
      <c r="AU267" s="154" t="n"/>
      <c r="AV267" s="154" t="n"/>
      <c r="AW267" s="154" t="n"/>
      <c r="AX267" s="154" t="n"/>
      <c r="AY267" s="154" t="n"/>
      <c r="AZ267" s="154" t="n"/>
      <c r="BA267" s="154" t="n"/>
      <c r="BB267" s="154" t="n"/>
      <c r="BC267" s="154" t="n"/>
      <c r="BD267" s="154" t="n"/>
      <c r="BE267" s="154" t="n"/>
      <c r="BF267" s="154" t="n"/>
      <c r="BG267" s="154" t="n"/>
      <c r="BH267" s="154" t="n"/>
    </row>
    <row r="268" ht="15.75" customHeight="1" s="251">
      <c r="A268" s="153" t="n"/>
      <c r="B268" s="154" t="n"/>
      <c r="C268" s="154" t="n"/>
      <c r="D268" s="154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  <c r="AA268" s="154" t="n"/>
      <c r="AB268" s="154" t="n"/>
      <c r="AC268" s="154" t="n"/>
      <c r="AD268" s="154" t="n"/>
      <c r="AE268" s="154" t="n"/>
      <c r="AF268" s="154" t="n"/>
      <c r="AG268" s="154" t="n"/>
      <c r="AH268" s="154" t="n"/>
      <c r="AI268" s="154" t="n"/>
      <c r="AJ268" s="154" t="n"/>
      <c r="AK268" s="154" t="n"/>
      <c r="AL268" s="154" t="n"/>
      <c r="AM268" s="154" t="n"/>
      <c r="AN268" s="154" t="n"/>
      <c r="AO268" s="154" t="n"/>
      <c r="AP268" s="154" t="n"/>
      <c r="AQ268" s="154" t="n"/>
      <c r="AR268" s="154" t="n"/>
      <c r="AS268" s="154" t="n"/>
      <c r="AT268" s="154" t="n"/>
      <c r="AU268" s="154" t="n"/>
      <c r="AV268" s="154" t="n"/>
      <c r="AW268" s="154" t="n"/>
      <c r="AX268" s="154" t="n"/>
      <c r="AY268" s="154" t="n"/>
      <c r="AZ268" s="154" t="n"/>
      <c r="BA268" s="154" t="n"/>
      <c r="BB268" s="154" t="n"/>
      <c r="BC268" s="154" t="n"/>
      <c r="BD268" s="154" t="n"/>
      <c r="BE268" s="154" t="n"/>
      <c r="BF268" s="154" t="n"/>
      <c r="BG268" s="154" t="n"/>
      <c r="BH268" s="154" t="n"/>
    </row>
    <row r="269" ht="15.75" customHeight="1" s="251">
      <c r="A269" s="153" t="n"/>
      <c r="B269" s="154" t="n"/>
      <c r="C269" s="154" t="n"/>
      <c r="D269" s="154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  <c r="AA269" s="154" t="n"/>
      <c r="AB269" s="154" t="n"/>
      <c r="AC269" s="154" t="n"/>
      <c r="AD269" s="154" t="n"/>
      <c r="AE269" s="154" t="n"/>
      <c r="AF269" s="154" t="n"/>
      <c r="AG269" s="154" t="n"/>
      <c r="AH269" s="154" t="n"/>
      <c r="AI269" s="154" t="n"/>
      <c r="AJ269" s="154" t="n"/>
      <c r="AK269" s="154" t="n"/>
      <c r="AL269" s="154" t="n"/>
      <c r="AM269" s="154" t="n"/>
      <c r="AN269" s="154" t="n"/>
      <c r="AO269" s="154" t="n"/>
      <c r="AP269" s="154" t="n"/>
      <c r="AQ269" s="154" t="n"/>
      <c r="AR269" s="154" t="n"/>
      <c r="AS269" s="154" t="n"/>
      <c r="AT269" s="154" t="n"/>
      <c r="AU269" s="154" t="n"/>
      <c r="AV269" s="154" t="n"/>
      <c r="AW269" s="154" t="n"/>
      <c r="AX269" s="154" t="n"/>
      <c r="AY269" s="154" t="n"/>
      <c r="AZ269" s="154" t="n"/>
      <c r="BA269" s="154" t="n"/>
      <c r="BB269" s="154" t="n"/>
      <c r="BC269" s="154" t="n"/>
      <c r="BD269" s="154" t="n"/>
      <c r="BE269" s="154" t="n"/>
      <c r="BF269" s="154" t="n"/>
      <c r="BG269" s="154" t="n"/>
      <c r="BH269" s="154" t="n"/>
    </row>
    <row r="270" ht="15.75" customHeight="1" s="251">
      <c r="A270" s="153" t="n"/>
      <c r="B270" s="154" t="n"/>
      <c r="C270" s="154" t="n"/>
      <c r="D270" s="154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  <c r="AA270" s="154" t="n"/>
      <c r="AB270" s="154" t="n"/>
      <c r="AC270" s="154" t="n"/>
      <c r="AD270" s="154" t="n"/>
      <c r="AE270" s="154" t="n"/>
      <c r="AF270" s="154" t="n"/>
      <c r="AG270" s="154" t="n"/>
      <c r="AH270" s="154" t="n"/>
      <c r="AI270" s="154" t="n"/>
      <c r="AJ270" s="154" t="n"/>
      <c r="AK270" s="154" t="n"/>
      <c r="AL270" s="154" t="n"/>
      <c r="AM270" s="154" t="n"/>
      <c r="AN270" s="154" t="n"/>
      <c r="AO270" s="154" t="n"/>
      <c r="AP270" s="154" t="n"/>
      <c r="AQ270" s="154" t="n"/>
      <c r="AR270" s="154" t="n"/>
      <c r="AS270" s="154" t="n"/>
      <c r="AT270" s="154" t="n"/>
      <c r="AU270" s="154" t="n"/>
      <c r="AV270" s="154" t="n"/>
      <c r="AW270" s="154" t="n"/>
      <c r="AX270" s="154" t="n"/>
      <c r="AY270" s="154" t="n"/>
      <c r="AZ270" s="154" t="n"/>
      <c r="BA270" s="154" t="n"/>
      <c r="BB270" s="154" t="n"/>
      <c r="BC270" s="154" t="n"/>
      <c r="BD270" s="154" t="n"/>
      <c r="BE270" s="154" t="n"/>
      <c r="BF270" s="154" t="n"/>
      <c r="BG270" s="154" t="n"/>
      <c r="BH270" s="154" t="n"/>
    </row>
    <row r="271" ht="15.75" customHeight="1" s="251">
      <c r="A271" s="153" t="n"/>
      <c r="B271" s="154" t="n"/>
      <c r="C271" s="154" t="n"/>
      <c r="D271" s="154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  <c r="AA271" s="154" t="n"/>
      <c r="AB271" s="154" t="n"/>
      <c r="AC271" s="154" t="n"/>
      <c r="AD271" s="154" t="n"/>
      <c r="AE271" s="154" t="n"/>
      <c r="AF271" s="154" t="n"/>
      <c r="AG271" s="154" t="n"/>
      <c r="AH271" s="154" t="n"/>
      <c r="AI271" s="154" t="n"/>
      <c r="AJ271" s="154" t="n"/>
      <c r="AK271" s="154" t="n"/>
      <c r="AL271" s="154" t="n"/>
      <c r="AM271" s="154" t="n"/>
      <c r="AN271" s="154" t="n"/>
      <c r="AO271" s="154" t="n"/>
      <c r="AP271" s="154" t="n"/>
      <c r="AQ271" s="154" t="n"/>
      <c r="AR271" s="154" t="n"/>
      <c r="AS271" s="154" t="n"/>
      <c r="AT271" s="154" t="n"/>
      <c r="AU271" s="154" t="n"/>
      <c r="AV271" s="154" t="n"/>
      <c r="AW271" s="154" t="n"/>
      <c r="AX271" s="154" t="n"/>
      <c r="AY271" s="154" t="n"/>
      <c r="AZ271" s="154" t="n"/>
      <c r="BA271" s="154" t="n"/>
      <c r="BB271" s="154" t="n"/>
      <c r="BC271" s="154" t="n"/>
      <c r="BD271" s="154" t="n"/>
      <c r="BE271" s="154" t="n"/>
      <c r="BF271" s="154" t="n"/>
      <c r="BG271" s="154" t="n"/>
      <c r="BH271" s="154" t="n"/>
    </row>
    <row r="272" ht="15.75" customHeight="1" s="251">
      <c r="A272" s="153" t="n"/>
      <c r="B272" s="154" t="n"/>
      <c r="C272" s="154" t="n"/>
      <c r="D272" s="154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  <c r="AA272" s="154" t="n"/>
      <c r="AB272" s="154" t="n"/>
      <c r="AC272" s="154" t="n"/>
      <c r="AD272" s="154" t="n"/>
      <c r="AE272" s="154" t="n"/>
      <c r="AF272" s="154" t="n"/>
      <c r="AG272" s="154" t="n"/>
      <c r="AH272" s="154" t="n"/>
      <c r="AI272" s="154" t="n"/>
      <c r="AJ272" s="154" t="n"/>
      <c r="AK272" s="154" t="n"/>
      <c r="AL272" s="154" t="n"/>
      <c r="AM272" s="154" t="n"/>
      <c r="AN272" s="154" t="n"/>
      <c r="AO272" s="154" t="n"/>
      <c r="AP272" s="154" t="n"/>
      <c r="AQ272" s="154" t="n"/>
      <c r="AR272" s="154" t="n"/>
      <c r="AS272" s="154" t="n"/>
      <c r="AT272" s="154" t="n"/>
      <c r="AU272" s="154" t="n"/>
      <c r="AV272" s="154" t="n"/>
      <c r="AW272" s="154" t="n"/>
      <c r="AX272" s="154" t="n"/>
      <c r="AY272" s="154" t="n"/>
      <c r="AZ272" s="154" t="n"/>
      <c r="BA272" s="154" t="n"/>
      <c r="BB272" s="154" t="n"/>
      <c r="BC272" s="154" t="n"/>
      <c r="BD272" s="154" t="n"/>
      <c r="BE272" s="154" t="n"/>
      <c r="BF272" s="154" t="n"/>
      <c r="BG272" s="154" t="n"/>
      <c r="BH272" s="154" t="n"/>
    </row>
    <row r="273" ht="15.75" customHeight="1" s="251">
      <c r="A273" s="153" t="n"/>
      <c r="B273" s="154" t="n"/>
      <c r="C273" s="154" t="n"/>
      <c r="D273" s="154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  <c r="AA273" s="154" t="n"/>
      <c r="AB273" s="154" t="n"/>
      <c r="AC273" s="154" t="n"/>
      <c r="AD273" s="154" t="n"/>
      <c r="AE273" s="154" t="n"/>
      <c r="AF273" s="154" t="n"/>
      <c r="AG273" s="154" t="n"/>
      <c r="AH273" s="154" t="n"/>
      <c r="AI273" s="154" t="n"/>
      <c r="AJ273" s="154" t="n"/>
      <c r="AK273" s="154" t="n"/>
      <c r="AL273" s="154" t="n"/>
      <c r="AM273" s="154" t="n"/>
      <c r="AN273" s="154" t="n"/>
      <c r="AO273" s="154" t="n"/>
      <c r="AP273" s="154" t="n"/>
      <c r="AQ273" s="154" t="n"/>
      <c r="AR273" s="154" t="n"/>
      <c r="AS273" s="154" t="n"/>
      <c r="AT273" s="154" t="n"/>
      <c r="AU273" s="154" t="n"/>
      <c r="AV273" s="154" t="n"/>
      <c r="AW273" s="154" t="n"/>
      <c r="AX273" s="154" t="n"/>
      <c r="AY273" s="154" t="n"/>
      <c r="AZ273" s="154" t="n"/>
      <c r="BA273" s="154" t="n"/>
      <c r="BB273" s="154" t="n"/>
      <c r="BC273" s="154" t="n"/>
      <c r="BD273" s="154" t="n"/>
      <c r="BE273" s="154" t="n"/>
      <c r="BF273" s="154" t="n"/>
      <c r="BG273" s="154" t="n"/>
      <c r="BH273" s="154" t="n"/>
    </row>
    <row r="274" ht="15.75" customHeight="1" s="251">
      <c r="A274" s="153" t="n"/>
      <c r="B274" s="154" t="n"/>
      <c r="C274" s="154" t="n"/>
      <c r="D274" s="154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  <c r="AA274" s="154" t="n"/>
      <c r="AB274" s="154" t="n"/>
      <c r="AC274" s="154" t="n"/>
      <c r="AD274" s="154" t="n"/>
      <c r="AE274" s="154" t="n"/>
      <c r="AF274" s="154" t="n"/>
      <c r="AG274" s="154" t="n"/>
      <c r="AH274" s="154" t="n"/>
      <c r="AI274" s="154" t="n"/>
      <c r="AJ274" s="154" t="n"/>
      <c r="AK274" s="154" t="n"/>
      <c r="AL274" s="154" t="n"/>
      <c r="AM274" s="154" t="n"/>
      <c r="AN274" s="154" t="n"/>
      <c r="AO274" s="154" t="n"/>
      <c r="AP274" s="154" t="n"/>
      <c r="AQ274" s="154" t="n"/>
      <c r="AR274" s="154" t="n"/>
      <c r="AS274" s="154" t="n"/>
      <c r="AT274" s="154" t="n"/>
      <c r="AU274" s="154" t="n"/>
      <c r="AV274" s="154" t="n"/>
      <c r="AW274" s="154" t="n"/>
      <c r="AX274" s="154" t="n"/>
      <c r="AY274" s="154" t="n"/>
      <c r="AZ274" s="154" t="n"/>
      <c r="BA274" s="154" t="n"/>
      <c r="BB274" s="154" t="n"/>
      <c r="BC274" s="154" t="n"/>
      <c r="BD274" s="154" t="n"/>
      <c r="BE274" s="154" t="n"/>
      <c r="BF274" s="154" t="n"/>
      <c r="BG274" s="154" t="n"/>
      <c r="BH274" s="154" t="n"/>
    </row>
    <row r="275" ht="15.75" customHeight="1" s="251">
      <c r="A275" s="153" t="n"/>
      <c r="B275" s="154" t="n"/>
      <c r="C275" s="154" t="n"/>
      <c r="D275" s="154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  <c r="AA275" s="154" t="n"/>
      <c r="AB275" s="154" t="n"/>
      <c r="AC275" s="154" t="n"/>
      <c r="AD275" s="154" t="n"/>
      <c r="AE275" s="154" t="n"/>
      <c r="AF275" s="154" t="n"/>
      <c r="AG275" s="154" t="n"/>
      <c r="AH275" s="154" t="n"/>
      <c r="AI275" s="154" t="n"/>
      <c r="AJ275" s="154" t="n"/>
      <c r="AK275" s="154" t="n"/>
      <c r="AL275" s="154" t="n"/>
      <c r="AM275" s="154" t="n"/>
      <c r="AN275" s="154" t="n"/>
      <c r="AO275" s="154" t="n"/>
      <c r="AP275" s="154" t="n"/>
      <c r="AQ275" s="154" t="n"/>
      <c r="AR275" s="154" t="n"/>
      <c r="AS275" s="154" t="n"/>
      <c r="AT275" s="154" t="n"/>
      <c r="AU275" s="154" t="n"/>
      <c r="AV275" s="154" t="n"/>
      <c r="AW275" s="154" t="n"/>
      <c r="AX275" s="154" t="n"/>
      <c r="AY275" s="154" t="n"/>
      <c r="AZ275" s="154" t="n"/>
      <c r="BA275" s="154" t="n"/>
      <c r="BB275" s="154" t="n"/>
      <c r="BC275" s="154" t="n"/>
      <c r="BD275" s="154" t="n"/>
      <c r="BE275" s="154" t="n"/>
      <c r="BF275" s="154" t="n"/>
      <c r="BG275" s="154" t="n"/>
      <c r="BH275" s="154" t="n"/>
    </row>
    <row r="276" ht="15.75" customHeight="1" s="251">
      <c r="A276" s="153" t="n"/>
      <c r="B276" s="154" t="n"/>
      <c r="C276" s="154" t="n"/>
      <c r="D276" s="154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  <c r="AA276" s="154" t="n"/>
      <c r="AB276" s="154" t="n"/>
      <c r="AC276" s="154" t="n"/>
      <c r="AD276" s="154" t="n"/>
      <c r="AE276" s="154" t="n"/>
      <c r="AF276" s="154" t="n"/>
      <c r="AG276" s="154" t="n"/>
      <c r="AH276" s="154" t="n"/>
      <c r="AI276" s="154" t="n"/>
      <c r="AJ276" s="154" t="n"/>
      <c r="AK276" s="154" t="n"/>
      <c r="AL276" s="154" t="n"/>
      <c r="AM276" s="154" t="n"/>
      <c r="AN276" s="154" t="n"/>
      <c r="AO276" s="154" t="n"/>
      <c r="AP276" s="154" t="n"/>
      <c r="AQ276" s="154" t="n"/>
      <c r="AR276" s="154" t="n"/>
      <c r="AS276" s="154" t="n"/>
      <c r="AT276" s="154" t="n"/>
      <c r="AU276" s="154" t="n"/>
      <c r="AV276" s="154" t="n"/>
      <c r="AW276" s="154" t="n"/>
      <c r="AX276" s="154" t="n"/>
      <c r="AY276" s="154" t="n"/>
      <c r="AZ276" s="154" t="n"/>
      <c r="BA276" s="154" t="n"/>
      <c r="BB276" s="154" t="n"/>
      <c r="BC276" s="154" t="n"/>
      <c r="BD276" s="154" t="n"/>
      <c r="BE276" s="154" t="n"/>
      <c r="BF276" s="154" t="n"/>
      <c r="BG276" s="154" t="n"/>
      <c r="BH276" s="154" t="n"/>
    </row>
    <row r="277" ht="15.75" customHeight="1" s="251">
      <c r="A277" s="153" t="n"/>
      <c r="B277" s="154" t="n"/>
      <c r="C277" s="154" t="n"/>
      <c r="D277" s="154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  <c r="AA277" s="154" t="n"/>
      <c r="AB277" s="154" t="n"/>
      <c r="AC277" s="154" t="n"/>
      <c r="AD277" s="154" t="n"/>
      <c r="AE277" s="154" t="n"/>
      <c r="AF277" s="154" t="n"/>
      <c r="AG277" s="154" t="n"/>
      <c r="AH277" s="154" t="n"/>
      <c r="AI277" s="154" t="n"/>
      <c r="AJ277" s="154" t="n"/>
      <c r="AK277" s="154" t="n"/>
      <c r="AL277" s="154" t="n"/>
      <c r="AM277" s="154" t="n"/>
      <c r="AN277" s="154" t="n"/>
      <c r="AO277" s="154" t="n"/>
      <c r="AP277" s="154" t="n"/>
      <c r="AQ277" s="154" t="n"/>
      <c r="AR277" s="154" t="n"/>
      <c r="AS277" s="154" t="n"/>
      <c r="AT277" s="154" t="n"/>
      <c r="AU277" s="154" t="n"/>
      <c r="AV277" s="154" t="n"/>
      <c r="AW277" s="154" t="n"/>
      <c r="AX277" s="154" t="n"/>
      <c r="AY277" s="154" t="n"/>
      <c r="AZ277" s="154" t="n"/>
      <c r="BA277" s="154" t="n"/>
      <c r="BB277" s="154" t="n"/>
      <c r="BC277" s="154" t="n"/>
      <c r="BD277" s="154" t="n"/>
      <c r="BE277" s="154" t="n"/>
      <c r="BF277" s="154" t="n"/>
      <c r="BG277" s="154" t="n"/>
      <c r="BH277" s="154" t="n"/>
    </row>
    <row r="278" ht="15.75" customHeight="1" s="251">
      <c r="A278" s="153" t="n"/>
      <c r="B278" s="154" t="n"/>
      <c r="C278" s="154" t="n"/>
      <c r="D278" s="154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  <c r="AA278" s="154" t="n"/>
      <c r="AB278" s="154" t="n"/>
      <c r="AC278" s="154" t="n"/>
      <c r="AD278" s="154" t="n"/>
      <c r="AE278" s="154" t="n"/>
      <c r="AF278" s="154" t="n"/>
      <c r="AG278" s="154" t="n"/>
      <c r="AH278" s="154" t="n"/>
      <c r="AI278" s="154" t="n"/>
      <c r="AJ278" s="154" t="n"/>
      <c r="AK278" s="154" t="n"/>
      <c r="AL278" s="154" t="n"/>
      <c r="AM278" s="154" t="n"/>
      <c r="AN278" s="154" t="n"/>
      <c r="AO278" s="154" t="n"/>
      <c r="AP278" s="154" t="n"/>
      <c r="AQ278" s="154" t="n"/>
      <c r="AR278" s="154" t="n"/>
      <c r="AS278" s="154" t="n"/>
      <c r="AT278" s="154" t="n"/>
      <c r="AU278" s="154" t="n"/>
      <c r="AV278" s="154" t="n"/>
      <c r="AW278" s="154" t="n"/>
      <c r="AX278" s="154" t="n"/>
      <c r="AY278" s="154" t="n"/>
      <c r="AZ278" s="154" t="n"/>
      <c r="BA278" s="154" t="n"/>
      <c r="BB278" s="154" t="n"/>
      <c r="BC278" s="154" t="n"/>
      <c r="BD278" s="154" t="n"/>
      <c r="BE278" s="154" t="n"/>
      <c r="BF278" s="154" t="n"/>
      <c r="BG278" s="154" t="n"/>
      <c r="BH278" s="154" t="n"/>
    </row>
    <row r="279" ht="15.75" customHeight="1" s="251">
      <c r="A279" s="153" t="n"/>
      <c r="B279" s="154" t="n"/>
      <c r="C279" s="154" t="n"/>
      <c r="D279" s="154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  <c r="AA279" s="154" t="n"/>
      <c r="AB279" s="154" t="n"/>
      <c r="AC279" s="154" t="n"/>
      <c r="AD279" s="154" t="n"/>
      <c r="AE279" s="154" t="n"/>
      <c r="AF279" s="154" t="n"/>
      <c r="AG279" s="154" t="n"/>
      <c r="AH279" s="154" t="n"/>
      <c r="AI279" s="154" t="n"/>
      <c r="AJ279" s="154" t="n"/>
      <c r="AK279" s="154" t="n"/>
      <c r="AL279" s="154" t="n"/>
      <c r="AM279" s="154" t="n"/>
      <c r="AN279" s="154" t="n"/>
      <c r="AO279" s="154" t="n"/>
      <c r="AP279" s="154" t="n"/>
      <c r="AQ279" s="154" t="n"/>
      <c r="AR279" s="154" t="n"/>
      <c r="AS279" s="154" t="n"/>
      <c r="AT279" s="154" t="n"/>
      <c r="AU279" s="154" t="n"/>
      <c r="AV279" s="154" t="n"/>
      <c r="AW279" s="154" t="n"/>
      <c r="AX279" s="154" t="n"/>
      <c r="AY279" s="154" t="n"/>
      <c r="AZ279" s="154" t="n"/>
      <c r="BA279" s="154" t="n"/>
      <c r="BB279" s="154" t="n"/>
      <c r="BC279" s="154" t="n"/>
      <c r="BD279" s="154" t="n"/>
      <c r="BE279" s="154" t="n"/>
      <c r="BF279" s="154" t="n"/>
      <c r="BG279" s="154" t="n"/>
      <c r="BH279" s="154" t="n"/>
    </row>
    <row r="280" ht="15.75" customHeight="1" s="251">
      <c r="A280" s="153" t="n"/>
      <c r="B280" s="154" t="n"/>
      <c r="C280" s="154" t="n"/>
      <c r="D280" s="154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  <c r="AA280" s="154" t="n"/>
      <c r="AB280" s="154" t="n"/>
      <c r="AC280" s="154" t="n"/>
      <c r="AD280" s="154" t="n"/>
      <c r="AE280" s="154" t="n"/>
      <c r="AF280" s="154" t="n"/>
      <c r="AG280" s="154" t="n"/>
      <c r="AH280" s="154" t="n"/>
      <c r="AI280" s="154" t="n"/>
      <c r="AJ280" s="154" t="n"/>
      <c r="AK280" s="154" t="n"/>
      <c r="AL280" s="154" t="n"/>
      <c r="AM280" s="154" t="n"/>
      <c r="AN280" s="154" t="n"/>
      <c r="AO280" s="154" t="n"/>
      <c r="AP280" s="154" t="n"/>
      <c r="AQ280" s="154" t="n"/>
      <c r="AR280" s="154" t="n"/>
      <c r="AS280" s="154" t="n"/>
      <c r="AT280" s="154" t="n"/>
      <c r="AU280" s="154" t="n"/>
      <c r="AV280" s="154" t="n"/>
      <c r="AW280" s="154" t="n"/>
      <c r="AX280" s="154" t="n"/>
      <c r="AY280" s="154" t="n"/>
      <c r="AZ280" s="154" t="n"/>
      <c r="BA280" s="154" t="n"/>
      <c r="BB280" s="154" t="n"/>
      <c r="BC280" s="154" t="n"/>
      <c r="BD280" s="154" t="n"/>
      <c r="BE280" s="154" t="n"/>
      <c r="BF280" s="154" t="n"/>
      <c r="BG280" s="154" t="n"/>
      <c r="BH280" s="154" t="n"/>
    </row>
    <row r="281" ht="15.75" customHeight="1" s="251">
      <c r="A281" s="153" t="n"/>
      <c r="B281" s="154" t="n"/>
      <c r="C281" s="154" t="n"/>
      <c r="D281" s="154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  <c r="AA281" s="154" t="n"/>
      <c r="AB281" s="154" t="n"/>
      <c r="AC281" s="154" t="n"/>
      <c r="AD281" s="154" t="n"/>
      <c r="AE281" s="154" t="n"/>
      <c r="AF281" s="154" t="n"/>
      <c r="AG281" s="154" t="n"/>
      <c r="AH281" s="154" t="n"/>
      <c r="AI281" s="154" t="n"/>
      <c r="AJ281" s="154" t="n"/>
      <c r="AK281" s="154" t="n"/>
      <c r="AL281" s="154" t="n"/>
      <c r="AM281" s="154" t="n"/>
      <c r="AN281" s="154" t="n"/>
      <c r="AO281" s="154" t="n"/>
      <c r="AP281" s="154" t="n"/>
      <c r="AQ281" s="154" t="n"/>
      <c r="AR281" s="154" t="n"/>
      <c r="AS281" s="154" t="n"/>
      <c r="AT281" s="154" t="n"/>
      <c r="AU281" s="154" t="n"/>
      <c r="AV281" s="154" t="n"/>
      <c r="AW281" s="154" t="n"/>
      <c r="AX281" s="154" t="n"/>
      <c r="AY281" s="154" t="n"/>
      <c r="AZ281" s="154" t="n"/>
      <c r="BA281" s="154" t="n"/>
      <c r="BB281" s="154" t="n"/>
      <c r="BC281" s="154" t="n"/>
      <c r="BD281" s="154" t="n"/>
      <c r="BE281" s="154" t="n"/>
      <c r="BF281" s="154" t="n"/>
      <c r="BG281" s="154" t="n"/>
      <c r="BH281" s="154" t="n"/>
    </row>
    <row r="282" ht="15.75" customHeight="1" s="251">
      <c r="A282" s="153" t="n"/>
      <c r="B282" s="154" t="n"/>
      <c r="C282" s="154" t="n"/>
      <c r="D282" s="154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  <c r="AA282" s="154" t="n"/>
      <c r="AB282" s="154" t="n"/>
      <c r="AC282" s="154" t="n"/>
      <c r="AD282" s="154" t="n"/>
      <c r="AE282" s="154" t="n"/>
      <c r="AF282" s="154" t="n"/>
      <c r="AG282" s="154" t="n"/>
      <c r="AH282" s="154" t="n"/>
      <c r="AI282" s="154" t="n"/>
      <c r="AJ282" s="154" t="n"/>
      <c r="AK282" s="154" t="n"/>
      <c r="AL282" s="154" t="n"/>
      <c r="AM282" s="154" t="n"/>
      <c r="AN282" s="154" t="n"/>
      <c r="AO282" s="154" t="n"/>
      <c r="AP282" s="154" t="n"/>
      <c r="AQ282" s="154" t="n"/>
      <c r="AR282" s="154" t="n"/>
      <c r="AS282" s="154" t="n"/>
      <c r="AT282" s="154" t="n"/>
      <c r="AU282" s="154" t="n"/>
      <c r="AV282" s="154" t="n"/>
      <c r="AW282" s="154" t="n"/>
      <c r="AX282" s="154" t="n"/>
      <c r="AY282" s="154" t="n"/>
      <c r="AZ282" s="154" t="n"/>
      <c r="BA282" s="154" t="n"/>
      <c r="BB282" s="154" t="n"/>
      <c r="BC282" s="154" t="n"/>
      <c r="BD282" s="154" t="n"/>
      <c r="BE282" s="154" t="n"/>
      <c r="BF282" s="154" t="n"/>
      <c r="BG282" s="154" t="n"/>
      <c r="BH282" s="154" t="n"/>
    </row>
    <row r="283" ht="15.75" customHeight="1" s="251">
      <c r="A283" s="153" t="n"/>
      <c r="B283" s="154" t="n"/>
      <c r="C283" s="154" t="n"/>
      <c r="D283" s="154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  <c r="AA283" s="154" t="n"/>
      <c r="AB283" s="154" t="n"/>
      <c r="AC283" s="154" t="n"/>
      <c r="AD283" s="154" t="n"/>
      <c r="AE283" s="154" t="n"/>
      <c r="AF283" s="154" t="n"/>
      <c r="AG283" s="154" t="n"/>
      <c r="AH283" s="154" t="n"/>
      <c r="AI283" s="154" t="n"/>
      <c r="AJ283" s="154" t="n"/>
      <c r="AK283" s="154" t="n"/>
      <c r="AL283" s="154" t="n"/>
      <c r="AM283" s="154" t="n"/>
      <c r="AN283" s="154" t="n"/>
      <c r="AO283" s="154" t="n"/>
      <c r="AP283" s="154" t="n"/>
      <c r="AQ283" s="154" t="n"/>
      <c r="AR283" s="154" t="n"/>
      <c r="AS283" s="154" t="n"/>
      <c r="AT283" s="154" t="n"/>
      <c r="AU283" s="154" t="n"/>
      <c r="AV283" s="154" t="n"/>
      <c r="AW283" s="154" t="n"/>
      <c r="AX283" s="154" t="n"/>
      <c r="AY283" s="154" t="n"/>
      <c r="AZ283" s="154" t="n"/>
      <c r="BA283" s="154" t="n"/>
      <c r="BB283" s="154" t="n"/>
      <c r="BC283" s="154" t="n"/>
      <c r="BD283" s="154" t="n"/>
      <c r="BE283" s="154" t="n"/>
      <c r="BF283" s="154" t="n"/>
      <c r="BG283" s="154" t="n"/>
      <c r="BH283" s="154" t="n"/>
    </row>
    <row r="284" ht="15.75" customHeight="1" s="251">
      <c r="A284" s="153" t="n"/>
      <c r="B284" s="154" t="n"/>
      <c r="C284" s="154" t="n"/>
      <c r="D284" s="154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  <c r="AA284" s="154" t="n"/>
      <c r="AB284" s="154" t="n"/>
      <c r="AC284" s="154" t="n"/>
      <c r="AD284" s="154" t="n"/>
      <c r="AE284" s="154" t="n"/>
      <c r="AF284" s="154" t="n"/>
      <c r="AG284" s="154" t="n"/>
      <c r="AH284" s="154" t="n"/>
      <c r="AI284" s="154" t="n"/>
      <c r="AJ284" s="154" t="n"/>
      <c r="AK284" s="154" t="n"/>
      <c r="AL284" s="154" t="n"/>
      <c r="AM284" s="154" t="n"/>
      <c r="AN284" s="154" t="n"/>
      <c r="AO284" s="154" t="n"/>
      <c r="AP284" s="154" t="n"/>
      <c r="AQ284" s="154" t="n"/>
      <c r="AR284" s="154" t="n"/>
      <c r="AS284" s="154" t="n"/>
      <c r="AT284" s="154" t="n"/>
      <c r="AU284" s="154" t="n"/>
      <c r="AV284" s="154" t="n"/>
      <c r="AW284" s="154" t="n"/>
      <c r="AX284" s="154" t="n"/>
      <c r="AY284" s="154" t="n"/>
      <c r="AZ284" s="154" t="n"/>
      <c r="BA284" s="154" t="n"/>
      <c r="BB284" s="154" t="n"/>
      <c r="BC284" s="154" t="n"/>
      <c r="BD284" s="154" t="n"/>
      <c r="BE284" s="154" t="n"/>
      <c r="BF284" s="154" t="n"/>
      <c r="BG284" s="154" t="n"/>
      <c r="BH284" s="154" t="n"/>
    </row>
    <row r="285" ht="15.75" customHeight="1" s="251">
      <c r="A285" s="153" t="n"/>
      <c r="B285" s="154" t="n"/>
      <c r="C285" s="154" t="n"/>
      <c r="D285" s="154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  <c r="AA285" s="154" t="n"/>
      <c r="AB285" s="154" t="n"/>
      <c r="AC285" s="154" t="n"/>
      <c r="AD285" s="154" t="n"/>
      <c r="AE285" s="154" t="n"/>
      <c r="AF285" s="154" t="n"/>
      <c r="AG285" s="154" t="n"/>
      <c r="AH285" s="154" t="n"/>
      <c r="AI285" s="154" t="n"/>
      <c r="AJ285" s="154" t="n"/>
      <c r="AK285" s="154" t="n"/>
      <c r="AL285" s="154" t="n"/>
      <c r="AM285" s="154" t="n"/>
      <c r="AN285" s="154" t="n"/>
      <c r="AO285" s="154" t="n"/>
      <c r="AP285" s="154" t="n"/>
      <c r="AQ285" s="154" t="n"/>
      <c r="AR285" s="154" t="n"/>
      <c r="AS285" s="154" t="n"/>
      <c r="AT285" s="154" t="n"/>
      <c r="AU285" s="154" t="n"/>
      <c r="AV285" s="154" t="n"/>
      <c r="AW285" s="154" t="n"/>
      <c r="AX285" s="154" t="n"/>
      <c r="AY285" s="154" t="n"/>
      <c r="AZ285" s="154" t="n"/>
      <c r="BA285" s="154" t="n"/>
      <c r="BB285" s="154" t="n"/>
      <c r="BC285" s="154" t="n"/>
      <c r="BD285" s="154" t="n"/>
      <c r="BE285" s="154" t="n"/>
      <c r="BF285" s="154" t="n"/>
      <c r="BG285" s="154" t="n"/>
      <c r="BH285" s="154" t="n"/>
    </row>
    <row r="286" ht="15.75" customHeight="1" s="251">
      <c r="A286" s="153" t="n"/>
      <c r="B286" s="154" t="n"/>
      <c r="C286" s="154" t="n"/>
      <c r="D286" s="154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  <c r="AA286" s="154" t="n"/>
      <c r="AB286" s="154" t="n"/>
      <c r="AC286" s="154" t="n"/>
      <c r="AD286" s="154" t="n"/>
      <c r="AE286" s="154" t="n"/>
      <c r="AF286" s="154" t="n"/>
      <c r="AG286" s="154" t="n"/>
      <c r="AH286" s="154" t="n"/>
      <c r="AI286" s="154" t="n"/>
      <c r="AJ286" s="154" t="n"/>
      <c r="AK286" s="154" t="n"/>
      <c r="AL286" s="154" t="n"/>
      <c r="AM286" s="154" t="n"/>
      <c r="AN286" s="154" t="n"/>
      <c r="AO286" s="154" t="n"/>
      <c r="AP286" s="154" t="n"/>
      <c r="AQ286" s="154" t="n"/>
      <c r="AR286" s="154" t="n"/>
      <c r="AS286" s="154" t="n"/>
      <c r="AT286" s="154" t="n"/>
      <c r="AU286" s="154" t="n"/>
      <c r="AV286" s="154" t="n"/>
      <c r="AW286" s="154" t="n"/>
      <c r="AX286" s="154" t="n"/>
      <c r="AY286" s="154" t="n"/>
      <c r="AZ286" s="154" t="n"/>
      <c r="BA286" s="154" t="n"/>
      <c r="BB286" s="154" t="n"/>
      <c r="BC286" s="154" t="n"/>
      <c r="BD286" s="154" t="n"/>
      <c r="BE286" s="154" t="n"/>
      <c r="BF286" s="154" t="n"/>
      <c r="BG286" s="154" t="n"/>
      <c r="BH286" s="154" t="n"/>
    </row>
    <row r="287" ht="15.75" customHeight="1" s="251">
      <c r="A287" s="153" t="n"/>
      <c r="B287" s="154" t="n"/>
      <c r="C287" s="154" t="n"/>
      <c r="D287" s="154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  <c r="AA287" s="154" t="n"/>
      <c r="AB287" s="154" t="n"/>
      <c r="AC287" s="154" t="n"/>
      <c r="AD287" s="154" t="n"/>
      <c r="AE287" s="154" t="n"/>
      <c r="AF287" s="154" t="n"/>
      <c r="AG287" s="154" t="n"/>
      <c r="AH287" s="154" t="n"/>
      <c r="AI287" s="154" t="n"/>
      <c r="AJ287" s="154" t="n"/>
      <c r="AK287" s="154" t="n"/>
      <c r="AL287" s="154" t="n"/>
      <c r="AM287" s="154" t="n"/>
      <c r="AN287" s="154" t="n"/>
      <c r="AO287" s="154" t="n"/>
      <c r="AP287" s="154" t="n"/>
      <c r="AQ287" s="154" t="n"/>
      <c r="AR287" s="154" t="n"/>
      <c r="AS287" s="154" t="n"/>
      <c r="AT287" s="154" t="n"/>
      <c r="AU287" s="154" t="n"/>
      <c r="AV287" s="154" t="n"/>
      <c r="AW287" s="154" t="n"/>
      <c r="AX287" s="154" t="n"/>
      <c r="AY287" s="154" t="n"/>
      <c r="AZ287" s="154" t="n"/>
      <c r="BA287" s="154" t="n"/>
      <c r="BB287" s="154" t="n"/>
      <c r="BC287" s="154" t="n"/>
      <c r="BD287" s="154" t="n"/>
      <c r="BE287" s="154" t="n"/>
      <c r="BF287" s="154" t="n"/>
      <c r="BG287" s="154" t="n"/>
      <c r="BH287" s="154" t="n"/>
    </row>
    <row r="288" ht="15.75" customHeight="1" s="251">
      <c r="A288" s="153" t="n"/>
      <c r="B288" s="154" t="n"/>
      <c r="C288" s="154" t="n"/>
      <c r="D288" s="154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  <c r="AA288" s="154" t="n"/>
      <c r="AB288" s="154" t="n"/>
      <c r="AC288" s="154" t="n"/>
      <c r="AD288" s="154" t="n"/>
      <c r="AE288" s="154" t="n"/>
      <c r="AF288" s="154" t="n"/>
      <c r="AG288" s="154" t="n"/>
      <c r="AH288" s="154" t="n"/>
      <c r="AI288" s="154" t="n"/>
      <c r="AJ288" s="154" t="n"/>
      <c r="AK288" s="154" t="n"/>
      <c r="AL288" s="154" t="n"/>
      <c r="AM288" s="154" t="n"/>
      <c r="AN288" s="154" t="n"/>
      <c r="AO288" s="154" t="n"/>
      <c r="AP288" s="154" t="n"/>
      <c r="AQ288" s="154" t="n"/>
      <c r="AR288" s="154" t="n"/>
      <c r="AS288" s="154" t="n"/>
      <c r="AT288" s="154" t="n"/>
      <c r="AU288" s="154" t="n"/>
      <c r="AV288" s="154" t="n"/>
      <c r="AW288" s="154" t="n"/>
      <c r="AX288" s="154" t="n"/>
      <c r="AY288" s="154" t="n"/>
      <c r="AZ288" s="154" t="n"/>
      <c r="BA288" s="154" t="n"/>
      <c r="BB288" s="154" t="n"/>
      <c r="BC288" s="154" t="n"/>
      <c r="BD288" s="154" t="n"/>
      <c r="BE288" s="154" t="n"/>
      <c r="BF288" s="154" t="n"/>
      <c r="BG288" s="154" t="n"/>
      <c r="BH288" s="154" t="n"/>
    </row>
    <row r="289" ht="15.75" customHeight="1" s="251">
      <c r="A289" s="153" t="n"/>
      <c r="B289" s="154" t="n"/>
      <c r="C289" s="154" t="n"/>
      <c r="D289" s="154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  <c r="AA289" s="154" t="n"/>
      <c r="AB289" s="154" t="n"/>
      <c r="AC289" s="154" t="n"/>
      <c r="AD289" s="154" t="n"/>
      <c r="AE289" s="154" t="n"/>
      <c r="AF289" s="154" t="n"/>
      <c r="AG289" s="154" t="n"/>
      <c r="AH289" s="154" t="n"/>
      <c r="AI289" s="154" t="n"/>
      <c r="AJ289" s="154" t="n"/>
      <c r="AK289" s="154" t="n"/>
      <c r="AL289" s="154" t="n"/>
      <c r="AM289" s="154" t="n"/>
      <c r="AN289" s="154" t="n"/>
      <c r="AO289" s="154" t="n"/>
      <c r="AP289" s="154" t="n"/>
      <c r="AQ289" s="154" t="n"/>
      <c r="AR289" s="154" t="n"/>
      <c r="AS289" s="154" t="n"/>
      <c r="AT289" s="154" t="n"/>
      <c r="AU289" s="154" t="n"/>
      <c r="AV289" s="154" t="n"/>
      <c r="AW289" s="154" t="n"/>
      <c r="AX289" s="154" t="n"/>
      <c r="AY289" s="154" t="n"/>
      <c r="AZ289" s="154" t="n"/>
      <c r="BA289" s="154" t="n"/>
      <c r="BB289" s="154" t="n"/>
      <c r="BC289" s="154" t="n"/>
      <c r="BD289" s="154" t="n"/>
      <c r="BE289" s="154" t="n"/>
      <c r="BF289" s="154" t="n"/>
      <c r="BG289" s="154" t="n"/>
      <c r="BH289" s="154" t="n"/>
    </row>
    <row r="290" ht="15.75" customHeight="1" s="251">
      <c r="A290" s="153" t="n"/>
      <c r="B290" s="154" t="n"/>
      <c r="C290" s="154" t="n"/>
      <c r="D290" s="154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  <c r="AA290" s="154" t="n"/>
      <c r="AB290" s="154" t="n"/>
      <c r="AC290" s="154" t="n"/>
      <c r="AD290" s="154" t="n"/>
      <c r="AE290" s="154" t="n"/>
      <c r="AF290" s="154" t="n"/>
      <c r="AG290" s="154" t="n"/>
      <c r="AH290" s="154" t="n"/>
      <c r="AI290" s="154" t="n"/>
      <c r="AJ290" s="154" t="n"/>
      <c r="AK290" s="154" t="n"/>
      <c r="AL290" s="154" t="n"/>
      <c r="AM290" s="154" t="n"/>
      <c r="AN290" s="154" t="n"/>
      <c r="AO290" s="154" t="n"/>
      <c r="AP290" s="154" t="n"/>
      <c r="AQ290" s="154" t="n"/>
      <c r="AR290" s="154" t="n"/>
      <c r="AS290" s="154" t="n"/>
      <c r="AT290" s="154" t="n"/>
      <c r="AU290" s="154" t="n"/>
      <c r="AV290" s="154" t="n"/>
      <c r="AW290" s="154" t="n"/>
      <c r="AX290" s="154" t="n"/>
      <c r="AY290" s="154" t="n"/>
      <c r="AZ290" s="154" t="n"/>
      <c r="BA290" s="154" t="n"/>
      <c r="BB290" s="154" t="n"/>
      <c r="BC290" s="154" t="n"/>
      <c r="BD290" s="154" t="n"/>
      <c r="BE290" s="154" t="n"/>
      <c r="BF290" s="154" t="n"/>
      <c r="BG290" s="154" t="n"/>
      <c r="BH290" s="154" t="n"/>
    </row>
    <row r="291" ht="15.75" customHeight="1" s="251">
      <c r="A291" s="153" t="n"/>
      <c r="B291" s="154" t="n"/>
      <c r="C291" s="154" t="n"/>
      <c r="D291" s="154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  <c r="AA291" s="154" t="n"/>
      <c r="AB291" s="154" t="n"/>
      <c r="AC291" s="154" t="n"/>
      <c r="AD291" s="154" t="n"/>
      <c r="AE291" s="154" t="n"/>
      <c r="AF291" s="154" t="n"/>
      <c r="AG291" s="154" t="n"/>
      <c r="AH291" s="154" t="n"/>
      <c r="AI291" s="154" t="n"/>
      <c r="AJ291" s="154" t="n"/>
      <c r="AK291" s="154" t="n"/>
      <c r="AL291" s="154" t="n"/>
      <c r="AM291" s="154" t="n"/>
      <c r="AN291" s="154" t="n"/>
      <c r="AO291" s="154" t="n"/>
      <c r="AP291" s="154" t="n"/>
      <c r="AQ291" s="154" t="n"/>
      <c r="AR291" s="154" t="n"/>
      <c r="AS291" s="154" t="n"/>
      <c r="AT291" s="154" t="n"/>
      <c r="AU291" s="154" t="n"/>
      <c r="AV291" s="154" t="n"/>
      <c r="AW291" s="154" t="n"/>
      <c r="AX291" s="154" t="n"/>
      <c r="AY291" s="154" t="n"/>
      <c r="AZ291" s="154" t="n"/>
      <c r="BA291" s="154" t="n"/>
      <c r="BB291" s="154" t="n"/>
      <c r="BC291" s="154" t="n"/>
      <c r="BD291" s="154" t="n"/>
      <c r="BE291" s="154" t="n"/>
      <c r="BF291" s="154" t="n"/>
      <c r="BG291" s="154" t="n"/>
      <c r="BH291" s="154" t="n"/>
    </row>
    <row r="292" ht="15.75" customHeight="1" s="251">
      <c r="A292" s="153" t="n"/>
      <c r="B292" s="154" t="n"/>
      <c r="C292" s="154" t="n"/>
      <c r="D292" s="154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  <c r="AA292" s="154" t="n"/>
      <c r="AB292" s="154" t="n"/>
      <c r="AC292" s="154" t="n"/>
      <c r="AD292" s="154" t="n"/>
      <c r="AE292" s="154" t="n"/>
      <c r="AF292" s="154" t="n"/>
      <c r="AG292" s="154" t="n"/>
      <c r="AH292" s="154" t="n"/>
      <c r="AI292" s="154" t="n"/>
      <c r="AJ292" s="154" t="n"/>
      <c r="AK292" s="154" t="n"/>
      <c r="AL292" s="154" t="n"/>
      <c r="AM292" s="154" t="n"/>
      <c r="AN292" s="154" t="n"/>
      <c r="AO292" s="154" t="n"/>
      <c r="AP292" s="154" t="n"/>
      <c r="AQ292" s="154" t="n"/>
      <c r="AR292" s="154" t="n"/>
      <c r="AS292" s="154" t="n"/>
      <c r="AT292" s="154" t="n"/>
      <c r="AU292" s="154" t="n"/>
      <c r="AV292" s="154" t="n"/>
      <c r="AW292" s="154" t="n"/>
      <c r="AX292" s="154" t="n"/>
      <c r="AY292" s="154" t="n"/>
      <c r="AZ292" s="154" t="n"/>
      <c r="BA292" s="154" t="n"/>
      <c r="BB292" s="154" t="n"/>
      <c r="BC292" s="154" t="n"/>
      <c r="BD292" s="154" t="n"/>
      <c r="BE292" s="154" t="n"/>
      <c r="BF292" s="154" t="n"/>
      <c r="BG292" s="154" t="n"/>
      <c r="BH292" s="154" t="n"/>
    </row>
    <row r="293" ht="15.75" customHeight="1" s="251">
      <c r="A293" s="153" t="n"/>
      <c r="B293" s="154" t="n"/>
      <c r="C293" s="154" t="n"/>
      <c r="D293" s="154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  <c r="AA293" s="154" t="n"/>
      <c r="AB293" s="154" t="n"/>
      <c r="AC293" s="154" t="n"/>
      <c r="AD293" s="154" t="n"/>
      <c r="AE293" s="154" t="n"/>
      <c r="AF293" s="154" t="n"/>
      <c r="AG293" s="154" t="n"/>
      <c r="AH293" s="154" t="n"/>
      <c r="AI293" s="154" t="n"/>
      <c r="AJ293" s="154" t="n"/>
      <c r="AK293" s="154" t="n"/>
      <c r="AL293" s="154" t="n"/>
      <c r="AM293" s="154" t="n"/>
      <c r="AN293" s="154" t="n"/>
      <c r="AO293" s="154" t="n"/>
      <c r="AP293" s="154" t="n"/>
      <c r="AQ293" s="154" t="n"/>
      <c r="AR293" s="154" t="n"/>
      <c r="AS293" s="154" t="n"/>
      <c r="AT293" s="154" t="n"/>
      <c r="AU293" s="154" t="n"/>
      <c r="AV293" s="154" t="n"/>
      <c r="AW293" s="154" t="n"/>
      <c r="AX293" s="154" t="n"/>
      <c r="AY293" s="154" t="n"/>
      <c r="AZ293" s="154" t="n"/>
      <c r="BA293" s="154" t="n"/>
      <c r="BB293" s="154" t="n"/>
      <c r="BC293" s="154" t="n"/>
      <c r="BD293" s="154" t="n"/>
      <c r="BE293" s="154" t="n"/>
      <c r="BF293" s="154" t="n"/>
      <c r="BG293" s="154" t="n"/>
      <c r="BH293" s="154" t="n"/>
    </row>
    <row r="294" ht="15.75" customHeight="1" s="251">
      <c r="A294" s="153" t="n"/>
      <c r="B294" s="154" t="n"/>
      <c r="C294" s="154" t="n"/>
      <c r="D294" s="154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  <c r="AA294" s="154" t="n"/>
      <c r="AB294" s="154" t="n"/>
      <c r="AC294" s="154" t="n"/>
      <c r="AD294" s="154" t="n"/>
      <c r="AE294" s="154" t="n"/>
      <c r="AF294" s="154" t="n"/>
      <c r="AG294" s="154" t="n"/>
      <c r="AH294" s="154" t="n"/>
      <c r="AI294" s="154" t="n"/>
      <c r="AJ294" s="154" t="n"/>
      <c r="AK294" s="154" t="n"/>
      <c r="AL294" s="154" t="n"/>
      <c r="AM294" s="154" t="n"/>
      <c r="AN294" s="154" t="n"/>
      <c r="AO294" s="154" t="n"/>
      <c r="AP294" s="154" t="n"/>
      <c r="AQ294" s="154" t="n"/>
      <c r="AR294" s="154" t="n"/>
      <c r="AS294" s="154" t="n"/>
      <c r="AT294" s="154" t="n"/>
      <c r="AU294" s="154" t="n"/>
      <c r="AV294" s="154" t="n"/>
      <c r="AW294" s="154" t="n"/>
      <c r="AX294" s="154" t="n"/>
      <c r="AY294" s="154" t="n"/>
      <c r="AZ294" s="154" t="n"/>
      <c r="BA294" s="154" t="n"/>
      <c r="BB294" s="154" t="n"/>
      <c r="BC294" s="154" t="n"/>
      <c r="BD294" s="154" t="n"/>
      <c r="BE294" s="154" t="n"/>
      <c r="BF294" s="154" t="n"/>
      <c r="BG294" s="154" t="n"/>
      <c r="BH294" s="154" t="n"/>
    </row>
    <row r="295" ht="15.75" customHeight="1" s="251">
      <c r="A295" s="153" t="n"/>
      <c r="B295" s="154" t="n"/>
      <c r="C295" s="154" t="n"/>
      <c r="D295" s="154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  <c r="AA295" s="154" t="n"/>
      <c r="AB295" s="154" t="n"/>
      <c r="AC295" s="154" t="n"/>
      <c r="AD295" s="154" t="n"/>
      <c r="AE295" s="154" t="n"/>
      <c r="AF295" s="154" t="n"/>
      <c r="AG295" s="154" t="n"/>
      <c r="AH295" s="154" t="n"/>
      <c r="AI295" s="154" t="n"/>
      <c r="AJ295" s="154" t="n"/>
      <c r="AK295" s="154" t="n"/>
      <c r="AL295" s="154" t="n"/>
      <c r="AM295" s="154" t="n"/>
      <c r="AN295" s="154" t="n"/>
      <c r="AO295" s="154" t="n"/>
      <c r="AP295" s="154" t="n"/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</row>
    <row r="296" ht="15.75" customHeight="1" s="251">
      <c r="A296" s="153" t="n"/>
      <c r="B296" s="154" t="n"/>
      <c r="C296" s="154" t="n"/>
      <c r="D296" s="154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  <c r="AA296" s="154" t="n"/>
      <c r="AB296" s="154" t="n"/>
      <c r="AC296" s="154" t="n"/>
      <c r="AD296" s="154" t="n"/>
      <c r="AE296" s="154" t="n"/>
      <c r="AF296" s="154" t="n"/>
      <c r="AG296" s="154" t="n"/>
      <c r="AH296" s="154" t="n"/>
      <c r="AI296" s="154" t="n"/>
      <c r="AJ296" s="154" t="n"/>
      <c r="AK296" s="154" t="n"/>
      <c r="AL296" s="154" t="n"/>
      <c r="AM296" s="154" t="n"/>
      <c r="AN296" s="154" t="n"/>
      <c r="AO296" s="154" t="n"/>
      <c r="AP296" s="154" t="n"/>
      <c r="AQ296" s="154" t="n"/>
      <c r="AR296" s="154" t="n"/>
      <c r="AS296" s="154" t="n"/>
      <c r="AT296" s="154" t="n"/>
      <c r="AU296" s="154" t="n"/>
      <c r="AV296" s="154" t="n"/>
      <c r="AW296" s="154" t="n"/>
      <c r="AX296" s="154" t="n"/>
      <c r="AY296" s="154" t="n"/>
      <c r="AZ296" s="154" t="n"/>
      <c r="BA296" s="154" t="n"/>
      <c r="BB296" s="154" t="n"/>
      <c r="BC296" s="154" t="n"/>
      <c r="BD296" s="154" t="n"/>
      <c r="BE296" s="154" t="n"/>
      <c r="BF296" s="154" t="n"/>
      <c r="BG296" s="154" t="n"/>
      <c r="BH296" s="154" t="n"/>
    </row>
    <row r="297" ht="15.75" customHeight="1" s="251">
      <c r="A297" s="153" t="n"/>
      <c r="B297" s="154" t="n"/>
      <c r="C297" s="154" t="n"/>
      <c r="D297" s="154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  <c r="AA297" s="154" t="n"/>
      <c r="AB297" s="154" t="n"/>
      <c r="AC297" s="154" t="n"/>
      <c r="AD297" s="154" t="n"/>
      <c r="AE297" s="154" t="n"/>
      <c r="AF297" s="154" t="n"/>
      <c r="AG297" s="154" t="n"/>
      <c r="AH297" s="154" t="n"/>
      <c r="AI297" s="154" t="n"/>
      <c r="AJ297" s="154" t="n"/>
      <c r="AK297" s="154" t="n"/>
      <c r="AL297" s="154" t="n"/>
      <c r="AM297" s="154" t="n"/>
      <c r="AN297" s="154" t="n"/>
      <c r="AO297" s="154" t="n"/>
      <c r="AP297" s="154" t="n"/>
      <c r="AQ297" s="154" t="n"/>
      <c r="AR297" s="154" t="n"/>
      <c r="AS297" s="154" t="n"/>
      <c r="AT297" s="154" t="n"/>
      <c r="AU297" s="154" t="n"/>
      <c r="AV297" s="154" t="n"/>
      <c r="AW297" s="154" t="n"/>
      <c r="AX297" s="154" t="n"/>
      <c r="AY297" s="154" t="n"/>
      <c r="AZ297" s="154" t="n"/>
      <c r="BA297" s="154" t="n"/>
      <c r="BB297" s="154" t="n"/>
      <c r="BC297" s="154" t="n"/>
      <c r="BD297" s="154" t="n"/>
      <c r="BE297" s="154" t="n"/>
      <c r="BF297" s="154" t="n"/>
      <c r="BG297" s="154" t="n"/>
      <c r="BH297" s="154" t="n"/>
    </row>
    <row r="298" ht="15.75" customHeight="1" s="251">
      <c r="A298" s="153" t="n"/>
      <c r="B298" s="154" t="n"/>
      <c r="C298" s="154" t="n"/>
      <c r="D298" s="154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  <c r="AA298" s="154" t="n"/>
      <c r="AB298" s="154" t="n"/>
      <c r="AC298" s="154" t="n"/>
      <c r="AD298" s="154" t="n"/>
      <c r="AE298" s="154" t="n"/>
      <c r="AF298" s="154" t="n"/>
      <c r="AG298" s="154" t="n"/>
      <c r="AH298" s="154" t="n"/>
      <c r="AI298" s="154" t="n"/>
      <c r="AJ298" s="154" t="n"/>
      <c r="AK298" s="154" t="n"/>
      <c r="AL298" s="154" t="n"/>
      <c r="AM298" s="154" t="n"/>
      <c r="AN298" s="154" t="n"/>
      <c r="AO298" s="154" t="n"/>
      <c r="AP298" s="154" t="n"/>
      <c r="AQ298" s="154" t="n"/>
      <c r="AR298" s="154" t="n"/>
      <c r="AS298" s="154" t="n"/>
      <c r="AT298" s="154" t="n"/>
      <c r="AU298" s="154" t="n"/>
      <c r="AV298" s="154" t="n"/>
      <c r="AW298" s="154" t="n"/>
      <c r="AX298" s="154" t="n"/>
      <c r="AY298" s="154" t="n"/>
      <c r="AZ298" s="154" t="n"/>
      <c r="BA298" s="154" t="n"/>
      <c r="BB298" s="154" t="n"/>
      <c r="BC298" s="154" t="n"/>
      <c r="BD298" s="154" t="n"/>
      <c r="BE298" s="154" t="n"/>
      <c r="BF298" s="154" t="n"/>
      <c r="BG298" s="154" t="n"/>
      <c r="BH298" s="154" t="n"/>
    </row>
    <row r="299" ht="15.75" customHeight="1" s="251">
      <c r="A299" s="153" t="n"/>
      <c r="B299" s="154" t="n"/>
      <c r="C299" s="154" t="n"/>
      <c r="D299" s="154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  <c r="AA299" s="154" t="n"/>
      <c r="AB299" s="154" t="n"/>
      <c r="AC299" s="154" t="n"/>
      <c r="AD299" s="154" t="n"/>
      <c r="AE299" s="154" t="n"/>
      <c r="AF299" s="154" t="n"/>
      <c r="AG299" s="154" t="n"/>
      <c r="AH299" s="154" t="n"/>
      <c r="AI299" s="154" t="n"/>
      <c r="AJ299" s="154" t="n"/>
      <c r="AK299" s="154" t="n"/>
      <c r="AL299" s="154" t="n"/>
      <c r="AM299" s="154" t="n"/>
      <c r="AN299" s="154" t="n"/>
      <c r="AO299" s="154" t="n"/>
      <c r="AP299" s="154" t="n"/>
      <c r="AQ299" s="154" t="n"/>
      <c r="AR299" s="154" t="n"/>
      <c r="AS299" s="154" t="n"/>
      <c r="AT299" s="154" t="n"/>
      <c r="AU299" s="154" t="n"/>
      <c r="AV299" s="154" t="n"/>
      <c r="AW299" s="154" t="n"/>
      <c r="AX299" s="154" t="n"/>
      <c r="AY299" s="154" t="n"/>
      <c r="AZ299" s="154" t="n"/>
      <c r="BA299" s="154" t="n"/>
      <c r="BB299" s="154" t="n"/>
      <c r="BC299" s="154" t="n"/>
      <c r="BD299" s="154" t="n"/>
      <c r="BE299" s="154" t="n"/>
      <c r="BF299" s="154" t="n"/>
      <c r="BG299" s="154" t="n"/>
      <c r="BH299" s="154" t="n"/>
    </row>
    <row r="300" ht="15.75" customHeight="1" s="251">
      <c r="A300" s="153" t="n"/>
      <c r="B300" s="154" t="n"/>
      <c r="C300" s="154" t="n"/>
      <c r="D300" s="154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  <c r="AA300" s="154" t="n"/>
      <c r="AB300" s="154" t="n"/>
      <c r="AC300" s="154" t="n"/>
      <c r="AD300" s="154" t="n"/>
      <c r="AE300" s="154" t="n"/>
      <c r="AF300" s="154" t="n"/>
      <c r="AG300" s="154" t="n"/>
      <c r="AH300" s="154" t="n"/>
      <c r="AI300" s="154" t="n"/>
      <c r="AJ300" s="154" t="n"/>
      <c r="AK300" s="154" t="n"/>
      <c r="AL300" s="154" t="n"/>
      <c r="AM300" s="154" t="n"/>
      <c r="AN300" s="154" t="n"/>
      <c r="AO300" s="154" t="n"/>
      <c r="AP300" s="154" t="n"/>
      <c r="AQ300" s="154" t="n"/>
      <c r="AR300" s="154" t="n"/>
      <c r="AS300" s="154" t="n"/>
      <c r="AT300" s="154" t="n"/>
      <c r="AU300" s="154" t="n"/>
      <c r="AV300" s="154" t="n"/>
      <c r="AW300" s="154" t="n"/>
      <c r="AX300" s="154" t="n"/>
      <c r="AY300" s="154" t="n"/>
      <c r="AZ300" s="154" t="n"/>
      <c r="BA300" s="154" t="n"/>
      <c r="BB300" s="154" t="n"/>
      <c r="BC300" s="154" t="n"/>
      <c r="BD300" s="154" t="n"/>
      <c r="BE300" s="154" t="n"/>
      <c r="BF300" s="154" t="n"/>
      <c r="BG300" s="154" t="n"/>
      <c r="BH300" s="154" t="n"/>
    </row>
    <row r="301" ht="15.75" customHeight="1" s="251">
      <c r="A301" s="153" t="n"/>
      <c r="B301" s="154" t="n"/>
      <c r="C301" s="154" t="n"/>
      <c r="D301" s="154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  <c r="AA301" s="154" t="n"/>
      <c r="AB301" s="154" t="n"/>
      <c r="AC301" s="154" t="n"/>
      <c r="AD301" s="154" t="n"/>
      <c r="AE301" s="154" t="n"/>
      <c r="AF301" s="154" t="n"/>
      <c r="AG301" s="154" t="n"/>
      <c r="AH301" s="154" t="n"/>
      <c r="AI301" s="154" t="n"/>
      <c r="AJ301" s="154" t="n"/>
      <c r="AK301" s="154" t="n"/>
      <c r="AL301" s="154" t="n"/>
      <c r="AM301" s="154" t="n"/>
      <c r="AN301" s="154" t="n"/>
      <c r="AO301" s="154" t="n"/>
      <c r="AP301" s="154" t="n"/>
      <c r="AQ301" s="154" t="n"/>
      <c r="AR301" s="154" t="n"/>
      <c r="AS301" s="154" t="n"/>
      <c r="AT301" s="154" t="n"/>
      <c r="AU301" s="154" t="n"/>
      <c r="AV301" s="154" t="n"/>
      <c r="AW301" s="154" t="n"/>
      <c r="AX301" s="154" t="n"/>
      <c r="AY301" s="154" t="n"/>
      <c r="AZ301" s="154" t="n"/>
      <c r="BA301" s="154" t="n"/>
      <c r="BB301" s="154" t="n"/>
      <c r="BC301" s="154" t="n"/>
      <c r="BD301" s="154" t="n"/>
      <c r="BE301" s="154" t="n"/>
      <c r="BF301" s="154" t="n"/>
      <c r="BG301" s="154" t="n"/>
      <c r="BH301" s="154" t="n"/>
    </row>
    <row r="302" ht="15.75" customHeight="1" s="251">
      <c r="A302" s="153" t="n"/>
      <c r="B302" s="154" t="n"/>
      <c r="C302" s="154" t="n"/>
      <c r="D302" s="154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  <c r="AA302" s="154" t="n"/>
      <c r="AB302" s="154" t="n"/>
      <c r="AC302" s="154" t="n"/>
      <c r="AD302" s="154" t="n"/>
      <c r="AE302" s="154" t="n"/>
      <c r="AF302" s="154" t="n"/>
      <c r="AG302" s="154" t="n"/>
      <c r="AH302" s="154" t="n"/>
      <c r="AI302" s="154" t="n"/>
      <c r="AJ302" s="154" t="n"/>
      <c r="AK302" s="154" t="n"/>
      <c r="AL302" s="154" t="n"/>
      <c r="AM302" s="154" t="n"/>
      <c r="AN302" s="154" t="n"/>
      <c r="AO302" s="154" t="n"/>
      <c r="AP302" s="154" t="n"/>
      <c r="AQ302" s="154" t="n"/>
      <c r="AR302" s="154" t="n"/>
      <c r="AS302" s="154" t="n"/>
      <c r="AT302" s="154" t="n"/>
      <c r="AU302" s="154" t="n"/>
      <c r="AV302" s="154" t="n"/>
      <c r="AW302" s="154" t="n"/>
      <c r="AX302" s="154" t="n"/>
      <c r="AY302" s="154" t="n"/>
      <c r="AZ302" s="154" t="n"/>
      <c r="BA302" s="154" t="n"/>
      <c r="BB302" s="154" t="n"/>
      <c r="BC302" s="154" t="n"/>
      <c r="BD302" s="154" t="n"/>
      <c r="BE302" s="154" t="n"/>
      <c r="BF302" s="154" t="n"/>
      <c r="BG302" s="154" t="n"/>
      <c r="BH302" s="154" t="n"/>
    </row>
    <row r="303" ht="15.75" customHeight="1" s="251">
      <c r="A303" s="153" t="n"/>
      <c r="B303" s="154" t="n"/>
      <c r="C303" s="154" t="n"/>
      <c r="D303" s="154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  <c r="AA303" s="154" t="n"/>
      <c r="AB303" s="154" t="n"/>
      <c r="AC303" s="154" t="n"/>
      <c r="AD303" s="154" t="n"/>
      <c r="AE303" s="154" t="n"/>
      <c r="AF303" s="154" t="n"/>
      <c r="AG303" s="154" t="n"/>
      <c r="AH303" s="154" t="n"/>
      <c r="AI303" s="154" t="n"/>
      <c r="AJ303" s="154" t="n"/>
      <c r="AK303" s="154" t="n"/>
      <c r="AL303" s="154" t="n"/>
      <c r="AM303" s="154" t="n"/>
      <c r="AN303" s="154" t="n"/>
      <c r="AO303" s="154" t="n"/>
      <c r="AP303" s="154" t="n"/>
      <c r="AQ303" s="154" t="n"/>
      <c r="AR303" s="154" t="n"/>
      <c r="AS303" s="154" t="n"/>
      <c r="AT303" s="154" t="n"/>
      <c r="AU303" s="154" t="n"/>
      <c r="AV303" s="154" t="n"/>
      <c r="AW303" s="154" t="n"/>
      <c r="AX303" s="154" t="n"/>
      <c r="AY303" s="154" t="n"/>
      <c r="AZ303" s="154" t="n"/>
      <c r="BA303" s="154" t="n"/>
      <c r="BB303" s="154" t="n"/>
      <c r="BC303" s="154" t="n"/>
      <c r="BD303" s="154" t="n"/>
      <c r="BE303" s="154" t="n"/>
      <c r="BF303" s="154" t="n"/>
      <c r="BG303" s="154" t="n"/>
      <c r="BH303" s="154" t="n"/>
    </row>
    <row r="304" ht="15.75" customHeight="1" s="251">
      <c r="A304" s="153" t="n"/>
      <c r="B304" s="154" t="n"/>
      <c r="C304" s="154" t="n"/>
      <c r="D304" s="154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  <c r="AA304" s="154" t="n"/>
      <c r="AB304" s="154" t="n"/>
      <c r="AC304" s="154" t="n"/>
      <c r="AD304" s="154" t="n"/>
      <c r="AE304" s="154" t="n"/>
      <c r="AF304" s="154" t="n"/>
      <c r="AG304" s="154" t="n"/>
      <c r="AH304" s="154" t="n"/>
      <c r="AI304" s="154" t="n"/>
      <c r="AJ304" s="154" t="n"/>
      <c r="AK304" s="154" t="n"/>
      <c r="AL304" s="154" t="n"/>
      <c r="AM304" s="154" t="n"/>
      <c r="AN304" s="154" t="n"/>
      <c r="AO304" s="154" t="n"/>
      <c r="AP304" s="154" t="n"/>
      <c r="AQ304" s="154" t="n"/>
      <c r="AR304" s="154" t="n"/>
      <c r="AS304" s="154" t="n"/>
      <c r="AT304" s="154" t="n"/>
      <c r="AU304" s="154" t="n"/>
      <c r="AV304" s="154" t="n"/>
      <c r="AW304" s="154" t="n"/>
      <c r="AX304" s="154" t="n"/>
      <c r="AY304" s="154" t="n"/>
      <c r="AZ304" s="154" t="n"/>
      <c r="BA304" s="154" t="n"/>
      <c r="BB304" s="154" t="n"/>
      <c r="BC304" s="154" t="n"/>
      <c r="BD304" s="154" t="n"/>
      <c r="BE304" s="154" t="n"/>
      <c r="BF304" s="154" t="n"/>
      <c r="BG304" s="154" t="n"/>
      <c r="BH304" s="154" t="n"/>
    </row>
    <row r="305" ht="15.75" customHeight="1" s="251">
      <c r="A305" s="153" t="n"/>
      <c r="B305" s="154" t="n"/>
      <c r="C305" s="154" t="n"/>
      <c r="D305" s="154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  <c r="AA305" s="154" t="n"/>
      <c r="AB305" s="154" t="n"/>
      <c r="AC305" s="154" t="n"/>
      <c r="AD305" s="154" t="n"/>
      <c r="AE305" s="154" t="n"/>
      <c r="AF305" s="154" t="n"/>
      <c r="AG305" s="154" t="n"/>
      <c r="AH305" s="154" t="n"/>
      <c r="AI305" s="154" t="n"/>
      <c r="AJ305" s="154" t="n"/>
      <c r="AK305" s="154" t="n"/>
      <c r="AL305" s="154" t="n"/>
      <c r="AM305" s="154" t="n"/>
      <c r="AN305" s="154" t="n"/>
      <c r="AO305" s="154" t="n"/>
      <c r="AP305" s="154" t="n"/>
      <c r="AQ305" s="154" t="n"/>
      <c r="AR305" s="154" t="n"/>
      <c r="AS305" s="154" t="n"/>
      <c r="AT305" s="154" t="n"/>
      <c r="AU305" s="154" t="n"/>
      <c r="AV305" s="154" t="n"/>
      <c r="AW305" s="154" t="n"/>
      <c r="AX305" s="154" t="n"/>
      <c r="AY305" s="154" t="n"/>
      <c r="AZ305" s="154" t="n"/>
      <c r="BA305" s="154" t="n"/>
      <c r="BB305" s="154" t="n"/>
      <c r="BC305" s="154" t="n"/>
      <c r="BD305" s="154" t="n"/>
      <c r="BE305" s="154" t="n"/>
      <c r="BF305" s="154" t="n"/>
      <c r="BG305" s="154" t="n"/>
      <c r="BH305" s="154" t="n"/>
    </row>
    <row r="306" ht="15.75" customHeight="1" s="251">
      <c r="A306" s="153" t="n"/>
      <c r="B306" s="154" t="n"/>
      <c r="C306" s="154" t="n"/>
      <c r="D306" s="154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  <c r="AA306" s="154" t="n"/>
      <c r="AB306" s="154" t="n"/>
      <c r="AC306" s="154" t="n"/>
      <c r="AD306" s="154" t="n"/>
      <c r="AE306" s="154" t="n"/>
      <c r="AF306" s="154" t="n"/>
      <c r="AG306" s="154" t="n"/>
      <c r="AH306" s="154" t="n"/>
      <c r="AI306" s="154" t="n"/>
      <c r="AJ306" s="154" t="n"/>
      <c r="AK306" s="154" t="n"/>
      <c r="AL306" s="154" t="n"/>
      <c r="AM306" s="154" t="n"/>
      <c r="AN306" s="154" t="n"/>
      <c r="AO306" s="154" t="n"/>
      <c r="AP306" s="154" t="n"/>
      <c r="AQ306" s="154" t="n"/>
      <c r="AR306" s="154" t="n"/>
      <c r="AS306" s="154" t="n"/>
      <c r="AT306" s="154" t="n"/>
      <c r="AU306" s="154" t="n"/>
      <c r="AV306" s="154" t="n"/>
      <c r="AW306" s="154" t="n"/>
      <c r="AX306" s="154" t="n"/>
      <c r="AY306" s="154" t="n"/>
      <c r="AZ306" s="154" t="n"/>
      <c r="BA306" s="154" t="n"/>
      <c r="BB306" s="154" t="n"/>
      <c r="BC306" s="154" t="n"/>
      <c r="BD306" s="154" t="n"/>
      <c r="BE306" s="154" t="n"/>
      <c r="BF306" s="154" t="n"/>
      <c r="BG306" s="154" t="n"/>
      <c r="BH306" s="154" t="n"/>
    </row>
    <row r="307" ht="15.75" customHeight="1" s="251">
      <c r="A307" s="153" t="n"/>
      <c r="B307" s="154" t="n"/>
      <c r="C307" s="154" t="n"/>
      <c r="D307" s="154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  <c r="AA307" s="154" t="n"/>
      <c r="AB307" s="154" t="n"/>
      <c r="AC307" s="154" t="n"/>
      <c r="AD307" s="154" t="n"/>
      <c r="AE307" s="154" t="n"/>
      <c r="AF307" s="154" t="n"/>
      <c r="AG307" s="154" t="n"/>
      <c r="AH307" s="154" t="n"/>
      <c r="AI307" s="154" t="n"/>
      <c r="AJ307" s="154" t="n"/>
      <c r="AK307" s="154" t="n"/>
      <c r="AL307" s="154" t="n"/>
      <c r="AM307" s="154" t="n"/>
      <c r="AN307" s="154" t="n"/>
      <c r="AO307" s="154" t="n"/>
      <c r="AP307" s="154" t="n"/>
      <c r="AQ307" s="154" t="n"/>
      <c r="AR307" s="154" t="n"/>
      <c r="AS307" s="154" t="n"/>
      <c r="AT307" s="154" t="n"/>
      <c r="AU307" s="154" t="n"/>
      <c r="AV307" s="154" t="n"/>
      <c r="AW307" s="154" t="n"/>
      <c r="AX307" s="154" t="n"/>
      <c r="AY307" s="154" t="n"/>
      <c r="AZ307" s="154" t="n"/>
      <c r="BA307" s="154" t="n"/>
      <c r="BB307" s="154" t="n"/>
      <c r="BC307" s="154" t="n"/>
      <c r="BD307" s="154" t="n"/>
      <c r="BE307" s="154" t="n"/>
      <c r="BF307" s="154" t="n"/>
      <c r="BG307" s="154" t="n"/>
      <c r="BH307" s="154" t="n"/>
    </row>
    <row r="308" ht="15.75" customHeight="1" s="251">
      <c r="A308" s="153" t="n"/>
      <c r="B308" s="154" t="n"/>
      <c r="C308" s="154" t="n"/>
      <c r="D308" s="154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  <c r="AA308" s="154" t="n"/>
      <c r="AB308" s="154" t="n"/>
      <c r="AC308" s="154" t="n"/>
      <c r="AD308" s="154" t="n"/>
      <c r="AE308" s="154" t="n"/>
      <c r="AF308" s="154" t="n"/>
      <c r="AG308" s="154" t="n"/>
      <c r="AH308" s="154" t="n"/>
      <c r="AI308" s="154" t="n"/>
      <c r="AJ308" s="154" t="n"/>
      <c r="AK308" s="154" t="n"/>
      <c r="AL308" s="154" t="n"/>
      <c r="AM308" s="154" t="n"/>
      <c r="AN308" s="154" t="n"/>
      <c r="AO308" s="154" t="n"/>
      <c r="AP308" s="154" t="n"/>
      <c r="AQ308" s="154" t="n"/>
      <c r="AR308" s="154" t="n"/>
      <c r="AS308" s="154" t="n"/>
      <c r="AT308" s="154" t="n"/>
      <c r="AU308" s="154" t="n"/>
      <c r="AV308" s="154" t="n"/>
      <c r="AW308" s="154" t="n"/>
      <c r="AX308" s="154" t="n"/>
      <c r="AY308" s="154" t="n"/>
      <c r="AZ308" s="154" t="n"/>
      <c r="BA308" s="154" t="n"/>
      <c r="BB308" s="154" t="n"/>
      <c r="BC308" s="154" t="n"/>
      <c r="BD308" s="154" t="n"/>
      <c r="BE308" s="154" t="n"/>
      <c r="BF308" s="154" t="n"/>
      <c r="BG308" s="154" t="n"/>
      <c r="BH308" s="154" t="n"/>
    </row>
    <row r="309" ht="15.75" customHeight="1" s="251">
      <c r="A309" s="153" t="n"/>
      <c r="B309" s="154" t="n"/>
      <c r="C309" s="154" t="n"/>
      <c r="D309" s="154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  <c r="AA309" s="154" t="n"/>
      <c r="AB309" s="154" t="n"/>
      <c r="AC309" s="154" t="n"/>
      <c r="AD309" s="154" t="n"/>
      <c r="AE309" s="154" t="n"/>
      <c r="AF309" s="154" t="n"/>
      <c r="AG309" s="154" t="n"/>
      <c r="AH309" s="154" t="n"/>
      <c r="AI309" s="154" t="n"/>
      <c r="AJ309" s="154" t="n"/>
      <c r="AK309" s="154" t="n"/>
      <c r="AL309" s="154" t="n"/>
      <c r="AM309" s="154" t="n"/>
      <c r="AN309" s="154" t="n"/>
      <c r="AO309" s="154" t="n"/>
      <c r="AP309" s="154" t="n"/>
      <c r="AQ309" s="154" t="n"/>
      <c r="AR309" s="154" t="n"/>
      <c r="AS309" s="154" t="n"/>
      <c r="AT309" s="154" t="n"/>
      <c r="AU309" s="154" t="n"/>
      <c r="AV309" s="154" t="n"/>
      <c r="AW309" s="154" t="n"/>
      <c r="AX309" s="154" t="n"/>
      <c r="AY309" s="154" t="n"/>
      <c r="AZ309" s="154" t="n"/>
      <c r="BA309" s="154" t="n"/>
      <c r="BB309" s="154" t="n"/>
      <c r="BC309" s="154" t="n"/>
      <c r="BD309" s="154" t="n"/>
      <c r="BE309" s="154" t="n"/>
      <c r="BF309" s="154" t="n"/>
      <c r="BG309" s="154" t="n"/>
      <c r="BH309" s="154" t="n"/>
    </row>
    <row r="310" ht="15.75" customHeight="1" s="251">
      <c r="A310" s="153" t="n"/>
      <c r="B310" s="154" t="n"/>
      <c r="C310" s="154" t="n"/>
      <c r="D310" s="154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  <c r="AA310" s="154" t="n"/>
      <c r="AB310" s="154" t="n"/>
      <c r="AC310" s="154" t="n"/>
      <c r="AD310" s="154" t="n"/>
      <c r="AE310" s="154" t="n"/>
      <c r="AF310" s="154" t="n"/>
      <c r="AG310" s="154" t="n"/>
      <c r="AH310" s="154" t="n"/>
      <c r="AI310" s="154" t="n"/>
      <c r="AJ310" s="154" t="n"/>
      <c r="AK310" s="154" t="n"/>
      <c r="AL310" s="154" t="n"/>
      <c r="AM310" s="154" t="n"/>
      <c r="AN310" s="154" t="n"/>
      <c r="AO310" s="154" t="n"/>
      <c r="AP310" s="154" t="n"/>
      <c r="AQ310" s="154" t="n"/>
      <c r="AR310" s="154" t="n"/>
      <c r="AS310" s="154" t="n"/>
      <c r="AT310" s="154" t="n"/>
      <c r="AU310" s="154" t="n"/>
      <c r="AV310" s="154" t="n"/>
      <c r="AW310" s="154" t="n"/>
      <c r="AX310" s="154" t="n"/>
      <c r="AY310" s="154" t="n"/>
      <c r="AZ310" s="154" t="n"/>
      <c r="BA310" s="154" t="n"/>
      <c r="BB310" s="154" t="n"/>
      <c r="BC310" s="154" t="n"/>
      <c r="BD310" s="154" t="n"/>
      <c r="BE310" s="154" t="n"/>
      <c r="BF310" s="154" t="n"/>
      <c r="BG310" s="154" t="n"/>
      <c r="BH310" s="154" t="n"/>
    </row>
    <row r="311" ht="15.75" customHeight="1" s="251">
      <c r="A311" s="153" t="n"/>
      <c r="B311" s="154" t="n"/>
      <c r="C311" s="154" t="n"/>
      <c r="D311" s="154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  <c r="AA311" s="154" t="n"/>
      <c r="AB311" s="154" t="n"/>
      <c r="AC311" s="154" t="n"/>
      <c r="AD311" s="154" t="n"/>
      <c r="AE311" s="154" t="n"/>
      <c r="AF311" s="154" t="n"/>
      <c r="AG311" s="154" t="n"/>
      <c r="AH311" s="154" t="n"/>
      <c r="AI311" s="154" t="n"/>
      <c r="AJ311" s="154" t="n"/>
      <c r="AK311" s="154" t="n"/>
      <c r="AL311" s="154" t="n"/>
      <c r="AM311" s="154" t="n"/>
      <c r="AN311" s="154" t="n"/>
      <c r="AO311" s="154" t="n"/>
      <c r="AP311" s="154" t="n"/>
      <c r="AQ311" s="154" t="n"/>
      <c r="AR311" s="154" t="n"/>
      <c r="AS311" s="154" t="n"/>
      <c r="AT311" s="154" t="n"/>
      <c r="AU311" s="154" t="n"/>
      <c r="AV311" s="154" t="n"/>
      <c r="AW311" s="154" t="n"/>
      <c r="AX311" s="154" t="n"/>
      <c r="AY311" s="154" t="n"/>
      <c r="AZ311" s="154" t="n"/>
      <c r="BA311" s="154" t="n"/>
      <c r="BB311" s="154" t="n"/>
      <c r="BC311" s="154" t="n"/>
      <c r="BD311" s="154" t="n"/>
      <c r="BE311" s="154" t="n"/>
      <c r="BF311" s="154" t="n"/>
      <c r="BG311" s="154" t="n"/>
      <c r="BH311" s="154" t="n"/>
    </row>
    <row r="312" ht="15.75" customHeight="1" s="251">
      <c r="A312" s="153" t="n"/>
      <c r="B312" s="154" t="n"/>
      <c r="C312" s="154" t="n"/>
      <c r="D312" s="154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  <c r="AA312" s="154" t="n"/>
      <c r="AB312" s="154" t="n"/>
      <c r="AC312" s="154" t="n"/>
      <c r="AD312" s="154" t="n"/>
      <c r="AE312" s="154" t="n"/>
      <c r="AF312" s="154" t="n"/>
      <c r="AG312" s="154" t="n"/>
      <c r="AH312" s="154" t="n"/>
      <c r="AI312" s="154" t="n"/>
      <c r="AJ312" s="154" t="n"/>
      <c r="AK312" s="154" t="n"/>
      <c r="AL312" s="154" t="n"/>
      <c r="AM312" s="154" t="n"/>
      <c r="AN312" s="154" t="n"/>
      <c r="AO312" s="154" t="n"/>
      <c r="AP312" s="154" t="n"/>
      <c r="AQ312" s="154" t="n"/>
      <c r="AR312" s="154" t="n"/>
      <c r="AS312" s="154" t="n"/>
      <c r="AT312" s="154" t="n"/>
      <c r="AU312" s="154" t="n"/>
      <c r="AV312" s="154" t="n"/>
      <c r="AW312" s="154" t="n"/>
      <c r="AX312" s="154" t="n"/>
      <c r="AY312" s="154" t="n"/>
      <c r="AZ312" s="154" t="n"/>
      <c r="BA312" s="154" t="n"/>
      <c r="BB312" s="154" t="n"/>
      <c r="BC312" s="154" t="n"/>
      <c r="BD312" s="154" t="n"/>
      <c r="BE312" s="154" t="n"/>
      <c r="BF312" s="154" t="n"/>
      <c r="BG312" s="154" t="n"/>
      <c r="BH312" s="154" t="n"/>
    </row>
    <row r="313" ht="15.75" customHeight="1" s="251">
      <c r="A313" s="153" t="n"/>
      <c r="B313" s="154" t="n"/>
      <c r="C313" s="154" t="n"/>
      <c r="D313" s="154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  <c r="AA313" s="154" t="n"/>
      <c r="AB313" s="154" t="n"/>
      <c r="AC313" s="154" t="n"/>
      <c r="AD313" s="154" t="n"/>
      <c r="AE313" s="154" t="n"/>
      <c r="AF313" s="154" t="n"/>
      <c r="AG313" s="154" t="n"/>
      <c r="AH313" s="154" t="n"/>
      <c r="AI313" s="154" t="n"/>
      <c r="AJ313" s="154" t="n"/>
      <c r="AK313" s="154" t="n"/>
      <c r="AL313" s="154" t="n"/>
      <c r="AM313" s="154" t="n"/>
      <c r="AN313" s="154" t="n"/>
      <c r="AO313" s="154" t="n"/>
      <c r="AP313" s="154" t="n"/>
      <c r="AQ313" s="154" t="n"/>
      <c r="AR313" s="154" t="n"/>
      <c r="AS313" s="154" t="n"/>
      <c r="AT313" s="154" t="n"/>
      <c r="AU313" s="154" t="n"/>
      <c r="AV313" s="154" t="n"/>
      <c r="AW313" s="154" t="n"/>
      <c r="AX313" s="154" t="n"/>
      <c r="AY313" s="154" t="n"/>
      <c r="AZ313" s="154" t="n"/>
      <c r="BA313" s="154" t="n"/>
      <c r="BB313" s="154" t="n"/>
      <c r="BC313" s="154" t="n"/>
      <c r="BD313" s="154" t="n"/>
      <c r="BE313" s="154" t="n"/>
      <c r="BF313" s="154" t="n"/>
      <c r="BG313" s="154" t="n"/>
      <c r="BH313" s="154" t="n"/>
    </row>
    <row r="314" ht="15.75" customHeight="1" s="251">
      <c r="A314" s="153" t="n"/>
      <c r="B314" s="154" t="n"/>
      <c r="C314" s="154" t="n"/>
      <c r="D314" s="154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  <c r="AA314" s="154" t="n"/>
      <c r="AB314" s="154" t="n"/>
      <c r="AC314" s="154" t="n"/>
      <c r="AD314" s="154" t="n"/>
      <c r="AE314" s="154" t="n"/>
      <c r="AF314" s="154" t="n"/>
      <c r="AG314" s="154" t="n"/>
      <c r="AH314" s="154" t="n"/>
      <c r="AI314" s="154" t="n"/>
      <c r="AJ314" s="154" t="n"/>
      <c r="AK314" s="154" t="n"/>
      <c r="AL314" s="154" t="n"/>
      <c r="AM314" s="154" t="n"/>
      <c r="AN314" s="154" t="n"/>
      <c r="AO314" s="154" t="n"/>
      <c r="AP314" s="154" t="n"/>
      <c r="AQ314" s="154" t="n"/>
      <c r="AR314" s="154" t="n"/>
      <c r="AS314" s="154" t="n"/>
      <c r="AT314" s="154" t="n"/>
      <c r="AU314" s="154" t="n"/>
      <c r="AV314" s="154" t="n"/>
      <c r="AW314" s="154" t="n"/>
      <c r="AX314" s="154" t="n"/>
      <c r="AY314" s="154" t="n"/>
      <c r="AZ314" s="154" t="n"/>
      <c r="BA314" s="154" t="n"/>
      <c r="BB314" s="154" t="n"/>
      <c r="BC314" s="154" t="n"/>
      <c r="BD314" s="154" t="n"/>
      <c r="BE314" s="154" t="n"/>
      <c r="BF314" s="154" t="n"/>
      <c r="BG314" s="154" t="n"/>
      <c r="BH314" s="154" t="n"/>
    </row>
    <row r="315" ht="15.75" customHeight="1" s="251">
      <c r="A315" s="153" t="n"/>
      <c r="B315" s="154" t="n"/>
      <c r="C315" s="154" t="n"/>
      <c r="D315" s="154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  <c r="AA315" s="154" t="n"/>
      <c r="AB315" s="154" t="n"/>
      <c r="AC315" s="154" t="n"/>
      <c r="AD315" s="154" t="n"/>
      <c r="AE315" s="154" t="n"/>
      <c r="AF315" s="154" t="n"/>
      <c r="AG315" s="154" t="n"/>
      <c r="AH315" s="154" t="n"/>
      <c r="AI315" s="154" t="n"/>
      <c r="AJ315" s="154" t="n"/>
      <c r="AK315" s="154" t="n"/>
      <c r="AL315" s="154" t="n"/>
      <c r="AM315" s="154" t="n"/>
      <c r="AN315" s="154" t="n"/>
      <c r="AO315" s="154" t="n"/>
      <c r="AP315" s="154" t="n"/>
      <c r="AQ315" s="154" t="n"/>
      <c r="AR315" s="154" t="n"/>
      <c r="AS315" s="154" t="n"/>
      <c r="AT315" s="154" t="n"/>
      <c r="AU315" s="154" t="n"/>
      <c r="AV315" s="154" t="n"/>
      <c r="AW315" s="154" t="n"/>
      <c r="AX315" s="154" t="n"/>
      <c r="AY315" s="154" t="n"/>
      <c r="AZ315" s="154" t="n"/>
      <c r="BA315" s="154" t="n"/>
      <c r="BB315" s="154" t="n"/>
      <c r="BC315" s="154" t="n"/>
      <c r="BD315" s="154" t="n"/>
      <c r="BE315" s="154" t="n"/>
      <c r="BF315" s="154" t="n"/>
      <c r="BG315" s="154" t="n"/>
      <c r="BH315" s="154" t="n"/>
    </row>
    <row r="316" ht="15.75" customHeight="1" s="251">
      <c r="A316" s="153" t="n"/>
      <c r="B316" s="154" t="n"/>
      <c r="C316" s="154" t="n"/>
      <c r="D316" s="154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  <c r="AA316" s="154" t="n"/>
      <c r="AB316" s="154" t="n"/>
      <c r="AC316" s="154" t="n"/>
      <c r="AD316" s="154" t="n"/>
      <c r="AE316" s="154" t="n"/>
      <c r="AF316" s="154" t="n"/>
      <c r="AG316" s="154" t="n"/>
      <c r="AH316" s="154" t="n"/>
      <c r="AI316" s="154" t="n"/>
      <c r="AJ316" s="154" t="n"/>
      <c r="AK316" s="154" t="n"/>
      <c r="AL316" s="154" t="n"/>
      <c r="AM316" s="154" t="n"/>
      <c r="AN316" s="154" t="n"/>
      <c r="AO316" s="154" t="n"/>
      <c r="AP316" s="154" t="n"/>
      <c r="AQ316" s="154" t="n"/>
      <c r="AR316" s="154" t="n"/>
      <c r="AS316" s="154" t="n"/>
      <c r="AT316" s="154" t="n"/>
      <c r="AU316" s="154" t="n"/>
      <c r="AV316" s="154" t="n"/>
      <c r="AW316" s="154" t="n"/>
      <c r="AX316" s="154" t="n"/>
      <c r="AY316" s="154" t="n"/>
      <c r="AZ316" s="154" t="n"/>
      <c r="BA316" s="154" t="n"/>
      <c r="BB316" s="154" t="n"/>
      <c r="BC316" s="154" t="n"/>
      <c r="BD316" s="154" t="n"/>
      <c r="BE316" s="154" t="n"/>
      <c r="BF316" s="154" t="n"/>
      <c r="BG316" s="154" t="n"/>
      <c r="BH316" s="154" t="n"/>
    </row>
    <row r="317" ht="15.75" customHeight="1" s="251">
      <c r="A317" s="153" t="n"/>
      <c r="B317" s="154" t="n"/>
      <c r="C317" s="154" t="n"/>
      <c r="D317" s="154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  <c r="AA317" s="154" t="n"/>
      <c r="AB317" s="154" t="n"/>
      <c r="AC317" s="154" t="n"/>
      <c r="AD317" s="154" t="n"/>
      <c r="AE317" s="154" t="n"/>
      <c r="AF317" s="154" t="n"/>
      <c r="AG317" s="154" t="n"/>
      <c r="AH317" s="154" t="n"/>
      <c r="AI317" s="154" t="n"/>
      <c r="AJ317" s="154" t="n"/>
      <c r="AK317" s="154" t="n"/>
      <c r="AL317" s="154" t="n"/>
      <c r="AM317" s="154" t="n"/>
      <c r="AN317" s="154" t="n"/>
      <c r="AO317" s="154" t="n"/>
      <c r="AP317" s="154" t="n"/>
      <c r="AQ317" s="154" t="n"/>
      <c r="AR317" s="154" t="n"/>
      <c r="AS317" s="154" t="n"/>
      <c r="AT317" s="154" t="n"/>
      <c r="AU317" s="154" t="n"/>
      <c r="AV317" s="154" t="n"/>
      <c r="AW317" s="154" t="n"/>
      <c r="AX317" s="154" t="n"/>
      <c r="AY317" s="154" t="n"/>
      <c r="AZ317" s="154" t="n"/>
      <c r="BA317" s="154" t="n"/>
      <c r="BB317" s="154" t="n"/>
      <c r="BC317" s="154" t="n"/>
      <c r="BD317" s="154" t="n"/>
      <c r="BE317" s="154" t="n"/>
      <c r="BF317" s="154" t="n"/>
      <c r="BG317" s="154" t="n"/>
      <c r="BH317" s="154" t="n"/>
    </row>
    <row r="318" ht="15.75" customHeight="1" s="251">
      <c r="A318" s="153" t="n"/>
      <c r="B318" s="154" t="n"/>
      <c r="C318" s="154" t="n"/>
      <c r="D318" s="154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  <c r="AA318" s="154" t="n"/>
      <c r="AB318" s="154" t="n"/>
      <c r="AC318" s="154" t="n"/>
      <c r="AD318" s="154" t="n"/>
      <c r="AE318" s="154" t="n"/>
      <c r="AF318" s="154" t="n"/>
      <c r="AG318" s="154" t="n"/>
      <c r="AH318" s="154" t="n"/>
      <c r="AI318" s="154" t="n"/>
      <c r="AJ318" s="154" t="n"/>
      <c r="AK318" s="154" t="n"/>
      <c r="AL318" s="154" t="n"/>
      <c r="AM318" s="154" t="n"/>
      <c r="AN318" s="154" t="n"/>
      <c r="AO318" s="154" t="n"/>
      <c r="AP318" s="154" t="n"/>
      <c r="AQ318" s="154" t="n"/>
      <c r="AR318" s="154" t="n"/>
      <c r="AS318" s="154" t="n"/>
      <c r="AT318" s="154" t="n"/>
      <c r="AU318" s="154" t="n"/>
      <c r="AV318" s="154" t="n"/>
      <c r="AW318" s="154" t="n"/>
      <c r="AX318" s="154" t="n"/>
      <c r="AY318" s="154" t="n"/>
      <c r="AZ318" s="154" t="n"/>
      <c r="BA318" s="154" t="n"/>
      <c r="BB318" s="154" t="n"/>
      <c r="BC318" s="154" t="n"/>
      <c r="BD318" s="154" t="n"/>
      <c r="BE318" s="154" t="n"/>
      <c r="BF318" s="154" t="n"/>
      <c r="BG318" s="154" t="n"/>
      <c r="BH318" s="154" t="n"/>
    </row>
    <row r="319" ht="15.75" customHeight="1" s="251">
      <c r="A319" s="153" t="n"/>
      <c r="B319" s="154" t="n"/>
      <c r="C319" s="154" t="n"/>
      <c r="D319" s="154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  <c r="AA319" s="154" t="n"/>
      <c r="AB319" s="154" t="n"/>
      <c r="AC319" s="154" t="n"/>
      <c r="AD319" s="154" t="n"/>
      <c r="AE319" s="154" t="n"/>
      <c r="AF319" s="154" t="n"/>
      <c r="AG319" s="154" t="n"/>
      <c r="AH319" s="154" t="n"/>
      <c r="AI319" s="154" t="n"/>
      <c r="AJ319" s="154" t="n"/>
      <c r="AK319" s="154" t="n"/>
      <c r="AL319" s="154" t="n"/>
      <c r="AM319" s="154" t="n"/>
      <c r="AN319" s="154" t="n"/>
      <c r="AO319" s="154" t="n"/>
      <c r="AP319" s="154" t="n"/>
      <c r="AQ319" s="154" t="n"/>
      <c r="AR319" s="154" t="n"/>
      <c r="AS319" s="154" t="n"/>
      <c r="AT319" s="154" t="n"/>
      <c r="AU319" s="154" t="n"/>
      <c r="AV319" s="154" t="n"/>
      <c r="AW319" s="154" t="n"/>
      <c r="AX319" s="154" t="n"/>
      <c r="AY319" s="154" t="n"/>
      <c r="AZ319" s="154" t="n"/>
      <c r="BA319" s="154" t="n"/>
      <c r="BB319" s="154" t="n"/>
      <c r="BC319" s="154" t="n"/>
      <c r="BD319" s="154" t="n"/>
      <c r="BE319" s="154" t="n"/>
      <c r="BF319" s="154" t="n"/>
      <c r="BG319" s="154" t="n"/>
      <c r="BH319" s="154" t="n"/>
    </row>
    <row r="320" ht="15.75" customHeight="1" s="251">
      <c r="A320" s="153" t="n"/>
      <c r="B320" s="154" t="n"/>
      <c r="C320" s="154" t="n"/>
      <c r="D320" s="154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  <c r="AA320" s="154" t="n"/>
      <c r="AB320" s="154" t="n"/>
      <c r="AC320" s="154" t="n"/>
      <c r="AD320" s="154" t="n"/>
      <c r="AE320" s="154" t="n"/>
      <c r="AF320" s="154" t="n"/>
      <c r="AG320" s="154" t="n"/>
      <c r="AH320" s="154" t="n"/>
      <c r="AI320" s="154" t="n"/>
      <c r="AJ320" s="154" t="n"/>
      <c r="AK320" s="154" t="n"/>
      <c r="AL320" s="154" t="n"/>
      <c r="AM320" s="154" t="n"/>
      <c r="AN320" s="154" t="n"/>
      <c r="AO320" s="154" t="n"/>
      <c r="AP320" s="154" t="n"/>
      <c r="AQ320" s="154" t="n"/>
      <c r="AR320" s="154" t="n"/>
      <c r="AS320" s="154" t="n"/>
      <c r="AT320" s="154" t="n"/>
      <c r="AU320" s="154" t="n"/>
      <c r="AV320" s="154" t="n"/>
      <c r="AW320" s="154" t="n"/>
      <c r="AX320" s="154" t="n"/>
      <c r="AY320" s="154" t="n"/>
      <c r="AZ320" s="154" t="n"/>
      <c r="BA320" s="154" t="n"/>
      <c r="BB320" s="154" t="n"/>
      <c r="BC320" s="154" t="n"/>
      <c r="BD320" s="154" t="n"/>
      <c r="BE320" s="154" t="n"/>
      <c r="BF320" s="154" t="n"/>
      <c r="BG320" s="154" t="n"/>
      <c r="BH320" s="154" t="n"/>
    </row>
    <row r="321" ht="15.75" customHeight="1" s="251">
      <c r="A321" s="153" t="n"/>
      <c r="B321" s="154" t="n"/>
      <c r="C321" s="154" t="n"/>
      <c r="D321" s="154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  <c r="AA321" s="154" t="n"/>
      <c r="AB321" s="154" t="n"/>
      <c r="AC321" s="154" t="n"/>
      <c r="AD321" s="154" t="n"/>
      <c r="AE321" s="154" t="n"/>
      <c r="AF321" s="154" t="n"/>
      <c r="AG321" s="154" t="n"/>
      <c r="AH321" s="154" t="n"/>
      <c r="AI321" s="154" t="n"/>
      <c r="AJ321" s="154" t="n"/>
      <c r="AK321" s="154" t="n"/>
      <c r="AL321" s="154" t="n"/>
      <c r="AM321" s="154" t="n"/>
      <c r="AN321" s="154" t="n"/>
      <c r="AO321" s="154" t="n"/>
      <c r="AP321" s="154" t="n"/>
      <c r="AQ321" s="154" t="n"/>
      <c r="AR321" s="154" t="n"/>
      <c r="AS321" s="154" t="n"/>
      <c r="AT321" s="154" t="n"/>
      <c r="AU321" s="154" t="n"/>
      <c r="AV321" s="154" t="n"/>
      <c r="AW321" s="154" t="n"/>
      <c r="AX321" s="154" t="n"/>
      <c r="AY321" s="154" t="n"/>
      <c r="AZ321" s="154" t="n"/>
      <c r="BA321" s="154" t="n"/>
      <c r="BB321" s="154" t="n"/>
      <c r="BC321" s="154" t="n"/>
      <c r="BD321" s="154" t="n"/>
      <c r="BE321" s="154" t="n"/>
      <c r="BF321" s="154" t="n"/>
      <c r="BG321" s="154" t="n"/>
      <c r="BH321" s="154" t="n"/>
    </row>
    <row r="322" ht="15.75" customHeight="1" s="251">
      <c r="A322" s="153" t="n"/>
      <c r="B322" s="154" t="n"/>
      <c r="C322" s="154" t="n"/>
      <c r="D322" s="154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  <c r="AA322" s="154" t="n"/>
      <c r="AB322" s="154" t="n"/>
      <c r="AC322" s="154" t="n"/>
      <c r="AD322" s="154" t="n"/>
      <c r="AE322" s="154" t="n"/>
      <c r="AF322" s="154" t="n"/>
      <c r="AG322" s="154" t="n"/>
      <c r="AH322" s="154" t="n"/>
      <c r="AI322" s="154" t="n"/>
      <c r="AJ322" s="154" t="n"/>
      <c r="AK322" s="154" t="n"/>
      <c r="AL322" s="154" t="n"/>
      <c r="AM322" s="154" t="n"/>
      <c r="AN322" s="154" t="n"/>
      <c r="AO322" s="154" t="n"/>
      <c r="AP322" s="154" t="n"/>
      <c r="AQ322" s="154" t="n"/>
      <c r="AR322" s="154" t="n"/>
      <c r="AS322" s="154" t="n"/>
      <c r="AT322" s="154" t="n"/>
      <c r="AU322" s="154" t="n"/>
      <c r="AV322" s="154" t="n"/>
      <c r="AW322" s="154" t="n"/>
      <c r="AX322" s="154" t="n"/>
      <c r="AY322" s="154" t="n"/>
      <c r="AZ322" s="154" t="n"/>
      <c r="BA322" s="154" t="n"/>
      <c r="BB322" s="154" t="n"/>
      <c r="BC322" s="154" t="n"/>
      <c r="BD322" s="154" t="n"/>
      <c r="BE322" s="154" t="n"/>
      <c r="BF322" s="154" t="n"/>
      <c r="BG322" s="154" t="n"/>
      <c r="BH322" s="154" t="n"/>
    </row>
    <row r="323" ht="15.75" customHeight="1" s="251">
      <c r="A323" s="153" t="n"/>
      <c r="B323" s="154" t="n"/>
      <c r="C323" s="154" t="n"/>
      <c r="D323" s="154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  <c r="AA323" s="154" t="n"/>
      <c r="AB323" s="154" t="n"/>
      <c r="AC323" s="154" t="n"/>
      <c r="AD323" s="154" t="n"/>
      <c r="AE323" s="154" t="n"/>
      <c r="AF323" s="154" t="n"/>
      <c r="AG323" s="154" t="n"/>
      <c r="AH323" s="154" t="n"/>
      <c r="AI323" s="154" t="n"/>
      <c r="AJ323" s="154" t="n"/>
      <c r="AK323" s="154" t="n"/>
      <c r="AL323" s="154" t="n"/>
      <c r="AM323" s="154" t="n"/>
      <c r="AN323" s="154" t="n"/>
      <c r="AO323" s="154" t="n"/>
      <c r="AP323" s="154" t="n"/>
      <c r="AQ323" s="154" t="n"/>
      <c r="AR323" s="154" t="n"/>
      <c r="AS323" s="154" t="n"/>
      <c r="AT323" s="154" t="n"/>
      <c r="AU323" s="154" t="n"/>
      <c r="AV323" s="154" t="n"/>
      <c r="AW323" s="154" t="n"/>
      <c r="AX323" s="154" t="n"/>
      <c r="AY323" s="154" t="n"/>
      <c r="AZ323" s="154" t="n"/>
      <c r="BA323" s="154" t="n"/>
      <c r="BB323" s="154" t="n"/>
      <c r="BC323" s="154" t="n"/>
      <c r="BD323" s="154" t="n"/>
      <c r="BE323" s="154" t="n"/>
      <c r="BF323" s="154" t="n"/>
      <c r="BG323" s="154" t="n"/>
      <c r="BH323" s="154" t="n"/>
    </row>
    <row r="324" ht="15.75" customHeight="1" s="251">
      <c r="A324" s="153" t="n"/>
      <c r="B324" s="154" t="n"/>
      <c r="C324" s="154" t="n"/>
      <c r="D324" s="154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  <c r="AA324" s="154" t="n"/>
      <c r="AB324" s="154" t="n"/>
      <c r="AC324" s="154" t="n"/>
      <c r="AD324" s="154" t="n"/>
      <c r="AE324" s="154" t="n"/>
      <c r="AF324" s="154" t="n"/>
      <c r="AG324" s="154" t="n"/>
      <c r="AH324" s="154" t="n"/>
      <c r="AI324" s="154" t="n"/>
      <c r="AJ324" s="154" t="n"/>
      <c r="AK324" s="154" t="n"/>
      <c r="AL324" s="154" t="n"/>
      <c r="AM324" s="154" t="n"/>
      <c r="AN324" s="154" t="n"/>
      <c r="AO324" s="154" t="n"/>
      <c r="AP324" s="154" t="n"/>
      <c r="AQ324" s="154" t="n"/>
      <c r="AR324" s="154" t="n"/>
      <c r="AS324" s="154" t="n"/>
      <c r="AT324" s="154" t="n"/>
      <c r="AU324" s="154" t="n"/>
      <c r="AV324" s="154" t="n"/>
      <c r="AW324" s="154" t="n"/>
      <c r="AX324" s="154" t="n"/>
      <c r="AY324" s="154" t="n"/>
      <c r="AZ324" s="154" t="n"/>
      <c r="BA324" s="154" t="n"/>
      <c r="BB324" s="154" t="n"/>
      <c r="BC324" s="154" t="n"/>
      <c r="BD324" s="154" t="n"/>
      <c r="BE324" s="154" t="n"/>
      <c r="BF324" s="154" t="n"/>
      <c r="BG324" s="154" t="n"/>
      <c r="BH324" s="154" t="n"/>
    </row>
    <row r="325" ht="15.75" customHeight="1" s="251">
      <c r="A325" s="153" t="n"/>
      <c r="B325" s="154" t="n"/>
      <c r="C325" s="154" t="n"/>
      <c r="D325" s="154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  <c r="AA325" s="154" t="n"/>
      <c r="AB325" s="154" t="n"/>
      <c r="AC325" s="154" t="n"/>
      <c r="AD325" s="154" t="n"/>
      <c r="AE325" s="154" t="n"/>
      <c r="AF325" s="154" t="n"/>
      <c r="AG325" s="154" t="n"/>
      <c r="AH325" s="154" t="n"/>
      <c r="AI325" s="154" t="n"/>
      <c r="AJ325" s="154" t="n"/>
      <c r="AK325" s="154" t="n"/>
      <c r="AL325" s="154" t="n"/>
      <c r="AM325" s="154" t="n"/>
      <c r="AN325" s="154" t="n"/>
      <c r="AO325" s="154" t="n"/>
      <c r="AP325" s="154" t="n"/>
      <c r="AQ325" s="154" t="n"/>
      <c r="AR325" s="154" t="n"/>
      <c r="AS325" s="154" t="n"/>
      <c r="AT325" s="154" t="n"/>
      <c r="AU325" s="154" t="n"/>
      <c r="AV325" s="154" t="n"/>
      <c r="AW325" s="154" t="n"/>
      <c r="AX325" s="154" t="n"/>
      <c r="AY325" s="154" t="n"/>
      <c r="AZ325" s="154" t="n"/>
      <c r="BA325" s="154" t="n"/>
      <c r="BB325" s="154" t="n"/>
      <c r="BC325" s="154" t="n"/>
      <c r="BD325" s="154" t="n"/>
      <c r="BE325" s="154" t="n"/>
      <c r="BF325" s="154" t="n"/>
      <c r="BG325" s="154" t="n"/>
      <c r="BH325" s="154" t="n"/>
    </row>
    <row r="326" ht="15.75" customHeight="1" s="251">
      <c r="A326" s="153" t="n"/>
      <c r="B326" s="154" t="n"/>
      <c r="C326" s="154" t="n"/>
      <c r="D326" s="154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  <c r="AA326" s="154" t="n"/>
      <c r="AB326" s="154" t="n"/>
      <c r="AC326" s="154" t="n"/>
      <c r="AD326" s="154" t="n"/>
      <c r="AE326" s="154" t="n"/>
      <c r="AF326" s="154" t="n"/>
      <c r="AG326" s="154" t="n"/>
      <c r="AH326" s="154" t="n"/>
      <c r="AI326" s="154" t="n"/>
      <c r="AJ326" s="154" t="n"/>
      <c r="AK326" s="154" t="n"/>
      <c r="AL326" s="154" t="n"/>
      <c r="AM326" s="154" t="n"/>
      <c r="AN326" s="154" t="n"/>
      <c r="AO326" s="154" t="n"/>
      <c r="AP326" s="154" t="n"/>
      <c r="AQ326" s="154" t="n"/>
      <c r="AR326" s="154" t="n"/>
      <c r="AS326" s="154" t="n"/>
      <c r="AT326" s="154" t="n"/>
      <c r="AU326" s="154" t="n"/>
      <c r="AV326" s="154" t="n"/>
      <c r="AW326" s="154" t="n"/>
      <c r="AX326" s="154" t="n"/>
      <c r="AY326" s="154" t="n"/>
      <c r="AZ326" s="154" t="n"/>
      <c r="BA326" s="154" t="n"/>
      <c r="BB326" s="154" t="n"/>
      <c r="BC326" s="154" t="n"/>
      <c r="BD326" s="154" t="n"/>
      <c r="BE326" s="154" t="n"/>
      <c r="BF326" s="154" t="n"/>
      <c r="BG326" s="154" t="n"/>
      <c r="BH326" s="154" t="n"/>
    </row>
    <row r="327" ht="15.75" customHeight="1" s="251">
      <c r="A327" s="153" t="n"/>
      <c r="B327" s="154" t="n"/>
      <c r="C327" s="154" t="n"/>
      <c r="D327" s="154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  <c r="AA327" s="154" t="n"/>
      <c r="AB327" s="154" t="n"/>
      <c r="AC327" s="154" t="n"/>
      <c r="AD327" s="154" t="n"/>
      <c r="AE327" s="154" t="n"/>
      <c r="AF327" s="154" t="n"/>
      <c r="AG327" s="154" t="n"/>
      <c r="AH327" s="154" t="n"/>
      <c r="AI327" s="154" t="n"/>
      <c r="AJ327" s="154" t="n"/>
      <c r="AK327" s="154" t="n"/>
      <c r="AL327" s="154" t="n"/>
      <c r="AM327" s="154" t="n"/>
      <c r="AN327" s="154" t="n"/>
      <c r="AO327" s="154" t="n"/>
      <c r="AP327" s="154" t="n"/>
      <c r="AQ327" s="154" t="n"/>
      <c r="AR327" s="154" t="n"/>
      <c r="AS327" s="154" t="n"/>
      <c r="AT327" s="154" t="n"/>
      <c r="AU327" s="154" t="n"/>
      <c r="AV327" s="154" t="n"/>
      <c r="AW327" s="154" t="n"/>
      <c r="AX327" s="154" t="n"/>
      <c r="AY327" s="154" t="n"/>
      <c r="AZ327" s="154" t="n"/>
      <c r="BA327" s="154" t="n"/>
      <c r="BB327" s="154" t="n"/>
      <c r="BC327" s="154" t="n"/>
      <c r="BD327" s="154" t="n"/>
      <c r="BE327" s="154" t="n"/>
      <c r="BF327" s="154" t="n"/>
      <c r="BG327" s="154" t="n"/>
      <c r="BH327" s="154" t="n"/>
    </row>
    <row r="328" ht="15.75" customHeight="1" s="251">
      <c r="A328" s="153" t="n"/>
      <c r="B328" s="154" t="n"/>
      <c r="C328" s="154" t="n"/>
      <c r="D328" s="154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  <c r="AA328" s="154" t="n"/>
      <c r="AB328" s="154" t="n"/>
      <c r="AC328" s="154" t="n"/>
      <c r="AD328" s="154" t="n"/>
      <c r="AE328" s="154" t="n"/>
      <c r="AF328" s="154" t="n"/>
      <c r="AG328" s="154" t="n"/>
      <c r="AH328" s="154" t="n"/>
      <c r="AI328" s="154" t="n"/>
      <c r="AJ328" s="154" t="n"/>
      <c r="AK328" s="154" t="n"/>
      <c r="AL328" s="154" t="n"/>
      <c r="AM328" s="154" t="n"/>
      <c r="AN328" s="154" t="n"/>
      <c r="AO328" s="154" t="n"/>
      <c r="AP328" s="154" t="n"/>
      <c r="AQ328" s="154" t="n"/>
      <c r="AR328" s="154" t="n"/>
      <c r="AS328" s="154" t="n"/>
      <c r="AT328" s="154" t="n"/>
      <c r="AU328" s="154" t="n"/>
      <c r="AV328" s="154" t="n"/>
      <c r="AW328" s="154" t="n"/>
      <c r="AX328" s="154" t="n"/>
      <c r="AY328" s="154" t="n"/>
      <c r="AZ328" s="154" t="n"/>
      <c r="BA328" s="154" t="n"/>
      <c r="BB328" s="154" t="n"/>
      <c r="BC328" s="154" t="n"/>
      <c r="BD328" s="154" t="n"/>
      <c r="BE328" s="154" t="n"/>
      <c r="BF328" s="154" t="n"/>
      <c r="BG328" s="154" t="n"/>
      <c r="BH328" s="154" t="n"/>
    </row>
    <row r="329" ht="15.75" customHeight="1" s="251">
      <c r="A329" s="153" t="n"/>
      <c r="B329" s="154" t="n"/>
      <c r="C329" s="154" t="n"/>
      <c r="D329" s="154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  <c r="AA329" s="154" t="n"/>
      <c r="AB329" s="154" t="n"/>
      <c r="AC329" s="154" t="n"/>
      <c r="AD329" s="154" t="n"/>
      <c r="AE329" s="154" t="n"/>
      <c r="AF329" s="154" t="n"/>
      <c r="AG329" s="154" t="n"/>
      <c r="AH329" s="154" t="n"/>
      <c r="AI329" s="154" t="n"/>
      <c r="AJ329" s="154" t="n"/>
      <c r="AK329" s="154" t="n"/>
      <c r="AL329" s="154" t="n"/>
      <c r="AM329" s="154" t="n"/>
      <c r="AN329" s="154" t="n"/>
      <c r="AO329" s="154" t="n"/>
      <c r="AP329" s="154" t="n"/>
      <c r="AQ329" s="154" t="n"/>
      <c r="AR329" s="154" t="n"/>
      <c r="AS329" s="154" t="n"/>
      <c r="AT329" s="154" t="n"/>
      <c r="AU329" s="154" t="n"/>
      <c r="AV329" s="154" t="n"/>
      <c r="AW329" s="154" t="n"/>
      <c r="AX329" s="154" t="n"/>
      <c r="AY329" s="154" t="n"/>
      <c r="AZ329" s="154" t="n"/>
      <c r="BA329" s="154" t="n"/>
      <c r="BB329" s="154" t="n"/>
      <c r="BC329" s="154" t="n"/>
      <c r="BD329" s="154" t="n"/>
      <c r="BE329" s="154" t="n"/>
      <c r="BF329" s="154" t="n"/>
      <c r="BG329" s="154" t="n"/>
      <c r="BH329" s="154" t="n"/>
    </row>
    <row r="330" ht="15.75" customHeight="1" s="251">
      <c r="A330" s="153" t="n"/>
      <c r="B330" s="154" t="n"/>
      <c r="C330" s="154" t="n"/>
      <c r="D330" s="154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  <c r="AA330" s="154" t="n"/>
      <c r="AB330" s="154" t="n"/>
      <c r="AC330" s="154" t="n"/>
      <c r="AD330" s="154" t="n"/>
      <c r="AE330" s="154" t="n"/>
      <c r="AF330" s="154" t="n"/>
      <c r="AG330" s="154" t="n"/>
      <c r="AH330" s="154" t="n"/>
      <c r="AI330" s="154" t="n"/>
      <c r="AJ330" s="154" t="n"/>
      <c r="AK330" s="154" t="n"/>
      <c r="AL330" s="154" t="n"/>
      <c r="AM330" s="154" t="n"/>
      <c r="AN330" s="154" t="n"/>
      <c r="AO330" s="154" t="n"/>
      <c r="AP330" s="154" t="n"/>
      <c r="AQ330" s="154" t="n"/>
      <c r="AR330" s="154" t="n"/>
      <c r="AS330" s="154" t="n"/>
      <c r="AT330" s="154" t="n"/>
      <c r="AU330" s="154" t="n"/>
      <c r="AV330" s="154" t="n"/>
      <c r="AW330" s="154" t="n"/>
      <c r="AX330" s="154" t="n"/>
      <c r="AY330" s="154" t="n"/>
      <c r="AZ330" s="154" t="n"/>
      <c r="BA330" s="154" t="n"/>
      <c r="BB330" s="154" t="n"/>
      <c r="BC330" s="154" t="n"/>
      <c r="BD330" s="154" t="n"/>
      <c r="BE330" s="154" t="n"/>
      <c r="BF330" s="154" t="n"/>
      <c r="BG330" s="154" t="n"/>
      <c r="BH330" s="154" t="n"/>
    </row>
    <row r="331" ht="15.75" customHeight="1" s="251">
      <c r="A331" s="153" t="n"/>
      <c r="B331" s="154" t="n"/>
      <c r="C331" s="154" t="n"/>
      <c r="D331" s="154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  <c r="AA331" s="154" t="n"/>
      <c r="AB331" s="154" t="n"/>
      <c r="AC331" s="154" t="n"/>
      <c r="AD331" s="154" t="n"/>
      <c r="AE331" s="154" t="n"/>
      <c r="AF331" s="154" t="n"/>
      <c r="AG331" s="154" t="n"/>
      <c r="AH331" s="154" t="n"/>
      <c r="AI331" s="154" t="n"/>
      <c r="AJ331" s="154" t="n"/>
      <c r="AK331" s="154" t="n"/>
      <c r="AL331" s="154" t="n"/>
      <c r="AM331" s="154" t="n"/>
      <c r="AN331" s="154" t="n"/>
      <c r="AO331" s="154" t="n"/>
      <c r="AP331" s="154" t="n"/>
      <c r="AQ331" s="154" t="n"/>
      <c r="AR331" s="154" t="n"/>
      <c r="AS331" s="154" t="n"/>
      <c r="AT331" s="154" t="n"/>
      <c r="AU331" s="154" t="n"/>
      <c r="AV331" s="154" t="n"/>
      <c r="AW331" s="154" t="n"/>
      <c r="AX331" s="154" t="n"/>
      <c r="AY331" s="154" t="n"/>
      <c r="AZ331" s="154" t="n"/>
      <c r="BA331" s="154" t="n"/>
      <c r="BB331" s="154" t="n"/>
      <c r="BC331" s="154" t="n"/>
      <c r="BD331" s="154" t="n"/>
      <c r="BE331" s="154" t="n"/>
      <c r="BF331" s="154" t="n"/>
      <c r="BG331" s="154" t="n"/>
      <c r="BH331" s="154" t="n"/>
    </row>
    <row r="332" ht="15.75" customHeight="1" s="251">
      <c r="A332" s="153" t="n"/>
      <c r="B332" s="154" t="n"/>
      <c r="C332" s="154" t="n"/>
      <c r="D332" s="154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  <c r="AA332" s="154" t="n"/>
      <c r="AB332" s="154" t="n"/>
      <c r="AC332" s="154" t="n"/>
      <c r="AD332" s="154" t="n"/>
      <c r="AE332" s="154" t="n"/>
      <c r="AF332" s="154" t="n"/>
      <c r="AG332" s="154" t="n"/>
      <c r="AH332" s="154" t="n"/>
      <c r="AI332" s="154" t="n"/>
      <c r="AJ332" s="154" t="n"/>
      <c r="AK332" s="154" t="n"/>
      <c r="AL332" s="154" t="n"/>
      <c r="AM332" s="154" t="n"/>
      <c r="AN332" s="154" t="n"/>
      <c r="AO332" s="154" t="n"/>
      <c r="AP332" s="154" t="n"/>
      <c r="AQ332" s="154" t="n"/>
      <c r="AR332" s="154" t="n"/>
      <c r="AS332" s="154" t="n"/>
      <c r="AT332" s="154" t="n"/>
      <c r="AU332" s="154" t="n"/>
      <c r="AV332" s="154" t="n"/>
      <c r="AW332" s="154" t="n"/>
      <c r="AX332" s="154" t="n"/>
      <c r="AY332" s="154" t="n"/>
      <c r="AZ332" s="154" t="n"/>
      <c r="BA332" s="154" t="n"/>
      <c r="BB332" s="154" t="n"/>
      <c r="BC332" s="154" t="n"/>
      <c r="BD332" s="154" t="n"/>
      <c r="BE332" s="154" t="n"/>
      <c r="BF332" s="154" t="n"/>
      <c r="BG332" s="154" t="n"/>
      <c r="BH332" s="154" t="n"/>
    </row>
    <row r="333" ht="15.75" customHeight="1" s="251">
      <c r="A333" s="153" t="n"/>
      <c r="B333" s="154" t="n"/>
      <c r="C333" s="154" t="n"/>
      <c r="D333" s="154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  <c r="AA333" s="154" t="n"/>
      <c r="AB333" s="154" t="n"/>
      <c r="AC333" s="154" t="n"/>
      <c r="AD333" s="154" t="n"/>
      <c r="AE333" s="154" t="n"/>
      <c r="AF333" s="154" t="n"/>
      <c r="AG333" s="154" t="n"/>
      <c r="AH333" s="154" t="n"/>
      <c r="AI333" s="154" t="n"/>
      <c r="AJ333" s="154" t="n"/>
      <c r="AK333" s="154" t="n"/>
      <c r="AL333" s="154" t="n"/>
      <c r="AM333" s="154" t="n"/>
      <c r="AN333" s="154" t="n"/>
      <c r="AO333" s="154" t="n"/>
      <c r="AP333" s="154" t="n"/>
      <c r="AQ333" s="154" t="n"/>
      <c r="AR333" s="154" t="n"/>
      <c r="AS333" s="154" t="n"/>
      <c r="AT333" s="154" t="n"/>
      <c r="AU333" s="154" t="n"/>
      <c r="AV333" s="154" t="n"/>
      <c r="AW333" s="154" t="n"/>
      <c r="AX333" s="154" t="n"/>
      <c r="AY333" s="154" t="n"/>
      <c r="AZ333" s="154" t="n"/>
      <c r="BA333" s="154" t="n"/>
      <c r="BB333" s="154" t="n"/>
      <c r="BC333" s="154" t="n"/>
      <c r="BD333" s="154" t="n"/>
      <c r="BE333" s="154" t="n"/>
      <c r="BF333" s="154" t="n"/>
      <c r="BG333" s="154" t="n"/>
      <c r="BH333" s="154" t="n"/>
    </row>
    <row r="334" ht="15.75" customHeight="1" s="251">
      <c r="A334" s="153" t="n"/>
      <c r="B334" s="154" t="n"/>
      <c r="C334" s="154" t="n"/>
      <c r="D334" s="154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  <c r="AA334" s="154" t="n"/>
      <c r="AB334" s="154" t="n"/>
      <c r="AC334" s="154" t="n"/>
      <c r="AD334" s="154" t="n"/>
      <c r="AE334" s="154" t="n"/>
      <c r="AF334" s="154" t="n"/>
      <c r="AG334" s="154" t="n"/>
      <c r="AH334" s="154" t="n"/>
      <c r="AI334" s="154" t="n"/>
      <c r="AJ334" s="154" t="n"/>
      <c r="AK334" s="154" t="n"/>
      <c r="AL334" s="154" t="n"/>
      <c r="AM334" s="154" t="n"/>
      <c r="AN334" s="154" t="n"/>
      <c r="AO334" s="154" t="n"/>
      <c r="AP334" s="154" t="n"/>
      <c r="AQ334" s="154" t="n"/>
      <c r="AR334" s="154" t="n"/>
      <c r="AS334" s="154" t="n"/>
      <c r="AT334" s="154" t="n"/>
      <c r="AU334" s="154" t="n"/>
      <c r="AV334" s="154" t="n"/>
      <c r="AW334" s="154" t="n"/>
      <c r="AX334" s="154" t="n"/>
      <c r="AY334" s="154" t="n"/>
      <c r="AZ334" s="154" t="n"/>
      <c r="BA334" s="154" t="n"/>
      <c r="BB334" s="154" t="n"/>
      <c r="BC334" s="154" t="n"/>
      <c r="BD334" s="154" t="n"/>
      <c r="BE334" s="154" t="n"/>
      <c r="BF334" s="154" t="n"/>
      <c r="BG334" s="154" t="n"/>
      <c r="BH334" s="154" t="n"/>
    </row>
    <row r="335" ht="15.75" customHeight="1" s="251">
      <c r="A335" s="153" t="n"/>
      <c r="B335" s="154" t="n"/>
      <c r="C335" s="154" t="n"/>
      <c r="D335" s="154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  <c r="AA335" s="154" t="n"/>
      <c r="AB335" s="154" t="n"/>
      <c r="AC335" s="154" t="n"/>
      <c r="AD335" s="154" t="n"/>
      <c r="AE335" s="154" t="n"/>
      <c r="AF335" s="154" t="n"/>
      <c r="AG335" s="154" t="n"/>
      <c r="AH335" s="154" t="n"/>
      <c r="AI335" s="154" t="n"/>
      <c r="AJ335" s="154" t="n"/>
      <c r="AK335" s="154" t="n"/>
      <c r="AL335" s="154" t="n"/>
      <c r="AM335" s="154" t="n"/>
      <c r="AN335" s="154" t="n"/>
      <c r="AO335" s="154" t="n"/>
      <c r="AP335" s="154" t="n"/>
      <c r="AQ335" s="154" t="n"/>
      <c r="AR335" s="154" t="n"/>
      <c r="AS335" s="154" t="n"/>
      <c r="AT335" s="154" t="n"/>
      <c r="AU335" s="154" t="n"/>
      <c r="AV335" s="154" t="n"/>
      <c r="AW335" s="154" t="n"/>
      <c r="AX335" s="154" t="n"/>
      <c r="AY335" s="154" t="n"/>
      <c r="AZ335" s="154" t="n"/>
      <c r="BA335" s="154" t="n"/>
      <c r="BB335" s="154" t="n"/>
      <c r="BC335" s="154" t="n"/>
      <c r="BD335" s="154" t="n"/>
      <c r="BE335" s="154" t="n"/>
      <c r="BF335" s="154" t="n"/>
      <c r="BG335" s="154" t="n"/>
      <c r="BH335" s="154" t="n"/>
    </row>
    <row r="336" ht="15.75" customHeight="1" s="251">
      <c r="A336" s="153" t="n"/>
      <c r="B336" s="154" t="n"/>
      <c r="C336" s="154" t="n"/>
      <c r="D336" s="154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  <c r="AA336" s="154" t="n"/>
      <c r="AB336" s="154" t="n"/>
      <c r="AC336" s="154" t="n"/>
      <c r="AD336" s="154" t="n"/>
      <c r="AE336" s="154" t="n"/>
      <c r="AF336" s="154" t="n"/>
      <c r="AG336" s="154" t="n"/>
      <c r="AH336" s="154" t="n"/>
      <c r="AI336" s="154" t="n"/>
      <c r="AJ336" s="154" t="n"/>
      <c r="AK336" s="154" t="n"/>
      <c r="AL336" s="154" t="n"/>
      <c r="AM336" s="154" t="n"/>
      <c r="AN336" s="154" t="n"/>
      <c r="AO336" s="154" t="n"/>
      <c r="AP336" s="154" t="n"/>
      <c r="AQ336" s="154" t="n"/>
      <c r="AR336" s="154" t="n"/>
      <c r="AS336" s="154" t="n"/>
      <c r="AT336" s="154" t="n"/>
      <c r="AU336" s="154" t="n"/>
      <c r="AV336" s="154" t="n"/>
      <c r="AW336" s="154" t="n"/>
      <c r="AX336" s="154" t="n"/>
      <c r="AY336" s="154" t="n"/>
      <c r="AZ336" s="154" t="n"/>
      <c r="BA336" s="154" t="n"/>
      <c r="BB336" s="154" t="n"/>
      <c r="BC336" s="154" t="n"/>
      <c r="BD336" s="154" t="n"/>
      <c r="BE336" s="154" t="n"/>
      <c r="BF336" s="154" t="n"/>
      <c r="BG336" s="154" t="n"/>
      <c r="BH336" s="154" t="n"/>
    </row>
    <row r="337" ht="15.75" customHeight="1" s="251">
      <c r="A337" s="153" t="n"/>
      <c r="B337" s="154" t="n"/>
      <c r="C337" s="154" t="n"/>
      <c r="D337" s="154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  <c r="AA337" s="154" t="n"/>
      <c r="AB337" s="154" t="n"/>
      <c r="AC337" s="154" t="n"/>
      <c r="AD337" s="154" t="n"/>
      <c r="AE337" s="154" t="n"/>
      <c r="AF337" s="154" t="n"/>
      <c r="AG337" s="154" t="n"/>
      <c r="AH337" s="154" t="n"/>
      <c r="AI337" s="154" t="n"/>
      <c r="AJ337" s="154" t="n"/>
      <c r="AK337" s="154" t="n"/>
      <c r="AL337" s="154" t="n"/>
      <c r="AM337" s="154" t="n"/>
      <c r="AN337" s="154" t="n"/>
      <c r="AO337" s="154" t="n"/>
      <c r="AP337" s="154" t="n"/>
      <c r="AQ337" s="154" t="n"/>
      <c r="AR337" s="154" t="n"/>
      <c r="AS337" s="154" t="n"/>
      <c r="AT337" s="154" t="n"/>
      <c r="AU337" s="154" t="n"/>
      <c r="AV337" s="154" t="n"/>
      <c r="AW337" s="154" t="n"/>
      <c r="AX337" s="154" t="n"/>
      <c r="AY337" s="154" t="n"/>
      <c r="AZ337" s="154" t="n"/>
      <c r="BA337" s="154" t="n"/>
      <c r="BB337" s="154" t="n"/>
      <c r="BC337" s="154" t="n"/>
      <c r="BD337" s="154" t="n"/>
      <c r="BE337" s="154" t="n"/>
      <c r="BF337" s="154" t="n"/>
      <c r="BG337" s="154" t="n"/>
      <c r="BH337" s="154" t="n"/>
    </row>
    <row r="338" ht="15.75" customHeight="1" s="251">
      <c r="A338" s="153" t="n"/>
      <c r="B338" s="154" t="n"/>
      <c r="C338" s="154" t="n"/>
      <c r="D338" s="154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  <c r="AA338" s="154" t="n"/>
      <c r="AB338" s="154" t="n"/>
      <c r="AC338" s="154" t="n"/>
      <c r="AD338" s="154" t="n"/>
      <c r="AE338" s="154" t="n"/>
      <c r="AF338" s="154" t="n"/>
      <c r="AG338" s="154" t="n"/>
      <c r="AH338" s="154" t="n"/>
      <c r="AI338" s="154" t="n"/>
      <c r="AJ338" s="154" t="n"/>
      <c r="AK338" s="154" t="n"/>
      <c r="AL338" s="154" t="n"/>
      <c r="AM338" s="154" t="n"/>
      <c r="AN338" s="154" t="n"/>
      <c r="AO338" s="154" t="n"/>
      <c r="AP338" s="154" t="n"/>
      <c r="AQ338" s="154" t="n"/>
      <c r="AR338" s="154" t="n"/>
      <c r="AS338" s="154" t="n"/>
      <c r="AT338" s="154" t="n"/>
      <c r="AU338" s="154" t="n"/>
      <c r="AV338" s="154" t="n"/>
      <c r="AW338" s="154" t="n"/>
      <c r="AX338" s="154" t="n"/>
      <c r="AY338" s="154" t="n"/>
      <c r="AZ338" s="154" t="n"/>
      <c r="BA338" s="154" t="n"/>
      <c r="BB338" s="154" t="n"/>
      <c r="BC338" s="154" t="n"/>
      <c r="BD338" s="154" t="n"/>
      <c r="BE338" s="154" t="n"/>
      <c r="BF338" s="154" t="n"/>
      <c r="BG338" s="154" t="n"/>
      <c r="BH338" s="154" t="n"/>
    </row>
    <row r="339" ht="15.75" customHeight="1" s="251">
      <c r="A339" s="153" t="n"/>
      <c r="B339" s="154" t="n"/>
      <c r="C339" s="154" t="n"/>
      <c r="D339" s="154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  <c r="AA339" s="154" t="n"/>
      <c r="AB339" s="154" t="n"/>
      <c r="AC339" s="154" t="n"/>
      <c r="AD339" s="154" t="n"/>
      <c r="AE339" s="154" t="n"/>
      <c r="AF339" s="154" t="n"/>
      <c r="AG339" s="154" t="n"/>
      <c r="AH339" s="154" t="n"/>
      <c r="AI339" s="154" t="n"/>
      <c r="AJ339" s="154" t="n"/>
      <c r="AK339" s="154" t="n"/>
      <c r="AL339" s="154" t="n"/>
      <c r="AM339" s="154" t="n"/>
      <c r="AN339" s="154" t="n"/>
      <c r="AO339" s="154" t="n"/>
      <c r="AP339" s="154" t="n"/>
      <c r="AQ339" s="154" t="n"/>
      <c r="AR339" s="154" t="n"/>
      <c r="AS339" s="154" t="n"/>
      <c r="AT339" s="154" t="n"/>
      <c r="AU339" s="154" t="n"/>
      <c r="AV339" s="154" t="n"/>
      <c r="AW339" s="154" t="n"/>
      <c r="AX339" s="154" t="n"/>
      <c r="AY339" s="154" t="n"/>
      <c r="AZ339" s="154" t="n"/>
      <c r="BA339" s="154" t="n"/>
      <c r="BB339" s="154" t="n"/>
      <c r="BC339" s="154" t="n"/>
      <c r="BD339" s="154" t="n"/>
      <c r="BE339" s="154" t="n"/>
      <c r="BF339" s="154" t="n"/>
      <c r="BG339" s="154" t="n"/>
      <c r="BH339" s="154" t="n"/>
    </row>
    <row r="340" ht="15.75" customHeight="1" s="251">
      <c r="A340" s="153" t="n"/>
      <c r="B340" s="154" t="n"/>
      <c r="C340" s="154" t="n"/>
      <c r="D340" s="154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  <c r="AA340" s="154" t="n"/>
      <c r="AB340" s="154" t="n"/>
      <c r="AC340" s="154" t="n"/>
      <c r="AD340" s="154" t="n"/>
      <c r="AE340" s="154" t="n"/>
      <c r="AF340" s="154" t="n"/>
      <c r="AG340" s="154" t="n"/>
      <c r="AH340" s="154" t="n"/>
      <c r="AI340" s="154" t="n"/>
      <c r="AJ340" s="154" t="n"/>
      <c r="AK340" s="154" t="n"/>
      <c r="AL340" s="154" t="n"/>
      <c r="AM340" s="154" t="n"/>
      <c r="AN340" s="154" t="n"/>
      <c r="AO340" s="154" t="n"/>
      <c r="AP340" s="154" t="n"/>
      <c r="AQ340" s="154" t="n"/>
      <c r="AR340" s="154" t="n"/>
      <c r="AS340" s="154" t="n"/>
      <c r="AT340" s="154" t="n"/>
      <c r="AU340" s="154" t="n"/>
      <c r="AV340" s="154" t="n"/>
      <c r="AW340" s="154" t="n"/>
      <c r="AX340" s="154" t="n"/>
      <c r="AY340" s="154" t="n"/>
      <c r="AZ340" s="154" t="n"/>
      <c r="BA340" s="154" t="n"/>
      <c r="BB340" s="154" t="n"/>
      <c r="BC340" s="154" t="n"/>
      <c r="BD340" s="154" t="n"/>
      <c r="BE340" s="154" t="n"/>
      <c r="BF340" s="154" t="n"/>
      <c r="BG340" s="154" t="n"/>
      <c r="BH340" s="154" t="n"/>
    </row>
    <row r="341" ht="15.75" customHeight="1" s="251">
      <c r="A341" s="153" t="n"/>
      <c r="B341" s="154" t="n"/>
      <c r="C341" s="154" t="n"/>
      <c r="D341" s="154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  <c r="AA341" s="154" t="n"/>
      <c r="AB341" s="154" t="n"/>
      <c r="AC341" s="154" t="n"/>
      <c r="AD341" s="154" t="n"/>
      <c r="AE341" s="154" t="n"/>
      <c r="AF341" s="154" t="n"/>
      <c r="AG341" s="154" t="n"/>
      <c r="AH341" s="154" t="n"/>
      <c r="AI341" s="154" t="n"/>
      <c r="AJ341" s="154" t="n"/>
      <c r="AK341" s="154" t="n"/>
      <c r="AL341" s="154" t="n"/>
      <c r="AM341" s="154" t="n"/>
      <c r="AN341" s="154" t="n"/>
      <c r="AO341" s="154" t="n"/>
      <c r="AP341" s="154" t="n"/>
      <c r="AQ341" s="154" t="n"/>
      <c r="AR341" s="154" t="n"/>
      <c r="AS341" s="154" t="n"/>
      <c r="AT341" s="154" t="n"/>
      <c r="AU341" s="154" t="n"/>
      <c r="AV341" s="154" t="n"/>
      <c r="AW341" s="154" t="n"/>
      <c r="AX341" s="154" t="n"/>
      <c r="AY341" s="154" t="n"/>
      <c r="AZ341" s="154" t="n"/>
      <c r="BA341" s="154" t="n"/>
      <c r="BB341" s="154" t="n"/>
      <c r="BC341" s="154" t="n"/>
      <c r="BD341" s="154" t="n"/>
      <c r="BE341" s="154" t="n"/>
      <c r="BF341" s="154" t="n"/>
      <c r="BG341" s="154" t="n"/>
      <c r="BH341" s="154" t="n"/>
    </row>
    <row r="342" ht="15.75" customHeight="1" s="251">
      <c r="A342" s="153" t="n"/>
      <c r="B342" s="154" t="n"/>
      <c r="C342" s="154" t="n"/>
      <c r="D342" s="154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  <c r="AA342" s="154" t="n"/>
      <c r="AB342" s="154" t="n"/>
      <c r="AC342" s="154" t="n"/>
      <c r="AD342" s="154" t="n"/>
      <c r="AE342" s="154" t="n"/>
      <c r="AF342" s="154" t="n"/>
      <c r="AG342" s="154" t="n"/>
      <c r="AH342" s="154" t="n"/>
      <c r="AI342" s="154" t="n"/>
      <c r="AJ342" s="154" t="n"/>
      <c r="AK342" s="154" t="n"/>
      <c r="AL342" s="154" t="n"/>
      <c r="AM342" s="154" t="n"/>
      <c r="AN342" s="154" t="n"/>
      <c r="AO342" s="154" t="n"/>
      <c r="AP342" s="154" t="n"/>
      <c r="AQ342" s="154" t="n"/>
      <c r="AR342" s="154" t="n"/>
      <c r="AS342" s="154" t="n"/>
      <c r="AT342" s="154" t="n"/>
      <c r="AU342" s="154" t="n"/>
      <c r="AV342" s="154" t="n"/>
      <c r="AW342" s="154" t="n"/>
      <c r="AX342" s="154" t="n"/>
      <c r="AY342" s="154" t="n"/>
      <c r="AZ342" s="154" t="n"/>
      <c r="BA342" s="154" t="n"/>
      <c r="BB342" s="154" t="n"/>
      <c r="BC342" s="154" t="n"/>
      <c r="BD342" s="154" t="n"/>
      <c r="BE342" s="154" t="n"/>
      <c r="BF342" s="154" t="n"/>
      <c r="BG342" s="154" t="n"/>
      <c r="BH342" s="154" t="n"/>
    </row>
    <row r="343" ht="15.75" customHeight="1" s="251">
      <c r="A343" s="153" t="n"/>
      <c r="B343" s="154" t="n"/>
      <c r="C343" s="154" t="n"/>
      <c r="D343" s="154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  <c r="AA343" s="154" t="n"/>
      <c r="AB343" s="154" t="n"/>
      <c r="AC343" s="154" t="n"/>
      <c r="AD343" s="154" t="n"/>
      <c r="AE343" s="154" t="n"/>
      <c r="AF343" s="154" t="n"/>
      <c r="AG343" s="154" t="n"/>
      <c r="AH343" s="154" t="n"/>
      <c r="AI343" s="154" t="n"/>
      <c r="AJ343" s="154" t="n"/>
      <c r="AK343" s="154" t="n"/>
      <c r="AL343" s="154" t="n"/>
      <c r="AM343" s="154" t="n"/>
      <c r="AN343" s="154" t="n"/>
      <c r="AO343" s="154" t="n"/>
      <c r="AP343" s="154" t="n"/>
      <c r="AQ343" s="154" t="n"/>
      <c r="AR343" s="154" t="n"/>
      <c r="AS343" s="154" t="n"/>
      <c r="AT343" s="154" t="n"/>
      <c r="AU343" s="154" t="n"/>
      <c r="AV343" s="154" t="n"/>
      <c r="AW343" s="154" t="n"/>
      <c r="AX343" s="154" t="n"/>
      <c r="AY343" s="154" t="n"/>
      <c r="AZ343" s="154" t="n"/>
      <c r="BA343" s="154" t="n"/>
      <c r="BB343" s="154" t="n"/>
      <c r="BC343" s="154" t="n"/>
      <c r="BD343" s="154" t="n"/>
      <c r="BE343" s="154" t="n"/>
      <c r="BF343" s="154" t="n"/>
      <c r="BG343" s="154" t="n"/>
      <c r="BH343" s="154" t="n"/>
    </row>
    <row r="344" ht="15.75" customHeight="1" s="251">
      <c r="A344" s="153" t="n"/>
      <c r="B344" s="154" t="n"/>
      <c r="C344" s="154" t="n"/>
      <c r="D344" s="154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  <c r="AA344" s="154" t="n"/>
      <c r="AB344" s="154" t="n"/>
      <c r="AC344" s="154" t="n"/>
      <c r="AD344" s="154" t="n"/>
      <c r="AE344" s="154" t="n"/>
      <c r="AF344" s="154" t="n"/>
      <c r="AG344" s="154" t="n"/>
      <c r="AH344" s="154" t="n"/>
      <c r="AI344" s="154" t="n"/>
      <c r="AJ344" s="154" t="n"/>
      <c r="AK344" s="154" t="n"/>
      <c r="AL344" s="154" t="n"/>
      <c r="AM344" s="154" t="n"/>
      <c r="AN344" s="154" t="n"/>
      <c r="AO344" s="154" t="n"/>
      <c r="AP344" s="154" t="n"/>
      <c r="AQ344" s="154" t="n"/>
      <c r="AR344" s="154" t="n"/>
      <c r="AS344" s="154" t="n"/>
      <c r="AT344" s="154" t="n"/>
      <c r="AU344" s="154" t="n"/>
      <c r="AV344" s="154" t="n"/>
      <c r="AW344" s="154" t="n"/>
      <c r="AX344" s="154" t="n"/>
      <c r="AY344" s="154" t="n"/>
      <c r="AZ344" s="154" t="n"/>
      <c r="BA344" s="154" t="n"/>
      <c r="BB344" s="154" t="n"/>
      <c r="BC344" s="154" t="n"/>
      <c r="BD344" s="154" t="n"/>
      <c r="BE344" s="154" t="n"/>
      <c r="BF344" s="154" t="n"/>
      <c r="BG344" s="154" t="n"/>
      <c r="BH344" s="154" t="n"/>
    </row>
    <row r="345" ht="15.75" customHeight="1" s="251">
      <c r="A345" s="153" t="n"/>
      <c r="B345" s="154" t="n"/>
      <c r="C345" s="154" t="n"/>
      <c r="D345" s="154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  <c r="AA345" s="154" t="n"/>
      <c r="AB345" s="154" t="n"/>
      <c r="AC345" s="154" t="n"/>
      <c r="AD345" s="154" t="n"/>
      <c r="AE345" s="154" t="n"/>
      <c r="AF345" s="154" t="n"/>
      <c r="AG345" s="154" t="n"/>
      <c r="AH345" s="154" t="n"/>
      <c r="AI345" s="154" t="n"/>
      <c r="AJ345" s="154" t="n"/>
      <c r="AK345" s="154" t="n"/>
      <c r="AL345" s="154" t="n"/>
      <c r="AM345" s="154" t="n"/>
      <c r="AN345" s="154" t="n"/>
      <c r="AO345" s="154" t="n"/>
      <c r="AP345" s="154" t="n"/>
      <c r="AQ345" s="154" t="n"/>
      <c r="AR345" s="154" t="n"/>
      <c r="AS345" s="154" t="n"/>
      <c r="AT345" s="154" t="n"/>
      <c r="AU345" s="154" t="n"/>
      <c r="AV345" s="154" t="n"/>
      <c r="AW345" s="154" t="n"/>
      <c r="AX345" s="154" t="n"/>
      <c r="AY345" s="154" t="n"/>
      <c r="AZ345" s="154" t="n"/>
      <c r="BA345" s="154" t="n"/>
      <c r="BB345" s="154" t="n"/>
      <c r="BC345" s="154" t="n"/>
      <c r="BD345" s="154" t="n"/>
      <c r="BE345" s="154" t="n"/>
      <c r="BF345" s="154" t="n"/>
      <c r="BG345" s="154" t="n"/>
      <c r="BH345" s="154" t="n"/>
    </row>
    <row r="346" ht="15.75" customHeight="1" s="251">
      <c r="A346" s="153" t="n"/>
      <c r="B346" s="154" t="n"/>
      <c r="C346" s="154" t="n"/>
      <c r="D346" s="154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  <c r="AA346" s="154" t="n"/>
      <c r="AB346" s="154" t="n"/>
      <c r="AC346" s="154" t="n"/>
      <c r="AD346" s="154" t="n"/>
      <c r="AE346" s="154" t="n"/>
      <c r="AF346" s="154" t="n"/>
      <c r="AG346" s="154" t="n"/>
      <c r="AH346" s="154" t="n"/>
      <c r="AI346" s="154" t="n"/>
      <c r="AJ346" s="154" t="n"/>
      <c r="AK346" s="154" t="n"/>
      <c r="AL346" s="154" t="n"/>
      <c r="AM346" s="154" t="n"/>
      <c r="AN346" s="154" t="n"/>
      <c r="AO346" s="154" t="n"/>
      <c r="AP346" s="154" t="n"/>
      <c r="AQ346" s="154" t="n"/>
      <c r="AR346" s="154" t="n"/>
      <c r="AS346" s="154" t="n"/>
      <c r="AT346" s="154" t="n"/>
      <c r="AU346" s="154" t="n"/>
      <c r="AV346" s="154" t="n"/>
      <c r="AW346" s="154" t="n"/>
      <c r="AX346" s="154" t="n"/>
      <c r="AY346" s="154" t="n"/>
      <c r="AZ346" s="154" t="n"/>
      <c r="BA346" s="154" t="n"/>
      <c r="BB346" s="154" t="n"/>
      <c r="BC346" s="154" t="n"/>
      <c r="BD346" s="154" t="n"/>
      <c r="BE346" s="154" t="n"/>
      <c r="BF346" s="154" t="n"/>
      <c r="BG346" s="154" t="n"/>
      <c r="BH346" s="154" t="n"/>
    </row>
    <row r="347" ht="15.75" customHeight="1" s="251">
      <c r="A347" s="153" t="n"/>
      <c r="B347" s="154" t="n"/>
      <c r="C347" s="154" t="n"/>
      <c r="D347" s="154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  <c r="AA347" s="154" t="n"/>
      <c r="AB347" s="154" t="n"/>
      <c r="AC347" s="154" t="n"/>
      <c r="AD347" s="154" t="n"/>
      <c r="AE347" s="154" t="n"/>
      <c r="AF347" s="154" t="n"/>
      <c r="AG347" s="154" t="n"/>
      <c r="AH347" s="154" t="n"/>
      <c r="AI347" s="154" t="n"/>
      <c r="AJ347" s="154" t="n"/>
      <c r="AK347" s="154" t="n"/>
      <c r="AL347" s="154" t="n"/>
      <c r="AM347" s="154" t="n"/>
      <c r="AN347" s="154" t="n"/>
      <c r="AO347" s="154" t="n"/>
      <c r="AP347" s="154" t="n"/>
      <c r="AQ347" s="154" t="n"/>
      <c r="AR347" s="154" t="n"/>
      <c r="AS347" s="154" t="n"/>
      <c r="AT347" s="154" t="n"/>
      <c r="AU347" s="154" t="n"/>
      <c r="AV347" s="154" t="n"/>
      <c r="AW347" s="154" t="n"/>
      <c r="AX347" s="154" t="n"/>
      <c r="AY347" s="154" t="n"/>
      <c r="AZ347" s="154" t="n"/>
      <c r="BA347" s="154" t="n"/>
      <c r="BB347" s="154" t="n"/>
      <c r="BC347" s="154" t="n"/>
      <c r="BD347" s="154" t="n"/>
      <c r="BE347" s="154" t="n"/>
      <c r="BF347" s="154" t="n"/>
      <c r="BG347" s="154" t="n"/>
      <c r="BH347" s="154" t="n"/>
    </row>
    <row r="348" ht="15.75" customHeight="1" s="251">
      <c r="A348" s="153" t="n"/>
      <c r="B348" s="154" t="n"/>
      <c r="C348" s="154" t="n"/>
      <c r="D348" s="154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  <c r="AA348" s="154" t="n"/>
      <c r="AB348" s="154" t="n"/>
      <c r="AC348" s="154" t="n"/>
      <c r="AD348" s="154" t="n"/>
      <c r="AE348" s="154" t="n"/>
      <c r="AF348" s="154" t="n"/>
      <c r="AG348" s="154" t="n"/>
      <c r="AH348" s="154" t="n"/>
      <c r="AI348" s="154" t="n"/>
      <c r="AJ348" s="154" t="n"/>
      <c r="AK348" s="154" t="n"/>
      <c r="AL348" s="154" t="n"/>
      <c r="AM348" s="154" t="n"/>
      <c r="AN348" s="154" t="n"/>
      <c r="AO348" s="154" t="n"/>
      <c r="AP348" s="154" t="n"/>
      <c r="AQ348" s="154" t="n"/>
      <c r="AR348" s="154" t="n"/>
      <c r="AS348" s="154" t="n"/>
      <c r="AT348" s="154" t="n"/>
      <c r="AU348" s="154" t="n"/>
      <c r="AV348" s="154" t="n"/>
      <c r="AW348" s="154" t="n"/>
      <c r="AX348" s="154" t="n"/>
      <c r="AY348" s="154" t="n"/>
      <c r="AZ348" s="154" t="n"/>
      <c r="BA348" s="154" t="n"/>
      <c r="BB348" s="154" t="n"/>
      <c r="BC348" s="154" t="n"/>
      <c r="BD348" s="154" t="n"/>
      <c r="BE348" s="154" t="n"/>
      <c r="BF348" s="154" t="n"/>
      <c r="BG348" s="154" t="n"/>
      <c r="BH348" s="154" t="n"/>
    </row>
    <row r="349" ht="15.75" customHeight="1" s="251">
      <c r="A349" s="153" t="n"/>
      <c r="B349" s="154" t="n"/>
      <c r="C349" s="154" t="n"/>
      <c r="D349" s="154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  <c r="AA349" s="154" t="n"/>
      <c r="AB349" s="154" t="n"/>
      <c r="AC349" s="154" t="n"/>
      <c r="AD349" s="154" t="n"/>
      <c r="AE349" s="154" t="n"/>
      <c r="AF349" s="154" t="n"/>
      <c r="AG349" s="154" t="n"/>
      <c r="AH349" s="154" t="n"/>
      <c r="AI349" s="154" t="n"/>
      <c r="AJ349" s="154" t="n"/>
      <c r="AK349" s="154" t="n"/>
      <c r="AL349" s="154" t="n"/>
      <c r="AM349" s="154" t="n"/>
      <c r="AN349" s="154" t="n"/>
      <c r="AO349" s="154" t="n"/>
      <c r="AP349" s="154" t="n"/>
      <c r="AQ349" s="154" t="n"/>
      <c r="AR349" s="154" t="n"/>
      <c r="AS349" s="154" t="n"/>
      <c r="AT349" s="154" t="n"/>
      <c r="AU349" s="154" t="n"/>
      <c r="AV349" s="154" t="n"/>
      <c r="AW349" s="154" t="n"/>
      <c r="AX349" s="154" t="n"/>
      <c r="AY349" s="154" t="n"/>
      <c r="AZ349" s="154" t="n"/>
      <c r="BA349" s="154" t="n"/>
      <c r="BB349" s="154" t="n"/>
      <c r="BC349" s="154" t="n"/>
      <c r="BD349" s="154" t="n"/>
      <c r="BE349" s="154" t="n"/>
      <c r="BF349" s="154" t="n"/>
      <c r="BG349" s="154" t="n"/>
      <c r="BH349" s="154" t="n"/>
    </row>
    <row r="350" ht="15.75" customHeight="1" s="251">
      <c r="A350" s="153" t="n"/>
      <c r="B350" s="154" t="n"/>
      <c r="C350" s="154" t="n"/>
      <c r="D350" s="154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  <c r="AA350" s="154" t="n"/>
      <c r="AB350" s="154" t="n"/>
      <c r="AC350" s="154" t="n"/>
      <c r="AD350" s="154" t="n"/>
      <c r="AE350" s="154" t="n"/>
      <c r="AF350" s="154" t="n"/>
      <c r="AG350" s="154" t="n"/>
      <c r="AH350" s="154" t="n"/>
      <c r="AI350" s="154" t="n"/>
      <c r="AJ350" s="154" t="n"/>
      <c r="AK350" s="154" t="n"/>
      <c r="AL350" s="154" t="n"/>
      <c r="AM350" s="154" t="n"/>
      <c r="AN350" s="154" t="n"/>
      <c r="AO350" s="154" t="n"/>
      <c r="AP350" s="154" t="n"/>
      <c r="AQ350" s="154" t="n"/>
      <c r="AR350" s="154" t="n"/>
      <c r="AS350" s="154" t="n"/>
      <c r="AT350" s="154" t="n"/>
      <c r="AU350" s="154" t="n"/>
      <c r="AV350" s="154" t="n"/>
      <c r="AW350" s="154" t="n"/>
      <c r="AX350" s="154" t="n"/>
      <c r="AY350" s="154" t="n"/>
      <c r="AZ350" s="154" t="n"/>
      <c r="BA350" s="154" t="n"/>
      <c r="BB350" s="154" t="n"/>
      <c r="BC350" s="154" t="n"/>
      <c r="BD350" s="154" t="n"/>
      <c r="BE350" s="154" t="n"/>
      <c r="BF350" s="154" t="n"/>
      <c r="BG350" s="154" t="n"/>
      <c r="BH350" s="154" t="n"/>
    </row>
    <row r="351" ht="15.75" customHeight="1" s="251">
      <c r="A351" s="153" t="n"/>
      <c r="B351" s="154" t="n"/>
      <c r="C351" s="154" t="n"/>
      <c r="D351" s="154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  <c r="AA351" s="154" t="n"/>
      <c r="AB351" s="154" t="n"/>
      <c r="AC351" s="154" t="n"/>
      <c r="AD351" s="154" t="n"/>
      <c r="AE351" s="154" t="n"/>
      <c r="AF351" s="154" t="n"/>
      <c r="AG351" s="154" t="n"/>
      <c r="AH351" s="154" t="n"/>
      <c r="AI351" s="154" t="n"/>
      <c r="AJ351" s="154" t="n"/>
      <c r="AK351" s="154" t="n"/>
      <c r="AL351" s="154" t="n"/>
      <c r="AM351" s="154" t="n"/>
      <c r="AN351" s="154" t="n"/>
      <c r="AO351" s="154" t="n"/>
      <c r="AP351" s="154" t="n"/>
      <c r="AQ351" s="154" t="n"/>
      <c r="AR351" s="154" t="n"/>
      <c r="AS351" s="154" t="n"/>
      <c r="AT351" s="154" t="n"/>
      <c r="AU351" s="154" t="n"/>
      <c r="AV351" s="154" t="n"/>
      <c r="AW351" s="154" t="n"/>
      <c r="AX351" s="154" t="n"/>
      <c r="AY351" s="154" t="n"/>
      <c r="AZ351" s="154" t="n"/>
      <c r="BA351" s="154" t="n"/>
      <c r="BB351" s="154" t="n"/>
      <c r="BC351" s="154" t="n"/>
      <c r="BD351" s="154" t="n"/>
      <c r="BE351" s="154" t="n"/>
      <c r="BF351" s="154" t="n"/>
      <c r="BG351" s="154" t="n"/>
      <c r="BH351" s="154" t="n"/>
    </row>
    <row r="352" ht="15.75" customHeight="1" s="251">
      <c r="A352" s="153" t="n"/>
      <c r="B352" s="154" t="n"/>
      <c r="C352" s="154" t="n"/>
      <c r="D352" s="154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  <c r="AA352" s="154" t="n"/>
      <c r="AB352" s="154" t="n"/>
      <c r="AC352" s="154" t="n"/>
      <c r="AD352" s="154" t="n"/>
      <c r="AE352" s="154" t="n"/>
      <c r="AF352" s="154" t="n"/>
      <c r="AG352" s="154" t="n"/>
      <c r="AH352" s="154" t="n"/>
      <c r="AI352" s="154" t="n"/>
      <c r="AJ352" s="154" t="n"/>
      <c r="AK352" s="154" t="n"/>
      <c r="AL352" s="154" t="n"/>
      <c r="AM352" s="154" t="n"/>
      <c r="AN352" s="154" t="n"/>
      <c r="AO352" s="154" t="n"/>
      <c r="AP352" s="154" t="n"/>
      <c r="AQ352" s="154" t="n"/>
      <c r="AR352" s="154" t="n"/>
      <c r="AS352" s="154" t="n"/>
      <c r="AT352" s="154" t="n"/>
      <c r="AU352" s="154" t="n"/>
      <c r="AV352" s="154" t="n"/>
      <c r="AW352" s="154" t="n"/>
      <c r="AX352" s="154" t="n"/>
      <c r="AY352" s="154" t="n"/>
      <c r="AZ352" s="154" t="n"/>
      <c r="BA352" s="154" t="n"/>
      <c r="BB352" s="154" t="n"/>
      <c r="BC352" s="154" t="n"/>
      <c r="BD352" s="154" t="n"/>
      <c r="BE352" s="154" t="n"/>
      <c r="BF352" s="154" t="n"/>
      <c r="BG352" s="154" t="n"/>
      <c r="BH352" s="154" t="n"/>
    </row>
    <row r="353" ht="15.75" customHeight="1" s="251">
      <c r="A353" s="153" t="n"/>
      <c r="B353" s="154" t="n"/>
      <c r="C353" s="154" t="n"/>
      <c r="D353" s="154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  <c r="AA353" s="154" t="n"/>
      <c r="AB353" s="154" t="n"/>
      <c r="AC353" s="154" t="n"/>
      <c r="AD353" s="154" t="n"/>
      <c r="AE353" s="154" t="n"/>
      <c r="AF353" s="154" t="n"/>
      <c r="AG353" s="154" t="n"/>
      <c r="AH353" s="154" t="n"/>
      <c r="AI353" s="154" t="n"/>
      <c r="AJ353" s="154" t="n"/>
      <c r="AK353" s="154" t="n"/>
      <c r="AL353" s="154" t="n"/>
      <c r="AM353" s="154" t="n"/>
      <c r="AN353" s="154" t="n"/>
      <c r="AO353" s="154" t="n"/>
      <c r="AP353" s="154" t="n"/>
      <c r="AQ353" s="154" t="n"/>
      <c r="AR353" s="154" t="n"/>
      <c r="AS353" s="154" t="n"/>
      <c r="AT353" s="154" t="n"/>
      <c r="AU353" s="154" t="n"/>
      <c r="AV353" s="154" t="n"/>
      <c r="AW353" s="154" t="n"/>
      <c r="AX353" s="154" t="n"/>
      <c r="AY353" s="154" t="n"/>
      <c r="AZ353" s="154" t="n"/>
      <c r="BA353" s="154" t="n"/>
      <c r="BB353" s="154" t="n"/>
      <c r="BC353" s="154" t="n"/>
      <c r="BD353" s="154" t="n"/>
      <c r="BE353" s="154" t="n"/>
      <c r="BF353" s="154" t="n"/>
      <c r="BG353" s="154" t="n"/>
      <c r="BH353" s="154" t="n"/>
    </row>
    <row r="354" ht="15.75" customHeight="1" s="251">
      <c r="A354" s="153" t="n"/>
      <c r="B354" s="154" t="n"/>
      <c r="C354" s="154" t="n"/>
      <c r="D354" s="154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  <c r="AA354" s="154" t="n"/>
      <c r="AB354" s="154" t="n"/>
      <c r="AC354" s="154" t="n"/>
      <c r="AD354" s="154" t="n"/>
      <c r="AE354" s="154" t="n"/>
      <c r="AF354" s="154" t="n"/>
      <c r="AG354" s="154" t="n"/>
      <c r="AH354" s="154" t="n"/>
      <c r="AI354" s="154" t="n"/>
      <c r="AJ354" s="154" t="n"/>
      <c r="AK354" s="154" t="n"/>
      <c r="AL354" s="154" t="n"/>
      <c r="AM354" s="154" t="n"/>
      <c r="AN354" s="154" t="n"/>
      <c r="AO354" s="154" t="n"/>
      <c r="AP354" s="154" t="n"/>
      <c r="AQ354" s="154" t="n"/>
      <c r="AR354" s="154" t="n"/>
      <c r="AS354" s="154" t="n"/>
      <c r="AT354" s="154" t="n"/>
      <c r="AU354" s="154" t="n"/>
      <c r="AV354" s="154" t="n"/>
      <c r="AW354" s="154" t="n"/>
      <c r="AX354" s="154" t="n"/>
      <c r="AY354" s="154" t="n"/>
      <c r="AZ354" s="154" t="n"/>
      <c r="BA354" s="154" t="n"/>
      <c r="BB354" s="154" t="n"/>
      <c r="BC354" s="154" t="n"/>
      <c r="BD354" s="154" t="n"/>
      <c r="BE354" s="154" t="n"/>
      <c r="BF354" s="154" t="n"/>
      <c r="BG354" s="154" t="n"/>
      <c r="BH354" s="154" t="n"/>
    </row>
    <row r="355" ht="15.75" customHeight="1" s="251">
      <c r="A355" s="153" t="n"/>
      <c r="B355" s="154" t="n"/>
      <c r="C355" s="154" t="n"/>
      <c r="D355" s="154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  <c r="AA355" s="154" t="n"/>
      <c r="AB355" s="154" t="n"/>
      <c r="AC355" s="154" t="n"/>
      <c r="AD355" s="154" t="n"/>
      <c r="AE355" s="154" t="n"/>
      <c r="AF355" s="154" t="n"/>
      <c r="AG355" s="154" t="n"/>
      <c r="AH355" s="154" t="n"/>
      <c r="AI355" s="154" t="n"/>
      <c r="AJ355" s="154" t="n"/>
      <c r="AK355" s="154" t="n"/>
      <c r="AL355" s="154" t="n"/>
      <c r="AM355" s="154" t="n"/>
      <c r="AN355" s="154" t="n"/>
      <c r="AO355" s="154" t="n"/>
      <c r="AP355" s="154" t="n"/>
      <c r="AQ355" s="154" t="n"/>
      <c r="AR355" s="154" t="n"/>
      <c r="AS355" s="154" t="n"/>
      <c r="AT355" s="154" t="n"/>
      <c r="AU355" s="154" t="n"/>
      <c r="AV355" s="154" t="n"/>
      <c r="AW355" s="154" t="n"/>
      <c r="AX355" s="154" t="n"/>
      <c r="AY355" s="154" t="n"/>
      <c r="AZ355" s="154" t="n"/>
      <c r="BA355" s="154" t="n"/>
      <c r="BB355" s="154" t="n"/>
      <c r="BC355" s="154" t="n"/>
      <c r="BD355" s="154" t="n"/>
      <c r="BE355" s="154" t="n"/>
      <c r="BF355" s="154" t="n"/>
      <c r="BG355" s="154" t="n"/>
      <c r="BH355" s="154" t="n"/>
    </row>
    <row r="356" ht="15.75" customHeight="1" s="251">
      <c r="A356" s="153" t="n"/>
      <c r="B356" s="154" t="n"/>
      <c r="C356" s="154" t="n"/>
      <c r="D356" s="154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  <c r="AA356" s="154" t="n"/>
      <c r="AB356" s="154" t="n"/>
      <c r="AC356" s="154" t="n"/>
      <c r="AD356" s="154" t="n"/>
      <c r="AE356" s="154" t="n"/>
      <c r="AF356" s="154" t="n"/>
      <c r="AG356" s="154" t="n"/>
      <c r="AH356" s="154" t="n"/>
      <c r="AI356" s="154" t="n"/>
      <c r="AJ356" s="154" t="n"/>
      <c r="AK356" s="154" t="n"/>
      <c r="AL356" s="154" t="n"/>
      <c r="AM356" s="154" t="n"/>
      <c r="AN356" s="154" t="n"/>
      <c r="AO356" s="154" t="n"/>
      <c r="AP356" s="154" t="n"/>
      <c r="AQ356" s="154" t="n"/>
      <c r="AR356" s="154" t="n"/>
      <c r="AS356" s="154" t="n"/>
      <c r="AT356" s="154" t="n"/>
      <c r="AU356" s="154" t="n"/>
      <c r="AV356" s="154" t="n"/>
      <c r="AW356" s="154" t="n"/>
      <c r="AX356" s="154" t="n"/>
      <c r="AY356" s="154" t="n"/>
      <c r="AZ356" s="154" t="n"/>
      <c r="BA356" s="154" t="n"/>
      <c r="BB356" s="154" t="n"/>
      <c r="BC356" s="154" t="n"/>
      <c r="BD356" s="154" t="n"/>
      <c r="BE356" s="154" t="n"/>
      <c r="BF356" s="154" t="n"/>
      <c r="BG356" s="154" t="n"/>
      <c r="BH356" s="154" t="n"/>
    </row>
    <row r="357" ht="15.75" customHeight="1" s="251">
      <c r="A357" s="153" t="n"/>
      <c r="B357" s="154" t="n"/>
      <c r="C357" s="154" t="n"/>
      <c r="D357" s="154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  <c r="AA357" s="154" t="n"/>
      <c r="AB357" s="154" t="n"/>
      <c r="AC357" s="154" t="n"/>
      <c r="AD357" s="154" t="n"/>
      <c r="AE357" s="154" t="n"/>
      <c r="AF357" s="154" t="n"/>
      <c r="AG357" s="154" t="n"/>
      <c r="AH357" s="154" t="n"/>
      <c r="AI357" s="154" t="n"/>
      <c r="AJ357" s="154" t="n"/>
      <c r="AK357" s="154" t="n"/>
      <c r="AL357" s="154" t="n"/>
      <c r="AM357" s="154" t="n"/>
      <c r="AN357" s="154" t="n"/>
      <c r="AO357" s="154" t="n"/>
      <c r="AP357" s="154" t="n"/>
      <c r="AQ357" s="154" t="n"/>
      <c r="AR357" s="154" t="n"/>
      <c r="AS357" s="154" t="n"/>
      <c r="AT357" s="154" t="n"/>
      <c r="AU357" s="154" t="n"/>
      <c r="AV357" s="154" t="n"/>
      <c r="AW357" s="154" t="n"/>
      <c r="AX357" s="154" t="n"/>
      <c r="AY357" s="154" t="n"/>
      <c r="AZ357" s="154" t="n"/>
      <c r="BA357" s="154" t="n"/>
      <c r="BB357" s="154" t="n"/>
      <c r="BC357" s="154" t="n"/>
      <c r="BD357" s="154" t="n"/>
      <c r="BE357" s="154" t="n"/>
      <c r="BF357" s="154" t="n"/>
      <c r="BG357" s="154" t="n"/>
      <c r="BH357" s="154" t="n"/>
    </row>
    <row r="358" ht="15.75" customHeight="1" s="251">
      <c r="A358" s="153" t="n"/>
      <c r="B358" s="154" t="n"/>
      <c r="C358" s="154" t="n"/>
      <c r="D358" s="154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  <c r="AA358" s="154" t="n"/>
      <c r="AB358" s="154" t="n"/>
      <c r="AC358" s="154" t="n"/>
      <c r="AD358" s="154" t="n"/>
      <c r="AE358" s="154" t="n"/>
      <c r="AF358" s="154" t="n"/>
      <c r="AG358" s="154" t="n"/>
      <c r="AH358" s="154" t="n"/>
      <c r="AI358" s="154" t="n"/>
      <c r="AJ358" s="154" t="n"/>
      <c r="AK358" s="154" t="n"/>
      <c r="AL358" s="154" t="n"/>
      <c r="AM358" s="154" t="n"/>
      <c r="AN358" s="154" t="n"/>
      <c r="AO358" s="154" t="n"/>
      <c r="AP358" s="154" t="n"/>
      <c r="AQ358" s="154" t="n"/>
      <c r="AR358" s="154" t="n"/>
      <c r="AS358" s="154" t="n"/>
      <c r="AT358" s="154" t="n"/>
      <c r="AU358" s="154" t="n"/>
      <c r="AV358" s="154" t="n"/>
      <c r="AW358" s="154" t="n"/>
      <c r="AX358" s="154" t="n"/>
      <c r="AY358" s="154" t="n"/>
      <c r="AZ358" s="154" t="n"/>
      <c r="BA358" s="154" t="n"/>
      <c r="BB358" s="154" t="n"/>
      <c r="BC358" s="154" t="n"/>
      <c r="BD358" s="154" t="n"/>
      <c r="BE358" s="154" t="n"/>
      <c r="BF358" s="154" t="n"/>
      <c r="BG358" s="154" t="n"/>
      <c r="BH358" s="154" t="n"/>
    </row>
    <row r="359" ht="15.75" customHeight="1" s="251">
      <c r="A359" s="153" t="n"/>
      <c r="B359" s="154" t="n"/>
      <c r="C359" s="154" t="n"/>
      <c r="D359" s="154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  <c r="AA359" s="154" t="n"/>
      <c r="AB359" s="154" t="n"/>
      <c r="AC359" s="154" t="n"/>
      <c r="AD359" s="154" t="n"/>
      <c r="AE359" s="154" t="n"/>
      <c r="AF359" s="154" t="n"/>
      <c r="AG359" s="154" t="n"/>
      <c r="AH359" s="154" t="n"/>
      <c r="AI359" s="154" t="n"/>
      <c r="AJ359" s="154" t="n"/>
      <c r="AK359" s="154" t="n"/>
      <c r="AL359" s="154" t="n"/>
      <c r="AM359" s="154" t="n"/>
      <c r="AN359" s="154" t="n"/>
      <c r="AO359" s="154" t="n"/>
      <c r="AP359" s="154" t="n"/>
      <c r="AQ359" s="154" t="n"/>
      <c r="AR359" s="154" t="n"/>
      <c r="AS359" s="154" t="n"/>
      <c r="AT359" s="154" t="n"/>
      <c r="AU359" s="154" t="n"/>
      <c r="AV359" s="154" t="n"/>
      <c r="AW359" s="154" t="n"/>
      <c r="AX359" s="154" t="n"/>
      <c r="AY359" s="154" t="n"/>
      <c r="AZ359" s="154" t="n"/>
      <c r="BA359" s="154" t="n"/>
      <c r="BB359" s="154" t="n"/>
      <c r="BC359" s="154" t="n"/>
      <c r="BD359" s="154" t="n"/>
      <c r="BE359" s="154" t="n"/>
      <c r="BF359" s="154" t="n"/>
      <c r="BG359" s="154" t="n"/>
      <c r="BH359" s="154" t="n"/>
    </row>
    <row r="360" ht="15.75" customHeight="1" s="251">
      <c r="A360" s="153" t="n"/>
      <c r="B360" s="154" t="n"/>
      <c r="C360" s="154" t="n"/>
      <c r="D360" s="154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  <c r="AA360" s="154" t="n"/>
      <c r="AB360" s="154" t="n"/>
      <c r="AC360" s="154" t="n"/>
      <c r="AD360" s="154" t="n"/>
      <c r="AE360" s="154" t="n"/>
      <c r="AF360" s="154" t="n"/>
      <c r="AG360" s="154" t="n"/>
      <c r="AH360" s="154" t="n"/>
      <c r="AI360" s="154" t="n"/>
      <c r="AJ360" s="154" t="n"/>
      <c r="AK360" s="154" t="n"/>
      <c r="AL360" s="154" t="n"/>
      <c r="AM360" s="154" t="n"/>
      <c r="AN360" s="154" t="n"/>
      <c r="AO360" s="154" t="n"/>
      <c r="AP360" s="154" t="n"/>
      <c r="AQ360" s="154" t="n"/>
      <c r="AR360" s="154" t="n"/>
      <c r="AS360" s="154" t="n"/>
      <c r="AT360" s="154" t="n"/>
      <c r="AU360" s="154" t="n"/>
      <c r="AV360" s="154" t="n"/>
      <c r="AW360" s="154" t="n"/>
      <c r="AX360" s="154" t="n"/>
      <c r="AY360" s="154" t="n"/>
      <c r="AZ360" s="154" t="n"/>
      <c r="BA360" s="154" t="n"/>
      <c r="BB360" s="154" t="n"/>
      <c r="BC360" s="154" t="n"/>
      <c r="BD360" s="154" t="n"/>
      <c r="BE360" s="154" t="n"/>
      <c r="BF360" s="154" t="n"/>
      <c r="BG360" s="154" t="n"/>
      <c r="BH360" s="154" t="n"/>
    </row>
    <row r="361" ht="15.75" customHeight="1" s="251">
      <c r="A361" s="153" t="n"/>
      <c r="B361" s="154" t="n"/>
      <c r="C361" s="154" t="n"/>
      <c r="D361" s="154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  <c r="AA361" s="154" t="n"/>
      <c r="AB361" s="154" t="n"/>
      <c r="AC361" s="154" t="n"/>
      <c r="AD361" s="154" t="n"/>
      <c r="AE361" s="154" t="n"/>
      <c r="AF361" s="154" t="n"/>
      <c r="AG361" s="154" t="n"/>
      <c r="AH361" s="154" t="n"/>
      <c r="AI361" s="154" t="n"/>
      <c r="AJ361" s="154" t="n"/>
      <c r="AK361" s="154" t="n"/>
      <c r="AL361" s="154" t="n"/>
      <c r="AM361" s="154" t="n"/>
      <c r="AN361" s="154" t="n"/>
      <c r="AO361" s="154" t="n"/>
      <c r="AP361" s="154" t="n"/>
      <c r="AQ361" s="154" t="n"/>
      <c r="AR361" s="154" t="n"/>
      <c r="AS361" s="154" t="n"/>
      <c r="AT361" s="154" t="n"/>
      <c r="AU361" s="154" t="n"/>
      <c r="AV361" s="154" t="n"/>
      <c r="AW361" s="154" t="n"/>
      <c r="AX361" s="154" t="n"/>
      <c r="AY361" s="154" t="n"/>
      <c r="AZ361" s="154" t="n"/>
      <c r="BA361" s="154" t="n"/>
      <c r="BB361" s="154" t="n"/>
      <c r="BC361" s="154" t="n"/>
      <c r="BD361" s="154" t="n"/>
      <c r="BE361" s="154" t="n"/>
      <c r="BF361" s="154" t="n"/>
      <c r="BG361" s="154" t="n"/>
      <c r="BH361" s="154" t="n"/>
    </row>
    <row r="362" ht="15.75" customHeight="1" s="251">
      <c r="A362" s="153" t="n"/>
      <c r="B362" s="154" t="n"/>
      <c r="C362" s="154" t="n"/>
      <c r="D362" s="154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  <c r="AA362" s="154" t="n"/>
      <c r="AB362" s="154" t="n"/>
      <c r="AC362" s="154" t="n"/>
      <c r="AD362" s="154" t="n"/>
      <c r="AE362" s="154" t="n"/>
      <c r="AF362" s="154" t="n"/>
      <c r="AG362" s="154" t="n"/>
      <c r="AH362" s="154" t="n"/>
      <c r="AI362" s="154" t="n"/>
      <c r="AJ362" s="154" t="n"/>
      <c r="AK362" s="154" t="n"/>
      <c r="AL362" s="154" t="n"/>
      <c r="AM362" s="154" t="n"/>
      <c r="AN362" s="154" t="n"/>
      <c r="AO362" s="154" t="n"/>
      <c r="AP362" s="154" t="n"/>
      <c r="AQ362" s="154" t="n"/>
      <c r="AR362" s="154" t="n"/>
      <c r="AS362" s="154" t="n"/>
      <c r="AT362" s="154" t="n"/>
      <c r="AU362" s="154" t="n"/>
      <c r="AV362" s="154" t="n"/>
      <c r="AW362" s="154" t="n"/>
      <c r="AX362" s="154" t="n"/>
      <c r="AY362" s="154" t="n"/>
      <c r="AZ362" s="154" t="n"/>
      <c r="BA362" s="154" t="n"/>
      <c r="BB362" s="154" t="n"/>
      <c r="BC362" s="154" t="n"/>
      <c r="BD362" s="154" t="n"/>
      <c r="BE362" s="154" t="n"/>
      <c r="BF362" s="154" t="n"/>
      <c r="BG362" s="154" t="n"/>
      <c r="BH362" s="154" t="n"/>
    </row>
    <row r="363" ht="15.75" customHeight="1" s="251">
      <c r="A363" s="153" t="n"/>
      <c r="B363" s="154" t="n"/>
      <c r="C363" s="154" t="n"/>
      <c r="D363" s="154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  <c r="AA363" s="154" t="n"/>
      <c r="AB363" s="154" t="n"/>
      <c r="AC363" s="154" t="n"/>
      <c r="AD363" s="154" t="n"/>
      <c r="AE363" s="154" t="n"/>
      <c r="AF363" s="154" t="n"/>
      <c r="AG363" s="154" t="n"/>
      <c r="AH363" s="154" t="n"/>
      <c r="AI363" s="154" t="n"/>
      <c r="AJ363" s="154" t="n"/>
      <c r="AK363" s="154" t="n"/>
      <c r="AL363" s="154" t="n"/>
      <c r="AM363" s="154" t="n"/>
      <c r="AN363" s="154" t="n"/>
      <c r="AO363" s="154" t="n"/>
      <c r="AP363" s="154" t="n"/>
      <c r="AQ363" s="154" t="n"/>
      <c r="AR363" s="154" t="n"/>
      <c r="AS363" s="154" t="n"/>
      <c r="AT363" s="154" t="n"/>
      <c r="AU363" s="154" t="n"/>
      <c r="AV363" s="154" t="n"/>
      <c r="AW363" s="154" t="n"/>
      <c r="AX363" s="154" t="n"/>
      <c r="AY363" s="154" t="n"/>
      <c r="AZ363" s="154" t="n"/>
      <c r="BA363" s="154" t="n"/>
      <c r="BB363" s="154" t="n"/>
      <c r="BC363" s="154" t="n"/>
      <c r="BD363" s="154" t="n"/>
      <c r="BE363" s="154" t="n"/>
      <c r="BF363" s="154" t="n"/>
      <c r="BG363" s="154" t="n"/>
      <c r="BH363" s="154" t="n"/>
    </row>
    <row r="364" ht="15.75" customHeight="1" s="251">
      <c r="A364" s="153" t="n"/>
      <c r="B364" s="154" t="n"/>
      <c r="C364" s="154" t="n"/>
      <c r="D364" s="154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  <c r="AA364" s="154" t="n"/>
      <c r="AB364" s="154" t="n"/>
      <c r="AC364" s="154" t="n"/>
      <c r="AD364" s="154" t="n"/>
      <c r="AE364" s="154" t="n"/>
      <c r="AF364" s="154" t="n"/>
      <c r="AG364" s="154" t="n"/>
      <c r="AH364" s="154" t="n"/>
      <c r="AI364" s="154" t="n"/>
      <c r="AJ364" s="154" t="n"/>
      <c r="AK364" s="154" t="n"/>
      <c r="AL364" s="154" t="n"/>
      <c r="AM364" s="154" t="n"/>
      <c r="AN364" s="154" t="n"/>
      <c r="AO364" s="154" t="n"/>
      <c r="AP364" s="154" t="n"/>
      <c r="AQ364" s="154" t="n"/>
      <c r="AR364" s="154" t="n"/>
      <c r="AS364" s="154" t="n"/>
      <c r="AT364" s="154" t="n"/>
      <c r="AU364" s="154" t="n"/>
      <c r="AV364" s="154" t="n"/>
      <c r="AW364" s="154" t="n"/>
      <c r="AX364" s="154" t="n"/>
      <c r="AY364" s="154" t="n"/>
      <c r="AZ364" s="154" t="n"/>
      <c r="BA364" s="154" t="n"/>
      <c r="BB364" s="154" t="n"/>
      <c r="BC364" s="154" t="n"/>
      <c r="BD364" s="154" t="n"/>
      <c r="BE364" s="154" t="n"/>
      <c r="BF364" s="154" t="n"/>
      <c r="BG364" s="154" t="n"/>
      <c r="BH364" s="154" t="n"/>
    </row>
    <row r="365" ht="15.75" customHeight="1" s="251">
      <c r="A365" s="153" t="n"/>
      <c r="B365" s="154" t="n"/>
      <c r="C365" s="154" t="n"/>
      <c r="D365" s="154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  <c r="AA365" s="154" t="n"/>
      <c r="AB365" s="154" t="n"/>
      <c r="AC365" s="154" t="n"/>
      <c r="AD365" s="154" t="n"/>
      <c r="AE365" s="154" t="n"/>
      <c r="AF365" s="154" t="n"/>
      <c r="AG365" s="154" t="n"/>
      <c r="AH365" s="154" t="n"/>
      <c r="AI365" s="154" t="n"/>
      <c r="AJ365" s="154" t="n"/>
      <c r="AK365" s="154" t="n"/>
      <c r="AL365" s="154" t="n"/>
      <c r="AM365" s="154" t="n"/>
      <c r="AN365" s="154" t="n"/>
      <c r="AO365" s="154" t="n"/>
      <c r="AP365" s="154" t="n"/>
      <c r="AQ365" s="154" t="n"/>
      <c r="AR365" s="154" t="n"/>
      <c r="AS365" s="154" t="n"/>
      <c r="AT365" s="154" t="n"/>
      <c r="AU365" s="154" t="n"/>
      <c r="AV365" s="154" t="n"/>
      <c r="AW365" s="154" t="n"/>
      <c r="AX365" s="154" t="n"/>
      <c r="AY365" s="154" t="n"/>
      <c r="AZ365" s="154" t="n"/>
      <c r="BA365" s="154" t="n"/>
      <c r="BB365" s="154" t="n"/>
      <c r="BC365" s="154" t="n"/>
      <c r="BD365" s="154" t="n"/>
      <c r="BE365" s="154" t="n"/>
      <c r="BF365" s="154" t="n"/>
      <c r="BG365" s="154" t="n"/>
      <c r="BH365" s="154" t="n"/>
    </row>
    <row r="366" ht="15.75" customHeight="1" s="251">
      <c r="A366" s="153" t="n"/>
      <c r="B366" s="154" t="n"/>
      <c r="C366" s="154" t="n"/>
      <c r="D366" s="154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  <c r="AA366" s="154" t="n"/>
      <c r="AB366" s="154" t="n"/>
      <c r="AC366" s="154" t="n"/>
      <c r="AD366" s="154" t="n"/>
      <c r="AE366" s="154" t="n"/>
      <c r="AF366" s="154" t="n"/>
      <c r="AG366" s="154" t="n"/>
      <c r="AH366" s="154" t="n"/>
      <c r="AI366" s="154" t="n"/>
      <c r="AJ366" s="154" t="n"/>
      <c r="AK366" s="154" t="n"/>
      <c r="AL366" s="154" t="n"/>
      <c r="AM366" s="154" t="n"/>
      <c r="AN366" s="154" t="n"/>
      <c r="AO366" s="154" t="n"/>
      <c r="AP366" s="154" t="n"/>
      <c r="AQ366" s="154" t="n"/>
      <c r="AR366" s="154" t="n"/>
      <c r="AS366" s="154" t="n"/>
      <c r="AT366" s="154" t="n"/>
      <c r="AU366" s="154" t="n"/>
      <c r="AV366" s="154" t="n"/>
      <c r="AW366" s="154" t="n"/>
      <c r="AX366" s="154" t="n"/>
      <c r="AY366" s="154" t="n"/>
      <c r="AZ366" s="154" t="n"/>
      <c r="BA366" s="154" t="n"/>
      <c r="BB366" s="154" t="n"/>
      <c r="BC366" s="154" t="n"/>
      <c r="BD366" s="154" t="n"/>
      <c r="BE366" s="154" t="n"/>
      <c r="BF366" s="154" t="n"/>
      <c r="BG366" s="154" t="n"/>
      <c r="BH366" s="154" t="n"/>
    </row>
    <row r="367" ht="15.75" customHeight="1" s="251">
      <c r="A367" s="153" t="n"/>
      <c r="B367" s="154" t="n"/>
      <c r="C367" s="154" t="n"/>
      <c r="D367" s="154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  <c r="AA367" s="154" t="n"/>
      <c r="AB367" s="154" t="n"/>
      <c r="AC367" s="154" t="n"/>
      <c r="AD367" s="154" t="n"/>
      <c r="AE367" s="154" t="n"/>
      <c r="AF367" s="154" t="n"/>
      <c r="AG367" s="154" t="n"/>
      <c r="AH367" s="154" t="n"/>
      <c r="AI367" s="154" t="n"/>
      <c r="AJ367" s="154" t="n"/>
      <c r="AK367" s="154" t="n"/>
      <c r="AL367" s="154" t="n"/>
      <c r="AM367" s="154" t="n"/>
      <c r="AN367" s="154" t="n"/>
      <c r="AO367" s="154" t="n"/>
      <c r="AP367" s="154" t="n"/>
      <c r="AQ367" s="154" t="n"/>
      <c r="AR367" s="154" t="n"/>
      <c r="AS367" s="154" t="n"/>
      <c r="AT367" s="154" t="n"/>
      <c r="AU367" s="154" t="n"/>
      <c r="AV367" s="154" t="n"/>
      <c r="AW367" s="154" t="n"/>
      <c r="AX367" s="154" t="n"/>
      <c r="AY367" s="154" t="n"/>
      <c r="AZ367" s="154" t="n"/>
      <c r="BA367" s="154" t="n"/>
      <c r="BB367" s="154" t="n"/>
      <c r="BC367" s="154" t="n"/>
      <c r="BD367" s="154" t="n"/>
      <c r="BE367" s="154" t="n"/>
      <c r="BF367" s="154" t="n"/>
      <c r="BG367" s="154" t="n"/>
      <c r="BH367" s="154" t="n"/>
    </row>
    <row r="368" ht="15.75" customHeight="1" s="251">
      <c r="A368" s="153" t="n"/>
      <c r="B368" s="154" t="n"/>
      <c r="C368" s="154" t="n"/>
      <c r="D368" s="154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  <c r="AA368" s="154" t="n"/>
      <c r="AB368" s="154" t="n"/>
      <c r="AC368" s="154" t="n"/>
      <c r="AD368" s="154" t="n"/>
      <c r="AE368" s="154" t="n"/>
      <c r="AF368" s="154" t="n"/>
      <c r="AG368" s="154" t="n"/>
      <c r="AH368" s="154" t="n"/>
      <c r="AI368" s="154" t="n"/>
      <c r="AJ368" s="154" t="n"/>
      <c r="AK368" s="154" t="n"/>
      <c r="AL368" s="154" t="n"/>
      <c r="AM368" s="154" t="n"/>
      <c r="AN368" s="154" t="n"/>
      <c r="AO368" s="154" t="n"/>
      <c r="AP368" s="154" t="n"/>
      <c r="AQ368" s="154" t="n"/>
      <c r="AR368" s="154" t="n"/>
      <c r="AS368" s="154" t="n"/>
      <c r="AT368" s="154" t="n"/>
      <c r="AU368" s="154" t="n"/>
      <c r="AV368" s="154" t="n"/>
      <c r="AW368" s="154" t="n"/>
      <c r="AX368" s="154" t="n"/>
      <c r="AY368" s="154" t="n"/>
      <c r="AZ368" s="154" t="n"/>
      <c r="BA368" s="154" t="n"/>
      <c r="BB368" s="154" t="n"/>
      <c r="BC368" s="154" t="n"/>
      <c r="BD368" s="154" t="n"/>
      <c r="BE368" s="154" t="n"/>
      <c r="BF368" s="154" t="n"/>
      <c r="BG368" s="154" t="n"/>
      <c r="BH368" s="154" t="n"/>
    </row>
    <row r="369" ht="15.75" customHeight="1" s="251">
      <c r="A369" s="153" t="n"/>
      <c r="B369" s="154" t="n"/>
      <c r="C369" s="154" t="n"/>
      <c r="D369" s="154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  <c r="AA369" s="154" t="n"/>
      <c r="AB369" s="154" t="n"/>
      <c r="AC369" s="154" t="n"/>
      <c r="AD369" s="154" t="n"/>
      <c r="AE369" s="154" t="n"/>
      <c r="AF369" s="154" t="n"/>
      <c r="AG369" s="154" t="n"/>
      <c r="AH369" s="154" t="n"/>
      <c r="AI369" s="154" t="n"/>
      <c r="AJ369" s="154" t="n"/>
      <c r="AK369" s="154" t="n"/>
      <c r="AL369" s="154" t="n"/>
      <c r="AM369" s="154" t="n"/>
      <c r="AN369" s="154" t="n"/>
      <c r="AO369" s="154" t="n"/>
      <c r="AP369" s="154" t="n"/>
      <c r="AQ369" s="154" t="n"/>
      <c r="AR369" s="154" t="n"/>
      <c r="AS369" s="154" t="n"/>
      <c r="AT369" s="154" t="n"/>
      <c r="AU369" s="154" t="n"/>
      <c r="AV369" s="154" t="n"/>
      <c r="AW369" s="154" t="n"/>
      <c r="AX369" s="154" t="n"/>
      <c r="AY369" s="154" t="n"/>
      <c r="AZ369" s="154" t="n"/>
      <c r="BA369" s="154" t="n"/>
      <c r="BB369" s="154" t="n"/>
      <c r="BC369" s="154" t="n"/>
      <c r="BD369" s="154" t="n"/>
      <c r="BE369" s="154" t="n"/>
      <c r="BF369" s="154" t="n"/>
      <c r="BG369" s="154" t="n"/>
      <c r="BH369" s="154" t="n"/>
    </row>
    <row r="370" ht="15.75" customHeight="1" s="251">
      <c r="A370" s="153" t="n"/>
      <c r="B370" s="154" t="n"/>
      <c r="C370" s="154" t="n"/>
      <c r="D370" s="154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  <c r="AA370" s="154" t="n"/>
      <c r="AB370" s="154" t="n"/>
      <c r="AC370" s="154" t="n"/>
      <c r="AD370" s="154" t="n"/>
      <c r="AE370" s="154" t="n"/>
      <c r="AF370" s="154" t="n"/>
      <c r="AG370" s="154" t="n"/>
      <c r="AH370" s="154" t="n"/>
      <c r="AI370" s="154" t="n"/>
      <c r="AJ370" s="154" t="n"/>
      <c r="AK370" s="154" t="n"/>
      <c r="AL370" s="154" t="n"/>
      <c r="AM370" s="154" t="n"/>
      <c r="AN370" s="154" t="n"/>
      <c r="AO370" s="154" t="n"/>
      <c r="AP370" s="154" t="n"/>
      <c r="AQ370" s="154" t="n"/>
      <c r="AR370" s="154" t="n"/>
      <c r="AS370" s="154" t="n"/>
      <c r="AT370" s="154" t="n"/>
      <c r="AU370" s="154" t="n"/>
      <c r="AV370" s="154" t="n"/>
      <c r="AW370" s="154" t="n"/>
      <c r="AX370" s="154" t="n"/>
      <c r="AY370" s="154" t="n"/>
      <c r="AZ370" s="154" t="n"/>
      <c r="BA370" s="154" t="n"/>
      <c r="BB370" s="154" t="n"/>
      <c r="BC370" s="154" t="n"/>
      <c r="BD370" s="154" t="n"/>
      <c r="BE370" s="154" t="n"/>
      <c r="BF370" s="154" t="n"/>
      <c r="BG370" s="154" t="n"/>
      <c r="BH370" s="154" t="n"/>
    </row>
    <row r="371" ht="15.75" customHeight="1" s="251">
      <c r="A371" s="153" t="n"/>
      <c r="B371" s="154" t="n"/>
      <c r="C371" s="154" t="n"/>
      <c r="D371" s="154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  <c r="AA371" s="154" t="n"/>
      <c r="AB371" s="154" t="n"/>
      <c r="AC371" s="154" t="n"/>
      <c r="AD371" s="154" t="n"/>
      <c r="AE371" s="154" t="n"/>
      <c r="AF371" s="154" t="n"/>
      <c r="AG371" s="154" t="n"/>
      <c r="AH371" s="154" t="n"/>
      <c r="AI371" s="154" t="n"/>
      <c r="AJ371" s="154" t="n"/>
      <c r="AK371" s="154" t="n"/>
      <c r="AL371" s="154" t="n"/>
      <c r="AM371" s="154" t="n"/>
      <c r="AN371" s="154" t="n"/>
      <c r="AO371" s="154" t="n"/>
      <c r="AP371" s="154" t="n"/>
      <c r="AQ371" s="154" t="n"/>
      <c r="AR371" s="154" t="n"/>
      <c r="AS371" s="154" t="n"/>
      <c r="AT371" s="154" t="n"/>
      <c r="AU371" s="154" t="n"/>
      <c r="AV371" s="154" t="n"/>
      <c r="AW371" s="154" t="n"/>
      <c r="AX371" s="154" t="n"/>
      <c r="AY371" s="154" t="n"/>
      <c r="AZ371" s="154" t="n"/>
      <c r="BA371" s="154" t="n"/>
      <c r="BB371" s="154" t="n"/>
      <c r="BC371" s="154" t="n"/>
      <c r="BD371" s="154" t="n"/>
      <c r="BE371" s="154" t="n"/>
      <c r="BF371" s="154" t="n"/>
      <c r="BG371" s="154" t="n"/>
      <c r="BH371" s="154" t="n"/>
    </row>
    <row r="372" ht="15.75" customHeight="1" s="251">
      <c r="A372" s="153" t="n"/>
      <c r="B372" s="154" t="n"/>
      <c r="C372" s="154" t="n"/>
      <c r="D372" s="154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  <c r="AA372" s="154" t="n"/>
      <c r="AB372" s="154" t="n"/>
      <c r="AC372" s="154" t="n"/>
      <c r="AD372" s="154" t="n"/>
      <c r="AE372" s="154" t="n"/>
      <c r="AF372" s="154" t="n"/>
      <c r="AG372" s="154" t="n"/>
      <c r="AH372" s="154" t="n"/>
      <c r="AI372" s="154" t="n"/>
      <c r="AJ372" s="154" t="n"/>
      <c r="AK372" s="154" t="n"/>
      <c r="AL372" s="154" t="n"/>
      <c r="AM372" s="154" t="n"/>
      <c r="AN372" s="154" t="n"/>
      <c r="AO372" s="154" t="n"/>
      <c r="AP372" s="154" t="n"/>
      <c r="AQ372" s="154" t="n"/>
      <c r="AR372" s="154" t="n"/>
      <c r="AS372" s="154" t="n"/>
      <c r="AT372" s="154" t="n"/>
      <c r="AU372" s="154" t="n"/>
      <c r="AV372" s="154" t="n"/>
      <c r="AW372" s="154" t="n"/>
      <c r="AX372" s="154" t="n"/>
      <c r="AY372" s="154" t="n"/>
      <c r="AZ372" s="154" t="n"/>
      <c r="BA372" s="154" t="n"/>
      <c r="BB372" s="154" t="n"/>
      <c r="BC372" s="154" t="n"/>
      <c r="BD372" s="154" t="n"/>
      <c r="BE372" s="154" t="n"/>
      <c r="BF372" s="154" t="n"/>
      <c r="BG372" s="154" t="n"/>
      <c r="BH372" s="154" t="n"/>
    </row>
    <row r="373" ht="15.75" customHeight="1" s="251">
      <c r="A373" s="153" t="n"/>
      <c r="B373" s="154" t="n"/>
      <c r="C373" s="154" t="n"/>
      <c r="D373" s="154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  <c r="AA373" s="154" t="n"/>
      <c r="AB373" s="154" t="n"/>
      <c r="AC373" s="154" t="n"/>
      <c r="AD373" s="154" t="n"/>
      <c r="AE373" s="154" t="n"/>
      <c r="AF373" s="154" t="n"/>
      <c r="AG373" s="154" t="n"/>
      <c r="AH373" s="154" t="n"/>
      <c r="AI373" s="154" t="n"/>
      <c r="AJ373" s="154" t="n"/>
      <c r="AK373" s="154" t="n"/>
      <c r="AL373" s="154" t="n"/>
      <c r="AM373" s="154" t="n"/>
      <c r="AN373" s="154" t="n"/>
      <c r="AO373" s="154" t="n"/>
      <c r="AP373" s="154" t="n"/>
      <c r="AQ373" s="154" t="n"/>
      <c r="AR373" s="154" t="n"/>
      <c r="AS373" s="154" t="n"/>
      <c r="AT373" s="154" t="n"/>
      <c r="AU373" s="154" t="n"/>
      <c r="AV373" s="154" t="n"/>
      <c r="AW373" s="154" t="n"/>
      <c r="AX373" s="154" t="n"/>
      <c r="AY373" s="154" t="n"/>
      <c r="AZ373" s="154" t="n"/>
      <c r="BA373" s="154" t="n"/>
      <c r="BB373" s="154" t="n"/>
      <c r="BC373" s="154" t="n"/>
      <c r="BD373" s="154" t="n"/>
      <c r="BE373" s="154" t="n"/>
      <c r="BF373" s="154" t="n"/>
      <c r="BG373" s="154" t="n"/>
      <c r="BH373" s="154" t="n"/>
    </row>
    <row r="374" ht="15.75" customHeight="1" s="251">
      <c r="A374" s="153" t="n"/>
      <c r="B374" s="154" t="n"/>
      <c r="C374" s="154" t="n"/>
      <c r="D374" s="154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  <c r="AA374" s="154" t="n"/>
      <c r="AB374" s="154" t="n"/>
      <c r="AC374" s="154" t="n"/>
      <c r="AD374" s="154" t="n"/>
      <c r="AE374" s="154" t="n"/>
      <c r="AF374" s="154" t="n"/>
      <c r="AG374" s="154" t="n"/>
      <c r="AH374" s="154" t="n"/>
      <c r="AI374" s="154" t="n"/>
      <c r="AJ374" s="154" t="n"/>
      <c r="AK374" s="154" t="n"/>
      <c r="AL374" s="154" t="n"/>
      <c r="AM374" s="154" t="n"/>
      <c r="AN374" s="154" t="n"/>
      <c r="AO374" s="154" t="n"/>
      <c r="AP374" s="154" t="n"/>
      <c r="AQ374" s="154" t="n"/>
      <c r="AR374" s="154" t="n"/>
      <c r="AS374" s="154" t="n"/>
      <c r="AT374" s="154" t="n"/>
      <c r="AU374" s="154" t="n"/>
      <c r="AV374" s="154" t="n"/>
      <c r="AW374" s="154" t="n"/>
      <c r="AX374" s="154" t="n"/>
      <c r="AY374" s="154" t="n"/>
      <c r="AZ374" s="154" t="n"/>
      <c r="BA374" s="154" t="n"/>
      <c r="BB374" s="154" t="n"/>
      <c r="BC374" s="154" t="n"/>
      <c r="BD374" s="154" t="n"/>
      <c r="BE374" s="154" t="n"/>
      <c r="BF374" s="154" t="n"/>
      <c r="BG374" s="154" t="n"/>
      <c r="BH374" s="154" t="n"/>
    </row>
    <row r="375" ht="15.75" customHeight="1" s="251">
      <c r="A375" s="153" t="n"/>
      <c r="B375" s="154" t="n"/>
      <c r="C375" s="154" t="n"/>
      <c r="D375" s="154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  <c r="AA375" s="154" t="n"/>
      <c r="AB375" s="154" t="n"/>
      <c r="AC375" s="154" t="n"/>
      <c r="AD375" s="154" t="n"/>
      <c r="AE375" s="154" t="n"/>
      <c r="AF375" s="154" t="n"/>
      <c r="AG375" s="154" t="n"/>
      <c r="AH375" s="154" t="n"/>
      <c r="AI375" s="154" t="n"/>
      <c r="AJ375" s="154" t="n"/>
      <c r="AK375" s="154" t="n"/>
      <c r="AL375" s="154" t="n"/>
      <c r="AM375" s="154" t="n"/>
      <c r="AN375" s="154" t="n"/>
      <c r="AO375" s="154" t="n"/>
      <c r="AP375" s="154" t="n"/>
      <c r="AQ375" s="154" t="n"/>
      <c r="AR375" s="154" t="n"/>
      <c r="AS375" s="154" t="n"/>
      <c r="AT375" s="154" t="n"/>
      <c r="AU375" s="154" t="n"/>
      <c r="AV375" s="154" t="n"/>
      <c r="AW375" s="154" t="n"/>
      <c r="AX375" s="154" t="n"/>
      <c r="AY375" s="154" t="n"/>
      <c r="AZ375" s="154" t="n"/>
      <c r="BA375" s="154" t="n"/>
      <c r="BB375" s="154" t="n"/>
      <c r="BC375" s="154" t="n"/>
      <c r="BD375" s="154" t="n"/>
      <c r="BE375" s="154" t="n"/>
      <c r="BF375" s="154" t="n"/>
      <c r="BG375" s="154" t="n"/>
      <c r="BH375" s="154" t="n"/>
    </row>
    <row r="376" ht="15.75" customHeight="1" s="251">
      <c r="A376" s="153" t="n"/>
      <c r="B376" s="154" t="n"/>
      <c r="C376" s="154" t="n"/>
      <c r="D376" s="154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  <c r="AA376" s="154" t="n"/>
      <c r="AB376" s="154" t="n"/>
      <c r="AC376" s="154" t="n"/>
      <c r="AD376" s="154" t="n"/>
      <c r="AE376" s="154" t="n"/>
      <c r="AF376" s="154" t="n"/>
      <c r="AG376" s="154" t="n"/>
      <c r="AH376" s="154" t="n"/>
      <c r="AI376" s="154" t="n"/>
      <c r="AJ376" s="154" t="n"/>
      <c r="AK376" s="154" t="n"/>
      <c r="AL376" s="154" t="n"/>
      <c r="AM376" s="154" t="n"/>
      <c r="AN376" s="154" t="n"/>
      <c r="AO376" s="154" t="n"/>
      <c r="AP376" s="154" t="n"/>
      <c r="AQ376" s="154" t="n"/>
      <c r="AR376" s="154" t="n"/>
      <c r="AS376" s="154" t="n"/>
      <c r="AT376" s="154" t="n"/>
      <c r="AU376" s="154" t="n"/>
      <c r="AV376" s="154" t="n"/>
      <c r="AW376" s="154" t="n"/>
      <c r="AX376" s="154" t="n"/>
      <c r="AY376" s="154" t="n"/>
      <c r="AZ376" s="154" t="n"/>
      <c r="BA376" s="154" t="n"/>
      <c r="BB376" s="154" t="n"/>
      <c r="BC376" s="154" t="n"/>
      <c r="BD376" s="154" t="n"/>
      <c r="BE376" s="154" t="n"/>
      <c r="BF376" s="154" t="n"/>
      <c r="BG376" s="154" t="n"/>
      <c r="BH376" s="154" t="n"/>
    </row>
    <row r="377" ht="15.75" customHeight="1" s="251">
      <c r="A377" s="153" t="n"/>
      <c r="B377" s="154" t="n"/>
      <c r="C377" s="154" t="n"/>
      <c r="D377" s="154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  <c r="AA377" s="154" t="n"/>
      <c r="AB377" s="154" t="n"/>
      <c r="AC377" s="154" t="n"/>
      <c r="AD377" s="154" t="n"/>
      <c r="AE377" s="154" t="n"/>
      <c r="AF377" s="154" t="n"/>
      <c r="AG377" s="154" t="n"/>
      <c r="AH377" s="154" t="n"/>
      <c r="AI377" s="154" t="n"/>
      <c r="AJ377" s="154" t="n"/>
      <c r="AK377" s="154" t="n"/>
      <c r="AL377" s="154" t="n"/>
      <c r="AM377" s="154" t="n"/>
      <c r="AN377" s="154" t="n"/>
      <c r="AO377" s="154" t="n"/>
      <c r="AP377" s="154" t="n"/>
      <c r="AQ377" s="154" t="n"/>
      <c r="AR377" s="154" t="n"/>
      <c r="AS377" s="154" t="n"/>
      <c r="AT377" s="154" t="n"/>
      <c r="AU377" s="154" t="n"/>
      <c r="AV377" s="154" t="n"/>
      <c r="AW377" s="154" t="n"/>
      <c r="AX377" s="154" t="n"/>
      <c r="AY377" s="154" t="n"/>
      <c r="AZ377" s="154" t="n"/>
      <c r="BA377" s="154" t="n"/>
      <c r="BB377" s="154" t="n"/>
      <c r="BC377" s="154" t="n"/>
      <c r="BD377" s="154" t="n"/>
      <c r="BE377" s="154" t="n"/>
      <c r="BF377" s="154" t="n"/>
      <c r="BG377" s="154" t="n"/>
      <c r="BH377" s="154" t="n"/>
    </row>
    <row r="378" ht="15.75" customHeight="1" s="251">
      <c r="A378" s="153" t="n"/>
      <c r="B378" s="154" t="n"/>
      <c r="C378" s="154" t="n"/>
      <c r="D378" s="154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  <c r="AA378" s="154" t="n"/>
      <c r="AB378" s="154" t="n"/>
      <c r="AC378" s="154" t="n"/>
      <c r="AD378" s="154" t="n"/>
      <c r="AE378" s="154" t="n"/>
      <c r="AF378" s="154" t="n"/>
      <c r="AG378" s="154" t="n"/>
      <c r="AH378" s="154" t="n"/>
      <c r="AI378" s="154" t="n"/>
      <c r="AJ378" s="154" t="n"/>
      <c r="AK378" s="154" t="n"/>
      <c r="AL378" s="154" t="n"/>
      <c r="AM378" s="154" t="n"/>
      <c r="AN378" s="154" t="n"/>
      <c r="AO378" s="154" t="n"/>
      <c r="AP378" s="154" t="n"/>
      <c r="AQ378" s="154" t="n"/>
      <c r="AR378" s="154" t="n"/>
      <c r="AS378" s="154" t="n"/>
      <c r="AT378" s="154" t="n"/>
      <c r="AU378" s="154" t="n"/>
      <c r="AV378" s="154" t="n"/>
      <c r="AW378" s="154" t="n"/>
      <c r="AX378" s="154" t="n"/>
      <c r="AY378" s="154" t="n"/>
      <c r="AZ378" s="154" t="n"/>
      <c r="BA378" s="154" t="n"/>
      <c r="BB378" s="154" t="n"/>
      <c r="BC378" s="154" t="n"/>
      <c r="BD378" s="154" t="n"/>
      <c r="BE378" s="154" t="n"/>
      <c r="BF378" s="154" t="n"/>
      <c r="BG378" s="154" t="n"/>
      <c r="BH378" s="154" t="n"/>
    </row>
    <row r="379" ht="15.75" customHeight="1" s="251">
      <c r="A379" s="153" t="n"/>
      <c r="B379" s="154" t="n"/>
      <c r="C379" s="154" t="n"/>
      <c r="D379" s="154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  <c r="AA379" s="154" t="n"/>
      <c r="AB379" s="154" t="n"/>
      <c r="AC379" s="154" t="n"/>
      <c r="AD379" s="154" t="n"/>
      <c r="AE379" s="154" t="n"/>
      <c r="AF379" s="154" t="n"/>
      <c r="AG379" s="154" t="n"/>
      <c r="AH379" s="154" t="n"/>
      <c r="AI379" s="154" t="n"/>
      <c r="AJ379" s="154" t="n"/>
      <c r="AK379" s="154" t="n"/>
      <c r="AL379" s="154" t="n"/>
      <c r="AM379" s="154" t="n"/>
      <c r="AN379" s="154" t="n"/>
      <c r="AO379" s="154" t="n"/>
      <c r="AP379" s="154" t="n"/>
      <c r="AQ379" s="154" t="n"/>
      <c r="AR379" s="154" t="n"/>
      <c r="AS379" s="154" t="n"/>
      <c r="AT379" s="154" t="n"/>
      <c r="AU379" s="154" t="n"/>
      <c r="AV379" s="154" t="n"/>
      <c r="AW379" s="154" t="n"/>
      <c r="AX379" s="154" t="n"/>
      <c r="AY379" s="154" t="n"/>
      <c r="AZ379" s="154" t="n"/>
      <c r="BA379" s="154" t="n"/>
      <c r="BB379" s="154" t="n"/>
      <c r="BC379" s="154" t="n"/>
      <c r="BD379" s="154" t="n"/>
      <c r="BE379" s="154" t="n"/>
      <c r="BF379" s="154" t="n"/>
      <c r="BG379" s="154" t="n"/>
      <c r="BH379" s="154" t="n"/>
    </row>
    <row r="380" ht="15.75" customHeight="1" s="251">
      <c r="A380" s="153" t="n"/>
      <c r="B380" s="154" t="n"/>
      <c r="C380" s="154" t="n"/>
      <c r="D380" s="154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  <c r="AA380" s="154" t="n"/>
      <c r="AB380" s="154" t="n"/>
      <c r="AC380" s="154" t="n"/>
      <c r="AD380" s="154" t="n"/>
      <c r="AE380" s="154" t="n"/>
      <c r="AF380" s="154" t="n"/>
      <c r="AG380" s="154" t="n"/>
      <c r="AH380" s="154" t="n"/>
      <c r="AI380" s="154" t="n"/>
      <c r="AJ380" s="154" t="n"/>
      <c r="AK380" s="154" t="n"/>
      <c r="AL380" s="154" t="n"/>
      <c r="AM380" s="154" t="n"/>
      <c r="AN380" s="154" t="n"/>
      <c r="AO380" s="154" t="n"/>
      <c r="AP380" s="154" t="n"/>
      <c r="AQ380" s="154" t="n"/>
      <c r="AR380" s="154" t="n"/>
      <c r="AS380" s="154" t="n"/>
      <c r="AT380" s="154" t="n"/>
      <c r="AU380" s="154" t="n"/>
      <c r="AV380" s="154" t="n"/>
      <c r="AW380" s="154" t="n"/>
      <c r="AX380" s="154" t="n"/>
      <c r="AY380" s="154" t="n"/>
      <c r="AZ380" s="154" t="n"/>
      <c r="BA380" s="154" t="n"/>
      <c r="BB380" s="154" t="n"/>
      <c r="BC380" s="154" t="n"/>
      <c r="BD380" s="154" t="n"/>
      <c r="BE380" s="154" t="n"/>
      <c r="BF380" s="154" t="n"/>
      <c r="BG380" s="154" t="n"/>
      <c r="BH380" s="154" t="n"/>
    </row>
    <row r="381" ht="15.75" customHeight="1" s="251">
      <c r="A381" s="153" t="n"/>
      <c r="B381" s="154" t="n"/>
      <c r="C381" s="154" t="n"/>
      <c r="D381" s="154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  <c r="AA381" s="154" t="n"/>
      <c r="AB381" s="154" t="n"/>
      <c r="AC381" s="154" t="n"/>
      <c r="AD381" s="154" t="n"/>
      <c r="AE381" s="154" t="n"/>
      <c r="AF381" s="154" t="n"/>
      <c r="AG381" s="154" t="n"/>
      <c r="AH381" s="154" t="n"/>
      <c r="AI381" s="154" t="n"/>
      <c r="AJ381" s="154" t="n"/>
      <c r="AK381" s="154" t="n"/>
      <c r="AL381" s="154" t="n"/>
      <c r="AM381" s="154" t="n"/>
      <c r="AN381" s="154" t="n"/>
      <c r="AO381" s="154" t="n"/>
      <c r="AP381" s="154" t="n"/>
      <c r="AQ381" s="154" t="n"/>
      <c r="AR381" s="154" t="n"/>
      <c r="AS381" s="154" t="n"/>
      <c r="AT381" s="154" t="n"/>
      <c r="AU381" s="154" t="n"/>
      <c r="AV381" s="154" t="n"/>
      <c r="AW381" s="154" t="n"/>
      <c r="AX381" s="154" t="n"/>
      <c r="AY381" s="154" t="n"/>
      <c r="AZ381" s="154" t="n"/>
      <c r="BA381" s="154" t="n"/>
      <c r="BB381" s="154" t="n"/>
      <c r="BC381" s="154" t="n"/>
      <c r="BD381" s="154" t="n"/>
      <c r="BE381" s="154" t="n"/>
      <c r="BF381" s="154" t="n"/>
      <c r="BG381" s="154" t="n"/>
      <c r="BH381" s="154" t="n"/>
    </row>
    <row r="382" ht="15.75" customHeight="1" s="251">
      <c r="A382" s="153" t="n"/>
      <c r="B382" s="154" t="n"/>
      <c r="C382" s="154" t="n"/>
      <c r="D382" s="154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  <c r="AA382" s="154" t="n"/>
      <c r="AB382" s="154" t="n"/>
      <c r="AC382" s="154" t="n"/>
      <c r="AD382" s="154" t="n"/>
      <c r="AE382" s="154" t="n"/>
      <c r="AF382" s="154" t="n"/>
      <c r="AG382" s="154" t="n"/>
      <c r="AH382" s="154" t="n"/>
      <c r="AI382" s="154" t="n"/>
      <c r="AJ382" s="154" t="n"/>
      <c r="AK382" s="154" t="n"/>
      <c r="AL382" s="154" t="n"/>
      <c r="AM382" s="154" t="n"/>
      <c r="AN382" s="154" t="n"/>
      <c r="AO382" s="154" t="n"/>
      <c r="AP382" s="154" t="n"/>
      <c r="AQ382" s="154" t="n"/>
      <c r="AR382" s="154" t="n"/>
      <c r="AS382" s="154" t="n"/>
      <c r="AT382" s="154" t="n"/>
      <c r="AU382" s="154" t="n"/>
      <c r="AV382" s="154" t="n"/>
      <c r="AW382" s="154" t="n"/>
      <c r="AX382" s="154" t="n"/>
      <c r="AY382" s="154" t="n"/>
      <c r="AZ382" s="154" t="n"/>
      <c r="BA382" s="154" t="n"/>
      <c r="BB382" s="154" t="n"/>
      <c r="BC382" s="154" t="n"/>
      <c r="BD382" s="154" t="n"/>
      <c r="BE382" s="154" t="n"/>
      <c r="BF382" s="154" t="n"/>
      <c r="BG382" s="154" t="n"/>
      <c r="BH382" s="154" t="n"/>
    </row>
    <row r="383" ht="15.75" customHeight="1" s="251">
      <c r="A383" s="153" t="n"/>
      <c r="B383" s="154" t="n"/>
      <c r="C383" s="154" t="n"/>
      <c r="D383" s="154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  <c r="AA383" s="154" t="n"/>
      <c r="AB383" s="154" t="n"/>
      <c r="AC383" s="154" t="n"/>
      <c r="AD383" s="154" t="n"/>
      <c r="AE383" s="154" t="n"/>
      <c r="AF383" s="154" t="n"/>
      <c r="AG383" s="154" t="n"/>
      <c r="AH383" s="154" t="n"/>
      <c r="AI383" s="154" t="n"/>
      <c r="AJ383" s="154" t="n"/>
      <c r="AK383" s="154" t="n"/>
      <c r="AL383" s="154" t="n"/>
      <c r="AM383" s="154" t="n"/>
      <c r="AN383" s="154" t="n"/>
      <c r="AO383" s="154" t="n"/>
      <c r="AP383" s="154" t="n"/>
      <c r="AQ383" s="154" t="n"/>
      <c r="AR383" s="154" t="n"/>
      <c r="AS383" s="154" t="n"/>
      <c r="AT383" s="154" t="n"/>
      <c r="AU383" s="154" t="n"/>
      <c r="AV383" s="154" t="n"/>
      <c r="AW383" s="154" t="n"/>
      <c r="AX383" s="154" t="n"/>
      <c r="AY383" s="154" t="n"/>
      <c r="AZ383" s="154" t="n"/>
      <c r="BA383" s="154" t="n"/>
      <c r="BB383" s="154" t="n"/>
      <c r="BC383" s="154" t="n"/>
      <c r="BD383" s="154" t="n"/>
      <c r="BE383" s="154" t="n"/>
      <c r="BF383" s="154" t="n"/>
      <c r="BG383" s="154" t="n"/>
      <c r="BH383" s="154" t="n"/>
    </row>
    <row r="384" ht="15.75" customHeight="1" s="251">
      <c r="A384" s="153" t="n"/>
      <c r="B384" s="154" t="n"/>
      <c r="C384" s="154" t="n"/>
      <c r="D384" s="154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  <c r="AA384" s="154" t="n"/>
      <c r="AB384" s="154" t="n"/>
      <c r="AC384" s="154" t="n"/>
      <c r="AD384" s="154" t="n"/>
      <c r="AE384" s="154" t="n"/>
      <c r="AF384" s="154" t="n"/>
      <c r="AG384" s="154" t="n"/>
      <c r="AH384" s="154" t="n"/>
      <c r="AI384" s="154" t="n"/>
      <c r="AJ384" s="154" t="n"/>
      <c r="AK384" s="154" t="n"/>
      <c r="AL384" s="154" t="n"/>
      <c r="AM384" s="154" t="n"/>
      <c r="AN384" s="154" t="n"/>
      <c r="AO384" s="154" t="n"/>
      <c r="AP384" s="154" t="n"/>
      <c r="AQ384" s="154" t="n"/>
      <c r="AR384" s="154" t="n"/>
      <c r="AS384" s="154" t="n"/>
      <c r="AT384" s="154" t="n"/>
      <c r="AU384" s="154" t="n"/>
      <c r="AV384" s="154" t="n"/>
      <c r="AW384" s="154" t="n"/>
      <c r="AX384" s="154" t="n"/>
      <c r="AY384" s="154" t="n"/>
      <c r="AZ384" s="154" t="n"/>
      <c r="BA384" s="154" t="n"/>
      <c r="BB384" s="154" t="n"/>
      <c r="BC384" s="154" t="n"/>
      <c r="BD384" s="154" t="n"/>
      <c r="BE384" s="154" t="n"/>
      <c r="BF384" s="154" t="n"/>
      <c r="BG384" s="154" t="n"/>
      <c r="BH384" s="154" t="n"/>
    </row>
    <row r="385" ht="15.75" customHeight="1" s="251">
      <c r="A385" s="153" t="n"/>
      <c r="B385" s="154" t="n"/>
      <c r="C385" s="154" t="n"/>
      <c r="D385" s="154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  <c r="AA385" s="154" t="n"/>
      <c r="AB385" s="154" t="n"/>
      <c r="AC385" s="154" t="n"/>
      <c r="AD385" s="154" t="n"/>
      <c r="AE385" s="154" t="n"/>
      <c r="AF385" s="154" t="n"/>
      <c r="AG385" s="154" t="n"/>
      <c r="AH385" s="154" t="n"/>
      <c r="AI385" s="154" t="n"/>
      <c r="AJ385" s="154" t="n"/>
      <c r="AK385" s="154" t="n"/>
      <c r="AL385" s="154" t="n"/>
      <c r="AM385" s="154" t="n"/>
      <c r="AN385" s="154" t="n"/>
      <c r="AO385" s="154" t="n"/>
      <c r="AP385" s="154" t="n"/>
      <c r="AQ385" s="154" t="n"/>
      <c r="AR385" s="154" t="n"/>
      <c r="AS385" s="154" t="n"/>
      <c r="AT385" s="154" t="n"/>
      <c r="AU385" s="154" t="n"/>
      <c r="AV385" s="154" t="n"/>
      <c r="AW385" s="154" t="n"/>
      <c r="AX385" s="154" t="n"/>
      <c r="AY385" s="154" t="n"/>
      <c r="AZ385" s="154" t="n"/>
      <c r="BA385" s="154" t="n"/>
      <c r="BB385" s="154" t="n"/>
      <c r="BC385" s="154" t="n"/>
      <c r="BD385" s="154" t="n"/>
      <c r="BE385" s="154" t="n"/>
      <c r="BF385" s="154" t="n"/>
      <c r="BG385" s="154" t="n"/>
      <c r="BH385" s="154" t="n"/>
    </row>
    <row r="386" ht="15.75" customHeight="1" s="251">
      <c r="A386" s="153" t="n"/>
      <c r="B386" s="154" t="n"/>
      <c r="C386" s="154" t="n"/>
      <c r="D386" s="154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  <c r="AA386" s="154" t="n"/>
      <c r="AB386" s="154" t="n"/>
      <c r="AC386" s="154" t="n"/>
      <c r="AD386" s="154" t="n"/>
      <c r="AE386" s="154" t="n"/>
      <c r="AF386" s="154" t="n"/>
      <c r="AG386" s="154" t="n"/>
      <c r="AH386" s="154" t="n"/>
      <c r="AI386" s="154" t="n"/>
      <c r="AJ386" s="154" t="n"/>
      <c r="AK386" s="154" t="n"/>
      <c r="AL386" s="154" t="n"/>
      <c r="AM386" s="154" t="n"/>
      <c r="AN386" s="154" t="n"/>
      <c r="AO386" s="154" t="n"/>
      <c r="AP386" s="154" t="n"/>
      <c r="AQ386" s="154" t="n"/>
      <c r="AR386" s="154" t="n"/>
      <c r="AS386" s="154" t="n"/>
      <c r="AT386" s="154" t="n"/>
      <c r="AU386" s="154" t="n"/>
      <c r="AV386" s="154" t="n"/>
      <c r="AW386" s="154" t="n"/>
      <c r="AX386" s="154" t="n"/>
      <c r="AY386" s="154" t="n"/>
      <c r="AZ386" s="154" t="n"/>
      <c r="BA386" s="154" t="n"/>
      <c r="BB386" s="154" t="n"/>
      <c r="BC386" s="154" t="n"/>
      <c r="BD386" s="154" t="n"/>
      <c r="BE386" s="154" t="n"/>
      <c r="BF386" s="154" t="n"/>
      <c r="BG386" s="154" t="n"/>
      <c r="BH386" s="154" t="n"/>
    </row>
    <row r="387" ht="15.75" customHeight="1" s="251">
      <c r="A387" s="153" t="n"/>
      <c r="B387" s="154" t="n"/>
      <c r="C387" s="154" t="n"/>
      <c r="D387" s="154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  <c r="AA387" s="154" t="n"/>
      <c r="AB387" s="154" t="n"/>
      <c r="AC387" s="154" t="n"/>
      <c r="AD387" s="154" t="n"/>
      <c r="AE387" s="154" t="n"/>
      <c r="AF387" s="154" t="n"/>
      <c r="AG387" s="154" t="n"/>
      <c r="AH387" s="154" t="n"/>
      <c r="AI387" s="154" t="n"/>
      <c r="AJ387" s="154" t="n"/>
      <c r="AK387" s="154" t="n"/>
      <c r="AL387" s="154" t="n"/>
      <c r="AM387" s="154" t="n"/>
      <c r="AN387" s="154" t="n"/>
      <c r="AO387" s="154" t="n"/>
      <c r="AP387" s="154" t="n"/>
      <c r="AQ387" s="154" t="n"/>
      <c r="AR387" s="154" t="n"/>
      <c r="AS387" s="154" t="n"/>
      <c r="AT387" s="154" t="n"/>
      <c r="AU387" s="154" t="n"/>
      <c r="AV387" s="154" t="n"/>
      <c r="AW387" s="154" t="n"/>
      <c r="AX387" s="154" t="n"/>
      <c r="AY387" s="154" t="n"/>
      <c r="AZ387" s="154" t="n"/>
      <c r="BA387" s="154" t="n"/>
      <c r="BB387" s="154" t="n"/>
      <c r="BC387" s="154" t="n"/>
      <c r="BD387" s="154" t="n"/>
      <c r="BE387" s="154" t="n"/>
      <c r="BF387" s="154" t="n"/>
      <c r="BG387" s="154" t="n"/>
      <c r="BH387" s="154" t="n"/>
    </row>
    <row r="388" ht="15.75" customHeight="1" s="251">
      <c r="A388" s="153" t="n"/>
      <c r="B388" s="154" t="n"/>
      <c r="C388" s="154" t="n"/>
      <c r="D388" s="154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  <c r="AA388" s="154" t="n"/>
      <c r="AB388" s="154" t="n"/>
      <c r="AC388" s="154" t="n"/>
      <c r="AD388" s="154" t="n"/>
      <c r="AE388" s="154" t="n"/>
      <c r="AF388" s="154" t="n"/>
      <c r="AG388" s="154" t="n"/>
      <c r="AH388" s="154" t="n"/>
      <c r="AI388" s="154" t="n"/>
      <c r="AJ388" s="154" t="n"/>
      <c r="AK388" s="154" t="n"/>
      <c r="AL388" s="154" t="n"/>
      <c r="AM388" s="154" t="n"/>
      <c r="AN388" s="154" t="n"/>
      <c r="AO388" s="154" t="n"/>
      <c r="AP388" s="154" t="n"/>
      <c r="AQ388" s="154" t="n"/>
      <c r="AR388" s="154" t="n"/>
      <c r="AS388" s="154" t="n"/>
      <c r="AT388" s="154" t="n"/>
      <c r="AU388" s="154" t="n"/>
      <c r="AV388" s="154" t="n"/>
      <c r="AW388" s="154" t="n"/>
      <c r="AX388" s="154" t="n"/>
      <c r="AY388" s="154" t="n"/>
      <c r="AZ388" s="154" t="n"/>
      <c r="BA388" s="154" t="n"/>
      <c r="BB388" s="154" t="n"/>
      <c r="BC388" s="154" t="n"/>
      <c r="BD388" s="154" t="n"/>
      <c r="BE388" s="154" t="n"/>
      <c r="BF388" s="154" t="n"/>
      <c r="BG388" s="154" t="n"/>
      <c r="BH388" s="154" t="n"/>
    </row>
    <row r="389" ht="15.75" customHeight="1" s="251">
      <c r="A389" s="153" t="n"/>
      <c r="B389" s="154" t="n"/>
      <c r="C389" s="154" t="n"/>
      <c r="D389" s="154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  <c r="AA389" s="154" t="n"/>
      <c r="AB389" s="154" t="n"/>
      <c r="AC389" s="154" t="n"/>
      <c r="AD389" s="154" t="n"/>
      <c r="AE389" s="154" t="n"/>
      <c r="AF389" s="154" t="n"/>
      <c r="AG389" s="154" t="n"/>
      <c r="AH389" s="154" t="n"/>
      <c r="AI389" s="154" t="n"/>
      <c r="AJ389" s="154" t="n"/>
      <c r="AK389" s="154" t="n"/>
      <c r="AL389" s="154" t="n"/>
      <c r="AM389" s="154" t="n"/>
      <c r="AN389" s="154" t="n"/>
      <c r="AO389" s="154" t="n"/>
      <c r="AP389" s="154" t="n"/>
      <c r="AQ389" s="154" t="n"/>
      <c r="AR389" s="154" t="n"/>
      <c r="AS389" s="154" t="n"/>
      <c r="AT389" s="154" t="n"/>
      <c r="AU389" s="154" t="n"/>
      <c r="AV389" s="154" t="n"/>
      <c r="AW389" s="154" t="n"/>
      <c r="AX389" s="154" t="n"/>
      <c r="AY389" s="154" t="n"/>
      <c r="AZ389" s="154" t="n"/>
      <c r="BA389" s="154" t="n"/>
      <c r="BB389" s="154" t="n"/>
      <c r="BC389" s="154" t="n"/>
      <c r="BD389" s="154" t="n"/>
      <c r="BE389" s="154" t="n"/>
      <c r="BF389" s="154" t="n"/>
      <c r="BG389" s="154" t="n"/>
      <c r="BH389" s="154" t="n"/>
    </row>
    <row r="390" ht="15.75" customHeight="1" s="251">
      <c r="A390" s="153" t="n"/>
      <c r="B390" s="154" t="n"/>
      <c r="C390" s="154" t="n"/>
      <c r="D390" s="154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  <c r="AA390" s="154" t="n"/>
      <c r="AB390" s="154" t="n"/>
      <c r="AC390" s="154" t="n"/>
      <c r="AD390" s="154" t="n"/>
      <c r="AE390" s="154" t="n"/>
      <c r="AF390" s="154" t="n"/>
      <c r="AG390" s="154" t="n"/>
      <c r="AH390" s="154" t="n"/>
      <c r="AI390" s="154" t="n"/>
      <c r="AJ390" s="154" t="n"/>
      <c r="AK390" s="154" t="n"/>
      <c r="AL390" s="154" t="n"/>
      <c r="AM390" s="154" t="n"/>
      <c r="AN390" s="154" t="n"/>
      <c r="AO390" s="154" t="n"/>
      <c r="AP390" s="154" t="n"/>
      <c r="AQ390" s="154" t="n"/>
      <c r="AR390" s="154" t="n"/>
      <c r="AS390" s="154" t="n"/>
      <c r="AT390" s="154" t="n"/>
      <c r="AU390" s="154" t="n"/>
      <c r="AV390" s="154" t="n"/>
      <c r="AW390" s="154" t="n"/>
      <c r="AX390" s="154" t="n"/>
      <c r="AY390" s="154" t="n"/>
      <c r="AZ390" s="154" t="n"/>
      <c r="BA390" s="154" t="n"/>
      <c r="BB390" s="154" t="n"/>
      <c r="BC390" s="154" t="n"/>
      <c r="BD390" s="154" t="n"/>
      <c r="BE390" s="154" t="n"/>
      <c r="BF390" s="154" t="n"/>
      <c r="BG390" s="154" t="n"/>
      <c r="BH390" s="154" t="n"/>
    </row>
    <row r="391" ht="15.75" customHeight="1" s="251">
      <c r="A391" s="153" t="n"/>
      <c r="B391" s="154" t="n"/>
      <c r="C391" s="154" t="n"/>
      <c r="D391" s="154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  <c r="AA391" s="154" t="n"/>
      <c r="AB391" s="154" t="n"/>
      <c r="AC391" s="154" t="n"/>
      <c r="AD391" s="154" t="n"/>
      <c r="AE391" s="154" t="n"/>
      <c r="AF391" s="154" t="n"/>
      <c r="AG391" s="154" t="n"/>
      <c r="AH391" s="154" t="n"/>
      <c r="AI391" s="154" t="n"/>
      <c r="AJ391" s="154" t="n"/>
      <c r="AK391" s="154" t="n"/>
      <c r="AL391" s="154" t="n"/>
      <c r="AM391" s="154" t="n"/>
      <c r="AN391" s="154" t="n"/>
      <c r="AO391" s="154" t="n"/>
      <c r="AP391" s="154" t="n"/>
      <c r="AQ391" s="154" t="n"/>
      <c r="AR391" s="154" t="n"/>
      <c r="AS391" s="154" t="n"/>
      <c r="AT391" s="154" t="n"/>
      <c r="AU391" s="154" t="n"/>
      <c r="AV391" s="154" t="n"/>
      <c r="AW391" s="154" t="n"/>
      <c r="AX391" s="154" t="n"/>
      <c r="AY391" s="154" t="n"/>
      <c r="AZ391" s="154" t="n"/>
      <c r="BA391" s="154" t="n"/>
      <c r="BB391" s="154" t="n"/>
      <c r="BC391" s="154" t="n"/>
      <c r="BD391" s="154" t="n"/>
      <c r="BE391" s="154" t="n"/>
      <c r="BF391" s="154" t="n"/>
      <c r="BG391" s="154" t="n"/>
      <c r="BH391" s="154" t="n"/>
    </row>
    <row r="392" ht="15.75" customHeight="1" s="251">
      <c r="A392" s="153" t="n"/>
      <c r="B392" s="154" t="n"/>
      <c r="C392" s="154" t="n"/>
      <c r="D392" s="154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  <c r="AA392" s="154" t="n"/>
      <c r="AB392" s="154" t="n"/>
      <c r="AC392" s="154" t="n"/>
      <c r="AD392" s="154" t="n"/>
      <c r="AE392" s="154" t="n"/>
      <c r="AF392" s="154" t="n"/>
      <c r="AG392" s="154" t="n"/>
      <c r="AH392" s="154" t="n"/>
      <c r="AI392" s="154" t="n"/>
      <c r="AJ392" s="154" t="n"/>
      <c r="AK392" s="154" t="n"/>
      <c r="AL392" s="154" t="n"/>
      <c r="AM392" s="154" t="n"/>
      <c r="AN392" s="154" t="n"/>
      <c r="AO392" s="154" t="n"/>
      <c r="AP392" s="154" t="n"/>
      <c r="AQ392" s="154" t="n"/>
      <c r="AR392" s="154" t="n"/>
      <c r="AS392" s="154" t="n"/>
      <c r="AT392" s="154" t="n"/>
      <c r="AU392" s="154" t="n"/>
      <c r="AV392" s="154" t="n"/>
      <c r="AW392" s="154" t="n"/>
      <c r="AX392" s="154" t="n"/>
      <c r="AY392" s="154" t="n"/>
      <c r="AZ392" s="154" t="n"/>
      <c r="BA392" s="154" t="n"/>
      <c r="BB392" s="154" t="n"/>
      <c r="BC392" s="154" t="n"/>
      <c r="BD392" s="154" t="n"/>
      <c r="BE392" s="154" t="n"/>
      <c r="BF392" s="154" t="n"/>
      <c r="BG392" s="154" t="n"/>
      <c r="BH392" s="154" t="n"/>
    </row>
    <row r="393" ht="15.75" customHeight="1" s="251">
      <c r="A393" s="153" t="n"/>
      <c r="B393" s="154" t="n"/>
      <c r="C393" s="154" t="n"/>
      <c r="D393" s="154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  <c r="AA393" s="154" t="n"/>
      <c r="AB393" s="154" t="n"/>
      <c r="AC393" s="154" t="n"/>
      <c r="AD393" s="154" t="n"/>
      <c r="AE393" s="154" t="n"/>
      <c r="AF393" s="154" t="n"/>
      <c r="AG393" s="154" t="n"/>
      <c r="AH393" s="154" t="n"/>
      <c r="AI393" s="154" t="n"/>
      <c r="AJ393" s="154" t="n"/>
      <c r="AK393" s="154" t="n"/>
      <c r="AL393" s="154" t="n"/>
      <c r="AM393" s="154" t="n"/>
      <c r="AN393" s="154" t="n"/>
      <c r="AO393" s="154" t="n"/>
      <c r="AP393" s="154" t="n"/>
      <c r="AQ393" s="154" t="n"/>
      <c r="AR393" s="154" t="n"/>
      <c r="AS393" s="154" t="n"/>
      <c r="AT393" s="154" t="n"/>
      <c r="AU393" s="154" t="n"/>
      <c r="AV393" s="154" t="n"/>
      <c r="AW393" s="154" t="n"/>
      <c r="AX393" s="154" t="n"/>
      <c r="AY393" s="154" t="n"/>
      <c r="AZ393" s="154" t="n"/>
      <c r="BA393" s="154" t="n"/>
      <c r="BB393" s="154" t="n"/>
      <c r="BC393" s="154" t="n"/>
      <c r="BD393" s="154" t="n"/>
      <c r="BE393" s="154" t="n"/>
      <c r="BF393" s="154" t="n"/>
      <c r="BG393" s="154" t="n"/>
      <c r="BH393" s="154" t="n"/>
    </row>
    <row r="394" ht="15.75" customHeight="1" s="251">
      <c r="A394" s="153" t="n"/>
      <c r="B394" s="154" t="n"/>
      <c r="C394" s="154" t="n"/>
      <c r="D394" s="154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  <c r="AA394" s="154" t="n"/>
      <c r="AB394" s="154" t="n"/>
      <c r="AC394" s="154" t="n"/>
      <c r="AD394" s="154" t="n"/>
      <c r="AE394" s="154" t="n"/>
      <c r="AF394" s="154" t="n"/>
      <c r="AG394" s="154" t="n"/>
      <c r="AH394" s="154" t="n"/>
      <c r="AI394" s="154" t="n"/>
      <c r="AJ394" s="154" t="n"/>
      <c r="AK394" s="154" t="n"/>
      <c r="AL394" s="154" t="n"/>
      <c r="AM394" s="154" t="n"/>
      <c r="AN394" s="154" t="n"/>
      <c r="AO394" s="154" t="n"/>
      <c r="AP394" s="154" t="n"/>
      <c r="AQ394" s="154" t="n"/>
      <c r="AR394" s="154" t="n"/>
      <c r="AS394" s="154" t="n"/>
      <c r="AT394" s="154" t="n"/>
      <c r="AU394" s="154" t="n"/>
      <c r="AV394" s="154" t="n"/>
      <c r="AW394" s="154" t="n"/>
      <c r="AX394" s="154" t="n"/>
      <c r="AY394" s="154" t="n"/>
      <c r="AZ394" s="154" t="n"/>
      <c r="BA394" s="154" t="n"/>
      <c r="BB394" s="154" t="n"/>
      <c r="BC394" s="154" t="n"/>
      <c r="BD394" s="154" t="n"/>
      <c r="BE394" s="154" t="n"/>
      <c r="BF394" s="154" t="n"/>
      <c r="BG394" s="154" t="n"/>
      <c r="BH394" s="154" t="n"/>
    </row>
    <row r="395" ht="15.75" customHeight="1" s="251">
      <c r="A395" s="153" t="n"/>
      <c r="B395" s="154" t="n"/>
      <c r="C395" s="154" t="n"/>
      <c r="D395" s="154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  <c r="AA395" s="154" t="n"/>
      <c r="AB395" s="154" t="n"/>
      <c r="AC395" s="154" t="n"/>
      <c r="AD395" s="154" t="n"/>
      <c r="AE395" s="154" t="n"/>
      <c r="AF395" s="154" t="n"/>
      <c r="AG395" s="154" t="n"/>
      <c r="AH395" s="154" t="n"/>
      <c r="AI395" s="154" t="n"/>
      <c r="AJ395" s="154" t="n"/>
      <c r="AK395" s="154" t="n"/>
      <c r="AL395" s="154" t="n"/>
      <c r="AM395" s="154" t="n"/>
      <c r="AN395" s="154" t="n"/>
      <c r="AO395" s="154" t="n"/>
      <c r="AP395" s="154" t="n"/>
      <c r="AQ395" s="154" t="n"/>
      <c r="AR395" s="154" t="n"/>
      <c r="AS395" s="154" t="n"/>
      <c r="AT395" s="154" t="n"/>
      <c r="AU395" s="154" t="n"/>
      <c r="AV395" s="154" t="n"/>
      <c r="AW395" s="154" t="n"/>
      <c r="AX395" s="154" t="n"/>
      <c r="AY395" s="154" t="n"/>
      <c r="AZ395" s="154" t="n"/>
      <c r="BA395" s="154" t="n"/>
      <c r="BB395" s="154" t="n"/>
      <c r="BC395" s="154" t="n"/>
      <c r="BD395" s="154" t="n"/>
      <c r="BE395" s="154" t="n"/>
      <c r="BF395" s="154" t="n"/>
      <c r="BG395" s="154" t="n"/>
      <c r="BH395" s="154" t="n"/>
    </row>
    <row r="396" ht="15.75" customHeight="1" s="251">
      <c r="A396" s="153" t="n"/>
      <c r="B396" s="154" t="n"/>
      <c r="C396" s="154" t="n"/>
      <c r="D396" s="154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  <c r="AA396" s="154" t="n"/>
      <c r="AB396" s="154" t="n"/>
      <c r="AC396" s="154" t="n"/>
      <c r="AD396" s="154" t="n"/>
      <c r="AE396" s="154" t="n"/>
      <c r="AF396" s="154" t="n"/>
      <c r="AG396" s="154" t="n"/>
      <c r="AH396" s="154" t="n"/>
      <c r="AI396" s="154" t="n"/>
      <c r="AJ396" s="154" t="n"/>
      <c r="AK396" s="154" t="n"/>
      <c r="AL396" s="154" t="n"/>
      <c r="AM396" s="154" t="n"/>
      <c r="AN396" s="154" t="n"/>
      <c r="AO396" s="154" t="n"/>
      <c r="AP396" s="154" t="n"/>
      <c r="AQ396" s="154" t="n"/>
      <c r="AR396" s="154" t="n"/>
      <c r="AS396" s="154" t="n"/>
      <c r="AT396" s="154" t="n"/>
      <c r="AU396" s="154" t="n"/>
      <c r="AV396" s="154" t="n"/>
      <c r="AW396" s="154" t="n"/>
      <c r="AX396" s="154" t="n"/>
      <c r="AY396" s="154" t="n"/>
      <c r="AZ396" s="154" t="n"/>
      <c r="BA396" s="154" t="n"/>
      <c r="BB396" s="154" t="n"/>
      <c r="BC396" s="154" t="n"/>
      <c r="BD396" s="154" t="n"/>
      <c r="BE396" s="154" t="n"/>
      <c r="BF396" s="154" t="n"/>
      <c r="BG396" s="154" t="n"/>
      <c r="BH396" s="154" t="n"/>
    </row>
    <row r="397" ht="15.75" customHeight="1" s="251">
      <c r="A397" s="153" t="n"/>
      <c r="B397" s="154" t="n"/>
      <c r="C397" s="154" t="n"/>
      <c r="D397" s="154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  <c r="AA397" s="154" t="n"/>
      <c r="AB397" s="154" t="n"/>
      <c r="AC397" s="154" t="n"/>
      <c r="AD397" s="154" t="n"/>
      <c r="AE397" s="154" t="n"/>
      <c r="AF397" s="154" t="n"/>
      <c r="AG397" s="154" t="n"/>
      <c r="AH397" s="154" t="n"/>
      <c r="AI397" s="154" t="n"/>
      <c r="AJ397" s="154" t="n"/>
      <c r="AK397" s="154" t="n"/>
      <c r="AL397" s="154" t="n"/>
      <c r="AM397" s="154" t="n"/>
      <c r="AN397" s="154" t="n"/>
      <c r="AO397" s="154" t="n"/>
      <c r="AP397" s="154" t="n"/>
      <c r="AQ397" s="154" t="n"/>
      <c r="AR397" s="154" t="n"/>
      <c r="AS397" s="154" t="n"/>
      <c r="AT397" s="154" t="n"/>
      <c r="AU397" s="154" t="n"/>
      <c r="AV397" s="154" t="n"/>
      <c r="AW397" s="154" t="n"/>
      <c r="AX397" s="154" t="n"/>
      <c r="AY397" s="154" t="n"/>
      <c r="AZ397" s="154" t="n"/>
      <c r="BA397" s="154" t="n"/>
      <c r="BB397" s="154" t="n"/>
      <c r="BC397" s="154" t="n"/>
      <c r="BD397" s="154" t="n"/>
      <c r="BE397" s="154" t="n"/>
      <c r="BF397" s="154" t="n"/>
      <c r="BG397" s="154" t="n"/>
      <c r="BH397" s="154" t="n"/>
    </row>
    <row r="398" ht="15.75" customHeight="1" s="251">
      <c r="A398" s="153" t="n"/>
      <c r="B398" s="154" t="n"/>
      <c r="C398" s="154" t="n"/>
      <c r="D398" s="154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  <c r="AA398" s="154" t="n"/>
      <c r="AB398" s="154" t="n"/>
      <c r="AC398" s="154" t="n"/>
      <c r="AD398" s="154" t="n"/>
      <c r="AE398" s="154" t="n"/>
      <c r="AF398" s="154" t="n"/>
      <c r="AG398" s="154" t="n"/>
      <c r="AH398" s="154" t="n"/>
      <c r="AI398" s="154" t="n"/>
      <c r="AJ398" s="154" t="n"/>
      <c r="AK398" s="154" t="n"/>
      <c r="AL398" s="154" t="n"/>
      <c r="AM398" s="154" t="n"/>
      <c r="AN398" s="154" t="n"/>
      <c r="AO398" s="154" t="n"/>
      <c r="AP398" s="154" t="n"/>
      <c r="AQ398" s="154" t="n"/>
      <c r="AR398" s="154" t="n"/>
      <c r="AS398" s="154" t="n"/>
      <c r="AT398" s="154" t="n"/>
      <c r="AU398" s="154" t="n"/>
      <c r="AV398" s="154" t="n"/>
      <c r="AW398" s="154" t="n"/>
      <c r="AX398" s="154" t="n"/>
      <c r="AY398" s="154" t="n"/>
      <c r="AZ398" s="154" t="n"/>
      <c r="BA398" s="154" t="n"/>
      <c r="BB398" s="154" t="n"/>
      <c r="BC398" s="154" t="n"/>
      <c r="BD398" s="154" t="n"/>
      <c r="BE398" s="154" t="n"/>
      <c r="BF398" s="154" t="n"/>
      <c r="BG398" s="154" t="n"/>
      <c r="BH398" s="154" t="n"/>
    </row>
    <row r="399" ht="15.75" customHeight="1" s="251">
      <c r="A399" s="153" t="n"/>
      <c r="B399" s="154" t="n"/>
      <c r="C399" s="154" t="n"/>
      <c r="D399" s="154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  <c r="AA399" s="154" t="n"/>
      <c r="AB399" s="154" t="n"/>
      <c r="AC399" s="154" t="n"/>
      <c r="AD399" s="154" t="n"/>
      <c r="AE399" s="154" t="n"/>
      <c r="AF399" s="154" t="n"/>
      <c r="AG399" s="154" t="n"/>
      <c r="AH399" s="154" t="n"/>
      <c r="AI399" s="154" t="n"/>
      <c r="AJ399" s="154" t="n"/>
      <c r="AK399" s="154" t="n"/>
      <c r="AL399" s="154" t="n"/>
      <c r="AM399" s="154" t="n"/>
      <c r="AN399" s="154" t="n"/>
      <c r="AO399" s="154" t="n"/>
      <c r="AP399" s="154" t="n"/>
      <c r="AQ399" s="154" t="n"/>
      <c r="AR399" s="154" t="n"/>
      <c r="AS399" s="154" t="n"/>
      <c r="AT399" s="154" t="n"/>
      <c r="AU399" s="154" t="n"/>
      <c r="AV399" s="154" t="n"/>
      <c r="AW399" s="154" t="n"/>
      <c r="AX399" s="154" t="n"/>
      <c r="AY399" s="154" t="n"/>
      <c r="AZ399" s="154" t="n"/>
      <c r="BA399" s="154" t="n"/>
      <c r="BB399" s="154" t="n"/>
      <c r="BC399" s="154" t="n"/>
      <c r="BD399" s="154" t="n"/>
      <c r="BE399" s="154" t="n"/>
      <c r="BF399" s="154" t="n"/>
      <c r="BG399" s="154" t="n"/>
      <c r="BH399" s="154" t="n"/>
    </row>
    <row r="400" ht="15.75" customHeight="1" s="251">
      <c r="A400" s="153" t="n"/>
      <c r="B400" s="154" t="n"/>
      <c r="C400" s="154" t="n"/>
      <c r="D400" s="154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  <c r="AA400" s="154" t="n"/>
      <c r="AB400" s="154" t="n"/>
      <c r="AC400" s="154" t="n"/>
      <c r="AD400" s="154" t="n"/>
      <c r="AE400" s="154" t="n"/>
      <c r="AF400" s="154" t="n"/>
      <c r="AG400" s="154" t="n"/>
      <c r="AH400" s="154" t="n"/>
      <c r="AI400" s="154" t="n"/>
      <c r="AJ400" s="154" t="n"/>
      <c r="AK400" s="154" t="n"/>
      <c r="AL400" s="154" t="n"/>
      <c r="AM400" s="154" t="n"/>
      <c r="AN400" s="154" t="n"/>
      <c r="AO400" s="154" t="n"/>
      <c r="AP400" s="154" t="n"/>
      <c r="AQ400" s="154" t="n"/>
      <c r="AR400" s="154" t="n"/>
      <c r="AS400" s="154" t="n"/>
      <c r="AT400" s="154" t="n"/>
      <c r="AU400" s="154" t="n"/>
      <c r="AV400" s="154" t="n"/>
      <c r="AW400" s="154" t="n"/>
      <c r="AX400" s="154" t="n"/>
      <c r="AY400" s="154" t="n"/>
      <c r="AZ400" s="154" t="n"/>
      <c r="BA400" s="154" t="n"/>
      <c r="BB400" s="154" t="n"/>
      <c r="BC400" s="154" t="n"/>
      <c r="BD400" s="154" t="n"/>
      <c r="BE400" s="154" t="n"/>
      <c r="BF400" s="154" t="n"/>
      <c r="BG400" s="154" t="n"/>
      <c r="BH400" s="154" t="n"/>
    </row>
    <row r="401" ht="15.75" customHeight="1" s="251">
      <c r="A401" s="153" t="n"/>
      <c r="B401" s="154" t="n"/>
      <c r="C401" s="154" t="n"/>
      <c r="D401" s="154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  <c r="AA401" s="154" t="n"/>
      <c r="AB401" s="154" t="n"/>
      <c r="AC401" s="154" t="n"/>
      <c r="AD401" s="154" t="n"/>
      <c r="AE401" s="154" t="n"/>
      <c r="AF401" s="154" t="n"/>
      <c r="AG401" s="154" t="n"/>
      <c r="AH401" s="154" t="n"/>
      <c r="AI401" s="154" t="n"/>
      <c r="AJ401" s="154" t="n"/>
      <c r="AK401" s="154" t="n"/>
      <c r="AL401" s="154" t="n"/>
      <c r="AM401" s="154" t="n"/>
      <c r="AN401" s="154" t="n"/>
      <c r="AO401" s="154" t="n"/>
      <c r="AP401" s="154" t="n"/>
      <c r="AQ401" s="154" t="n"/>
      <c r="AR401" s="154" t="n"/>
      <c r="AS401" s="154" t="n"/>
      <c r="AT401" s="154" t="n"/>
      <c r="AU401" s="154" t="n"/>
      <c r="AV401" s="154" t="n"/>
      <c r="AW401" s="154" t="n"/>
      <c r="AX401" s="154" t="n"/>
      <c r="AY401" s="154" t="n"/>
      <c r="AZ401" s="154" t="n"/>
      <c r="BA401" s="154" t="n"/>
      <c r="BB401" s="154" t="n"/>
      <c r="BC401" s="154" t="n"/>
      <c r="BD401" s="154" t="n"/>
      <c r="BE401" s="154" t="n"/>
      <c r="BF401" s="154" t="n"/>
      <c r="BG401" s="154" t="n"/>
      <c r="BH401" s="154" t="n"/>
    </row>
    <row r="402" ht="15.75" customHeight="1" s="251">
      <c r="A402" s="153" t="n"/>
      <c r="B402" s="154" t="n"/>
      <c r="C402" s="154" t="n"/>
      <c r="D402" s="154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  <c r="AA402" s="154" t="n"/>
      <c r="AB402" s="154" t="n"/>
      <c r="AC402" s="154" t="n"/>
      <c r="AD402" s="154" t="n"/>
      <c r="AE402" s="154" t="n"/>
      <c r="AF402" s="154" t="n"/>
      <c r="AG402" s="154" t="n"/>
      <c r="AH402" s="154" t="n"/>
      <c r="AI402" s="154" t="n"/>
      <c r="AJ402" s="154" t="n"/>
      <c r="AK402" s="154" t="n"/>
      <c r="AL402" s="154" t="n"/>
      <c r="AM402" s="154" t="n"/>
      <c r="AN402" s="154" t="n"/>
      <c r="AO402" s="154" t="n"/>
      <c r="AP402" s="154" t="n"/>
      <c r="AQ402" s="154" t="n"/>
      <c r="AR402" s="154" t="n"/>
      <c r="AS402" s="154" t="n"/>
      <c r="AT402" s="154" t="n"/>
      <c r="AU402" s="154" t="n"/>
      <c r="AV402" s="154" t="n"/>
      <c r="AW402" s="154" t="n"/>
      <c r="AX402" s="154" t="n"/>
      <c r="AY402" s="154" t="n"/>
      <c r="AZ402" s="154" t="n"/>
      <c r="BA402" s="154" t="n"/>
      <c r="BB402" s="154" t="n"/>
      <c r="BC402" s="154" t="n"/>
      <c r="BD402" s="154" t="n"/>
      <c r="BE402" s="154" t="n"/>
      <c r="BF402" s="154" t="n"/>
      <c r="BG402" s="154" t="n"/>
      <c r="BH402" s="154" t="n"/>
    </row>
    <row r="403" ht="15.75" customHeight="1" s="251">
      <c r="A403" s="153" t="n"/>
      <c r="B403" s="154" t="n"/>
      <c r="C403" s="154" t="n"/>
      <c r="D403" s="154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  <c r="AA403" s="154" t="n"/>
      <c r="AB403" s="154" t="n"/>
      <c r="AC403" s="154" t="n"/>
      <c r="AD403" s="154" t="n"/>
      <c r="AE403" s="154" t="n"/>
      <c r="AF403" s="154" t="n"/>
      <c r="AG403" s="154" t="n"/>
      <c r="AH403" s="154" t="n"/>
      <c r="AI403" s="154" t="n"/>
      <c r="AJ403" s="154" t="n"/>
      <c r="AK403" s="154" t="n"/>
      <c r="AL403" s="154" t="n"/>
      <c r="AM403" s="154" t="n"/>
      <c r="AN403" s="154" t="n"/>
      <c r="AO403" s="154" t="n"/>
      <c r="AP403" s="154" t="n"/>
      <c r="AQ403" s="154" t="n"/>
      <c r="AR403" s="154" t="n"/>
      <c r="AS403" s="154" t="n"/>
      <c r="AT403" s="154" t="n"/>
      <c r="AU403" s="154" t="n"/>
      <c r="AV403" s="154" t="n"/>
      <c r="AW403" s="154" t="n"/>
      <c r="AX403" s="154" t="n"/>
      <c r="AY403" s="154" t="n"/>
      <c r="AZ403" s="154" t="n"/>
      <c r="BA403" s="154" t="n"/>
      <c r="BB403" s="154" t="n"/>
      <c r="BC403" s="154" t="n"/>
      <c r="BD403" s="154" t="n"/>
      <c r="BE403" s="154" t="n"/>
      <c r="BF403" s="154" t="n"/>
      <c r="BG403" s="154" t="n"/>
      <c r="BH403" s="154" t="n"/>
    </row>
    <row r="404" ht="15.75" customHeight="1" s="251">
      <c r="A404" s="153" t="n"/>
      <c r="B404" s="154" t="n"/>
      <c r="C404" s="154" t="n"/>
      <c r="D404" s="154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  <c r="AA404" s="154" t="n"/>
      <c r="AB404" s="154" t="n"/>
      <c r="AC404" s="154" t="n"/>
      <c r="AD404" s="154" t="n"/>
      <c r="AE404" s="154" t="n"/>
      <c r="AF404" s="154" t="n"/>
      <c r="AG404" s="154" t="n"/>
      <c r="AH404" s="154" t="n"/>
      <c r="AI404" s="154" t="n"/>
      <c r="AJ404" s="154" t="n"/>
      <c r="AK404" s="154" t="n"/>
      <c r="AL404" s="154" t="n"/>
      <c r="AM404" s="154" t="n"/>
      <c r="AN404" s="154" t="n"/>
      <c r="AO404" s="154" t="n"/>
      <c r="AP404" s="154" t="n"/>
      <c r="AQ404" s="154" t="n"/>
      <c r="AR404" s="154" t="n"/>
      <c r="AS404" s="154" t="n"/>
      <c r="AT404" s="154" t="n"/>
      <c r="AU404" s="154" t="n"/>
      <c r="AV404" s="154" t="n"/>
      <c r="AW404" s="154" t="n"/>
      <c r="AX404" s="154" t="n"/>
      <c r="AY404" s="154" t="n"/>
      <c r="AZ404" s="154" t="n"/>
      <c r="BA404" s="154" t="n"/>
      <c r="BB404" s="154" t="n"/>
      <c r="BC404" s="154" t="n"/>
      <c r="BD404" s="154" t="n"/>
      <c r="BE404" s="154" t="n"/>
      <c r="BF404" s="154" t="n"/>
      <c r="BG404" s="154" t="n"/>
      <c r="BH404" s="154" t="n"/>
    </row>
    <row r="405" ht="15.75" customHeight="1" s="251">
      <c r="A405" s="153" t="n"/>
      <c r="B405" s="154" t="n"/>
      <c r="C405" s="154" t="n"/>
      <c r="D405" s="154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  <c r="AA405" s="154" t="n"/>
      <c r="AB405" s="154" t="n"/>
      <c r="AC405" s="154" t="n"/>
      <c r="AD405" s="154" t="n"/>
      <c r="AE405" s="154" t="n"/>
      <c r="AF405" s="154" t="n"/>
      <c r="AG405" s="154" t="n"/>
      <c r="AH405" s="154" t="n"/>
      <c r="AI405" s="154" t="n"/>
      <c r="AJ405" s="154" t="n"/>
      <c r="AK405" s="154" t="n"/>
      <c r="AL405" s="154" t="n"/>
      <c r="AM405" s="154" t="n"/>
      <c r="AN405" s="154" t="n"/>
      <c r="AO405" s="154" t="n"/>
      <c r="AP405" s="154" t="n"/>
      <c r="AQ405" s="154" t="n"/>
      <c r="AR405" s="154" t="n"/>
      <c r="AS405" s="154" t="n"/>
      <c r="AT405" s="154" t="n"/>
      <c r="AU405" s="154" t="n"/>
      <c r="AV405" s="154" t="n"/>
      <c r="AW405" s="154" t="n"/>
      <c r="AX405" s="154" t="n"/>
      <c r="AY405" s="154" t="n"/>
      <c r="AZ405" s="154" t="n"/>
      <c r="BA405" s="154" t="n"/>
      <c r="BB405" s="154" t="n"/>
      <c r="BC405" s="154" t="n"/>
      <c r="BD405" s="154" t="n"/>
      <c r="BE405" s="154" t="n"/>
      <c r="BF405" s="154" t="n"/>
      <c r="BG405" s="154" t="n"/>
      <c r="BH405" s="154" t="n"/>
    </row>
    <row r="406" ht="15.75" customHeight="1" s="251">
      <c r="A406" s="153" t="n"/>
      <c r="B406" s="154" t="n"/>
      <c r="C406" s="154" t="n"/>
      <c r="D406" s="154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  <c r="AA406" s="154" t="n"/>
      <c r="AB406" s="154" t="n"/>
      <c r="AC406" s="154" t="n"/>
      <c r="AD406" s="154" t="n"/>
      <c r="AE406" s="154" t="n"/>
      <c r="AF406" s="154" t="n"/>
      <c r="AG406" s="154" t="n"/>
      <c r="AH406" s="154" t="n"/>
      <c r="AI406" s="154" t="n"/>
      <c r="AJ406" s="154" t="n"/>
      <c r="AK406" s="154" t="n"/>
      <c r="AL406" s="154" t="n"/>
      <c r="AM406" s="154" t="n"/>
      <c r="AN406" s="154" t="n"/>
      <c r="AO406" s="154" t="n"/>
      <c r="AP406" s="154" t="n"/>
      <c r="AQ406" s="154" t="n"/>
      <c r="AR406" s="154" t="n"/>
      <c r="AS406" s="154" t="n"/>
      <c r="AT406" s="154" t="n"/>
      <c r="AU406" s="154" t="n"/>
      <c r="AV406" s="154" t="n"/>
      <c r="AW406" s="154" t="n"/>
      <c r="AX406" s="154" t="n"/>
      <c r="AY406" s="154" t="n"/>
      <c r="AZ406" s="154" t="n"/>
      <c r="BA406" s="154" t="n"/>
      <c r="BB406" s="154" t="n"/>
      <c r="BC406" s="154" t="n"/>
      <c r="BD406" s="154" t="n"/>
      <c r="BE406" s="154" t="n"/>
      <c r="BF406" s="154" t="n"/>
      <c r="BG406" s="154" t="n"/>
      <c r="BH406" s="154" t="n"/>
    </row>
    <row r="407" ht="15.75" customHeight="1" s="251">
      <c r="A407" s="153" t="n"/>
      <c r="B407" s="154" t="n"/>
      <c r="C407" s="154" t="n"/>
      <c r="D407" s="154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  <c r="AA407" s="154" t="n"/>
      <c r="AB407" s="154" t="n"/>
      <c r="AC407" s="154" t="n"/>
      <c r="AD407" s="154" t="n"/>
      <c r="AE407" s="154" t="n"/>
      <c r="AF407" s="154" t="n"/>
      <c r="AG407" s="154" t="n"/>
      <c r="AH407" s="154" t="n"/>
      <c r="AI407" s="154" t="n"/>
      <c r="AJ407" s="154" t="n"/>
      <c r="AK407" s="154" t="n"/>
      <c r="AL407" s="154" t="n"/>
      <c r="AM407" s="154" t="n"/>
      <c r="AN407" s="154" t="n"/>
      <c r="AO407" s="154" t="n"/>
      <c r="AP407" s="154" t="n"/>
      <c r="AQ407" s="154" t="n"/>
      <c r="AR407" s="154" t="n"/>
      <c r="AS407" s="154" t="n"/>
      <c r="AT407" s="154" t="n"/>
      <c r="AU407" s="154" t="n"/>
      <c r="AV407" s="154" t="n"/>
      <c r="AW407" s="154" t="n"/>
      <c r="AX407" s="154" t="n"/>
      <c r="AY407" s="154" t="n"/>
      <c r="AZ407" s="154" t="n"/>
      <c r="BA407" s="154" t="n"/>
      <c r="BB407" s="154" t="n"/>
      <c r="BC407" s="154" t="n"/>
      <c r="BD407" s="154" t="n"/>
      <c r="BE407" s="154" t="n"/>
      <c r="BF407" s="154" t="n"/>
      <c r="BG407" s="154" t="n"/>
      <c r="BH407" s="154" t="n"/>
    </row>
    <row r="408" ht="15.75" customHeight="1" s="251">
      <c r="A408" s="153" t="n"/>
      <c r="B408" s="154" t="n"/>
      <c r="C408" s="154" t="n"/>
      <c r="D408" s="154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  <c r="AA408" s="154" t="n"/>
      <c r="AB408" s="154" t="n"/>
      <c r="AC408" s="154" t="n"/>
      <c r="AD408" s="154" t="n"/>
      <c r="AE408" s="154" t="n"/>
      <c r="AF408" s="154" t="n"/>
      <c r="AG408" s="154" t="n"/>
      <c r="AH408" s="154" t="n"/>
      <c r="AI408" s="154" t="n"/>
      <c r="AJ408" s="154" t="n"/>
      <c r="AK408" s="154" t="n"/>
      <c r="AL408" s="154" t="n"/>
      <c r="AM408" s="154" t="n"/>
      <c r="AN408" s="154" t="n"/>
      <c r="AO408" s="154" t="n"/>
      <c r="AP408" s="154" t="n"/>
      <c r="AQ408" s="154" t="n"/>
      <c r="AR408" s="154" t="n"/>
      <c r="AS408" s="154" t="n"/>
      <c r="AT408" s="154" t="n"/>
      <c r="AU408" s="154" t="n"/>
      <c r="AV408" s="154" t="n"/>
      <c r="AW408" s="154" t="n"/>
      <c r="AX408" s="154" t="n"/>
      <c r="AY408" s="154" t="n"/>
      <c r="AZ408" s="154" t="n"/>
      <c r="BA408" s="154" t="n"/>
      <c r="BB408" s="154" t="n"/>
      <c r="BC408" s="154" t="n"/>
      <c r="BD408" s="154" t="n"/>
      <c r="BE408" s="154" t="n"/>
      <c r="BF408" s="154" t="n"/>
      <c r="BG408" s="154" t="n"/>
      <c r="BH408" s="154" t="n"/>
    </row>
    <row r="409" ht="15.75" customHeight="1" s="251">
      <c r="A409" s="153" t="n"/>
      <c r="B409" s="154" t="n"/>
      <c r="C409" s="154" t="n"/>
      <c r="D409" s="154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  <c r="AA409" s="154" t="n"/>
      <c r="AB409" s="154" t="n"/>
      <c r="AC409" s="154" t="n"/>
      <c r="AD409" s="154" t="n"/>
      <c r="AE409" s="154" t="n"/>
      <c r="AF409" s="154" t="n"/>
      <c r="AG409" s="154" t="n"/>
      <c r="AH409" s="154" t="n"/>
      <c r="AI409" s="154" t="n"/>
      <c r="AJ409" s="154" t="n"/>
      <c r="AK409" s="154" t="n"/>
      <c r="AL409" s="154" t="n"/>
      <c r="AM409" s="154" t="n"/>
      <c r="AN409" s="154" t="n"/>
      <c r="AO409" s="154" t="n"/>
      <c r="AP409" s="154" t="n"/>
      <c r="AQ409" s="154" t="n"/>
      <c r="AR409" s="154" t="n"/>
      <c r="AS409" s="154" t="n"/>
      <c r="AT409" s="154" t="n"/>
      <c r="AU409" s="154" t="n"/>
      <c r="AV409" s="154" t="n"/>
      <c r="AW409" s="154" t="n"/>
      <c r="AX409" s="154" t="n"/>
      <c r="AY409" s="154" t="n"/>
      <c r="AZ409" s="154" t="n"/>
      <c r="BA409" s="154" t="n"/>
      <c r="BB409" s="154" t="n"/>
      <c r="BC409" s="154" t="n"/>
      <c r="BD409" s="154" t="n"/>
      <c r="BE409" s="154" t="n"/>
      <c r="BF409" s="154" t="n"/>
      <c r="BG409" s="154" t="n"/>
      <c r="BH409" s="154" t="n"/>
    </row>
    <row r="410" ht="15.75" customHeight="1" s="251">
      <c r="A410" s="153" t="n"/>
      <c r="B410" s="154" t="n"/>
      <c r="C410" s="154" t="n"/>
      <c r="D410" s="154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  <c r="AA410" s="154" t="n"/>
      <c r="AB410" s="154" t="n"/>
      <c r="AC410" s="154" t="n"/>
      <c r="AD410" s="154" t="n"/>
      <c r="AE410" s="154" t="n"/>
      <c r="AF410" s="154" t="n"/>
      <c r="AG410" s="154" t="n"/>
      <c r="AH410" s="154" t="n"/>
      <c r="AI410" s="154" t="n"/>
      <c r="AJ410" s="154" t="n"/>
      <c r="AK410" s="154" t="n"/>
      <c r="AL410" s="154" t="n"/>
      <c r="AM410" s="154" t="n"/>
      <c r="AN410" s="154" t="n"/>
      <c r="AO410" s="154" t="n"/>
      <c r="AP410" s="154" t="n"/>
      <c r="AQ410" s="154" t="n"/>
      <c r="AR410" s="154" t="n"/>
      <c r="AS410" s="154" t="n"/>
      <c r="AT410" s="154" t="n"/>
      <c r="AU410" s="154" t="n"/>
      <c r="AV410" s="154" t="n"/>
      <c r="AW410" s="154" t="n"/>
      <c r="AX410" s="154" t="n"/>
      <c r="AY410" s="154" t="n"/>
      <c r="AZ410" s="154" t="n"/>
      <c r="BA410" s="154" t="n"/>
      <c r="BB410" s="154" t="n"/>
      <c r="BC410" s="154" t="n"/>
      <c r="BD410" s="154" t="n"/>
      <c r="BE410" s="154" t="n"/>
      <c r="BF410" s="154" t="n"/>
      <c r="BG410" s="154" t="n"/>
      <c r="BH410" s="154" t="n"/>
    </row>
    <row r="411" ht="15.75" customHeight="1" s="251">
      <c r="A411" s="153" t="n"/>
      <c r="B411" s="154" t="n"/>
      <c r="C411" s="154" t="n"/>
      <c r="D411" s="154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  <c r="AA411" s="154" t="n"/>
      <c r="AB411" s="154" t="n"/>
      <c r="AC411" s="154" t="n"/>
      <c r="AD411" s="154" t="n"/>
      <c r="AE411" s="154" t="n"/>
      <c r="AF411" s="154" t="n"/>
      <c r="AG411" s="154" t="n"/>
      <c r="AH411" s="154" t="n"/>
      <c r="AI411" s="154" t="n"/>
      <c r="AJ411" s="154" t="n"/>
      <c r="AK411" s="154" t="n"/>
      <c r="AL411" s="154" t="n"/>
      <c r="AM411" s="154" t="n"/>
      <c r="AN411" s="154" t="n"/>
      <c r="AO411" s="154" t="n"/>
      <c r="AP411" s="154" t="n"/>
      <c r="AQ411" s="154" t="n"/>
      <c r="AR411" s="154" t="n"/>
      <c r="AS411" s="154" t="n"/>
      <c r="AT411" s="154" t="n"/>
      <c r="AU411" s="154" t="n"/>
      <c r="AV411" s="154" t="n"/>
      <c r="AW411" s="154" t="n"/>
      <c r="AX411" s="154" t="n"/>
      <c r="AY411" s="154" t="n"/>
      <c r="AZ411" s="154" t="n"/>
      <c r="BA411" s="154" t="n"/>
      <c r="BB411" s="154" t="n"/>
      <c r="BC411" s="154" t="n"/>
      <c r="BD411" s="154" t="n"/>
      <c r="BE411" s="154" t="n"/>
      <c r="BF411" s="154" t="n"/>
      <c r="BG411" s="154" t="n"/>
      <c r="BH411" s="154" t="n"/>
    </row>
    <row r="412" ht="15.75" customHeight="1" s="251">
      <c r="A412" s="153" t="n"/>
      <c r="B412" s="154" t="n"/>
      <c r="C412" s="154" t="n"/>
      <c r="D412" s="154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  <c r="AA412" s="154" t="n"/>
      <c r="AB412" s="154" t="n"/>
      <c r="AC412" s="154" t="n"/>
      <c r="AD412" s="154" t="n"/>
      <c r="AE412" s="154" t="n"/>
      <c r="AF412" s="154" t="n"/>
      <c r="AG412" s="154" t="n"/>
      <c r="AH412" s="154" t="n"/>
      <c r="AI412" s="154" t="n"/>
      <c r="AJ412" s="154" t="n"/>
      <c r="AK412" s="154" t="n"/>
      <c r="AL412" s="154" t="n"/>
      <c r="AM412" s="154" t="n"/>
      <c r="AN412" s="154" t="n"/>
      <c r="AO412" s="154" t="n"/>
      <c r="AP412" s="154" t="n"/>
      <c r="AQ412" s="154" t="n"/>
      <c r="AR412" s="154" t="n"/>
      <c r="AS412" s="154" t="n"/>
      <c r="AT412" s="154" t="n"/>
      <c r="AU412" s="154" t="n"/>
      <c r="AV412" s="154" t="n"/>
      <c r="AW412" s="154" t="n"/>
      <c r="AX412" s="154" t="n"/>
      <c r="AY412" s="154" t="n"/>
      <c r="AZ412" s="154" t="n"/>
      <c r="BA412" s="154" t="n"/>
      <c r="BB412" s="154" t="n"/>
      <c r="BC412" s="154" t="n"/>
      <c r="BD412" s="154" t="n"/>
      <c r="BE412" s="154" t="n"/>
      <c r="BF412" s="154" t="n"/>
      <c r="BG412" s="154" t="n"/>
      <c r="BH412" s="154" t="n"/>
    </row>
    <row r="413" ht="15.75" customHeight="1" s="251">
      <c r="A413" s="153" t="n"/>
      <c r="B413" s="154" t="n"/>
      <c r="C413" s="154" t="n"/>
      <c r="D413" s="154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  <c r="AA413" s="154" t="n"/>
      <c r="AB413" s="154" t="n"/>
      <c r="AC413" s="154" t="n"/>
      <c r="AD413" s="154" t="n"/>
      <c r="AE413" s="154" t="n"/>
      <c r="AF413" s="154" t="n"/>
      <c r="AG413" s="154" t="n"/>
      <c r="AH413" s="154" t="n"/>
      <c r="AI413" s="154" t="n"/>
      <c r="AJ413" s="154" t="n"/>
      <c r="AK413" s="154" t="n"/>
      <c r="AL413" s="154" t="n"/>
      <c r="AM413" s="154" t="n"/>
      <c r="AN413" s="154" t="n"/>
      <c r="AO413" s="154" t="n"/>
      <c r="AP413" s="154" t="n"/>
      <c r="AQ413" s="154" t="n"/>
      <c r="AR413" s="154" t="n"/>
      <c r="AS413" s="154" t="n"/>
      <c r="AT413" s="154" t="n"/>
      <c r="AU413" s="154" t="n"/>
      <c r="AV413" s="154" t="n"/>
      <c r="AW413" s="154" t="n"/>
      <c r="AX413" s="154" t="n"/>
      <c r="AY413" s="154" t="n"/>
      <c r="AZ413" s="154" t="n"/>
      <c r="BA413" s="154" t="n"/>
      <c r="BB413" s="154" t="n"/>
      <c r="BC413" s="154" t="n"/>
      <c r="BD413" s="154" t="n"/>
      <c r="BE413" s="154" t="n"/>
      <c r="BF413" s="154" t="n"/>
      <c r="BG413" s="154" t="n"/>
      <c r="BH413" s="154" t="n"/>
    </row>
    <row r="414" ht="15.75" customHeight="1" s="251">
      <c r="A414" s="153" t="n"/>
      <c r="B414" s="154" t="n"/>
      <c r="C414" s="154" t="n"/>
      <c r="D414" s="154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  <c r="AA414" s="154" t="n"/>
      <c r="AB414" s="154" t="n"/>
      <c r="AC414" s="154" t="n"/>
      <c r="AD414" s="154" t="n"/>
      <c r="AE414" s="154" t="n"/>
      <c r="AF414" s="154" t="n"/>
      <c r="AG414" s="154" t="n"/>
      <c r="AH414" s="154" t="n"/>
      <c r="AI414" s="154" t="n"/>
      <c r="AJ414" s="154" t="n"/>
      <c r="AK414" s="154" t="n"/>
      <c r="AL414" s="154" t="n"/>
      <c r="AM414" s="154" t="n"/>
      <c r="AN414" s="154" t="n"/>
      <c r="AO414" s="154" t="n"/>
      <c r="AP414" s="154" t="n"/>
      <c r="AQ414" s="154" t="n"/>
      <c r="AR414" s="154" t="n"/>
      <c r="AS414" s="154" t="n"/>
      <c r="AT414" s="154" t="n"/>
      <c r="AU414" s="154" t="n"/>
      <c r="AV414" s="154" t="n"/>
      <c r="AW414" s="154" t="n"/>
      <c r="AX414" s="154" t="n"/>
      <c r="AY414" s="154" t="n"/>
      <c r="AZ414" s="154" t="n"/>
      <c r="BA414" s="154" t="n"/>
      <c r="BB414" s="154" t="n"/>
      <c r="BC414" s="154" t="n"/>
      <c r="BD414" s="154" t="n"/>
      <c r="BE414" s="154" t="n"/>
      <c r="BF414" s="154" t="n"/>
      <c r="BG414" s="154" t="n"/>
      <c r="BH414" s="154" t="n"/>
    </row>
    <row r="415" ht="15.75" customHeight="1" s="251">
      <c r="A415" s="153" t="n"/>
      <c r="B415" s="154" t="n"/>
      <c r="C415" s="154" t="n"/>
      <c r="D415" s="154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  <c r="AA415" s="154" t="n"/>
      <c r="AB415" s="154" t="n"/>
      <c r="AC415" s="154" t="n"/>
      <c r="AD415" s="154" t="n"/>
      <c r="AE415" s="154" t="n"/>
      <c r="AF415" s="154" t="n"/>
      <c r="AG415" s="154" t="n"/>
      <c r="AH415" s="154" t="n"/>
      <c r="AI415" s="154" t="n"/>
      <c r="AJ415" s="154" t="n"/>
      <c r="AK415" s="154" t="n"/>
      <c r="AL415" s="154" t="n"/>
      <c r="AM415" s="154" t="n"/>
      <c r="AN415" s="154" t="n"/>
      <c r="AO415" s="154" t="n"/>
      <c r="AP415" s="154" t="n"/>
      <c r="AQ415" s="154" t="n"/>
      <c r="AR415" s="154" t="n"/>
      <c r="AS415" s="154" t="n"/>
      <c r="AT415" s="154" t="n"/>
      <c r="AU415" s="154" t="n"/>
      <c r="AV415" s="154" t="n"/>
      <c r="AW415" s="154" t="n"/>
      <c r="AX415" s="154" t="n"/>
      <c r="AY415" s="154" t="n"/>
      <c r="AZ415" s="154" t="n"/>
      <c r="BA415" s="154" t="n"/>
      <c r="BB415" s="154" t="n"/>
      <c r="BC415" s="154" t="n"/>
      <c r="BD415" s="154" t="n"/>
      <c r="BE415" s="154" t="n"/>
      <c r="BF415" s="154" t="n"/>
      <c r="BG415" s="154" t="n"/>
      <c r="BH415" s="154" t="n"/>
    </row>
    <row r="416" ht="15.75" customHeight="1" s="251">
      <c r="A416" s="153" t="n"/>
      <c r="B416" s="154" t="n"/>
      <c r="C416" s="154" t="n"/>
      <c r="D416" s="154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  <c r="AA416" s="154" t="n"/>
      <c r="AB416" s="154" t="n"/>
      <c r="AC416" s="154" t="n"/>
      <c r="AD416" s="154" t="n"/>
      <c r="AE416" s="154" t="n"/>
      <c r="AF416" s="154" t="n"/>
      <c r="AG416" s="154" t="n"/>
      <c r="AH416" s="154" t="n"/>
      <c r="AI416" s="154" t="n"/>
      <c r="AJ416" s="154" t="n"/>
      <c r="AK416" s="154" t="n"/>
      <c r="AL416" s="154" t="n"/>
      <c r="AM416" s="154" t="n"/>
      <c r="AN416" s="154" t="n"/>
      <c r="AO416" s="154" t="n"/>
      <c r="AP416" s="154" t="n"/>
      <c r="AQ416" s="154" t="n"/>
      <c r="AR416" s="154" t="n"/>
      <c r="AS416" s="154" t="n"/>
      <c r="AT416" s="154" t="n"/>
      <c r="AU416" s="154" t="n"/>
      <c r="AV416" s="154" t="n"/>
      <c r="AW416" s="154" t="n"/>
      <c r="AX416" s="154" t="n"/>
      <c r="AY416" s="154" t="n"/>
      <c r="AZ416" s="154" t="n"/>
      <c r="BA416" s="154" t="n"/>
      <c r="BB416" s="154" t="n"/>
      <c r="BC416" s="154" t="n"/>
      <c r="BD416" s="154" t="n"/>
      <c r="BE416" s="154" t="n"/>
      <c r="BF416" s="154" t="n"/>
      <c r="BG416" s="154" t="n"/>
      <c r="BH416" s="154" t="n"/>
    </row>
    <row r="417" ht="15.75" customHeight="1" s="251">
      <c r="A417" s="153" t="n"/>
      <c r="B417" s="154" t="n"/>
      <c r="C417" s="154" t="n"/>
      <c r="D417" s="154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  <c r="AA417" s="154" t="n"/>
      <c r="AB417" s="154" t="n"/>
      <c r="AC417" s="154" t="n"/>
      <c r="AD417" s="154" t="n"/>
      <c r="AE417" s="154" t="n"/>
      <c r="AF417" s="154" t="n"/>
      <c r="AG417" s="154" t="n"/>
      <c r="AH417" s="154" t="n"/>
      <c r="AI417" s="154" t="n"/>
      <c r="AJ417" s="154" t="n"/>
      <c r="AK417" s="154" t="n"/>
      <c r="AL417" s="154" t="n"/>
      <c r="AM417" s="154" t="n"/>
      <c r="AN417" s="154" t="n"/>
      <c r="AO417" s="154" t="n"/>
      <c r="AP417" s="154" t="n"/>
      <c r="AQ417" s="154" t="n"/>
      <c r="AR417" s="154" t="n"/>
      <c r="AS417" s="154" t="n"/>
      <c r="AT417" s="154" t="n"/>
      <c r="AU417" s="154" t="n"/>
      <c r="AV417" s="154" t="n"/>
      <c r="AW417" s="154" t="n"/>
      <c r="AX417" s="154" t="n"/>
      <c r="AY417" s="154" t="n"/>
      <c r="AZ417" s="154" t="n"/>
      <c r="BA417" s="154" t="n"/>
      <c r="BB417" s="154" t="n"/>
      <c r="BC417" s="154" t="n"/>
      <c r="BD417" s="154" t="n"/>
      <c r="BE417" s="154" t="n"/>
      <c r="BF417" s="154" t="n"/>
      <c r="BG417" s="154" t="n"/>
      <c r="BH417" s="154" t="n"/>
    </row>
    <row r="418" ht="15.75" customHeight="1" s="251">
      <c r="A418" s="153" t="n"/>
      <c r="B418" s="154" t="n"/>
      <c r="C418" s="154" t="n"/>
      <c r="D418" s="154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  <c r="AA418" s="154" t="n"/>
      <c r="AB418" s="154" t="n"/>
      <c r="AC418" s="154" t="n"/>
      <c r="AD418" s="154" t="n"/>
      <c r="AE418" s="154" t="n"/>
      <c r="AF418" s="154" t="n"/>
      <c r="AG418" s="154" t="n"/>
      <c r="AH418" s="154" t="n"/>
      <c r="AI418" s="154" t="n"/>
      <c r="AJ418" s="154" t="n"/>
      <c r="AK418" s="154" t="n"/>
      <c r="AL418" s="154" t="n"/>
      <c r="AM418" s="154" t="n"/>
      <c r="AN418" s="154" t="n"/>
      <c r="AO418" s="154" t="n"/>
      <c r="AP418" s="154" t="n"/>
      <c r="AQ418" s="154" t="n"/>
      <c r="AR418" s="154" t="n"/>
      <c r="AS418" s="154" t="n"/>
      <c r="AT418" s="154" t="n"/>
      <c r="AU418" s="154" t="n"/>
      <c r="AV418" s="154" t="n"/>
      <c r="AW418" s="154" t="n"/>
      <c r="AX418" s="154" t="n"/>
      <c r="AY418" s="154" t="n"/>
      <c r="AZ418" s="154" t="n"/>
      <c r="BA418" s="154" t="n"/>
      <c r="BB418" s="154" t="n"/>
      <c r="BC418" s="154" t="n"/>
      <c r="BD418" s="154" t="n"/>
      <c r="BE418" s="154" t="n"/>
      <c r="BF418" s="154" t="n"/>
      <c r="BG418" s="154" t="n"/>
      <c r="BH418" s="154" t="n"/>
    </row>
    <row r="419" ht="15.75" customHeight="1" s="251">
      <c r="A419" s="153" t="n"/>
      <c r="B419" s="154" t="n"/>
      <c r="C419" s="154" t="n"/>
      <c r="D419" s="154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  <c r="AA419" s="154" t="n"/>
      <c r="AB419" s="154" t="n"/>
      <c r="AC419" s="154" t="n"/>
      <c r="AD419" s="154" t="n"/>
      <c r="AE419" s="154" t="n"/>
      <c r="AF419" s="154" t="n"/>
      <c r="AG419" s="154" t="n"/>
      <c r="AH419" s="154" t="n"/>
      <c r="AI419" s="154" t="n"/>
      <c r="AJ419" s="154" t="n"/>
      <c r="AK419" s="154" t="n"/>
      <c r="AL419" s="154" t="n"/>
      <c r="AM419" s="154" t="n"/>
      <c r="AN419" s="154" t="n"/>
      <c r="AO419" s="154" t="n"/>
      <c r="AP419" s="154" t="n"/>
      <c r="AQ419" s="154" t="n"/>
      <c r="AR419" s="154" t="n"/>
      <c r="AS419" s="154" t="n"/>
      <c r="AT419" s="154" t="n"/>
      <c r="AU419" s="154" t="n"/>
      <c r="AV419" s="154" t="n"/>
      <c r="AW419" s="154" t="n"/>
      <c r="AX419" s="154" t="n"/>
      <c r="AY419" s="154" t="n"/>
      <c r="AZ419" s="154" t="n"/>
      <c r="BA419" s="154" t="n"/>
      <c r="BB419" s="154" t="n"/>
      <c r="BC419" s="154" t="n"/>
      <c r="BD419" s="154" t="n"/>
      <c r="BE419" s="154" t="n"/>
      <c r="BF419" s="154" t="n"/>
      <c r="BG419" s="154" t="n"/>
      <c r="BH419" s="154" t="n"/>
    </row>
    <row r="420" ht="15.75" customHeight="1" s="251">
      <c r="A420" s="153" t="n"/>
      <c r="B420" s="154" t="n"/>
      <c r="C420" s="154" t="n"/>
      <c r="D420" s="154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  <c r="AA420" s="154" t="n"/>
      <c r="AB420" s="154" t="n"/>
      <c r="AC420" s="154" t="n"/>
      <c r="AD420" s="154" t="n"/>
      <c r="AE420" s="154" t="n"/>
      <c r="AF420" s="154" t="n"/>
      <c r="AG420" s="154" t="n"/>
      <c r="AH420" s="154" t="n"/>
      <c r="AI420" s="154" t="n"/>
      <c r="AJ420" s="154" t="n"/>
      <c r="AK420" s="154" t="n"/>
      <c r="AL420" s="154" t="n"/>
      <c r="AM420" s="154" t="n"/>
      <c r="AN420" s="154" t="n"/>
      <c r="AO420" s="154" t="n"/>
      <c r="AP420" s="154" t="n"/>
      <c r="AQ420" s="154" t="n"/>
      <c r="AR420" s="154" t="n"/>
      <c r="AS420" s="154" t="n"/>
      <c r="AT420" s="154" t="n"/>
      <c r="AU420" s="154" t="n"/>
      <c r="AV420" s="154" t="n"/>
      <c r="AW420" s="154" t="n"/>
      <c r="AX420" s="154" t="n"/>
      <c r="AY420" s="154" t="n"/>
      <c r="AZ420" s="154" t="n"/>
      <c r="BA420" s="154" t="n"/>
      <c r="BB420" s="154" t="n"/>
      <c r="BC420" s="154" t="n"/>
      <c r="BD420" s="154" t="n"/>
      <c r="BE420" s="154" t="n"/>
      <c r="BF420" s="154" t="n"/>
      <c r="BG420" s="154" t="n"/>
      <c r="BH420" s="154" t="n"/>
    </row>
    <row r="421" ht="15.75" customHeight="1" s="251">
      <c r="A421" s="153" t="n"/>
      <c r="B421" s="154" t="n"/>
      <c r="C421" s="154" t="n"/>
      <c r="D421" s="154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  <c r="AA421" s="154" t="n"/>
      <c r="AB421" s="154" t="n"/>
      <c r="AC421" s="154" t="n"/>
      <c r="AD421" s="154" t="n"/>
      <c r="AE421" s="154" t="n"/>
      <c r="AF421" s="154" t="n"/>
      <c r="AG421" s="154" t="n"/>
      <c r="AH421" s="154" t="n"/>
      <c r="AI421" s="154" t="n"/>
      <c r="AJ421" s="154" t="n"/>
      <c r="AK421" s="154" t="n"/>
      <c r="AL421" s="154" t="n"/>
      <c r="AM421" s="154" t="n"/>
      <c r="AN421" s="154" t="n"/>
      <c r="AO421" s="154" t="n"/>
      <c r="AP421" s="154" t="n"/>
      <c r="AQ421" s="154" t="n"/>
      <c r="AR421" s="154" t="n"/>
      <c r="AS421" s="154" t="n"/>
      <c r="AT421" s="154" t="n"/>
      <c r="AU421" s="154" t="n"/>
      <c r="AV421" s="154" t="n"/>
      <c r="AW421" s="154" t="n"/>
      <c r="AX421" s="154" t="n"/>
      <c r="AY421" s="154" t="n"/>
      <c r="AZ421" s="154" t="n"/>
      <c r="BA421" s="154" t="n"/>
      <c r="BB421" s="154" t="n"/>
      <c r="BC421" s="154" t="n"/>
      <c r="BD421" s="154" t="n"/>
      <c r="BE421" s="154" t="n"/>
      <c r="BF421" s="154" t="n"/>
      <c r="BG421" s="154" t="n"/>
      <c r="BH421" s="154" t="n"/>
    </row>
    <row r="422" ht="15.75" customHeight="1" s="251">
      <c r="A422" s="153" t="n"/>
      <c r="B422" s="154" t="n"/>
      <c r="C422" s="154" t="n"/>
      <c r="D422" s="154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  <c r="AA422" s="154" t="n"/>
      <c r="AB422" s="154" t="n"/>
      <c r="AC422" s="154" t="n"/>
      <c r="AD422" s="154" t="n"/>
      <c r="AE422" s="154" t="n"/>
      <c r="AF422" s="154" t="n"/>
      <c r="AG422" s="154" t="n"/>
      <c r="AH422" s="154" t="n"/>
      <c r="AI422" s="154" t="n"/>
      <c r="AJ422" s="154" t="n"/>
      <c r="AK422" s="154" t="n"/>
      <c r="AL422" s="154" t="n"/>
      <c r="AM422" s="154" t="n"/>
      <c r="AN422" s="154" t="n"/>
      <c r="AO422" s="154" t="n"/>
      <c r="AP422" s="154" t="n"/>
      <c r="AQ422" s="154" t="n"/>
      <c r="AR422" s="154" t="n"/>
      <c r="AS422" s="154" t="n"/>
      <c r="AT422" s="154" t="n"/>
      <c r="AU422" s="154" t="n"/>
      <c r="AV422" s="154" t="n"/>
      <c r="AW422" s="154" t="n"/>
      <c r="AX422" s="154" t="n"/>
      <c r="AY422" s="154" t="n"/>
      <c r="AZ422" s="154" t="n"/>
      <c r="BA422" s="154" t="n"/>
      <c r="BB422" s="154" t="n"/>
      <c r="BC422" s="154" t="n"/>
      <c r="BD422" s="154" t="n"/>
      <c r="BE422" s="154" t="n"/>
      <c r="BF422" s="154" t="n"/>
      <c r="BG422" s="154" t="n"/>
      <c r="BH422" s="154" t="n"/>
    </row>
    <row r="423" ht="15.75" customHeight="1" s="251">
      <c r="A423" s="153" t="n"/>
      <c r="B423" s="154" t="n"/>
      <c r="C423" s="154" t="n"/>
      <c r="D423" s="154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  <c r="AA423" s="154" t="n"/>
      <c r="AB423" s="154" t="n"/>
      <c r="AC423" s="154" t="n"/>
      <c r="AD423" s="154" t="n"/>
      <c r="AE423" s="154" t="n"/>
      <c r="AF423" s="154" t="n"/>
      <c r="AG423" s="154" t="n"/>
      <c r="AH423" s="154" t="n"/>
      <c r="AI423" s="154" t="n"/>
      <c r="AJ423" s="154" t="n"/>
      <c r="AK423" s="154" t="n"/>
      <c r="AL423" s="154" t="n"/>
      <c r="AM423" s="154" t="n"/>
      <c r="AN423" s="154" t="n"/>
      <c r="AO423" s="154" t="n"/>
      <c r="AP423" s="154" t="n"/>
      <c r="AQ423" s="154" t="n"/>
      <c r="AR423" s="154" t="n"/>
      <c r="AS423" s="154" t="n"/>
      <c r="AT423" s="154" t="n"/>
      <c r="AU423" s="154" t="n"/>
      <c r="AV423" s="154" t="n"/>
      <c r="AW423" s="154" t="n"/>
      <c r="AX423" s="154" t="n"/>
      <c r="AY423" s="154" t="n"/>
      <c r="AZ423" s="154" t="n"/>
      <c r="BA423" s="154" t="n"/>
      <c r="BB423" s="154" t="n"/>
      <c r="BC423" s="154" t="n"/>
      <c r="BD423" s="154" t="n"/>
      <c r="BE423" s="154" t="n"/>
      <c r="BF423" s="154" t="n"/>
      <c r="BG423" s="154" t="n"/>
      <c r="BH423" s="154" t="n"/>
    </row>
    <row r="424" ht="15.75" customHeight="1" s="251">
      <c r="A424" s="153" t="n"/>
      <c r="B424" s="154" t="n"/>
      <c r="C424" s="154" t="n"/>
      <c r="D424" s="154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  <c r="AA424" s="154" t="n"/>
      <c r="AB424" s="154" t="n"/>
      <c r="AC424" s="154" t="n"/>
      <c r="AD424" s="154" t="n"/>
      <c r="AE424" s="154" t="n"/>
      <c r="AF424" s="154" t="n"/>
      <c r="AG424" s="154" t="n"/>
      <c r="AH424" s="154" t="n"/>
      <c r="AI424" s="154" t="n"/>
      <c r="AJ424" s="154" t="n"/>
      <c r="AK424" s="154" t="n"/>
      <c r="AL424" s="154" t="n"/>
      <c r="AM424" s="154" t="n"/>
      <c r="AN424" s="154" t="n"/>
      <c r="AO424" s="154" t="n"/>
      <c r="AP424" s="154" t="n"/>
      <c r="AQ424" s="154" t="n"/>
      <c r="AR424" s="154" t="n"/>
      <c r="AS424" s="154" t="n"/>
      <c r="AT424" s="154" t="n"/>
      <c r="AU424" s="154" t="n"/>
      <c r="AV424" s="154" t="n"/>
      <c r="AW424" s="154" t="n"/>
      <c r="AX424" s="154" t="n"/>
      <c r="AY424" s="154" t="n"/>
      <c r="AZ424" s="154" t="n"/>
      <c r="BA424" s="154" t="n"/>
      <c r="BB424" s="154" t="n"/>
      <c r="BC424" s="154" t="n"/>
      <c r="BD424" s="154" t="n"/>
      <c r="BE424" s="154" t="n"/>
      <c r="BF424" s="154" t="n"/>
      <c r="BG424" s="154" t="n"/>
      <c r="BH424" s="154" t="n"/>
    </row>
    <row r="425" ht="15.75" customHeight="1" s="251">
      <c r="A425" s="153" t="n"/>
      <c r="B425" s="154" t="n"/>
      <c r="C425" s="154" t="n"/>
      <c r="D425" s="154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  <c r="AA425" s="154" t="n"/>
      <c r="AB425" s="154" t="n"/>
      <c r="AC425" s="154" t="n"/>
      <c r="AD425" s="154" t="n"/>
      <c r="AE425" s="154" t="n"/>
      <c r="AF425" s="154" t="n"/>
      <c r="AG425" s="154" t="n"/>
      <c r="AH425" s="154" t="n"/>
      <c r="AI425" s="154" t="n"/>
      <c r="AJ425" s="154" t="n"/>
      <c r="AK425" s="154" t="n"/>
      <c r="AL425" s="154" t="n"/>
      <c r="AM425" s="154" t="n"/>
      <c r="AN425" s="154" t="n"/>
      <c r="AO425" s="154" t="n"/>
      <c r="AP425" s="154" t="n"/>
      <c r="AQ425" s="154" t="n"/>
      <c r="AR425" s="154" t="n"/>
      <c r="AS425" s="154" t="n"/>
      <c r="AT425" s="154" t="n"/>
      <c r="AU425" s="154" t="n"/>
      <c r="AV425" s="154" t="n"/>
      <c r="AW425" s="154" t="n"/>
      <c r="AX425" s="154" t="n"/>
      <c r="AY425" s="154" t="n"/>
      <c r="AZ425" s="154" t="n"/>
      <c r="BA425" s="154" t="n"/>
      <c r="BB425" s="154" t="n"/>
      <c r="BC425" s="154" t="n"/>
      <c r="BD425" s="154" t="n"/>
      <c r="BE425" s="154" t="n"/>
      <c r="BF425" s="154" t="n"/>
      <c r="BG425" s="154" t="n"/>
      <c r="BH425" s="154" t="n"/>
    </row>
    <row r="426" ht="15.75" customHeight="1" s="251">
      <c r="A426" s="153" t="n"/>
      <c r="B426" s="154" t="n"/>
      <c r="C426" s="154" t="n"/>
      <c r="D426" s="154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  <c r="AA426" s="154" t="n"/>
      <c r="AB426" s="154" t="n"/>
      <c r="AC426" s="154" t="n"/>
      <c r="AD426" s="154" t="n"/>
      <c r="AE426" s="154" t="n"/>
      <c r="AF426" s="154" t="n"/>
      <c r="AG426" s="154" t="n"/>
      <c r="AH426" s="154" t="n"/>
      <c r="AI426" s="154" t="n"/>
      <c r="AJ426" s="154" t="n"/>
      <c r="AK426" s="154" t="n"/>
      <c r="AL426" s="154" t="n"/>
      <c r="AM426" s="154" t="n"/>
      <c r="AN426" s="154" t="n"/>
      <c r="AO426" s="154" t="n"/>
      <c r="AP426" s="154" t="n"/>
      <c r="AQ426" s="154" t="n"/>
      <c r="AR426" s="154" t="n"/>
      <c r="AS426" s="154" t="n"/>
      <c r="AT426" s="154" t="n"/>
      <c r="AU426" s="154" t="n"/>
      <c r="AV426" s="154" t="n"/>
      <c r="AW426" s="154" t="n"/>
      <c r="AX426" s="154" t="n"/>
      <c r="AY426" s="154" t="n"/>
      <c r="AZ426" s="154" t="n"/>
      <c r="BA426" s="154" t="n"/>
      <c r="BB426" s="154" t="n"/>
      <c r="BC426" s="154" t="n"/>
      <c r="BD426" s="154" t="n"/>
      <c r="BE426" s="154" t="n"/>
      <c r="BF426" s="154" t="n"/>
      <c r="BG426" s="154" t="n"/>
      <c r="BH426" s="154" t="n"/>
    </row>
    <row r="427" ht="15.75" customHeight="1" s="251">
      <c r="A427" s="153" t="n"/>
      <c r="B427" s="154" t="n"/>
      <c r="C427" s="154" t="n"/>
      <c r="D427" s="154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  <c r="AA427" s="154" t="n"/>
      <c r="AB427" s="154" t="n"/>
      <c r="AC427" s="154" t="n"/>
      <c r="AD427" s="154" t="n"/>
      <c r="AE427" s="154" t="n"/>
      <c r="AF427" s="154" t="n"/>
      <c r="AG427" s="154" t="n"/>
      <c r="AH427" s="154" t="n"/>
      <c r="AI427" s="154" t="n"/>
      <c r="AJ427" s="154" t="n"/>
      <c r="AK427" s="154" t="n"/>
      <c r="AL427" s="154" t="n"/>
      <c r="AM427" s="154" t="n"/>
      <c r="AN427" s="154" t="n"/>
      <c r="AO427" s="154" t="n"/>
      <c r="AP427" s="154" t="n"/>
      <c r="AQ427" s="154" t="n"/>
      <c r="AR427" s="154" t="n"/>
      <c r="AS427" s="154" t="n"/>
      <c r="AT427" s="154" t="n"/>
      <c r="AU427" s="154" t="n"/>
      <c r="AV427" s="154" t="n"/>
      <c r="AW427" s="154" t="n"/>
      <c r="AX427" s="154" t="n"/>
      <c r="AY427" s="154" t="n"/>
      <c r="AZ427" s="154" t="n"/>
      <c r="BA427" s="154" t="n"/>
      <c r="BB427" s="154" t="n"/>
      <c r="BC427" s="154" t="n"/>
      <c r="BD427" s="154" t="n"/>
      <c r="BE427" s="154" t="n"/>
      <c r="BF427" s="154" t="n"/>
      <c r="BG427" s="154" t="n"/>
      <c r="BH427" s="154" t="n"/>
    </row>
    <row r="428" ht="15.75" customHeight="1" s="251">
      <c r="A428" s="153" t="n"/>
      <c r="B428" s="154" t="n"/>
      <c r="C428" s="154" t="n"/>
      <c r="D428" s="154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  <c r="AA428" s="154" t="n"/>
      <c r="AB428" s="154" t="n"/>
      <c r="AC428" s="154" t="n"/>
      <c r="AD428" s="154" t="n"/>
      <c r="AE428" s="154" t="n"/>
      <c r="AF428" s="154" t="n"/>
      <c r="AG428" s="154" t="n"/>
      <c r="AH428" s="154" t="n"/>
      <c r="AI428" s="154" t="n"/>
      <c r="AJ428" s="154" t="n"/>
      <c r="AK428" s="154" t="n"/>
      <c r="AL428" s="154" t="n"/>
      <c r="AM428" s="154" t="n"/>
      <c r="AN428" s="154" t="n"/>
      <c r="AO428" s="154" t="n"/>
      <c r="AP428" s="154" t="n"/>
      <c r="AQ428" s="154" t="n"/>
      <c r="AR428" s="154" t="n"/>
      <c r="AS428" s="154" t="n"/>
      <c r="AT428" s="154" t="n"/>
      <c r="AU428" s="154" t="n"/>
      <c r="AV428" s="154" t="n"/>
      <c r="AW428" s="154" t="n"/>
      <c r="AX428" s="154" t="n"/>
      <c r="AY428" s="154" t="n"/>
      <c r="AZ428" s="154" t="n"/>
      <c r="BA428" s="154" t="n"/>
      <c r="BB428" s="154" t="n"/>
      <c r="BC428" s="154" t="n"/>
      <c r="BD428" s="154" t="n"/>
      <c r="BE428" s="154" t="n"/>
      <c r="BF428" s="154" t="n"/>
      <c r="BG428" s="154" t="n"/>
      <c r="BH428" s="154" t="n"/>
    </row>
    <row r="429" ht="15.75" customHeight="1" s="251">
      <c r="A429" s="153" t="n"/>
      <c r="B429" s="154" t="n"/>
      <c r="C429" s="154" t="n"/>
      <c r="D429" s="154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  <c r="AA429" s="154" t="n"/>
      <c r="AB429" s="154" t="n"/>
      <c r="AC429" s="154" t="n"/>
      <c r="AD429" s="154" t="n"/>
      <c r="AE429" s="154" t="n"/>
      <c r="AF429" s="154" t="n"/>
      <c r="AG429" s="154" t="n"/>
      <c r="AH429" s="154" t="n"/>
      <c r="AI429" s="154" t="n"/>
      <c r="AJ429" s="154" t="n"/>
      <c r="AK429" s="154" t="n"/>
      <c r="AL429" s="154" t="n"/>
      <c r="AM429" s="154" t="n"/>
      <c r="AN429" s="154" t="n"/>
      <c r="AO429" s="154" t="n"/>
      <c r="AP429" s="154" t="n"/>
      <c r="AQ429" s="154" t="n"/>
      <c r="AR429" s="154" t="n"/>
      <c r="AS429" s="154" t="n"/>
      <c r="AT429" s="154" t="n"/>
      <c r="AU429" s="154" t="n"/>
      <c r="AV429" s="154" t="n"/>
      <c r="AW429" s="154" t="n"/>
      <c r="AX429" s="154" t="n"/>
      <c r="AY429" s="154" t="n"/>
      <c r="AZ429" s="154" t="n"/>
      <c r="BA429" s="154" t="n"/>
      <c r="BB429" s="154" t="n"/>
      <c r="BC429" s="154" t="n"/>
      <c r="BD429" s="154" t="n"/>
      <c r="BE429" s="154" t="n"/>
      <c r="BF429" s="154" t="n"/>
      <c r="BG429" s="154" t="n"/>
      <c r="BH429" s="154" t="n"/>
    </row>
    <row r="430" ht="15.75" customHeight="1" s="251">
      <c r="A430" s="153" t="n"/>
      <c r="B430" s="154" t="n"/>
      <c r="C430" s="154" t="n"/>
      <c r="D430" s="154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  <c r="AA430" s="154" t="n"/>
      <c r="AB430" s="154" t="n"/>
      <c r="AC430" s="154" t="n"/>
      <c r="AD430" s="154" t="n"/>
      <c r="AE430" s="154" t="n"/>
      <c r="AF430" s="154" t="n"/>
      <c r="AG430" s="154" t="n"/>
      <c r="AH430" s="154" t="n"/>
      <c r="AI430" s="154" t="n"/>
      <c r="AJ430" s="154" t="n"/>
      <c r="AK430" s="154" t="n"/>
      <c r="AL430" s="154" t="n"/>
      <c r="AM430" s="154" t="n"/>
      <c r="AN430" s="154" t="n"/>
      <c r="AO430" s="154" t="n"/>
      <c r="AP430" s="154" t="n"/>
      <c r="AQ430" s="154" t="n"/>
      <c r="AR430" s="154" t="n"/>
      <c r="AS430" s="154" t="n"/>
      <c r="AT430" s="154" t="n"/>
      <c r="AU430" s="154" t="n"/>
      <c r="AV430" s="154" t="n"/>
      <c r="AW430" s="154" t="n"/>
      <c r="AX430" s="154" t="n"/>
      <c r="AY430" s="154" t="n"/>
      <c r="AZ430" s="154" t="n"/>
      <c r="BA430" s="154" t="n"/>
      <c r="BB430" s="154" t="n"/>
      <c r="BC430" s="154" t="n"/>
      <c r="BD430" s="154" t="n"/>
      <c r="BE430" s="154" t="n"/>
      <c r="BF430" s="154" t="n"/>
      <c r="BG430" s="154" t="n"/>
      <c r="BH430" s="154" t="n"/>
    </row>
    <row r="431" ht="15.75" customHeight="1" s="251">
      <c r="A431" s="153" t="n"/>
      <c r="B431" s="154" t="n"/>
      <c r="C431" s="154" t="n"/>
      <c r="D431" s="154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  <c r="AA431" s="154" t="n"/>
      <c r="AB431" s="154" t="n"/>
      <c r="AC431" s="154" t="n"/>
      <c r="AD431" s="154" t="n"/>
      <c r="AE431" s="154" t="n"/>
      <c r="AF431" s="154" t="n"/>
      <c r="AG431" s="154" t="n"/>
      <c r="AH431" s="154" t="n"/>
      <c r="AI431" s="154" t="n"/>
      <c r="AJ431" s="154" t="n"/>
      <c r="AK431" s="154" t="n"/>
      <c r="AL431" s="154" t="n"/>
      <c r="AM431" s="154" t="n"/>
      <c r="AN431" s="154" t="n"/>
      <c r="AO431" s="154" t="n"/>
      <c r="AP431" s="154" t="n"/>
      <c r="AQ431" s="154" t="n"/>
      <c r="AR431" s="154" t="n"/>
      <c r="AS431" s="154" t="n"/>
      <c r="AT431" s="154" t="n"/>
      <c r="AU431" s="154" t="n"/>
      <c r="AV431" s="154" t="n"/>
      <c r="AW431" s="154" t="n"/>
      <c r="AX431" s="154" t="n"/>
      <c r="AY431" s="154" t="n"/>
      <c r="AZ431" s="154" t="n"/>
      <c r="BA431" s="154" t="n"/>
      <c r="BB431" s="154" t="n"/>
      <c r="BC431" s="154" t="n"/>
      <c r="BD431" s="154" t="n"/>
      <c r="BE431" s="154" t="n"/>
      <c r="BF431" s="154" t="n"/>
      <c r="BG431" s="154" t="n"/>
      <c r="BH431" s="154" t="n"/>
    </row>
    <row r="432" ht="15.75" customHeight="1" s="251">
      <c r="A432" s="153" t="n"/>
      <c r="B432" s="154" t="n"/>
      <c r="C432" s="154" t="n"/>
      <c r="D432" s="154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  <c r="AA432" s="154" t="n"/>
      <c r="AB432" s="154" t="n"/>
      <c r="AC432" s="154" t="n"/>
      <c r="AD432" s="154" t="n"/>
      <c r="AE432" s="154" t="n"/>
      <c r="AF432" s="154" t="n"/>
      <c r="AG432" s="154" t="n"/>
      <c r="AH432" s="154" t="n"/>
      <c r="AI432" s="154" t="n"/>
      <c r="AJ432" s="154" t="n"/>
      <c r="AK432" s="154" t="n"/>
      <c r="AL432" s="154" t="n"/>
      <c r="AM432" s="154" t="n"/>
      <c r="AN432" s="154" t="n"/>
      <c r="AO432" s="154" t="n"/>
      <c r="AP432" s="154" t="n"/>
      <c r="AQ432" s="154" t="n"/>
      <c r="AR432" s="154" t="n"/>
      <c r="AS432" s="154" t="n"/>
      <c r="AT432" s="154" t="n"/>
      <c r="AU432" s="154" t="n"/>
      <c r="AV432" s="154" t="n"/>
      <c r="AW432" s="154" t="n"/>
      <c r="AX432" s="154" t="n"/>
      <c r="AY432" s="154" t="n"/>
      <c r="AZ432" s="154" t="n"/>
      <c r="BA432" s="154" t="n"/>
      <c r="BB432" s="154" t="n"/>
      <c r="BC432" s="154" t="n"/>
      <c r="BD432" s="154" t="n"/>
      <c r="BE432" s="154" t="n"/>
      <c r="BF432" s="154" t="n"/>
      <c r="BG432" s="154" t="n"/>
      <c r="BH432" s="154" t="n"/>
    </row>
    <row r="433" ht="15.75" customHeight="1" s="251">
      <c r="A433" s="153" t="n"/>
      <c r="B433" s="154" t="n"/>
      <c r="C433" s="154" t="n"/>
      <c r="D433" s="154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  <c r="AA433" s="154" t="n"/>
      <c r="AB433" s="154" t="n"/>
      <c r="AC433" s="154" t="n"/>
      <c r="AD433" s="154" t="n"/>
      <c r="AE433" s="154" t="n"/>
      <c r="AF433" s="154" t="n"/>
      <c r="AG433" s="154" t="n"/>
      <c r="AH433" s="154" t="n"/>
      <c r="AI433" s="154" t="n"/>
      <c r="AJ433" s="154" t="n"/>
      <c r="AK433" s="154" t="n"/>
      <c r="AL433" s="154" t="n"/>
      <c r="AM433" s="154" t="n"/>
      <c r="AN433" s="154" t="n"/>
      <c r="AO433" s="154" t="n"/>
      <c r="AP433" s="154" t="n"/>
      <c r="AQ433" s="154" t="n"/>
      <c r="AR433" s="154" t="n"/>
      <c r="AS433" s="154" t="n"/>
      <c r="AT433" s="154" t="n"/>
      <c r="AU433" s="154" t="n"/>
      <c r="AV433" s="154" t="n"/>
      <c r="AW433" s="154" t="n"/>
      <c r="AX433" s="154" t="n"/>
      <c r="AY433" s="154" t="n"/>
      <c r="AZ433" s="154" t="n"/>
      <c r="BA433" s="154" t="n"/>
      <c r="BB433" s="154" t="n"/>
      <c r="BC433" s="154" t="n"/>
      <c r="BD433" s="154" t="n"/>
      <c r="BE433" s="154" t="n"/>
      <c r="BF433" s="154" t="n"/>
      <c r="BG433" s="154" t="n"/>
      <c r="BH433" s="154" t="n"/>
    </row>
    <row r="434" ht="15.75" customHeight="1" s="251">
      <c r="A434" s="153" t="n"/>
      <c r="B434" s="154" t="n"/>
      <c r="C434" s="154" t="n"/>
      <c r="D434" s="154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  <c r="AA434" s="154" t="n"/>
      <c r="AB434" s="154" t="n"/>
      <c r="AC434" s="154" t="n"/>
      <c r="AD434" s="154" t="n"/>
      <c r="AE434" s="154" t="n"/>
      <c r="AF434" s="154" t="n"/>
      <c r="AG434" s="154" t="n"/>
      <c r="AH434" s="154" t="n"/>
      <c r="AI434" s="154" t="n"/>
      <c r="AJ434" s="154" t="n"/>
      <c r="AK434" s="154" t="n"/>
      <c r="AL434" s="154" t="n"/>
      <c r="AM434" s="154" t="n"/>
      <c r="AN434" s="154" t="n"/>
      <c r="AO434" s="154" t="n"/>
      <c r="AP434" s="154" t="n"/>
      <c r="AQ434" s="154" t="n"/>
      <c r="AR434" s="154" t="n"/>
      <c r="AS434" s="154" t="n"/>
      <c r="AT434" s="154" t="n"/>
      <c r="AU434" s="154" t="n"/>
      <c r="AV434" s="154" t="n"/>
      <c r="AW434" s="154" t="n"/>
      <c r="AX434" s="154" t="n"/>
      <c r="AY434" s="154" t="n"/>
      <c r="AZ434" s="154" t="n"/>
      <c r="BA434" s="154" t="n"/>
      <c r="BB434" s="154" t="n"/>
      <c r="BC434" s="154" t="n"/>
      <c r="BD434" s="154" t="n"/>
      <c r="BE434" s="154" t="n"/>
      <c r="BF434" s="154" t="n"/>
      <c r="BG434" s="154" t="n"/>
      <c r="BH434" s="154" t="n"/>
    </row>
    <row r="435" ht="15.75" customHeight="1" s="251">
      <c r="A435" s="153" t="n"/>
      <c r="B435" s="154" t="n"/>
      <c r="C435" s="154" t="n"/>
      <c r="D435" s="154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  <c r="AA435" s="154" t="n"/>
      <c r="AB435" s="154" t="n"/>
      <c r="AC435" s="154" t="n"/>
      <c r="AD435" s="154" t="n"/>
      <c r="AE435" s="154" t="n"/>
      <c r="AF435" s="154" t="n"/>
      <c r="AG435" s="154" t="n"/>
      <c r="AH435" s="154" t="n"/>
      <c r="AI435" s="154" t="n"/>
      <c r="AJ435" s="154" t="n"/>
      <c r="AK435" s="154" t="n"/>
      <c r="AL435" s="154" t="n"/>
      <c r="AM435" s="154" t="n"/>
      <c r="AN435" s="154" t="n"/>
      <c r="AO435" s="154" t="n"/>
      <c r="AP435" s="154" t="n"/>
      <c r="AQ435" s="154" t="n"/>
      <c r="AR435" s="154" t="n"/>
      <c r="AS435" s="154" t="n"/>
      <c r="AT435" s="154" t="n"/>
      <c r="AU435" s="154" t="n"/>
      <c r="AV435" s="154" t="n"/>
      <c r="AW435" s="154" t="n"/>
      <c r="AX435" s="154" t="n"/>
      <c r="AY435" s="154" t="n"/>
      <c r="AZ435" s="154" t="n"/>
      <c r="BA435" s="154" t="n"/>
      <c r="BB435" s="154" t="n"/>
      <c r="BC435" s="154" t="n"/>
      <c r="BD435" s="154" t="n"/>
      <c r="BE435" s="154" t="n"/>
      <c r="BF435" s="154" t="n"/>
      <c r="BG435" s="154" t="n"/>
      <c r="BH435" s="154" t="n"/>
    </row>
    <row r="436" ht="15.75" customHeight="1" s="251">
      <c r="A436" s="153" t="n"/>
      <c r="B436" s="154" t="n"/>
      <c r="C436" s="154" t="n"/>
      <c r="D436" s="154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  <c r="AA436" s="154" t="n"/>
      <c r="AB436" s="154" t="n"/>
      <c r="AC436" s="154" t="n"/>
      <c r="AD436" s="154" t="n"/>
      <c r="AE436" s="154" t="n"/>
      <c r="AF436" s="154" t="n"/>
      <c r="AG436" s="154" t="n"/>
      <c r="AH436" s="154" t="n"/>
      <c r="AI436" s="154" t="n"/>
      <c r="AJ436" s="154" t="n"/>
      <c r="AK436" s="154" t="n"/>
      <c r="AL436" s="154" t="n"/>
      <c r="AM436" s="154" t="n"/>
      <c r="AN436" s="154" t="n"/>
      <c r="AO436" s="154" t="n"/>
      <c r="AP436" s="154" t="n"/>
      <c r="AQ436" s="154" t="n"/>
      <c r="AR436" s="154" t="n"/>
      <c r="AS436" s="154" t="n"/>
      <c r="AT436" s="154" t="n"/>
      <c r="AU436" s="154" t="n"/>
      <c r="AV436" s="154" t="n"/>
      <c r="AW436" s="154" t="n"/>
      <c r="AX436" s="154" t="n"/>
      <c r="AY436" s="154" t="n"/>
      <c r="AZ436" s="154" t="n"/>
      <c r="BA436" s="154" t="n"/>
      <c r="BB436" s="154" t="n"/>
      <c r="BC436" s="154" t="n"/>
      <c r="BD436" s="154" t="n"/>
      <c r="BE436" s="154" t="n"/>
      <c r="BF436" s="154" t="n"/>
      <c r="BG436" s="154" t="n"/>
      <c r="BH436" s="154" t="n"/>
    </row>
    <row r="437" ht="15.75" customHeight="1" s="251">
      <c r="A437" s="153" t="n"/>
      <c r="B437" s="154" t="n"/>
      <c r="C437" s="154" t="n"/>
      <c r="D437" s="154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  <c r="AA437" s="154" t="n"/>
      <c r="AB437" s="154" t="n"/>
      <c r="AC437" s="154" t="n"/>
      <c r="AD437" s="154" t="n"/>
      <c r="AE437" s="154" t="n"/>
      <c r="AF437" s="154" t="n"/>
      <c r="AG437" s="154" t="n"/>
      <c r="AH437" s="154" t="n"/>
      <c r="AI437" s="154" t="n"/>
      <c r="AJ437" s="154" t="n"/>
      <c r="AK437" s="154" t="n"/>
      <c r="AL437" s="154" t="n"/>
      <c r="AM437" s="154" t="n"/>
      <c r="AN437" s="154" t="n"/>
      <c r="AO437" s="154" t="n"/>
      <c r="AP437" s="154" t="n"/>
      <c r="AQ437" s="154" t="n"/>
      <c r="AR437" s="154" t="n"/>
      <c r="AS437" s="154" t="n"/>
      <c r="AT437" s="154" t="n"/>
      <c r="AU437" s="154" t="n"/>
      <c r="AV437" s="154" t="n"/>
      <c r="AW437" s="154" t="n"/>
      <c r="AX437" s="154" t="n"/>
      <c r="AY437" s="154" t="n"/>
      <c r="AZ437" s="154" t="n"/>
      <c r="BA437" s="154" t="n"/>
      <c r="BB437" s="154" t="n"/>
      <c r="BC437" s="154" t="n"/>
      <c r="BD437" s="154" t="n"/>
      <c r="BE437" s="154" t="n"/>
      <c r="BF437" s="154" t="n"/>
      <c r="BG437" s="154" t="n"/>
      <c r="BH437" s="154" t="n"/>
    </row>
    <row r="438" ht="15.75" customHeight="1" s="251">
      <c r="A438" s="153" t="n"/>
      <c r="B438" s="154" t="n"/>
      <c r="C438" s="154" t="n"/>
      <c r="D438" s="154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  <c r="AA438" s="154" t="n"/>
      <c r="AB438" s="154" t="n"/>
      <c r="AC438" s="154" t="n"/>
      <c r="AD438" s="154" t="n"/>
      <c r="AE438" s="154" t="n"/>
      <c r="AF438" s="154" t="n"/>
      <c r="AG438" s="154" t="n"/>
      <c r="AH438" s="154" t="n"/>
      <c r="AI438" s="154" t="n"/>
      <c r="AJ438" s="154" t="n"/>
      <c r="AK438" s="154" t="n"/>
      <c r="AL438" s="154" t="n"/>
      <c r="AM438" s="154" t="n"/>
      <c r="AN438" s="154" t="n"/>
      <c r="AO438" s="154" t="n"/>
      <c r="AP438" s="154" t="n"/>
      <c r="AQ438" s="154" t="n"/>
      <c r="AR438" s="154" t="n"/>
      <c r="AS438" s="154" t="n"/>
      <c r="AT438" s="154" t="n"/>
      <c r="AU438" s="154" t="n"/>
      <c r="AV438" s="154" t="n"/>
      <c r="AW438" s="154" t="n"/>
      <c r="AX438" s="154" t="n"/>
      <c r="AY438" s="154" t="n"/>
      <c r="AZ438" s="154" t="n"/>
      <c r="BA438" s="154" t="n"/>
      <c r="BB438" s="154" t="n"/>
      <c r="BC438" s="154" t="n"/>
      <c r="BD438" s="154" t="n"/>
      <c r="BE438" s="154" t="n"/>
      <c r="BF438" s="154" t="n"/>
      <c r="BG438" s="154" t="n"/>
      <c r="BH438" s="154" t="n"/>
    </row>
    <row r="439" ht="15.75" customHeight="1" s="251">
      <c r="A439" s="153" t="n"/>
      <c r="B439" s="154" t="n"/>
      <c r="C439" s="154" t="n"/>
      <c r="D439" s="154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  <c r="AA439" s="154" t="n"/>
      <c r="AB439" s="154" t="n"/>
      <c r="AC439" s="154" t="n"/>
      <c r="AD439" s="154" t="n"/>
      <c r="AE439" s="154" t="n"/>
      <c r="AF439" s="154" t="n"/>
      <c r="AG439" s="154" t="n"/>
      <c r="AH439" s="154" t="n"/>
      <c r="AI439" s="154" t="n"/>
      <c r="AJ439" s="154" t="n"/>
      <c r="AK439" s="154" t="n"/>
      <c r="AL439" s="154" t="n"/>
      <c r="AM439" s="154" t="n"/>
      <c r="AN439" s="154" t="n"/>
      <c r="AO439" s="154" t="n"/>
      <c r="AP439" s="154" t="n"/>
      <c r="AQ439" s="154" t="n"/>
      <c r="AR439" s="154" t="n"/>
      <c r="AS439" s="154" t="n"/>
      <c r="AT439" s="154" t="n"/>
      <c r="AU439" s="154" t="n"/>
      <c r="AV439" s="154" t="n"/>
      <c r="AW439" s="154" t="n"/>
      <c r="AX439" s="154" t="n"/>
      <c r="AY439" s="154" t="n"/>
      <c r="AZ439" s="154" t="n"/>
      <c r="BA439" s="154" t="n"/>
      <c r="BB439" s="154" t="n"/>
      <c r="BC439" s="154" t="n"/>
      <c r="BD439" s="154" t="n"/>
      <c r="BE439" s="154" t="n"/>
      <c r="BF439" s="154" t="n"/>
      <c r="BG439" s="154" t="n"/>
      <c r="BH439" s="154" t="n"/>
    </row>
    <row r="440" ht="15.75" customHeight="1" s="251">
      <c r="A440" s="153" t="n"/>
      <c r="B440" s="154" t="n"/>
      <c r="C440" s="154" t="n"/>
      <c r="D440" s="154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  <c r="AA440" s="154" t="n"/>
      <c r="AB440" s="154" t="n"/>
      <c r="AC440" s="154" t="n"/>
      <c r="AD440" s="154" t="n"/>
      <c r="AE440" s="154" t="n"/>
      <c r="AF440" s="154" t="n"/>
      <c r="AG440" s="154" t="n"/>
      <c r="AH440" s="154" t="n"/>
      <c r="AI440" s="154" t="n"/>
      <c r="AJ440" s="154" t="n"/>
      <c r="AK440" s="154" t="n"/>
      <c r="AL440" s="154" t="n"/>
      <c r="AM440" s="154" t="n"/>
      <c r="AN440" s="154" t="n"/>
      <c r="AO440" s="154" t="n"/>
      <c r="AP440" s="154" t="n"/>
      <c r="AQ440" s="154" t="n"/>
      <c r="AR440" s="154" t="n"/>
      <c r="AS440" s="154" t="n"/>
      <c r="AT440" s="154" t="n"/>
      <c r="AU440" s="154" t="n"/>
      <c r="AV440" s="154" t="n"/>
      <c r="AW440" s="154" t="n"/>
      <c r="AX440" s="154" t="n"/>
      <c r="AY440" s="154" t="n"/>
      <c r="AZ440" s="154" t="n"/>
      <c r="BA440" s="154" t="n"/>
      <c r="BB440" s="154" t="n"/>
      <c r="BC440" s="154" t="n"/>
      <c r="BD440" s="154" t="n"/>
      <c r="BE440" s="154" t="n"/>
      <c r="BF440" s="154" t="n"/>
      <c r="BG440" s="154" t="n"/>
      <c r="BH440" s="154" t="n"/>
    </row>
    <row r="441" ht="15.75" customHeight="1" s="251">
      <c r="A441" s="153" t="n"/>
      <c r="B441" s="154" t="n"/>
      <c r="C441" s="154" t="n"/>
      <c r="D441" s="154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  <c r="AA441" s="154" t="n"/>
      <c r="AB441" s="154" t="n"/>
      <c r="AC441" s="154" t="n"/>
      <c r="AD441" s="154" t="n"/>
      <c r="AE441" s="154" t="n"/>
      <c r="AF441" s="154" t="n"/>
      <c r="AG441" s="154" t="n"/>
      <c r="AH441" s="154" t="n"/>
      <c r="AI441" s="154" t="n"/>
      <c r="AJ441" s="154" t="n"/>
      <c r="AK441" s="154" t="n"/>
      <c r="AL441" s="154" t="n"/>
      <c r="AM441" s="154" t="n"/>
      <c r="AN441" s="154" t="n"/>
      <c r="AO441" s="154" t="n"/>
      <c r="AP441" s="154" t="n"/>
      <c r="AQ441" s="154" t="n"/>
      <c r="AR441" s="154" t="n"/>
      <c r="AS441" s="154" t="n"/>
      <c r="AT441" s="154" t="n"/>
      <c r="AU441" s="154" t="n"/>
      <c r="AV441" s="154" t="n"/>
      <c r="AW441" s="154" t="n"/>
      <c r="AX441" s="154" t="n"/>
      <c r="AY441" s="154" t="n"/>
      <c r="AZ441" s="154" t="n"/>
      <c r="BA441" s="154" t="n"/>
      <c r="BB441" s="154" t="n"/>
      <c r="BC441" s="154" t="n"/>
      <c r="BD441" s="154" t="n"/>
      <c r="BE441" s="154" t="n"/>
      <c r="BF441" s="154" t="n"/>
      <c r="BG441" s="154" t="n"/>
      <c r="BH441" s="154" t="n"/>
    </row>
    <row r="442" ht="15.75" customHeight="1" s="251">
      <c r="A442" s="153" t="n"/>
      <c r="B442" s="154" t="n"/>
      <c r="C442" s="154" t="n"/>
      <c r="D442" s="154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  <c r="AA442" s="154" t="n"/>
      <c r="AB442" s="154" t="n"/>
      <c r="AC442" s="154" t="n"/>
      <c r="AD442" s="154" t="n"/>
      <c r="AE442" s="154" t="n"/>
      <c r="AF442" s="154" t="n"/>
      <c r="AG442" s="154" t="n"/>
      <c r="AH442" s="154" t="n"/>
      <c r="AI442" s="154" t="n"/>
      <c r="AJ442" s="154" t="n"/>
      <c r="AK442" s="154" t="n"/>
      <c r="AL442" s="154" t="n"/>
      <c r="AM442" s="154" t="n"/>
      <c r="AN442" s="154" t="n"/>
      <c r="AO442" s="154" t="n"/>
      <c r="AP442" s="154" t="n"/>
      <c r="AQ442" s="154" t="n"/>
      <c r="AR442" s="154" t="n"/>
      <c r="AS442" s="154" t="n"/>
      <c r="AT442" s="154" t="n"/>
      <c r="AU442" s="154" t="n"/>
      <c r="AV442" s="154" t="n"/>
      <c r="AW442" s="154" t="n"/>
      <c r="AX442" s="154" t="n"/>
      <c r="AY442" s="154" t="n"/>
      <c r="AZ442" s="154" t="n"/>
      <c r="BA442" s="154" t="n"/>
      <c r="BB442" s="154" t="n"/>
      <c r="BC442" s="154" t="n"/>
      <c r="BD442" s="154" t="n"/>
      <c r="BE442" s="154" t="n"/>
      <c r="BF442" s="154" t="n"/>
      <c r="BG442" s="154" t="n"/>
      <c r="BH442" s="154" t="n"/>
    </row>
    <row r="443" ht="15.75" customHeight="1" s="251">
      <c r="A443" s="153" t="n"/>
      <c r="B443" s="154" t="n"/>
      <c r="C443" s="154" t="n"/>
      <c r="D443" s="154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  <c r="AA443" s="154" t="n"/>
      <c r="AB443" s="154" t="n"/>
      <c r="AC443" s="154" t="n"/>
      <c r="AD443" s="154" t="n"/>
      <c r="AE443" s="154" t="n"/>
      <c r="AF443" s="154" t="n"/>
      <c r="AG443" s="154" t="n"/>
      <c r="AH443" s="154" t="n"/>
      <c r="AI443" s="154" t="n"/>
      <c r="AJ443" s="154" t="n"/>
      <c r="AK443" s="154" t="n"/>
      <c r="AL443" s="154" t="n"/>
      <c r="AM443" s="154" t="n"/>
      <c r="AN443" s="154" t="n"/>
      <c r="AO443" s="154" t="n"/>
      <c r="AP443" s="154" t="n"/>
      <c r="AQ443" s="154" t="n"/>
      <c r="AR443" s="154" t="n"/>
      <c r="AS443" s="154" t="n"/>
      <c r="AT443" s="154" t="n"/>
      <c r="AU443" s="154" t="n"/>
      <c r="AV443" s="154" t="n"/>
      <c r="AW443" s="154" t="n"/>
      <c r="AX443" s="154" t="n"/>
      <c r="AY443" s="154" t="n"/>
      <c r="AZ443" s="154" t="n"/>
      <c r="BA443" s="154" t="n"/>
      <c r="BB443" s="154" t="n"/>
      <c r="BC443" s="154" t="n"/>
      <c r="BD443" s="154" t="n"/>
      <c r="BE443" s="154" t="n"/>
      <c r="BF443" s="154" t="n"/>
      <c r="BG443" s="154" t="n"/>
      <c r="BH443" s="154" t="n"/>
    </row>
    <row r="444" ht="15.75" customHeight="1" s="251">
      <c r="A444" s="153" t="n"/>
      <c r="B444" s="154" t="n"/>
      <c r="C444" s="154" t="n"/>
      <c r="D444" s="154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  <c r="AA444" s="154" t="n"/>
      <c r="AB444" s="154" t="n"/>
      <c r="AC444" s="154" t="n"/>
      <c r="AD444" s="154" t="n"/>
      <c r="AE444" s="154" t="n"/>
      <c r="AF444" s="154" t="n"/>
      <c r="AG444" s="154" t="n"/>
      <c r="AH444" s="154" t="n"/>
      <c r="AI444" s="154" t="n"/>
      <c r="AJ444" s="154" t="n"/>
      <c r="AK444" s="154" t="n"/>
      <c r="AL444" s="154" t="n"/>
      <c r="AM444" s="154" t="n"/>
      <c r="AN444" s="154" t="n"/>
      <c r="AO444" s="154" t="n"/>
      <c r="AP444" s="154" t="n"/>
      <c r="AQ444" s="154" t="n"/>
      <c r="AR444" s="154" t="n"/>
      <c r="AS444" s="154" t="n"/>
      <c r="AT444" s="154" t="n"/>
      <c r="AU444" s="154" t="n"/>
      <c r="AV444" s="154" t="n"/>
      <c r="AW444" s="154" t="n"/>
      <c r="AX444" s="154" t="n"/>
      <c r="AY444" s="154" t="n"/>
      <c r="AZ444" s="154" t="n"/>
      <c r="BA444" s="154" t="n"/>
      <c r="BB444" s="154" t="n"/>
      <c r="BC444" s="154" t="n"/>
      <c r="BD444" s="154" t="n"/>
      <c r="BE444" s="154" t="n"/>
      <c r="BF444" s="154" t="n"/>
      <c r="BG444" s="154" t="n"/>
      <c r="BH444" s="154" t="n"/>
    </row>
    <row r="445" ht="15.75" customHeight="1" s="251">
      <c r="A445" s="153" t="n"/>
      <c r="B445" s="154" t="n"/>
      <c r="C445" s="154" t="n"/>
      <c r="D445" s="154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  <c r="AA445" s="154" t="n"/>
      <c r="AB445" s="154" t="n"/>
      <c r="AC445" s="154" t="n"/>
      <c r="AD445" s="154" t="n"/>
      <c r="AE445" s="154" t="n"/>
      <c r="AF445" s="154" t="n"/>
      <c r="AG445" s="154" t="n"/>
      <c r="AH445" s="154" t="n"/>
      <c r="AI445" s="154" t="n"/>
      <c r="AJ445" s="154" t="n"/>
      <c r="AK445" s="154" t="n"/>
      <c r="AL445" s="154" t="n"/>
      <c r="AM445" s="154" t="n"/>
      <c r="AN445" s="154" t="n"/>
      <c r="AO445" s="154" t="n"/>
      <c r="AP445" s="154" t="n"/>
      <c r="AQ445" s="154" t="n"/>
      <c r="AR445" s="154" t="n"/>
      <c r="AS445" s="154" t="n"/>
      <c r="AT445" s="154" t="n"/>
      <c r="AU445" s="154" t="n"/>
      <c r="AV445" s="154" t="n"/>
      <c r="AW445" s="154" t="n"/>
      <c r="AX445" s="154" t="n"/>
      <c r="AY445" s="154" t="n"/>
      <c r="AZ445" s="154" t="n"/>
      <c r="BA445" s="154" t="n"/>
      <c r="BB445" s="154" t="n"/>
      <c r="BC445" s="154" t="n"/>
      <c r="BD445" s="154" t="n"/>
      <c r="BE445" s="154" t="n"/>
      <c r="BF445" s="154" t="n"/>
      <c r="BG445" s="154" t="n"/>
      <c r="BH445" s="154" t="n"/>
    </row>
    <row r="446" ht="15.75" customHeight="1" s="251">
      <c r="A446" s="153" t="n"/>
      <c r="B446" s="154" t="n"/>
      <c r="C446" s="154" t="n"/>
      <c r="D446" s="154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  <c r="AA446" s="154" t="n"/>
      <c r="AB446" s="154" t="n"/>
      <c r="AC446" s="154" t="n"/>
      <c r="AD446" s="154" t="n"/>
      <c r="AE446" s="154" t="n"/>
      <c r="AF446" s="154" t="n"/>
      <c r="AG446" s="154" t="n"/>
      <c r="AH446" s="154" t="n"/>
      <c r="AI446" s="154" t="n"/>
      <c r="AJ446" s="154" t="n"/>
      <c r="AK446" s="154" t="n"/>
      <c r="AL446" s="154" t="n"/>
      <c r="AM446" s="154" t="n"/>
      <c r="AN446" s="154" t="n"/>
      <c r="AO446" s="154" t="n"/>
      <c r="AP446" s="154" t="n"/>
      <c r="AQ446" s="154" t="n"/>
      <c r="AR446" s="154" t="n"/>
      <c r="AS446" s="154" t="n"/>
      <c r="AT446" s="154" t="n"/>
      <c r="AU446" s="154" t="n"/>
      <c r="AV446" s="154" t="n"/>
      <c r="AW446" s="154" t="n"/>
      <c r="AX446" s="154" t="n"/>
      <c r="AY446" s="154" t="n"/>
      <c r="AZ446" s="154" t="n"/>
      <c r="BA446" s="154" t="n"/>
      <c r="BB446" s="154" t="n"/>
      <c r="BC446" s="154" t="n"/>
      <c r="BD446" s="154" t="n"/>
      <c r="BE446" s="154" t="n"/>
      <c r="BF446" s="154" t="n"/>
      <c r="BG446" s="154" t="n"/>
      <c r="BH446" s="154" t="n"/>
    </row>
    <row r="447" ht="15.75" customHeight="1" s="251">
      <c r="A447" s="153" t="n"/>
      <c r="B447" s="154" t="n"/>
      <c r="C447" s="154" t="n"/>
      <c r="D447" s="154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  <c r="AA447" s="154" t="n"/>
      <c r="AB447" s="154" t="n"/>
      <c r="AC447" s="154" t="n"/>
      <c r="AD447" s="154" t="n"/>
      <c r="AE447" s="154" t="n"/>
      <c r="AF447" s="154" t="n"/>
      <c r="AG447" s="154" t="n"/>
      <c r="AH447" s="154" t="n"/>
      <c r="AI447" s="154" t="n"/>
      <c r="AJ447" s="154" t="n"/>
      <c r="AK447" s="154" t="n"/>
      <c r="AL447" s="154" t="n"/>
      <c r="AM447" s="154" t="n"/>
      <c r="AN447" s="154" t="n"/>
      <c r="AO447" s="154" t="n"/>
      <c r="AP447" s="154" t="n"/>
      <c r="AQ447" s="154" t="n"/>
      <c r="AR447" s="154" t="n"/>
      <c r="AS447" s="154" t="n"/>
      <c r="AT447" s="154" t="n"/>
      <c r="AU447" s="154" t="n"/>
      <c r="AV447" s="154" t="n"/>
      <c r="AW447" s="154" t="n"/>
      <c r="AX447" s="154" t="n"/>
      <c r="AY447" s="154" t="n"/>
      <c r="AZ447" s="154" t="n"/>
      <c r="BA447" s="154" t="n"/>
      <c r="BB447" s="154" t="n"/>
      <c r="BC447" s="154" t="n"/>
      <c r="BD447" s="154" t="n"/>
      <c r="BE447" s="154" t="n"/>
      <c r="BF447" s="154" t="n"/>
      <c r="BG447" s="154" t="n"/>
      <c r="BH447" s="154" t="n"/>
    </row>
    <row r="448" ht="15.75" customHeight="1" s="251">
      <c r="A448" s="153" t="n"/>
      <c r="B448" s="154" t="n"/>
      <c r="C448" s="154" t="n"/>
      <c r="D448" s="154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  <c r="AA448" s="154" t="n"/>
      <c r="AB448" s="154" t="n"/>
      <c r="AC448" s="154" t="n"/>
      <c r="AD448" s="154" t="n"/>
      <c r="AE448" s="154" t="n"/>
      <c r="AF448" s="154" t="n"/>
      <c r="AG448" s="154" t="n"/>
      <c r="AH448" s="154" t="n"/>
      <c r="AI448" s="154" t="n"/>
      <c r="AJ448" s="154" t="n"/>
      <c r="AK448" s="154" t="n"/>
      <c r="AL448" s="154" t="n"/>
      <c r="AM448" s="154" t="n"/>
      <c r="AN448" s="154" t="n"/>
      <c r="AO448" s="154" t="n"/>
      <c r="AP448" s="154" t="n"/>
      <c r="AQ448" s="154" t="n"/>
      <c r="AR448" s="154" t="n"/>
      <c r="AS448" s="154" t="n"/>
      <c r="AT448" s="154" t="n"/>
      <c r="AU448" s="154" t="n"/>
      <c r="AV448" s="154" t="n"/>
      <c r="AW448" s="154" t="n"/>
      <c r="AX448" s="154" t="n"/>
      <c r="AY448" s="154" t="n"/>
      <c r="AZ448" s="154" t="n"/>
      <c r="BA448" s="154" t="n"/>
      <c r="BB448" s="154" t="n"/>
      <c r="BC448" s="154" t="n"/>
      <c r="BD448" s="154" t="n"/>
      <c r="BE448" s="154" t="n"/>
      <c r="BF448" s="154" t="n"/>
      <c r="BG448" s="154" t="n"/>
      <c r="BH448" s="154" t="n"/>
    </row>
    <row r="449" ht="15.75" customHeight="1" s="251">
      <c r="A449" s="153" t="n"/>
      <c r="B449" s="154" t="n"/>
      <c r="C449" s="154" t="n"/>
      <c r="D449" s="154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  <c r="AA449" s="154" t="n"/>
      <c r="AB449" s="154" t="n"/>
      <c r="AC449" s="154" t="n"/>
      <c r="AD449" s="154" t="n"/>
      <c r="AE449" s="154" t="n"/>
      <c r="AF449" s="154" t="n"/>
      <c r="AG449" s="154" t="n"/>
      <c r="AH449" s="154" t="n"/>
      <c r="AI449" s="154" t="n"/>
      <c r="AJ449" s="154" t="n"/>
      <c r="AK449" s="154" t="n"/>
      <c r="AL449" s="154" t="n"/>
      <c r="AM449" s="154" t="n"/>
      <c r="AN449" s="154" t="n"/>
      <c r="AO449" s="154" t="n"/>
      <c r="AP449" s="154" t="n"/>
      <c r="AQ449" s="154" t="n"/>
      <c r="AR449" s="154" t="n"/>
      <c r="AS449" s="154" t="n"/>
      <c r="AT449" s="154" t="n"/>
      <c r="AU449" s="154" t="n"/>
      <c r="AV449" s="154" t="n"/>
      <c r="AW449" s="154" t="n"/>
      <c r="AX449" s="154" t="n"/>
      <c r="AY449" s="154" t="n"/>
      <c r="AZ449" s="154" t="n"/>
      <c r="BA449" s="154" t="n"/>
      <c r="BB449" s="154" t="n"/>
      <c r="BC449" s="154" t="n"/>
      <c r="BD449" s="154" t="n"/>
      <c r="BE449" s="154" t="n"/>
      <c r="BF449" s="154" t="n"/>
      <c r="BG449" s="154" t="n"/>
      <c r="BH449" s="154" t="n"/>
    </row>
    <row r="450" ht="15.75" customHeight="1" s="251">
      <c r="A450" s="153" t="n"/>
      <c r="B450" s="154" t="n"/>
      <c r="C450" s="154" t="n"/>
      <c r="D450" s="154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  <c r="AA450" s="154" t="n"/>
      <c r="AB450" s="154" t="n"/>
      <c r="AC450" s="154" t="n"/>
      <c r="AD450" s="154" t="n"/>
      <c r="AE450" s="154" t="n"/>
      <c r="AF450" s="154" t="n"/>
      <c r="AG450" s="154" t="n"/>
      <c r="AH450" s="154" t="n"/>
      <c r="AI450" s="154" t="n"/>
      <c r="AJ450" s="154" t="n"/>
      <c r="AK450" s="154" t="n"/>
      <c r="AL450" s="154" t="n"/>
      <c r="AM450" s="154" t="n"/>
      <c r="AN450" s="154" t="n"/>
      <c r="AO450" s="154" t="n"/>
      <c r="AP450" s="154" t="n"/>
      <c r="AQ450" s="154" t="n"/>
      <c r="AR450" s="154" t="n"/>
      <c r="AS450" s="154" t="n"/>
      <c r="AT450" s="154" t="n"/>
      <c r="AU450" s="154" t="n"/>
      <c r="AV450" s="154" t="n"/>
      <c r="AW450" s="154" t="n"/>
      <c r="AX450" s="154" t="n"/>
      <c r="AY450" s="154" t="n"/>
      <c r="AZ450" s="154" t="n"/>
      <c r="BA450" s="154" t="n"/>
      <c r="BB450" s="154" t="n"/>
      <c r="BC450" s="154" t="n"/>
      <c r="BD450" s="154" t="n"/>
      <c r="BE450" s="154" t="n"/>
      <c r="BF450" s="154" t="n"/>
      <c r="BG450" s="154" t="n"/>
      <c r="BH450" s="154" t="n"/>
    </row>
    <row r="451" ht="15.75" customHeight="1" s="251">
      <c r="A451" s="153" t="n"/>
      <c r="B451" s="154" t="n"/>
      <c r="C451" s="154" t="n"/>
      <c r="D451" s="154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  <c r="AA451" s="154" t="n"/>
      <c r="AB451" s="154" t="n"/>
      <c r="AC451" s="154" t="n"/>
      <c r="AD451" s="154" t="n"/>
      <c r="AE451" s="154" t="n"/>
      <c r="AF451" s="154" t="n"/>
      <c r="AG451" s="154" t="n"/>
      <c r="AH451" s="154" t="n"/>
      <c r="AI451" s="154" t="n"/>
      <c r="AJ451" s="154" t="n"/>
      <c r="AK451" s="154" t="n"/>
      <c r="AL451" s="154" t="n"/>
      <c r="AM451" s="154" t="n"/>
      <c r="AN451" s="154" t="n"/>
      <c r="AO451" s="154" t="n"/>
      <c r="AP451" s="154" t="n"/>
      <c r="AQ451" s="154" t="n"/>
      <c r="AR451" s="154" t="n"/>
      <c r="AS451" s="154" t="n"/>
      <c r="AT451" s="154" t="n"/>
      <c r="AU451" s="154" t="n"/>
      <c r="AV451" s="154" t="n"/>
      <c r="AW451" s="154" t="n"/>
      <c r="AX451" s="154" t="n"/>
      <c r="AY451" s="154" t="n"/>
      <c r="AZ451" s="154" t="n"/>
      <c r="BA451" s="154" t="n"/>
      <c r="BB451" s="154" t="n"/>
      <c r="BC451" s="154" t="n"/>
      <c r="BD451" s="154" t="n"/>
      <c r="BE451" s="154" t="n"/>
      <c r="BF451" s="154" t="n"/>
      <c r="BG451" s="154" t="n"/>
      <c r="BH451" s="154" t="n"/>
    </row>
    <row r="452" ht="15.75" customHeight="1" s="251">
      <c r="A452" s="153" t="n"/>
      <c r="B452" s="154" t="n"/>
      <c r="C452" s="154" t="n"/>
      <c r="D452" s="154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  <c r="AA452" s="154" t="n"/>
      <c r="AB452" s="154" t="n"/>
      <c r="AC452" s="154" t="n"/>
      <c r="AD452" s="154" t="n"/>
      <c r="AE452" s="154" t="n"/>
      <c r="AF452" s="154" t="n"/>
      <c r="AG452" s="154" t="n"/>
      <c r="AH452" s="154" t="n"/>
      <c r="AI452" s="154" t="n"/>
      <c r="AJ452" s="154" t="n"/>
      <c r="AK452" s="154" t="n"/>
      <c r="AL452" s="154" t="n"/>
      <c r="AM452" s="154" t="n"/>
      <c r="AN452" s="154" t="n"/>
      <c r="AO452" s="154" t="n"/>
      <c r="AP452" s="154" t="n"/>
      <c r="AQ452" s="154" t="n"/>
      <c r="AR452" s="154" t="n"/>
      <c r="AS452" s="154" t="n"/>
      <c r="AT452" s="154" t="n"/>
      <c r="AU452" s="154" t="n"/>
      <c r="AV452" s="154" t="n"/>
      <c r="AW452" s="154" t="n"/>
      <c r="AX452" s="154" t="n"/>
      <c r="AY452" s="154" t="n"/>
      <c r="AZ452" s="154" t="n"/>
      <c r="BA452" s="154" t="n"/>
      <c r="BB452" s="154" t="n"/>
      <c r="BC452" s="154" t="n"/>
      <c r="BD452" s="154" t="n"/>
      <c r="BE452" s="154" t="n"/>
      <c r="BF452" s="154" t="n"/>
      <c r="BG452" s="154" t="n"/>
      <c r="BH452" s="154" t="n"/>
    </row>
    <row r="453" ht="15.75" customHeight="1" s="251">
      <c r="A453" s="153" t="n"/>
      <c r="B453" s="154" t="n"/>
      <c r="C453" s="154" t="n"/>
      <c r="D453" s="154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  <c r="AA453" s="154" t="n"/>
      <c r="AB453" s="154" t="n"/>
      <c r="AC453" s="154" t="n"/>
      <c r="AD453" s="154" t="n"/>
      <c r="AE453" s="154" t="n"/>
      <c r="AF453" s="154" t="n"/>
      <c r="AG453" s="154" t="n"/>
      <c r="AH453" s="154" t="n"/>
      <c r="AI453" s="154" t="n"/>
      <c r="AJ453" s="154" t="n"/>
      <c r="AK453" s="154" t="n"/>
      <c r="AL453" s="154" t="n"/>
      <c r="AM453" s="154" t="n"/>
      <c r="AN453" s="154" t="n"/>
      <c r="AO453" s="154" t="n"/>
      <c r="AP453" s="154" t="n"/>
      <c r="AQ453" s="154" t="n"/>
      <c r="AR453" s="154" t="n"/>
      <c r="AS453" s="154" t="n"/>
      <c r="AT453" s="154" t="n"/>
      <c r="AU453" s="154" t="n"/>
      <c r="AV453" s="154" t="n"/>
      <c r="AW453" s="154" t="n"/>
      <c r="AX453" s="154" t="n"/>
      <c r="AY453" s="154" t="n"/>
      <c r="AZ453" s="154" t="n"/>
      <c r="BA453" s="154" t="n"/>
      <c r="BB453" s="154" t="n"/>
      <c r="BC453" s="154" t="n"/>
      <c r="BD453" s="154" t="n"/>
      <c r="BE453" s="154" t="n"/>
      <c r="BF453" s="154" t="n"/>
      <c r="BG453" s="154" t="n"/>
      <c r="BH453" s="154" t="n"/>
    </row>
    <row r="454" ht="15.75" customHeight="1" s="251">
      <c r="A454" s="153" t="n"/>
      <c r="B454" s="154" t="n"/>
      <c r="C454" s="154" t="n"/>
      <c r="D454" s="154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  <c r="AA454" s="154" t="n"/>
      <c r="AB454" s="154" t="n"/>
      <c r="AC454" s="154" t="n"/>
      <c r="AD454" s="154" t="n"/>
      <c r="AE454" s="154" t="n"/>
      <c r="AF454" s="154" t="n"/>
      <c r="AG454" s="154" t="n"/>
      <c r="AH454" s="154" t="n"/>
      <c r="AI454" s="154" t="n"/>
      <c r="AJ454" s="154" t="n"/>
      <c r="AK454" s="154" t="n"/>
      <c r="AL454" s="154" t="n"/>
      <c r="AM454" s="154" t="n"/>
      <c r="AN454" s="154" t="n"/>
      <c r="AO454" s="154" t="n"/>
      <c r="AP454" s="154" t="n"/>
      <c r="AQ454" s="154" t="n"/>
      <c r="AR454" s="154" t="n"/>
      <c r="AS454" s="154" t="n"/>
      <c r="AT454" s="154" t="n"/>
      <c r="AU454" s="154" t="n"/>
      <c r="AV454" s="154" t="n"/>
      <c r="AW454" s="154" t="n"/>
      <c r="AX454" s="154" t="n"/>
      <c r="AY454" s="154" t="n"/>
      <c r="AZ454" s="154" t="n"/>
      <c r="BA454" s="154" t="n"/>
      <c r="BB454" s="154" t="n"/>
      <c r="BC454" s="154" t="n"/>
      <c r="BD454" s="154" t="n"/>
      <c r="BE454" s="154" t="n"/>
      <c r="BF454" s="154" t="n"/>
      <c r="BG454" s="154" t="n"/>
      <c r="BH454" s="154" t="n"/>
    </row>
    <row r="455" ht="15.75" customHeight="1" s="251">
      <c r="A455" s="153" t="n"/>
      <c r="B455" s="154" t="n"/>
      <c r="C455" s="154" t="n"/>
      <c r="D455" s="154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  <c r="AA455" s="154" t="n"/>
      <c r="AB455" s="154" t="n"/>
      <c r="AC455" s="154" t="n"/>
      <c r="AD455" s="154" t="n"/>
      <c r="AE455" s="154" t="n"/>
      <c r="AF455" s="154" t="n"/>
      <c r="AG455" s="154" t="n"/>
      <c r="AH455" s="154" t="n"/>
      <c r="AI455" s="154" t="n"/>
      <c r="AJ455" s="154" t="n"/>
      <c r="AK455" s="154" t="n"/>
      <c r="AL455" s="154" t="n"/>
      <c r="AM455" s="154" t="n"/>
      <c r="AN455" s="154" t="n"/>
      <c r="AO455" s="154" t="n"/>
      <c r="AP455" s="154" t="n"/>
      <c r="AQ455" s="154" t="n"/>
      <c r="AR455" s="154" t="n"/>
      <c r="AS455" s="154" t="n"/>
      <c r="AT455" s="154" t="n"/>
      <c r="AU455" s="154" t="n"/>
      <c r="AV455" s="154" t="n"/>
      <c r="AW455" s="154" t="n"/>
      <c r="AX455" s="154" t="n"/>
      <c r="AY455" s="154" t="n"/>
      <c r="AZ455" s="154" t="n"/>
      <c r="BA455" s="154" t="n"/>
      <c r="BB455" s="154" t="n"/>
      <c r="BC455" s="154" t="n"/>
      <c r="BD455" s="154" t="n"/>
      <c r="BE455" s="154" t="n"/>
      <c r="BF455" s="154" t="n"/>
      <c r="BG455" s="154" t="n"/>
      <c r="BH455" s="154" t="n"/>
    </row>
    <row r="456" ht="15.75" customHeight="1" s="251">
      <c r="A456" s="153" t="n"/>
      <c r="B456" s="154" t="n"/>
      <c r="C456" s="154" t="n"/>
      <c r="D456" s="154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  <c r="AA456" s="154" t="n"/>
      <c r="AB456" s="154" t="n"/>
      <c r="AC456" s="154" t="n"/>
      <c r="AD456" s="154" t="n"/>
      <c r="AE456" s="154" t="n"/>
      <c r="AF456" s="154" t="n"/>
      <c r="AG456" s="154" t="n"/>
      <c r="AH456" s="154" t="n"/>
      <c r="AI456" s="154" t="n"/>
      <c r="AJ456" s="154" t="n"/>
      <c r="AK456" s="154" t="n"/>
      <c r="AL456" s="154" t="n"/>
      <c r="AM456" s="154" t="n"/>
      <c r="AN456" s="154" t="n"/>
      <c r="AO456" s="154" t="n"/>
      <c r="AP456" s="154" t="n"/>
      <c r="AQ456" s="154" t="n"/>
      <c r="AR456" s="154" t="n"/>
      <c r="AS456" s="154" t="n"/>
      <c r="AT456" s="154" t="n"/>
      <c r="AU456" s="154" t="n"/>
      <c r="AV456" s="154" t="n"/>
      <c r="AW456" s="154" t="n"/>
      <c r="AX456" s="154" t="n"/>
      <c r="AY456" s="154" t="n"/>
      <c r="AZ456" s="154" t="n"/>
      <c r="BA456" s="154" t="n"/>
      <c r="BB456" s="154" t="n"/>
      <c r="BC456" s="154" t="n"/>
      <c r="BD456" s="154" t="n"/>
      <c r="BE456" s="154" t="n"/>
      <c r="BF456" s="154" t="n"/>
      <c r="BG456" s="154" t="n"/>
      <c r="BH456" s="154" t="n"/>
    </row>
    <row r="457" ht="15.75" customHeight="1" s="251">
      <c r="A457" s="153" t="n"/>
      <c r="B457" s="154" t="n"/>
      <c r="C457" s="154" t="n"/>
      <c r="D457" s="154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  <c r="AA457" s="154" t="n"/>
      <c r="AB457" s="154" t="n"/>
      <c r="AC457" s="154" t="n"/>
      <c r="AD457" s="154" t="n"/>
      <c r="AE457" s="154" t="n"/>
      <c r="AF457" s="154" t="n"/>
      <c r="AG457" s="154" t="n"/>
      <c r="AH457" s="154" t="n"/>
      <c r="AI457" s="154" t="n"/>
      <c r="AJ457" s="154" t="n"/>
      <c r="AK457" s="154" t="n"/>
      <c r="AL457" s="154" t="n"/>
      <c r="AM457" s="154" t="n"/>
      <c r="AN457" s="154" t="n"/>
      <c r="AO457" s="154" t="n"/>
      <c r="AP457" s="154" t="n"/>
      <c r="AQ457" s="154" t="n"/>
      <c r="AR457" s="154" t="n"/>
      <c r="AS457" s="154" t="n"/>
      <c r="AT457" s="154" t="n"/>
      <c r="AU457" s="154" t="n"/>
      <c r="AV457" s="154" t="n"/>
      <c r="AW457" s="154" t="n"/>
      <c r="AX457" s="154" t="n"/>
      <c r="AY457" s="154" t="n"/>
      <c r="AZ457" s="154" t="n"/>
      <c r="BA457" s="154" t="n"/>
      <c r="BB457" s="154" t="n"/>
      <c r="BC457" s="154" t="n"/>
      <c r="BD457" s="154" t="n"/>
      <c r="BE457" s="154" t="n"/>
      <c r="BF457" s="154" t="n"/>
      <c r="BG457" s="154" t="n"/>
      <c r="BH457" s="154" t="n"/>
    </row>
    <row r="458" ht="15.75" customHeight="1" s="251">
      <c r="A458" s="153" t="n"/>
      <c r="B458" s="154" t="n"/>
      <c r="C458" s="154" t="n"/>
      <c r="D458" s="154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  <c r="AA458" s="154" t="n"/>
      <c r="AB458" s="154" t="n"/>
      <c r="AC458" s="154" t="n"/>
      <c r="AD458" s="154" t="n"/>
      <c r="AE458" s="154" t="n"/>
      <c r="AF458" s="154" t="n"/>
      <c r="AG458" s="154" t="n"/>
      <c r="AH458" s="154" t="n"/>
      <c r="AI458" s="154" t="n"/>
      <c r="AJ458" s="154" t="n"/>
      <c r="AK458" s="154" t="n"/>
      <c r="AL458" s="154" t="n"/>
      <c r="AM458" s="154" t="n"/>
      <c r="AN458" s="154" t="n"/>
      <c r="AO458" s="154" t="n"/>
      <c r="AP458" s="154" t="n"/>
      <c r="AQ458" s="154" t="n"/>
      <c r="AR458" s="154" t="n"/>
      <c r="AS458" s="154" t="n"/>
      <c r="AT458" s="154" t="n"/>
      <c r="AU458" s="154" t="n"/>
      <c r="AV458" s="154" t="n"/>
      <c r="AW458" s="154" t="n"/>
      <c r="AX458" s="154" t="n"/>
      <c r="AY458" s="154" t="n"/>
      <c r="AZ458" s="154" t="n"/>
      <c r="BA458" s="154" t="n"/>
      <c r="BB458" s="154" t="n"/>
      <c r="BC458" s="154" t="n"/>
      <c r="BD458" s="154" t="n"/>
      <c r="BE458" s="154" t="n"/>
      <c r="BF458" s="154" t="n"/>
      <c r="BG458" s="154" t="n"/>
      <c r="BH458" s="154" t="n"/>
    </row>
    <row r="459" ht="15.75" customHeight="1" s="251">
      <c r="A459" s="153" t="n"/>
      <c r="B459" s="154" t="n"/>
      <c r="C459" s="154" t="n"/>
      <c r="D459" s="154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  <c r="AA459" s="154" t="n"/>
      <c r="AB459" s="154" t="n"/>
      <c r="AC459" s="154" t="n"/>
      <c r="AD459" s="154" t="n"/>
      <c r="AE459" s="154" t="n"/>
      <c r="AF459" s="154" t="n"/>
      <c r="AG459" s="154" t="n"/>
      <c r="AH459" s="154" t="n"/>
      <c r="AI459" s="154" t="n"/>
      <c r="AJ459" s="154" t="n"/>
      <c r="AK459" s="154" t="n"/>
      <c r="AL459" s="154" t="n"/>
      <c r="AM459" s="154" t="n"/>
      <c r="AN459" s="154" t="n"/>
      <c r="AO459" s="154" t="n"/>
      <c r="AP459" s="154" t="n"/>
      <c r="AQ459" s="154" t="n"/>
      <c r="AR459" s="154" t="n"/>
      <c r="AS459" s="154" t="n"/>
      <c r="AT459" s="154" t="n"/>
      <c r="AU459" s="154" t="n"/>
      <c r="AV459" s="154" t="n"/>
      <c r="AW459" s="154" t="n"/>
      <c r="AX459" s="154" t="n"/>
      <c r="AY459" s="154" t="n"/>
      <c r="AZ459" s="154" t="n"/>
      <c r="BA459" s="154" t="n"/>
      <c r="BB459" s="154" t="n"/>
      <c r="BC459" s="154" t="n"/>
      <c r="BD459" s="154" t="n"/>
      <c r="BE459" s="154" t="n"/>
      <c r="BF459" s="154" t="n"/>
      <c r="BG459" s="154" t="n"/>
      <c r="BH459" s="154" t="n"/>
    </row>
    <row r="460" ht="15.75" customHeight="1" s="251">
      <c r="A460" s="153" t="n"/>
      <c r="B460" s="154" t="n"/>
      <c r="C460" s="154" t="n"/>
      <c r="D460" s="154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  <c r="AA460" s="154" t="n"/>
      <c r="AB460" s="154" t="n"/>
      <c r="AC460" s="154" t="n"/>
      <c r="AD460" s="154" t="n"/>
      <c r="AE460" s="154" t="n"/>
      <c r="AF460" s="154" t="n"/>
      <c r="AG460" s="154" t="n"/>
      <c r="AH460" s="154" t="n"/>
      <c r="AI460" s="154" t="n"/>
      <c r="AJ460" s="154" t="n"/>
      <c r="AK460" s="154" t="n"/>
      <c r="AL460" s="154" t="n"/>
      <c r="AM460" s="154" t="n"/>
      <c r="AN460" s="154" t="n"/>
      <c r="AO460" s="154" t="n"/>
      <c r="AP460" s="154" t="n"/>
      <c r="AQ460" s="154" t="n"/>
      <c r="AR460" s="154" t="n"/>
      <c r="AS460" s="154" t="n"/>
      <c r="AT460" s="154" t="n"/>
      <c r="AU460" s="154" t="n"/>
      <c r="AV460" s="154" t="n"/>
      <c r="AW460" s="154" t="n"/>
      <c r="AX460" s="154" t="n"/>
      <c r="AY460" s="154" t="n"/>
      <c r="AZ460" s="154" t="n"/>
      <c r="BA460" s="154" t="n"/>
      <c r="BB460" s="154" t="n"/>
      <c r="BC460" s="154" t="n"/>
      <c r="BD460" s="154" t="n"/>
      <c r="BE460" s="154" t="n"/>
      <c r="BF460" s="154" t="n"/>
      <c r="BG460" s="154" t="n"/>
      <c r="BH460" s="154" t="n"/>
    </row>
    <row r="461" ht="15.75" customHeight="1" s="251">
      <c r="A461" s="153" t="n"/>
      <c r="B461" s="154" t="n"/>
      <c r="C461" s="154" t="n"/>
      <c r="D461" s="154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  <c r="AA461" s="154" t="n"/>
      <c r="AB461" s="154" t="n"/>
      <c r="AC461" s="154" t="n"/>
      <c r="AD461" s="154" t="n"/>
      <c r="AE461" s="154" t="n"/>
      <c r="AF461" s="154" t="n"/>
      <c r="AG461" s="154" t="n"/>
      <c r="AH461" s="154" t="n"/>
      <c r="AI461" s="154" t="n"/>
      <c r="AJ461" s="154" t="n"/>
      <c r="AK461" s="154" t="n"/>
      <c r="AL461" s="154" t="n"/>
      <c r="AM461" s="154" t="n"/>
      <c r="AN461" s="154" t="n"/>
      <c r="AO461" s="154" t="n"/>
      <c r="AP461" s="154" t="n"/>
      <c r="AQ461" s="154" t="n"/>
      <c r="AR461" s="154" t="n"/>
      <c r="AS461" s="154" t="n"/>
      <c r="AT461" s="154" t="n"/>
      <c r="AU461" s="154" t="n"/>
      <c r="AV461" s="154" t="n"/>
      <c r="AW461" s="154" t="n"/>
      <c r="AX461" s="154" t="n"/>
      <c r="AY461" s="154" t="n"/>
      <c r="AZ461" s="154" t="n"/>
      <c r="BA461" s="154" t="n"/>
      <c r="BB461" s="154" t="n"/>
      <c r="BC461" s="154" t="n"/>
      <c r="BD461" s="154" t="n"/>
      <c r="BE461" s="154" t="n"/>
      <c r="BF461" s="154" t="n"/>
      <c r="BG461" s="154" t="n"/>
      <c r="BH461" s="154" t="n"/>
    </row>
    <row r="462" ht="15.75" customHeight="1" s="251">
      <c r="A462" s="153" t="n"/>
      <c r="B462" s="154" t="n"/>
      <c r="C462" s="154" t="n"/>
      <c r="D462" s="154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  <c r="AA462" s="154" t="n"/>
      <c r="AB462" s="154" t="n"/>
      <c r="AC462" s="154" t="n"/>
      <c r="AD462" s="154" t="n"/>
      <c r="AE462" s="154" t="n"/>
      <c r="AF462" s="154" t="n"/>
      <c r="AG462" s="154" t="n"/>
      <c r="AH462" s="154" t="n"/>
      <c r="AI462" s="154" t="n"/>
      <c r="AJ462" s="154" t="n"/>
      <c r="AK462" s="154" t="n"/>
      <c r="AL462" s="154" t="n"/>
      <c r="AM462" s="154" t="n"/>
      <c r="AN462" s="154" t="n"/>
      <c r="AO462" s="154" t="n"/>
      <c r="AP462" s="154" t="n"/>
      <c r="AQ462" s="154" t="n"/>
      <c r="AR462" s="154" t="n"/>
      <c r="AS462" s="154" t="n"/>
      <c r="AT462" s="154" t="n"/>
      <c r="AU462" s="154" t="n"/>
      <c r="AV462" s="154" t="n"/>
      <c r="AW462" s="154" t="n"/>
      <c r="AX462" s="154" t="n"/>
      <c r="AY462" s="154" t="n"/>
      <c r="AZ462" s="154" t="n"/>
      <c r="BA462" s="154" t="n"/>
      <c r="BB462" s="154" t="n"/>
      <c r="BC462" s="154" t="n"/>
      <c r="BD462" s="154" t="n"/>
      <c r="BE462" s="154" t="n"/>
      <c r="BF462" s="154" t="n"/>
      <c r="BG462" s="154" t="n"/>
      <c r="BH462" s="154" t="n"/>
    </row>
    <row r="463" ht="15.75" customHeight="1" s="251">
      <c r="A463" s="153" t="n"/>
      <c r="B463" s="154" t="n"/>
      <c r="C463" s="154" t="n"/>
      <c r="D463" s="154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  <c r="AA463" s="154" t="n"/>
      <c r="AB463" s="154" t="n"/>
      <c r="AC463" s="154" t="n"/>
      <c r="AD463" s="154" t="n"/>
      <c r="AE463" s="154" t="n"/>
      <c r="AF463" s="154" t="n"/>
      <c r="AG463" s="154" t="n"/>
      <c r="AH463" s="154" t="n"/>
      <c r="AI463" s="154" t="n"/>
      <c r="AJ463" s="154" t="n"/>
      <c r="AK463" s="154" t="n"/>
      <c r="AL463" s="154" t="n"/>
      <c r="AM463" s="154" t="n"/>
      <c r="AN463" s="154" t="n"/>
      <c r="AO463" s="154" t="n"/>
      <c r="AP463" s="154" t="n"/>
      <c r="AQ463" s="154" t="n"/>
      <c r="AR463" s="154" t="n"/>
      <c r="AS463" s="154" t="n"/>
      <c r="AT463" s="154" t="n"/>
      <c r="AU463" s="154" t="n"/>
      <c r="AV463" s="154" t="n"/>
      <c r="AW463" s="154" t="n"/>
      <c r="AX463" s="154" t="n"/>
      <c r="AY463" s="154" t="n"/>
      <c r="AZ463" s="154" t="n"/>
      <c r="BA463" s="154" t="n"/>
      <c r="BB463" s="154" t="n"/>
      <c r="BC463" s="154" t="n"/>
      <c r="BD463" s="154" t="n"/>
      <c r="BE463" s="154" t="n"/>
      <c r="BF463" s="154" t="n"/>
      <c r="BG463" s="154" t="n"/>
      <c r="BH463" s="154" t="n"/>
    </row>
    <row r="464" ht="15.75" customHeight="1" s="251">
      <c r="A464" s="153" t="n"/>
      <c r="B464" s="154" t="n"/>
      <c r="C464" s="154" t="n"/>
      <c r="D464" s="154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  <c r="AA464" s="154" t="n"/>
      <c r="AB464" s="154" t="n"/>
      <c r="AC464" s="154" t="n"/>
      <c r="AD464" s="154" t="n"/>
      <c r="AE464" s="154" t="n"/>
      <c r="AF464" s="154" t="n"/>
      <c r="AG464" s="154" t="n"/>
      <c r="AH464" s="154" t="n"/>
      <c r="AI464" s="154" t="n"/>
      <c r="AJ464" s="154" t="n"/>
      <c r="AK464" s="154" t="n"/>
      <c r="AL464" s="154" t="n"/>
      <c r="AM464" s="154" t="n"/>
      <c r="AN464" s="154" t="n"/>
      <c r="AO464" s="154" t="n"/>
      <c r="AP464" s="154" t="n"/>
      <c r="AQ464" s="154" t="n"/>
      <c r="AR464" s="154" t="n"/>
      <c r="AS464" s="154" t="n"/>
      <c r="AT464" s="154" t="n"/>
      <c r="AU464" s="154" t="n"/>
      <c r="AV464" s="154" t="n"/>
      <c r="AW464" s="154" t="n"/>
      <c r="AX464" s="154" t="n"/>
      <c r="AY464" s="154" t="n"/>
      <c r="AZ464" s="154" t="n"/>
      <c r="BA464" s="154" t="n"/>
      <c r="BB464" s="154" t="n"/>
      <c r="BC464" s="154" t="n"/>
      <c r="BD464" s="154" t="n"/>
      <c r="BE464" s="154" t="n"/>
      <c r="BF464" s="154" t="n"/>
      <c r="BG464" s="154" t="n"/>
      <c r="BH464" s="154" t="n"/>
    </row>
    <row r="465" ht="15.75" customHeight="1" s="251">
      <c r="A465" s="153" t="n"/>
      <c r="B465" s="154" t="n"/>
      <c r="C465" s="154" t="n"/>
      <c r="D465" s="154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  <c r="AA465" s="154" t="n"/>
      <c r="AB465" s="154" t="n"/>
      <c r="AC465" s="154" t="n"/>
      <c r="AD465" s="154" t="n"/>
      <c r="AE465" s="154" t="n"/>
      <c r="AF465" s="154" t="n"/>
      <c r="AG465" s="154" t="n"/>
      <c r="AH465" s="154" t="n"/>
      <c r="AI465" s="154" t="n"/>
      <c r="AJ465" s="154" t="n"/>
      <c r="AK465" s="154" t="n"/>
      <c r="AL465" s="154" t="n"/>
      <c r="AM465" s="154" t="n"/>
      <c r="AN465" s="154" t="n"/>
      <c r="AO465" s="154" t="n"/>
      <c r="AP465" s="154" t="n"/>
      <c r="AQ465" s="154" t="n"/>
      <c r="AR465" s="154" t="n"/>
      <c r="AS465" s="154" t="n"/>
      <c r="AT465" s="154" t="n"/>
      <c r="AU465" s="154" t="n"/>
      <c r="AV465" s="154" t="n"/>
      <c r="AW465" s="154" t="n"/>
      <c r="AX465" s="154" t="n"/>
      <c r="AY465" s="154" t="n"/>
      <c r="AZ465" s="154" t="n"/>
      <c r="BA465" s="154" t="n"/>
      <c r="BB465" s="154" t="n"/>
      <c r="BC465" s="154" t="n"/>
      <c r="BD465" s="154" t="n"/>
      <c r="BE465" s="154" t="n"/>
      <c r="BF465" s="154" t="n"/>
      <c r="BG465" s="154" t="n"/>
      <c r="BH465" s="154" t="n"/>
    </row>
    <row r="466" ht="15.75" customHeight="1" s="251">
      <c r="A466" s="153" t="n"/>
      <c r="B466" s="154" t="n"/>
      <c r="C466" s="154" t="n"/>
      <c r="D466" s="154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  <c r="AA466" s="154" t="n"/>
      <c r="AB466" s="154" t="n"/>
      <c r="AC466" s="154" t="n"/>
      <c r="AD466" s="154" t="n"/>
      <c r="AE466" s="154" t="n"/>
      <c r="AF466" s="154" t="n"/>
      <c r="AG466" s="154" t="n"/>
      <c r="AH466" s="154" t="n"/>
      <c r="AI466" s="154" t="n"/>
      <c r="AJ466" s="154" t="n"/>
      <c r="AK466" s="154" t="n"/>
      <c r="AL466" s="154" t="n"/>
      <c r="AM466" s="154" t="n"/>
      <c r="AN466" s="154" t="n"/>
      <c r="AO466" s="154" t="n"/>
      <c r="AP466" s="154" t="n"/>
      <c r="AQ466" s="154" t="n"/>
      <c r="AR466" s="154" t="n"/>
      <c r="AS466" s="154" t="n"/>
      <c r="AT466" s="154" t="n"/>
      <c r="AU466" s="154" t="n"/>
      <c r="AV466" s="154" t="n"/>
      <c r="AW466" s="154" t="n"/>
      <c r="AX466" s="154" t="n"/>
      <c r="AY466" s="154" t="n"/>
      <c r="AZ466" s="154" t="n"/>
      <c r="BA466" s="154" t="n"/>
      <c r="BB466" s="154" t="n"/>
      <c r="BC466" s="154" t="n"/>
      <c r="BD466" s="154" t="n"/>
      <c r="BE466" s="154" t="n"/>
      <c r="BF466" s="154" t="n"/>
      <c r="BG466" s="154" t="n"/>
      <c r="BH466" s="154" t="n"/>
    </row>
    <row r="467" ht="15.75" customHeight="1" s="251">
      <c r="A467" s="153" t="n"/>
      <c r="B467" s="154" t="n"/>
      <c r="C467" s="154" t="n"/>
      <c r="D467" s="154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  <c r="AA467" s="154" t="n"/>
      <c r="AB467" s="154" t="n"/>
      <c r="AC467" s="154" t="n"/>
      <c r="AD467" s="154" t="n"/>
      <c r="AE467" s="154" t="n"/>
      <c r="AF467" s="154" t="n"/>
      <c r="AG467" s="154" t="n"/>
      <c r="AH467" s="154" t="n"/>
      <c r="AI467" s="154" t="n"/>
      <c r="AJ467" s="154" t="n"/>
      <c r="AK467" s="154" t="n"/>
      <c r="AL467" s="154" t="n"/>
      <c r="AM467" s="154" t="n"/>
      <c r="AN467" s="154" t="n"/>
      <c r="AO467" s="154" t="n"/>
      <c r="AP467" s="154" t="n"/>
      <c r="AQ467" s="154" t="n"/>
      <c r="AR467" s="154" t="n"/>
      <c r="AS467" s="154" t="n"/>
      <c r="AT467" s="154" t="n"/>
      <c r="AU467" s="154" t="n"/>
      <c r="AV467" s="154" t="n"/>
      <c r="AW467" s="154" t="n"/>
      <c r="AX467" s="154" t="n"/>
      <c r="AY467" s="154" t="n"/>
      <c r="AZ467" s="154" t="n"/>
      <c r="BA467" s="154" t="n"/>
      <c r="BB467" s="154" t="n"/>
      <c r="BC467" s="154" t="n"/>
      <c r="BD467" s="154" t="n"/>
      <c r="BE467" s="154" t="n"/>
      <c r="BF467" s="154" t="n"/>
      <c r="BG467" s="154" t="n"/>
      <c r="BH467" s="154" t="n"/>
    </row>
    <row r="468" ht="15.75" customHeight="1" s="251">
      <c r="A468" s="153" t="n"/>
      <c r="B468" s="154" t="n"/>
      <c r="C468" s="154" t="n"/>
      <c r="D468" s="154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  <c r="AA468" s="154" t="n"/>
      <c r="AB468" s="154" t="n"/>
      <c r="AC468" s="154" t="n"/>
      <c r="AD468" s="154" t="n"/>
      <c r="AE468" s="154" t="n"/>
      <c r="AF468" s="154" t="n"/>
      <c r="AG468" s="154" t="n"/>
      <c r="AH468" s="154" t="n"/>
      <c r="AI468" s="154" t="n"/>
      <c r="AJ468" s="154" t="n"/>
      <c r="AK468" s="154" t="n"/>
      <c r="AL468" s="154" t="n"/>
      <c r="AM468" s="154" t="n"/>
      <c r="AN468" s="154" t="n"/>
      <c r="AO468" s="154" t="n"/>
      <c r="AP468" s="154" t="n"/>
      <c r="AQ468" s="154" t="n"/>
      <c r="AR468" s="154" t="n"/>
      <c r="AS468" s="154" t="n"/>
      <c r="AT468" s="154" t="n"/>
      <c r="AU468" s="154" t="n"/>
      <c r="AV468" s="154" t="n"/>
      <c r="AW468" s="154" t="n"/>
      <c r="AX468" s="154" t="n"/>
      <c r="AY468" s="154" t="n"/>
      <c r="AZ468" s="154" t="n"/>
      <c r="BA468" s="154" t="n"/>
      <c r="BB468" s="154" t="n"/>
      <c r="BC468" s="154" t="n"/>
      <c r="BD468" s="154" t="n"/>
      <c r="BE468" s="154" t="n"/>
      <c r="BF468" s="154" t="n"/>
      <c r="BG468" s="154" t="n"/>
      <c r="BH468" s="154" t="n"/>
    </row>
    <row r="469" ht="15.75" customHeight="1" s="251">
      <c r="A469" s="153" t="n"/>
      <c r="B469" s="154" t="n"/>
      <c r="C469" s="154" t="n"/>
      <c r="D469" s="154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  <c r="AA469" s="154" t="n"/>
      <c r="AB469" s="154" t="n"/>
      <c r="AC469" s="154" t="n"/>
      <c r="AD469" s="154" t="n"/>
      <c r="AE469" s="154" t="n"/>
      <c r="AF469" s="154" t="n"/>
      <c r="AG469" s="154" t="n"/>
      <c r="AH469" s="154" t="n"/>
      <c r="AI469" s="154" t="n"/>
      <c r="AJ469" s="154" t="n"/>
      <c r="AK469" s="154" t="n"/>
      <c r="AL469" s="154" t="n"/>
      <c r="AM469" s="154" t="n"/>
      <c r="AN469" s="154" t="n"/>
      <c r="AO469" s="154" t="n"/>
      <c r="AP469" s="154" t="n"/>
      <c r="AQ469" s="154" t="n"/>
      <c r="AR469" s="154" t="n"/>
      <c r="AS469" s="154" t="n"/>
      <c r="AT469" s="154" t="n"/>
      <c r="AU469" s="154" t="n"/>
      <c r="AV469" s="154" t="n"/>
      <c r="AW469" s="154" t="n"/>
      <c r="AX469" s="154" t="n"/>
      <c r="AY469" s="154" t="n"/>
      <c r="AZ469" s="154" t="n"/>
      <c r="BA469" s="154" t="n"/>
      <c r="BB469" s="154" t="n"/>
      <c r="BC469" s="154" t="n"/>
      <c r="BD469" s="154" t="n"/>
      <c r="BE469" s="154" t="n"/>
      <c r="BF469" s="154" t="n"/>
      <c r="BG469" s="154" t="n"/>
      <c r="BH469" s="154" t="n"/>
    </row>
    <row r="470" ht="15.75" customHeight="1" s="251">
      <c r="A470" s="153" t="n"/>
      <c r="B470" s="154" t="n"/>
      <c r="C470" s="154" t="n"/>
      <c r="D470" s="154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  <c r="AA470" s="154" t="n"/>
      <c r="AB470" s="154" t="n"/>
      <c r="AC470" s="154" t="n"/>
      <c r="AD470" s="154" t="n"/>
      <c r="AE470" s="154" t="n"/>
      <c r="AF470" s="154" t="n"/>
      <c r="AG470" s="154" t="n"/>
      <c r="AH470" s="154" t="n"/>
      <c r="AI470" s="154" t="n"/>
      <c r="AJ470" s="154" t="n"/>
      <c r="AK470" s="154" t="n"/>
      <c r="AL470" s="154" t="n"/>
      <c r="AM470" s="154" t="n"/>
      <c r="AN470" s="154" t="n"/>
      <c r="AO470" s="154" t="n"/>
      <c r="AP470" s="154" t="n"/>
      <c r="AQ470" s="154" t="n"/>
      <c r="AR470" s="154" t="n"/>
      <c r="AS470" s="154" t="n"/>
      <c r="AT470" s="154" t="n"/>
      <c r="AU470" s="154" t="n"/>
      <c r="AV470" s="154" t="n"/>
      <c r="AW470" s="154" t="n"/>
      <c r="AX470" s="154" t="n"/>
      <c r="AY470" s="154" t="n"/>
      <c r="AZ470" s="154" t="n"/>
      <c r="BA470" s="154" t="n"/>
      <c r="BB470" s="154" t="n"/>
      <c r="BC470" s="154" t="n"/>
      <c r="BD470" s="154" t="n"/>
      <c r="BE470" s="154" t="n"/>
      <c r="BF470" s="154" t="n"/>
      <c r="BG470" s="154" t="n"/>
      <c r="BH470" s="154" t="n"/>
    </row>
    <row r="471" ht="15.75" customHeight="1" s="251">
      <c r="A471" s="153" t="n"/>
      <c r="B471" s="154" t="n"/>
      <c r="C471" s="154" t="n"/>
      <c r="D471" s="154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  <c r="AA471" s="154" t="n"/>
      <c r="AB471" s="154" t="n"/>
      <c r="AC471" s="154" t="n"/>
      <c r="AD471" s="154" t="n"/>
      <c r="AE471" s="154" t="n"/>
      <c r="AF471" s="154" t="n"/>
      <c r="AG471" s="154" t="n"/>
      <c r="AH471" s="154" t="n"/>
      <c r="AI471" s="154" t="n"/>
      <c r="AJ471" s="154" t="n"/>
      <c r="AK471" s="154" t="n"/>
      <c r="AL471" s="154" t="n"/>
      <c r="AM471" s="154" t="n"/>
      <c r="AN471" s="154" t="n"/>
      <c r="AO471" s="154" t="n"/>
      <c r="AP471" s="154" t="n"/>
      <c r="AQ471" s="154" t="n"/>
      <c r="AR471" s="154" t="n"/>
      <c r="AS471" s="154" t="n"/>
      <c r="AT471" s="154" t="n"/>
      <c r="AU471" s="154" t="n"/>
      <c r="AV471" s="154" t="n"/>
      <c r="AW471" s="154" t="n"/>
      <c r="AX471" s="154" t="n"/>
      <c r="AY471" s="154" t="n"/>
      <c r="AZ471" s="154" t="n"/>
      <c r="BA471" s="154" t="n"/>
      <c r="BB471" s="154" t="n"/>
      <c r="BC471" s="154" t="n"/>
      <c r="BD471" s="154" t="n"/>
      <c r="BE471" s="154" t="n"/>
      <c r="BF471" s="154" t="n"/>
      <c r="BG471" s="154" t="n"/>
      <c r="BH471" s="154" t="n"/>
    </row>
    <row r="472" ht="15.75" customHeight="1" s="251">
      <c r="A472" s="153" t="n"/>
      <c r="B472" s="154" t="n"/>
      <c r="C472" s="154" t="n"/>
      <c r="D472" s="154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  <c r="AA472" s="154" t="n"/>
      <c r="AB472" s="154" t="n"/>
      <c r="AC472" s="154" t="n"/>
      <c r="AD472" s="154" t="n"/>
      <c r="AE472" s="154" t="n"/>
      <c r="AF472" s="154" t="n"/>
      <c r="AG472" s="154" t="n"/>
      <c r="AH472" s="154" t="n"/>
      <c r="AI472" s="154" t="n"/>
      <c r="AJ472" s="154" t="n"/>
      <c r="AK472" s="154" t="n"/>
      <c r="AL472" s="154" t="n"/>
      <c r="AM472" s="154" t="n"/>
      <c r="AN472" s="154" t="n"/>
      <c r="AO472" s="154" t="n"/>
      <c r="AP472" s="154" t="n"/>
      <c r="AQ472" s="154" t="n"/>
      <c r="AR472" s="154" t="n"/>
      <c r="AS472" s="154" t="n"/>
      <c r="AT472" s="154" t="n"/>
      <c r="AU472" s="154" t="n"/>
      <c r="AV472" s="154" t="n"/>
      <c r="AW472" s="154" t="n"/>
      <c r="AX472" s="154" t="n"/>
      <c r="AY472" s="154" t="n"/>
      <c r="AZ472" s="154" t="n"/>
      <c r="BA472" s="154" t="n"/>
      <c r="BB472" s="154" t="n"/>
      <c r="BC472" s="154" t="n"/>
      <c r="BD472" s="154" t="n"/>
      <c r="BE472" s="154" t="n"/>
      <c r="BF472" s="154" t="n"/>
      <c r="BG472" s="154" t="n"/>
      <c r="BH472" s="154" t="n"/>
    </row>
    <row r="473" ht="15.75" customHeight="1" s="251">
      <c r="A473" s="153" t="n"/>
      <c r="B473" s="154" t="n"/>
      <c r="C473" s="154" t="n"/>
      <c r="D473" s="154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  <c r="AA473" s="154" t="n"/>
      <c r="AB473" s="154" t="n"/>
      <c r="AC473" s="154" t="n"/>
      <c r="AD473" s="154" t="n"/>
      <c r="AE473" s="154" t="n"/>
      <c r="AF473" s="154" t="n"/>
      <c r="AG473" s="154" t="n"/>
      <c r="AH473" s="154" t="n"/>
      <c r="AI473" s="154" t="n"/>
      <c r="AJ473" s="154" t="n"/>
      <c r="AK473" s="154" t="n"/>
      <c r="AL473" s="154" t="n"/>
      <c r="AM473" s="154" t="n"/>
      <c r="AN473" s="154" t="n"/>
      <c r="AO473" s="154" t="n"/>
      <c r="AP473" s="154" t="n"/>
      <c r="AQ473" s="154" t="n"/>
      <c r="AR473" s="154" t="n"/>
      <c r="AS473" s="154" t="n"/>
      <c r="AT473" s="154" t="n"/>
      <c r="AU473" s="154" t="n"/>
      <c r="AV473" s="154" t="n"/>
      <c r="AW473" s="154" t="n"/>
      <c r="AX473" s="154" t="n"/>
      <c r="AY473" s="154" t="n"/>
      <c r="AZ473" s="154" t="n"/>
      <c r="BA473" s="154" t="n"/>
      <c r="BB473" s="154" t="n"/>
      <c r="BC473" s="154" t="n"/>
      <c r="BD473" s="154" t="n"/>
      <c r="BE473" s="154" t="n"/>
      <c r="BF473" s="154" t="n"/>
      <c r="BG473" s="154" t="n"/>
      <c r="BH473" s="154" t="n"/>
    </row>
    <row r="474" ht="15.75" customHeight="1" s="251">
      <c r="A474" s="153" t="n"/>
      <c r="B474" s="154" t="n"/>
      <c r="C474" s="154" t="n"/>
      <c r="D474" s="154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  <c r="AA474" s="154" t="n"/>
      <c r="AB474" s="154" t="n"/>
      <c r="AC474" s="154" t="n"/>
      <c r="AD474" s="154" t="n"/>
      <c r="AE474" s="154" t="n"/>
      <c r="AF474" s="154" t="n"/>
      <c r="AG474" s="154" t="n"/>
      <c r="AH474" s="154" t="n"/>
      <c r="AI474" s="154" t="n"/>
      <c r="AJ474" s="154" t="n"/>
      <c r="AK474" s="154" t="n"/>
      <c r="AL474" s="154" t="n"/>
      <c r="AM474" s="154" t="n"/>
      <c r="AN474" s="154" t="n"/>
      <c r="AO474" s="154" t="n"/>
      <c r="AP474" s="154" t="n"/>
      <c r="AQ474" s="154" t="n"/>
      <c r="AR474" s="154" t="n"/>
      <c r="AS474" s="154" t="n"/>
      <c r="AT474" s="154" t="n"/>
      <c r="AU474" s="154" t="n"/>
      <c r="AV474" s="154" t="n"/>
      <c r="AW474" s="154" t="n"/>
      <c r="AX474" s="154" t="n"/>
      <c r="AY474" s="154" t="n"/>
      <c r="AZ474" s="154" t="n"/>
      <c r="BA474" s="154" t="n"/>
      <c r="BB474" s="154" t="n"/>
      <c r="BC474" s="154" t="n"/>
      <c r="BD474" s="154" t="n"/>
      <c r="BE474" s="154" t="n"/>
      <c r="BF474" s="154" t="n"/>
      <c r="BG474" s="154" t="n"/>
      <c r="BH474" s="154" t="n"/>
    </row>
    <row r="475" ht="15.75" customHeight="1" s="251">
      <c r="A475" s="153" t="n"/>
      <c r="B475" s="154" t="n"/>
      <c r="C475" s="154" t="n"/>
      <c r="D475" s="154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  <c r="AA475" s="154" t="n"/>
      <c r="AB475" s="154" t="n"/>
      <c r="AC475" s="154" t="n"/>
      <c r="AD475" s="154" t="n"/>
      <c r="AE475" s="154" t="n"/>
      <c r="AF475" s="154" t="n"/>
      <c r="AG475" s="154" t="n"/>
      <c r="AH475" s="154" t="n"/>
      <c r="AI475" s="154" t="n"/>
      <c r="AJ475" s="154" t="n"/>
      <c r="AK475" s="154" t="n"/>
      <c r="AL475" s="154" t="n"/>
      <c r="AM475" s="154" t="n"/>
      <c r="AN475" s="154" t="n"/>
      <c r="AO475" s="154" t="n"/>
      <c r="AP475" s="154" t="n"/>
      <c r="AQ475" s="154" t="n"/>
      <c r="AR475" s="154" t="n"/>
      <c r="AS475" s="154" t="n"/>
      <c r="AT475" s="154" t="n"/>
      <c r="AU475" s="154" t="n"/>
      <c r="AV475" s="154" t="n"/>
      <c r="AW475" s="154" t="n"/>
      <c r="AX475" s="154" t="n"/>
      <c r="AY475" s="154" t="n"/>
      <c r="AZ475" s="154" t="n"/>
      <c r="BA475" s="154" t="n"/>
      <c r="BB475" s="154" t="n"/>
      <c r="BC475" s="154" t="n"/>
      <c r="BD475" s="154" t="n"/>
      <c r="BE475" s="154" t="n"/>
      <c r="BF475" s="154" t="n"/>
      <c r="BG475" s="154" t="n"/>
      <c r="BH475" s="154" t="n"/>
    </row>
    <row r="476" ht="15.75" customHeight="1" s="251">
      <c r="A476" s="153" t="n"/>
      <c r="B476" s="154" t="n"/>
      <c r="C476" s="154" t="n"/>
      <c r="D476" s="154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  <c r="AA476" s="154" t="n"/>
      <c r="AB476" s="154" t="n"/>
      <c r="AC476" s="154" t="n"/>
      <c r="AD476" s="154" t="n"/>
      <c r="AE476" s="154" t="n"/>
      <c r="AF476" s="154" t="n"/>
      <c r="AG476" s="154" t="n"/>
      <c r="AH476" s="154" t="n"/>
      <c r="AI476" s="154" t="n"/>
      <c r="AJ476" s="154" t="n"/>
      <c r="AK476" s="154" t="n"/>
      <c r="AL476" s="154" t="n"/>
      <c r="AM476" s="154" t="n"/>
      <c r="AN476" s="154" t="n"/>
      <c r="AO476" s="154" t="n"/>
      <c r="AP476" s="154" t="n"/>
      <c r="AQ476" s="154" t="n"/>
      <c r="AR476" s="154" t="n"/>
      <c r="AS476" s="154" t="n"/>
      <c r="AT476" s="154" t="n"/>
      <c r="AU476" s="154" t="n"/>
      <c r="AV476" s="154" t="n"/>
      <c r="AW476" s="154" t="n"/>
      <c r="AX476" s="154" t="n"/>
      <c r="AY476" s="154" t="n"/>
      <c r="AZ476" s="154" t="n"/>
      <c r="BA476" s="154" t="n"/>
      <c r="BB476" s="154" t="n"/>
      <c r="BC476" s="154" t="n"/>
      <c r="BD476" s="154" t="n"/>
      <c r="BE476" s="154" t="n"/>
      <c r="BF476" s="154" t="n"/>
      <c r="BG476" s="154" t="n"/>
      <c r="BH476" s="154" t="n"/>
    </row>
    <row r="477" ht="15.75" customHeight="1" s="251">
      <c r="A477" s="153" t="n"/>
      <c r="B477" s="154" t="n"/>
      <c r="C477" s="154" t="n"/>
      <c r="D477" s="154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  <c r="AA477" s="154" t="n"/>
      <c r="AB477" s="154" t="n"/>
      <c r="AC477" s="154" t="n"/>
      <c r="AD477" s="154" t="n"/>
      <c r="AE477" s="154" t="n"/>
      <c r="AF477" s="154" t="n"/>
      <c r="AG477" s="154" t="n"/>
      <c r="AH477" s="154" t="n"/>
      <c r="AI477" s="154" t="n"/>
      <c r="AJ477" s="154" t="n"/>
      <c r="AK477" s="154" t="n"/>
      <c r="AL477" s="154" t="n"/>
      <c r="AM477" s="154" t="n"/>
      <c r="AN477" s="154" t="n"/>
      <c r="AO477" s="154" t="n"/>
      <c r="AP477" s="154" t="n"/>
      <c r="AQ477" s="154" t="n"/>
      <c r="AR477" s="154" t="n"/>
      <c r="AS477" s="154" t="n"/>
      <c r="AT477" s="154" t="n"/>
      <c r="AU477" s="154" t="n"/>
      <c r="AV477" s="154" t="n"/>
      <c r="AW477" s="154" t="n"/>
      <c r="AX477" s="154" t="n"/>
      <c r="AY477" s="154" t="n"/>
      <c r="AZ477" s="154" t="n"/>
      <c r="BA477" s="154" t="n"/>
      <c r="BB477" s="154" t="n"/>
      <c r="BC477" s="154" t="n"/>
      <c r="BD477" s="154" t="n"/>
      <c r="BE477" s="154" t="n"/>
      <c r="BF477" s="154" t="n"/>
      <c r="BG477" s="154" t="n"/>
      <c r="BH477" s="154" t="n"/>
    </row>
    <row r="478" ht="15.75" customHeight="1" s="251">
      <c r="A478" s="153" t="n"/>
      <c r="B478" s="154" t="n"/>
      <c r="C478" s="154" t="n"/>
      <c r="D478" s="154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  <c r="AA478" s="154" t="n"/>
      <c r="AB478" s="154" t="n"/>
      <c r="AC478" s="154" t="n"/>
      <c r="AD478" s="154" t="n"/>
      <c r="AE478" s="154" t="n"/>
      <c r="AF478" s="154" t="n"/>
      <c r="AG478" s="154" t="n"/>
      <c r="AH478" s="154" t="n"/>
      <c r="AI478" s="154" t="n"/>
      <c r="AJ478" s="154" t="n"/>
      <c r="AK478" s="154" t="n"/>
      <c r="AL478" s="154" t="n"/>
      <c r="AM478" s="154" t="n"/>
      <c r="AN478" s="154" t="n"/>
      <c r="AO478" s="154" t="n"/>
      <c r="AP478" s="154" t="n"/>
      <c r="AQ478" s="154" t="n"/>
      <c r="AR478" s="154" t="n"/>
      <c r="AS478" s="154" t="n"/>
      <c r="AT478" s="154" t="n"/>
      <c r="AU478" s="154" t="n"/>
      <c r="AV478" s="154" t="n"/>
      <c r="AW478" s="154" t="n"/>
      <c r="AX478" s="154" t="n"/>
      <c r="AY478" s="154" t="n"/>
      <c r="AZ478" s="154" t="n"/>
      <c r="BA478" s="154" t="n"/>
      <c r="BB478" s="154" t="n"/>
      <c r="BC478" s="154" t="n"/>
      <c r="BD478" s="154" t="n"/>
      <c r="BE478" s="154" t="n"/>
      <c r="BF478" s="154" t="n"/>
      <c r="BG478" s="154" t="n"/>
      <c r="BH478" s="154" t="n"/>
    </row>
    <row r="479" ht="15.75" customHeight="1" s="251">
      <c r="A479" s="153" t="n"/>
      <c r="B479" s="154" t="n"/>
      <c r="C479" s="154" t="n"/>
      <c r="D479" s="154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  <c r="AA479" s="154" t="n"/>
      <c r="AB479" s="154" t="n"/>
      <c r="AC479" s="154" t="n"/>
      <c r="AD479" s="154" t="n"/>
      <c r="AE479" s="154" t="n"/>
      <c r="AF479" s="154" t="n"/>
      <c r="AG479" s="154" t="n"/>
      <c r="AH479" s="154" t="n"/>
      <c r="AI479" s="154" t="n"/>
      <c r="AJ479" s="154" t="n"/>
      <c r="AK479" s="154" t="n"/>
      <c r="AL479" s="154" t="n"/>
      <c r="AM479" s="154" t="n"/>
      <c r="AN479" s="154" t="n"/>
      <c r="AO479" s="154" t="n"/>
      <c r="AP479" s="154" t="n"/>
      <c r="AQ479" s="154" t="n"/>
      <c r="AR479" s="154" t="n"/>
      <c r="AS479" s="154" t="n"/>
      <c r="AT479" s="154" t="n"/>
      <c r="AU479" s="154" t="n"/>
      <c r="AV479" s="154" t="n"/>
      <c r="AW479" s="154" t="n"/>
      <c r="AX479" s="154" t="n"/>
      <c r="AY479" s="154" t="n"/>
      <c r="AZ479" s="154" t="n"/>
      <c r="BA479" s="154" t="n"/>
      <c r="BB479" s="154" t="n"/>
      <c r="BC479" s="154" t="n"/>
      <c r="BD479" s="154" t="n"/>
      <c r="BE479" s="154" t="n"/>
      <c r="BF479" s="154" t="n"/>
      <c r="BG479" s="154" t="n"/>
      <c r="BH479" s="154" t="n"/>
    </row>
    <row r="480" ht="15.75" customHeight="1" s="251">
      <c r="A480" s="153" t="n"/>
      <c r="B480" s="154" t="n"/>
      <c r="C480" s="154" t="n"/>
      <c r="D480" s="154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  <c r="AA480" s="154" t="n"/>
      <c r="AB480" s="154" t="n"/>
      <c r="AC480" s="154" t="n"/>
      <c r="AD480" s="154" t="n"/>
      <c r="AE480" s="154" t="n"/>
      <c r="AF480" s="154" t="n"/>
      <c r="AG480" s="154" t="n"/>
      <c r="AH480" s="154" t="n"/>
      <c r="AI480" s="154" t="n"/>
      <c r="AJ480" s="154" t="n"/>
      <c r="AK480" s="154" t="n"/>
      <c r="AL480" s="154" t="n"/>
      <c r="AM480" s="154" t="n"/>
      <c r="AN480" s="154" t="n"/>
      <c r="AO480" s="154" t="n"/>
      <c r="AP480" s="154" t="n"/>
      <c r="AQ480" s="154" t="n"/>
      <c r="AR480" s="154" t="n"/>
      <c r="AS480" s="154" t="n"/>
      <c r="AT480" s="154" t="n"/>
      <c r="AU480" s="154" t="n"/>
      <c r="AV480" s="154" t="n"/>
      <c r="AW480" s="154" t="n"/>
      <c r="AX480" s="154" t="n"/>
      <c r="AY480" s="154" t="n"/>
      <c r="AZ480" s="154" t="n"/>
      <c r="BA480" s="154" t="n"/>
      <c r="BB480" s="154" t="n"/>
      <c r="BC480" s="154" t="n"/>
      <c r="BD480" s="154" t="n"/>
      <c r="BE480" s="154" t="n"/>
      <c r="BF480" s="154" t="n"/>
      <c r="BG480" s="154" t="n"/>
      <c r="BH480" s="154" t="n"/>
    </row>
    <row r="481" ht="15.75" customHeight="1" s="251">
      <c r="A481" s="153" t="n"/>
      <c r="B481" s="154" t="n"/>
      <c r="C481" s="154" t="n"/>
      <c r="D481" s="154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  <c r="AA481" s="154" t="n"/>
      <c r="AB481" s="154" t="n"/>
      <c r="AC481" s="154" t="n"/>
      <c r="AD481" s="154" t="n"/>
      <c r="AE481" s="154" t="n"/>
      <c r="AF481" s="154" t="n"/>
      <c r="AG481" s="154" t="n"/>
      <c r="AH481" s="154" t="n"/>
      <c r="AI481" s="154" t="n"/>
      <c r="AJ481" s="154" t="n"/>
      <c r="AK481" s="154" t="n"/>
      <c r="AL481" s="154" t="n"/>
      <c r="AM481" s="154" t="n"/>
      <c r="AN481" s="154" t="n"/>
      <c r="AO481" s="154" t="n"/>
      <c r="AP481" s="154" t="n"/>
      <c r="AQ481" s="154" t="n"/>
      <c r="AR481" s="154" t="n"/>
      <c r="AS481" s="154" t="n"/>
      <c r="AT481" s="154" t="n"/>
      <c r="AU481" s="154" t="n"/>
      <c r="AV481" s="154" t="n"/>
      <c r="AW481" s="154" t="n"/>
      <c r="AX481" s="154" t="n"/>
      <c r="AY481" s="154" t="n"/>
      <c r="AZ481" s="154" t="n"/>
      <c r="BA481" s="154" t="n"/>
      <c r="BB481" s="154" t="n"/>
      <c r="BC481" s="154" t="n"/>
      <c r="BD481" s="154" t="n"/>
      <c r="BE481" s="154" t="n"/>
      <c r="BF481" s="154" t="n"/>
      <c r="BG481" s="154" t="n"/>
      <c r="BH481" s="154" t="n"/>
    </row>
    <row r="482" ht="15.75" customHeight="1" s="251">
      <c r="A482" s="153" t="n"/>
      <c r="B482" s="154" t="n"/>
      <c r="C482" s="154" t="n"/>
      <c r="D482" s="154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  <c r="AA482" s="154" t="n"/>
      <c r="AB482" s="154" t="n"/>
      <c r="AC482" s="154" t="n"/>
      <c r="AD482" s="154" t="n"/>
      <c r="AE482" s="154" t="n"/>
      <c r="AF482" s="154" t="n"/>
      <c r="AG482" s="154" t="n"/>
      <c r="AH482" s="154" t="n"/>
      <c r="AI482" s="154" t="n"/>
      <c r="AJ482" s="154" t="n"/>
      <c r="AK482" s="154" t="n"/>
      <c r="AL482" s="154" t="n"/>
      <c r="AM482" s="154" t="n"/>
      <c r="AN482" s="154" t="n"/>
      <c r="AO482" s="154" t="n"/>
      <c r="AP482" s="154" t="n"/>
      <c r="AQ482" s="154" t="n"/>
      <c r="AR482" s="154" t="n"/>
      <c r="AS482" s="154" t="n"/>
      <c r="AT482" s="154" t="n"/>
      <c r="AU482" s="154" t="n"/>
      <c r="AV482" s="154" t="n"/>
      <c r="AW482" s="154" t="n"/>
      <c r="AX482" s="154" t="n"/>
      <c r="AY482" s="154" t="n"/>
      <c r="AZ482" s="154" t="n"/>
      <c r="BA482" s="154" t="n"/>
      <c r="BB482" s="154" t="n"/>
      <c r="BC482" s="154" t="n"/>
      <c r="BD482" s="154" t="n"/>
      <c r="BE482" s="154" t="n"/>
      <c r="BF482" s="154" t="n"/>
      <c r="BG482" s="154" t="n"/>
      <c r="BH482" s="154" t="n"/>
    </row>
    <row r="483" ht="15.75" customHeight="1" s="251">
      <c r="A483" s="153" t="n"/>
      <c r="B483" s="154" t="n"/>
      <c r="C483" s="154" t="n"/>
      <c r="D483" s="154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  <c r="AA483" s="154" t="n"/>
      <c r="AB483" s="154" t="n"/>
      <c r="AC483" s="154" t="n"/>
      <c r="AD483" s="154" t="n"/>
      <c r="AE483" s="154" t="n"/>
      <c r="AF483" s="154" t="n"/>
      <c r="AG483" s="154" t="n"/>
      <c r="AH483" s="154" t="n"/>
      <c r="AI483" s="154" t="n"/>
      <c r="AJ483" s="154" t="n"/>
      <c r="AK483" s="154" t="n"/>
      <c r="AL483" s="154" t="n"/>
      <c r="AM483" s="154" t="n"/>
      <c r="AN483" s="154" t="n"/>
      <c r="AO483" s="154" t="n"/>
      <c r="AP483" s="154" t="n"/>
      <c r="AQ483" s="154" t="n"/>
      <c r="AR483" s="154" t="n"/>
      <c r="AS483" s="154" t="n"/>
      <c r="AT483" s="154" t="n"/>
      <c r="AU483" s="154" t="n"/>
      <c r="AV483" s="154" t="n"/>
      <c r="AW483" s="154" t="n"/>
      <c r="AX483" s="154" t="n"/>
      <c r="AY483" s="154" t="n"/>
      <c r="AZ483" s="154" t="n"/>
      <c r="BA483" s="154" t="n"/>
      <c r="BB483" s="154" t="n"/>
      <c r="BC483" s="154" t="n"/>
      <c r="BD483" s="154" t="n"/>
      <c r="BE483" s="154" t="n"/>
      <c r="BF483" s="154" t="n"/>
      <c r="BG483" s="154" t="n"/>
      <c r="BH483" s="154" t="n"/>
    </row>
    <row r="484" ht="15.75" customHeight="1" s="251">
      <c r="A484" s="153" t="n"/>
      <c r="B484" s="154" t="n"/>
      <c r="C484" s="154" t="n"/>
      <c r="D484" s="154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  <c r="AA484" s="154" t="n"/>
      <c r="AB484" s="154" t="n"/>
      <c r="AC484" s="154" t="n"/>
      <c r="AD484" s="154" t="n"/>
      <c r="AE484" s="154" t="n"/>
      <c r="AF484" s="154" t="n"/>
      <c r="AG484" s="154" t="n"/>
      <c r="AH484" s="154" t="n"/>
      <c r="AI484" s="154" t="n"/>
      <c r="AJ484" s="154" t="n"/>
      <c r="AK484" s="154" t="n"/>
      <c r="AL484" s="154" t="n"/>
      <c r="AM484" s="154" t="n"/>
      <c r="AN484" s="154" t="n"/>
      <c r="AO484" s="154" t="n"/>
      <c r="AP484" s="154" t="n"/>
      <c r="AQ484" s="154" t="n"/>
      <c r="AR484" s="154" t="n"/>
      <c r="AS484" s="154" t="n"/>
      <c r="AT484" s="154" t="n"/>
      <c r="AU484" s="154" t="n"/>
      <c r="AV484" s="154" t="n"/>
      <c r="AW484" s="154" t="n"/>
      <c r="AX484" s="154" t="n"/>
      <c r="AY484" s="154" t="n"/>
      <c r="AZ484" s="154" t="n"/>
      <c r="BA484" s="154" t="n"/>
      <c r="BB484" s="154" t="n"/>
      <c r="BC484" s="154" t="n"/>
      <c r="BD484" s="154" t="n"/>
      <c r="BE484" s="154" t="n"/>
      <c r="BF484" s="154" t="n"/>
      <c r="BG484" s="154" t="n"/>
      <c r="BH484" s="154" t="n"/>
    </row>
    <row r="485" ht="15.75" customHeight="1" s="251">
      <c r="A485" s="153" t="n"/>
      <c r="B485" s="154" t="n"/>
      <c r="C485" s="154" t="n"/>
      <c r="D485" s="154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  <c r="AA485" s="154" t="n"/>
      <c r="AB485" s="154" t="n"/>
      <c r="AC485" s="154" t="n"/>
      <c r="AD485" s="154" t="n"/>
      <c r="AE485" s="154" t="n"/>
      <c r="AF485" s="154" t="n"/>
      <c r="AG485" s="154" t="n"/>
      <c r="AH485" s="154" t="n"/>
      <c r="AI485" s="154" t="n"/>
      <c r="AJ485" s="154" t="n"/>
      <c r="AK485" s="154" t="n"/>
      <c r="AL485" s="154" t="n"/>
      <c r="AM485" s="154" t="n"/>
      <c r="AN485" s="154" t="n"/>
      <c r="AO485" s="154" t="n"/>
      <c r="AP485" s="154" t="n"/>
      <c r="AQ485" s="154" t="n"/>
      <c r="AR485" s="154" t="n"/>
      <c r="AS485" s="154" t="n"/>
      <c r="AT485" s="154" t="n"/>
      <c r="AU485" s="154" t="n"/>
      <c r="AV485" s="154" t="n"/>
      <c r="AW485" s="154" t="n"/>
      <c r="AX485" s="154" t="n"/>
      <c r="AY485" s="154" t="n"/>
      <c r="AZ485" s="154" t="n"/>
      <c r="BA485" s="154" t="n"/>
      <c r="BB485" s="154" t="n"/>
      <c r="BC485" s="154" t="n"/>
      <c r="BD485" s="154" t="n"/>
      <c r="BE485" s="154" t="n"/>
      <c r="BF485" s="154" t="n"/>
      <c r="BG485" s="154" t="n"/>
      <c r="BH485" s="154" t="n"/>
    </row>
    <row r="486" ht="15.75" customHeight="1" s="251">
      <c r="A486" s="153" t="n"/>
      <c r="B486" s="154" t="n"/>
      <c r="C486" s="154" t="n"/>
      <c r="D486" s="154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  <c r="AA486" s="154" t="n"/>
      <c r="AB486" s="154" t="n"/>
      <c r="AC486" s="154" t="n"/>
      <c r="AD486" s="154" t="n"/>
      <c r="AE486" s="154" t="n"/>
      <c r="AF486" s="154" t="n"/>
      <c r="AG486" s="154" t="n"/>
      <c r="AH486" s="154" t="n"/>
      <c r="AI486" s="154" t="n"/>
      <c r="AJ486" s="154" t="n"/>
      <c r="AK486" s="154" t="n"/>
      <c r="AL486" s="154" t="n"/>
      <c r="AM486" s="154" t="n"/>
      <c r="AN486" s="154" t="n"/>
      <c r="AO486" s="154" t="n"/>
      <c r="AP486" s="154" t="n"/>
      <c r="AQ486" s="154" t="n"/>
      <c r="AR486" s="154" t="n"/>
      <c r="AS486" s="154" t="n"/>
      <c r="AT486" s="154" t="n"/>
      <c r="AU486" s="154" t="n"/>
      <c r="AV486" s="154" t="n"/>
      <c r="AW486" s="154" t="n"/>
      <c r="AX486" s="154" t="n"/>
      <c r="AY486" s="154" t="n"/>
      <c r="AZ486" s="154" t="n"/>
      <c r="BA486" s="154" t="n"/>
      <c r="BB486" s="154" t="n"/>
      <c r="BC486" s="154" t="n"/>
      <c r="BD486" s="154" t="n"/>
      <c r="BE486" s="154" t="n"/>
      <c r="BF486" s="154" t="n"/>
      <c r="BG486" s="154" t="n"/>
      <c r="BH486" s="154" t="n"/>
    </row>
    <row r="487" ht="15.75" customHeight="1" s="251">
      <c r="A487" s="153" t="n"/>
      <c r="B487" s="154" t="n"/>
      <c r="C487" s="154" t="n"/>
      <c r="D487" s="154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  <c r="AA487" s="154" t="n"/>
      <c r="AB487" s="154" t="n"/>
      <c r="AC487" s="154" t="n"/>
      <c r="AD487" s="154" t="n"/>
      <c r="AE487" s="154" t="n"/>
      <c r="AF487" s="154" t="n"/>
      <c r="AG487" s="154" t="n"/>
      <c r="AH487" s="154" t="n"/>
      <c r="AI487" s="154" t="n"/>
      <c r="AJ487" s="154" t="n"/>
      <c r="AK487" s="154" t="n"/>
      <c r="AL487" s="154" t="n"/>
      <c r="AM487" s="154" t="n"/>
      <c r="AN487" s="154" t="n"/>
      <c r="AO487" s="154" t="n"/>
      <c r="AP487" s="154" t="n"/>
      <c r="AQ487" s="154" t="n"/>
      <c r="AR487" s="154" t="n"/>
      <c r="AS487" s="154" t="n"/>
      <c r="AT487" s="154" t="n"/>
      <c r="AU487" s="154" t="n"/>
      <c r="AV487" s="154" t="n"/>
      <c r="AW487" s="154" t="n"/>
      <c r="AX487" s="154" t="n"/>
      <c r="AY487" s="154" t="n"/>
      <c r="AZ487" s="154" t="n"/>
      <c r="BA487" s="154" t="n"/>
      <c r="BB487" s="154" t="n"/>
      <c r="BC487" s="154" t="n"/>
      <c r="BD487" s="154" t="n"/>
      <c r="BE487" s="154" t="n"/>
      <c r="BF487" s="154" t="n"/>
      <c r="BG487" s="154" t="n"/>
      <c r="BH487" s="154" t="n"/>
    </row>
    <row r="488" ht="15.75" customHeight="1" s="251">
      <c r="A488" s="153" t="n"/>
      <c r="B488" s="154" t="n"/>
      <c r="C488" s="154" t="n"/>
      <c r="D488" s="154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  <c r="AA488" s="154" t="n"/>
      <c r="AB488" s="154" t="n"/>
      <c r="AC488" s="154" t="n"/>
      <c r="AD488" s="154" t="n"/>
      <c r="AE488" s="154" t="n"/>
      <c r="AF488" s="154" t="n"/>
      <c r="AG488" s="154" t="n"/>
      <c r="AH488" s="154" t="n"/>
      <c r="AI488" s="154" t="n"/>
      <c r="AJ488" s="154" t="n"/>
      <c r="AK488" s="154" t="n"/>
      <c r="AL488" s="154" t="n"/>
      <c r="AM488" s="154" t="n"/>
      <c r="AN488" s="154" t="n"/>
      <c r="AO488" s="154" t="n"/>
      <c r="AP488" s="154" t="n"/>
      <c r="AQ488" s="154" t="n"/>
      <c r="AR488" s="154" t="n"/>
      <c r="AS488" s="154" t="n"/>
      <c r="AT488" s="154" t="n"/>
      <c r="AU488" s="154" t="n"/>
      <c r="AV488" s="154" t="n"/>
      <c r="AW488" s="154" t="n"/>
      <c r="AX488" s="154" t="n"/>
      <c r="AY488" s="154" t="n"/>
      <c r="AZ488" s="154" t="n"/>
      <c r="BA488" s="154" t="n"/>
      <c r="BB488" s="154" t="n"/>
      <c r="BC488" s="154" t="n"/>
      <c r="BD488" s="154" t="n"/>
      <c r="BE488" s="154" t="n"/>
      <c r="BF488" s="154" t="n"/>
      <c r="BG488" s="154" t="n"/>
      <c r="BH488" s="154" t="n"/>
    </row>
    <row r="489" ht="15.75" customHeight="1" s="251">
      <c r="A489" s="153" t="n"/>
      <c r="B489" s="154" t="n"/>
      <c r="C489" s="154" t="n"/>
      <c r="D489" s="154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  <c r="AA489" s="154" t="n"/>
      <c r="AB489" s="154" t="n"/>
      <c r="AC489" s="154" t="n"/>
      <c r="AD489" s="154" t="n"/>
      <c r="AE489" s="154" t="n"/>
      <c r="AF489" s="154" t="n"/>
      <c r="AG489" s="154" t="n"/>
      <c r="AH489" s="154" t="n"/>
      <c r="AI489" s="154" t="n"/>
      <c r="AJ489" s="154" t="n"/>
      <c r="AK489" s="154" t="n"/>
      <c r="AL489" s="154" t="n"/>
      <c r="AM489" s="154" t="n"/>
      <c r="AN489" s="154" t="n"/>
      <c r="AO489" s="154" t="n"/>
      <c r="AP489" s="154" t="n"/>
      <c r="AQ489" s="154" t="n"/>
      <c r="AR489" s="154" t="n"/>
      <c r="AS489" s="154" t="n"/>
      <c r="AT489" s="154" t="n"/>
      <c r="AU489" s="154" t="n"/>
      <c r="AV489" s="154" t="n"/>
      <c r="AW489" s="154" t="n"/>
      <c r="AX489" s="154" t="n"/>
      <c r="AY489" s="154" t="n"/>
      <c r="AZ489" s="154" t="n"/>
      <c r="BA489" s="154" t="n"/>
      <c r="BB489" s="154" t="n"/>
      <c r="BC489" s="154" t="n"/>
      <c r="BD489" s="154" t="n"/>
      <c r="BE489" s="154" t="n"/>
      <c r="BF489" s="154" t="n"/>
      <c r="BG489" s="154" t="n"/>
      <c r="BH489" s="154" t="n"/>
    </row>
    <row r="490" ht="15.75" customHeight="1" s="251">
      <c r="A490" s="153" t="n"/>
      <c r="B490" s="154" t="n"/>
      <c r="C490" s="154" t="n"/>
      <c r="D490" s="154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  <c r="AA490" s="154" t="n"/>
      <c r="AB490" s="154" t="n"/>
      <c r="AC490" s="154" t="n"/>
      <c r="AD490" s="154" t="n"/>
      <c r="AE490" s="154" t="n"/>
      <c r="AF490" s="154" t="n"/>
      <c r="AG490" s="154" t="n"/>
      <c r="AH490" s="154" t="n"/>
      <c r="AI490" s="154" t="n"/>
      <c r="AJ490" s="154" t="n"/>
      <c r="AK490" s="154" t="n"/>
      <c r="AL490" s="154" t="n"/>
      <c r="AM490" s="154" t="n"/>
      <c r="AN490" s="154" t="n"/>
      <c r="AO490" s="154" t="n"/>
      <c r="AP490" s="154" t="n"/>
      <c r="AQ490" s="154" t="n"/>
      <c r="AR490" s="154" t="n"/>
      <c r="AS490" s="154" t="n"/>
      <c r="AT490" s="154" t="n"/>
      <c r="AU490" s="154" t="n"/>
      <c r="AV490" s="154" t="n"/>
      <c r="AW490" s="154" t="n"/>
      <c r="AX490" s="154" t="n"/>
      <c r="AY490" s="154" t="n"/>
      <c r="AZ490" s="154" t="n"/>
      <c r="BA490" s="154" t="n"/>
      <c r="BB490" s="154" t="n"/>
      <c r="BC490" s="154" t="n"/>
      <c r="BD490" s="154" t="n"/>
      <c r="BE490" s="154" t="n"/>
      <c r="BF490" s="154" t="n"/>
      <c r="BG490" s="154" t="n"/>
      <c r="BH490" s="154" t="n"/>
    </row>
    <row r="491" ht="15.75" customHeight="1" s="251">
      <c r="A491" s="153" t="n"/>
      <c r="B491" s="154" t="n"/>
      <c r="C491" s="154" t="n"/>
      <c r="D491" s="154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  <c r="AA491" s="154" t="n"/>
      <c r="AB491" s="154" t="n"/>
      <c r="AC491" s="154" t="n"/>
      <c r="AD491" s="154" t="n"/>
      <c r="AE491" s="154" t="n"/>
      <c r="AF491" s="154" t="n"/>
      <c r="AG491" s="154" t="n"/>
      <c r="AH491" s="154" t="n"/>
      <c r="AI491" s="154" t="n"/>
      <c r="AJ491" s="154" t="n"/>
      <c r="AK491" s="154" t="n"/>
      <c r="AL491" s="154" t="n"/>
      <c r="AM491" s="154" t="n"/>
      <c r="AN491" s="154" t="n"/>
      <c r="AO491" s="154" t="n"/>
      <c r="AP491" s="154" t="n"/>
      <c r="AQ491" s="154" t="n"/>
      <c r="AR491" s="154" t="n"/>
      <c r="AS491" s="154" t="n"/>
      <c r="AT491" s="154" t="n"/>
      <c r="AU491" s="154" t="n"/>
      <c r="AV491" s="154" t="n"/>
      <c r="AW491" s="154" t="n"/>
      <c r="AX491" s="154" t="n"/>
      <c r="AY491" s="154" t="n"/>
      <c r="AZ491" s="154" t="n"/>
      <c r="BA491" s="154" t="n"/>
      <c r="BB491" s="154" t="n"/>
      <c r="BC491" s="154" t="n"/>
      <c r="BD491" s="154" t="n"/>
      <c r="BE491" s="154" t="n"/>
      <c r="BF491" s="154" t="n"/>
      <c r="BG491" s="154" t="n"/>
      <c r="BH491" s="154" t="n"/>
    </row>
    <row r="492" ht="15.75" customHeight="1" s="251">
      <c r="A492" s="153" t="n"/>
      <c r="B492" s="154" t="n"/>
      <c r="C492" s="154" t="n"/>
      <c r="D492" s="154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  <c r="AA492" s="154" t="n"/>
      <c r="AB492" s="154" t="n"/>
      <c r="AC492" s="154" t="n"/>
      <c r="AD492" s="154" t="n"/>
      <c r="AE492" s="154" t="n"/>
      <c r="AF492" s="154" t="n"/>
      <c r="AG492" s="154" t="n"/>
      <c r="AH492" s="154" t="n"/>
      <c r="AI492" s="154" t="n"/>
      <c r="AJ492" s="154" t="n"/>
      <c r="AK492" s="154" t="n"/>
      <c r="AL492" s="154" t="n"/>
      <c r="AM492" s="154" t="n"/>
      <c r="AN492" s="154" t="n"/>
      <c r="AO492" s="154" t="n"/>
      <c r="AP492" s="154" t="n"/>
      <c r="AQ492" s="154" t="n"/>
      <c r="AR492" s="154" t="n"/>
      <c r="AS492" s="154" t="n"/>
      <c r="AT492" s="154" t="n"/>
      <c r="AU492" s="154" t="n"/>
      <c r="AV492" s="154" t="n"/>
      <c r="AW492" s="154" t="n"/>
      <c r="AX492" s="154" t="n"/>
      <c r="AY492" s="154" t="n"/>
      <c r="AZ492" s="154" t="n"/>
      <c r="BA492" s="154" t="n"/>
      <c r="BB492" s="154" t="n"/>
      <c r="BC492" s="154" t="n"/>
      <c r="BD492" s="154" t="n"/>
      <c r="BE492" s="154" t="n"/>
      <c r="BF492" s="154" t="n"/>
      <c r="BG492" s="154" t="n"/>
      <c r="BH492" s="154" t="n"/>
    </row>
    <row r="493" ht="15.75" customHeight="1" s="251">
      <c r="A493" s="153" t="n"/>
      <c r="B493" s="154" t="n"/>
      <c r="C493" s="154" t="n"/>
      <c r="D493" s="154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  <c r="AA493" s="154" t="n"/>
      <c r="AB493" s="154" t="n"/>
      <c r="AC493" s="154" t="n"/>
      <c r="AD493" s="154" t="n"/>
      <c r="AE493" s="154" t="n"/>
      <c r="AF493" s="154" t="n"/>
      <c r="AG493" s="154" t="n"/>
      <c r="AH493" s="154" t="n"/>
      <c r="AI493" s="154" t="n"/>
      <c r="AJ493" s="154" t="n"/>
      <c r="AK493" s="154" t="n"/>
      <c r="AL493" s="154" t="n"/>
      <c r="AM493" s="154" t="n"/>
      <c r="AN493" s="154" t="n"/>
      <c r="AO493" s="154" t="n"/>
      <c r="AP493" s="154" t="n"/>
      <c r="AQ493" s="154" t="n"/>
      <c r="AR493" s="154" t="n"/>
      <c r="AS493" s="154" t="n"/>
      <c r="AT493" s="154" t="n"/>
      <c r="AU493" s="154" t="n"/>
      <c r="AV493" s="154" t="n"/>
      <c r="AW493" s="154" t="n"/>
      <c r="AX493" s="154" t="n"/>
      <c r="AY493" s="154" t="n"/>
      <c r="AZ493" s="154" t="n"/>
      <c r="BA493" s="154" t="n"/>
      <c r="BB493" s="154" t="n"/>
      <c r="BC493" s="154" t="n"/>
      <c r="BD493" s="154" t="n"/>
      <c r="BE493" s="154" t="n"/>
      <c r="BF493" s="154" t="n"/>
      <c r="BG493" s="154" t="n"/>
      <c r="BH493" s="154" t="n"/>
    </row>
    <row r="494" ht="15.75" customHeight="1" s="251">
      <c r="A494" s="153" t="n"/>
      <c r="B494" s="154" t="n"/>
      <c r="C494" s="154" t="n"/>
      <c r="D494" s="154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  <c r="AA494" s="154" t="n"/>
      <c r="AB494" s="154" t="n"/>
      <c r="AC494" s="154" t="n"/>
      <c r="AD494" s="154" t="n"/>
      <c r="AE494" s="154" t="n"/>
      <c r="AF494" s="154" t="n"/>
      <c r="AG494" s="154" t="n"/>
      <c r="AH494" s="154" t="n"/>
      <c r="AI494" s="154" t="n"/>
      <c r="AJ494" s="154" t="n"/>
      <c r="AK494" s="154" t="n"/>
      <c r="AL494" s="154" t="n"/>
      <c r="AM494" s="154" t="n"/>
      <c r="AN494" s="154" t="n"/>
      <c r="AO494" s="154" t="n"/>
      <c r="AP494" s="154" t="n"/>
      <c r="AQ494" s="154" t="n"/>
      <c r="AR494" s="154" t="n"/>
      <c r="AS494" s="154" t="n"/>
      <c r="AT494" s="154" t="n"/>
      <c r="AU494" s="154" t="n"/>
      <c r="AV494" s="154" t="n"/>
      <c r="AW494" s="154" t="n"/>
      <c r="AX494" s="154" t="n"/>
      <c r="AY494" s="154" t="n"/>
      <c r="AZ494" s="154" t="n"/>
      <c r="BA494" s="154" t="n"/>
      <c r="BB494" s="154" t="n"/>
      <c r="BC494" s="154" t="n"/>
      <c r="BD494" s="154" t="n"/>
      <c r="BE494" s="154" t="n"/>
      <c r="BF494" s="154" t="n"/>
      <c r="BG494" s="154" t="n"/>
      <c r="BH494" s="154" t="n"/>
    </row>
    <row r="495" ht="15.75" customHeight="1" s="251">
      <c r="A495" s="153" t="n"/>
      <c r="B495" s="154" t="n"/>
      <c r="C495" s="154" t="n"/>
      <c r="D495" s="154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  <c r="AA495" s="154" t="n"/>
      <c r="AB495" s="154" t="n"/>
      <c r="AC495" s="154" t="n"/>
      <c r="AD495" s="154" t="n"/>
      <c r="AE495" s="154" t="n"/>
      <c r="AF495" s="154" t="n"/>
      <c r="AG495" s="154" t="n"/>
      <c r="AH495" s="154" t="n"/>
      <c r="AI495" s="154" t="n"/>
      <c r="AJ495" s="154" t="n"/>
      <c r="AK495" s="154" t="n"/>
      <c r="AL495" s="154" t="n"/>
      <c r="AM495" s="154" t="n"/>
      <c r="AN495" s="154" t="n"/>
      <c r="AO495" s="154" t="n"/>
      <c r="AP495" s="154" t="n"/>
      <c r="AQ495" s="154" t="n"/>
      <c r="AR495" s="154" t="n"/>
      <c r="AS495" s="154" t="n"/>
      <c r="AT495" s="154" t="n"/>
      <c r="AU495" s="154" t="n"/>
      <c r="AV495" s="154" t="n"/>
      <c r="AW495" s="154" t="n"/>
      <c r="AX495" s="154" t="n"/>
      <c r="AY495" s="154" t="n"/>
      <c r="AZ495" s="154" t="n"/>
      <c r="BA495" s="154" t="n"/>
      <c r="BB495" s="154" t="n"/>
      <c r="BC495" s="154" t="n"/>
      <c r="BD495" s="154" t="n"/>
      <c r="BE495" s="154" t="n"/>
      <c r="BF495" s="154" t="n"/>
      <c r="BG495" s="154" t="n"/>
      <c r="BH495" s="154" t="n"/>
    </row>
    <row r="496" ht="15.75" customHeight="1" s="251">
      <c r="A496" s="153" t="n"/>
      <c r="B496" s="154" t="n"/>
      <c r="C496" s="154" t="n"/>
      <c r="D496" s="154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  <c r="AA496" s="154" t="n"/>
      <c r="AB496" s="154" t="n"/>
      <c r="AC496" s="154" t="n"/>
      <c r="AD496" s="154" t="n"/>
      <c r="AE496" s="154" t="n"/>
      <c r="AF496" s="154" t="n"/>
      <c r="AG496" s="154" t="n"/>
      <c r="AH496" s="154" t="n"/>
      <c r="AI496" s="154" t="n"/>
      <c r="AJ496" s="154" t="n"/>
      <c r="AK496" s="154" t="n"/>
      <c r="AL496" s="154" t="n"/>
      <c r="AM496" s="154" t="n"/>
      <c r="AN496" s="154" t="n"/>
      <c r="AO496" s="154" t="n"/>
      <c r="AP496" s="154" t="n"/>
      <c r="AQ496" s="154" t="n"/>
      <c r="AR496" s="154" t="n"/>
      <c r="AS496" s="154" t="n"/>
      <c r="AT496" s="154" t="n"/>
      <c r="AU496" s="154" t="n"/>
      <c r="AV496" s="154" t="n"/>
      <c r="AW496" s="154" t="n"/>
      <c r="AX496" s="154" t="n"/>
      <c r="AY496" s="154" t="n"/>
      <c r="AZ496" s="154" t="n"/>
      <c r="BA496" s="154" t="n"/>
      <c r="BB496" s="154" t="n"/>
      <c r="BC496" s="154" t="n"/>
      <c r="BD496" s="154" t="n"/>
      <c r="BE496" s="154" t="n"/>
      <c r="BF496" s="154" t="n"/>
      <c r="BG496" s="154" t="n"/>
      <c r="BH496" s="154" t="n"/>
    </row>
    <row r="497" ht="15.75" customHeight="1" s="251">
      <c r="A497" s="153" t="n"/>
      <c r="B497" s="154" t="n"/>
      <c r="C497" s="154" t="n"/>
      <c r="D497" s="154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  <c r="AA497" s="154" t="n"/>
      <c r="AB497" s="154" t="n"/>
      <c r="AC497" s="154" t="n"/>
      <c r="AD497" s="154" t="n"/>
      <c r="AE497" s="154" t="n"/>
      <c r="AF497" s="154" t="n"/>
      <c r="AG497" s="154" t="n"/>
      <c r="AH497" s="154" t="n"/>
      <c r="AI497" s="154" t="n"/>
      <c r="AJ497" s="154" t="n"/>
      <c r="AK497" s="154" t="n"/>
      <c r="AL497" s="154" t="n"/>
      <c r="AM497" s="154" t="n"/>
      <c r="AN497" s="154" t="n"/>
      <c r="AO497" s="154" t="n"/>
      <c r="AP497" s="154" t="n"/>
      <c r="AQ497" s="154" t="n"/>
      <c r="AR497" s="154" t="n"/>
      <c r="AS497" s="154" t="n"/>
      <c r="AT497" s="154" t="n"/>
      <c r="AU497" s="154" t="n"/>
      <c r="AV497" s="154" t="n"/>
      <c r="AW497" s="154" t="n"/>
      <c r="AX497" s="154" t="n"/>
      <c r="AY497" s="154" t="n"/>
      <c r="AZ497" s="154" t="n"/>
      <c r="BA497" s="154" t="n"/>
      <c r="BB497" s="154" t="n"/>
      <c r="BC497" s="154" t="n"/>
      <c r="BD497" s="154" t="n"/>
      <c r="BE497" s="154" t="n"/>
      <c r="BF497" s="154" t="n"/>
      <c r="BG497" s="154" t="n"/>
      <c r="BH497" s="154" t="n"/>
    </row>
    <row r="498" ht="15.75" customHeight="1" s="251">
      <c r="A498" s="153" t="n"/>
      <c r="B498" s="154" t="n"/>
      <c r="C498" s="154" t="n"/>
      <c r="D498" s="154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  <c r="AA498" s="154" t="n"/>
      <c r="AB498" s="154" t="n"/>
      <c r="AC498" s="154" t="n"/>
      <c r="AD498" s="154" t="n"/>
      <c r="AE498" s="154" t="n"/>
      <c r="AF498" s="154" t="n"/>
      <c r="AG498" s="154" t="n"/>
      <c r="AH498" s="154" t="n"/>
      <c r="AI498" s="154" t="n"/>
      <c r="AJ498" s="154" t="n"/>
      <c r="AK498" s="154" t="n"/>
      <c r="AL498" s="154" t="n"/>
      <c r="AM498" s="154" t="n"/>
      <c r="AN498" s="154" t="n"/>
      <c r="AO498" s="154" t="n"/>
      <c r="AP498" s="154" t="n"/>
      <c r="AQ498" s="154" t="n"/>
      <c r="AR498" s="154" t="n"/>
      <c r="AS498" s="154" t="n"/>
      <c r="AT498" s="154" t="n"/>
      <c r="AU498" s="154" t="n"/>
      <c r="AV498" s="154" t="n"/>
      <c r="AW498" s="154" t="n"/>
      <c r="AX498" s="154" t="n"/>
      <c r="AY498" s="154" t="n"/>
      <c r="AZ498" s="154" t="n"/>
      <c r="BA498" s="154" t="n"/>
      <c r="BB498" s="154" t="n"/>
      <c r="BC498" s="154" t="n"/>
      <c r="BD498" s="154" t="n"/>
      <c r="BE498" s="154" t="n"/>
      <c r="BF498" s="154" t="n"/>
      <c r="BG498" s="154" t="n"/>
      <c r="BH498" s="154" t="n"/>
    </row>
    <row r="499" ht="15.75" customHeight="1" s="251">
      <c r="A499" s="153" t="n"/>
      <c r="B499" s="154" t="n"/>
      <c r="C499" s="154" t="n"/>
      <c r="D499" s="154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  <c r="AA499" s="154" t="n"/>
      <c r="AB499" s="154" t="n"/>
      <c r="AC499" s="154" t="n"/>
      <c r="AD499" s="154" t="n"/>
      <c r="AE499" s="154" t="n"/>
      <c r="AF499" s="154" t="n"/>
      <c r="AG499" s="154" t="n"/>
      <c r="AH499" s="154" t="n"/>
      <c r="AI499" s="154" t="n"/>
      <c r="AJ499" s="154" t="n"/>
      <c r="AK499" s="154" t="n"/>
      <c r="AL499" s="154" t="n"/>
      <c r="AM499" s="154" t="n"/>
      <c r="AN499" s="154" t="n"/>
      <c r="AO499" s="154" t="n"/>
      <c r="AP499" s="154" t="n"/>
      <c r="AQ499" s="154" t="n"/>
      <c r="AR499" s="154" t="n"/>
      <c r="AS499" s="154" t="n"/>
      <c r="AT499" s="154" t="n"/>
      <c r="AU499" s="154" t="n"/>
      <c r="AV499" s="154" t="n"/>
      <c r="AW499" s="154" t="n"/>
      <c r="AX499" s="154" t="n"/>
      <c r="AY499" s="154" t="n"/>
      <c r="AZ499" s="154" t="n"/>
      <c r="BA499" s="154" t="n"/>
      <c r="BB499" s="154" t="n"/>
      <c r="BC499" s="154" t="n"/>
      <c r="BD499" s="154" t="n"/>
      <c r="BE499" s="154" t="n"/>
      <c r="BF499" s="154" t="n"/>
      <c r="BG499" s="154" t="n"/>
      <c r="BH499" s="154" t="n"/>
    </row>
    <row r="500" ht="15.75" customHeight="1" s="251">
      <c r="A500" s="153" t="n"/>
      <c r="B500" s="154" t="n"/>
      <c r="C500" s="154" t="n"/>
      <c r="D500" s="154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  <c r="AA500" s="154" t="n"/>
      <c r="AB500" s="154" t="n"/>
      <c r="AC500" s="154" t="n"/>
      <c r="AD500" s="154" t="n"/>
      <c r="AE500" s="154" t="n"/>
      <c r="AF500" s="154" t="n"/>
      <c r="AG500" s="154" t="n"/>
      <c r="AH500" s="154" t="n"/>
      <c r="AI500" s="154" t="n"/>
      <c r="AJ500" s="154" t="n"/>
      <c r="AK500" s="154" t="n"/>
      <c r="AL500" s="154" t="n"/>
      <c r="AM500" s="154" t="n"/>
      <c r="AN500" s="154" t="n"/>
      <c r="AO500" s="154" t="n"/>
      <c r="AP500" s="154" t="n"/>
      <c r="AQ500" s="154" t="n"/>
      <c r="AR500" s="154" t="n"/>
      <c r="AS500" s="154" t="n"/>
      <c r="AT500" s="154" t="n"/>
      <c r="AU500" s="154" t="n"/>
      <c r="AV500" s="154" t="n"/>
      <c r="AW500" s="154" t="n"/>
      <c r="AX500" s="154" t="n"/>
      <c r="AY500" s="154" t="n"/>
      <c r="AZ500" s="154" t="n"/>
      <c r="BA500" s="154" t="n"/>
      <c r="BB500" s="154" t="n"/>
      <c r="BC500" s="154" t="n"/>
      <c r="BD500" s="154" t="n"/>
      <c r="BE500" s="154" t="n"/>
      <c r="BF500" s="154" t="n"/>
      <c r="BG500" s="154" t="n"/>
      <c r="BH500" s="154" t="n"/>
    </row>
    <row r="501" ht="15.75" customHeight="1" s="251">
      <c r="A501" s="153" t="n"/>
      <c r="B501" s="154" t="n"/>
      <c r="C501" s="154" t="n"/>
      <c r="D501" s="154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  <c r="AA501" s="154" t="n"/>
      <c r="AB501" s="154" t="n"/>
      <c r="AC501" s="154" t="n"/>
      <c r="AD501" s="154" t="n"/>
      <c r="AE501" s="154" t="n"/>
      <c r="AF501" s="154" t="n"/>
      <c r="AG501" s="154" t="n"/>
      <c r="AH501" s="154" t="n"/>
      <c r="AI501" s="154" t="n"/>
      <c r="AJ501" s="154" t="n"/>
      <c r="AK501" s="154" t="n"/>
      <c r="AL501" s="154" t="n"/>
      <c r="AM501" s="154" t="n"/>
      <c r="AN501" s="154" t="n"/>
      <c r="AO501" s="154" t="n"/>
      <c r="AP501" s="154" t="n"/>
      <c r="AQ501" s="154" t="n"/>
      <c r="AR501" s="154" t="n"/>
      <c r="AS501" s="154" t="n"/>
      <c r="AT501" s="154" t="n"/>
      <c r="AU501" s="154" t="n"/>
      <c r="AV501" s="154" t="n"/>
      <c r="AW501" s="154" t="n"/>
      <c r="AX501" s="154" t="n"/>
      <c r="AY501" s="154" t="n"/>
      <c r="AZ501" s="154" t="n"/>
      <c r="BA501" s="154" t="n"/>
      <c r="BB501" s="154" t="n"/>
      <c r="BC501" s="154" t="n"/>
      <c r="BD501" s="154" t="n"/>
      <c r="BE501" s="154" t="n"/>
      <c r="BF501" s="154" t="n"/>
      <c r="BG501" s="154" t="n"/>
      <c r="BH501" s="154" t="n"/>
    </row>
    <row r="502" ht="15.75" customHeight="1" s="251">
      <c r="A502" s="153" t="n"/>
      <c r="B502" s="154" t="n"/>
      <c r="C502" s="154" t="n"/>
      <c r="D502" s="154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  <c r="AA502" s="154" t="n"/>
      <c r="AB502" s="154" t="n"/>
      <c r="AC502" s="154" t="n"/>
      <c r="AD502" s="154" t="n"/>
      <c r="AE502" s="154" t="n"/>
      <c r="AF502" s="154" t="n"/>
      <c r="AG502" s="154" t="n"/>
      <c r="AH502" s="154" t="n"/>
      <c r="AI502" s="154" t="n"/>
      <c r="AJ502" s="154" t="n"/>
      <c r="AK502" s="154" t="n"/>
      <c r="AL502" s="154" t="n"/>
      <c r="AM502" s="154" t="n"/>
      <c r="AN502" s="154" t="n"/>
      <c r="AO502" s="154" t="n"/>
      <c r="AP502" s="154" t="n"/>
      <c r="AQ502" s="154" t="n"/>
      <c r="AR502" s="154" t="n"/>
      <c r="AS502" s="154" t="n"/>
      <c r="AT502" s="154" t="n"/>
      <c r="AU502" s="154" t="n"/>
      <c r="AV502" s="154" t="n"/>
      <c r="AW502" s="154" t="n"/>
      <c r="AX502" s="154" t="n"/>
      <c r="AY502" s="154" t="n"/>
      <c r="AZ502" s="154" t="n"/>
      <c r="BA502" s="154" t="n"/>
      <c r="BB502" s="154" t="n"/>
      <c r="BC502" s="154" t="n"/>
      <c r="BD502" s="154" t="n"/>
      <c r="BE502" s="154" t="n"/>
      <c r="BF502" s="154" t="n"/>
      <c r="BG502" s="154" t="n"/>
      <c r="BH502" s="154" t="n"/>
    </row>
    <row r="503" ht="15.75" customHeight="1" s="251">
      <c r="A503" s="153" t="n"/>
      <c r="B503" s="154" t="n"/>
      <c r="C503" s="154" t="n"/>
      <c r="D503" s="154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  <c r="AA503" s="154" t="n"/>
      <c r="AB503" s="154" t="n"/>
      <c r="AC503" s="154" t="n"/>
      <c r="AD503" s="154" t="n"/>
      <c r="AE503" s="154" t="n"/>
      <c r="AF503" s="154" t="n"/>
      <c r="AG503" s="154" t="n"/>
      <c r="AH503" s="154" t="n"/>
      <c r="AI503" s="154" t="n"/>
      <c r="AJ503" s="154" t="n"/>
      <c r="AK503" s="154" t="n"/>
      <c r="AL503" s="154" t="n"/>
      <c r="AM503" s="154" t="n"/>
      <c r="AN503" s="154" t="n"/>
      <c r="AO503" s="154" t="n"/>
      <c r="AP503" s="154" t="n"/>
      <c r="AQ503" s="154" t="n"/>
      <c r="AR503" s="154" t="n"/>
      <c r="AS503" s="154" t="n"/>
      <c r="AT503" s="154" t="n"/>
      <c r="AU503" s="154" t="n"/>
      <c r="AV503" s="154" t="n"/>
      <c r="AW503" s="154" t="n"/>
      <c r="AX503" s="154" t="n"/>
      <c r="AY503" s="154" t="n"/>
      <c r="AZ503" s="154" t="n"/>
      <c r="BA503" s="154" t="n"/>
      <c r="BB503" s="154" t="n"/>
      <c r="BC503" s="154" t="n"/>
      <c r="BD503" s="154" t="n"/>
      <c r="BE503" s="154" t="n"/>
      <c r="BF503" s="154" t="n"/>
      <c r="BG503" s="154" t="n"/>
      <c r="BH503" s="154" t="n"/>
    </row>
    <row r="504" ht="15.75" customHeight="1" s="251">
      <c r="A504" s="153" t="n"/>
      <c r="B504" s="154" t="n"/>
      <c r="C504" s="154" t="n"/>
      <c r="D504" s="154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  <c r="AA504" s="154" t="n"/>
      <c r="AB504" s="154" t="n"/>
      <c r="AC504" s="154" t="n"/>
      <c r="AD504" s="154" t="n"/>
      <c r="AE504" s="154" t="n"/>
      <c r="AF504" s="154" t="n"/>
      <c r="AG504" s="154" t="n"/>
      <c r="AH504" s="154" t="n"/>
      <c r="AI504" s="154" t="n"/>
      <c r="AJ504" s="154" t="n"/>
      <c r="AK504" s="154" t="n"/>
      <c r="AL504" s="154" t="n"/>
      <c r="AM504" s="154" t="n"/>
      <c r="AN504" s="154" t="n"/>
      <c r="AO504" s="154" t="n"/>
      <c r="AP504" s="154" t="n"/>
      <c r="AQ504" s="154" t="n"/>
      <c r="AR504" s="154" t="n"/>
      <c r="AS504" s="154" t="n"/>
      <c r="AT504" s="154" t="n"/>
      <c r="AU504" s="154" t="n"/>
      <c r="AV504" s="154" t="n"/>
      <c r="AW504" s="154" t="n"/>
      <c r="AX504" s="154" t="n"/>
      <c r="AY504" s="154" t="n"/>
      <c r="AZ504" s="154" t="n"/>
      <c r="BA504" s="154" t="n"/>
      <c r="BB504" s="154" t="n"/>
      <c r="BC504" s="154" t="n"/>
      <c r="BD504" s="154" t="n"/>
      <c r="BE504" s="154" t="n"/>
      <c r="BF504" s="154" t="n"/>
      <c r="BG504" s="154" t="n"/>
      <c r="BH504" s="154" t="n"/>
    </row>
    <row r="505" ht="15.75" customHeight="1" s="251">
      <c r="A505" s="153" t="n"/>
      <c r="B505" s="154" t="n"/>
      <c r="C505" s="154" t="n"/>
      <c r="D505" s="154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  <c r="AA505" s="154" t="n"/>
      <c r="AB505" s="154" t="n"/>
      <c r="AC505" s="154" t="n"/>
      <c r="AD505" s="154" t="n"/>
      <c r="AE505" s="154" t="n"/>
      <c r="AF505" s="154" t="n"/>
      <c r="AG505" s="154" t="n"/>
      <c r="AH505" s="154" t="n"/>
      <c r="AI505" s="154" t="n"/>
      <c r="AJ505" s="154" t="n"/>
      <c r="AK505" s="154" t="n"/>
      <c r="AL505" s="154" t="n"/>
      <c r="AM505" s="154" t="n"/>
      <c r="AN505" s="154" t="n"/>
      <c r="AO505" s="154" t="n"/>
      <c r="AP505" s="154" t="n"/>
      <c r="AQ505" s="154" t="n"/>
      <c r="AR505" s="154" t="n"/>
      <c r="AS505" s="154" t="n"/>
      <c r="AT505" s="154" t="n"/>
      <c r="AU505" s="154" t="n"/>
      <c r="AV505" s="154" t="n"/>
      <c r="AW505" s="154" t="n"/>
      <c r="AX505" s="154" t="n"/>
      <c r="AY505" s="154" t="n"/>
      <c r="AZ505" s="154" t="n"/>
      <c r="BA505" s="154" t="n"/>
      <c r="BB505" s="154" t="n"/>
      <c r="BC505" s="154" t="n"/>
      <c r="BD505" s="154" t="n"/>
      <c r="BE505" s="154" t="n"/>
      <c r="BF505" s="154" t="n"/>
      <c r="BG505" s="154" t="n"/>
      <c r="BH505" s="154" t="n"/>
    </row>
    <row r="506" ht="15.75" customHeight="1" s="251">
      <c r="A506" s="153" t="n"/>
      <c r="B506" s="154" t="n"/>
      <c r="C506" s="154" t="n"/>
      <c r="D506" s="154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  <c r="AA506" s="154" t="n"/>
      <c r="AB506" s="154" t="n"/>
      <c r="AC506" s="154" t="n"/>
      <c r="AD506" s="154" t="n"/>
      <c r="AE506" s="154" t="n"/>
      <c r="AF506" s="154" t="n"/>
      <c r="AG506" s="154" t="n"/>
      <c r="AH506" s="154" t="n"/>
      <c r="AI506" s="154" t="n"/>
      <c r="AJ506" s="154" t="n"/>
      <c r="AK506" s="154" t="n"/>
      <c r="AL506" s="154" t="n"/>
      <c r="AM506" s="154" t="n"/>
      <c r="AN506" s="154" t="n"/>
      <c r="AO506" s="154" t="n"/>
      <c r="AP506" s="154" t="n"/>
      <c r="AQ506" s="154" t="n"/>
      <c r="AR506" s="154" t="n"/>
      <c r="AS506" s="154" t="n"/>
      <c r="AT506" s="154" t="n"/>
      <c r="AU506" s="154" t="n"/>
      <c r="AV506" s="154" t="n"/>
      <c r="AW506" s="154" t="n"/>
      <c r="AX506" s="154" t="n"/>
      <c r="AY506" s="154" t="n"/>
      <c r="AZ506" s="154" t="n"/>
      <c r="BA506" s="154" t="n"/>
      <c r="BB506" s="154" t="n"/>
      <c r="BC506" s="154" t="n"/>
      <c r="BD506" s="154" t="n"/>
      <c r="BE506" s="154" t="n"/>
      <c r="BF506" s="154" t="n"/>
      <c r="BG506" s="154" t="n"/>
      <c r="BH506" s="154" t="n"/>
    </row>
    <row r="507" ht="15.75" customHeight="1" s="251">
      <c r="A507" s="153" t="n"/>
      <c r="B507" s="154" t="n"/>
      <c r="C507" s="154" t="n"/>
      <c r="D507" s="154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  <c r="AA507" s="154" t="n"/>
      <c r="AB507" s="154" t="n"/>
      <c r="AC507" s="154" t="n"/>
      <c r="AD507" s="154" t="n"/>
      <c r="AE507" s="154" t="n"/>
      <c r="AF507" s="154" t="n"/>
      <c r="AG507" s="154" t="n"/>
      <c r="AH507" s="154" t="n"/>
      <c r="AI507" s="154" t="n"/>
      <c r="AJ507" s="154" t="n"/>
      <c r="AK507" s="154" t="n"/>
      <c r="AL507" s="154" t="n"/>
      <c r="AM507" s="154" t="n"/>
      <c r="AN507" s="154" t="n"/>
      <c r="AO507" s="154" t="n"/>
      <c r="AP507" s="154" t="n"/>
      <c r="AQ507" s="154" t="n"/>
      <c r="AR507" s="154" t="n"/>
      <c r="AS507" s="154" t="n"/>
      <c r="AT507" s="154" t="n"/>
      <c r="AU507" s="154" t="n"/>
      <c r="AV507" s="154" t="n"/>
      <c r="AW507" s="154" t="n"/>
      <c r="AX507" s="154" t="n"/>
      <c r="AY507" s="154" t="n"/>
      <c r="AZ507" s="154" t="n"/>
      <c r="BA507" s="154" t="n"/>
      <c r="BB507" s="154" t="n"/>
      <c r="BC507" s="154" t="n"/>
      <c r="BD507" s="154" t="n"/>
      <c r="BE507" s="154" t="n"/>
      <c r="BF507" s="154" t="n"/>
      <c r="BG507" s="154" t="n"/>
      <c r="BH507" s="154" t="n"/>
    </row>
    <row r="508" ht="15.75" customHeight="1" s="251">
      <c r="A508" s="153" t="n"/>
      <c r="B508" s="154" t="n"/>
      <c r="C508" s="154" t="n"/>
      <c r="D508" s="154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  <c r="AA508" s="154" t="n"/>
      <c r="AB508" s="154" t="n"/>
      <c r="AC508" s="154" t="n"/>
      <c r="AD508" s="154" t="n"/>
      <c r="AE508" s="154" t="n"/>
      <c r="AF508" s="154" t="n"/>
      <c r="AG508" s="154" t="n"/>
      <c r="AH508" s="154" t="n"/>
      <c r="AI508" s="154" t="n"/>
      <c r="AJ508" s="154" t="n"/>
      <c r="AK508" s="154" t="n"/>
      <c r="AL508" s="154" t="n"/>
      <c r="AM508" s="154" t="n"/>
      <c r="AN508" s="154" t="n"/>
      <c r="AO508" s="154" t="n"/>
      <c r="AP508" s="154" t="n"/>
      <c r="AQ508" s="154" t="n"/>
      <c r="AR508" s="154" t="n"/>
      <c r="AS508" s="154" t="n"/>
      <c r="AT508" s="154" t="n"/>
      <c r="AU508" s="154" t="n"/>
      <c r="AV508" s="154" t="n"/>
      <c r="AW508" s="154" t="n"/>
      <c r="AX508" s="154" t="n"/>
      <c r="AY508" s="154" t="n"/>
      <c r="AZ508" s="154" t="n"/>
      <c r="BA508" s="154" t="n"/>
      <c r="BB508" s="154" t="n"/>
      <c r="BC508" s="154" t="n"/>
      <c r="BD508" s="154" t="n"/>
      <c r="BE508" s="154" t="n"/>
      <c r="BF508" s="154" t="n"/>
      <c r="BG508" s="154" t="n"/>
      <c r="BH508" s="154" t="n"/>
    </row>
    <row r="509" ht="15.75" customHeight="1" s="251">
      <c r="A509" s="153" t="n"/>
      <c r="B509" s="154" t="n"/>
      <c r="C509" s="154" t="n"/>
      <c r="D509" s="154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  <c r="AA509" s="154" t="n"/>
      <c r="AB509" s="154" t="n"/>
      <c r="AC509" s="154" t="n"/>
      <c r="AD509" s="154" t="n"/>
      <c r="AE509" s="154" t="n"/>
      <c r="AF509" s="154" t="n"/>
      <c r="AG509" s="154" t="n"/>
      <c r="AH509" s="154" t="n"/>
      <c r="AI509" s="154" t="n"/>
      <c r="AJ509" s="154" t="n"/>
      <c r="AK509" s="154" t="n"/>
      <c r="AL509" s="154" t="n"/>
      <c r="AM509" s="154" t="n"/>
      <c r="AN509" s="154" t="n"/>
      <c r="AO509" s="154" t="n"/>
      <c r="AP509" s="154" t="n"/>
      <c r="AQ509" s="154" t="n"/>
      <c r="AR509" s="154" t="n"/>
      <c r="AS509" s="154" t="n"/>
      <c r="AT509" s="154" t="n"/>
      <c r="AU509" s="154" t="n"/>
      <c r="AV509" s="154" t="n"/>
      <c r="AW509" s="154" t="n"/>
      <c r="AX509" s="154" t="n"/>
      <c r="AY509" s="154" t="n"/>
      <c r="AZ509" s="154" t="n"/>
      <c r="BA509" s="154" t="n"/>
      <c r="BB509" s="154" t="n"/>
      <c r="BC509" s="154" t="n"/>
      <c r="BD509" s="154" t="n"/>
      <c r="BE509" s="154" t="n"/>
      <c r="BF509" s="154" t="n"/>
      <c r="BG509" s="154" t="n"/>
      <c r="BH509" s="154" t="n"/>
    </row>
    <row r="510" ht="15.75" customHeight="1" s="251">
      <c r="A510" s="153" t="n"/>
      <c r="B510" s="154" t="n"/>
      <c r="C510" s="154" t="n"/>
      <c r="D510" s="154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  <c r="AA510" s="154" t="n"/>
      <c r="AB510" s="154" t="n"/>
      <c r="AC510" s="154" t="n"/>
      <c r="AD510" s="154" t="n"/>
      <c r="AE510" s="154" t="n"/>
      <c r="AF510" s="154" t="n"/>
      <c r="AG510" s="154" t="n"/>
      <c r="AH510" s="154" t="n"/>
      <c r="AI510" s="154" t="n"/>
      <c r="AJ510" s="154" t="n"/>
      <c r="AK510" s="154" t="n"/>
      <c r="AL510" s="154" t="n"/>
      <c r="AM510" s="154" t="n"/>
      <c r="AN510" s="154" t="n"/>
      <c r="AO510" s="154" t="n"/>
      <c r="AP510" s="154" t="n"/>
      <c r="AQ510" s="154" t="n"/>
      <c r="AR510" s="154" t="n"/>
      <c r="AS510" s="154" t="n"/>
      <c r="AT510" s="154" t="n"/>
      <c r="AU510" s="154" t="n"/>
      <c r="AV510" s="154" t="n"/>
      <c r="AW510" s="154" t="n"/>
      <c r="AX510" s="154" t="n"/>
      <c r="AY510" s="154" t="n"/>
      <c r="AZ510" s="154" t="n"/>
      <c r="BA510" s="154" t="n"/>
      <c r="BB510" s="154" t="n"/>
      <c r="BC510" s="154" t="n"/>
      <c r="BD510" s="154" t="n"/>
      <c r="BE510" s="154" t="n"/>
      <c r="BF510" s="154" t="n"/>
      <c r="BG510" s="154" t="n"/>
      <c r="BH510" s="154" t="n"/>
    </row>
    <row r="511" ht="15.75" customHeight="1" s="251">
      <c r="A511" s="153" t="n"/>
      <c r="B511" s="154" t="n"/>
      <c r="C511" s="154" t="n"/>
      <c r="D511" s="154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  <c r="AA511" s="154" t="n"/>
      <c r="AB511" s="154" t="n"/>
      <c r="AC511" s="154" t="n"/>
      <c r="AD511" s="154" t="n"/>
      <c r="AE511" s="154" t="n"/>
      <c r="AF511" s="154" t="n"/>
      <c r="AG511" s="154" t="n"/>
      <c r="AH511" s="154" t="n"/>
      <c r="AI511" s="154" t="n"/>
      <c r="AJ511" s="154" t="n"/>
      <c r="AK511" s="154" t="n"/>
      <c r="AL511" s="154" t="n"/>
      <c r="AM511" s="154" t="n"/>
      <c r="AN511" s="154" t="n"/>
      <c r="AO511" s="154" t="n"/>
      <c r="AP511" s="154" t="n"/>
      <c r="AQ511" s="154" t="n"/>
      <c r="AR511" s="154" t="n"/>
      <c r="AS511" s="154" t="n"/>
      <c r="AT511" s="154" t="n"/>
      <c r="AU511" s="154" t="n"/>
      <c r="AV511" s="154" t="n"/>
      <c r="AW511" s="154" t="n"/>
      <c r="AX511" s="154" t="n"/>
      <c r="AY511" s="154" t="n"/>
      <c r="AZ511" s="154" t="n"/>
      <c r="BA511" s="154" t="n"/>
      <c r="BB511" s="154" t="n"/>
      <c r="BC511" s="154" t="n"/>
      <c r="BD511" s="154" t="n"/>
      <c r="BE511" s="154" t="n"/>
      <c r="BF511" s="154" t="n"/>
      <c r="BG511" s="154" t="n"/>
      <c r="BH511" s="154" t="n"/>
    </row>
    <row r="512" ht="15.75" customHeight="1" s="251">
      <c r="A512" s="153" t="n"/>
      <c r="B512" s="154" t="n"/>
      <c r="C512" s="154" t="n"/>
      <c r="D512" s="154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  <c r="AA512" s="154" t="n"/>
      <c r="AB512" s="154" t="n"/>
      <c r="AC512" s="154" t="n"/>
      <c r="AD512" s="154" t="n"/>
      <c r="AE512" s="154" t="n"/>
      <c r="AF512" s="154" t="n"/>
      <c r="AG512" s="154" t="n"/>
      <c r="AH512" s="154" t="n"/>
      <c r="AI512" s="154" t="n"/>
      <c r="AJ512" s="154" t="n"/>
      <c r="AK512" s="154" t="n"/>
      <c r="AL512" s="154" t="n"/>
      <c r="AM512" s="154" t="n"/>
      <c r="AN512" s="154" t="n"/>
      <c r="AO512" s="154" t="n"/>
      <c r="AP512" s="154" t="n"/>
      <c r="AQ512" s="154" t="n"/>
      <c r="AR512" s="154" t="n"/>
      <c r="AS512" s="154" t="n"/>
      <c r="AT512" s="154" t="n"/>
      <c r="AU512" s="154" t="n"/>
      <c r="AV512" s="154" t="n"/>
      <c r="AW512" s="154" t="n"/>
      <c r="AX512" s="154" t="n"/>
      <c r="AY512" s="154" t="n"/>
      <c r="AZ512" s="154" t="n"/>
      <c r="BA512" s="154" t="n"/>
      <c r="BB512" s="154" t="n"/>
      <c r="BC512" s="154" t="n"/>
      <c r="BD512" s="154" t="n"/>
      <c r="BE512" s="154" t="n"/>
      <c r="BF512" s="154" t="n"/>
      <c r="BG512" s="154" t="n"/>
      <c r="BH512" s="154" t="n"/>
    </row>
    <row r="513" ht="15.75" customHeight="1" s="251">
      <c r="A513" s="153" t="n"/>
      <c r="B513" s="154" t="n"/>
      <c r="C513" s="154" t="n"/>
      <c r="D513" s="154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  <c r="AA513" s="154" t="n"/>
      <c r="AB513" s="154" t="n"/>
      <c r="AC513" s="154" t="n"/>
      <c r="AD513" s="154" t="n"/>
      <c r="AE513" s="154" t="n"/>
      <c r="AF513" s="154" t="n"/>
      <c r="AG513" s="154" t="n"/>
      <c r="AH513" s="154" t="n"/>
      <c r="AI513" s="154" t="n"/>
      <c r="AJ513" s="154" t="n"/>
      <c r="AK513" s="154" t="n"/>
      <c r="AL513" s="154" t="n"/>
      <c r="AM513" s="154" t="n"/>
      <c r="AN513" s="154" t="n"/>
      <c r="AO513" s="154" t="n"/>
      <c r="AP513" s="154" t="n"/>
      <c r="AQ513" s="154" t="n"/>
      <c r="AR513" s="154" t="n"/>
      <c r="AS513" s="154" t="n"/>
      <c r="AT513" s="154" t="n"/>
      <c r="AU513" s="154" t="n"/>
      <c r="AV513" s="154" t="n"/>
      <c r="AW513" s="154" t="n"/>
      <c r="AX513" s="154" t="n"/>
      <c r="AY513" s="154" t="n"/>
      <c r="AZ513" s="154" t="n"/>
      <c r="BA513" s="154" t="n"/>
      <c r="BB513" s="154" t="n"/>
      <c r="BC513" s="154" t="n"/>
      <c r="BD513" s="154" t="n"/>
      <c r="BE513" s="154" t="n"/>
      <c r="BF513" s="154" t="n"/>
      <c r="BG513" s="154" t="n"/>
      <c r="BH513" s="154" t="n"/>
    </row>
    <row r="514" ht="15.75" customHeight="1" s="251">
      <c r="A514" s="153" t="n"/>
      <c r="B514" s="154" t="n"/>
      <c r="C514" s="154" t="n"/>
      <c r="D514" s="154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  <c r="AA514" s="154" t="n"/>
      <c r="AB514" s="154" t="n"/>
      <c r="AC514" s="154" t="n"/>
      <c r="AD514" s="154" t="n"/>
      <c r="AE514" s="154" t="n"/>
      <c r="AF514" s="154" t="n"/>
      <c r="AG514" s="154" t="n"/>
      <c r="AH514" s="154" t="n"/>
      <c r="AI514" s="154" t="n"/>
      <c r="AJ514" s="154" t="n"/>
      <c r="AK514" s="154" t="n"/>
      <c r="AL514" s="154" t="n"/>
      <c r="AM514" s="154" t="n"/>
      <c r="AN514" s="154" t="n"/>
      <c r="AO514" s="154" t="n"/>
      <c r="AP514" s="154" t="n"/>
      <c r="AQ514" s="154" t="n"/>
      <c r="AR514" s="154" t="n"/>
      <c r="AS514" s="154" t="n"/>
      <c r="AT514" s="154" t="n"/>
      <c r="AU514" s="154" t="n"/>
      <c r="AV514" s="154" t="n"/>
      <c r="AW514" s="154" t="n"/>
      <c r="AX514" s="154" t="n"/>
      <c r="AY514" s="154" t="n"/>
      <c r="AZ514" s="154" t="n"/>
      <c r="BA514" s="154" t="n"/>
      <c r="BB514" s="154" t="n"/>
      <c r="BC514" s="154" t="n"/>
      <c r="BD514" s="154" t="n"/>
      <c r="BE514" s="154" t="n"/>
      <c r="BF514" s="154" t="n"/>
      <c r="BG514" s="154" t="n"/>
      <c r="BH514" s="154" t="n"/>
    </row>
    <row r="515" ht="15.75" customHeight="1" s="251">
      <c r="A515" s="153" t="n"/>
      <c r="B515" s="154" t="n"/>
      <c r="C515" s="154" t="n"/>
      <c r="D515" s="154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  <c r="AA515" s="154" t="n"/>
      <c r="AB515" s="154" t="n"/>
      <c r="AC515" s="154" t="n"/>
      <c r="AD515" s="154" t="n"/>
      <c r="AE515" s="154" t="n"/>
      <c r="AF515" s="154" t="n"/>
      <c r="AG515" s="154" t="n"/>
      <c r="AH515" s="154" t="n"/>
      <c r="AI515" s="154" t="n"/>
      <c r="AJ515" s="154" t="n"/>
      <c r="AK515" s="154" t="n"/>
      <c r="AL515" s="154" t="n"/>
      <c r="AM515" s="154" t="n"/>
      <c r="AN515" s="154" t="n"/>
      <c r="AO515" s="154" t="n"/>
      <c r="AP515" s="154" t="n"/>
      <c r="AQ515" s="154" t="n"/>
      <c r="AR515" s="154" t="n"/>
      <c r="AS515" s="154" t="n"/>
      <c r="AT515" s="154" t="n"/>
      <c r="AU515" s="154" t="n"/>
      <c r="AV515" s="154" t="n"/>
      <c r="AW515" s="154" t="n"/>
      <c r="AX515" s="154" t="n"/>
      <c r="AY515" s="154" t="n"/>
      <c r="AZ515" s="154" t="n"/>
      <c r="BA515" s="154" t="n"/>
      <c r="BB515" s="154" t="n"/>
      <c r="BC515" s="154" t="n"/>
      <c r="BD515" s="154" t="n"/>
      <c r="BE515" s="154" t="n"/>
      <c r="BF515" s="154" t="n"/>
      <c r="BG515" s="154" t="n"/>
      <c r="BH515" s="154" t="n"/>
    </row>
    <row r="516" ht="15.75" customHeight="1" s="251">
      <c r="A516" s="153" t="n"/>
      <c r="B516" s="154" t="n"/>
      <c r="C516" s="154" t="n"/>
      <c r="D516" s="154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  <c r="AA516" s="154" t="n"/>
      <c r="AB516" s="154" t="n"/>
      <c r="AC516" s="154" t="n"/>
      <c r="AD516" s="154" t="n"/>
      <c r="AE516" s="154" t="n"/>
      <c r="AF516" s="154" t="n"/>
      <c r="AG516" s="154" t="n"/>
      <c r="AH516" s="154" t="n"/>
      <c r="AI516" s="154" t="n"/>
      <c r="AJ516" s="154" t="n"/>
      <c r="AK516" s="154" t="n"/>
      <c r="AL516" s="154" t="n"/>
      <c r="AM516" s="154" t="n"/>
      <c r="AN516" s="154" t="n"/>
      <c r="AO516" s="154" t="n"/>
      <c r="AP516" s="154" t="n"/>
      <c r="AQ516" s="154" t="n"/>
      <c r="AR516" s="154" t="n"/>
      <c r="AS516" s="154" t="n"/>
      <c r="AT516" s="154" t="n"/>
      <c r="AU516" s="154" t="n"/>
      <c r="AV516" s="154" t="n"/>
      <c r="AW516" s="154" t="n"/>
      <c r="AX516" s="154" t="n"/>
      <c r="AY516" s="154" t="n"/>
      <c r="AZ516" s="154" t="n"/>
      <c r="BA516" s="154" t="n"/>
      <c r="BB516" s="154" t="n"/>
      <c r="BC516" s="154" t="n"/>
      <c r="BD516" s="154" t="n"/>
      <c r="BE516" s="154" t="n"/>
      <c r="BF516" s="154" t="n"/>
      <c r="BG516" s="154" t="n"/>
      <c r="BH516" s="154" t="n"/>
    </row>
    <row r="517" ht="15.75" customHeight="1" s="251">
      <c r="A517" s="153" t="n"/>
      <c r="B517" s="154" t="n"/>
      <c r="C517" s="154" t="n"/>
      <c r="D517" s="154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  <c r="AA517" s="154" t="n"/>
      <c r="AB517" s="154" t="n"/>
      <c r="AC517" s="154" t="n"/>
      <c r="AD517" s="154" t="n"/>
      <c r="AE517" s="154" t="n"/>
      <c r="AF517" s="154" t="n"/>
      <c r="AG517" s="154" t="n"/>
      <c r="AH517" s="154" t="n"/>
      <c r="AI517" s="154" t="n"/>
      <c r="AJ517" s="154" t="n"/>
      <c r="AK517" s="154" t="n"/>
      <c r="AL517" s="154" t="n"/>
      <c r="AM517" s="154" t="n"/>
      <c r="AN517" s="154" t="n"/>
      <c r="AO517" s="154" t="n"/>
      <c r="AP517" s="154" t="n"/>
      <c r="AQ517" s="154" t="n"/>
      <c r="AR517" s="154" t="n"/>
      <c r="AS517" s="154" t="n"/>
      <c r="AT517" s="154" t="n"/>
      <c r="AU517" s="154" t="n"/>
      <c r="AV517" s="154" t="n"/>
      <c r="AW517" s="154" t="n"/>
      <c r="AX517" s="154" t="n"/>
      <c r="AY517" s="154" t="n"/>
      <c r="AZ517" s="154" t="n"/>
      <c r="BA517" s="154" t="n"/>
      <c r="BB517" s="154" t="n"/>
      <c r="BC517" s="154" t="n"/>
      <c r="BD517" s="154" t="n"/>
      <c r="BE517" s="154" t="n"/>
      <c r="BF517" s="154" t="n"/>
      <c r="BG517" s="154" t="n"/>
      <c r="BH517" s="154" t="n"/>
    </row>
    <row r="518" ht="15.75" customHeight="1" s="251">
      <c r="A518" s="153" t="n"/>
      <c r="B518" s="154" t="n"/>
      <c r="C518" s="154" t="n"/>
      <c r="D518" s="154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  <c r="AA518" s="154" t="n"/>
      <c r="AB518" s="154" t="n"/>
      <c r="AC518" s="154" t="n"/>
      <c r="AD518" s="154" t="n"/>
      <c r="AE518" s="154" t="n"/>
      <c r="AF518" s="154" t="n"/>
      <c r="AG518" s="154" t="n"/>
      <c r="AH518" s="154" t="n"/>
      <c r="AI518" s="154" t="n"/>
      <c r="AJ518" s="154" t="n"/>
      <c r="AK518" s="154" t="n"/>
      <c r="AL518" s="154" t="n"/>
      <c r="AM518" s="154" t="n"/>
      <c r="AN518" s="154" t="n"/>
      <c r="AO518" s="154" t="n"/>
      <c r="AP518" s="154" t="n"/>
      <c r="AQ518" s="154" t="n"/>
      <c r="AR518" s="154" t="n"/>
      <c r="AS518" s="154" t="n"/>
      <c r="AT518" s="154" t="n"/>
      <c r="AU518" s="154" t="n"/>
      <c r="AV518" s="154" t="n"/>
      <c r="AW518" s="154" t="n"/>
      <c r="AX518" s="154" t="n"/>
      <c r="AY518" s="154" t="n"/>
      <c r="AZ518" s="154" t="n"/>
      <c r="BA518" s="154" t="n"/>
      <c r="BB518" s="154" t="n"/>
      <c r="BC518" s="154" t="n"/>
      <c r="BD518" s="154" t="n"/>
      <c r="BE518" s="154" t="n"/>
      <c r="BF518" s="154" t="n"/>
      <c r="BG518" s="154" t="n"/>
      <c r="BH518" s="154" t="n"/>
    </row>
    <row r="519" ht="15.75" customHeight="1" s="251">
      <c r="A519" s="153" t="n"/>
      <c r="B519" s="154" t="n"/>
      <c r="C519" s="154" t="n"/>
      <c r="D519" s="154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  <c r="AA519" s="154" t="n"/>
      <c r="AB519" s="154" t="n"/>
      <c r="AC519" s="154" t="n"/>
      <c r="AD519" s="154" t="n"/>
      <c r="AE519" s="154" t="n"/>
      <c r="AF519" s="154" t="n"/>
      <c r="AG519" s="154" t="n"/>
      <c r="AH519" s="154" t="n"/>
      <c r="AI519" s="154" t="n"/>
      <c r="AJ519" s="154" t="n"/>
      <c r="AK519" s="154" t="n"/>
      <c r="AL519" s="154" t="n"/>
      <c r="AM519" s="154" t="n"/>
      <c r="AN519" s="154" t="n"/>
      <c r="AO519" s="154" t="n"/>
      <c r="AP519" s="154" t="n"/>
      <c r="AQ519" s="154" t="n"/>
      <c r="AR519" s="154" t="n"/>
      <c r="AS519" s="154" t="n"/>
      <c r="AT519" s="154" t="n"/>
      <c r="AU519" s="154" t="n"/>
      <c r="AV519" s="154" t="n"/>
      <c r="AW519" s="154" t="n"/>
      <c r="AX519" s="154" t="n"/>
      <c r="AY519" s="154" t="n"/>
      <c r="AZ519" s="154" t="n"/>
      <c r="BA519" s="154" t="n"/>
      <c r="BB519" s="154" t="n"/>
      <c r="BC519" s="154" t="n"/>
      <c r="BD519" s="154" t="n"/>
      <c r="BE519" s="154" t="n"/>
      <c r="BF519" s="154" t="n"/>
      <c r="BG519" s="154" t="n"/>
      <c r="BH519" s="154" t="n"/>
    </row>
    <row r="520" ht="15.75" customHeight="1" s="251">
      <c r="A520" s="153" t="n"/>
      <c r="B520" s="154" t="n"/>
      <c r="C520" s="154" t="n"/>
      <c r="D520" s="154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  <c r="AA520" s="154" t="n"/>
      <c r="AB520" s="154" t="n"/>
      <c r="AC520" s="154" t="n"/>
      <c r="AD520" s="154" t="n"/>
      <c r="AE520" s="154" t="n"/>
      <c r="AF520" s="154" t="n"/>
      <c r="AG520" s="154" t="n"/>
      <c r="AH520" s="154" t="n"/>
      <c r="AI520" s="154" t="n"/>
      <c r="AJ520" s="154" t="n"/>
      <c r="AK520" s="154" t="n"/>
      <c r="AL520" s="154" t="n"/>
      <c r="AM520" s="154" t="n"/>
      <c r="AN520" s="154" t="n"/>
      <c r="AO520" s="154" t="n"/>
      <c r="AP520" s="154" t="n"/>
      <c r="AQ520" s="154" t="n"/>
      <c r="AR520" s="154" t="n"/>
      <c r="AS520" s="154" t="n"/>
      <c r="AT520" s="154" t="n"/>
      <c r="AU520" s="154" t="n"/>
      <c r="AV520" s="154" t="n"/>
      <c r="AW520" s="154" t="n"/>
      <c r="AX520" s="154" t="n"/>
      <c r="AY520" s="154" t="n"/>
      <c r="AZ520" s="154" t="n"/>
      <c r="BA520" s="154" t="n"/>
      <c r="BB520" s="154" t="n"/>
      <c r="BC520" s="154" t="n"/>
      <c r="BD520" s="154" t="n"/>
      <c r="BE520" s="154" t="n"/>
      <c r="BF520" s="154" t="n"/>
      <c r="BG520" s="154" t="n"/>
      <c r="BH520" s="154" t="n"/>
    </row>
    <row r="521" ht="15.75" customHeight="1" s="251">
      <c r="A521" s="153" t="n"/>
      <c r="B521" s="154" t="n"/>
      <c r="C521" s="154" t="n"/>
      <c r="D521" s="154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  <c r="AA521" s="154" t="n"/>
      <c r="AB521" s="154" t="n"/>
      <c r="AC521" s="154" t="n"/>
      <c r="AD521" s="154" t="n"/>
      <c r="AE521" s="154" t="n"/>
      <c r="AF521" s="154" t="n"/>
      <c r="AG521" s="154" t="n"/>
      <c r="AH521" s="154" t="n"/>
      <c r="AI521" s="154" t="n"/>
      <c r="AJ521" s="154" t="n"/>
      <c r="AK521" s="154" t="n"/>
      <c r="AL521" s="154" t="n"/>
      <c r="AM521" s="154" t="n"/>
      <c r="AN521" s="154" t="n"/>
      <c r="AO521" s="154" t="n"/>
      <c r="AP521" s="154" t="n"/>
      <c r="AQ521" s="154" t="n"/>
      <c r="AR521" s="154" t="n"/>
      <c r="AS521" s="154" t="n"/>
      <c r="AT521" s="154" t="n"/>
      <c r="AU521" s="154" t="n"/>
      <c r="AV521" s="154" t="n"/>
      <c r="AW521" s="154" t="n"/>
      <c r="AX521" s="154" t="n"/>
      <c r="AY521" s="154" t="n"/>
      <c r="AZ521" s="154" t="n"/>
      <c r="BA521" s="154" t="n"/>
      <c r="BB521" s="154" t="n"/>
      <c r="BC521" s="154" t="n"/>
      <c r="BD521" s="154" t="n"/>
      <c r="BE521" s="154" t="n"/>
      <c r="BF521" s="154" t="n"/>
      <c r="BG521" s="154" t="n"/>
      <c r="BH521" s="154" t="n"/>
    </row>
    <row r="522" ht="15.75" customHeight="1" s="251">
      <c r="A522" s="153" t="n"/>
      <c r="B522" s="154" t="n"/>
      <c r="C522" s="154" t="n"/>
      <c r="D522" s="154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  <c r="AA522" s="154" t="n"/>
      <c r="AB522" s="154" t="n"/>
      <c r="AC522" s="154" t="n"/>
      <c r="AD522" s="154" t="n"/>
      <c r="AE522" s="154" t="n"/>
      <c r="AF522" s="154" t="n"/>
      <c r="AG522" s="154" t="n"/>
      <c r="AH522" s="154" t="n"/>
      <c r="AI522" s="154" t="n"/>
      <c r="AJ522" s="154" t="n"/>
      <c r="AK522" s="154" t="n"/>
      <c r="AL522" s="154" t="n"/>
      <c r="AM522" s="154" t="n"/>
      <c r="AN522" s="154" t="n"/>
      <c r="AO522" s="154" t="n"/>
      <c r="AP522" s="154" t="n"/>
      <c r="AQ522" s="154" t="n"/>
      <c r="AR522" s="154" t="n"/>
      <c r="AS522" s="154" t="n"/>
      <c r="AT522" s="154" t="n"/>
      <c r="AU522" s="154" t="n"/>
      <c r="AV522" s="154" t="n"/>
      <c r="AW522" s="154" t="n"/>
      <c r="AX522" s="154" t="n"/>
      <c r="AY522" s="154" t="n"/>
      <c r="AZ522" s="154" t="n"/>
      <c r="BA522" s="154" t="n"/>
      <c r="BB522" s="154" t="n"/>
      <c r="BC522" s="154" t="n"/>
      <c r="BD522" s="154" t="n"/>
      <c r="BE522" s="154" t="n"/>
      <c r="BF522" s="154" t="n"/>
      <c r="BG522" s="154" t="n"/>
      <c r="BH522" s="154" t="n"/>
    </row>
    <row r="523" ht="15.75" customHeight="1" s="251">
      <c r="A523" s="153" t="n"/>
      <c r="B523" s="154" t="n"/>
      <c r="C523" s="154" t="n"/>
      <c r="D523" s="154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  <c r="AA523" s="154" t="n"/>
      <c r="AB523" s="154" t="n"/>
      <c r="AC523" s="154" t="n"/>
      <c r="AD523" s="154" t="n"/>
      <c r="AE523" s="154" t="n"/>
      <c r="AF523" s="154" t="n"/>
      <c r="AG523" s="154" t="n"/>
      <c r="AH523" s="154" t="n"/>
      <c r="AI523" s="154" t="n"/>
      <c r="AJ523" s="154" t="n"/>
      <c r="AK523" s="154" t="n"/>
      <c r="AL523" s="154" t="n"/>
      <c r="AM523" s="154" t="n"/>
      <c r="AN523" s="154" t="n"/>
      <c r="AO523" s="154" t="n"/>
      <c r="AP523" s="154" t="n"/>
      <c r="AQ523" s="154" t="n"/>
      <c r="AR523" s="154" t="n"/>
      <c r="AS523" s="154" t="n"/>
      <c r="AT523" s="154" t="n"/>
      <c r="AU523" s="154" t="n"/>
      <c r="AV523" s="154" t="n"/>
      <c r="AW523" s="154" t="n"/>
      <c r="AX523" s="154" t="n"/>
      <c r="AY523" s="154" t="n"/>
      <c r="AZ523" s="154" t="n"/>
      <c r="BA523" s="154" t="n"/>
      <c r="BB523" s="154" t="n"/>
      <c r="BC523" s="154" t="n"/>
      <c r="BD523" s="154" t="n"/>
      <c r="BE523" s="154" t="n"/>
      <c r="BF523" s="154" t="n"/>
      <c r="BG523" s="154" t="n"/>
      <c r="BH523" s="154" t="n"/>
    </row>
    <row r="524" ht="15.75" customHeight="1" s="251">
      <c r="A524" s="153" t="n"/>
      <c r="B524" s="154" t="n"/>
      <c r="C524" s="154" t="n"/>
      <c r="D524" s="154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  <c r="AA524" s="154" t="n"/>
      <c r="AB524" s="154" t="n"/>
      <c r="AC524" s="154" t="n"/>
      <c r="AD524" s="154" t="n"/>
      <c r="AE524" s="154" t="n"/>
      <c r="AF524" s="154" t="n"/>
      <c r="AG524" s="154" t="n"/>
      <c r="AH524" s="154" t="n"/>
      <c r="AI524" s="154" t="n"/>
      <c r="AJ524" s="154" t="n"/>
      <c r="AK524" s="154" t="n"/>
      <c r="AL524" s="154" t="n"/>
      <c r="AM524" s="154" t="n"/>
      <c r="AN524" s="154" t="n"/>
      <c r="AO524" s="154" t="n"/>
      <c r="AP524" s="154" t="n"/>
      <c r="AQ524" s="154" t="n"/>
      <c r="AR524" s="154" t="n"/>
      <c r="AS524" s="154" t="n"/>
      <c r="AT524" s="154" t="n"/>
      <c r="AU524" s="154" t="n"/>
      <c r="AV524" s="154" t="n"/>
      <c r="AW524" s="154" t="n"/>
      <c r="AX524" s="154" t="n"/>
      <c r="AY524" s="154" t="n"/>
      <c r="AZ524" s="154" t="n"/>
      <c r="BA524" s="154" t="n"/>
      <c r="BB524" s="154" t="n"/>
      <c r="BC524" s="154" t="n"/>
      <c r="BD524" s="154" t="n"/>
      <c r="BE524" s="154" t="n"/>
      <c r="BF524" s="154" t="n"/>
      <c r="BG524" s="154" t="n"/>
      <c r="BH524" s="154" t="n"/>
    </row>
    <row r="525" ht="15.75" customHeight="1" s="251">
      <c r="A525" s="153" t="n"/>
      <c r="B525" s="154" t="n"/>
      <c r="C525" s="154" t="n"/>
      <c r="D525" s="154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  <c r="AA525" s="154" t="n"/>
      <c r="AB525" s="154" t="n"/>
      <c r="AC525" s="154" t="n"/>
      <c r="AD525" s="154" t="n"/>
      <c r="AE525" s="154" t="n"/>
      <c r="AF525" s="154" t="n"/>
      <c r="AG525" s="154" t="n"/>
      <c r="AH525" s="154" t="n"/>
      <c r="AI525" s="154" t="n"/>
      <c r="AJ525" s="154" t="n"/>
      <c r="AK525" s="154" t="n"/>
      <c r="AL525" s="154" t="n"/>
      <c r="AM525" s="154" t="n"/>
      <c r="AN525" s="154" t="n"/>
      <c r="AO525" s="154" t="n"/>
      <c r="AP525" s="154" t="n"/>
      <c r="AQ525" s="154" t="n"/>
      <c r="AR525" s="154" t="n"/>
      <c r="AS525" s="154" t="n"/>
      <c r="AT525" s="154" t="n"/>
      <c r="AU525" s="154" t="n"/>
      <c r="AV525" s="154" t="n"/>
      <c r="AW525" s="154" t="n"/>
      <c r="AX525" s="154" t="n"/>
      <c r="AY525" s="154" t="n"/>
      <c r="AZ525" s="154" t="n"/>
      <c r="BA525" s="154" t="n"/>
      <c r="BB525" s="154" t="n"/>
      <c r="BC525" s="154" t="n"/>
      <c r="BD525" s="154" t="n"/>
      <c r="BE525" s="154" t="n"/>
      <c r="BF525" s="154" t="n"/>
      <c r="BG525" s="154" t="n"/>
      <c r="BH525" s="154" t="n"/>
    </row>
    <row r="526" ht="15.75" customHeight="1" s="251">
      <c r="A526" s="153" t="n"/>
      <c r="B526" s="154" t="n"/>
      <c r="C526" s="154" t="n"/>
      <c r="D526" s="154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  <c r="AA526" s="154" t="n"/>
      <c r="AB526" s="154" t="n"/>
      <c r="AC526" s="154" t="n"/>
      <c r="AD526" s="154" t="n"/>
      <c r="AE526" s="154" t="n"/>
      <c r="AF526" s="154" t="n"/>
      <c r="AG526" s="154" t="n"/>
      <c r="AH526" s="154" t="n"/>
      <c r="AI526" s="154" t="n"/>
      <c r="AJ526" s="154" t="n"/>
      <c r="AK526" s="154" t="n"/>
      <c r="AL526" s="154" t="n"/>
      <c r="AM526" s="154" t="n"/>
      <c r="AN526" s="154" t="n"/>
      <c r="AO526" s="154" t="n"/>
      <c r="AP526" s="154" t="n"/>
      <c r="AQ526" s="154" t="n"/>
      <c r="AR526" s="154" t="n"/>
      <c r="AS526" s="154" t="n"/>
      <c r="AT526" s="154" t="n"/>
      <c r="AU526" s="154" t="n"/>
      <c r="AV526" s="154" t="n"/>
      <c r="AW526" s="154" t="n"/>
      <c r="AX526" s="154" t="n"/>
      <c r="AY526" s="154" t="n"/>
      <c r="AZ526" s="154" t="n"/>
      <c r="BA526" s="154" t="n"/>
      <c r="BB526" s="154" t="n"/>
      <c r="BC526" s="154" t="n"/>
      <c r="BD526" s="154" t="n"/>
      <c r="BE526" s="154" t="n"/>
      <c r="BF526" s="154" t="n"/>
      <c r="BG526" s="154" t="n"/>
      <c r="BH526" s="154" t="n"/>
    </row>
    <row r="527" ht="15.75" customHeight="1" s="251">
      <c r="A527" s="153" t="n"/>
      <c r="B527" s="154" t="n"/>
      <c r="C527" s="154" t="n"/>
      <c r="D527" s="154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  <c r="AA527" s="154" t="n"/>
      <c r="AB527" s="154" t="n"/>
      <c r="AC527" s="154" t="n"/>
      <c r="AD527" s="154" t="n"/>
      <c r="AE527" s="154" t="n"/>
      <c r="AF527" s="154" t="n"/>
      <c r="AG527" s="154" t="n"/>
      <c r="AH527" s="154" t="n"/>
      <c r="AI527" s="154" t="n"/>
      <c r="AJ527" s="154" t="n"/>
      <c r="AK527" s="154" t="n"/>
      <c r="AL527" s="154" t="n"/>
      <c r="AM527" s="154" t="n"/>
      <c r="AN527" s="154" t="n"/>
      <c r="AO527" s="154" t="n"/>
      <c r="AP527" s="154" t="n"/>
      <c r="AQ527" s="154" t="n"/>
      <c r="AR527" s="154" t="n"/>
      <c r="AS527" s="154" t="n"/>
      <c r="AT527" s="154" t="n"/>
      <c r="AU527" s="154" t="n"/>
      <c r="AV527" s="154" t="n"/>
      <c r="AW527" s="154" t="n"/>
      <c r="AX527" s="154" t="n"/>
      <c r="AY527" s="154" t="n"/>
      <c r="AZ527" s="154" t="n"/>
      <c r="BA527" s="154" t="n"/>
      <c r="BB527" s="154" t="n"/>
      <c r="BC527" s="154" t="n"/>
      <c r="BD527" s="154" t="n"/>
      <c r="BE527" s="154" t="n"/>
      <c r="BF527" s="154" t="n"/>
      <c r="BG527" s="154" t="n"/>
      <c r="BH527" s="154" t="n"/>
    </row>
    <row r="528" ht="15.75" customHeight="1" s="251">
      <c r="A528" s="153" t="n"/>
      <c r="B528" s="154" t="n"/>
      <c r="C528" s="154" t="n"/>
      <c r="D528" s="154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  <c r="AA528" s="154" t="n"/>
      <c r="AB528" s="154" t="n"/>
      <c r="AC528" s="154" t="n"/>
      <c r="AD528" s="154" t="n"/>
      <c r="AE528" s="154" t="n"/>
      <c r="AF528" s="154" t="n"/>
      <c r="AG528" s="154" t="n"/>
      <c r="AH528" s="154" t="n"/>
      <c r="AI528" s="154" t="n"/>
      <c r="AJ528" s="154" t="n"/>
      <c r="AK528" s="154" t="n"/>
      <c r="AL528" s="154" t="n"/>
      <c r="AM528" s="154" t="n"/>
      <c r="AN528" s="154" t="n"/>
      <c r="AO528" s="154" t="n"/>
      <c r="AP528" s="154" t="n"/>
      <c r="AQ528" s="154" t="n"/>
      <c r="AR528" s="154" t="n"/>
      <c r="AS528" s="154" t="n"/>
      <c r="AT528" s="154" t="n"/>
      <c r="AU528" s="154" t="n"/>
      <c r="AV528" s="154" t="n"/>
      <c r="AW528" s="154" t="n"/>
      <c r="AX528" s="154" t="n"/>
      <c r="AY528" s="154" t="n"/>
      <c r="AZ528" s="154" t="n"/>
      <c r="BA528" s="154" t="n"/>
      <c r="BB528" s="154" t="n"/>
      <c r="BC528" s="154" t="n"/>
      <c r="BD528" s="154" t="n"/>
      <c r="BE528" s="154" t="n"/>
      <c r="BF528" s="154" t="n"/>
      <c r="BG528" s="154" t="n"/>
      <c r="BH528" s="154" t="n"/>
    </row>
    <row r="529" ht="15.75" customHeight="1" s="251">
      <c r="A529" s="153" t="n"/>
      <c r="B529" s="154" t="n"/>
      <c r="C529" s="154" t="n"/>
      <c r="D529" s="154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  <c r="AA529" s="154" t="n"/>
      <c r="AB529" s="154" t="n"/>
      <c r="AC529" s="154" t="n"/>
      <c r="AD529" s="154" t="n"/>
      <c r="AE529" s="154" t="n"/>
      <c r="AF529" s="154" t="n"/>
      <c r="AG529" s="154" t="n"/>
      <c r="AH529" s="154" t="n"/>
      <c r="AI529" s="154" t="n"/>
      <c r="AJ529" s="154" t="n"/>
      <c r="AK529" s="154" t="n"/>
      <c r="AL529" s="154" t="n"/>
      <c r="AM529" s="154" t="n"/>
      <c r="AN529" s="154" t="n"/>
      <c r="AO529" s="154" t="n"/>
      <c r="AP529" s="154" t="n"/>
      <c r="AQ529" s="154" t="n"/>
      <c r="AR529" s="154" t="n"/>
      <c r="AS529" s="154" t="n"/>
      <c r="AT529" s="154" t="n"/>
      <c r="AU529" s="154" t="n"/>
      <c r="AV529" s="154" t="n"/>
      <c r="AW529" s="154" t="n"/>
      <c r="AX529" s="154" t="n"/>
      <c r="AY529" s="154" t="n"/>
      <c r="AZ529" s="154" t="n"/>
      <c r="BA529" s="154" t="n"/>
      <c r="BB529" s="154" t="n"/>
      <c r="BC529" s="154" t="n"/>
      <c r="BD529" s="154" t="n"/>
      <c r="BE529" s="154" t="n"/>
      <c r="BF529" s="154" t="n"/>
      <c r="BG529" s="154" t="n"/>
      <c r="BH529" s="154" t="n"/>
    </row>
    <row r="530" ht="15.75" customHeight="1" s="251">
      <c r="A530" s="153" t="n"/>
      <c r="B530" s="154" t="n"/>
      <c r="C530" s="154" t="n"/>
      <c r="D530" s="154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  <c r="AA530" s="154" t="n"/>
      <c r="AB530" s="154" t="n"/>
      <c r="AC530" s="154" t="n"/>
      <c r="AD530" s="154" t="n"/>
      <c r="AE530" s="154" t="n"/>
      <c r="AF530" s="154" t="n"/>
      <c r="AG530" s="154" t="n"/>
      <c r="AH530" s="154" t="n"/>
      <c r="AI530" s="154" t="n"/>
      <c r="AJ530" s="154" t="n"/>
      <c r="AK530" s="154" t="n"/>
      <c r="AL530" s="154" t="n"/>
      <c r="AM530" s="154" t="n"/>
      <c r="AN530" s="154" t="n"/>
      <c r="AO530" s="154" t="n"/>
      <c r="AP530" s="154" t="n"/>
      <c r="AQ530" s="154" t="n"/>
      <c r="AR530" s="154" t="n"/>
      <c r="AS530" s="154" t="n"/>
      <c r="AT530" s="154" t="n"/>
      <c r="AU530" s="154" t="n"/>
      <c r="AV530" s="154" t="n"/>
      <c r="AW530" s="154" t="n"/>
      <c r="AX530" s="154" t="n"/>
      <c r="AY530" s="154" t="n"/>
      <c r="AZ530" s="154" t="n"/>
      <c r="BA530" s="154" t="n"/>
      <c r="BB530" s="154" t="n"/>
      <c r="BC530" s="154" t="n"/>
      <c r="BD530" s="154" t="n"/>
      <c r="BE530" s="154" t="n"/>
      <c r="BF530" s="154" t="n"/>
      <c r="BG530" s="154" t="n"/>
      <c r="BH530" s="154" t="n"/>
    </row>
    <row r="531" ht="15.75" customHeight="1" s="251">
      <c r="A531" s="153" t="n"/>
      <c r="B531" s="154" t="n"/>
      <c r="C531" s="154" t="n"/>
      <c r="D531" s="154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  <c r="AA531" s="154" t="n"/>
      <c r="AB531" s="154" t="n"/>
      <c r="AC531" s="154" t="n"/>
      <c r="AD531" s="154" t="n"/>
      <c r="AE531" s="154" t="n"/>
      <c r="AF531" s="154" t="n"/>
      <c r="AG531" s="154" t="n"/>
      <c r="AH531" s="154" t="n"/>
      <c r="AI531" s="154" t="n"/>
      <c r="AJ531" s="154" t="n"/>
      <c r="AK531" s="154" t="n"/>
      <c r="AL531" s="154" t="n"/>
      <c r="AM531" s="154" t="n"/>
      <c r="AN531" s="154" t="n"/>
      <c r="AO531" s="154" t="n"/>
      <c r="AP531" s="154" t="n"/>
      <c r="AQ531" s="154" t="n"/>
      <c r="AR531" s="154" t="n"/>
      <c r="AS531" s="154" t="n"/>
      <c r="AT531" s="154" t="n"/>
      <c r="AU531" s="154" t="n"/>
      <c r="AV531" s="154" t="n"/>
      <c r="AW531" s="154" t="n"/>
      <c r="AX531" s="154" t="n"/>
      <c r="AY531" s="154" t="n"/>
      <c r="AZ531" s="154" t="n"/>
      <c r="BA531" s="154" t="n"/>
      <c r="BB531" s="154" t="n"/>
      <c r="BC531" s="154" t="n"/>
      <c r="BD531" s="154" t="n"/>
      <c r="BE531" s="154" t="n"/>
      <c r="BF531" s="154" t="n"/>
      <c r="BG531" s="154" t="n"/>
      <c r="BH531" s="154" t="n"/>
    </row>
    <row r="532" ht="15.75" customHeight="1" s="251">
      <c r="A532" s="153" t="n"/>
      <c r="B532" s="154" t="n"/>
      <c r="C532" s="154" t="n"/>
      <c r="D532" s="154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  <c r="AA532" s="154" t="n"/>
      <c r="AB532" s="154" t="n"/>
      <c r="AC532" s="154" t="n"/>
      <c r="AD532" s="154" t="n"/>
      <c r="AE532" s="154" t="n"/>
      <c r="AF532" s="154" t="n"/>
      <c r="AG532" s="154" t="n"/>
      <c r="AH532" s="154" t="n"/>
      <c r="AI532" s="154" t="n"/>
      <c r="AJ532" s="154" t="n"/>
      <c r="AK532" s="154" t="n"/>
      <c r="AL532" s="154" t="n"/>
      <c r="AM532" s="154" t="n"/>
      <c r="AN532" s="154" t="n"/>
      <c r="AO532" s="154" t="n"/>
      <c r="AP532" s="154" t="n"/>
      <c r="AQ532" s="154" t="n"/>
      <c r="AR532" s="154" t="n"/>
      <c r="AS532" s="154" t="n"/>
      <c r="AT532" s="154" t="n"/>
      <c r="AU532" s="154" t="n"/>
      <c r="AV532" s="154" t="n"/>
      <c r="AW532" s="154" t="n"/>
      <c r="AX532" s="154" t="n"/>
      <c r="AY532" s="154" t="n"/>
      <c r="AZ532" s="154" t="n"/>
      <c r="BA532" s="154" t="n"/>
      <c r="BB532" s="154" t="n"/>
      <c r="BC532" s="154" t="n"/>
      <c r="BD532" s="154" t="n"/>
      <c r="BE532" s="154" t="n"/>
      <c r="BF532" s="154" t="n"/>
      <c r="BG532" s="154" t="n"/>
      <c r="BH532" s="154" t="n"/>
    </row>
    <row r="533" ht="15.75" customHeight="1" s="251">
      <c r="A533" s="153" t="n"/>
      <c r="B533" s="154" t="n"/>
      <c r="C533" s="154" t="n"/>
      <c r="D533" s="154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  <c r="AA533" s="154" t="n"/>
      <c r="AB533" s="154" t="n"/>
      <c r="AC533" s="154" t="n"/>
      <c r="AD533" s="154" t="n"/>
      <c r="AE533" s="154" t="n"/>
      <c r="AF533" s="154" t="n"/>
      <c r="AG533" s="154" t="n"/>
      <c r="AH533" s="154" t="n"/>
      <c r="AI533" s="154" t="n"/>
      <c r="AJ533" s="154" t="n"/>
      <c r="AK533" s="154" t="n"/>
      <c r="AL533" s="154" t="n"/>
      <c r="AM533" s="154" t="n"/>
      <c r="AN533" s="154" t="n"/>
      <c r="AO533" s="154" t="n"/>
      <c r="AP533" s="154" t="n"/>
      <c r="AQ533" s="154" t="n"/>
      <c r="AR533" s="154" t="n"/>
      <c r="AS533" s="154" t="n"/>
      <c r="AT533" s="154" t="n"/>
      <c r="AU533" s="154" t="n"/>
      <c r="AV533" s="154" t="n"/>
      <c r="AW533" s="154" t="n"/>
      <c r="AX533" s="154" t="n"/>
      <c r="AY533" s="154" t="n"/>
      <c r="AZ533" s="154" t="n"/>
      <c r="BA533" s="154" t="n"/>
      <c r="BB533" s="154" t="n"/>
      <c r="BC533" s="154" t="n"/>
      <c r="BD533" s="154" t="n"/>
      <c r="BE533" s="154" t="n"/>
      <c r="BF533" s="154" t="n"/>
      <c r="BG533" s="154" t="n"/>
      <c r="BH533" s="154" t="n"/>
    </row>
    <row r="534" ht="15.75" customHeight="1" s="251">
      <c r="A534" s="153" t="n"/>
      <c r="B534" s="154" t="n"/>
      <c r="C534" s="154" t="n"/>
      <c r="D534" s="154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  <c r="AA534" s="154" t="n"/>
      <c r="AB534" s="154" t="n"/>
      <c r="AC534" s="154" t="n"/>
      <c r="AD534" s="154" t="n"/>
      <c r="AE534" s="154" t="n"/>
      <c r="AF534" s="154" t="n"/>
      <c r="AG534" s="154" t="n"/>
      <c r="AH534" s="154" t="n"/>
      <c r="AI534" s="154" t="n"/>
      <c r="AJ534" s="154" t="n"/>
      <c r="AK534" s="154" t="n"/>
      <c r="AL534" s="154" t="n"/>
      <c r="AM534" s="154" t="n"/>
      <c r="AN534" s="154" t="n"/>
      <c r="AO534" s="154" t="n"/>
      <c r="AP534" s="154" t="n"/>
      <c r="AQ534" s="154" t="n"/>
      <c r="AR534" s="154" t="n"/>
      <c r="AS534" s="154" t="n"/>
      <c r="AT534" s="154" t="n"/>
      <c r="AU534" s="154" t="n"/>
      <c r="AV534" s="154" t="n"/>
      <c r="AW534" s="154" t="n"/>
      <c r="AX534" s="154" t="n"/>
      <c r="AY534" s="154" t="n"/>
      <c r="AZ534" s="154" t="n"/>
      <c r="BA534" s="154" t="n"/>
      <c r="BB534" s="154" t="n"/>
      <c r="BC534" s="154" t="n"/>
      <c r="BD534" s="154" t="n"/>
      <c r="BE534" s="154" t="n"/>
      <c r="BF534" s="154" t="n"/>
      <c r="BG534" s="154" t="n"/>
      <c r="BH534" s="154" t="n"/>
    </row>
    <row r="535" ht="15.75" customHeight="1" s="251">
      <c r="A535" s="153" t="n"/>
      <c r="B535" s="154" t="n"/>
      <c r="C535" s="154" t="n"/>
      <c r="D535" s="154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  <c r="AA535" s="154" t="n"/>
      <c r="AB535" s="154" t="n"/>
      <c r="AC535" s="154" t="n"/>
      <c r="AD535" s="154" t="n"/>
      <c r="AE535" s="154" t="n"/>
      <c r="AF535" s="154" t="n"/>
      <c r="AG535" s="154" t="n"/>
      <c r="AH535" s="154" t="n"/>
      <c r="AI535" s="154" t="n"/>
      <c r="AJ535" s="154" t="n"/>
      <c r="AK535" s="154" t="n"/>
      <c r="AL535" s="154" t="n"/>
      <c r="AM535" s="154" t="n"/>
      <c r="AN535" s="154" t="n"/>
      <c r="AO535" s="154" t="n"/>
      <c r="AP535" s="154" t="n"/>
      <c r="AQ535" s="154" t="n"/>
      <c r="AR535" s="154" t="n"/>
      <c r="AS535" s="154" t="n"/>
      <c r="AT535" s="154" t="n"/>
      <c r="AU535" s="154" t="n"/>
      <c r="AV535" s="154" t="n"/>
      <c r="AW535" s="154" t="n"/>
      <c r="AX535" s="154" t="n"/>
      <c r="AY535" s="154" t="n"/>
      <c r="AZ535" s="154" t="n"/>
      <c r="BA535" s="154" t="n"/>
      <c r="BB535" s="154" t="n"/>
      <c r="BC535" s="154" t="n"/>
      <c r="BD535" s="154" t="n"/>
      <c r="BE535" s="154" t="n"/>
      <c r="BF535" s="154" t="n"/>
      <c r="BG535" s="154" t="n"/>
      <c r="BH535" s="154" t="n"/>
    </row>
    <row r="536" ht="15.75" customHeight="1" s="251">
      <c r="A536" s="153" t="n"/>
      <c r="B536" s="154" t="n"/>
      <c r="C536" s="154" t="n"/>
      <c r="D536" s="154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  <c r="AA536" s="154" t="n"/>
      <c r="AB536" s="154" t="n"/>
      <c r="AC536" s="154" t="n"/>
      <c r="AD536" s="154" t="n"/>
      <c r="AE536" s="154" t="n"/>
      <c r="AF536" s="154" t="n"/>
      <c r="AG536" s="154" t="n"/>
      <c r="AH536" s="154" t="n"/>
      <c r="AI536" s="154" t="n"/>
      <c r="AJ536" s="154" t="n"/>
      <c r="AK536" s="154" t="n"/>
      <c r="AL536" s="154" t="n"/>
      <c r="AM536" s="154" t="n"/>
      <c r="AN536" s="154" t="n"/>
      <c r="AO536" s="154" t="n"/>
      <c r="AP536" s="154" t="n"/>
      <c r="AQ536" s="154" t="n"/>
      <c r="AR536" s="154" t="n"/>
      <c r="AS536" s="154" t="n"/>
      <c r="AT536" s="154" t="n"/>
      <c r="AU536" s="154" t="n"/>
      <c r="AV536" s="154" t="n"/>
      <c r="AW536" s="154" t="n"/>
      <c r="AX536" s="154" t="n"/>
      <c r="AY536" s="154" t="n"/>
      <c r="AZ536" s="154" t="n"/>
      <c r="BA536" s="154" t="n"/>
      <c r="BB536" s="154" t="n"/>
      <c r="BC536" s="154" t="n"/>
      <c r="BD536" s="154" t="n"/>
      <c r="BE536" s="154" t="n"/>
      <c r="BF536" s="154" t="n"/>
      <c r="BG536" s="154" t="n"/>
      <c r="BH536" s="154" t="n"/>
    </row>
    <row r="537" ht="15.75" customHeight="1" s="251">
      <c r="A537" s="153" t="n"/>
      <c r="B537" s="154" t="n"/>
      <c r="C537" s="154" t="n"/>
      <c r="D537" s="154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  <c r="AA537" s="154" t="n"/>
      <c r="AB537" s="154" t="n"/>
      <c r="AC537" s="154" t="n"/>
      <c r="AD537" s="154" t="n"/>
      <c r="AE537" s="154" t="n"/>
      <c r="AF537" s="154" t="n"/>
      <c r="AG537" s="154" t="n"/>
      <c r="AH537" s="154" t="n"/>
      <c r="AI537" s="154" t="n"/>
      <c r="AJ537" s="154" t="n"/>
      <c r="AK537" s="154" t="n"/>
      <c r="AL537" s="154" t="n"/>
      <c r="AM537" s="154" t="n"/>
      <c r="AN537" s="154" t="n"/>
      <c r="AO537" s="154" t="n"/>
      <c r="AP537" s="154" t="n"/>
      <c r="AQ537" s="154" t="n"/>
      <c r="AR537" s="154" t="n"/>
      <c r="AS537" s="154" t="n"/>
      <c r="AT537" s="154" t="n"/>
      <c r="AU537" s="154" t="n"/>
      <c r="AV537" s="154" t="n"/>
      <c r="AW537" s="154" t="n"/>
      <c r="AX537" s="154" t="n"/>
      <c r="AY537" s="154" t="n"/>
      <c r="AZ537" s="154" t="n"/>
      <c r="BA537" s="154" t="n"/>
      <c r="BB537" s="154" t="n"/>
      <c r="BC537" s="154" t="n"/>
      <c r="BD537" s="154" t="n"/>
      <c r="BE537" s="154" t="n"/>
      <c r="BF537" s="154" t="n"/>
      <c r="BG537" s="154" t="n"/>
      <c r="BH537" s="154" t="n"/>
    </row>
    <row r="538" ht="15.75" customHeight="1" s="251">
      <c r="A538" s="153" t="n"/>
      <c r="B538" s="154" t="n"/>
      <c r="C538" s="154" t="n"/>
      <c r="D538" s="154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  <c r="AA538" s="154" t="n"/>
      <c r="AB538" s="154" t="n"/>
      <c r="AC538" s="154" t="n"/>
      <c r="AD538" s="154" t="n"/>
      <c r="AE538" s="154" t="n"/>
      <c r="AF538" s="154" t="n"/>
      <c r="AG538" s="154" t="n"/>
      <c r="AH538" s="154" t="n"/>
      <c r="AI538" s="154" t="n"/>
      <c r="AJ538" s="154" t="n"/>
      <c r="AK538" s="154" t="n"/>
      <c r="AL538" s="154" t="n"/>
      <c r="AM538" s="154" t="n"/>
      <c r="AN538" s="154" t="n"/>
      <c r="AO538" s="154" t="n"/>
      <c r="AP538" s="154" t="n"/>
      <c r="AQ538" s="154" t="n"/>
      <c r="AR538" s="154" t="n"/>
      <c r="AS538" s="154" t="n"/>
      <c r="AT538" s="154" t="n"/>
      <c r="AU538" s="154" t="n"/>
      <c r="AV538" s="154" t="n"/>
      <c r="AW538" s="154" t="n"/>
      <c r="AX538" s="154" t="n"/>
      <c r="AY538" s="154" t="n"/>
      <c r="AZ538" s="154" t="n"/>
      <c r="BA538" s="154" t="n"/>
      <c r="BB538" s="154" t="n"/>
      <c r="BC538" s="154" t="n"/>
      <c r="BD538" s="154" t="n"/>
      <c r="BE538" s="154" t="n"/>
      <c r="BF538" s="154" t="n"/>
      <c r="BG538" s="154" t="n"/>
      <c r="BH538" s="154" t="n"/>
    </row>
    <row r="539" ht="15.75" customHeight="1" s="251">
      <c r="A539" s="153" t="n"/>
      <c r="B539" s="154" t="n"/>
      <c r="C539" s="154" t="n"/>
      <c r="D539" s="154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  <c r="AA539" s="154" t="n"/>
      <c r="AB539" s="154" t="n"/>
      <c r="AC539" s="154" t="n"/>
      <c r="AD539" s="154" t="n"/>
      <c r="AE539" s="154" t="n"/>
      <c r="AF539" s="154" t="n"/>
      <c r="AG539" s="154" t="n"/>
      <c r="AH539" s="154" t="n"/>
      <c r="AI539" s="154" t="n"/>
      <c r="AJ539" s="154" t="n"/>
      <c r="AK539" s="154" t="n"/>
      <c r="AL539" s="154" t="n"/>
      <c r="AM539" s="154" t="n"/>
      <c r="AN539" s="154" t="n"/>
      <c r="AO539" s="154" t="n"/>
      <c r="AP539" s="154" t="n"/>
      <c r="AQ539" s="154" t="n"/>
      <c r="AR539" s="154" t="n"/>
      <c r="AS539" s="154" t="n"/>
      <c r="AT539" s="154" t="n"/>
      <c r="AU539" s="154" t="n"/>
      <c r="AV539" s="154" t="n"/>
      <c r="AW539" s="154" t="n"/>
      <c r="AX539" s="154" t="n"/>
      <c r="AY539" s="154" t="n"/>
      <c r="AZ539" s="154" t="n"/>
      <c r="BA539" s="154" t="n"/>
      <c r="BB539" s="154" t="n"/>
      <c r="BC539" s="154" t="n"/>
      <c r="BD539" s="154" t="n"/>
      <c r="BE539" s="154" t="n"/>
      <c r="BF539" s="154" t="n"/>
      <c r="BG539" s="154" t="n"/>
      <c r="BH539" s="154" t="n"/>
    </row>
    <row r="540" ht="15.75" customHeight="1" s="251">
      <c r="A540" s="153" t="n"/>
      <c r="B540" s="154" t="n"/>
      <c r="C540" s="154" t="n"/>
      <c r="D540" s="154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  <c r="AA540" s="154" t="n"/>
      <c r="AB540" s="154" t="n"/>
      <c r="AC540" s="154" t="n"/>
      <c r="AD540" s="154" t="n"/>
      <c r="AE540" s="154" t="n"/>
      <c r="AF540" s="154" t="n"/>
      <c r="AG540" s="154" t="n"/>
      <c r="AH540" s="154" t="n"/>
      <c r="AI540" s="154" t="n"/>
      <c r="AJ540" s="154" t="n"/>
      <c r="AK540" s="154" t="n"/>
      <c r="AL540" s="154" t="n"/>
      <c r="AM540" s="154" t="n"/>
      <c r="AN540" s="154" t="n"/>
      <c r="AO540" s="154" t="n"/>
      <c r="AP540" s="154" t="n"/>
      <c r="AQ540" s="154" t="n"/>
      <c r="AR540" s="154" t="n"/>
      <c r="AS540" s="154" t="n"/>
      <c r="AT540" s="154" t="n"/>
      <c r="AU540" s="154" t="n"/>
      <c r="AV540" s="154" t="n"/>
      <c r="AW540" s="154" t="n"/>
      <c r="AX540" s="154" t="n"/>
      <c r="AY540" s="154" t="n"/>
      <c r="AZ540" s="154" t="n"/>
      <c r="BA540" s="154" t="n"/>
      <c r="BB540" s="154" t="n"/>
      <c r="BC540" s="154" t="n"/>
      <c r="BD540" s="154" t="n"/>
      <c r="BE540" s="154" t="n"/>
      <c r="BF540" s="154" t="n"/>
      <c r="BG540" s="154" t="n"/>
      <c r="BH540" s="154" t="n"/>
    </row>
    <row r="541" ht="15.75" customHeight="1" s="251">
      <c r="A541" s="153" t="n"/>
      <c r="B541" s="154" t="n"/>
      <c r="C541" s="154" t="n"/>
      <c r="D541" s="154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  <c r="AA541" s="154" t="n"/>
      <c r="AB541" s="154" t="n"/>
      <c r="AC541" s="154" t="n"/>
      <c r="AD541" s="154" t="n"/>
      <c r="AE541" s="154" t="n"/>
      <c r="AF541" s="154" t="n"/>
      <c r="AG541" s="154" t="n"/>
      <c r="AH541" s="154" t="n"/>
      <c r="AI541" s="154" t="n"/>
      <c r="AJ541" s="154" t="n"/>
      <c r="AK541" s="154" t="n"/>
      <c r="AL541" s="154" t="n"/>
      <c r="AM541" s="154" t="n"/>
      <c r="AN541" s="154" t="n"/>
      <c r="AO541" s="154" t="n"/>
      <c r="AP541" s="154" t="n"/>
      <c r="AQ541" s="154" t="n"/>
      <c r="AR541" s="154" t="n"/>
      <c r="AS541" s="154" t="n"/>
      <c r="AT541" s="154" t="n"/>
      <c r="AU541" s="154" t="n"/>
      <c r="AV541" s="154" t="n"/>
      <c r="AW541" s="154" t="n"/>
      <c r="AX541" s="154" t="n"/>
      <c r="AY541" s="154" t="n"/>
      <c r="AZ541" s="154" t="n"/>
      <c r="BA541" s="154" t="n"/>
      <c r="BB541" s="154" t="n"/>
      <c r="BC541" s="154" t="n"/>
      <c r="BD541" s="154" t="n"/>
      <c r="BE541" s="154" t="n"/>
      <c r="BF541" s="154" t="n"/>
      <c r="BG541" s="154" t="n"/>
      <c r="BH541" s="154" t="n"/>
    </row>
    <row r="542" ht="15.75" customHeight="1" s="251">
      <c r="A542" s="153" t="n"/>
      <c r="B542" s="154" t="n"/>
      <c r="C542" s="154" t="n"/>
      <c r="D542" s="154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  <c r="AA542" s="154" t="n"/>
      <c r="AB542" s="154" t="n"/>
      <c r="AC542" s="154" t="n"/>
      <c r="AD542" s="154" t="n"/>
      <c r="AE542" s="154" t="n"/>
      <c r="AF542" s="154" t="n"/>
      <c r="AG542" s="154" t="n"/>
      <c r="AH542" s="154" t="n"/>
      <c r="AI542" s="154" t="n"/>
      <c r="AJ542" s="154" t="n"/>
      <c r="AK542" s="154" t="n"/>
      <c r="AL542" s="154" t="n"/>
      <c r="AM542" s="154" t="n"/>
      <c r="AN542" s="154" t="n"/>
      <c r="AO542" s="154" t="n"/>
      <c r="AP542" s="154" t="n"/>
      <c r="AQ542" s="154" t="n"/>
      <c r="AR542" s="154" t="n"/>
      <c r="AS542" s="154" t="n"/>
      <c r="AT542" s="154" t="n"/>
      <c r="AU542" s="154" t="n"/>
      <c r="AV542" s="154" t="n"/>
      <c r="AW542" s="154" t="n"/>
      <c r="AX542" s="154" t="n"/>
      <c r="AY542" s="154" t="n"/>
      <c r="AZ542" s="154" t="n"/>
      <c r="BA542" s="154" t="n"/>
      <c r="BB542" s="154" t="n"/>
      <c r="BC542" s="154" t="n"/>
      <c r="BD542" s="154" t="n"/>
      <c r="BE542" s="154" t="n"/>
      <c r="BF542" s="154" t="n"/>
      <c r="BG542" s="154" t="n"/>
      <c r="BH542" s="154" t="n"/>
    </row>
    <row r="543" ht="15.75" customHeight="1" s="251">
      <c r="A543" s="153" t="n"/>
      <c r="B543" s="154" t="n"/>
      <c r="C543" s="154" t="n"/>
      <c r="D543" s="154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  <c r="AA543" s="154" t="n"/>
      <c r="AB543" s="154" t="n"/>
      <c r="AC543" s="154" t="n"/>
      <c r="AD543" s="154" t="n"/>
      <c r="AE543" s="154" t="n"/>
      <c r="AF543" s="154" t="n"/>
      <c r="AG543" s="154" t="n"/>
      <c r="AH543" s="154" t="n"/>
      <c r="AI543" s="154" t="n"/>
      <c r="AJ543" s="154" t="n"/>
      <c r="AK543" s="154" t="n"/>
      <c r="AL543" s="154" t="n"/>
      <c r="AM543" s="154" t="n"/>
      <c r="AN543" s="154" t="n"/>
      <c r="AO543" s="154" t="n"/>
      <c r="AP543" s="154" t="n"/>
      <c r="AQ543" s="154" t="n"/>
      <c r="AR543" s="154" t="n"/>
      <c r="AS543" s="154" t="n"/>
      <c r="AT543" s="154" t="n"/>
      <c r="AU543" s="154" t="n"/>
      <c r="AV543" s="154" t="n"/>
      <c r="AW543" s="154" t="n"/>
      <c r="AX543" s="154" t="n"/>
      <c r="AY543" s="154" t="n"/>
      <c r="AZ543" s="154" t="n"/>
      <c r="BA543" s="154" t="n"/>
      <c r="BB543" s="154" t="n"/>
      <c r="BC543" s="154" t="n"/>
      <c r="BD543" s="154" t="n"/>
      <c r="BE543" s="154" t="n"/>
      <c r="BF543" s="154" t="n"/>
      <c r="BG543" s="154" t="n"/>
      <c r="BH543" s="154" t="n"/>
    </row>
    <row r="544" ht="15.75" customHeight="1" s="251">
      <c r="A544" s="153" t="n"/>
      <c r="B544" s="154" t="n"/>
      <c r="C544" s="154" t="n"/>
      <c r="D544" s="154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  <c r="AA544" s="154" t="n"/>
      <c r="AB544" s="154" t="n"/>
      <c r="AC544" s="154" t="n"/>
      <c r="AD544" s="154" t="n"/>
      <c r="AE544" s="154" t="n"/>
      <c r="AF544" s="154" t="n"/>
      <c r="AG544" s="154" t="n"/>
      <c r="AH544" s="154" t="n"/>
      <c r="AI544" s="154" t="n"/>
      <c r="AJ544" s="154" t="n"/>
      <c r="AK544" s="154" t="n"/>
      <c r="AL544" s="154" t="n"/>
      <c r="AM544" s="154" t="n"/>
      <c r="AN544" s="154" t="n"/>
      <c r="AO544" s="154" t="n"/>
      <c r="AP544" s="154" t="n"/>
      <c r="AQ544" s="154" t="n"/>
      <c r="AR544" s="154" t="n"/>
      <c r="AS544" s="154" t="n"/>
      <c r="AT544" s="154" t="n"/>
      <c r="AU544" s="154" t="n"/>
      <c r="AV544" s="154" t="n"/>
      <c r="AW544" s="154" t="n"/>
      <c r="AX544" s="154" t="n"/>
      <c r="AY544" s="154" t="n"/>
      <c r="AZ544" s="154" t="n"/>
      <c r="BA544" s="154" t="n"/>
      <c r="BB544" s="154" t="n"/>
      <c r="BC544" s="154" t="n"/>
      <c r="BD544" s="154" t="n"/>
      <c r="BE544" s="154" t="n"/>
      <c r="BF544" s="154" t="n"/>
      <c r="BG544" s="154" t="n"/>
      <c r="BH544" s="154" t="n"/>
    </row>
    <row r="545" ht="15.75" customHeight="1" s="251">
      <c r="A545" s="153" t="n"/>
      <c r="B545" s="154" t="n"/>
      <c r="C545" s="154" t="n"/>
      <c r="D545" s="154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  <c r="AA545" s="154" t="n"/>
      <c r="AB545" s="154" t="n"/>
      <c r="AC545" s="154" t="n"/>
      <c r="AD545" s="154" t="n"/>
      <c r="AE545" s="154" t="n"/>
      <c r="AF545" s="154" t="n"/>
      <c r="AG545" s="154" t="n"/>
      <c r="AH545" s="154" t="n"/>
      <c r="AI545" s="154" t="n"/>
      <c r="AJ545" s="154" t="n"/>
      <c r="AK545" s="154" t="n"/>
      <c r="AL545" s="154" t="n"/>
      <c r="AM545" s="154" t="n"/>
      <c r="AN545" s="154" t="n"/>
      <c r="AO545" s="154" t="n"/>
      <c r="AP545" s="154" t="n"/>
      <c r="AQ545" s="154" t="n"/>
      <c r="AR545" s="154" t="n"/>
      <c r="AS545" s="154" t="n"/>
      <c r="AT545" s="154" t="n"/>
      <c r="AU545" s="154" t="n"/>
      <c r="AV545" s="154" t="n"/>
      <c r="AW545" s="154" t="n"/>
      <c r="AX545" s="154" t="n"/>
      <c r="AY545" s="154" t="n"/>
      <c r="AZ545" s="154" t="n"/>
      <c r="BA545" s="154" t="n"/>
      <c r="BB545" s="154" t="n"/>
      <c r="BC545" s="154" t="n"/>
      <c r="BD545" s="154" t="n"/>
      <c r="BE545" s="154" t="n"/>
      <c r="BF545" s="154" t="n"/>
      <c r="BG545" s="154" t="n"/>
      <c r="BH545" s="154" t="n"/>
    </row>
    <row r="546" ht="15.75" customHeight="1" s="251">
      <c r="A546" s="153" t="n"/>
      <c r="B546" s="154" t="n"/>
      <c r="C546" s="154" t="n"/>
      <c r="D546" s="154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  <c r="AA546" s="154" t="n"/>
      <c r="AB546" s="154" t="n"/>
      <c r="AC546" s="154" t="n"/>
      <c r="AD546" s="154" t="n"/>
      <c r="AE546" s="154" t="n"/>
      <c r="AF546" s="154" t="n"/>
      <c r="AG546" s="154" t="n"/>
      <c r="AH546" s="154" t="n"/>
      <c r="AI546" s="154" t="n"/>
      <c r="AJ546" s="154" t="n"/>
      <c r="AK546" s="154" t="n"/>
      <c r="AL546" s="154" t="n"/>
      <c r="AM546" s="154" t="n"/>
      <c r="AN546" s="154" t="n"/>
      <c r="AO546" s="154" t="n"/>
      <c r="AP546" s="154" t="n"/>
      <c r="AQ546" s="154" t="n"/>
      <c r="AR546" s="154" t="n"/>
      <c r="AS546" s="154" t="n"/>
      <c r="AT546" s="154" t="n"/>
      <c r="AU546" s="154" t="n"/>
      <c r="AV546" s="154" t="n"/>
      <c r="AW546" s="154" t="n"/>
      <c r="AX546" s="154" t="n"/>
      <c r="AY546" s="154" t="n"/>
      <c r="AZ546" s="154" t="n"/>
      <c r="BA546" s="154" t="n"/>
      <c r="BB546" s="154" t="n"/>
      <c r="BC546" s="154" t="n"/>
      <c r="BD546" s="154" t="n"/>
      <c r="BE546" s="154" t="n"/>
      <c r="BF546" s="154" t="n"/>
      <c r="BG546" s="154" t="n"/>
      <c r="BH546" s="154" t="n"/>
    </row>
    <row r="547" ht="15.75" customHeight="1" s="251">
      <c r="A547" s="153" t="n"/>
      <c r="B547" s="154" t="n"/>
      <c r="C547" s="154" t="n"/>
      <c r="D547" s="154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  <c r="AA547" s="154" t="n"/>
      <c r="AB547" s="154" t="n"/>
      <c r="AC547" s="154" t="n"/>
      <c r="AD547" s="154" t="n"/>
      <c r="AE547" s="154" t="n"/>
      <c r="AF547" s="154" t="n"/>
      <c r="AG547" s="154" t="n"/>
      <c r="AH547" s="154" t="n"/>
      <c r="AI547" s="154" t="n"/>
      <c r="AJ547" s="154" t="n"/>
      <c r="AK547" s="154" t="n"/>
      <c r="AL547" s="154" t="n"/>
      <c r="AM547" s="154" t="n"/>
      <c r="AN547" s="154" t="n"/>
      <c r="AO547" s="154" t="n"/>
      <c r="AP547" s="154" t="n"/>
      <c r="AQ547" s="154" t="n"/>
      <c r="AR547" s="154" t="n"/>
      <c r="AS547" s="154" t="n"/>
      <c r="AT547" s="154" t="n"/>
      <c r="AU547" s="154" t="n"/>
      <c r="AV547" s="154" t="n"/>
      <c r="AW547" s="154" t="n"/>
      <c r="AX547" s="154" t="n"/>
      <c r="AY547" s="154" t="n"/>
      <c r="AZ547" s="154" t="n"/>
      <c r="BA547" s="154" t="n"/>
      <c r="BB547" s="154" t="n"/>
      <c r="BC547" s="154" t="n"/>
      <c r="BD547" s="154" t="n"/>
      <c r="BE547" s="154" t="n"/>
      <c r="BF547" s="154" t="n"/>
      <c r="BG547" s="154" t="n"/>
      <c r="BH547" s="154" t="n"/>
    </row>
    <row r="548" ht="15.75" customHeight="1" s="251">
      <c r="A548" s="153" t="n"/>
      <c r="B548" s="154" t="n"/>
      <c r="C548" s="154" t="n"/>
      <c r="D548" s="154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  <c r="AA548" s="154" t="n"/>
      <c r="AB548" s="154" t="n"/>
      <c r="AC548" s="154" t="n"/>
      <c r="AD548" s="154" t="n"/>
      <c r="AE548" s="154" t="n"/>
      <c r="AF548" s="154" t="n"/>
      <c r="AG548" s="154" t="n"/>
      <c r="AH548" s="154" t="n"/>
      <c r="AI548" s="154" t="n"/>
      <c r="AJ548" s="154" t="n"/>
      <c r="AK548" s="154" t="n"/>
      <c r="AL548" s="154" t="n"/>
      <c r="AM548" s="154" t="n"/>
      <c r="AN548" s="154" t="n"/>
      <c r="AO548" s="154" t="n"/>
      <c r="AP548" s="154" t="n"/>
      <c r="AQ548" s="154" t="n"/>
      <c r="AR548" s="154" t="n"/>
      <c r="AS548" s="154" t="n"/>
      <c r="AT548" s="154" t="n"/>
      <c r="AU548" s="154" t="n"/>
      <c r="AV548" s="154" t="n"/>
      <c r="AW548" s="154" t="n"/>
      <c r="AX548" s="154" t="n"/>
      <c r="AY548" s="154" t="n"/>
      <c r="AZ548" s="154" t="n"/>
      <c r="BA548" s="154" t="n"/>
      <c r="BB548" s="154" t="n"/>
      <c r="BC548" s="154" t="n"/>
      <c r="BD548" s="154" t="n"/>
      <c r="BE548" s="154" t="n"/>
      <c r="BF548" s="154" t="n"/>
      <c r="BG548" s="154" t="n"/>
      <c r="BH548" s="154" t="n"/>
    </row>
    <row r="549" ht="15.75" customHeight="1" s="251">
      <c r="A549" s="153" t="n"/>
      <c r="B549" s="154" t="n"/>
      <c r="C549" s="154" t="n"/>
      <c r="D549" s="154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  <c r="AA549" s="154" t="n"/>
      <c r="AB549" s="154" t="n"/>
      <c r="AC549" s="154" t="n"/>
      <c r="AD549" s="154" t="n"/>
      <c r="AE549" s="154" t="n"/>
      <c r="AF549" s="154" t="n"/>
      <c r="AG549" s="154" t="n"/>
      <c r="AH549" s="154" t="n"/>
      <c r="AI549" s="154" t="n"/>
      <c r="AJ549" s="154" t="n"/>
      <c r="AK549" s="154" t="n"/>
      <c r="AL549" s="154" t="n"/>
      <c r="AM549" s="154" t="n"/>
      <c r="AN549" s="154" t="n"/>
      <c r="AO549" s="154" t="n"/>
      <c r="AP549" s="154" t="n"/>
      <c r="AQ549" s="154" t="n"/>
      <c r="AR549" s="154" t="n"/>
      <c r="AS549" s="154" t="n"/>
      <c r="AT549" s="154" t="n"/>
      <c r="AU549" s="154" t="n"/>
      <c r="AV549" s="154" t="n"/>
      <c r="AW549" s="154" t="n"/>
      <c r="AX549" s="154" t="n"/>
      <c r="AY549" s="154" t="n"/>
      <c r="AZ549" s="154" t="n"/>
      <c r="BA549" s="154" t="n"/>
      <c r="BB549" s="154" t="n"/>
      <c r="BC549" s="154" t="n"/>
      <c r="BD549" s="154" t="n"/>
      <c r="BE549" s="154" t="n"/>
      <c r="BF549" s="154" t="n"/>
      <c r="BG549" s="154" t="n"/>
      <c r="BH549" s="154" t="n"/>
    </row>
    <row r="550" ht="15.75" customHeight="1" s="251">
      <c r="A550" s="153" t="n"/>
      <c r="B550" s="154" t="n"/>
      <c r="C550" s="154" t="n"/>
      <c r="D550" s="154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  <c r="AA550" s="154" t="n"/>
      <c r="AB550" s="154" t="n"/>
      <c r="AC550" s="154" t="n"/>
      <c r="AD550" s="154" t="n"/>
      <c r="AE550" s="154" t="n"/>
      <c r="AF550" s="154" t="n"/>
      <c r="AG550" s="154" t="n"/>
      <c r="AH550" s="154" t="n"/>
      <c r="AI550" s="154" t="n"/>
      <c r="AJ550" s="154" t="n"/>
      <c r="AK550" s="154" t="n"/>
      <c r="AL550" s="154" t="n"/>
      <c r="AM550" s="154" t="n"/>
      <c r="AN550" s="154" t="n"/>
      <c r="AO550" s="154" t="n"/>
      <c r="AP550" s="154" t="n"/>
      <c r="AQ550" s="154" t="n"/>
      <c r="AR550" s="154" t="n"/>
      <c r="AS550" s="154" t="n"/>
      <c r="AT550" s="154" t="n"/>
      <c r="AU550" s="154" t="n"/>
      <c r="AV550" s="154" t="n"/>
      <c r="AW550" s="154" t="n"/>
      <c r="AX550" s="154" t="n"/>
      <c r="AY550" s="154" t="n"/>
      <c r="AZ550" s="154" t="n"/>
      <c r="BA550" s="154" t="n"/>
      <c r="BB550" s="154" t="n"/>
      <c r="BC550" s="154" t="n"/>
      <c r="BD550" s="154" t="n"/>
      <c r="BE550" s="154" t="n"/>
      <c r="BF550" s="154" t="n"/>
      <c r="BG550" s="154" t="n"/>
      <c r="BH550" s="154" t="n"/>
    </row>
    <row r="551" ht="15.75" customHeight="1" s="251">
      <c r="A551" s="153" t="n"/>
      <c r="B551" s="154" t="n"/>
      <c r="C551" s="154" t="n"/>
      <c r="D551" s="154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  <c r="AA551" s="154" t="n"/>
      <c r="AB551" s="154" t="n"/>
      <c r="AC551" s="154" t="n"/>
      <c r="AD551" s="154" t="n"/>
      <c r="AE551" s="154" t="n"/>
      <c r="AF551" s="154" t="n"/>
      <c r="AG551" s="154" t="n"/>
      <c r="AH551" s="154" t="n"/>
      <c r="AI551" s="154" t="n"/>
      <c r="AJ551" s="154" t="n"/>
      <c r="AK551" s="154" t="n"/>
      <c r="AL551" s="154" t="n"/>
      <c r="AM551" s="154" t="n"/>
      <c r="AN551" s="154" t="n"/>
      <c r="AO551" s="154" t="n"/>
      <c r="AP551" s="154" t="n"/>
      <c r="AQ551" s="154" t="n"/>
      <c r="AR551" s="154" t="n"/>
      <c r="AS551" s="154" t="n"/>
      <c r="AT551" s="154" t="n"/>
      <c r="AU551" s="154" t="n"/>
      <c r="AV551" s="154" t="n"/>
      <c r="AW551" s="154" t="n"/>
      <c r="AX551" s="154" t="n"/>
      <c r="AY551" s="154" t="n"/>
      <c r="AZ551" s="154" t="n"/>
      <c r="BA551" s="154" t="n"/>
      <c r="BB551" s="154" t="n"/>
      <c r="BC551" s="154" t="n"/>
      <c r="BD551" s="154" t="n"/>
      <c r="BE551" s="154" t="n"/>
      <c r="BF551" s="154" t="n"/>
      <c r="BG551" s="154" t="n"/>
      <c r="BH551" s="154" t="n"/>
    </row>
    <row r="552" ht="15.75" customHeight="1" s="251">
      <c r="A552" s="153" t="n"/>
      <c r="B552" s="154" t="n"/>
      <c r="C552" s="154" t="n"/>
      <c r="D552" s="154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  <c r="AA552" s="154" t="n"/>
      <c r="AB552" s="154" t="n"/>
      <c r="AC552" s="154" t="n"/>
      <c r="AD552" s="154" t="n"/>
      <c r="AE552" s="154" t="n"/>
      <c r="AF552" s="154" t="n"/>
      <c r="AG552" s="154" t="n"/>
      <c r="AH552" s="154" t="n"/>
      <c r="AI552" s="154" t="n"/>
      <c r="AJ552" s="154" t="n"/>
      <c r="AK552" s="154" t="n"/>
      <c r="AL552" s="154" t="n"/>
      <c r="AM552" s="154" t="n"/>
      <c r="AN552" s="154" t="n"/>
      <c r="AO552" s="154" t="n"/>
      <c r="AP552" s="154" t="n"/>
      <c r="AQ552" s="154" t="n"/>
      <c r="AR552" s="154" t="n"/>
      <c r="AS552" s="154" t="n"/>
      <c r="AT552" s="154" t="n"/>
      <c r="AU552" s="154" t="n"/>
      <c r="AV552" s="154" t="n"/>
      <c r="AW552" s="154" t="n"/>
      <c r="AX552" s="154" t="n"/>
      <c r="AY552" s="154" t="n"/>
      <c r="AZ552" s="154" t="n"/>
      <c r="BA552" s="154" t="n"/>
      <c r="BB552" s="154" t="n"/>
      <c r="BC552" s="154" t="n"/>
      <c r="BD552" s="154" t="n"/>
      <c r="BE552" s="154" t="n"/>
      <c r="BF552" s="154" t="n"/>
      <c r="BG552" s="154" t="n"/>
      <c r="BH552" s="154" t="n"/>
    </row>
    <row r="553" ht="15.75" customHeight="1" s="251">
      <c r="A553" s="153" t="n"/>
      <c r="B553" s="154" t="n"/>
      <c r="C553" s="154" t="n"/>
      <c r="D553" s="154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  <c r="AA553" s="154" t="n"/>
      <c r="AB553" s="154" t="n"/>
      <c r="AC553" s="154" t="n"/>
      <c r="AD553" s="154" t="n"/>
      <c r="AE553" s="154" t="n"/>
      <c r="AF553" s="154" t="n"/>
      <c r="AG553" s="154" t="n"/>
      <c r="AH553" s="154" t="n"/>
      <c r="AI553" s="154" t="n"/>
      <c r="AJ553" s="154" t="n"/>
      <c r="AK553" s="154" t="n"/>
      <c r="AL553" s="154" t="n"/>
      <c r="AM553" s="154" t="n"/>
      <c r="AN553" s="154" t="n"/>
      <c r="AO553" s="154" t="n"/>
      <c r="AP553" s="154" t="n"/>
      <c r="AQ553" s="154" t="n"/>
      <c r="AR553" s="154" t="n"/>
      <c r="AS553" s="154" t="n"/>
      <c r="AT553" s="154" t="n"/>
      <c r="AU553" s="154" t="n"/>
      <c r="AV553" s="154" t="n"/>
      <c r="AW553" s="154" t="n"/>
      <c r="AX553" s="154" t="n"/>
      <c r="AY553" s="154" t="n"/>
      <c r="AZ553" s="154" t="n"/>
      <c r="BA553" s="154" t="n"/>
      <c r="BB553" s="154" t="n"/>
      <c r="BC553" s="154" t="n"/>
      <c r="BD553" s="154" t="n"/>
      <c r="BE553" s="154" t="n"/>
      <c r="BF553" s="154" t="n"/>
      <c r="BG553" s="154" t="n"/>
      <c r="BH553" s="154" t="n"/>
    </row>
    <row r="554" ht="15.75" customHeight="1" s="251">
      <c r="A554" s="153" t="n"/>
      <c r="B554" s="154" t="n"/>
      <c r="C554" s="154" t="n"/>
      <c r="D554" s="154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  <c r="AA554" s="154" t="n"/>
      <c r="AB554" s="154" t="n"/>
      <c r="AC554" s="154" t="n"/>
      <c r="AD554" s="154" t="n"/>
      <c r="AE554" s="154" t="n"/>
      <c r="AF554" s="154" t="n"/>
      <c r="AG554" s="154" t="n"/>
      <c r="AH554" s="154" t="n"/>
      <c r="AI554" s="154" t="n"/>
      <c r="AJ554" s="154" t="n"/>
      <c r="AK554" s="154" t="n"/>
      <c r="AL554" s="154" t="n"/>
      <c r="AM554" s="154" t="n"/>
      <c r="AN554" s="154" t="n"/>
      <c r="AO554" s="154" t="n"/>
      <c r="AP554" s="154" t="n"/>
      <c r="AQ554" s="154" t="n"/>
      <c r="AR554" s="154" t="n"/>
      <c r="AS554" s="154" t="n"/>
      <c r="AT554" s="154" t="n"/>
      <c r="AU554" s="154" t="n"/>
      <c r="AV554" s="154" t="n"/>
      <c r="AW554" s="154" t="n"/>
      <c r="AX554" s="154" t="n"/>
      <c r="AY554" s="154" t="n"/>
      <c r="AZ554" s="154" t="n"/>
      <c r="BA554" s="154" t="n"/>
      <c r="BB554" s="154" t="n"/>
      <c r="BC554" s="154" t="n"/>
      <c r="BD554" s="154" t="n"/>
      <c r="BE554" s="154" t="n"/>
      <c r="BF554" s="154" t="n"/>
      <c r="BG554" s="154" t="n"/>
      <c r="BH554" s="154" t="n"/>
    </row>
    <row r="555" ht="15.75" customHeight="1" s="251">
      <c r="A555" s="153" t="n"/>
      <c r="B555" s="154" t="n"/>
      <c r="C555" s="154" t="n"/>
      <c r="D555" s="154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  <c r="AA555" s="154" t="n"/>
      <c r="AB555" s="154" t="n"/>
      <c r="AC555" s="154" t="n"/>
      <c r="AD555" s="154" t="n"/>
      <c r="AE555" s="154" t="n"/>
      <c r="AF555" s="154" t="n"/>
      <c r="AG555" s="154" t="n"/>
      <c r="AH555" s="154" t="n"/>
      <c r="AI555" s="154" t="n"/>
      <c r="AJ555" s="154" t="n"/>
      <c r="AK555" s="154" t="n"/>
      <c r="AL555" s="154" t="n"/>
      <c r="AM555" s="154" t="n"/>
      <c r="AN555" s="154" t="n"/>
      <c r="AO555" s="154" t="n"/>
      <c r="AP555" s="154" t="n"/>
      <c r="AQ555" s="154" t="n"/>
      <c r="AR555" s="154" t="n"/>
      <c r="AS555" s="154" t="n"/>
      <c r="AT555" s="154" t="n"/>
      <c r="AU555" s="154" t="n"/>
      <c r="AV555" s="154" t="n"/>
      <c r="AW555" s="154" t="n"/>
      <c r="AX555" s="154" t="n"/>
      <c r="AY555" s="154" t="n"/>
      <c r="AZ555" s="154" t="n"/>
      <c r="BA555" s="154" t="n"/>
      <c r="BB555" s="154" t="n"/>
      <c r="BC555" s="154" t="n"/>
      <c r="BD555" s="154" t="n"/>
      <c r="BE555" s="154" t="n"/>
      <c r="BF555" s="154" t="n"/>
      <c r="BG555" s="154" t="n"/>
      <c r="BH555" s="154" t="n"/>
    </row>
    <row r="556" ht="15.75" customHeight="1" s="251">
      <c r="A556" s="153" t="n"/>
      <c r="B556" s="154" t="n"/>
      <c r="C556" s="154" t="n"/>
      <c r="D556" s="154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  <c r="AA556" s="154" t="n"/>
      <c r="AB556" s="154" t="n"/>
      <c r="AC556" s="154" t="n"/>
      <c r="AD556" s="154" t="n"/>
      <c r="AE556" s="154" t="n"/>
      <c r="AF556" s="154" t="n"/>
      <c r="AG556" s="154" t="n"/>
      <c r="AH556" s="154" t="n"/>
      <c r="AI556" s="154" t="n"/>
      <c r="AJ556" s="154" t="n"/>
      <c r="AK556" s="154" t="n"/>
      <c r="AL556" s="154" t="n"/>
      <c r="AM556" s="154" t="n"/>
      <c r="AN556" s="154" t="n"/>
      <c r="AO556" s="154" t="n"/>
      <c r="AP556" s="154" t="n"/>
      <c r="AQ556" s="154" t="n"/>
      <c r="AR556" s="154" t="n"/>
      <c r="AS556" s="154" t="n"/>
      <c r="AT556" s="154" t="n"/>
      <c r="AU556" s="154" t="n"/>
      <c r="AV556" s="154" t="n"/>
      <c r="AW556" s="154" t="n"/>
      <c r="AX556" s="154" t="n"/>
      <c r="AY556" s="154" t="n"/>
      <c r="AZ556" s="154" t="n"/>
      <c r="BA556" s="154" t="n"/>
      <c r="BB556" s="154" t="n"/>
      <c r="BC556" s="154" t="n"/>
      <c r="BD556" s="154" t="n"/>
      <c r="BE556" s="154" t="n"/>
      <c r="BF556" s="154" t="n"/>
      <c r="BG556" s="154" t="n"/>
      <c r="BH556" s="154" t="n"/>
    </row>
    <row r="557" ht="15.75" customHeight="1" s="251">
      <c r="A557" s="153" t="n"/>
      <c r="B557" s="154" t="n"/>
      <c r="C557" s="154" t="n"/>
      <c r="D557" s="154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  <c r="AA557" s="154" t="n"/>
      <c r="AB557" s="154" t="n"/>
      <c r="AC557" s="154" t="n"/>
      <c r="AD557" s="154" t="n"/>
      <c r="AE557" s="154" t="n"/>
      <c r="AF557" s="154" t="n"/>
      <c r="AG557" s="154" t="n"/>
      <c r="AH557" s="154" t="n"/>
      <c r="AI557" s="154" t="n"/>
      <c r="AJ557" s="154" t="n"/>
      <c r="AK557" s="154" t="n"/>
      <c r="AL557" s="154" t="n"/>
      <c r="AM557" s="154" t="n"/>
      <c r="AN557" s="154" t="n"/>
      <c r="AO557" s="154" t="n"/>
      <c r="AP557" s="154" t="n"/>
      <c r="AQ557" s="154" t="n"/>
      <c r="AR557" s="154" t="n"/>
      <c r="AS557" s="154" t="n"/>
      <c r="AT557" s="154" t="n"/>
      <c r="AU557" s="154" t="n"/>
      <c r="AV557" s="154" t="n"/>
      <c r="AW557" s="154" t="n"/>
      <c r="AX557" s="154" t="n"/>
      <c r="AY557" s="154" t="n"/>
      <c r="AZ557" s="154" t="n"/>
      <c r="BA557" s="154" t="n"/>
      <c r="BB557" s="154" t="n"/>
      <c r="BC557" s="154" t="n"/>
      <c r="BD557" s="154" t="n"/>
      <c r="BE557" s="154" t="n"/>
      <c r="BF557" s="154" t="n"/>
      <c r="BG557" s="154" t="n"/>
      <c r="BH557" s="154" t="n"/>
    </row>
    <row r="558" ht="15.75" customHeight="1" s="251">
      <c r="A558" s="153" t="n"/>
      <c r="B558" s="154" t="n"/>
      <c r="C558" s="154" t="n"/>
      <c r="D558" s="154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  <c r="AA558" s="154" t="n"/>
      <c r="AB558" s="154" t="n"/>
      <c r="AC558" s="154" t="n"/>
      <c r="AD558" s="154" t="n"/>
      <c r="AE558" s="154" t="n"/>
      <c r="AF558" s="154" t="n"/>
      <c r="AG558" s="154" t="n"/>
      <c r="AH558" s="154" t="n"/>
      <c r="AI558" s="154" t="n"/>
      <c r="AJ558" s="154" t="n"/>
      <c r="AK558" s="154" t="n"/>
      <c r="AL558" s="154" t="n"/>
      <c r="AM558" s="154" t="n"/>
      <c r="AN558" s="154" t="n"/>
      <c r="AO558" s="154" t="n"/>
      <c r="AP558" s="154" t="n"/>
      <c r="AQ558" s="154" t="n"/>
      <c r="AR558" s="154" t="n"/>
      <c r="AS558" s="154" t="n"/>
      <c r="AT558" s="154" t="n"/>
      <c r="AU558" s="154" t="n"/>
      <c r="AV558" s="154" t="n"/>
      <c r="AW558" s="154" t="n"/>
      <c r="AX558" s="154" t="n"/>
      <c r="AY558" s="154" t="n"/>
      <c r="AZ558" s="154" t="n"/>
      <c r="BA558" s="154" t="n"/>
      <c r="BB558" s="154" t="n"/>
      <c r="BC558" s="154" t="n"/>
      <c r="BD558" s="154" t="n"/>
      <c r="BE558" s="154" t="n"/>
      <c r="BF558" s="154" t="n"/>
      <c r="BG558" s="154" t="n"/>
      <c r="BH558" s="154" t="n"/>
    </row>
    <row r="559" ht="15.75" customHeight="1" s="251">
      <c r="A559" s="153" t="n"/>
      <c r="B559" s="154" t="n"/>
      <c r="C559" s="154" t="n"/>
      <c r="D559" s="154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  <c r="AA559" s="154" t="n"/>
      <c r="AB559" s="154" t="n"/>
      <c r="AC559" s="154" t="n"/>
      <c r="AD559" s="154" t="n"/>
      <c r="AE559" s="154" t="n"/>
      <c r="AF559" s="154" t="n"/>
      <c r="AG559" s="154" t="n"/>
      <c r="AH559" s="154" t="n"/>
      <c r="AI559" s="154" t="n"/>
      <c r="AJ559" s="154" t="n"/>
      <c r="AK559" s="154" t="n"/>
      <c r="AL559" s="154" t="n"/>
      <c r="AM559" s="154" t="n"/>
      <c r="AN559" s="154" t="n"/>
      <c r="AO559" s="154" t="n"/>
      <c r="AP559" s="154" t="n"/>
      <c r="AQ559" s="154" t="n"/>
      <c r="AR559" s="154" t="n"/>
      <c r="AS559" s="154" t="n"/>
      <c r="AT559" s="154" t="n"/>
      <c r="AU559" s="154" t="n"/>
      <c r="AV559" s="154" t="n"/>
      <c r="AW559" s="154" t="n"/>
      <c r="AX559" s="154" t="n"/>
      <c r="AY559" s="154" t="n"/>
      <c r="AZ559" s="154" t="n"/>
      <c r="BA559" s="154" t="n"/>
      <c r="BB559" s="154" t="n"/>
      <c r="BC559" s="154" t="n"/>
      <c r="BD559" s="154" t="n"/>
      <c r="BE559" s="154" t="n"/>
      <c r="BF559" s="154" t="n"/>
      <c r="BG559" s="154" t="n"/>
      <c r="BH559" s="154" t="n"/>
    </row>
    <row r="560" ht="15.75" customHeight="1" s="251">
      <c r="A560" s="153" t="n"/>
      <c r="B560" s="154" t="n"/>
      <c r="C560" s="154" t="n"/>
      <c r="D560" s="154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  <c r="AA560" s="154" t="n"/>
      <c r="AB560" s="154" t="n"/>
      <c r="AC560" s="154" t="n"/>
      <c r="AD560" s="154" t="n"/>
      <c r="AE560" s="154" t="n"/>
      <c r="AF560" s="154" t="n"/>
      <c r="AG560" s="154" t="n"/>
      <c r="AH560" s="154" t="n"/>
      <c r="AI560" s="154" t="n"/>
      <c r="AJ560" s="154" t="n"/>
      <c r="AK560" s="154" t="n"/>
      <c r="AL560" s="154" t="n"/>
      <c r="AM560" s="154" t="n"/>
      <c r="AN560" s="154" t="n"/>
      <c r="AO560" s="154" t="n"/>
      <c r="AP560" s="154" t="n"/>
      <c r="AQ560" s="154" t="n"/>
      <c r="AR560" s="154" t="n"/>
      <c r="AS560" s="154" t="n"/>
      <c r="AT560" s="154" t="n"/>
      <c r="AU560" s="154" t="n"/>
      <c r="AV560" s="154" t="n"/>
      <c r="AW560" s="154" t="n"/>
      <c r="AX560" s="154" t="n"/>
      <c r="AY560" s="154" t="n"/>
      <c r="AZ560" s="154" t="n"/>
      <c r="BA560" s="154" t="n"/>
      <c r="BB560" s="154" t="n"/>
      <c r="BC560" s="154" t="n"/>
      <c r="BD560" s="154" t="n"/>
      <c r="BE560" s="154" t="n"/>
      <c r="BF560" s="154" t="n"/>
      <c r="BG560" s="154" t="n"/>
      <c r="BH560" s="154" t="n"/>
    </row>
    <row r="561" ht="15.75" customHeight="1" s="251">
      <c r="A561" s="153" t="n"/>
      <c r="B561" s="154" t="n"/>
      <c r="C561" s="154" t="n"/>
      <c r="D561" s="154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  <c r="AA561" s="154" t="n"/>
      <c r="AB561" s="154" t="n"/>
      <c r="AC561" s="154" t="n"/>
      <c r="AD561" s="154" t="n"/>
      <c r="AE561" s="154" t="n"/>
      <c r="AF561" s="154" t="n"/>
      <c r="AG561" s="154" t="n"/>
      <c r="AH561" s="154" t="n"/>
      <c r="AI561" s="154" t="n"/>
      <c r="AJ561" s="154" t="n"/>
      <c r="AK561" s="154" t="n"/>
      <c r="AL561" s="154" t="n"/>
      <c r="AM561" s="154" t="n"/>
      <c r="AN561" s="154" t="n"/>
      <c r="AO561" s="154" t="n"/>
      <c r="AP561" s="154" t="n"/>
      <c r="AQ561" s="154" t="n"/>
      <c r="AR561" s="154" t="n"/>
      <c r="AS561" s="154" t="n"/>
      <c r="AT561" s="154" t="n"/>
      <c r="AU561" s="154" t="n"/>
      <c r="AV561" s="154" t="n"/>
      <c r="AW561" s="154" t="n"/>
      <c r="AX561" s="154" t="n"/>
      <c r="AY561" s="154" t="n"/>
      <c r="AZ561" s="154" t="n"/>
      <c r="BA561" s="154" t="n"/>
      <c r="BB561" s="154" t="n"/>
      <c r="BC561" s="154" t="n"/>
      <c r="BD561" s="154" t="n"/>
      <c r="BE561" s="154" t="n"/>
      <c r="BF561" s="154" t="n"/>
      <c r="BG561" s="154" t="n"/>
      <c r="BH561" s="154" t="n"/>
    </row>
    <row r="562" ht="15.75" customHeight="1" s="251">
      <c r="A562" s="153" t="n"/>
      <c r="B562" s="154" t="n"/>
      <c r="C562" s="154" t="n"/>
      <c r="D562" s="154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  <c r="AA562" s="154" t="n"/>
      <c r="AB562" s="154" t="n"/>
      <c r="AC562" s="154" t="n"/>
      <c r="AD562" s="154" t="n"/>
      <c r="AE562" s="154" t="n"/>
      <c r="AF562" s="154" t="n"/>
      <c r="AG562" s="154" t="n"/>
      <c r="AH562" s="154" t="n"/>
      <c r="AI562" s="154" t="n"/>
      <c r="AJ562" s="154" t="n"/>
      <c r="AK562" s="154" t="n"/>
      <c r="AL562" s="154" t="n"/>
      <c r="AM562" s="154" t="n"/>
      <c r="AN562" s="154" t="n"/>
      <c r="AO562" s="154" t="n"/>
      <c r="AP562" s="154" t="n"/>
      <c r="AQ562" s="154" t="n"/>
      <c r="AR562" s="154" t="n"/>
      <c r="AS562" s="154" t="n"/>
      <c r="AT562" s="154" t="n"/>
      <c r="AU562" s="154" t="n"/>
      <c r="AV562" s="154" t="n"/>
      <c r="AW562" s="154" t="n"/>
      <c r="AX562" s="154" t="n"/>
      <c r="AY562" s="154" t="n"/>
      <c r="AZ562" s="154" t="n"/>
      <c r="BA562" s="154" t="n"/>
      <c r="BB562" s="154" t="n"/>
      <c r="BC562" s="154" t="n"/>
      <c r="BD562" s="154" t="n"/>
      <c r="BE562" s="154" t="n"/>
      <c r="BF562" s="154" t="n"/>
      <c r="BG562" s="154" t="n"/>
      <c r="BH562" s="154" t="n"/>
    </row>
    <row r="563" ht="15.75" customHeight="1" s="251">
      <c r="A563" s="153" t="n"/>
      <c r="B563" s="154" t="n"/>
      <c r="C563" s="154" t="n"/>
      <c r="D563" s="154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  <c r="AA563" s="154" t="n"/>
      <c r="AB563" s="154" t="n"/>
      <c r="AC563" s="154" t="n"/>
      <c r="AD563" s="154" t="n"/>
      <c r="AE563" s="154" t="n"/>
      <c r="AF563" s="154" t="n"/>
      <c r="AG563" s="154" t="n"/>
      <c r="AH563" s="154" t="n"/>
      <c r="AI563" s="154" t="n"/>
      <c r="AJ563" s="154" t="n"/>
      <c r="AK563" s="154" t="n"/>
      <c r="AL563" s="154" t="n"/>
      <c r="AM563" s="154" t="n"/>
      <c r="AN563" s="154" t="n"/>
      <c r="AO563" s="154" t="n"/>
      <c r="AP563" s="154" t="n"/>
      <c r="AQ563" s="154" t="n"/>
      <c r="AR563" s="154" t="n"/>
      <c r="AS563" s="154" t="n"/>
      <c r="AT563" s="154" t="n"/>
      <c r="AU563" s="154" t="n"/>
      <c r="AV563" s="154" t="n"/>
      <c r="AW563" s="154" t="n"/>
      <c r="AX563" s="154" t="n"/>
      <c r="AY563" s="154" t="n"/>
      <c r="AZ563" s="154" t="n"/>
      <c r="BA563" s="154" t="n"/>
      <c r="BB563" s="154" t="n"/>
      <c r="BC563" s="154" t="n"/>
      <c r="BD563" s="154" t="n"/>
      <c r="BE563" s="154" t="n"/>
      <c r="BF563" s="154" t="n"/>
      <c r="BG563" s="154" t="n"/>
      <c r="BH563" s="154" t="n"/>
    </row>
    <row r="564" ht="15.75" customHeight="1" s="251">
      <c r="A564" s="153" t="n"/>
      <c r="B564" s="154" t="n"/>
      <c r="C564" s="154" t="n"/>
      <c r="D564" s="154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  <c r="AA564" s="154" t="n"/>
      <c r="AB564" s="154" t="n"/>
      <c r="AC564" s="154" t="n"/>
      <c r="AD564" s="154" t="n"/>
      <c r="AE564" s="154" t="n"/>
      <c r="AF564" s="154" t="n"/>
      <c r="AG564" s="154" t="n"/>
      <c r="AH564" s="154" t="n"/>
      <c r="AI564" s="154" t="n"/>
      <c r="AJ564" s="154" t="n"/>
      <c r="AK564" s="154" t="n"/>
      <c r="AL564" s="154" t="n"/>
      <c r="AM564" s="154" t="n"/>
      <c r="AN564" s="154" t="n"/>
      <c r="AO564" s="154" t="n"/>
      <c r="AP564" s="154" t="n"/>
      <c r="AQ564" s="154" t="n"/>
      <c r="AR564" s="154" t="n"/>
      <c r="AS564" s="154" t="n"/>
      <c r="AT564" s="154" t="n"/>
      <c r="AU564" s="154" t="n"/>
      <c r="AV564" s="154" t="n"/>
      <c r="AW564" s="154" t="n"/>
      <c r="AX564" s="154" t="n"/>
      <c r="AY564" s="154" t="n"/>
      <c r="AZ564" s="154" t="n"/>
      <c r="BA564" s="154" t="n"/>
      <c r="BB564" s="154" t="n"/>
      <c r="BC564" s="154" t="n"/>
      <c r="BD564" s="154" t="n"/>
      <c r="BE564" s="154" t="n"/>
      <c r="BF564" s="154" t="n"/>
      <c r="BG564" s="154" t="n"/>
      <c r="BH564" s="154" t="n"/>
    </row>
    <row r="565" ht="15.75" customHeight="1" s="251">
      <c r="A565" s="153" t="n"/>
      <c r="B565" s="154" t="n"/>
      <c r="C565" s="154" t="n"/>
      <c r="D565" s="154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  <c r="AA565" s="154" t="n"/>
      <c r="AB565" s="154" t="n"/>
      <c r="AC565" s="154" t="n"/>
      <c r="AD565" s="154" t="n"/>
      <c r="AE565" s="154" t="n"/>
      <c r="AF565" s="154" t="n"/>
      <c r="AG565" s="154" t="n"/>
      <c r="AH565" s="154" t="n"/>
      <c r="AI565" s="154" t="n"/>
      <c r="AJ565" s="154" t="n"/>
      <c r="AK565" s="154" t="n"/>
      <c r="AL565" s="154" t="n"/>
      <c r="AM565" s="154" t="n"/>
      <c r="AN565" s="154" t="n"/>
      <c r="AO565" s="154" t="n"/>
      <c r="AP565" s="154" t="n"/>
      <c r="AQ565" s="154" t="n"/>
      <c r="AR565" s="154" t="n"/>
      <c r="AS565" s="154" t="n"/>
      <c r="AT565" s="154" t="n"/>
      <c r="AU565" s="154" t="n"/>
      <c r="AV565" s="154" t="n"/>
      <c r="AW565" s="154" t="n"/>
      <c r="AX565" s="154" t="n"/>
      <c r="AY565" s="154" t="n"/>
      <c r="AZ565" s="154" t="n"/>
      <c r="BA565" s="154" t="n"/>
      <c r="BB565" s="154" t="n"/>
      <c r="BC565" s="154" t="n"/>
      <c r="BD565" s="154" t="n"/>
      <c r="BE565" s="154" t="n"/>
      <c r="BF565" s="154" t="n"/>
      <c r="BG565" s="154" t="n"/>
      <c r="BH565" s="154" t="n"/>
    </row>
    <row r="566" ht="15.75" customHeight="1" s="251">
      <c r="A566" s="153" t="n"/>
      <c r="B566" s="154" t="n"/>
      <c r="C566" s="154" t="n"/>
      <c r="D566" s="154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  <c r="AA566" s="154" t="n"/>
      <c r="AB566" s="154" t="n"/>
      <c r="AC566" s="154" t="n"/>
      <c r="AD566" s="154" t="n"/>
      <c r="AE566" s="154" t="n"/>
      <c r="AF566" s="154" t="n"/>
      <c r="AG566" s="154" t="n"/>
      <c r="AH566" s="154" t="n"/>
      <c r="AI566" s="154" t="n"/>
      <c r="AJ566" s="154" t="n"/>
      <c r="AK566" s="154" t="n"/>
      <c r="AL566" s="154" t="n"/>
      <c r="AM566" s="154" t="n"/>
      <c r="AN566" s="154" t="n"/>
      <c r="AO566" s="154" t="n"/>
      <c r="AP566" s="154" t="n"/>
      <c r="AQ566" s="154" t="n"/>
      <c r="AR566" s="154" t="n"/>
      <c r="AS566" s="154" t="n"/>
      <c r="AT566" s="154" t="n"/>
      <c r="AU566" s="154" t="n"/>
      <c r="AV566" s="154" t="n"/>
      <c r="AW566" s="154" t="n"/>
      <c r="AX566" s="154" t="n"/>
      <c r="AY566" s="154" t="n"/>
      <c r="AZ566" s="154" t="n"/>
      <c r="BA566" s="154" t="n"/>
      <c r="BB566" s="154" t="n"/>
      <c r="BC566" s="154" t="n"/>
      <c r="BD566" s="154" t="n"/>
      <c r="BE566" s="154" t="n"/>
      <c r="BF566" s="154" t="n"/>
      <c r="BG566" s="154" t="n"/>
      <c r="BH566" s="154" t="n"/>
    </row>
    <row r="567" ht="15.75" customHeight="1" s="251">
      <c r="A567" s="153" t="n"/>
      <c r="B567" s="154" t="n"/>
      <c r="C567" s="154" t="n"/>
      <c r="D567" s="154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  <c r="AA567" s="154" t="n"/>
      <c r="AB567" s="154" t="n"/>
      <c r="AC567" s="154" t="n"/>
      <c r="AD567" s="154" t="n"/>
      <c r="AE567" s="154" t="n"/>
      <c r="AF567" s="154" t="n"/>
      <c r="AG567" s="154" t="n"/>
      <c r="AH567" s="154" t="n"/>
      <c r="AI567" s="154" t="n"/>
      <c r="AJ567" s="154" t="n"/>
      <c r="AK567" s="154" t="n"/>
      <c r="AL567" s="154" t="n"/>
      <c r="AM567" s="154" t="n"/>
      <c r="AN567" s="154" t="n"/>
      <c r="AO567" s="154" t="n"/>
      <c r="AP567" s="154" t="n"/>
      <c r="AQ567" s="154" t="n"/>
      <c r="AR567" s="154" t="n"/>
      <c r="AS567" s="154" t="n"/>
      <c r="AT567" s="154" t="n"/>
      <c r="AU567" s="154" t="n"/>
      <c r="AV567" s="154" t="n"/>
      <c r="AW567" s="154" t="n"/>
      <c r="AX567" s="154" t="n"/>
      <c r="AY567" s="154" t="n"/>
      <c r="AZ567" s="154" t="n"/>
      <c r="BA567" s="154" t="n"/>
      <c r="BB567" s="154" t="n"/>
      <c r="BC567" s="154" t="n"/>
      <c r="BD567" s="154" t="n"/>
      <c r="BE567" s="154" t="n"/>
      <c r="BF567" s="154" t="n"/>
      <c r="BG567" s="154" t="n"/>
      <c r="BH567" s="154" t="n"/>
    </row>
    <row r="568" ht="15.75" customHeight="1" s="251">
      <c r="A568" s="153" t="n"/>
      <c r="B568" s="154" t="n"/>
      <c r="C568" s="154" t="n"/>
      <c r="D568" s="154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  <c r="AA568" s="154" t="n"/>
      <c r="AB568" s="154" t="n"/>
      <c r="AC568" s="154" t="n"/>
      <c r="AD568" s="154" t="n"/>
      <c r="AE568" s="154" t="n"/>
      <c r="AF568" s="154" t="n"/>
      <c r="AG568" s="154" t="n"/>
      <c r="AH568" s="154" t="n"/>
      <c r="AI568" s="154" t="n"/>
      <c r="AJ568" s="154" t="n"/>
      <c r="AK568" s="154" t="n"/>
      <c r="AL568" s="154" t="n"/>
      <c r="AM568" s="154" t="n"/>
      <c r="AN568" s="154" t="n"/>
      <c r="AO568" s="154" t="n"/>
      <c r="AP568" s="154" t="n"/>
      <c r="AQ568" s="154" t="n"/>
      <c r="AR568" s="154" t="n"/>
      <c r="AS568" s="154" t="n"/>
      <c r="AT568" s="154" t="n"/>
      <c r="AU568" s="154" t="n"/>
      <c r="AV568" s="154" t="n"/>
      <c r="AW568" s="154" t="n"/>
      <c r="AX568" s="154" t="n"/>
      <c r="AY568" s="154" t="n"/>
      <c r="AZ568" s="154" t="n"/>
      <c r="BA568" s="154" t="n"/>
      <c r="BB568" s="154" t="n"/>
      <c r="BC568" s="154" t="n"/>
      <c r="BD568" s="154" t="n"/>
      <c r="BE568" s="154" t="n"/>
      <c r="BF568" s="154" t="n"/>
      <c r="BG568" s="154" t="n"/>
      <c r="BH568" s="154" t="n"/>
    </row>
    <row r="569" ht="15.75" customHeight="1" s="251">
      <c r="A569" s="153" t="n"/>
      <c r="B569" s="154" t="n"/>
      <c r="C569" s="154" t="n"/>
      <c r="D569" s="154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  <c r="AA569" s="154" t="n"/>
      <c r="AB569" s="154" t="n"/>
      <c r="AC569" s="154" t="n"/>
      <c r="AD569" s="154" t="n"/>
      <c r="AE569" s="154" t="n"/>
      <c r="AF569" s="154" t="n"/>
      <c r="AG569" s="154" t="n"/>
      <c r="AH569" s="154" t="n"/>
      <c r="AI569" s="154" t="n"/>
      <c r="AJ569" s="154" t="n"/>
      <c r="AK569" s="154" t="n"/>
      <c r="AL569" s="154" t="n"/>
      <c r="AM569" s="154" t="n"/>
      <c r="AN569" s="154" t="n"/>
      <c r="AO569" s="154" t="n"/>
      <c r="AP569" s="154" t="n"/>
      <c r="AQ569" s="154" t="n"/>
      <c r="AR569" s="154" t="n"/>
      <c r="AS569" s="154" t="n"/>
      <c r="AT569" s="154" t="n"/>
      <c r="AU569" s="154" t="n"/>
      <c r="AV569" s="154" t="n"/>
      <c r="AW569" s="154" t="n"/>
      <c r="AX569" s="154" t="n"/>
      <c r="AY569" s="154" t="n"/>
      <c r="AZ569" s="154" t="n"/>
      <c r="BA569" s="154" t="n"/>
      <c r="BB569" s="154" t="n"/>
      <c r="BC569" s="154" t="n"/>
      <c r="BD569" s="154" t="n"/>
      <c r="BE569" s="154" t="n"/>
      <c r="BF569" s="154" t="n"/>
      <c r="BG569" s="154" t="n"/>
      <c r="BH569" s="154" t="n"/>
    </row>
    <row r="570" ht="15.75" customHeight="1" s="251">
      <c r="A570" s="153" t="n"/>
      <c r="B570" s="154" t="n"/>
      <c r="C570" s="154" t="n"/>
      <c r="D570" s="154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  <c r="AA570" s="154" t="n"/>
      <c r="AB570" s="154" t="n"/>
      <c r="AC570" s="154" t="n"/>
      <c r="AD570" s="154" t="n"/>
      <c r="AE570" s="154" t="n"/>
      <c r="AF570" s="154" t="n"/>
      <c r="AG570" s="154" t="n"/>
      <c r="AH570" s="154" t="n"/>
      <c r="AI570" s="154" t="n"/>
      <c r="AJ570" s="154" t="n"/>
      <c r="AK570" s="154" t="n"/>
      <c r="AL570" s="154" t="n"/>
      <c r="AM570" s="154" t="n"/>
      <c r="AN570" s="154" t="n"/>
      <c r="AO570" s="154" t="n"/>
      <c r="AP570" s="154" t="n"/>
      <c r="AQ570" s="154" t="n"/>
      <c r="AR570" s="154" t="n"/>
      <c r="AS570" s="154" t="n"/>
      <c r="AT570" s="154" t="n"/>
      <c r="AU570" s="154" t="n"/>
      <c r="AV570" s="154" t="n"/>
      <c r="AW570" s="154" t="n"/>
      <c r="AX570" s="154" t="n"/>
      <c r="AY570" s="154" t="n"/>
      <c r="AZ570" s="154" t="n"/>
      <c r="BA570" s="154" t="n"/>
      <c r="BB570" s="154" t="n"/>
      <c r="BC570" s="154" t="n"/>
      <c r="BD570" s="154" t="n"/>
      <c r="BE570" s="154" t="n"/>
      <c r="BF570" s="154" t="n"/>
      <c r="BG570" s="154" t="n"/>
      <c r="BH570" s="154" t="n"/>
    </row>
    <row r="571" ht="15.75" customHeight="1" s="251">
      <c r="A571" s="153" t="n"/>
      <c r="B571" s="154" t="n"/>
      <c r="C571" s="154" t="n"/>
      <c r="D571" s="154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  <c r="AA571" s="154" t="n"/>
      <c r="AB571" s="154" t="n"/>
      <c r="AC571" s="154" t="n"/>
      <c r="AD571" s="154" t="n"/>
      <c r="AE571" s="154" t="n"/>
      <c r="AF571" s="154" t="n"/>
      <c r="AG571" s="154" t="n"/>
      <c r="AH571" s="154" t="n"/>
      <c r="AI571" s="154" t="n"/>
      <c r="AJ571" s="154" t="n"/>
      <c r="AK571" s="154" t="n"/>
      <c r="AL571" s="154" t="n"/>
      <c r="AM571" s="154" t="n"/>
      <c r="AN571" s="154" t="n"/>
      <c r="AO571" s="154" t="n"/>
      <c r="AP571" s="154" t="n"/>
      <c r="AQ571" s="154" t="n"/>
      <c r="AR571" s="154" t="n"/>
      <c r="AS571" s="154" t="n"/>
      <c r="AT571" s="154" t="n"/>
      <c r="AU571" s="154" t="n"/>
      <c r="AV571" s="154" t="n"/>
      <c r="AW571" s="154" t="n"/>
      <c r="AX571" s="154" t="n"/>
      <c r="AY571" s="154" t="n"/>
      <c r="AZ571" s="154" t="n"/>
      <c r="BA571" s="154" t="n"/>
      <c r="BB571" s="154" t="n"/>
      <c r="BC571" s="154" t="n"/>
      <c r="BD571" s="154" t="n"/>
      <c r="BE571" s="154" t="n"/>
      <c r="BF571" s="154" t="n"/>
      <c r="BG571" s="154" t="n"/>
      <c r="BH571" s="154" t="n"/>
    </row>
    <row r="572" ht="15.75" customHeight="1" s="251">
      <c r="A572" s="153" t="n"/>
      <c r="B572" s="154" t="n"/>
      <c r="C572" s="154" t="n"/>
      <c r="D572" s="154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  <c r="AA572" s="154" t="n"/>
      <c r="AB572" s="154" t="n"/>
      <c r="AC572" s="154" t="n"/>
      <c r="AD572" s="154" t="n"/>
      <c r="AE572" s="154" t="n"/>
      <c r="AF572" s="154" t="n"/>
      <c r="AG572" s="154" t="n"/>
      <c r="AH572" s="154" t="n"/>
      <c r="AI572" s="154" t="n"/>
      <c r="AJ572" s="154" t="n"/>
      <c r="AK572" s="154" t="n"/>
      <c r="AL572" s="154" t="n"/>
      <c r="AM572" s="154" t="n"/>
      <c r="AN572" s="154" t="n"/>
      <c r="AO572" s="154" t="n"/>
      <c r="AP572" s="154" t="n"/>
      <c r="AQ572" s="154" t="n"/>
      <c r="AR572" s="154" t="n"/>
      <c r="AS572" s="154" t="n"/>
      <c r="AT572" s="154" t="n"/>
      <c r="AU572" s="154" t="n"/>
      <c r="AV572" s="154" t="n"/>
      <c r="AW572" s="154" t="n"/>
      <c r="AX572" s="154" t="n"/>
      <c r="AY572" s="154" t="n"/>
      <c r="AZ572" s="154" t="n"/>
      <c r="BA572" s="154" t="n"/>
      <c r="BB572" s="154" t="n"/>
      <c r="BC572" s="154" t="n"/>
      <c r="BD572" s="154" t="n"/>
      <c r="BE572" s="154" t="n"/>
      <c r="BF572" s="154" t="n"/>
      <c r="BG572" s="154" t="n"/>
      <c r="BH572" s="154" t="n"/>
    </row>
    <row r="573" ht="15.75" customHeight="1" s="251">
      <c r="A573" s="153" t="n"/>
      <c r="B573" s="154" t="n"/>
      <c r="C573" s="154" t="n"/>
      <c r="D573" s="154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  <c r="AA573" s="154" t="n"/>
      <c r="AB573" s="154" t="n"/>
      <c r="AC573" s="154" t="n"/>
      <c r="AD573" s="154" t="n"/>
      <c r="AE573" s="154" t="n"/>
      <c r="AF573" s="154" t="n"/>
      <c r="AG573" s="154" t="n"/>
      <c r="AH573" s="154" t="n"/>
      <c r="AI573" s="154" t="n"/>
      <c r="AJ573" s="154" t="n"/>
      <c r="AK573" s="154" t="n"/>
      <c r="AL573" s="154" t="n"/>
      <c r="AM573" s="154" t="n"/>
      <c r="AN573" s="154" t="n"/>
      <c r="AO573" s="154" t="n"/>
      <c r="AP573" s="154" t="n"/>
      <c r="AQ573" s="154" t="n"/>
      <c r="AR573" s="154" t="n"/>
      <c r="AS573" s="154" t="n"/>
      <c r="AT573" s="154" t="n"/>
      <c r="AU573" s="154" t="n"/>
      <c r="AV573" s="154" t="n"/>
      <c r="AW573" s="154" t="n"/>
      <c r="AX573" s="154" t="n"/>
      <c r="AY573" s="154" t="n"/>
      <c r="AZ573" s="154" t="n"/>
      <c r="BA573" s="154" t="n"/>
      <c r="BB573" s="154" t="n"/>
      <c r="BC573" s="154" t="n"/>
      <c r="BD573" s="154" t="n"/>
      <c r="BE573" s="154" t="n"/>
      <c r="BF573" s="154" t="n"/>
      <c r="BG573" s="154" t="n"/>
      <c r="BH573" s="154" t="n"/>
    </row>
    <row r="574" ht="15.75" customHeight="1" s="251">
      <c r="A574" s="153" t="n"/>
      <c r="B574" s="154" t="n"/>
      <c r="C574" s="154" t="n"/>
      <c r="D574" s="154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  <c r="AA574" s="154" t="n"/>
      <c r="AB574" s="154" t="n"/>
      <c r="AC574" s="154" t="n"/>
      <c r="AD574" s="154" t="n"/>
      <c r="AE574" s="154" t="n"/>
      <c r="AF574" s="154" t="n"/>
      <c r="AG574" s="154" t="n"/>
      <c r="AH574" s="154" t="n"/>
      <c r="AI574" s="154" t="n"/>
      <c r="AJ574" s="154" t="n"/>
      <c r="AK574" s="154" t="n"/>
      <c r="AL574" s="154" t="n"/>
      <c r="AM574" s="154" t="n"/>
      <c r="AN574" s="154" t="n"/>
      <c r="AO574" s="154" t="n"/>
      <c r="AP574" s="154" t="n"/>
      <c r="AQ574" s="154" t="n"/>
      <c r="AR574" s="154" t="n"/>
      <c r="AS574" s="154" t="n"/>
      <c r="AT574" s="154" t="n"/>
      <c r="AU574" s="154" t="n"/>
      <c r="AV574" s="154" t="n"/>
      <c r="AW574" s="154" t="n"/>
      <c r="AX574" s="154" t="n"/>
      <c r="AY574" s="154" t="n"/>
      <c r="AZ574" s="154" t="n"/>
      <c r="BA574" s="154" t="n"/>
      <c r="BB574" s="154" t="n"/>
      <c r="BC574" s="154" t="n"/>
      <c r="BD574" s="154" t="n"/>
      <c r="BE574" s="154" t="n"/>
      <c r="BF574" s="154" t="n"/>
      <c r="BG574" s="154" t="n"/>
      <c r="BH574" s="154" t="n"/>
    </row>
    <row r="575" ht="15.75" customHeight="1" s="251">
      <c r="A575" s="153" t="n"/>
      <c r="B575" s="154" t="n"/>
      <c r="C575" s="154" t="n"/>
      <c r="D575" s="154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  <c r="AA575" s="154" t="n"/>
      <c r="AB575" s="154" t="n"/>
      <c r="AC575" s="154" t="n"/>
      <c r="AD575" s="154" t="n"/>
      <c r="AE575" s="154" t="n"/>
      <c r="AF575" s="154" t="n"/>
      <c r="AG575" s="154" t="n"/>
      <c r="AH575" s="154" t="n"/>
      <c r="AI575" s="154" t="n"/>
      <c r="AJ575" s="154" t="n"/>
      <c r="AK575" s="154" t="n"/>
      <c r="AL575" s="154" t="n"/>
      <c r="AM575" s="154" t="n"/>
      <c r="AN575" s="154" t="n"/>
      <c r="AO575" s="154" t="n"/>
      <c r="AP575" s="154" t="n"/>
      <c r="AQ575" s="154" t="n"/>
      <c r="AR575" s="154" t="n"/>
      <c r="AS575" s="154" t="n"/>
      <c r="AT575" s="154" t="n"/>
      <c r="AU575" s="154" t="n"/>
      <c r="AV575" s="154" t="n"/>
      <c r="AW575" s="154" t="n"/>
      <c r="AX575" s="154" t="n"/>
      <c r="AY575" s="154" t="n"/>
      <c r="AZ575" s="154" t="n"/>
      <c r="BA575" s="154" t="n"/>
      <c r="BB575" s="154" t="n"/>
      <c r="BC575" s="154" t="n"/>
      <c r="BD575" s="154" t="n"/>
      <c r="BE575" s="154" t="n"/>
      <c r="BF575" s="154" t="n"/>
      <c r="BG575" s="154" t="n"/>
      <c r="BH575" s="154" t="n"/>
    </row>
    <row r="576" ht="15.75" customHeight="1" s="251">
      <c r="A576" s="153" t="n"/>
      <c r="B576" s="154" t="n"/>
      <c r="C576" s="154" t="n"/>
      <c r="D576" s="154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  <c r="AA576" s="154" t="n"/>
      <c r="AB576" s="154" t="n"/>
      <c r="AC576" s="154" t="n"/>
      <c r="AD576" s="154" t="n"/>
      <c r="AE576" s="154" t="n"/>
      <c r="AF576" s="154" t="n"/>
      <c r="AG576" s="154" t="n"/>
      <c r="AH576" s="154" t="n"/>
      <c r="AI576" s="154" t="n"/>
      <c r="AJ576" s="154" t="n"/>
      <c r="AK576" s="154" t="n"/>
      <c r="AL576" s="154" t="n"/>
      <c r="AM576" s="154" t="n"/>
      <c r="AN576" s="154" t="n"/>
      <c r="AO576" s="154" t="n"/>
      <c r="AP576" s="154" t="n"/>
      <c r="AQ576" s="154" t="n"/>
      <c r="AR576" s="154" t="n"/>
      <c r="AS576" s="154" t="n"/>
      <c r="AT576" s="154" t="n"/>
      <c r="AU576" s="154" t="n"/>
      <c r="AV576" s="154" t="n"/>
      <c r="AW576" s="154" t="n"/>
      <c r="AX576" s="154" t="n"/>
      <c r="AY576" s="154" t="n"/>
      <c r="AZ576" s="154" t="n"/>
      <c r="BA576" s="154" t="n"/>
      <c r="BB576" s="154" t="n"/>
      <c r="BC576" s="154" t="n"/>
      <c r="BD576" s="154" t="n"/>
      <c r="BE576" s="154" t="n"/>
      <c r="BF576" s="154" t="n"/>
      <c r="BG576" s="154" t="n"/>
      <c r="BH576" s="154" t="n"/>
    </row>
    <row r="577" ht="15.75" customHeight="1" s="251">
      <c r="A577" s="153" t="n"/>
      <c r="B577" s="154" t="n"/>
      <c r="C577" s="154" t="n"/>
      <c r="D577" s="154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  <c r="AA577" s="154" t="n"/>
      <c r="AB577" s="154" t="n"/>
      <c r="AC577" s="154" t="n"/>
      <c r="AD577" s="154" t="n"/>
      <c r="AE577" s="154" t="n"/>
      <c r="AF577" s="154" t="n"/>
      <c r="AG577" s="154" t="n"/>
      <c r="AH577" s="154" t="n"/>
      <c r="AI577" s="154" t="n"/>
      <c r="AJ577" s="154" t="n"/>
      <c r="AK577" s="154" t="n"/>
      <c r="AL577" s="154" t="n"/>
      <c r="AM577" s="154" t="n"/>
      <c r="AN577" s="154" t="n"/>
      <c r="AO577" s="154" t="n"/>
      <c r="AP577" s="154" t="n"/>
      <c r="AQ577" s="154" t="n"/>
      <c r="AR577" s="154" t="n"/>
      <c r="AS577" s="154" t="n"/>
      <c r="AT577" s="154" t="n"/>
      <c r="AU577" s="154" t="n"/>
      <c r="AV577" s="154" t="n"/>
      <c r="AW577" s="154" t="n"/>
      <c r="AX577" s="154" t="n"/>
      <c r="AY577" s="154" t="n"/>
      <c r="AZ577" s="154" t="n"/>
      <c r="BA577" s="154" t="n"/>
      <c r="BB577" s="154" t="n"/>
      <c r="BC577" s="154" t="n"/>
      <c r="BD577" s="154" t="n"/>
      <c r="BE577" s="154" t="n"/>
      <c r="BF577" s="154" t="n"/>
      <c r="BG577" s="154" t="n"/>
      <c r="BH577" s="154" t="n"/>
    </row>
    <row r="578" ht="15.75" customHeight="1" s="251">
      <c r="A578" s="153" t="n"/>
      <c r="B578" s="154" t="n"/>
      <c r="C578" s="154" t="n"/>
      <c r="D578" s="154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  <c r="AA578" s="154" t="n"/>
      <c r="AB578" s="154" t="n"/>
      <c r="AC578" s="154" t="n"/>
      <c r="AD578" s="154" t="n"/>
      <c r="AE578" s="154" t="n"/>
      <c r="AF578" s="154" t="n"/>
      <c r="AG578" s="154" t="n"/>
      <c r="AH578" s="154" t="n"/>
      <c r="AI578" s="154" t="n"/>
      <c r="AJ578" s="154" t="n"/>
      <c r="AK578" s="154" t="n"/>
      <c r="AL578" s="154" t="n"/>
      <c r="AM578" s="154" t="n"/>
      <c r="AN578" s="154" t="n"/>
      <c r="AO578" s="154" t="n"/>
      <c r="AP578" s="154" t="n"/>
      <c r="AQ578" s="154" t="n"/>
      <c r="AR578" s="154" t="n"/>
      <c r="AS578" s="154" t="n"/>
      <c r="AT578" s="154" t="n"/>
      <c r="AU578" s="154" t="n"/>
      <c r="AV578" s="154" t="n"/>
      <c r="AW578" s="154" t="n"/>
      <c r="AX578" s="154" t="n"/>
      <c r="AY578" s="154" t="n"/>
      <c r="AZ578" s="154" t="n"/>
      <c r="BA578" s="154" t="n"/>
      <c r="BB578" s="154" t="n"/>
      <c r="BC578" s="154" t="n"/>
      <c r="BD578" s="154" t="n"/>
      <c r="BE578" s="154" t="n"/>
      <c r="BF578" s="154" t="n"/>
      <c r="BG578" s="154" t="n"/>
      <c r="BH578" s="154" t="n"/>
    </row>
    <row r="579" ht="15.75" customHeight="1" s="251">
      <c r="A579" s="153" t="n"/>
      <c r="B579" s="154" t="n"/>
      <c r="C579" s="154" t="n"/>
      <c r="D579" s="154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  <c r="AA579" s="154" t="n"/>
      <c r="AB579" s="154" t="n"/>
      <c r="AC579" s="154" t="n"/>
      <c r="AD579" s="154" t="n"/>
      <c r="AE579" s="154" t="n"/>
      <c r="AF579" s="154" t="n"/>
      <c r="AG579" s="154" t="n"/>
      <c r="AH579" s="154" t="n"/>
      <c r="AI579" s="154" t="n"/>
      <c r="AJ579" s="154" t="n"/>
      <c r="AK579" s="154" t="n"/>
      <c r="AL579" s="154" t="n"/>
      <c r="AM579" s="154" t="n"/>
      <c r="AN579" s="154" t="n"/>
      <c r="AO579" s="154" t="n"/>
      <c r="AP579" s="154" t="n"/>
      <c r="AQ579" s="154" t="n"/>
      <c r="AR579" s="154" t="n"/>
      <c r="AS579" s="154" t="n"/>
      <c r="AT579" s="154" t="n"/>
      <c r="AU579" s="154" t="n"/>
      <c r="AV579" s="154" t="n"/>
      <c r="AW579" s="154" t="n"/>
      <c r="AX579" s="154" t="n"/>
      <c r="AY579" s="154" t="n"/>
      <c r="AZ579" s="154" t="n"/>
      <c r="BA579" s="154" t="n"/>
      <c r="BB579" s="154" t="n"/>
      <c r="BC579" s="154" t="n"/>
      <c r="BD579" s="154" t="n"/>
      <c r="BE579" s="154" t="n"/>
      <c r="BF579" s="154" t="n"/>
      <c r="BG579" s="154" t="n"/>
      <c r="BH579" s="154" t="n"/>
    </row>
    <row r="580" ht="15.75" customHeight="1" s="251">
      <c r="A580" s="153" t="n"/>
      <c r="B580" s="154" t="n"/>
      <c r="C580" s="154" t="n"/>
      <c r="D580" s="154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  <c r="AA580" s="154" t="n"/>
      <c r="AB580" s="154" t="n"/>
      <c r="AC580" s="154" t="n"/>
      <c r="AD580" s="154" t="n"/>
      <c r="AE580" s="154" t="n"/>
      <c r="AF580" s="154" t="n"/>
      <c r="AG580" s="154" t="n"/>
      <c r="AH580" s="154" t="n"/>
      <c r="AI580" s="154" t="n"/>
      <c r="AJ580" s="154" t="n"/>
      <c r="AK580" s="154" t="n"/>
      <c r="AL580" s="154" t="n"/>
      <c r="AM580" s="154" t="n"/>
      <c r="AN580" s="154" t="n"/>
      <c r="AO580" s="154" t="n"/>
      <c r="AP580" s="154" t="n"/>
      <c r="AQ580" s="154" t="n"/>
      <c r="AR580" s="154" t="n"/>
      <c r="AS580" s="154" t="n"/>
      <c r="AT580" s="154" t="n"/>
      <c r="AU580" s="154" t="n"/>
      <c r="AV580" s="154" t="n"/>
      <c r="AW580" s="154" t="n"/>
      <c r="AX580" s="154" t="n"/>
      <c r="AY580" s="154" t="n"/>
      <c r="AZ580" s="154" t="n"/>
      <c r="BA580" s="154" t="n"/>
      <c r="BB580" s="154" t="n"/>
      <c r="BC580" s="154" t="n"/>
      <c r="BD580" s="154" t="n"/>
      <c r="BE580" s="154" t="n"/>
      <c r="BF580" s="154" t="n"/>
      <c r="BG580" s="154" t="n"/>
      <c r="BH580" s="154" t="n"/>
    </row>
    <row r="581" ht="15.75" customHeight="1" s="251">
      <c r="A581" s="153" t="n"/>
      <c r="B581" s="154" t="n"/>
      <c r="C581" s="154" t="n"/>
      <c r="D581" s="154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  <c r="AA581" s="154" t="n"/>
      <c r="AB581" s="154" t="n"/>
      <c r="AC581" s="154" t="n"/>
      <c r="AD581" s="154" t="n"/>
      <c r="AE581" s="154" t="n"/>
      <c r="AF581" s="154" t="n"/>
      <c r="AG581" s="154" t="n"/>
      <c r="AH581" s="154" t="n"/>
      <c r="AI581" s="154" t="n"/>
      <c r="AJ581" s="154" t="n"/>
      <c r="AK581" s="154" t="n"/>
      <c r="AL581" s="154" t="n"/>
      <c r="AM581" s="154" t="n"/>
      <c r="AN581" s="154" t="n"/>
      <c r="AO581" s="154" t="n"/>
      <c r="AP581" s="154" t="n"/>
      <c r="AQ581" s="154" t="n"/>
      <c r="AR581" s="154" t="n"/>
      <c r="AS581" s="154" t="n"/>
      <c r="AT581" s="154" t="n"/>
      <c r="AU581" s="154" t="n"/>
      <c r="AV581" s="154" t="n"/>
      <c r="AW581" s="154" t="n"/>
      <c r="AX581" s="154" t="n"/>
      <c r="AY581" s="154" t="n"/>
      <c r="AZ581" s="154" t="n"/>
      <c r="BA581" s="154" t="n"/>
      <c r="BB581" s="154" t="n"/>
      <c r="BC581" s="154" t="n"/>
      <c r="BD581" s="154" t="n"/>
      <c r="BE581" s="154" t="n"/>
      <c r="BF581" s="154" t="n"/>
      <c r="BG581" s="154" t="n"/>
      <c r="BH581" s="154" t="n"/>
    </row>
    <row r="582" ht="15.75" customHeight="1" s="251">
      <c r="A582" s="153" t="n"/>
      <c r="B582" s="154" t="n"/>
      <c r="C582" s="154" t="n"/>
      <c r="D582" s="154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  <c r="AA582" s="154" t="n"/>
      <c r="AB582" s="154" t="n"/>
      <c r="AC582" s="154" t="n"/>
      <c r="AD582" s="154" t="n"/>
      <c r="AE582" s="154" t="n"/>
      <c r="AF582" s="154" t="n"/>
      <c r="AG582" s="154" t="n"/>
      <c r="AH582" s="154" t="n"/>
      <c r="AI582" s="154" t="n"/>
      <c r="AJ582" s="154" t="n"/>
      <c r="AK582" s="154" t="n"/>
      <c r="AL582" s="154" t="n"/>
      <c r="AM582" s="154" t="n"/>
      <c r="AN582" s="154" t="n"/>
      <c r="AO582" s="154" t="n"/>
      <c r="AP582" s="154" t="n"/>
      <c r="AQ582" s="154" t="n"/>
      <c r="AR582" s="154" t="n"/>
      <c r="AS582" s="154" t="n"/>
      <c r="AT582" s="154" t="n"/>
      <c r="AU582" s="154" t="n"/>
      <c r="AV582" s="154" t="n"/>
      <c r="AW582" s="154" t="n"/>
      <c r="AX582" s="154" t="n"/>
      <c r="AY582" s="154" t="n"/>
      <c r="AZ582" s="154" t="n"/>
      <c r="BA582" s="154" t="n"/>
      <c r="BB582" s="154" t="n"/>
      <c r="BC582" s="154" t="n"/>
      <c r="BD582" s="154" t="n"/>
      <c r="BE582" s="154" t="n"/>
      <c r="BF582" s="154" t="n"/>
      <c r="BG582" s="154" t="n"/>
      <c r="BH582" s="154" t="n"/>
    </row>
    <row r="583" ht="15.75" customHeight="1" s="251">
      <c r="A583" s="153" t="n"/>
      <c r="B583" s="154" t="n"/>
      <c r="C583" s="154" t="n"/>
      <c r="D583" s="154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  <c r="AA583" s="154" t="n"/>
      <c r="AB583" s="154" t="n"/>
      <c r="AC583" s="154" t="n"/>
      <c r="AD583" s="154" t="n"/>
      <c r="AE583" s="154" t="n"/>
      <c r="AF583" s="154" t="n"/>
      <c r="AG583" s="154" t="n"/>
      <c r="AH583" s="154" t="n"/>
      <c r="AI583" s="154" t="n"/>
      <c r="AJ583" s="154" t="n"/>
      <c r="AK583" s="154" t="n"/>
      <c r="AL583" s="154" t="n"/>
      <c r="AM583" s="154" t="n"/>
      <c r="AN583" s="154" t="n"/>
      <c r="AO583" s="154" t="n"/>
      <c r="AP583" s="154" t="n"/>
      <c r="AQ583" s="154" t="n"/>
      <c r="AR583" s="154" t="n"/>
      <c r="AS583" s="154" t="n"/>
      <c r="AT583" s="154" t="n"/>
      <c r="AU583" s="154" t="n"/>
      <c r="AV583" s="154" t="n"/>
      <c r="AW583" s="154" t="n"/>
      <c r="AX583" s="154" t="n"/>
      <c r="AY583" s="154" t="n"/>
      <c r="AZ583" s="154" t="n"/>
      <c r="BA583" s="154" t="n"/>
      <c r="BB583" s="154" t="n"/>
      <c r="BC583" s="154" t="n"/>
      <c r="BD583" s="154" t="n"/>
      <c r="BE583" s="154" t="n"/>
      <c r="BF583" s="154" t="n"/>
      <c r="BG583" s="154" t="n"/>
      <c r="BH583" s="154" t="n"/>
    </row>
    <row r="584" ht="15.75" customHeight="1" s="251">
      <c r="A584" s="153" t="n"/>
      <c r="B584" s="154" t="n"/>
      <c r="C584" s="154" t="n"/>
      <c r="D584" s="154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  <c r="AA584" s="154" t="n"/>
      <c r="AB584" s="154" t="n"/>
      <c r="AC584" s="154" t="n"/>
      <c r="AD584" s="154" t="n"/>
      <c r="AE584" s="154" t="n"/>
      <c r="AF584" s="154" t="n"/>
      <c r="AG584" s="154" t="n"/>
      <c r="AH584" s="154" t="n"/>
      <c r="AI584" s="154" t="n"/>
      <c r="AJ584" s="154" t="n"/>
      <c r="AK584" s="154" t="n"/>
      <c r="AL584" s="154" t="n"/>
      <c r="AM584" s="154" t="n"/>
      <c r="AN584" s="154" t="n"/>
      <c r="AO584" s="154" t="n"/>
      <c r="AP584" s="154" t="n"/>
      <c r="AQ584" s="154" t="n"/>
      <c r="AR584" s="154" t="n"/>
      <c r="AS584" s="154" t="n"/>
      <c r="AT584" s="154" t="n"/>
      <c r="AU584" s="154" t="n"/>
      <c r="AV584" s="154" t="n"/>
      <c r="AW584" s="154" t="n"/>
      <c r="AX584" s="154" t="n"/>
      <c r="AY584" s="154" t="n"/>
      <c r="AZ584" s="154" t="n"/>
      <c r="BA584" s="154" t="n"/>
      <c r="BB584" s="154" t="n"/>
      <c r="BC584" s="154" t="n"/>
      <c r="BD584" s="154" t="n"/>
      <c r="BE584" s="154" t="n"/>
      <c r="BF584" s="154" t="n"/>
      <c r="BG584" s="154" t="n"/>
      <c r="BH584" s="154" t="n"/>
    </row>
    <row r="585" ht="15.75" customHeight="1" s="251">
      <c r="A585" s="153" t="n"/>
      <c r="B585" s="154" t="n"/>
      <c r="C585" s="154" t="n"/>
      <c r="D585" s="154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  <c r="AA585" s="154" t="n"/>
      <c r="AB585" s="154" t="n"/>
      <c r="AC585" s="154" t="n"/>
      <c r="AD585" s="154" t="n"/>
      <c r="AE585" s="154" t="n"/>
      <c r="AF585" s="154" t="n"/>
      <c r="AG585" s="154" t="n"/>
      <c r="AH585" s="154" t="n"/>
      <c r="AI585" s="154" t="n"/>
      <c r="AJ585" s="154" t="n"/>
      <c r="AK585" s="154" t="n"/>
      <c r="AL585" s="154" t="n"/>
      <c r="AM585" s="154" t="n"/>
      <c r="AN585" s="154" t="n"/>
      <c r="AO585" s="154" t="n"/>
      <c r="AP585" s="154" t="n"/>
      <c r="AQ585" s="154" t="n"/>
      <c r="AR585" s="154" t="n"/>
      <c r="AS585" s="154" t="n"/>
      <c r="AT585" s="154" t="n"/>
      <c r="AU585" s="154" t="n"/>
      <c r="AV585" s="154" t="n"/>
      <c r="AW585" s="154" t="n"/>
      <c r="AX585" s="154" t="n"/>
      <c r="AY585" s="154" t="n"/>
      <c r="AZ585" s="154" t="n"/>
      <c r="BA585" s="154" t="n"/>
      <c r="BB585" s="154" t="n"/>
      <c r="BC585" s="154" t="n"/>
      <c r="BD585" s="154" t="n"/>
      <c r="BE585" s="154" t="n"/>
      <c r="BF585" s="154" t="n"/>
      <c r="BG585" s="154" t="n"/>
      <c r="BH585" s="154" t="n"/>
    </row>
    <row r="586" ht="15.75" customHeight="1" s="251">
      <c r="A586" s="153" t="n"/>
      <c r="B586" s="154" t="n"/>
      <c r="C586" s="154" t="n"/>
      <c r="D586" s="154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  <c r="AA586" s="154" t="n"/>
      <c r="AB586" s="154" t="n"/>
      <c r="AC586" s="154" t="n"/>
      <c r="AD586" s="154" t="n"/>
      <c r="AE586" s="154" t="n"/>
      <c r="AF586" s="154" t="n"/>
      <c r="AG586" s="154" t="n"/>
      <c r="AH586" s="154" t="n"/>
      <c r="AI586" s="154" t="n"/>
      <c r="AJ586" s="154" t="n"/>
      <c r="AK586" s="154" t="n"/>
      <c r="AL586" s="154" t="n"/>
      <c r="AM586" s="154" t="n"/>
      <c r="AN586" s="154" t="n"/>
      <c r="AO586" s="154" t="n"/>
      <c r="AP586" s="154" t="n"/>
      <c r="AQ586" s="154" t="n"/>
      <c r="AR586" s="154" t="n"/>
      <c r="AS586" s="154" t="n"/>
      <c r="AT586" s="154" t="n"/>
      <c r="AU586" s="154" t="n"/>
      <c r="AV586" s="154" t="n"/>
      <c r="AW586" s="154" t="n"/>
      <c r="AX586" s="154" t="n"/>
      <c r="AY586" s="154" t="n"/>
      <c r="AZ586" s="154" t="n"/>
      <c r="BA586" s="154" t="n"/>
      <c r="BB586" s="154" t="n"/>
      <c r="BC586" s="154" t="n"/>
      <c r="BD586" s="154" t="n"/>
      <c r="BE586" s="154" t="n"/>
      <c r="BF586" s="154" t="n"/>
      <c r="BG586" s="154" t="n"/>
      <c r="BH586" s="154" t="n"/>
    </row>
    <row r="587" ht="15.75" customHeight="1" s="251">
      <c r="A587" s="153" t="n"/>
      <c r="B587" s="154" t="n"/>
      <c r="C587" s="154" t="n"/>
      <c r="D587" s="154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  <c r="AA587" s="154" t="n"/>
      <c r="AB587" s="154" t="n"/>
      <c r="AC587" s="154" t="n"/>
      <c r="AD587" s="154" t="n"/>
      <c r="AE587" s="154" t="n"/>
      <c r="AF587" s="154" t="n"/>
      <c r="AG587" s="154" t="n"/>
      <c r="AH587" s="154" t="n"/>
      <c r="AI587" s="154" t="n"/>
      <c r="AJ587" s="154" t="n"/>
      <c r="AK587" s="154" t="n"/>
      <c r="AL587" s="154" t="n"/>
      <c r="AM587" s="154" t="n"/>
      <c r="AN587" s="154" t="n"/>
      <c r="AO587" s="154" t="n"/>
      <c r="AP587" s="154" t="n"/>
      <c r="AQ587" s="154" t="n"/>
      <c r="AR587" s="154" t="n"/>
      <c r="AS587" s="154" t="n"/>
      <c r="AT587" s="154" t="n"/>
      <c r="AU587" s="154" t="n"/>
      <c r="AV587" s="154" t="n"/>
      <c r="AW587" s="154" t="n"/>
      <c r="AX587" s="154" t="n"/>
      <c r="AY587" s="154" t="n"/>
      <c r="AZ587" s="154" t="n"/>
      <c r="BA587" s="154" t="n"/>
      <c r="BB587" s="154" t="n"/>
      <c r="BC587" s="154" t="n"/>
      <c r="BD587" s="154" t="n"/>
      <c r="BE587" s="154" t="n"/>
      <c r="BF587" s="154" t="n"/>
      <c r="BG587" s="154" t="n"/>
      <c r="BH587" s="154" t="n"/>
    </row>
    <row r="588" ht="15.75" customHeight="1" s="251">
      <c r="A588" s="153" t="n"/>
      <c r="B588" s="154" t="n"/>
      <c r="C588" s="154" t="n"/>
      <c r="D588" s="154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  <c r="AA588" s="154" t="n"/>
      <c r="AB588" s="154" t="n"/>
      <c r="AC588" s="154" t="n"/>
      <c r="AD588" s="154" t="n"/>
      <c r="AE588" s="154" t="n"/>
      <c r="AF588" s="154" t="n"/>
      <c r="AG588" s="154" t="n"/>
      <c r="AH588" s="154" t="n"/>
      <c r="AI588" s="154" t="n"/>
      <c r="AJ588" s="154" t="n"/>
      <c r="AK588" s="154" t="n"/>
      <c r="AL588" s="154" t="n"/>
      <c r="AM588" s="154" t="n"/>
      <c r="AN588" s="154" t="n"/>
      <c r="AO588" s="154" t="n"/>
      <c r="AP588" s="154" t="n"/>
      <c r="AQ588" s="154" t="n"/>
      <c r="AR588" s="154" t="n"/>
      <c r="AS588" s="154" t="n"/>
      <c r="AT588" s="154" t="n"/>
      <c r="AU588" s="154" t="n"/>
      <c r="AV588" s="154" t="n"/>
      <c r="AW588" s="154" t="n"/>
      <c r="AX588" s="154" t="n"/>
      <c r="AY588" s="154" t="n"/>
      <c r="AZ588" s="154" t="n"/>
      <c r="BA588" s="154" t="n"/>
      <c r="BB588" s="154" t="n"/>
      <c r="BC588" s="154" t="n"/>
      <c r="BD588" s="154" t="n"/>
      <c r="BE588" s="154" t="n"/>
      <c r="BF588" s="154" t="n"/>
      <c r="BG588" s="154" t="n"/>
      <c r="BH588" s="154" t="n"/>
    </row>
    <row r="589" ht="15.75" customHeight="1" s="251">
      <c r="A589" s="153" t="n"/>
      <c r="B589" s="154" t="n"/>
      <c r="C589" s="154" t="n"/>
      <c r="D589" s="154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  <c r="AA589" s="154" t="n"/>
      <c r="AB589" s="154" t="n"/>
      <c r="AC589" s="154" t="n"/>
      <c r="AD589" s="154" t="n"/>
      <c r="AE589" s="154" t="n"/>
      <c r="AF589" s="154" t="n"/>
      <c r="AG589" s="154" t="n"/>
      <c r="AH589" s="154" t="n"/>
      <c r="AI589" s="154" t="n"/>
      <c r="AJ589" s="154" t="n"/>
      <c r="AK589" s="154" t="n"/>
      <c r="AL589" s="154" t="n"/>
      <c r="AM589" s="154" t="n"/>
      <c r="AN589" s="154" t="n"/>
      <c r="AO589" s="154" t="n"/>
      <c r="AP589" s="154" t="n"/>
      <c r="AQ589" s="154" t="n"/>
      <c r="AR589" s="154" t="n"/>
      <c r="AS589" s="154" t="n"/>
      <c r="AT589" s="154" t="n"/>
      <c r="AU589" s="154" t="n"/>
      <c r="AV589" s="154" t="n"/>
      <c r="AW589" s="154" t="n"/>
      <c r="AX589" s="154" t="n"/>
      <c r="AY589" s="154" t="n"/>
      <c r="AZ589" s="154" t="n"/>
      <c r="BA589" s="154" t="n"/>
      <c r="BB589" s="154" t="n"/>
      <c r="BC589" s="154" t="n"/>
      <c r="BD589" s="154" t="n"/>
      <c r="BE589" s="154" t="n"/>
      <c r="BF589" s="154" t="n"/>
      <c r="BG589" s="154" t="n"/>
      <c r="BH589" s="154" t="n"/>
    </row>
    <row r="590" ht="15.75" customHeight="1" s="251">
      <c r="A590" s="153" t="n"/>
      <c r="B590" s="154" t="n"/>
      <c r="C590" s="154" t="n"/>
      <c r="D590" s="154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  <c r="AA590" s="154" t="n"/>
      <c r="AB590" s="154" t="n"/>
      <c r="AC590" s="154" t="n"/>
      <c r="AD590" s="154" t="n"/>
      <c r="AE590" s="154" t="n"/>
      <c r="AF590" s="154" t="n"/>
      <c r="AG590" s="154" t="n"/>
      <c r="AH590" s="154" t="n"/>
      <c r="AI590" s="154" t="n"/>
      <c r="AJ590" s="154" t="n"/>
      <c r="AK590" s="154" t="n"/>
      <c r="AL590" s="154" t="n"/>
      <c r="AM590" s="154" t="n"/>
      <c r="AN590" s="154" t="n"/>
      <c r="AO590" s="154" t="n"/>
      <c r="AP590" s="154" t="n"/>
      <c r="AQ590" s="154" t="n"/>
      <c r="AR590" s="154" t="n"/>
      <c r="AS590" s="154" t="n"/>
      <c r="AT590" s="154" t="n"/>
      <c r="AU590" s="154" t="n"/>
      <c r="AV590" s="154" t="n"/>
      <c r="AW590" s="154" t="n"/>
      <c r="AX590" s="154" t="n"/>
      <c r="AY590" s="154" t="n"/>
      <c r="AZ590" s="154" t="n"/>
      <c r="BA590" s="154" t="n"/>
      <c r="BB590" s="154" t="n"/>
      <c r="BC590" s="154" t="n"/>
      <c r="BD590" s="154" t="n"/>
      <c r="BE590" s="154" t="n"/>
      <c r="BF590" s="154" t="n"/>
      <c r="BG590" s="154" t="n"/>
      <c r="BH590" s="154" t="n"/>
    </row>
    <row r="591" ht="15.75" customHeight="1" s="251">
      <c r="A591" s="153" t="n"/>
      <c r="B591" s="154" t="n"/>
      <c r="C591" s="154" t="n"/>
      <c r="D591" s="154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  <c r="AA591" s="154" t="n"/>
      <c r="AB591" s="154" t="n"/>
      <c r="AC591" s="154" t="n"/>
      <c r="AD591" s="154" t="n"/>
      <c r="AE591" s="154" t="n"/>
      <c r="AF591" s="154" t="n"/>
      <c r="AG591" s="154" t="n"/>
      <c r="AH591" s="154" t="n"/>
      <c r="AI591" s="154" t="n"/>
      <c r="AJ591" s="154" t="n"/>
      <c r="AK591" s="154" t="n"/>
      <c r="AL591" s="154" t="n"/>
      <c r="AM591" s="154" t="n"/>
      <c r="AN591" s="154" t="n"/>
      <c r="AO591" s="154" t="n"/>
      <c r="AP591" s="154" t="n"/>
      <c r="AQ591" s="154" t="n"/>
      <c r="AR591" s="154" t="n"/>
      <c r="AS591" s="154" t="n"/>
      <c r="AT591" s="154" t="n"/>
      <c r="AU591" s="154" t="n"/>
      <c r="AV591" s="154" t="n"/>
      <c r="AW591" s="154" t="n"/>
      <c r="AX591" s="154" t="n"/>
      <c r="AY591" s="154" t="n"/>
      <c r="AZ591" s="154" t="n"/>
      <c r="BA591" s="154" t="n"/>
      <c r="BB591" s="154" t="n"/>
      <c r="BC591" s="154" t="n"/>
      <c r="BD591" s="154" t="n"/>
      <c r="BE591" s="154" t="n"/>
      <c r="BF591" s="154" t="n"/>
      <c r="BG591" s="154" t="n"/>
      <c r="BH591" s="154" t="n"/>
    </row>
    <row r="592" ht="15.75" customHeight="1" s="251">
      <c r="A592" s="153" t="n"/>
      <c r="B592" s="154" t="n"/>
      <c r="C592" s="154" t="n"/>
      <c r="D592" s="154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  <c r="AA592" s="154" t="n"/>
      <c r="AB592" s="154" t="n"/>
      <c r="AC592" s="154" t="n"/>
      <c r="AD592" s="154" t="n"/>
      <c r="AE592" s="154" t="n"/>
      <c r="AF592" s="154" t="n"/>
      <c r="AG592" s="154" t="n"/>
      <c r="AH592" s="154" t="n"/>
      <c r="AI592" s="154" t="n"/>
      <c r="AJ592" s="154" t="n"/>
      <c r="AK592" s="154" t="n"/>
      <c r="AL592" s="154" t="n"/>
      <c r="AM592" s="154" t="n"/>
      <c r="AN592" s="154" t="n"/>
      <c r="AO592" s="154" t="n"/>
      <c r="AP592" s="154" t="n"/>
      <c r="AQ592" s="154" t="n"/>
      <c r="AR592" s="154" t="n"/>
      <c r="AS592" s="154" t="n"/>
      <c r="AT592" s="154" t="n"/>
      <c r="AU592" s="154" t="n"/>
      <c r="AV592" s="154" t="n"/>
      <c r="AW592" s="154" t="n"/>
      <c r="AX592" s="154" t="n"/>
      <c r="AY592" s="154" t="n"/>
      <c r="AZ592" s="154" t="n"/>
      <c r="BA592" s="154" t="n"/>
      <c r="BB592" s="154" t="n"/>
      <c r="BC592" s="154" t="n"/>
      <c r="BD592" s="154" t="n"/>
      <c r="BE592" s="154" t="n"/>
      <c r="BF592" s="154" t="n"/>
      <c r="BG592" s="154" t="n"/>
      <c r="BH592" s="154" t="n"/>
    </row>
    <row r="593" ht="15.75" customHeight="1" s="251">
      <c r="A593" s="153" t="n"/>
      <c r="B593" s="154" t="n"/>
      <c r="C593" s="154" t="n"/>
      <c r="D593" s="154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  <c r="AA593" s="154" t="n"/>
      <c r="AB593" s="154" t="n"/>
      <c r="AC593" s="154" t="n"/>
      <c r="AD593" s="154" t="n"/>
      <c r="AE593" s="154" t="n"/>
      <c r="AF593" s="154" t="n"/>
      <c r="AG593" s="154" t="n"/>
      <c r="AH593" s="154" t="n"/>
      <c r="AI593" s="154" t="n"/>
      <c r="AJ593" s="154" t="n"/>
      <c r="AK593" s="154" t="n"/>
      <c r="AL593" s="154" t="n"/>
      <c r="AM593" s="154" t="n"/>
      <c r="AN593" s="154" t="n"/>
      <c r="AO593" s="154" t="n"/>
      <c r="AP593" s="154" t="n"/>
      <c r="AQ593" s="154" t="n"/>
      <c r="AR593" s="154" t="n"/>
      <c r="AS593" s="154" t="n"/>
      <c r="AT593" s="154" t="n"/>
      <c r="AU593" s="154" t="n"/>
      <c r="AV593" s="154" t="n"/>
      <c r="AW593" s="154" t="n"/>
      <c r="AX593" s="154" t="n"/>
      <c r="AY593" s="154" t="n"/>
      <c r="AZ593" s="154" t="n"/>
      <c r="BA593" s="154" t="n"/>
      <c r="BB593" s="154" t="n"/>
      <c r="BC593" s="154" t="n"/>
      <c r="BD593" s="154" t="n"/>
      <c r="BE593" s="154" t="n"/>
      <c r="BF593" s="154" t="n"/>
      <c r="BG593" s="154" t="n"/>
      <c r="BH593" s="154" t="n"/>
    </row>
    <row r="594" ht="15.75" customHeight="1" s="251">
      <c r="A594" s="153" t="n"/>
      <c r="B594" s="154" t="n"/>
      <c r="C594" s="154" t="n"/>
      <c r="D594" s="154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  <c r="AA594" s="154" t="n"/>
      <c r="AB594" s="154" t="n"/>
      <c r="AC594" s="154" t="n"/>
      <c r="AD594" s="154" t="n"/>
      <c r="AE594" s="154" t="n"/>
      <c r="AF594" s="154" t="n"/>
      <c r="AG594" s="154" t="n"/>
      <c r="AH594" s="154" t="n"/>
      <c r="AI594" s="154" t="n"/>
      <c r="AJ594" s="154" t="n"/>
      <c r="AK594" s="154" t="n"/>
      <c r="AL594" s="154" t="n"/>
      <c r="AM594" s="154" t="n"/>
      <c r="AN594" s="154" t="n"/>
      <c r="AO594" s="154" t="n"/>
      <c r="AP594" s="154" t="n"/>
      <c r="AQ594" s="154" t="n"/>
      <c r="AR594" s="154" t="n"/>
      <c r="AS594" s="154" t="n"/>
      <c r="AT594" s="154" t="n"/>
      <c r="AU594" s="154" t="n"/>
      <c r="AV594" s="154" t="n"/>
      <c r="AW594" s="154" t="n"/>
      <c r="AX594" s="154" t="n"/>
      <c r="AY594" s="154" t="n"/>
      <c r="AZ594" s="154" t="n"/>
      <c r="BA594" s="154" t="n"/>
      <c r="BB594" s="154" t="n"/>
      <c r="BC594" s="154" t="n"/>
      <c r="BD594" s="154" t="n"/>
      <c r="BE594" s="154" t="n"/>
      <c r="BF594" s="154" t="n"/>
      <c r="BG594" s="154" t="n"/>
      <c r="BH594" s="154" t="n"/>
    </row>
    <row r="595" ht="15.75" customHeight="1" s="251">
      <c r="A595" s="153" t="n"/>
      <c r="B595" s="154" t="n"/>
      <c r="C595" s="154" t="n"/>
      <c r="D595" s="154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  <c r="AA595" s="154" t="n"/>
      <c r="AB595" s="154" t="n"/>
      <c r="AC595" s="154" t="n"/>
      <c r="AD595" s="154" t="n"/>
      <c r="AE595" s="154" t="n"/>
      <c r="AF595" s="154" t="n"/>
      <c r="AG595" s="154" t="n"/>
      <c r="AH595" s="154" t="n"/>
      <c r="AI595" s="154" t="n"/>
      <c r="AJ595" s="154" t="n"/>
      <c r="AK595" s="154" t="n"/>
      <c r="AL595" s="154" t="n"/>
      <c r="AM595" s="154" t="n"/>
      <c r="AN595" s="154" t="n"/>
      <c r="AO595" s="154" t="n"/>
      <c r="AP595" s="154" t="n"/>
      <c r="AQ595" s="154" t="n"/>
      <c r="AR595" s="154" t="n"/>
      <c r="AS595" s="154" t="n"/>
      <c r="AT595" s="154" t="n"/>
      <c r="AU595" s="154" t="n"/>
      <c r="AV595" s="154" t="n"/>
      <c r="AW595" s="154" t="n"/>
      <c r="AX595" s="154" t="n"/>
      <c r="AY595" s="154" t="n"/>
      <c r="AZ595" s="154" t="n"/>
      <c r="BA595" s="154" t="n"/>
      <c r="BB595" s="154" t="n"/>
      <c r="BC595" s="154" t="n"/>
      <c r="BD595" s="154" t="n"/>
      <c r="BE595" s="154" t="n"/>
      <c r="BF595" s="154" t="n"/>
      <c r="BG595" s="154" t="n"/>
      <c r="BH595" s="154" t="n"/>
    </row>
    <row r="596" ht="15.75" customHeight="1" s="251">
      <c r="A596" s="153" t="n"/>
      <c r="B596" s="154" t="n"/>
      <c r="C596" s="154" t="n"/>
      <c r="D596" s="154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  <c r="AA596" s="154" t="n"/>
      <c r="AB596" s="154" t="n"/>
      <c r="AC596" s="154" t="n"/>
      <c r="AD596" s="154" t="n"/>
      <c r="AE596" s="154" t="n"/>
      <c r="AF596" s="154" t="n"/>
      <c r="AG596" s="154" t="n"/>
      <c r="AH596" s="154" t="n"/>
      <c r="AI596" s="154" t="n"/>
      <c r="AJ596" s="154" t="n"/>
      <c r="AK596" s="154" t="n"/>
      <c r="AL596" s="154" t="n"/>
      <c r="AM596" s="154" t="n"/>
      <c r="AN596" s="154" t="n"/>
      <c r="AO596" s="154" t="n"/>
      <c r="AP596" s="154" t="n"/>
      <c r="AQ596" s="154" t="n"/>
      <c r="AR596" s="154" t="n"/>
      <c r="AS596" s="154" t="n"/>
      <c r="AT596" s="154" t="n"/>
      <c r="AU596" s="154" t="n"/>
      <c r="AV596" s="154" t="n"/>
      <c r="AW596" s="154" t="n"/>
      <c r="AX596" s="154" t="n"/>
      <c r="AY596" s="154" t="n"/>
      <c r="AZ596" s="154" t="n"/>
      <c r="BA596" s="154" t="n"/>
      <c r="BB596" s="154" t="n"/>
      <c r="BC596" s="154" t="n"/>
      <c r="BD596" s="154" t="n"/>
      <c r="BE596" s="154" t="n"/>
      <c r="BF596" s="154" t="n"/>
      <c r="BG596" s="154" t="n"/>
      <c r="BH596" s="154" t="n"/>
    </row>
    <row r="597" ht="15.75" customHeight="1" s="251">
      <c r="A597" s="153" t="n"/>
      <c r="B597" s="154" t="n"/>
      <c r="C597" s="154" t="n"/>
      <c r="D597" s="154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  <c r="AA597" s="154" t="n"/>
      <c r="AB597" s="154" t="n"/>
      <c r="AC597" s="154" t="n"/>
      <c r="AD597" s="154" t="n"/>
      <c r="AE597" s="154" t="n"/>
      <c r="AF597" s="154" t="n"/>
      <c r="AG597" s="154" t="n"/>
      <c r="AH597" s="154" t="n"/>
      <c r="AI597" s="154" t="n"/>
      <c r="AJ597" s="154" t="n"/>
      <c r="AK597" s="154" t="n"/>
      <c r="AL597" s="154" t="n"/>
      <c r="AM597" s="154" t="n"/>
      <c r="AN597" s="154" t="n"/>
      <c r="AO597" s="154" t="n"/>
      <c r="AP597" s="154" t="n"/>
      <c r="AQ597" s="154" t="n"/>
      <c r="AR597" s="154" t="n"/>
      <c r="AS597" s="154" t="n"/>
      <c r="AT597" s="154" t="n"/>
      <c r="AU597" s="154" t="n"/>
      <c r="AV597" s="154" t="n"/>
      <c r="AW597" s="154" t="n"/>
      <c r="AX597" s="154" t="n"/>
      <c r="AY597" s="154" t="n"/>
      <c r="AZ597" s="154" t="n"/>
      <c r="BA597" s="154" t="n"/>
      <c r="BB597" s="154" t="n"/>
      <c r="BC597" s="154" t="n"/>
      <c r="BD597" s="154" t="n"/>
      <c r="BE597" s="154" t="n"/>
      <c r="BF597" s="154" t="n"/>
      <c r="BG597" s="154" t="n"/>
      <c r="BH597" s="154" t="n"/>
    </row>
    <row r="598" ht="15.75" customHeight="1" s="251">
      <c r="A598" s="153" t="n"/>
      <c r="B598" s="154" t="n"/>
      <c r="C598" s="154" t="n"/>
      <c r="D598" s="154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  <c r="AA598" s="154" t="n"/>
      <c r="AB598" s="154" t="n"/>
      <c r="AC598" s="154" t="n"/>
      <c r="AD598" s="154" t="n"/>
      <c r="AE598" s="154" t="n"/>
      <c r="AF598" s="154" t="n"/>
      <c r="AG598" s="154" t="n"/>
      <c r="AH598" s="154" t="n"/>
      <c r="AI598" s="154" t="n"/>
      <c r="AJ598" s="154" t="n"/>
      <c r="AK598" s="154" t="n"/>
      <c r="AL598" s="154" t="n"/>
      <c r="AM598" s="154" t="n"/>
      <c r="AN598" s="154" t="n"/>
      <c r="AO598" s="154" t="n"/>
      <c r="AP598" s="154" t="n"/>
      <c r="AQ598" s="154" t="n"/>
      <c r="AR598" s="154" t="n"/>
      <c r="AS598" s="154" t="n"/>
      <c r="AT598" s="154" t="n"/>
      <c r="AU598" s="154" t="n"/>
      <c r="AV598" s="154" t="n"/>
      <c r="AW598" s="154" t="n"/>
      <c r="AX598" s="154" t="n"/>
      <c r="AY598" s="154" t="n"/>
      <c r="AZ598" s="154" t="n"/>
      <c r="BA598" s="154" t="n"/>
      <c r="BB598" s="154" t="n"/>
      <c r="BC598" s="154" t="n"/>
      <c r="BD598" s="154" t="n"/>
      <c r="BE598" s="154" t="n"/>
      <c r="BF598" s="154" t="n"/>
      <c r="BG598" s="154" t="n"/>
      <c r="BH598" s="154" t="n"/>
    </row>
    <row r="599" ht="15.75" customHeight="1" s="251">
      <c r="A599" s="153" t="n"/>
      <c r="B599" s="154" t="n"/>
      <c r="C599" s="154" t="n"/>
      <c r="D599" s="154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  <c r="AA599" s="154" t="n"/>
      <c r="AB599" s="154" t="n"/>
      <c r="AC599" s="154" t="n"/>
      <c r="AD599" s="154" t="n"/>
      <c r="AE599" s="154" t="n"/>
      <c r="AF599" s="154" t="n"/>
      <c r="AG599" s="154" t="n"/>
      <c r="AH599" s="154" t="n"/>
      <c r="AI599" s="154" t="n"/>
      <c r="AJ599" s="154" t="n"/>
      <c r="AK599" s="154" t="n"/>
      <c r="AL599" s="154" t="n"/>
      <c r="AM599" s="154" t="n"/>
      <c r="AN599" s="154" t="n"/>
      <c r="AO599" s="154" t="n"/>
      <c r="AP599" s="154" t="n"/>
      <c r="AQ599" s="154" t="n"/>
      <c r="AR599" s="154" t="n"/>
      <c r="AS599" s="154" t="n"/>
      <c r="AT599" s="154" t="n"/>
      <c r="AU599" s="154" t="n"/>
      <c r="AV599" s="154" t="n"/>
      <c r="AW599" s="154" t="n"/>
      <c r="AX599" s="154" t="n"/>
      <c r="AY599" s="154" t="n"/>
      <c r="AZ599" s="154" t="n"/>
      <c r="BA599" s="154" t="n"/>
      <c r="BB599" s="154" t="n"/>
      <c r="BC599" s="154" t="n"/>
      <c r="BD599" s="154" t="n"/>
      <c r="BE599" s="154" t="n"/>
      <c r="BF599" s="154" t="n"/>
      <c r="BG599" s="154" t="n"/>
      <c r="BH599" s="154" t="n"/>
    </row>
    <row r="600" ht="15.75" customHeight="1" s="251">
      <c r="A600" s="153" t="n"/>
      <c r="B600" s="154" t="n"/>
      <c r="C600" s="154" t="n"/>
      <c r="D600" s="154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  <c r="AA600" s="154" t="n"/>
      <c r="AB600" s="154" t="n"/>
      <c r="AC600" s="154" t="n"/>
      <c r="AD600" s="154" t="n"/>
      <c r="AE600" s="154" t="n"/>
      <c r="AF600" s="154" t="n"/>
      <c r="AG600" s="154" t="n"/>
      <c r="AH600" s="154" t="n"/>
      <c r="AI600" s="154" t="n"/>
      <c r="AJ600" s="154" t="n"/>
      <c r="AK600" s="154" t="n"/>
      <c r="AL600" s="154" t="n"/>
      <c r="AM600" s="154" t="n"/>
      <c r="AN600" s="154" t="n"/>
      <c r="AO600" s="154" t="n"/>
      <c r="AP600" s="154" t="n"/>
      <c r="AQ600" s="154" t="n"/>
      <c r="AR600" s="154" t="n"/>
      <c r="AS600" s="154" t="n"/>
      <c r="AT600" s="154" t="n"/>
      <c r="AU600" s="154" t="n"/>
      <c r="AV600" s="154" t="n"/>
      <c r="AW600" s="154" t="n"/>
      <c r="AX600" s="154" t="n"/>
      <c r="AY600" s="154" t="n"/>
      <c r="AZ600" s="154" t="n"/>
      <c r="BA600" s="154" t="n"/>
      <c r="BB600" s="154" t="n"/>
      <c r="BC600" s="154" t="n"/>
      <c r="BD600" s="154" t="n"/>
      <c r="BE600" s="154" t="n"/>
      <c r="BF600" s="154" t="n"/>
      <c r="BG600" s="154" t="n"/>
      <c r="BH600" s="154" t="n"/>
    </row>
    <row r="601" ht="15.75" customHeight="1" s="251">
      <c r="A601" s="153" t="n"/>
      <c r="B601" s="154" t="n"/>
      <c r="C601" s="154" t="n"/>
      <c r="D601" s="154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  <c r="AA601" s="154" t="n"/>
      <c r="AB601" s="154" t="n"/>
      <c r="AC601" s="154" t="n"/>
      <c r="AD601" s="154" t="n"/>
      <c r="AE601" s="154" t="n"/>
      <c r="AF601" s="154" t="n"/>
      <c r="AG601" s="154" t="n"/>
      <c r="AH601" s="154" t="n"/>
      <c r="AI601" s="154" t="n"/>
      <c r="AJ601" s="154" t="n"/>
      <c r="AK601" s="154" t="n"/>
      <c r="AL601" s="154" t="n"/>
      <c r="AM601" s="154" t="n"/>
      <c r="AN601" s="154" t="n"/>
      <c r="AO601" s="154" t="n"/>
      <c r="AP601" s="154" t="n"/>
      <c r="AQ601" s="154" t="n"/>
      <c r="AR601" s="154" t="n"/>
      <c r="AS601" s="154" t="n"/>
      <c r="AT601" s="154" t="n"/>
      <c r="AU601" s="154" t="n"/>
      <c r="AV601" s="154" t="n"/>
      <c r="AW601" s="154" t="n"/>
      <c r="AX601" s="154" t="n"/>
      <c r="AY601" s="154" t="n"/>
      <c r="AZ601" s="154" t="n"/>
      <c r="BA601" s="154" t="n"/>
      <c r="BB601" s="154" t="n"/>
      <c r="BC601" s="154" t="n"/>
      <c r="BD601" s="154" t="n"/>
      <c r="BE601" s="154" t="n"/>
      <c r="BF601" s="154" t="n"/>
      <c r="BG601" s="154" t="n"/>
      <c r="BH601" s="154" t="n"/>
    </row>
    <row r="602" ht="15.75" customHeight="1" s="251">
      <c r="A602" s="153" t="n"/>
      <c r="B602" s="154" t="n"/>
      <c r="C602" s="154" t="n"/>
      <c r="D602" s="154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  <c r="AA602" s="154" t="n"/>
      <c r="AB602" s="154" t="n"/>
      <c r="AC602" s="154" t="n"/>
      <c r="AD602" s="154" t="n"/>
      <c r="AE602" s="154" t="n"/>
      <c r="AF602" s="154" t="n"/>
      <c r="AG602" s="154" t="n"/>
      <c r="AH602" s="154" t="n"/>
      <c r="AI602" s="154" t="n"/>
      <c r="AJ602" s="154" t="n"/>
      <c r="AK602" s="154" t="n"/>
      <c r="AL602" s="154" t="n"/>
      <c r="AM602" s="154" t="n"/>
      <c r="AN602" s="154" t="n"/>
      <c r="AO602" s="154" t="n"/>
      <c r="AP602" s="154" t="n"/>
      <c r="AQ602" s="154" t="n"/>
      <c r="AR602" s="154" t="n"/>
      <c r="AS602" s="154" t="n"/>
      <c r="AT602" s="154" t="n"/>
      <c r="AU602" s="154" t="n"/>
      <c r="AV602" s="154" t="n"/>
      <c r="AW602" s="154" t="n"/>
      <c r="AX602" s="154" t="n"/>
      <c r="AY602" s="154" t="n"/>
      <c r="AZ602" s="154" t="n"/>
      <c r="BA602" s="154" t="n"/>
      <c r="BB602" s="154" t="n"/>
      <c r="BC602" s="154" t="n"/>
      <c r="BD602" s="154" t="n"/>
      <c r="BE602" s="154" t="n"/>
      <c r="BF602" s="154" t="n"/>
      <c r="BG602" s="154" t="n"/>
      <c r="BH602" s="154" t="n"/>
    </row>
    <row r="603" ht="15.75" customHeight="1" s="251">
      <c r="A603" s="153" t="n"/>
      <c r="B603" s="154" t="n"/>
      <c r="C603" s="154" t="n"/>
      <c r="D603" s="154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  <c r="AA603" s="154" t="n"/>
      <c r="AB603" s="154" t="n"/>
      <c r="AC603" s="154" t="n"/>
      <c r="AD603" s="154" t="n"/>
      <c r="AE603" s="154" t="n"/>
      <c r="AF603" s="154" t="n"/>
      <c r="AG603" s="154" t="n"/>
      <c r="AH603" s="154" t="n"/>
      <c r="AI603" s="154" t="n"/>
      <c r="AJ603" s="154" t="n"/>
      <c r="AK603" s="154" t="n"/>
      <c r="AL603" s="154" t="n"/>
      <c r="AM603" s="154" t="n"/>
      <c r="AN603" s="154" t="n"/>
      <c r="AO603" s="154" t="n"/>
      <c r="AP603" s="154" t="n"/>
      <c r="AQ603" s="154" t="n"/>
      <c r="AR603" s="154" t="n"/>
      <c r="AS603" s="154" t="n"/>
      <c r="AT603" s="154" t="n"/>
      <c r="AU603" s="154" t="n"/>
      <c r="AV603" s="154" t="n"/>
      <c r="AW603" s="154" t="n"/>
      <c r="AX603" s="154" t="n"/>
      <c r="AY603" s="154" t="n"/>
      <c r="AZ603" s="154" t="n"/>
      <c r="BA603" s="154" t="n"/>
      <c r="BB603" s="154" t="n"/>
      <c r="BC603" s="154" t="n"/>
      <c r="BD603" s="154" t="n"/>
      <c r="BE603" s="154" t="n"/>
      <c r="BF603" s="154" t="n"/>
      <c r="BG603" s="154" t="n"/>
      <c r="BH603" s="154" t="n"/>
    </row>
    <row r="604" ht="15.75" customHeight="1" s="251">
      <c r="A604" s="153" t="n"/>
      <c r="B604" s="154" t="n"/>
      <c r="C604" s="154" t="n"/>
      <c r="D604" s="154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  <c r="AA604" s="154" t="n"/>
      <c r="AB604" s="154" t="n"/>
      <c r="AC604" s="154" t="n"/>
      <c r="AD604" s="154" t="n"/>
      <c r="AE604" s="154" t="n"/>
      <c r="AF604" s="154" t="n"/>
      <c r="AG604" s="154" t="n"/>
      <c r="AH604" s="154" t="n"/>
      <c r="AI604" s="154" t="n"/>
      <c r="AJ604" s="154" t="n"/>
      <c r="AK604" s="154" t="n"/>
      <c r="AL604" s="154" t="n"/>
      <c r="AM604" s="154" t="n"/>
      <c r="AN604" s="154" t="n"/>
      <c r="AO604" s="154" t="n"/>
      <c r="AP604" s="154" t="n"/>
      <c r="AQ604" s="154" t="n"/>
      <c r="AR604" s="154" t="n"/>
      <c r="AS604" s="154" t="n"/>
      <c r="AT604" s="154" t="n"/>
      <c r="AU604" s="154" t="n"/>
      <c r="AV604" s="154" t="n"/>
      <c r="AW604" s="154" t="n"/>
      <c r="AX604" s="154" t="n"/>
      <c r="AY604" s="154" t="n"/>
      <c r="AZ604" s="154" t="n"/>
      <c r="BA604" s="154" t="n"/>
      <c r="BB604" s="154" t="n"/>
      <c r="BC604" s="154" t="n"/>
      <c r="BD604" s="154" t="n"/>
      <c r="BE604" s="154" t="n"/>
      <c r="BF604" s="154" t="n"/>
      <c r="BG604" s="154" t="n"/>
      <c r="BH604" s="154" t="n"/>
    </row>
    <row r="605" ht="15.75" customHeight="1" s="251">
      <c r="A605" s="153" t="n"/>
      <c r="B605" s="154" t="n"/>
      <c r="C605" s="154" t="n"/>
      <c r="D605" s="154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  <c r="AA605" s="154" t="n"/>
      <c r="AB605" s="154" t="n"/>
      <c r="AC605" s="154" t="n"/>
      <c r="AD605" s="154" t="n"/>
      <c r="AE605" s="154" t="n"/>
      <c r="AF605" s="154" t="n"/>
      <c r="AG605" s="154" t="n"/>
      <c r="AH605" s="154" t="n"/>
      <c r="AI605" s="154" t="n"/>
      <c r="AJ605" s="154" t="n"/>
      <c r="AK605" s="154" t="n"/>
      <c r="AL605" s="154" t="n"/>
      <c r="AM605" s="154" t="n"/>
      <c r="AN605" s="154" t="n"/>
      <c r="AO605" s="154" t="n"/>
      <c r="AP605" s="154" t="n"/>
      <c r="AQ605" s="154" t="n"/>
      <c r="AR605" s="154" t="n"/>
      <c r="AS605" s="154" t="n"/>
      <c r="AT605" s="154" t="n"/>
      <c r="AU605" s="154" t="n"/>
      <c r="AV605" s="154" t="n"/>
      <c r="AW605" s="154" t="n"/>
      <c r="AX605" s="154" t="n"/>
      <c r="AY605" s="154" t="n"/>
      <c r="AZ605" s="154" t="n"/>
      <c r="BA605" s="154" t="n"/>
      <c r="BB605" s="154" t="n"/>
      <c r="BC605" s="154" t="n"/>
      <c r="BD605" s="154" t="n"/>
      <c r="BE605" s="154" t="n"/>
      <c r="BF605" s="154" t="n"/>
      <c r="BG605" s="154" t="n"/>
      <c r="BH605" s="154" t="n"/>
    </row>
    <row r="606" ht="15.75" customHeight="1" s="251">
      <c r="A606" s="153" t="n"/>
      <c r="B606" s="154" t="n"/>
      <c r="C606" s="154" t="n"/>
      <c r="D606" s="154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  <c r="AA606" s="154" t="n"/>
      <c r="AB606" s="154" t="n"/>
      <c r="AC606" s="154" t="n"/>
      <c r="AD606" s="154" t="n"/>
      <c r="AE606" s="154" t="n"/>
      <c r="AF606" s="154" t="n"/>
      <c r="AG606" s="154" t="n"/>
      <c r="AH606" s="154" t="n"/>
      <c r="AI606" s="154" t="n"/>
      <c r="AJ606" s="154" t="n"/>
      <c r="AK606" s="154" t="n"/>
      <c r="AL606" s="154" t="n"/>
      <c r="AM606" s="154" t="n"/>
      <c r="AN606" s="154" t="n"/>
      <c r="AO606" s="154" t="n"/>
      <c r="AP606" s="154" t="n"/>
      <c r="AQ606" s="154" t="n"/>
      <c r="AR606" s="154" t="n"/>
      <c r="AS606" s="154" t="n"/>
      <c r="AT606" s="154" t="n"/>
      <c r="AU606" s="154" t="n"/>
      <c r="AV606" s="154" t="n"/>
      <c r="AW606" s="154" t="n"/>
      <c r="AX606" s="154" t="n"/>
      <c r="AY606" s="154" t="n"/>
      <c r="AZ606" s="154" t="n"/>
      <c r="BA606" s="154" t="n"/>
      <c r="BB606" s="154" t="n"/>
      <c r="BC606" s="154" t="n"/>
      <c r="BD606" s="154" t="n"/>
      <c r="BE606" s="154" t="n"/>
      <c r="BF606" s="154" t="n"/>
      <c r="BG606" s="154" t="n"/>
      <c r="BH606" s="154" t="n"/>
    </row>
    <row r="607" ht="15.75" customHeight="1" s="251">
      <c r="A607" s="153" t="n"/>
      <c r="B607" s="154" t="n"/>
      <c r="C607" s="154" t="n"/>
      <c r="D607" s="154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  <c r="AA607" s="154" t="n"/>
      <c r="AB607" s="154" t="n"/>
      <c r="AC607" s="154" t="n"/>
      <c r="AD607" s="154" t="n"/>
      <c r="AE607" s="154" t="n"/>
      <c r="AF607" s="154" t="n"/>
      <c r="AG607" s="154" t="n"/>
      <c r="AH607" s="154" t="n"/>
      <c r="AI607" s="154" t="n"/>
      <c r="AJ607" s="154" t="n"/>
      <c r="AK607" s="154" t="n"/>
      <c r="AL607" s="154" t="n"/>
      <c r="AM607" s="154" t="n"/>
      <c r="AN607" s="154" t="n"/>
      <c r="AO607" s="154" t="n"/>
      <c r="AP607" s="154" t="n"/>
      <c r="AQ607" s="154" t="n"/>
      <c r="AR607" s="154" t="n"/>
      <c r="AS607" s="154" t="n"/>
      <c r="AT607" s="154" t="n"/>
      <c r="AU607" s="154" t="n"/>
      <c r="AV607" s="154" t="n"/>
      <c r="AW607" s="154" t="n"/>
      <c r="AX607" s="154" t="n"/>
      <c r="AY607" s="154" t="n"/>
      <c r="AZ607" s="154" t="n"/>
      <c r="BA607" s="154" t="n"/>
      <c r="BB607" s="154" t="n"/>
      <c r="BC607" s="154" t="n"/>
      <c r="BD607" s="154" t="n"/>
      <c r="BE607" s="154" t="n"/>
      <c r="BF607" s="154" t="n"/>
      <c r="BG607" s="154" t="n"/>
      <c r="BH607" s="154" t="n"/>
    </row>
    <row r="608" ht="15.75" customHeight="1" s="251">
      <c r="A608" s="153" t="n"/>
      <c r="B608" s="154" t="n"/>
      <c r="C608" s="154" t="n"/>
      <c r="D608" s="154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  <c r="AA608" s="154" t="n"/>
      <c r="AB608" s="154" t="n"/>
      <c r="AC608" s="154" t="n"/>
      <c r="AD608" s="154" t="n"/>
      <c r="AE608" s="154" t="n"/>
      <c r="AF608" s="154" t="n"/>
      <c r="AG608" s="154" t="n"/>
      <c r="AH608" s="154" t="n"/>
      <c r="AI608" s="154" t="n"/>
      <c r="AJ608" s="154" t="n"/>
      <c r="AK608" s="154" t="n"/>
      <c r="AL608" s="154" t="n"/>
      <c r="AM608" s="154" t="n"/>
      <c r="AN608" s="154" t="n"/>
      <c r="AO608" s="154" t="n"/>
      <c r="AP608" s="154" t="n"/>
      <c r="AQ608" s="154" t="n"/>
      <c r="AR608" s="154" t="n"/>
      <c r="AS608" s="154" t="n"/>
      <c r="AT608" s="154" t="n"/>
      <c r="AU608" s="154" t="n"/>
      <c r="AV608" s="154" t="n"/>
      <c r="AW608" s="154" t="n"/>
      <c r="AX608" s="154" t="n"/>
      <c r="AY608" s="154" t="n"/>
      <c r="AZ608" s="154" t="n"/>
      <c r="BA608" s="154" t="n"/>
      <c r="BB608" s="154" t="n"/>
      <c r="BC608" s="154" t="n"/>
      <c r="BD608" s="154" t="n"/>
      <c r="BE608" s="154" t="n"/>
      <c r="BF608" s="154" t="n"/>
      <c r="BG608" s="154" t="n"/>
      <c r="BH608" s="154" t="n"/>
    </row>
    <row r="609" ht="15.75" customHeight="1" s="251">
      <c r="A609" s="153" t="n"/>
      <c r="B609" s="154" t="n"/>
      <c r="C609" s="154" t="n"/>
      <c r="D609" s="154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  <c r="AA609" s="154" t="n"/>
      <c r="AB609" s="154" t="n"/>
      <c r="AC609" s="154" t="n"/>
      <c r="AD609" s="154" t="n"/>
      <c r="AE609" s="154" t="n"/>
      <c r="AF609" s="154" t="n"/>
      <c r="AG609" s="154" t="n"/>
      <c r="AH609" s="154" t="n"/>
      <c r="AI609" s="154" t="n"/>
      <c r="AJ609" s="154" t="n"/>
      <c r="AK609" s="154" t="n"/>
      <c r="AL609" s="154" t="n"/>
      <c r="AM609" s="154" t="n"/>
      <c r="AN609" s="154" t="n"/>
      <c r="AO609" s="154" t="n"/>
      <c r="AP609" s="154" t="n"/>
      <c r="AQ609" s="154" t="n"/>
      <c r="AR609" s="154" t="n"/>
      <c r="AS609" s="154" t="n"/>
      <c r="AT609" s="154" t="n"/>
      <c r="AU609" s="154" t="n"/>
      <c r="AV609" s="154" t="n"/>
      <c r="AW609" s="154" t="n"/>
      <c r="AX609" s="154" t="n"/>
      <c r="AY609" s="154" t="n"/>
      <c r="AZ609" s="154" t="n"/>
      <c r="BA609" s="154" t="n"/>
      <c r="BB609" s="154" t="n"/>
      <c r="BC609" s="154" t="n"/>
      <c r="BD609" s="154" t="n"/>
      <c r="BE609" s="154" t="n"/>
      <c r="BF609" s="154" t="n"/>
      <c r="BG609" s="154" t="n"/>
      <c r="BH609" s="154" t="n"/>
    </row>
    <row r="610" ht="15.75" customHeight="1" s="251">
      <c r="A610" s="153" t="n"/>
      <c r="B610" s="154" t="n"/>
      <c r="C610" s="154" t="n"/>
      <c r="D610" s="154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  <c r="AA610" s="154" t="n"/>
      <c r="AB610" s="154" t="n"/>
      <c r="AC610" s="154" t="n"/>
      <c r="AD610" s="154" t="n"/>
      <c r="AE610" s="154" t="n"/>
      <c r="AF610" s="154" t="n"/>
      <c r="AG610" s="154" t="n"/>
      <c r="AH610" s="154" t="n"/>
      <c r="AI610" s="154" t="n"/>
      <c r="AJ610" s="154" t="n"/>
      <c r="AK610" s="154" t="n"/>
      <c r="AL610" s="154" t="n"/>
      <c r="AM610" s="154" t="n"/>
      <c r="AN610" s="154" t="n"/>
      <c r="AO610" s="154" t="n"/>
      <c r="AP610" s="154" t="n"/>
      <c r="AQ610" s="154" t="n"/>
      <c r="AR610" s="154" t="n"/>
      <c r="AS610" s="154" t="n"/>
      <c r="AT610" s="154" t="n"/>
      <c r="AU610" s="154" t="n"/>
      <c r="AV610" s="154" t="n"/>
      <c r="AW610" s="154" t="n"/>
      <c r="AX610" s="154" t="n"/>
      <c r="AY610" s="154" t="n"/>
      <c r="AZ610" s="154" t="n"/>
      <c r="BA610" s="154" t="n"/>
      <c r="BB610" s="154" t="n"/>
      <c r="BC610" s="154" t="n"/>
      <c r="BD610" s="154" t="n"/>
      <c r="BE610" s="154" t="n"/>
      <c r="BF610" s="154" t="n"/>
      <c r="BG610" s="154" t="n"/>
      <c r="BH610" s="154" t="n"/>
    </row>
    <row r="611" ht="15.75" customHeight="1" s="251">
      <c r="A611" s="153" t="n"/>
      <c r="B611" s="154" t="n"/>
      <c r="C611" s="154" t="n"/>
      <c r="D611" s="154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  <c r="AA611" s="154" t="n"/>
      <c r="AB611" s="154" t="n"/>
      <c r="AC611" s="154" t="n"/>
      <c r="AD611" s="154" t="n"/>
      <c r="AE611" s="154" t="n"/>
      <c r="AF611" s="154" t="n"/>
      <c r="AG611" s="154" t="n"/>
      <c r="AH611" s="154" t="n"/>
      <c r="AI611" s="154" t="n"/>
      <c r="AJ611" s="154" t="n"/>
      <c r="AK611" s="154" t="n"/>
      <c r="AL611" s="154" t="n"/>
      <c r="AM611" s="154" t="n"/>
      <c r="AN611" s="154" t="n"/>
      <c r="AO611" s="154" t="n"/>
      <c r="AP611" s="154" t="n"/>
      <c r="AQ611" s="154" t="n"/>
      <c r="AR611" s="154" t="n"/>
      <c r="AS611" s="154" t="n"/>
      <c r="AT611" s="154" t="n"/>
      <c r="AU611" s="154" t="n"/>
      <c r="AV611" s="154" t="n"/>
      <c r="AW611" s="154" t="n"/>
      <c r="AX611" s="154" t="n"/>
      <c r="AY611" s="154" t="n"/>
      <c r="AZ611" s="154" t="n"/>
      <c r="BA611" s="154" t="n"/>
      <c r="BB611" s="154" t="n"/>
      <c r="BC611" s="154" t="n"/>
      <c r="BD611" s="154" t="n"/>
      <c r="BE611" s="154" t="n"/>
      <c r="BF611" s="154" t="n"/>
      <c r="BG611" s="154" t="n"/>
      <c r="BH611" s="154" t="n"/>
    </row>
    <row r="612" ht="15.75" customHeight="1" s="251">
      <c r="A612" s="153" t="n"/>
      <c r="B612" s="154" t="n"/>
      <c r="C612" s="154" t="n"/>
      <c r="D612" s="154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  <c r="AA612" s="154" t="n"/>
      <c r="AB612" s="154" t="n"/>
      <c r="AC612" s="154" t="n"/>
      <c r="AD612" s="154" t="n"/>
      <c r="AE612" s="154" t="n"/>
      <c r="AF612" s="154" t="n"/>
      <c r="AG612" s="154" t="n"/>
      <c r="AH612" s="154" t="n"/>
      <c r="AI612" s="154" t="n"/>
      <c r="AJ612" s="154" t="n"/>
      <c r="AK612" s="154" t="n"/>
      <c r="AL612" s="154" t="n"/>
      <c r="AM612" s="154" t="n"/>
      <c r="AN612" s="154" t="n"/>
      <c r="AO612" s="154" t="n"/>
      <c r="AP612" s="154" t="n"/>
      <c r="AQ612" s="154" t="n"/>
      <c r="AR612" s="154" t="n"/>
      <c r="AS612" s="154" t="n"/>
      <c r="AT612" s="154" t="n"/>
      <c r="AU612" s="154" t="n"/>
      <c r="AV612" s="154" t="n"/>
      <c r="AW612" s="154" t="n"/>
      <c r="AX612" s="154" t="n"/>
      <c r="AY612" s="154" t="n"/>
      <c r="AZ612" s="154" t="n"/>
      <c r="BA612" s="154" t="n"/>
      <c r="BB612" s="154" t="n"/>
      <c r="BC612" s="154" t="n"/>
      <c r="BD612" s="154" t="n"/>
      <c r="BE612" s="154" t="n"/>
      <c r="BF612" s="154" t="n"/>
      <c r="BG612" s="154" t="n"/>
      <c r="BH612" s="154" t="n"/>
    </row>
    <row r="613" ht="15.75" customHeight="1" s="251">
      <c r="A613" s="153" t="n"/>
      <c r="B613" s="154" t="n"/>
      <c r="C613" s="154" t="n"/>
      <c r="D613" s="154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  <c r="AA613" s="154" t="n"/>
      <c r="AB613" s="154" t="n"/>
      <c r="AC613" s="154" t="n"/>
      <c r="AD613" s="154" t="n"/>
      <c r="AE613" s="154" t="n"/>
      <c r="AF613" s="154" t="n"/>
      <c r="AG613" s="154" t="n"/>
      <c r="AH613" s="154" t="n"/>
      <c r="AI613" s="154" t="n"/>
      <c r="AJ613" s="154" t="n"/>
      <c r="AK613" s="154" t="n"/>
      <c r="AL613" s="154" t="n"/>
      <c r="AM613" s="154" t="n"/>
      <c r="AN613" s="154" t="n"/>
      <c r="AO613" s="154" t="n"/>
      <c r="AP613" s="154" t="n"/>
      <c r="AQ613" s="154" t="n"/>
      <c r="AR613" s="154" t="n"/>
      <c r="AS613" s="154" t="n"/>
      <c r="AT613" s="154" t="n"/>
      <c r="AU613" s="154" t="n"/>
      <c r="AV613" s="154" t="n"/>
      <c r="AW613" s="154" t="n"/>
      <c r="AX613" s="154" t="n"/>
      <c r="AY613" s="154" t="n"/>
      <c r="AZ613" s="154" t="n"/>
      <c r="BA613" s="154" t="n"/>
      <c r="BB613" s="154" t="n"/>
      <c r="BC613" s="154" t="n"/>
      <c r="BD613" s="154" t="n"/>
      <c r="BE613" s="154" t="n"/>
      <c r="BF613" s="154" t="n"/>
      <c r="BG613" s="154" t="n"/>
      <c r="BH613" s="154" t="n"/>
    </row>
    <row r="614" ht="15.75" customHeight="1" s="251">
      <c r="A614" s="153" t="n"/>
      <c r="B614" s="154" t="n"/>
      <c r="C614" s="154" t="n"/>
      <c r="D614" s="154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  <c r="AA614" s="154" t="n"/>
      <c r="AB614" s="154" t="n"/>
      <c r="AC614" s="154" t="n"/>
      <c r="AD614" s="154" t="n"/>
      <c r="AE614" s="154" t="n"/>
      <c r="AF614" s="154" t="n"/>
      <c r="AG614" s="154" t="n"/>
      <c r="AH614" s="154" t="n"/>
      <c r="AI614" s="154" t="n"/>
      <c r="AJ614" s="154" t="n"/>
      <c r="AK614" s="154" t="n"/>
      <c r="AL614" s="154" t="n"/>
      <c r="AM614" s="154" t="n"/>
      <c r="AN614" s="154" t="n"/>
      <c r="AO614" s="154" t="n"/>
      <c r="AP614" s="154" t="n"/>
      <c r="AQ614" s="154" t="n"/>
      <c r="AR614" s="154" t="n"/>
      <c r="AS614" s="154" t="n"/>
      <c r="AT614" s="154" t="n"/>
      <c r="AU614" s="154" t="n"/>
      <c r="AV614" s="154" t="n"/>
      <c r="AW614" s="154" t="n"/>
      <c r="AX614" s="154" t="n"/>
      <c r="AY614" s="154" t="n"/>
      <c r="AZ614" s="154" t="n"/>
      <c r="BA614" s="154" t="n"/>
      <c r="BB614" s="154" t="n"/>
      <c r="BC614" s="154" t="n"/>
      <c r="BD614" s="154" t="n"/>
      <c r="BE614" s="154" t="n"/>
      <c r="BF614" s="154" t="n"/>
      <c r="BG614" s="154" t="n"/>
      <c r="BH614" s="154" t="n"/>
    </row>
    <row r="615" ht="15.75" customHeight="1" s="251">
      <c r="A615" s="153" t="n"/>
      <c r="B615" s="154" t="n"/>
      <c r="C615" s="154" t="n"/>
      <c r="D615" s="154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  <c r="AA615" s="154" t="n"/>
      <c r="AB615" s="154" t="n"/>
      <c r="AC615" s="154" t="n"/>
      <c r="AD615" s="154" t="n"/>
      <c r="AE615" s="154" t="n"/>
      <c r="AF615" s="154" t="n"/>
      <c r="AG615" s="154" t="n"/>
      <c r="AH615" s="154" t="n"/>
      <c r="AI615" s="154" t="n"/>
      <c r="AJ615" s="154" t="n"/>
      <c r="AK615" s="154" t="n"/>
      <c r="AL615" s="154" t="n"/>
      <c r="AM615" s="154" t="n"/>
      <c r="AN615" s="154" t="n"/>
      <c r="AO615" s="154" t="n"/>
      <c r="AP615" s="154" t="n"/>
      <c r="AQ615" s="154" t="n"/>
      <c r="AR615" s="154" t="n"/>
      <c r="AS615" s="154" t="n"/>
      <c r="AT615" s="154" t="n"/>
      <c r="AU615" s="154" t="n"/>
      <c r="AV615" s="154" t="n"/>
      <c r="AW615" s="154" t="n"/>
      <c r="AX615" s="154" t="n"/>
      <c r="AY615" s="154" t="n"/>
      <c r="AZ615" s="154" t="n"/>
      <c r="BA615" s="154" t="n"/>
      <c r="BB615" s="154" t="n"/>
      <c r="BC615" s="154" t="n"/>
      <c r="BD615" s="154" t="n"/>
      <c r="BE615" s="154" t="n"/>
      <c r="BF615" s="154" t="n"/>
      <c r="BG615" s="154" t="n"/>
      <c r="BH615" s="154" t="n"/>
    </row>
    <row r="616" ht="15.75" customHeight="1" s="251">
      <c r="A616" s="153" t="n"/>
      <c r="B616" s="154" t="n"/>
      <c r="C616" s="154" t="n"/>
      <c r="D616" s="154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  <c r="AA616" s="154" t="n"/>
      <c r="AB616" s="154" t="n"/>
      <c r="AC616" s="154" t="n"/>
      <c r="AD616" s="154" t="n"/>
      <c r="AE616" s="154" t="n"/>
      <c r="AF616" s="154" t="n"/>
      <c r="AG616" s="154" t="n"/>
      <c r="AH616" s="154" t="n"/>
      <c r="AI616" s="154" t="n"/>
      <c r="AJ616" s="154" t="n"/>
      <c r="AK616" s="154" t="n"/>
      <c r="AL616" s="154" t="n"/>
      <c r="AM616" s="154" t="n"/>
      <c r="AN616" s="154" t="n"/>
      <c r="AO616" s="154" t="n"/>
      <c r="AP616" s="154" t="n"/>
      <c r="AQ616" s="154" t="n"/>
      <c r="AR616" s="154" t="n"/>
      <c r="AS616" s="154" t="n"/>
      <c r="AT616" s="154" t="n"/>
      <c r="AU616" s="154" t="n"/>
      <c r="AV616" s="154" t="n"/>
      <c r="AW616" s="154" t="n"/>
      <c r="AX616" s="154" t="n"/>
      <c r="AY616" s="154" t="n"/>
      <c r="AZ616" s="154" t="n"/>
      <c r="BA616" s="154" t="n"/>
      <c r="BB616" s="154" t="n"/>
      <c r="BC616" s="154" t="n"/>
      <c r="BD616" s="154" t="n"/>
      <c r="BE616" s="154" t="n"/>
      <c r="BF616" s="154" t="n"/>
      <c r="BG616" s="154" t="n"/>
      <c r="BH616" s="154" t="n"/>
    </row>
    <row r="617" ht="15.75" customHeight="1" s="251">
      <c r="A617" s="153" t="n"/>
      <c r="B617" s="154" t="n"/>
      <c r="C617" s="154" t="n"/>
      <c r="D617" s="154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  <c r="AA617" s="154" t="n"/>
      <c r="AB617" s="154" t="n"/>
      <c r="AC617" s="154" t="n"/>
      <c r="AD617" s="154" t="n"/>
      <c r="AE617" s="154" t="n"/>
      <c r="AF617" s="154" t="n"/>
      <c r="AG617" s="154" t="n"/>
      <c r="AH617" s="154" t="n"/>
      <c r="AI617" s="154" t="n"/>
      <c r="AJ617" s="154" t="n"/>
      <c r="AK617" s="154" t="n"/>
      <c r="AL617" s="154" t="n"/>
      <c r="AM617" s="154" t="n"/>
      <c r="AN617" s="154" t="n"/>
      <c r="AO617" s="154" t="n"/>
      <c r="AP617" s="154" t="n"/>
      <c r="AQ617" s="154" t="n"/>
      <c r="AR617" s="154" t="n"/>
      <c r="AS617" s="154" t="n"/>
      <c r="AT617" s="154" t="n"/>
      <c r="AU617" s="154" t="n"/>
      <c r="AV617" s="154" t="n"/>
      <c r="AW617" s="154" t="n"/>
      <c r="AX617" s="154" t="n"/>
      <c r="AY617" s="154" t="n"/>
      <c r="AZ617" s="154" t="n"/>
      <c r="BA617" s="154" t="n"/>
      <c r="BB617" s="154" t="n"/>
      <c r="BC617" s="154" t="n"/>
      <c r="BD617" s="154" t="n"/>
      <c r="BE617" s="154" t="n"/>
      <c r="BF617" s="154" t="n"/>
      <c r="BG617" s="154" t="n"/>
      <c r="BH617" s="154" t="n"/>
    </row>
    <row r="618" ht="15.75" customHeight="1" s="251">
      <c r="A618" s="153" t="n"/>
      <c r="B618" s="154" t="n"/>
      <c r="C618" s="154" t="n"/>
      <c r="D618" s="154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  <c r="AA618" s="154" t="n"/>
      <c r="AB618" s="154" t="n"/>
      <c r="AC618" s="154" t="n"/>
      <c r="AD618" s="154" t="n"/>
      <c r="AE618" s="154" t="n"/>
      <c r="AF618" s="154" t="n"/>
      <c r="AG618" s="154" t="n"/>
      <c r="AH618" s="154" t="n"/>
      <c r="AI618" s="154" t="n"/>
      <c r="AJ618" s="154" t="n"/>
      <c r="AK618" s="154" t="n"/>
      <c r="AL618" s="154" t="n"/>
      <c r="AM618" s="154" t="n"/>
      <c r="AN618" s="154" t="n"/>
      <c r="AO618" s="154" t="n"/>
      <c r="AP618" s="154" t="n"/>
      <c r="AQ618" s="154" t="n"/>
      <c r="AR618" s="154" t="n"/>
      <c r="AS618" s="154" t="n"/>
      <c r="AT618" s="154" t="n"/>
      <c r="AU618" s="154" t="n"/>
      <c r="AV618" s="154" t="n"/>
      <c r="AW618" s="154" t="n"/>
      <c r="AX618" s="154" t="n"/>
      <c r="AY618" s="154" t="n"/>
      <c r="AZ618" s="154" t="n"/>
      <c r="BA618" s="154" t="n"/>
      <c r="BB618" s="154" t="n"/>
      <c r="BC618" s="154" t="n"/>
      <c r="BD618" s="154" t="n"/>
      <c r="BE618" s="154" t="n"/>
      <c r="BF618" s="154" t="n"/>
      <c r="BG618" s="154" t="n"/>
      <c r="BH618" s="154" t="n"/>
    </row>
    <row r="619" ht="15.75" customHeight="1" s="251">
      <c r="A619" s="153" t="n"/>
      <c r="B619" s="154" t="n"/>
      <c r="C619" s="154" t="n"/>
      <c r="D619" s="154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  <c r="AA619" s="154" t="n"/>
      <c r="AB619" s="154" t="n"/>
      <c r="AC619" s="154" t="n"/>
      <c r="AD619" s="154" t="n"/>
      <c r="AE619" s="154" t="n"/>
      <c r="AF619" s="154" t="n"/>
      <c r="AG619" s="154" t="n"/>
      <c r="AH619" s="154" t="n"/>
      <c r="AI619" s="154" t="n"/>
      <c r="AJ619" s="154" t="n"/>
      <c r="AK619" s="154" t="n"/>
      <c r="AL619" s="154" t="n"/>
      <c r="AM619" s="154" t="n"/>
      <c r="AN619" s="154" t="n"/>
      <c r="AO619" s="154" t="n"/>
      <c r="AP619" s="154" t="n"/>
      <c r="AQ619" s="154" t="n"/>
      <c r="AR619" s="154" t="n"/>
      <c r="AS619" s="154" t="n"/>
      <c r="AT619" s="154" t="n"/>
      <c r="AU619" s="154" t="n"/>
      <c r="AV619" s="154" t="n"/>
      <c r="AW619" s="154" t="n"/>
      <c r="AX619" s="154" t="n"/>
      <c r="AY619" s="154" t="n"/>
      <c r="AZ619" s="154" t="n"/>
      <c r="BA619" s="154" t="n"/>
      <c r="BB619" s="154" t="n"/>
      <c r="BC619" s="154" t="n"/>
      <c r="BD619" s="154" t="n"/>
      <c r="BE619" s="154" t="n"/>
      <c r="BF619" s="154" t="n"/>
      <c r="BG619" s="154" t="n"/>
      <c r="BH619" s="154" t="n"/>
    </row>
    <row r="620" ht="15.75" customHeight="1" s="251">
      <c r="A620" s="153" t="n"/>
      <c r="B620" s="154" t="n"/>
      <c r="C620" s="154" t="n"/>
      <c r="D620" s="154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  <c r="AA620" s="154" t="n"/>
      <c r="AB620" s="154" t="n"/>
      <c r="AC620" s="154" t="n"/>
      <c r="AD620" s="154" t="n"/>
      <c r="AE620" s="154" t="n"/>
      <c r="AF620" s="154" t="n"/>
      <c r="AG620" s="154" t="n"/>
      <c r="AH620" s="154" t="n"/>
      <c r="AI620" s="154" t="n"/>
      <c r="AJ620" s="154" t="n"/>
      <c r="AK620" s="154" t="n"/>
      <c r="AL620" s="154" t="n"/>
      <c r="AM620" s="154" t="n"/>
      <c r="AN620" s="154" t="n"/>
      <c r="AO620" s="154" t="n"/>
      <c r="AP620" s="154" t="n"/>
      <c r="AQ620" s="154" t="n"/>
      <c r="AR620" s="154" t="n"/>
      <c r="AS620" s="154" t="n"/>
      <c r="AT620" s="154" t="n"/>
      <c r="AU620" s="154" t="n"/>
      <c r="AV620" s="154" t="n"/>
      <c r="AW620" s="154" t="n"/>
      <c r="AX620" s="154" t="n"/>
      <c r="AY620" s="154" t="n"/>
      <c r="AZ620" s="154" t="n"/>
      <c r="BA620" s="154" t="n"/>
      <c r="BB620" s="154" t="n"/>
      <c r="BC620" s="154" t="n"/>
      <c r="BD620" s="154" t="n"/>
      <c r="BE620" s="154" t="n"/>
      <c r="BF620" s="154" t="n"/>
      <c r="BG620" s="154" t="n"/>
      <c r="BH620" s="154" t="n"/>
    </row>
    <row r="621" ht="15.75" customHeight="1" s="251">
      <c r="A621" s="153" t="n"/>
      <c r="B621" s="154" t="n"/>
      <c r="C621" s="154" t="n"/>
      <c r="D621" s="154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  <c r="AA621" s="154" t="n"/>
      <c r="AB621" s="154" t="n"/>
      <c r="AC621" s="154" t="n"/>
      <c r="AD621" s="154" t="n"/>
      <c r="AE621" s="154" t="n"/>
      <c r="AF621" s="154" t="n"/>
      <c r="AG621" s="154" t="n"/>
      <c r="AH621" s="154" t="n"/>
      <c r="AI621" s="154" t="n"/>
      <c r="AJ621" s="154" t="n"/>
      <c r="AK621" s="154" t="n"/>
      <c r="AL621" s="154" t="n"/>
      <c r="AM621" s="154" t="n"/>
      <c r="AN621" s="154" t="n"/>
      <c r="AO621" s="154" t="n"/>
      <c r="AP621" s="154" t="n"/>
      <c r="AQ621" s="154" t="n"/>
      <c r="AR621" s="154" t="n"/>
      <c r="AS621" s="154" t="n"/>
      <c r="AT621" s="154" t="n"/>
      <c r="AU621" s="154" t="n"/>
      <c r="AV621" s="154" t="n"/>
      <c r="AW621" s="154" t="n"/>
      <c r="AX621" s="154" t="n"/>
      <c r="AY621" s="154" t="n"/>
      <c r="AZ621" s="154" t="n"/>
      <c r="BA621" s="154" t="n"/>
      <c r="BB621" s="154" t="n"/>
      <c r="BC621" s="154" t="n"/>
      <c r="BD621" s="154" t="n"/>
      <c r="BE621" s="154" t="n"/>
      <c r="BF621" s="154" t="n"/>
      <c r="BG621" s="154" t="n"/>
      <c r="BH621" s="154" t="n"/>
    </row>
    <row r="622" ht="15.75" customHeight="1" s="251">
      <c r="A622" s="153" t="n"/>
      <c r="B622" s="154" t="n"/>
      <c r="C622" s="154" t="n"/>
      <c r="D622" s="154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  <c r="AA622" s="154" t="n"/>
      <c r="AB622" s="154" t="n"/>
      <c r="AC622" s="154" t="n"/>
      <c r="AD622" s="154" t="n"/>
      <c r="AE622" s="154" t="n"/>
      <c r="AF622" s="154" t="n"/>
      <c r="AG622" s="154" t="n"/>
      <c r="AH622" s="154" t="n"/>
      <c r="AI622" s="154" t="n"/>
      <c r="AJ622" s="154" t="n"/>
      <c r="AK622" s="154" t="n"/>
      <c r="AL622" s="154" t="n"/>
      <c r="AM622" s="154" t="n"/>
      <c r="AN622" s="154" t="n"/>
      <c r="AO622" s="154" t="n"/>
      <c r="AP622" s="154" t="n"/>
      <c r="AQ622" s="154" t="n"/>
      <c r="AR622" s="154" t="n"/>
      <c r="AS622" s="154" t="n"/>
      <c r="AT622" s="154" t="n"/>
      <c r="AU622" s="154" t="n"/>
      <c r="AV622" s="154" t="n"/>
      <c r="AW622" s="154" t="n"/>
      <c r="AX622" s="154" t="n"/>
      <c r="AY622" s="154" t="n"/>
      <c r="AZ622" s="154" t="n"/>
      <c r="BA622" s="154" t="n"/>
      <c r="BB622" s="154" t="n"/>
      <c r="BC622" s="154" t="n"/>
      <c r="BD622" s="154" t="n"/>
      <c r="BE622" s="154" t="n"/>
      <c r="BF622" s="154" t="n"/>
      <c r="BG622" s="154" t="n"/>
      <c r="BH622" s="154" t="n"/>
    </row>
    <row r="623" ht="15.75" customHeight="1" s="251">
      <c r="A623" s="153" t="n"/>
      <c r="B623" s="154" t="n"/>
      <c r="C623" s="154" t="n"/>
      <c r="D623" s="154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  <c r="AA623" s="154" t="n"/>
      <c r="AB623" s="154" t="n"/>
      <c r="AC623" s="154" t="n"/>
      <c r="AD623" s="154" t="n"/>
      <c r="AE623" s="154" t="n"/>
      <c r="AF623" s="154" t="n"/>
      <c r="AG623" s="154" t="n"/>
      <c r="AH623" s="154" t="n"/>
      <c r="AI623" s="154" t="n"/>
      <c r="AJ623" s="154" t="n"/>
      <c r="AK623" s="154" t="n"/>
      <c r="AL623" s="154" t="n"/>
      <c r="AM623" s="154" t="n"/>
      <c r="AN623" s="154" t="n"/>
      <c r="AO623" s="154" t="n"/>
      <c r="AP623" s="154" t="n"/>
      <c r="AQ623" s="154" t="n"/>
      <c r="AR623" s="154" t="n"/>
      <c r="AS623" s="154" t="n"/>
      <c r="AT623" s="154" t="n"/>
      <c r="AU623" s="154" t="n"/>
      <c r="AV623" s="154" t="n"/>
      <c r="AW623" s="154" t="n"/>
      <c r="AX623" s="154" t="n"/>
      <c r="AY623" s="154" t="n"/>
      <c r="AZ623" s="154" t="n"/>
      <c r="BA623" s="154" t="n"/>
      <c r="BB623" s="154" t="n"/>
      <c r="BC623" s="154" t="n"/>
      <c r="BD623" s="154" t="n"/>
      <c r="BE623" s="154" t="n"/>
      <c r="BF623" s="154" t="n"/>
      <c r="BG623" s="154" t="n"/>
      <c r="BH623" s="154" t="n"/>
    </row>
    <row r="624" ht="15.75" customHeight="1" s="251">
      <c r="A624" s="153" t="n"/>
      <c r="B624" s="154" t="n"/>
      <c r="C624" s="154" t="n"/>
      <c r="D624" s="154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  <c r="AA624" s="154" t="n"/>
      <c r="AB624" s="154" t="n"/>
      <c r="AC624" s="154" t="n"/>
      <c r="AD624" s="154" t="n"/>
      <c r="AE624" s="154" t="n"/>
      <c r="AF624" s="154" t="n"/>
      <c r="AG624" s="154" t="n"/>
      <c r="AH624" s="154" t="n"/>
      <c r="AI624" s="154" t="n"/>
      <c r="AJ624" s="154" t="n"/>
      <c r="AK624" s="154" t="n"/>
      <c r="AL624" s="154" t="n"/>
      <c r="AM624" s="154" t="n"/>
      <c r="AN624" s="154" t="n"/>
      <c r="AO624" s="154" t="n"/>
      <c r="AP624" s="154" t="n"/>
      <c r="AQ624" s="154" t="n"/>
      <c r="AR624" s="154" t="n"/>
      <c r="AS624" s="154" t="n"/>
      <c r="AT624" s="154" t="n"/>
      <c r="AU624" s="154" t="n"/>
      <c r="AV624" s="154" t="n"/>
      <c r="AW624" s="154" t="n"/>
      <c r="AX624" s="154" t="n"/>
      <c r="AY624" s="154" t="n"/>
      <c r="AZ624" s="154" t="n"/>
      <c r="BA624" s="154" t="n"/>
      <c r="BB624" s="154" t="n"/>
      <c r="BC624" s="154" t="n"/>
      <c r="BD624" s="154" t="n"/>
      <c r="BE624" s="154" t="n"/>
      <c r="BF624" s="154" t="n"/>
      <c r="BG624" s="154" t="n"/>
      <c r="BH624" s="154" t="n"/>
    </row>
    <row r="625" ht="15.75" customHeight="1" s="251">
      <c r="A625" s="153" t="n"/>
      <c r="B625" s="154" t="n"/>
      <c r="C625" s="154" t="n"/>
      <c r="D625" s="154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  <c r="AA625" s="154" t="n"/>
      <c r="AB625" s="154" t="n"/>
      <c r="AC625" s="154" t="n"/>
      <c r="AD625" s="154" t="n"/>
      <c r="AE625" s="154" t="n"/>
      <c r="AF625" s="154" t="n"/>
      <c r="AG625" s="154" t="n"/>
      <c r="AH625" s="154" t="n"/>
      <c r="AI625" s="154" t="n"/>
      <c r="AJ625" s="154" t="n"/>
      <c r="AK625" s="154" t="n"/>
      <c r="AL625" s="154" t="n"/>
      <c r="AM625" s="154" t="n"/>
      <c r="AN625" s="154" t="n"/>
      <c r="AO625" s="154" t="n"/>
      <c r="AP625" s="154" t="n"/>
      <c r="AQ625" s="154" t="n"/>
      <c r="AR625" s="154" t="n"/>
      <c r="AS625" s="154" t="n"/>
      <c r="AT625" s="154" t="n"/>
      <c r="AU625" s="154" t="n"/>
      <c r="AV625" s="154" t="n"/>
      <c r="AW625" s="154" t="n"/>
      <c r="AX625" s="154" t="n"/>
      <c r="AY625" s="154" t="n"/>
      <c r="AZ625" s="154" t="n"/>
      <c r="BA625" s="154" t="n"/>
      <c r="BB625" s="154" t="n"/>
      <c r="BC625" s="154" t="n"/>
      <c r="BD625" s="154" t="n"/>
      <c r="BE625" s="154" t="n"/>
      <c r="BF625" s="154" t="n"/>
      <c r="BG625" s="154" t="n"/>
      <c r="BH625" s="154" t="n"/>
    </row>
    <row r="626" ht="15.75" customHeight="1" s="251">
      <c r="A626" s="153" t="n"/>
      <c r="B626" s="154" t="n"/>
      <c r="C626" s="154" t="n"/>
      <c r="D626" s="154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  <c r="AA626" s="154" t="n"/>
      <c r="AB626" s="154" t="n"/>
      <c r="AC626" s="154" t="n"/>
      <c r="AD626" s="154" t="n"/>
      <c r="AE626" s="154" t="n"/>
      <c r="AF626" s="154" t="n"/>
      <c r="AG626" s="154" t="n"/>
      <c r="AH626" s="154" t="n"/>
      <c r="AI626" s="154" t="n"/>
      <c r="AJ626" s="154" t="n"/>
      <c r="AK626" s="154" t="n"/>
      <c r="AL626" s="154" t="n"/>
      <c r="AM626" s="154" t="n"/>
      <c r="AN626" s="154" t="n"/>
      <c r="AO626" s="154" t="n"/>
      <c r="AP626" s="154" t="n"/>
      <c r="AQ626" s="154" t="n"/>
      <c r="AR626" s="154" t="n"/>
      <c r="AS626" s="154" t="n"/>
      <c r="AT626" s="154" t="n"/>
      <c r="AU626" s="154" t="n"/>
      <c r="AV626" s="154" t="n"/>
      <c r="AW626" s="154" t="n"/>
      <c r="AX626" s="154" t="n"/>
      <c r="AY626" s="154" t="n"/>
      <c r="AZ626" s="154" t="n"/>
      <c r="BA626" s="154" t="n"/>
      <c r="BB626" s="154" t="n"/>
      <c r="BC626" s="154" t="n"/>
      <c r="BD626" s="154" t="n"/>
      <c r="BE626" s="154" t="n"/>
      <c r="BF626" s="154" t="n"/>
      <c r="BG626" s="154" t="n"/>
      <c r="BH626" s="154" t="n"/>
    </row>
    <row r="627" ht="15.75" customHeight="1" s="251">
      <c r="A627" s="153" t="n"/>
      <c r="B627" s="154" t="n"/>
      <c r="C627" s="154" t="n"/>
      <c r="D627" s="154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  <c r="AA627" s="154" t="n"/>
      <c r="AB627" s="154" t="n"/>
      <c r="AC627" s="154" t="n"/>
      <c r="AD627" s="154" t="n"/>
      <c r="AE627" s="154" t="n"/>
      <c r="AF627" s="154" t="n"/>
      <c r="AG627" s="154" t="n"/>
      <c r="AH627" s="154" t="n"/>
      <c r="AI627" s="154" t="n"/>
      <c r="AJ627" s="154" t="n"/>
      <c r="AK627" s="154" t="n"/>
      <c r="AL627" s="154" t="n"/>
      <c r="AM627" s="154" t="n"/>
      <c r="AN627" s="154" t="n"/>
      <c r="AO627" s="154" t="n"/>
      <c r="AP627" s="154" t="n"/>
      <c r="AQ627" s="154" t="n"/>
      <c r="AR627" s="154" t="n"/>
      <c r="AS627" s="154" t="n"/>
      <c r="AT627" s="154" t="n"/>
      <c r="AU627" s="154" t="n"/>
      <c r="AV627" s="154" t="n"/>
      <c r="AW627" s="154" t="n"/>
      <c r="AX627" s="154" t="n"/>
      <c r="AY627" s="154" t="n"/>
      <c r="AZ627" s="154" t="n"/>
      <c r="BA627" s="154" t="n"/>
      <c r="BB627" s="154" t="n"/>
      <c r="BC627" s="154" t="n"/>
      <c r="BD627" s="154" t="n"/>
      <c r="BE627" s="154" t="n"/>
      <c r="BF627" s="154" t="n"/>
      <c r="BG627" s="154" t="n"/>
      <c r="BH627" s="154" t="n"/>
    </row>
    <row r="628" ht="15.75" customHeight="1" s="251">
      <c r="A628" s="153" t="n"/>
      <c r="B628" s="154" t="n"/>
      <c r="C628" s="154" t="n"/>
      <c r="D628" s="154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  <c r="AA628" s="154" t="n"/>
      <c r="AB628" s="154" t="n"/>
      <c r="AC628" s="154" t="n"/>
      <c r="AD628" s="154" t="n"/>
      <c r="AE628" s="154" t="n"/>
      <c r="AF628" s="154" t="n"/>
      <c r="AG628" s="154" t="n"/>
      <c r="AH628" s="154" t="n"/>
      <c r="AI628" s="154" t="n"/>
      <c r="AJ628" s="154" t="n"/>
      <c r="AK628" s="154" t="n"/>
      <c r="AL628" s="154" t="n"/>
      <c r="AM628" s="154" t="n"/>
      <c r="AN628" s="154" t="n"/>
      <c r="AO628" s="154" t="n"/>
      <c r="AP628" s="154" t="n"/>
      <c r="AQ628" s="154" t="n"/>
      <c r="AR628" s="154" t="n"/>
      <c r="AS628" s="154" t="n"/>
      <c r="AT628" s="154" t="n"/>
      <c r="AU628" s="154" t="n"/>
      <c r="AV628" s="154" t="n"/>
      <c r="AW628" s="154" t="n"/>
      <c r="AX628" s="154" t="n"/>
      <c r="AY628" s="154" t="n"/>
      <c r="AZ628" s="154" t="n"/>
      <c r="BA628" s="154" t="n"/>
      <c r="BB628" s="154" t="n"/>
      <c r="BC628" s="154" t="n"/>
      <c r="BD628" s="154" t="n"/>
      <c r="BE628" s="154" t="n"/>
      <c r="BF628" s="154" t="n"/>
      <c r="BG628" s="154" t="n"/>
      <c r="BH628" s="154" t="n"/>
    </row>
    <row r="629" ht="15.75" customHeight="1" s="251">
      <c r="A629" s="153" t="n"/>
      <c r="B629" s="154" t="n"/>
      <c r="C629" s="154" t="n"/>
      <c r="D629" s="154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  <c r="AA629" s="154" t="n"/>
      <c r="AB629" s="154" t="n"/>
      <c r="AC629" s="154" t="n"/>
      <c r="AD629" s="154" t="n"/>
      <c r="AE629" s="154" t="n"/>
      <c r="AF629" s="154" t="n"/>
      <c r="AG629" s="154" t="n"/>
      <c r="AH629" s="154" t="n"/>
      <c r="AI629" s="154" t="n"/>
      <c r="AJ629" s="154" t="n"/>
      <c r="AK629" s="154" t="n"/>
      <c r="AL629" s="154" t="n"/>
      <c r="AM629" s="154" t="n"/>
      <c r="AN629" s="154" t="n"/>
      <c r="AO629" s="154" t="n"/>
      <c r="AP629" s="154" t="n"/>
      <c r="AQ629" s="154" t="n"/>
      <c r="AR629" s="154" t="n"/>
      <c r="AS629" s="154" t="n"/>
      <c r="AT629" s="154" t="n"/>
      <c r="AU629" s="154" t="n"/>
      <c r="AV629" s="154" t="n"/>
      <c r="AW629" s="154" t="n"/>
      <c r="AX629" s="154" t="n"/>
      <c r="AY629" s="154" t="n"/>
      <c r="AZ629" s="154" t="n"/>
      <c r="BA629" s="154" t="n"/>
      <c r="BB629" s="154" t="n"/>
      <c r="BC629" s="154" t="n"/>
      <c r="BD629" s="154" t="n"/>
      <c r="BE629" s="154" t="n"/>
      <c r="BF629" s="154" t="n"/>
      <c r="BG629" s="154" t="n"/>
      <c r="BH629" s="154" t="n"/>
    </row>
    <row r="630" ht="15.75" customHeight="1" s="251">
      <c r="A630" s="153" t="n"/>
      <c r="B630" s="154" t="n"/>
      <c r="C630" s="154" t="n"/>
      <c r="D630" s="154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  <c r="AA630" s="154" t="n"/>
      <c r="AB630" s="154" t="n"/>
      <c r="AC630" s="154" t="n"/>
      <c r="AD630" s="154" t="n"/>
      <c r="AE630" s="154" t="n"/>
      <c r="AF630" s="154" t="n"/>
      <c r="AG630" s="154" t="n"/>
      <c r="AH630" s="154" t="n"/>
      <c r="AI630" s="154" t="n"/>
      <c r="AJ630" s="154" t="n"/>
      <c r="AK630" s="154" t="n"/>
      <c r="AL630" s="154" t="n"/>
      <c r="AM630" s="154" t="n"/>
      <c r="AN630" s="154" t="n"/>
      <c r="AO630" s="154" t="n"/>
      <c r="AP630" s="154" t="n"/>
      <c r="AQ630" s="154" t="n"/>
      <c r="AR630" s="154" t="n"/>
      <c r="AS630" s="154" t="n"/>
      <c r="AT630" s="154" t="n"/>
      <c r="AU630" s="154" t="n"/>
      <c r="AV630" s="154" t="n"/>
      <c r="AW630" s="154" t="n"/>
      <c r="AX630" s="154" t="n"/>
      <c r="AY630" s="154" t="n"/>
      <c r="AZ630" s="154" t="n"/>
      <c r="BA630" s="154" t="n"/>
      <c r="BB630" s="154" t="n"/>
      <c r="BC630" s="154" t="n"/>
      <c r="BD630" s="154" t="n"/>
      <c r="BE630" s="154" t="n"/>
      <c r="BF630" s="154" t="n"/>
      <c r="BG630" s="154" t="n"/>
      <c r="BH630" s="154" t="n"/>
    </row>
    <row r="631" ht="15.75" customHeight="1" s="251">
      <c r="A631" s="153" t="n"/>
      <c r="B631" s="154" t="n"/>
      <c r="C631" s="154" t="n"/>
      <c r="D631" s="154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  <c r="AA631" s="154" t="n"/>
      <c r="AB631" s="154" t="n"/>
      <c r="AC631" s="154" t="n"/>
      <c r="AD631" s="154" t="n"/>
      <c r="AE631" s="154" t="n"/>
      <c r="AF631" s="154" t="n"/>
      <c r="AG631" s="154" t="n"/>
      <c r="AH631" s="154" t="n"/>
      <c r="AI631" s="154" t="n"/>
      <c r="AJ631" s="154" t="n"/>
      <c r="AK631" s="154" t="n"/>
      <c r="AL631" s="154" t="n"/>
      <c r="AM631" s="154" t="n"/>
      <c r="AN631" s="154" t="n"/>
      <c r="AO631" s="154" t="n"/>
      <c r="AP631" s="154" t="n"/>
      <c r="AQ631" s="154" t="n"/>
      <c r="AR631" s="154" t="n"/>
      <c r="AS631" s="154" t="n"/>
      <c r="AT631" s="154" t="n"/>
      <c r="AU631" s="154" t="n"/>
      <c r="AV631" s="154" t="n"/>
      <c r="AW631" s="154" t="n"/>
      <c r="AX631" s="154" t="n"/>
      <c r="AY631" s="154" t="n"/>
      <c r="AZ631" s="154" t="n"/>
      <c r="BA631" s="154" t="n"/>
      <c r="BB631" s="154" t="n"/>
      <c r="BC631" s="154" t="n"/>
      <c r="BD631" s="154" t="n"/>
      <c r="BE631" s="154" t="n"/>
      <c r="BF631" s="154" t="n"/>
      <c r="BG631" s="154" t="n"/>
      <c r="BH631" s="154" t="n"/>
    </row>
    <row r="632" ht="15.75" customHeight="1" s="251">
      <c r="A632" s="153" t="n"/>
      <c r="B632" s="154" t="n"/>
      <c r="C632" s="154" t="n"/>
      <c r="D632" s="154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  <c r="AA632" s="154" t="n"/>
      <c r="AB632" s="154" t="n"/>
      <c r="AC632" s="154" t="n"/>
      <c r="AD632" s="154" t="n"/>
      <c r="AE632" s="154" t="n"/>
      <c r="AF632" s="154" t="n"/>
      <c r="AG632" s="154" t="n"/>
      <c r="AH632" s="154" t="n"/>
      <c r="AI632" s="154" t="n"/>
      <c r="AJ632" s="154" t="n"/>
      <c r="AK632" s="154" t="n"/>
      <c r="AL632" s="154" t="n"/>
      <c r="AM632" s="154" t="n"/>
      <c r="AN632" s="154" t="n"/>
      <c r="AO632" s="154" t="n"/>
      <c r="AP632" s="154" t="n"/>
      <c r="AQ632" s="154" t="n"/>
      <c r="AR632" s="154" t="n"/>
      <c r="AS632" s="154" t="n"/>
      <c r="AT632" s="154" t="n"/>
      <c r="AU632" s="154" t="n"/>
      <c r="AV632" s="154" t="n"/>
      <c r="AW632" s="154" t="n"/>
      <c r="AX632" s="154" t="n"/>
      <c r="AY632" s="154" t="n"/>
      <c r="AZ632" s="154" t="n"/>
      <c r="BA632" s="154" t="n"/>
      <c r="BB632" s="154" t="n"/>
      <c r="BC632" s="154" t="n"/>
      <c r="BD632" s="154" t="n"/>
      <c r="BE632" s="154" t="n"/>
      <c r="BF632" s="154" t="n"/>
      <c r="BG632" s="154" t="n"/>
      <c r="BH632" s="154" t="n"/>
    </row>
    <row r="633" ht="15.75" customHeight="1" s="251">
      <c r="A633" s="153" t="n"/>
      <c r="B633" s="154" t="n"/>
      <c r="C633" s="154" t="n"/>
      <c r="D633" s="154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  <c r="AA633" s="154" t="n"/>
      <c r="AB633" s="154" t="n"/>
      <c r="AC633" s="154" t="n"/>
      <c r="AD633" s="154" t="n"/>
      <c r="AE633" s="154" t="n"/>
      <c r="AF633" s="154" t="n"/>
      <c r="AG633" s="154" t="n"/>
      <c r="AH633" s="154" t="n"/>
      <c r="AI633" s="154" t="n"/>
      <c r="AJ633" s="154" t="n"/>
      <c r="AK633" s="154" t="n"/>
      <c r="AL633" s="154" t="n"/>
      <c r="AM633" s="154" t="n"/>
      <c r="AN633" s="154" t="n"/>
      <c r="AO633" s="154" t="n"/>
      <c r="AP633" s="154" t="n"/>
      <c r="AQ633" s="154" t="n"/>
      <c r="AR633" s="154" t="n"/>
      <c r="AS633" s="154" t="n"/>
      <c r="AT633" s="154" t="n"/>
      <c r="AU633" s="154" t="n"/>
      <c r="AV633" s="154" t="n"/>
      <c r="AW633" s="154" t="n"/>
      <c r="AX633" s="154" t="n"/>
      <c r="AY633" s="154" t="n"/>
      <c r="AZ633" s="154" t="n"/>
      <c r="BA633" s="154" t="n"/>
      <c r="BB633" s="154" t="n"/>
      <c r="BC633" s="154" t="n"/>
      <c r="BD633" s="154" t="n"/>
      <c r="BE633" s="154" t="n"/>
      <c r="BF633" s="154" t="n"/>
      <c r="BG633" s="154" t="n"/>
      <c r="BH633" s="154" t="n"/>
    </row>
    <row r="634" ht="15.75" customHeight="1" s="251">
      <c r="A634" s="153" t="n"/>
      <c r="B634" s="154" t="n"/>
      <c r="C634" s="154" t="n"/>
      <c r="D634" s="154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  <c r="AA634" s="154" t="n"/>
      <c r="AB634" s="154" t="n"/>
      <c r="AC634" s="154" t="n"/>
      <c r="AD634" s="154" t="n"/>
      <c r="AE634" s="154" t="n"/>
      <c r="AF634" s="154" t="n"/>
      <c r="AG634" s="154" t="n"/>
      <c r="AH634" s="154" t="n"/>
      <c r="AI634" s="154" t="n"/>
      <c r="AJ634" s="154" t="n"/>
      <c r="AK634" s="154" t="n"/>
      <c r="AL634" s="154" t="n"/>
      <c r="AM634" s="154" t="n"/>
      <c r="AN634" s="154" t="n"/>
      <c r="AO634" s="154" t="n"/>
      <c r="AP634" s="154" t="n"/>
      <c r="AQ634" s="154" t="n"/>
      <c r="AR634" s="154" t="n"/>
      <c r="AS634" s="154" t="n"/>
      <c r="AT634" s="154" t="n"/>
      <c r="AU634" s="154" t="n"/>
      <c r="AV634" s="154" t="n"/>
      <c r="AW634" s="154" t="n"/>
      <c r="AX634" s="154" t="n"/>
      <c r="AY634" s="154" t="n"/>
      <c r="AZ634" s="154" t="n"/>
      <c r="BA634" s="154" t="n"/>
      <c r="BB634" s="154" t="n"/>
      <c r="BC634" s="154" t="n"/>
      <c r="BD634" s="154" t="n"/>
      <c r="BE634" s="154" t="n"/>
      <c r="BF634" s="154" t="n"/>
      <c r="BG634" s="154" t="n"/>
      <c r="BH634" s="154" t="n"/>
    </row>
    <row r="635" ht="15.75" customHeight="1" s="251">
      <c r="A635" s="153" t="n"/>
      <c r="B635" s="154" t="n"/>
      <c r="C635" s="154" t="n"/>
      <c r="D635" s="154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  <c r="AA635" s="154" t="n"/>
      <c r="AB635" s="154" t="n"/>
      <c r="AC635" s="154" t="n"/>
      <c r="AD635" s="154" t="n"/>
      <c r="AE635" s="154" t="n"/>
      <c r="AF635" s="154" t="n"/>
      <c r="AG635" s="154" t="n"/>
      <c r="AH635" s="154" t="n"/>
      <c r="AI635" s="154" t="n"/>
      <c r="AJ635" s="154" t="n"/>
      <c r="AK635" s="154" t="n"/>
      <c r="AL635" s="154" t="n"/>
      <c r="AM635" s="154" t="n"/>
      <c r="AN635" s="154" t="n"/>
      <c r="AO635" s="154" t="n"/>
      <c r="AP635" s="154" t="n"/>
      <c r="AQ635" s="154" t="n"/>
      <c r="AR635" s="154" t="n"/>
      <c r="AS635" s="154" t="n"/>
      <c r="AT635" s="154" t="n"/>
      <c r="AU635" s="154" t="n"/>
      <c r="AV635" s="154" t="n"/>
      <c r="AW635" s="154" t="n"/>
      <c r="AX635" s="154" t="n"/>
      <c r="AY635" s="154" t="n"/>
      <c r="AZ635" s="154" t="n"/>
      <c r="BA635" s="154" t="n"/>
      <c r="BB635" s="154" t="n"/>
      <c r="BC635" s="154" t="n"/>
      <c r="BD635" s="154" t="n"/>
      <c r="BE635" s="154" t="n"/>
      <c r="BF635" s="154" t="n"/>
      <c r="BG635" s="154" t="n"/>
      <c r="BH635" s="154" t="n"/>
    </row>
    <row r="636" ht="15.75" customHeight="1" s="251">
      <c r="A636" s="153" t="n"/>
      <c r="B636" s="154" t="n"/>
      <c r="C636" s="154" t="n"/>
      <c r="D636" s="154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  <c r="AA636" s="154" t="n"/>
      <c r="AB636" s="154" t="n"/>
      <c r="AC636" s="154" t="n"/>
      <c r="AD636" s="154" t="n"/>
      <c r="AE636" s="154" t="n"/>
      <c r="AF636" s="154" t="n"/>
      <c r="AG636" s="154" t="n"/>
      <c r="AH636" s="154" t="n"/>
      <c r="AI636" s="154" t="n"/>
      <c r="AJ636" s="154" t="n"/>
      <c r="AK636" s="154" t="n"/>
      <c r="AL636" s="154" t="n"/>
      <c r="AM636" s="154" t="n"/>
      <c r="AN636" s="154" t="n"/>
      <c r="AO636" s="154" t="n"/>
      <c r="AP636" s="154" t="n"/>
      <c r="AQ636" s="154" t="n"/>
      <c r="AR636" s="154" t="n"/>
      <c r="AS636" s="154" t="n"/>
      <c r="AT636" s="154" t="n"/>
      <c r="AU636" s="154" t="n"/>
      <c r="AV636" s="154" t="n"/>
      <c r="AW636" s="154" t="n"/>
      <c r="AX636" s="154" t="n"/>
      <c r="AY636" s="154" t="n"/>
      <c r="AZ636" s="154" t="n"/>
      <c r="BA636" s="154" t="n"/>
      <c r="BB636" s="154" t="n"/>
      <c r="BC636" s="154" t="n"/>
      <c r="BD636" s="154" t="n"/>
      <c r="BE636" s="154" t="n"/>
      <c r="BF636" s="154" t="n"/>
      <c r="BG636" s="154" t="n"/>
      <c r="BH636" s="154" t="n"/>
    </row>
    <row r="637" ht="15.75" customHeight="1" s="251">
      <c r="A637" s="153" t="n"/>
      <c r="B637" s="154" t="n"/>
      <c r="C637" s="154" t="n"/>
      <c r="D637" s="154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  <c r="AA637" s="154" t="n"/>
      <c r="AB637" s="154" t="n"/>
      <c r="AC637" s="154" t="n"/>
      <c r="AD637" s="154" t="n"/>
      <c r="AE637" s="154" t="n"/>
      <c r="AF637" s="154" t="n"/>
      <c r="AG637" s="154" t="n"/>
      <c r="AH637" s="154" t="n"/>
      <c r="AI637" s="154" t="n"/>
      <c r="AJ637" s="154" t="n"/>
      <c r="AK637" s="154" t="n"/>
      <c r="AL637" s="154" t="n"/>
      <c r="AM637" s="154" t="n"/>
      <c r="AN637" s="154" t="n"/>
      <c r="AO637" s="154" t="n"/>
      <c r="AP637" s="154" t="n"/>
      <c r="AQ637" s="154" t="n"/>
      <c r="AR637" s="154" t="n"/>
      <c r="AS637" s="154" t="n"/>
      <c r="AT637" s="154" t="n"/>
      <c r="AU637" s="154" t="n"/>
      <c r="AV637" s="154" t="n"/>
      <c r="AW637" s="154" t="n"/>
      <c r="AX637" s="154" t="n"/>
      <c r="AY637" s="154" t="n"/>
      <c r="AZ637" s="154" t="n"/>
      <c r="BA637" s="154" t="n"/>
      <c r="BB637" s="154" t="n"/>
      <c r="BC637" s="154" t="n"/>
      <c r="BD637" s="154" t="n"/>
      <c r="BE637" s="154" t="n"/>
      <c r="BF637" s="154" t="n"/>
      <c r="BG637" s="154" t="n"/>
      <c r="BH637" s="154" t="n"/>
    </row>
    <row r="638" ht="15.75" customHeight="1" s="251">
      <c r="A638" s="153" t="n"/>
      <c r="B638" s="154" t="n"/>
      <c r="C638" s="154" t="n"/>
      <c r="D638" s="154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  <c r="AA638" s="154" t="n"/>
      <c r="AB638" s="154" t="n"/>
      <c r="AC638" s="154" t="n"/>
      <c r="AD638" s="154" t="n"/>
      <c r="AE638" s="154" t="n"/>
      <c r="AF638" s="154" t="n"/>
      <c r="AG638" s="154" t="n"/>
      <c r="AH638" s="154" t="n"/>
      <c r="AI638" s="154" t="n"/>
      <c r="AJ638" s="154" t="n"/>
      <c r="AK638" s="154" t="n"/>
      <c r="AL638" s="154" t="n"/>
      <c r="AM638" s="154" t="n"/>
      <c r="AN638" s="154" t="n"/>
      <c r="AO638" s="154" t="n"/>
      <c r="AP638" s="154" t="n"/>
      <c r="AQ638" s="154" t="n"/>
      <c r="AR638" s="154" t="n"/>
      <c r="AS638" s="154" t="n"/>
      <c r="AT638" s="154" t="n"/>
      <c r="AU638" s="154" t="n"/>
      <c r="AV638" s="154" t="n"/>
      <c r="AW638" s="154" t="n"/>
      <c r="AX638" s="154" t="n"/>
      <c r="AY638" s="154" t="n"/>
      <c r="AZ638" s="154" t="n"/>
      <c r="BA638" s="154" t="n"/>
      <c r="BB638" s="154" t="n"/>
      <c r="BC638" s="154" t="n"/>
      <c r="BD638" s="154" t="n"/>
      <c r="BE638" s="154" t="n"/>
      <c r="BF638" s="154" t="n"/>
      <c r="BG638" s="154" t="n"/>
      <c r="BH638" s="154" t="n"/>
    </row>
    <row r="639" ht="15.75" customHeight="1" s="251">
      <c r="A639" s="153" t="n"/>
      <c r="B639" s="154" t="n"/>
      <c r="C639" s="154" t="n"/>
      <c r="D639" s="154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  <c r="AA639" s="154" t="n"/>
      <c r="AB639" s="154" t="n"/>
      <c r="AC639" s="154" t="n"/>
      <c r="AD639" s="154" t="n"/>
      <c r="AE639" s="154" t="n"/>
      <c r="AF639" s="154" t="n"/>
      <c r="AG639" s="154" t="n"/>
      <c r="AH639" s="154" t="n"/>
      <c r="AI639" s="154" t="n"/>
      <c r="AJ639" s="154" t="n"/>
      <c r="AK639" s="154" t="n"/>
      <c r="AL639" s="154" t="n"/>
      <c r="AM639" s="154" t="n"/>
      <c r="AN639" s="154" t="n"/>
      <c r="AO639" s="154" t="n"/>
      <c r="AP639" s="154" t="n"/>
      <c r="AQ639" s="154" t="n"/>
      <c r="AR639" s="154" t="n"/>
      <c r="AS639" s="154" t="n"/>
      <c r="AT639" s="154" t="n"/>
      <c r="AU639" s="154" t="n"/>
      <c r="AV639" s="154" t="n"/>
      <c r="AW639" s="154" t="n"/>
      <c r="AX639" s="154" t="n"/>
      <c r="AY639" s="154" t="n"/>
      <c r="AZ639" s="154" t="n"/>
      <c r="BA639" s="154" t="n"/>
      <c r="BB639" s="154" t="n"/>
      <c r="BC639" s="154" t="n"/>
      <c r="BD639" s="154" t="n"/>
      <c r="BE639" s="154" t="n"/>
      <c r="BF639" s="154" t="n"/>
      <c r="BG639" s="154" t="n"/>
      <c r="BH639" s="154" t="n"/>
    </row>
    <row r="640" ht="15.75" customHeight="1" s="251">
      <c r="A640" s="153" t="n"/>
      <c r="B640" s="154" t="n"/>
      <c r="C640" s="154" t="n"/>
      <c r="D640" s="154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  <c r="AA640" s="154" t="n"/>
      <c r="AB640" s="154" t="n"/>
      <c r="AC640" s="154" t="n"/>
      <c r="AD640" s="154" t="n"/>
      <c r="AE640" s="154" t="n"/>
      <c r="AF640" s="154" t="n"/>
      <c r="AG640" s="154" t="n"/>
      <c r="AH640" s="154" t="n"/>
      <c r="AI640" s="154" t="n"/>
      <c r="AJ640" s="154" t="n"/>
      <c r="AK640" s="154" t="n"/>
      <c r="AL640" s="154" t="n"/>
      <c r="AM640" s="154" t="n"/>
      <c r="AN640" s="154" t="n"/>
      <c r="AO640" s="154" t="n"/>
      <c r="AP640" s="154" t="n"/>
      <c r="AQ640" s="154" t="n"/>
      <c r="AR640" s="154" t="n"/>
      <c r="AS640" s="154" t="n"/>
      <c r="AT640" s="154" t="n"/>
      <c r="AU640" s="154" t="n"/>
      <c r="AV640" s="154" t="n"/>
      <c r="AW640" s="154" t="n"/>
      <c r="AX640" s="154" t="n"/>
      <c r="AY640" s="154" t="n"/>
      <c r="AZ640" s="154" t="n"/>
      <c r="BA640" s="154" t="n"/>
      <c r="BB640" s="154" t="n"/>
      <c r="BC640" s="154" t="n"/>
      <c r="BD640" s="154" t="n"/>
      <c r="BE640" s="154" t="n"/>
      <c r="BF640" s="154" t="n"/>
      <c r="BG640" s="154" t="n"/>
      <c r="BH640" s="154" t="n"/>
    </row>
    <row r="641" ht="15.75" customHeight="1" s="251">
      <c r="A641" s="153" t="n"/>
      <c r="B641" s="154" t="n"/>
      <c r="C641" s="154" t="n"/>
      <c r="D641" s="154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  <c r="AA641" s="154" t="n"/>
      <c r="AB641" s="154" t="n"/>
      <c r="AC641" s="154" t="n"/>
      <c r="AD641" s="154" t="n"/>
      <c r="AE641" s="154" t="n"/>
      <c r="AF641" s="154" t="n"/>
      <c r="AG641" s="154" t="n"/>
      <c r="AH641" s="154" t="n"/>
      <c r="AI641" s="154" t="n"/>
      <c r="AJ641" s="154" t="n"/>
      <c r="AK641" s="154" t="n"/>
      <c r="AL641" s="154" t="n"/>
      <c r="AM641" s="154" t="n"/>
      <c r="AN641" s="154" t="n"/>
      <c r="AO641" s="154" t="n"/>
      <c r="AP641" s="154" t="n"/>
      <c r="AQ641" s="154" t="n"/>
      <c r="AR641" s="154" t="n"/>
      <c r="AS641" s="154" t="n"/>
      <c r="AT641" s="154" t="n"/>
      <c r="AU641" s="154" t="n"/>
      <c r="AV641" s="154" t="n"/>
      <c r="AW641" s="154" t="n"/>
      <c r="AX641" s="154" t="n"/>
      <c r="AY641" s="154" t="n"/>
      <c r="AZ641" s="154" t="n"/>
      <c r="BA641" s="154" t="n"/>
      <c r="BB641" s="154" t="n"/>
      <c r="BC641" s="154" t="n"/>
      <c r="BD641" s="154" t="n"/>
      <c r="BE641" s="154" t="n"/>
      <c r="BF641" s="154" t="n"/>
      <c r="BG641" s="154" t="n"/>
      <c r="BH641" s="154" t="n"/>
    </row>
    <row r="642" ht="15.75" customHeight="1" s="251">
      <c r="A642" s="153" t="n"/>
      <c r="B642" s="154" t="n"/>
      <c r="C642" s="154" t="n"/>
      <c r="D642" s="154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  <c r="AA642" s="154" t="n"/>
      <c r="AB642" s="154" t="n"/>
      <c r="AC642" s="154" t="n"/>
      <c r="AD642" s="154" t="n"/>
      <c r="AE642" s="154" t="n"/>
      <c r="AF642" s="154" t="n"/>
      <c r="AG642" s="154" t="n"/>
      <c r="AH642" s="154" t="n"/>
      <c r="AI642" s="154" t="n"/>
      <c r="AJ642" s="154" t="n"/>
      <c r="AK642" s="154" t="n"/>
      <c r="AL642" s="154" t="n"/>
      <c r="AM642" s="154" t="n"/>
      <c r="AN642" s="154" t="n"/>
      <c r="AO642" s="154" t="n"/>
      <c r="AP642" s="154" t="n"/>
      <c r="AQ642" s="154" t="n"/>
      <c r="AR642" s="154" t="n"/>
      <c r="AS642" s="154" t="n"/>
      <c r="AT642" s="154" t="n"/>
      <c r="AU642" s="154" t="n"/>
      <c r="AV642" s="154" t="n"/>
      <c r="AW642" s="154" t="n"/>
      <c r="AX642" s="154" t="n"/>
      <c r="AY642" s="154" t="n"/>
      <c r="AZ642" s="154" t="n"/>
      <c r="BA642" s="154" t="n"/>
      <c r="BB642" s="154" t="n"/>
      <c r="BC642" s="154" t="n"/>
      <c r="BD642" s="154" t="n"/>
      <c r="BE642" s="154" t="n"/>
      <c r="BF642" s="154" t="n"/>
      <c r="BG642" s="154" t="n"/>
      <c r="BH642" s="154" t="n"/>
    </row>
    <row r="643" ht="15.75" customHeight="1" s="251">
      <c r="A643" s="153" t="n"/>
      <c r="B643" s="154" t="n"/>
      <c r="C643" s="154" t="n"/>
      <c r="D643" s="154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  <c r="AA643" s="154" t="n"/>
      <c r="AB643" s="154" t="n"/>
      <c r="AC643" s="154" t="n"/>
      <c r="AD643" s="154" t="n"/>
      <c r="AE643" s="154" t="n"/>
      <c r="AF643" s="154" t="n"/>
      <c r="AG643" s="154" t="n"/>
      <c r="AH643" s="154" t="n"/>
      <c r="AI643" s="154" t="n"/>
      <c r="AJ643" s="154" t="n"/>
      <c r="AK643" s="154" t="n"/>
      <c r="AL643" s="154" t="n"/>
      <c r="AM643" s="154" t="n"/>
      <c r="AN643" s="154" t="n"/>
      <c r="AO643" s="154" t="n"/>
      <c r="AP643" s="154" t="n"/>
      <c r="AQ643" s="154" t="n"/>
      <c r="AR643" s="154" t="n"/>
      <c r="AS643" s="154" t="n"/>
      <c r="AT643" s="154" t="n"/>
      <c r="AU643" s="154" t="n"/>
      <c r="AV643" s="154" t="n"/>
      <c r="AW643" s="154" t="n"/>
      <c r="AX643" s="154" t="n"/>
      <c r="AY643" s="154" t="n"/>
      <c r="AZ643" s="154" t="n"/>
      <c r="BA643" s="154" t="n"/>
      <c r="BB643" s="154" t="n"/>
      <c r="BC643" s="154" t="n"/>
      <c r="BD643" s="154" t="n"/>
      <c r="BE643" s="154" t="n"/>
      <c r="BF643" s="154" t="n"/>
      <c r="BG643" s="154" t="n"/>
      <c r="BH643" s="154" t="n"/>
    </row>
    <row r="644" ht="15.75" customHeight="1" s="251">
      <c r="A644" s="153" t="n"/>
      <c r="B644" s="154" t="n"/>
      <c r="C644" s="154" t="n"/>
      <c r="D644" s="154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  <c r="AA644" s="154" t="n"/>
      <c r="AB644" s="154" t="n"/>
      <c r="AC644" s="154" t="n"/>
      <c r="AD644" s="154" t="n"/>
      <c r="AE644" s="154" t="n"/>
      <c r="AF644" s="154" t="n"/>
      <c r="AG644" s="154" t="n"/>
      <c r="AH644" s="154" t="n"/>
      <c r="AI644" s="154" t="n"/>
      <c r="AJ644" s="154" t="n"/>
      <c r="AK644" s="154" t="n"/>
      <c r="AL644" s="154" t="n"/>
      <c r="AM644" s="154" t="n"/>
      <c r="AN644" s="154" t="n"/>
      <c r="AO644" s="154" t="n"/>
      <c r="AP644" s="154" t="n"/>
      <c r="AQ644" s="154" t="n"/>
      <c r="AR644" s="154" t="n"/>
      <c r="AS644" s="154" t="n"/>
      <c r="AT644" s="154" t="n"/>
      <c r="AU644" s="154" t="n"/>
      <c r="AV644" s="154" t="n"/>
      <c r="AW644" s="154" t="n"/>
      <c r="AX644" s="154" t="n"/>
      <c r="AY644" s="154" t="n"/>
      <c r="AZ644" s="154" t="n"/>
      <c r="BA644" s="154" t="n"/>
      <c r="BB644" s="154" t="n"/>
      <c r="BC644" s="154" t="n"/>
      <c r="BD644" s="154" t="n"/>
      <c r="BE644" s="154" t="n"/>
      <c r="BF644" s="154" t="n"/>
      <c r="BG644" s="154" t="n"/>
      <c r="BH644" s="154" t="n"/>
    </row>
    <row r="645" ht="15.75" customHeight="1" s="251">
      <c r="A645" s="153" t="n"/>
      <c r="B645" s="154" t="n"/>
      <c r="C645" s="154" t="n"/>
      <c r="D645" s="154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  <c r="AA645" s="154" t="n"/>
      <c r="AB645" s="154" t="n"/>
      <c r="AC645" s="154" t="n"/>
      <c r="AD645" s="154" t="n"/>
      <c r="AE645" s="154" t="n"/>
      <c r="AF645" s="154" t="n"/>
      <c r="AG645" s="154" t="n"/>
      <c r="AH645" s="154" t="n"/>
      <c r="AI645" s="154" t="n"/>
      <c r="AJ645" s="154" t="n"/>
      <c r="AK645" s="154" t="n"/>
      <c r="AL645" s="154" t="n"/>
      <c r="AM645" s="154" t="n"/>
      <c r="AN645" s="154" t="n"/>
      <c r="AO645" s="154" t="n"/>
      <c r="AP645" s="154" t="n"/>
      <c r="AQ645" s="154" t="n"/>
      <c r="AR645" s="154" t="n"/>
      <c r="AS645" s="154" t="n"/>
      <c r="AT645" s="154" t="n"/>
      <c r="AU645" s="154" t="n"/>
      <c r="AV645" s="154" t="n"/>
      <c r="AW645" s="154" t="n"/>
      <c r="AX645" s="154" t="n"/>
      <c r="AY645" s="154" t="n"/>
      <c r="AZ645" s="154" t="n"/>
      <c r="BA645" s="154" t="n"/>
      <c r="BB645" s="154" t="n"/>
      <c r="BC645" s="154" t="n"/>
      <c r="BD645" s="154" t="n"/>
      <c r="BE645" s="154" t="n"/>
      <c r="BF645" s="154" t="n"/>
      <c r="BG645" s="154" t="n"/>
      <c r="BH645" s="154" t="n"/>
    </row>
    <row r="646" ht="15.75" customHeight="1" s="251">
      <c r="A646" s="153" t="n"/>
      <c r="B646" s="154" t="n"/>
      <c r="C646" s="154" t="n"/>
      <c r="D646" s="154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  <c r="AA646" s="154" t="n"/>
      <c r="AB646" s="154" t="n"/>
      <c r="AC646" s="154" t="n"/>
      <c r="AD646" s="154" t="n"/>
      <c r="AE646" s="154" t="n"/>
      <c r="AF646" s="154" t="n"/>
      <c r="AG646" s="154" t="n"/>
      <c r="AH646" s="154" t="n"/>
      <c r="AI646" s="154" t="n"/>
      <c r="AJ646" s="154" t="n"/>
      <c r="AK646" s="154" t="n"/>
      <c r="AL646" s="154" t="n"/>
      <c r="AM646" s="154" t="n"/>
      <c r="AN646" s="154" t="n"/>
      <c r="AO646" s="154" t="n"/>
      <c r="AP646" s="154" t="n"/>
      <c r="AQ646" s="154" t="n"/>
      <c r="AR646" s="154" t="n"/>
      <c r="AS646" s="154" t="n"/>
      <c r="AT646" s="154" t="n"/>
      <c r="AU646" s="154" t="n"/>
      <c r="AV646" s="154" t="n"/>
      <c r="AW646" s="154" t="n"/>
      <c r="AX646" s="154" t="n"/>
      <c r="AY646" s="154" t="n"/>
      <c r="AZ646" s="154" t="n"/>
      <c r="BA646" s="154" t="n"/>
      <c r="BB646" s="154" t="n"/>
      <c r="BC646" s="154" t="n"/>
      <c r="BD646" s="154" t="n"/>
      <c r="BE646" s="154" t="n"/>
      <c r="BF646" s="154" t="n"/>
      <c r="BG646" s="154" t="n"/>
      <c r="BH646" s="154" t="n"/>
    </row>
    <row r="647" ht="15.75" customHeight="1" s="251">
      <c r="A647" s="153" t="n"/>
      <c r="B647" s="154" t="n"/>
      <c r="C647" s="154" t="n"/>
      <c r="D647" s="154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  <c r="AA647" s="154" t="n"/>
      <c r="AB647" s="154" t="n"/>
      <c r="AC647" s="154" t="n"/>
      <c r="AD647" s="154" t="n"/>
      <c r="AE647" s="154" t="n"/>
      <c r="AF647" s="154" t="n"/>
      <c r="AG647" s="154" t="n"/>
      <c r="AH647" s="154" t="n"/>
      <c r="AI647" s="154" t="n"/>
      <c r="AJ647" s="154" t="n"/>
      <c r="AK647" s="154" t="n"/>
      <c r="AL647" s="154" t="n"/>
      <c r="AM647" s="154" t="n"/>
      <c r="AN647" s="154" t="n"/>
      <c r="AO647" s="154" t="n"/>
      <c r="AP647" s="154" t="n"/>
      <c r="AQ647" s="154" t="n"/>
      <c r="AR647" s="154" t="n"/>
      <c r="AS647" s="154" t="n"/>
      <c r="AT647" s="154" t="n"/>
      <c r="AU647" s="154" t="n"/>
      <c r="AV647" s="154" t="n"/>
      <c r="AW647" s="154" t="n"/>
      <c r="AX647" s="154" t="n"/>
      <c r="AY647" s="154" t="n"/>
      <c r="AZ647" s="154" t="n"/>
      <c r="BA647" s="154" t="n"/>
      <c r="BB647" s="154" t="n"/>
      <c r="BC647" s="154" t="n"/>
      <c r="BD647" s="154" t="n"/>
      <c r="BE647" s="154" t="n"/>
      <c r="BF647" s="154" t="n"/>
      <c r="BG647" s="154" t="n"/>
      <c r="BH647" s="154" t="n"/>
    </row>
    <row r="648" ht="15.75" customHeight="1" s="251">
      <c r="A648" s="153" t="n"/>
      <c r="B648" s="154" t="n"/>
      <c r="C648" s="154" t="n"/>
      <c r="D648" s="154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  <c r="AA648" s="154" t="n"/>
      <c r="AB648" s="154" t="n"/>
      <c r="AC648" s="154" t="n"/>
      <c r="AD648" s="154" t="n"/>
      <c r="AE648" s="154" t="n"/>
      <c r="AF648" s="154" t="n"/>
      <c r="AG648" s="154" t="n"/>
      <c r="AH648" s="154" t="n"/>
      <c r="AI648" s="154" t="n"/>
      <c r="AJ648" s="154" t="n"/>
      <c r="AK648" s="154" t="n"/>
      <c r="AL648" s="154" t="n"/>
      <c r="AM648" s="154" t="n"/>
      <c r="AN648" s="154" t="n"/>
      <c r="AO648" s="154" t="n"/>
      <c r="AP648" s="154" t="n"/>
      <c r="AQ648" s="154" t="n"/>
      <c r="AR648" s="154" t="n"/>
      <c r="AS648" s="154" t="n"/>
      <c r="AT648" s="154" t="n"/>
      <c r="AU648" s="154" t="n"/>
      <c r="AV648" s="154" t="n"/>
      <c r="AW648" s="154" t="n"/>
      <c r="AX648" s="154" t="n"/>
      <c r="AY648" s="154" t="n"/>
      <c r="AZ648" s="154" t="n"/>
      <c r="BA648" s="154" t="n"/>
      <c r="BB648" s="154" t="n"/>
      <c r="BC648" s="154" t="n"/>
      <c r="BD648" s="154" t="n"/>
      <c r="BE648" s="154" t="n"/>
      <c r="BF648" s="154" t="n"/>
      <c r="BG648" s="154" t="n"/>
      <c r="BH648" s="154" t="n"/>
    </row>
    <row r="649" ht="15.75" customHeight="1" s="251">
      <c r="A649" s="153" t="n"/>
      <c r="B649" s="154" t="n"/>
      <c r="C649" s="154" t="n"/>
      <c r="D649" s="154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  <c r="AA649" s="154" t="n"/>
      <c r="AB649" s="154" t="n"/>
      <c r="AC649" s="154" t="n"/>
      <c r="AD649" s="154" t="n"/>
      <c r="AE649" s="154" t="n"/>
      <c r="AF649" s="154" t="n"/>
      <c r="AG649" s="154" t="n"/>
      <c r="AH649" s="154" t="n"/>
      <c r="AI649" s="154" t="n"/>
      <c r="AJ649" s="154" t="n"/>
      <c r="AK649" s="154" t="n"/>
      <c r="AL649" s="154" t="n"/>
      <c r="AM649" s="154" t="n"/>
      <c r="AN649" s="154" t="n"/>
      <c r="AO649" s="154" t="n"/>
      <c r="AP649" s="154" t="n"/>
      <c r="AQ649" s="154" t="n"/>
      <c r="AR649" s="154" t="n"/>
      <c r="AS649" s="154" t="n"/>
      <c r="AT649" s="154" t="n"/>
      <c r="AU649" s="154" t="n"/>
      <c r="AV649" s="154" t="n"/>
      <c r="AW649" s="154" t="n"/>
      <c r="AX649" s="154" t="n"/>
      <c r="AY649" s="154" t="n"/>
      <c r="AZ649" s="154" t="n"/>
      <c r="BA649" s="154" t="n"/>
      <c r="BB649" s="154" t="n"/>
      <c r="BC649" s="154" t="n"/>
      <c r="BD649" s="154" t="n"/>
      <c r="BE649" s="154" t="n"/>
      <c r="BF649" s="154" t="n"/>
      <c r="BG649" s="154" t="n"/>
      <c r="BH649" s="154" t="n"/>
    </row>
    <row r="650" ht="15.75" customHeight="1" s="251">
      <c r="A650" s="153" t="n"/>
      <c r="B650" s="154" t="n"/>
      <c r="C650" s="154" t="n"/>
      <c r="D650" s="154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  <c r="AA650" s="154" t="n"/>
      <c r="AB650" s="154" t="n"/>
      <c r="AC650" s="154" t="n"/>
      <c r="AD650" s="154" t="n"/>
      <c r="AE650" s="154" t="n"/>
      <c r="AF650" s="154" t="n"/>
      <c r="AG650" s="154" t="n"/>
      <c r="AH650" s="154" t="n"/>
      <c r="AI650" s="154" t="n"/>
      <c r="AJ650" s="154" t="n"/>
      <c r="AK650" s="154" t="n"/>
      <c r="AL650" s="154" t="n"/>
      <c r="AM650" s="154" t="n"/>
      <c r="AN650" s="154" t="n"/>
      <c r="AO650" s="154" t="n"/>
      <c r="AP650" s="154" t="n"/>
      <c r="AQ650" s="154" t="n"/>
      <c r="AR650" s="154" t="n"/>
      <c r="AS650" s="154" t="n"/>
      <c r="AT650" s="154" t="n"/>
      <c r="AU650" s="154" t="n"/>
      <c r="AV650" s="154" t="n"/>
      <c r="AW650" s="154" t="n"/>
      <c r="AX650" s="154" t="n"/>
      <c r="AY650" s="154" t="n"/>
      <c r="AZ650" s="154" t="n"/>
      <c r="BA650" s="154" t="n"/>
      <c r="BB650" s="154" t="n"/>
      <c r="BC650" s="154" t="n"/>
      <c r="BD650" s="154" t="n"/>
      <c r="BE650" s="154" t="n"/>
      <c r="BF650" s="154" t="n"/>
      <c r="BG650" s="154" t="n"/>
      <c r="BH650" s="154" t="n"/>
    </row>
    <row r="651" ht="15.75" customHeight="1" s="251">
      <c r="A651" s="153" t="n"/>
      <c r="B651" s="154" t="n"/>
      <c r="C651" s="154" t="n"/>
      <c r="D651" s="154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  <c r="AA651" s="154" t="n"/>
      <c r="AB651" s="154" t="n"/>
      <c r="AC651" s="154" t="n"/>
      <c r="AD651" s="154" t="n"/>
      <c r="AE651" s="154" t="n"/>
      <c r="AF651" s="154" t="n"/>
      <c r="AG651" s="154" t="n"/>
      <c r="AH651" s="154" t="n"/>
      <c r="AI651" s="154" t="n"/>
      <c r="AJ651" s="154" t="n"/>
      <c r="AK651" s="154" t="n"/>
      <c r="AL651" s="154" t="n"/>
      <c r="AM651" s="154" t="n"/>
      <c r="AN651" s="154" t="n"/>
      <c r="AO651" s="154" t="n"/>
      <c r="AP651" s="154" t="n"/>
      <c r="AQ651" s="154" t="n"/>
      <c r="AR651" s="154" t="n"/>
      <c r="AS651" s="154" t="n"/>
      <c r="AT651" s="154" t="n"/>
      <c r="AU651" s="154" t="n"/>
      <c r="AV651" s="154" t="n"/>
      <c r="AW651" s="154" t="n"/>
      <c r="AX651" s="154" t="n"/>
      <c r="AY651" s="154" t="n"/>
      <c r="AZ651" s="154" t="n"/>
      <c r="BA651" s="154" t="n"/>
      <c r="BB651" s="154" t="n"/>
      <c r="BC651" s="154" t="n"/>
      <c r="BD651" s="154" t="n"/>
      <c r="BE651" s="154" t="n"/>
      <c r="BF651" s="154" t="n"/>
      <c r="BG651" s="154" t="n"/>
      <c r="BH651" s="154" t="n"/>
    </row>
    <row r="652" ht="15.75" customHeight="1" s="251">
      <c r="A652" s="153" t="n"/>
      <c r="B652" s="154" t="n"/>
      <c r="C652" s="154" t="n"/>
      <c r="D652" s="154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  <c r="AA652" s="154" t="n"/>
      <c r="AB652" s="154" t="n"/>
      <c r="AC652" s="154" t="n"/>
      <c r="AD652" s="154" t="n"/>
      <c r="AE652" s="154" t="n"/>
      <c r="AF652" s="154" t="n"/>
      <c r="AG652" s="154" t="n"/>
      <c r="AH652" s="154" t="n"/>
      <c r="AI652" s="154" t="n"/>
      <c r="AJ652" s="154" t="n"/>
      <c r="AK652" s="154" t="n"/>
      <c r="AL652" s="154" t="n"/>
      <c r="AM652" s="154" t="n"/>
      <c r="AN652" s="154" t="n"/>
      <c r="AO652" s="154" t="n"/>
      <c r="AP652" s="154" t="n"/>
      <c r="AQ652" s="154" t="n"/>
      <c r="AR652" s="154" t="n"/>
      <c r="AS652" s="154" t="n"/>
      <c r="AT652" s="154" t="n"/>
      <c r="AU652" s="154" t="n"/>
      <c r="AV652" s="154" t="n"/>
      <c r="AW652" s="154" t="n"/>
      <c r="AX652" s="154" t="n"/>
      <c r="AY652" s="154" t="n"/>
      <c r="AZ652" s="154" t="n"/>
      <c r="BA652" s="154" t="n"/>
      <c r="BB652" s="154" t="n"/>
      <c r="BC652" s="154" t="n"/>
      <c r="BD652" s="154" t="n"/>
      <c r="BE652" s="154" t="n"/>
      <c r="BF652" s="154" t="n"/>
      <c r="BG652" s="154" t="n"/>
      <c r="BH652" s="154" t="n"/>
    </row>
    <row r="653" ht="15.75" customHeight="1" s="251">
      <c r="A653" s="153" t="n"/>
      <c r="B653" s="154" t="n"/>
      <c r="C653" s="154" t="n"/>
      <c r="D653" s="154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  <c r="AA653" s="154" t="n"/>
      <c r="AB653" s="154" t="n"/>
      <c r="AC653" s="154" t="n"/>
      <c r="AD653" s="154" t="n"/>
      <c r="AE653" s="154" t="n"/>
      <c r="AF653" s="154" t="n"/>
      <c r="AG653" s="154" t="n"/>
      <c r="AH653" s="154" t="n"/>
      <c r="AI653" s="154" t="n"/>
      <c r="AJ653" s="154" t="n"/>
      <c r="AK653" s="154" t="n"/>
      <c r="AL653" s="154" t="n"/>
      <c r="AM653" s="154" t="n"/>
      <c r="AN653" s="154" t="n"/>
      <c r="AO653" s="154" t="n"/>
      <c r="AP653" s="154" t="n"/>
      <c r="AQ653" s="154" t="n"/>
      <c r="AR653" s="154" t="n"/>
      <c r="AS653" s="154" t="n"/>
      <c r="AT653" s="154" t="n"/>
      <c r="AU653" s="154" t="n"/>
      <c r="AV653" s="154" t="n"/>
      <c r="AW653" s="154" t="n"/>
      <c r="AX653" s="154" t="n"/>
      <c r="AY653" s="154" t="n"/>
      <c r="AZ653" s="154" t="n"/>
      <c r="BA653" s="154" t="n"/>
      <c r="BB653" s="154" t="n"/>
      <c r="BC653" s="154" t="n"/>
      <c r="BD653" s="154" t="n"/>
      <c r="BE653" s="154" t="n"/>
      <c r="BF653" s="154" t="n"/>
      <c r="BG653" s="154" t="n"/>
      <c r="BH653" s="154" t="n"/>
    </row>
    <row r="654" ht="15.75" customHeight="1" s="251">
      <c r="A654" s="153" t="n"/>
      <c r="B654" s="154" t="n"/>
      <c r="C654" s="154" t="n"/>
      <c r="D654" s="154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  <c r="AA654" s="154" t="n"/>
      <c r="AB654" s="154" t="n"/>
      <c r="AC654" s="154" t="n"/>
      <c r="AD654" s="154" t="n"/>
      <c r="AE654" s="154" t="n"/>
      <c r="AF654" s="154" t="n"/>
      <c r="AG654" s="154" t="n"/>
      <c r="AH654" s="154" t="n"/>
      <c r="AI654" s="154" t="n"/>
      <c r="AJ654" s="154" t="n"/>
      <c r="AK654" s="154" t="n"/>
      <c r="AL654" s="154" t="n"/>
      <c r="AM654" s="154" t="n"/>
      <c r="AN654" s="154" t="n"/>
      <c r="AO654" s="154" t="n"/>
      <c r="AP654" s="154" t="n"/>
      <c r="AQ654" s="154" t="n"/>
      <c r="AR654" s="154" t="n"/>
      <c r="AS654" s="154" t="n"/>
      <c r="AT654" s="154" t="n"/>
      <c r="AU654" s="154" t="n"/>
      <c r="AV654" s="154" t="n"/>
      <c r="AW654" s="154" t="n"/>
      <c r="AX654" s="154" t="n"/>
      <c r="AY654" s="154" t="n"/>
      <c r="AZ654" s="154" t="n"/>
      <c r="BA654" s="154" t="n"/>
      <c r="BB654" s="154" t="n"/>
      <c r="BC654" s="154" t="n"/>
      <c r="BD654" s="154" t="n"/>
      <c r="BE654" s="154" t="n"/>
      <c r="BF654" s="154" t="n"/>
      <c r="BG654" s="154" t="n"/>
      <c r="BH654" s="154" t="n"/>
    </row>
    <row r="655" ht="15.75" customHeight="1" s="251">
      <c r="A655" s="153" t="n"/>
      <c r="B655" s="154" t="n"/>
      <c r="C655" s="154" t="n"/>
      <c r="D655" s="154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  <c r="AA655" s="154" t="n"/>
      <c r="AB655" s="154" t="n"/>
      <c r="AC655" s="154" t="n"/>
      <c r="AD655" s="154" t="n"/>
      <c r="AE655" s="154" t="n"/>
      <c r="AF655" s="154" t="n"/>
      <c r="AG655" s="154" t="n"/>
      <c r="AH655" s="154" t="n"/>
      <c r="AI655" s="154" t="n"/>
      <c r="AJ655" s="154" t="n"/>
      <c r="AK655" s="154" t="n"/>
      <c r="AL655" s="154" t="n"/>
      <c r="AM655" s="154" t="n"/>
      <c r="AN655" s="154" t="n"/>
      <c r="AO655" s="154" t="n"/>
      <c r="AP655" s="154" t="n"/>
      <c r="AQ655" s="154" t="n"/>
      <c r="AR655" s="154" t="n"/>
      <c r="AS655" s="154" t="n"/>
      <c r="AT655" s="154" t="n"/>
      <c r="AU655" s="154" t="n"/>
      <c r="AV655" s="154" t="n"/>
      <c r="AW655" s="154" t="n"/>
      <c r="AX655" s="154" t="n"/>
      <c r="AY655" s="154" t="n"/>
      <c r="AZ655" s="154" t="n"/>
      <c r="BA655" s="154" t="n"/>
      <c r="BB655" s="154" t="n"/>
      <c r="BC655" s="154" t="n"/>
      <c r="BD655" s="154" t="n"/>
      <c r="BE655" s="154" t="n"/>
      <c r="BF655" s="154" t="n"/>
      <c r="BG655" s="154" t="n"/>
      <c r="BH655" s="154" t="n"/>
    </row>
    <row r="656" ht="15.75" customHeight="1" s="251">
      <c r="A656" s="153" t="n"/>
      <c r="B656" s="154" t="n"/>
      <c r="C656" s="154" t="n"/>
      <c r="D656" s="154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  <c r="AA656" s="154" t="n"/>
      <c r="AB656" s="154" t="n"/>
      <c r="AC656" s="154" t="n"/>
      <c r="AD656" s="154" t="n"/>
      <c r="AE656" s="154" t="n"/>
      <c r="AF656" s="154" t="n"/>
      <c r="AG656" s="154" t="n"/>
      <c r="AH656" s="154" t="n"/>
      <c r="AI656" s="154" t="n"/>
      <c r="AJ656" s="154" t="n"/>
      <c r="AK656" s="154" t="n"/>
      <c r="AL656" s="154" t="n"/>
      <c r="AM656" s="154" t="n"/>
      <c r="AN656" s="154" t="n"/>
      <c r="AO656" s="154" t="n"/>
      <c r="AP656" s="154" t="n"/>
      <c r="AQ656" s="154" t="n"/>
      <c r="AR656" s="154" t="n"/>
      <c r="AS656" s="154" t="n"/>
      <c r="AT656" s="154" t="n"/>
      <c r="AU656" s="154" t="n"/>
      <c r="AV656" s="154" t="n"/>
      <c r="AW656" s="154" t="n"/>
      <c r="AX656" s="154" t="n"/>
      <c r="AY656" s="154" t="n"/>
      <c r="AZ656" s="154" t="n"/>
      <c r="BA656" s="154" t="n"/>
      <c r="BB656" s="154" t="n"/>
      <c r="BC656" s="154" t="n"/>
      <c r="BD656" s="154" t="n"/>
      <c r="BE656" s="154" t="n"/>
      <c r="BF656" s="154" t="n"/>
      <c r="BG656" s="154" t="n"/>
      <c r="BH656" s="154" t="n"/>
    </row>
    <row r="657" ht="15.75" customHeight="1" s="251">
      <c r="A657" s="153" t="n"/>
      <c r="B657" s="154" t="n"/>
      <c r="C657" s="154" t="n"/>
      <c r="D657" s="154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  <c r="AA657" s="154" t="n"/>
      <c r="AB657" s="154" t="n"/>
      <c r="AC657" s="154" t="n"/>
      <c r="AD657" s="154" t="n"/>
      <c r="AE657" s="154" t="n"/>
      <c r="AF657" s="154" t="n"/>
      <c r="AG657" s="154" t="n"/>
      <c r="AH657" s="154" t="n"/>
      <c r="AI657" s="154" t="n"/>
      <c r="AJ657" s="154" t="n"/>
      <c r="AK657" s="154" t="n"/>
      <c r="AL657" s="154" t="n"/>
      <c r="AM657" s="154" t="n"/>
      <c r="AN657" s="154" t="n"/>
      <c r="AO657" s="154" t="n"/>
      <c r="AP657" s="154" t="n"/>
      <c r="AQ657" s="154" t="n"/>
      <c r="AR657" s="154" t="n"/>
      <c r="AS657" s="154" t="n"/>
      <c r="AT657" s="154" t="n"/>
      <c r="AU657" s="154" t="n"/>
      <c r="AV657" s="154" t="n"/>
      <c r="AW657" s="154" t="n"/>
      <c r="AX657" s="154" t="n"/>
      <c r="AY657" s="154" t="n"/>
      <c r="AZ657" s="154" t="n"/>
      <c r="BA657" s="154" t="n"/>
      <c r="BB657" s="154" t="n"/>
      <c r="BC657" s="154" t="n"/>
      <c r="BD657" s="154" t="n"/>
      <c r="BE657" s="154" t="n"/>
      <c r="BF657" s="154" t="n"/>
      <c r="BG657" s="154" t="n"/>
      <c r="BH657" s="154" t="n"/>
    </row>
    <row r="658" ht="15.75" customHeight="1" s="251">
      <c r="A658" s="153" t="n"/>
      <c r="B658" s="154" t="n"/>
      <c r="C658" s="154" t="n"/>
      <c r="D658" s="154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  <c r="AA658" s="154" t="n"/>
      <c r="AB658" s="154" t="n"/>
      <c r="AC658" s="154" t="n"/>
      <c r="AD658" s="154" t="n"/>
      <c r="AE658" s="154" t="n"/>
      <c r="AF658" s="154" t="n"/>
      <c r="AG658" s="154" t="n"/>
      <c r="AH658" s="154" t="n"/>
      <c r="AI658" s="154" t="n"/>
      <c r="AJ658" s="154" t="n"/>
      <c r="AK658" s="154" t="n"/>
      <c r="AL658" s="154" t="n"/>
      <c r="AM658" s="154" t="n"/>
      <c r="AN658" s="154" t="n"/>
      <c r="AO658" s="154" t="n"/>
      <c r="AP658" s="154" t="n"/>
      <c r="AQ658" s="154" t="n"/>
      <c r="AR658" s="154" t="n"/>
      <c r="AS658" s="154" t="n"/>
      <c r="AT658" s="154" t="n"/>
      <c r="AU658" s="154" t="n"/>
      <c r="AV658" s="154" t="n"/>
      <c r="AW658" s="154" t="n"/>
      <c r="AX658" s="154" t="n"/>
      <c r="AY658" s="154" t="n"/>
      <c r="AZ658" s="154" t="n"/>
      <c r="BA658" s="154" t="n"/>
      <c r="BB658" s="154" t="n"/>
      <c r="BC658" s="154" t="n"/>
      <c r="BD658" s="154" t="n"/>
      <c r="BE658" s="154" t="n"/>
      <c r="BF658" s="154" t="n"/>
      <c r="BG658" s="154" t="n"/>
      <c r="BH658" s="154" t="n"/>
    </row>
    <row r="659" ht="15.75" customHeight="1" s="251">
      <c r="A659" s="153" t="n"/>
      <c r="B659" s="154" t="n"/>
      <c r="C659" s="154" t="n"/>
      <c r="D659" s="154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  <c r="AA659" s="154" t="n"/>
      <c r="AB659" s="154" t="n"/>
      <c r="AC659" s="154" t="n"/>
      <c r="AD659" s="154" t="n"/>
      <c r="AE659" s="154" t="n"/>
      <c r="AF659" s="154" t="n"/>
      <c r="AG659" s="154" t="n"/>
      <c r="AH659" s="154" t="n"/>
      <c r="AI659" s="154" t="n"/>
      <c r="AJ659" s="154" t="n"/>
      <c r="AK659" s="154" t="n"/>
      <c r="AL659" s="154" t="n"/>
      <c r="AM659" s="154" t="n"/>
      <c r="AN659" s="154" t="n"/>
      <c r="AO659" s="154" t="n"/>
      <c r="AP659" s="154" t="n"/>
      <c r="AQ659" s="154" t="n"/>
      <c r="AR659" s="154" t="n"/>
      <c r="AS659" s="154" t="n"/>
      <c r="AT659" s="154" t="n"/>
      <c r="AU659" s="154" t="n"/>
      <c r="AV659" s="154" t="n"/>
      <c r="AW659" s="154" t="n"/>
      <c r="AX659" s="154" t="n"/>
      <c r="AY659" s="154" t="n"/>
      <c r="AZ659" s="154" t="n"/>
      <c r="BA659" s="154" t="n"/>
      <c r="BB659" s="154" t="n"/>
      <c r="BC659" s="154" t="n"/>
      <c r="BD659" s="154" t="n"/>
      <c r="BE659" s="154" t="n"/>
      <c r="BF659" s="154" t="n"/>
      <c r="BG659" s="154" t="n"/>
      <c r="BH659" s="154" t="n"/>
    </row>
    <row r="660" ht="15.75" customHeight="1" s="251">
      <c r="A660" s="153" t="n"/>
      <c r="B660" s="154" t="n"/>
      <c r="C660" s="154" t="n"/>
      <c r="D660" s="154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  <c r="AA660" s="154" t="n"/>
      <c r="AB660" s="154" t="n"/>
      <c r="AC660" s="154" t="n"/>
      <c r="AD660" s="154" t="n"/>
      <c r="AE660" s="154" t="n"/>
      <c r="AF660" s="154" t="n"/>
      <c r="AG660" s="154" t="n"/>
      <c r="AH660" s="154" t="n"/>
      <c r="AI660" s="154" t="n"/>
      <c r="AJ660" s="154" t="n"/>
      <c r="AK660" s="154" t="n"/>
      <c r="AL660" s="154" t="n"/>
      <c r="AM660" s="154" t="n"/>
      <c r="AN660" s="154" t="n"/>
      <c r="AO660" s="154" t="n"/>
      <c r="AP660" s="154" t="n"/>
      <c r="AQ660" s="154" t="n"/>
      <c r="AR660" s="154" t="n"/>
      <c r="AS660" s="154" t="n"/>
      <c r="AT660" s="154" t="n"/>
      <c r="AU660" s="154" t="n"/>
      <c r="AV660" s="154" t="n"/>
      <c r="AW660" s="154" t="n"/>
      <c r="AX660" s="154" t="n"/>
      <c r="AY660" s="154" t="n"/>
      <c r="AZ660" s="154" t="n"/>
      <c r="BA660" s="154" t="n"/>
      <c r="BB660" s="154" t="n"/>
      <c r="BC660" s="154" t="n"/>
      <c r="BD660" s="154" t="n"/>
      <c r="BE660" s="154" t="n"/>
      <c r="BF660" s="154" t="n"/>
      <c r="BG660" s="154" t="n"/>
      <c r="BH660" s="154" t="n"/>
    </row>
    <row r="661" ht="15.75" customHeight="1" s="251">
      <c r="A661" s="153" t="n"/>
      <c r="B661" s="154" t="n"/>
      <c r="C661" s="154" t="n"/>
      <c r="D661" s="154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  <c r="AA661" s="154" t="n"/>
      <c r="AB661" s="154" t="n"/>
      <c r="AC661" s="154" t="n"/>
      <c r="AD661" s="154" t="n"/>
      <c r="AE661" s="154" t="n"/>
      <c r="AF661" s="154" t="n"/>
      <c r="AG661" s="154" t="n"/>
      <c r="AH661" s="154" t="n"/>
      <c r="AI661" s="154" t="n"/>
      <c r="AJ661" s="154" t="n"/>
      <c r="AK661" s="154" t="n"/>
      <c r="AL661" s="154" t="n"/>
      <c r="AM661" s="154" t="n"/>
      <c r="AN661" s="154" t="n"/>
      <c r="AO661" s="154" t="n"/>
      <c r="AP661" s="154" t="n"/>
      <c r="AQ661" s="154" t="n"/>
      <c r="AR661" s="154" t="n"/>
      <c r="AS661" s="154" t="n"/>
      <c r="AT661" s="154" t="n"/>
      <c r="AU661" s="154" t="n"/>
      <c r="AV661" s="154" t="n"/>
      <c r="AW661" s="154" t="n"/>
      <c r="AX661" s="154" t="n"/>
      <c r="AY661" s="154" t="n"/>
      <c r="AZ661" s="154" t="n"/>
      <c r="BA661" s="154" t="n"/>
      <c r="BB661" s="154" t="n"/>
      <c r="BC661" s="154" t="n"/>
      <c r="BD661" s="154" t="n"/>
      <c r="BE661" s="154" t="n"/>
      <c r="BF661" s="154" t="n"/>
      <c r="BG661" s="154" t="n"/>
      <c r="BH661" s="154" t="n"/>
    </row>
    <row r="662" ht="15.75" customHeight="1" s="251">
      <c r="A662" s="153" t="n"/>
      <c r="B662" s="154" t="n"/>
      <c r="C662" s="154" t="n"/>
      <c r="D662" s="154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  <c r="AA662" s="154" t="n"/>
      <c r="AB662" s="154" t="n"/>
      <c r="AC662" s="154" t="n"/>
      <c r="AD662" s="154" t="n"/>
      <c r="AE662" s="154" t="n"/>
      <c r="AF662" s="154" t="n"/>
      <c r="AG662" s="154" t="n"/>
      <c r="AH662" s="154" t="n"/>
      <c r="AI662" s="154" t="n"/>
      <c r="AJ662" s="154" t="n"/>
      <c r="AK662" s="154" t="n"/>
      <c r="AL662" s="154" t="n"/>
      <c r="AM662" s="154" t="n"/>
      <c r="AN662" s="154" t="n"/>
      <c r="AO662" s="154" t="n"/>
      <c r="AP662" s="154" t="n"/>
      <c r="AQ662" s="154" t="n"/>
      <c r="AR662" s="154" t="n"/>
      <c r="AS662" s="154" t="n"/>
      <c r="AT662" s="154" t="n"/>
      <c r="AU662" s="154" t="n"/>
      <c r="AV662" s="154" t="n"/>
      <c r="AW662" s="154" t="n"/>
      <c r="AX662" s="154" t="n"/>
      <c r="AY662" s="154" t="n"/>
      <c r="AZ662" s="154" t="n"/>
      <c r="BA662" s="154" t="n"/>
      <c r="BB662" s="154" t="n"/>
      <c r="BC662" s="154" t="n"/>
      <c r="BD662" s="154" t="n"/>
      <c r="BE662" s="154" t="n"/>
      <c r="BF662" s="154" t="n"/>
      <c r="BG662" s="154" t="n"/>
      <c r="BH662" s="154" t="n"/>
    </row>
    <row r="663" ht="15.75" customHeight="1" s="251">
      <c r="A663" s="153" t="n"/>
      <c r="B663" s="154" t="n"/>
      <c r="C663" s="154" t="n"/>
      <c r="D663" s="154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  <c r="AA663" s="154" t="n"/>
      <c r="AB663" s="154" t="n"/>
      <c r="AC663" s="154" t="n"/>
      <c r="AD663" s="154" t="n"/>
      <c r="AE663" s="154" t="n"/>
      <c r="AF663" s="154" t="n"/>
      <c r="AG663" s="154" t="n"/>
      <c r="AH663" s="154" t="n"/>
      <c r="AI663" s="154" t="n"/>
      <c r="AJ663" s="154" t="n"/>
      <c r="AK663" s="154" t="n"/>
      <c r="AL663" s="154" t="n"/>
      <c r="AM663" s="154" t="n"/>
      <c r="AN663" s="154" t="n"/>
      <c r="AO663" s="154" t="n"/>
      <c r="AP663" s="154" t="n"/>
      <c r="AQ663" s="154" t="n"/>
      <c r="AR663" s="154" t="n"/>
      <c r="AS663" s="154" t="n"/>
      <c r="AT663" s="154" t="n"/>
      <c r="AU663" s="154" t="n"/>
      <c r="AV663" s="154" t="n"/>
      <c r="AW663" s="154" t="n"/>
      <c r="AX663" s="154" t="n"/>
      <c r="AY663" s="154" t="n"/>
      <c r="AZ663" s="154" t="n"/>
      <c r="BA663" s="154" t="n"/>
      <c r="BB663" s="154" t="n"/>
      <c r="BC663" s="154" t="n"/>
      <c r="BD663" s="154" t="n"/>
      <c r="BE663" s="154" t="n"/>
      <c r="BF663" s="154" t="n"/>
      <c r="BG663" s="154" t="n"/>
      <c r="BH663" s="154" t="n"/>
    </row>
    <row r="664" ht="15.75" customHeight="1" s="251">
      <c r="A664" s="153" t="n"/>
      <c r="B664" s="154" t="n"/>
      <c r="C664" s="154" t="n"/>
      <c r="D664" s="154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  <c r="AA664" s="154" t="n"/>
      <c r="AB664" s="154" t="n"/>
      <c r="AC664" s="154" t="n"/>
      <c r="AD664" s="154" t="n"/>
      <c r="AE664" s="154" t="n"/>
      <c r="AF664" s="154" t="n"/>
      <c r="AG664" s="154" t="n"/>
      <c r="AH664" s="154" t="n"/>
      <c r="AI664" s="154" t="n"/>
      <c r="AJ664" s="154" t="n"/>
      <c r="AK664" s="154" t="n"/>
      <c r="AL664" s="154" t="n"/>
      <c r="AM664" s="154" t="n"/>
      <c r="AN664" s="154" t="n"/>
      <c r="AO664" s="154" t="n"/>
      <c r="AP664" s="154" t="n"/>
      <c r="AQ664" s="154" t="n"/>
      <c r="AR664" s="154" t="n"/>
      <c r="AS664" s="154" t="n"/>
      <c r="AT664" s="154" t="n"/>
      <c r="AU664" s="154" t="n"/>
      <c r="AV664" s="154" t="n"/>
      <c r="AW664" s="154" t="n"/>
      <c r="AX664" s="154" t="n"/>
      <c r="AY664" s="154" t="n"/>
      <c r="AZ664" s="154" t="n"/>
      <c r="BA664" s="154" t="n"/>
      <c r="BB664" s="154" t="n"/>
      <c r="BC664" s="154" t="n"/>
      <c r="BD664" s="154" t="n"/>
      <c r="BE664" s="154" t="n"/>
      <c r="BF664" s="154" t="n"/>
      <c r="BG664" s="154" t="n"/>
      <c r="BH664" s="154" t="n"/>
    </row>
    <row r="665" ht="15.75" customHeight="1" s="251">
      <c r="A665" s="153" t="n"/>
      <c r="B665" s="154" t="n"/>
      <c r="C665" s="154" t="n"/>
      <c r="D665" s="154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  <c r="AA665" s="154" t="n"/>
      <c r="AB665" s="154" t="n"/>
      <c r="AC665" s="154" t="n"/>
      <c r="AD665" s="154" t="n"/>
      <c r="AE665" s="154" t="n"/>
      <c r="AF665" s="154" t="n"/>
      <c r="AG665" s="154" t="n"/>
      <c r="AH665" s="154" t="n"/>
      <c r="AI665" s="154" t="n"/>
      <c r="AJ665" s="154" t="n"/>
      <c r="AK665" s="154" t="n"/>
      <c r="AL665" s="154" t="n"/>
      <c r="AM665" s="154" t="n"/>
      <c r="AN665" s="154" t="n"/>
      <c r="AO665" s="154" t="n"/>
      <c r="AP665" s="154" t="n"/>
      <c r="AQ665" s="154" t="n"/>
      <c r="AR665" s="154" t="n"/>
      <c r="AS665" s="154" t="n"/>
      <c r="AT665" s="154" t="n"/>
      <c r="AU665" s="154" t="n"/>
      <c r="AV665" s="154" t="n"/>
      <c r="AW665" s="154" t="n"/>
      <c r="AX665" s="154" t="n"/>
      <c r="AY665" s="154" t="n"/>
      <c r="AZ665" s="154" t="n"/>
      <c r="BA665" s="154" t="n"/>
      <c r="BB665" s="154" t="n"/>
      <c r="BC665" s="154" t="n"/>
      <c r="BD665" s="154" t="n"/>
      <c r="BE665" s="154" t="n"/>
      <c r="BF665" s="154" t="n"/>
      <c r="BG665" s="154" t="n"/>
      <c r="BH665" s="154" t="n"/>
    </row>
    <row r="666" ht="15.75" customHeight="1" s="251">
      <c r="A666" s="153" t="n"/>
      <c r="B666" s="154" t="n"/>
      <c r="C666" s="154" t="n"/>
      <c r="D666" s="154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  <c r="AA666" s="154" t="n"/>
      <c r="AB666" s="154" t="n"/>
      <c r="AC666" s="154" t="n"/>
      <c r="AD666" s="154" t="n"/>
      <c r="AE666" s="154" t="n"/>
      <c r="AF666" s="154" t="n"/>
      <c r="AG666" s="154" t="n"/>
      <c r="AH666" s="154" t="n"/>
      <c r="AI666" s="154" t="n"/>
      <c r="AJ666" s="154" t="n"/>
      <c r="AK666" s="154" t="n"/>
      <c r="AL666" s="154" t="n"/>
      <c r="AM666" s="154" t="n"/>
      <c r="AN666" s="154" t="n"/>
      <c r="AO666" s="154" t="n"/>
      <c r="AP666" s="154" t="n"/>
      <c r="AQ666" s="154" t="n"/>
      <c r="AR666" s="154" t="n"/>
      <c r="AS666" s="154" t="n"/>
      <c r="AT666" s="154" t="n"/>
      <c r="AU666" s="154" t="n"/>
      <c r="AV666" s="154" t="n"/>
      <c r="AW666" s="154" t="n"/>
      <c r="AX666" s="154" t="n"/>
      <c r="AY666" s="154" t="n"/>
      <c r="AZ666" s="154" t="n"/>
      <c r="BA666" s="154" t="n"/>
      <c r="BB666" s="154" t="n"/>
      <c r="BC666" s="154" t="n"/>
      <c r="BD666" s="154" t="n"/>
      <c r="BE666" s="154" t="n"/>
      <c r="BF666" s="154" t="n"/>
      <c r="BG666" s="154" t="n"/>
      <c r="BH666" s="154" t="n"/>
    </row>
    <row r="667" ht="15.75" customHeight="1" s="251">
      <c r="A667" s="153" t="n"/>
      <c r="B667" s="154" t="n"/>
      <c r="C667" s="154" t="n"/>
      <c r="D667" s="154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  <c r="AA667" s="154" t="n"/>
      <c r="AB667" s="154" t="n"/>
      <c r="AC667" s="154" t="n"/>
      <c r="AD667" s="154" t="n"/>
      <c r="AE667" s="154" t="n"/>
      <c r="AF667" s="154" t="n"/>
      <c r="AG667" s="154" t="n"/>
      <c r="AH667" s="154" t="n"/>
      <c r="AI667" s="154" t="n"/>
      <c r="AJ667" s="154" t="n"/>
      <c r="AK667" s="154" t="n"/>
      <c r="AL667" s="154" t="n"/>
      <c r="AM667" s="154" t="n"/>
      <c r="AN667" s="154" t="n"/>
      <c r="AO667" s="154" t="n"/>
      <c r="AP667" s="154" t="n"/>
      <c r="AQ667" s="154" t="n"/>
      <c r="AR667" s="154" t="n"/>
      <c r="AS667" s="154" t="n"/>
      <c r="AT667" s="154" t="n"/>
      <c r="AU667" s="154" t="n"/>
      <c r="AV667" s="154" t="n"/>
      <c r="AW667" s="154" t="n"/>
      <c r="AX667" s="154" t="n"/>
      <c r="AY667" s="154" t="n"/>
      <c r="AZ667" s="154" t="n"/>
      <c r="BA667" s="154" t="n"/>
      <c r="BB667" s="154" t="n"/>
      <c r="BC667" s="154" t="n"/>
      <c r="BD667" s="154" t="n"/>
      <c r="BE667" s="154" t="n"/>
      <c r="BF667" s="154" t="n"/>
      <c r="BG667" s="154" t="n"/>
      <c r="BH667" s="154" t="n"/>
    </row>
    <row r="668" ht="15.75" customHeight="1" s="251">
      <c r="A668" s="153" t="n"/>
      <c r="B668" s="154" t="n"/>
      <c r="C668" s="154" t="n"/>
      <c r="D668" s="154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  <c r="AA668" s="154" t="n"/>
      <c r="AB668" s="154" t="n"/>
      <c r="AC668" s="154" t="n"/>
      <c r="AD668" s="154" t="n"/>
      <c r="AE668" s="154" t="n"/>
      <c r="AF668" s="154" t="n"/>
      <c r="AG668" s="154" t="n"/>
      <c r="AH668" s="154" t="n"/>
      <c r="AI668" s="154" t="n"/>
      <c r="AJ668" s="154" t="n"/>
      <c r="AK668" s="154" t="n"/>
      <c r="AL668" s="154" t="n"/>
      <c r="AM668" s="154" t="n"/>
      <c r="AN668" s="154" t="n"/>
      <c r="AO668" s="154" t="n"/>
      <c r="AP668" s="154" t="n"/>
      <c r="AQ668" s="154" t="n"/>
      <c r="AR668" s="154" t="n"/>
      <c r="AS668" s="154" t="n"/>
      <c r="AT668" s="154" t="n"/>
      <c r="AU668" s="154" t="n"/>
      <c r="AV668" s="154" t="n"/>
      <c r="AW668" s="154" t="n"/>
      <c r="AX668" s="154" t="n"/>
      <c r="AY668" s="154" t="n"/>
      <c r="AZ668" s="154" t="n"/>
      <c r="BA668" s="154" t="n"/>
      <c r="BB668" s="154" t="n"/>
      <c r="BC668" s="154" t="n"/>
      <c r="BD668" s="154" t="n"/>
      <c r="BE668" s="154" t="n"/>
      <c r="BF668" s="154" t="n"/>
      <c r="BG668" s="154" t="n"/>
      <c r="BH668" s="154" t="n"/>
    </row>
    <row r="669" ht="15.75" customHeight="1" s="251">
      <c r="A669" s="153" t="n"/>
      <c r="B669" s="154" t="n"/>
      <c r="C669" s="154" t="n"/>
      <c r="D669" s="154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  <c r="AA669" s="154" t="n"/>
      <c r="AB669" s="154" t="n"/>
      <c r="AC669" s="154" t="n"/>
      <c r="AD669" s="154" t="n"/>
      <c r="AE669" s="154" t="n"/>
      <c r="AF669" s="154" t="n"/>
      <c r="AG669" s="154" t="n"/>
      <c r="AH669" s="154" t="n"/>
      <c r="AI669" s="154" t="n"/>
      <c r="AJ669" s="154" t="n"/>
      <c r="AK669" s="154" t="n"/>
      <c r="AL669" s="154" t="n"/>
      <c r="AM669" s="154" t="n"/>
      <c r="AN669" s="154" t="n"/>
      <c r="AO669" s="154" t="n"/>
      <c r="AP669" s="154" t="n"/>
      <c r="AQ669" s="154" t="n"/>
      <c r="AR669" s="154" t="n"/>
      <c r="AS669" s="154" t="n"/>
      <c r="AT669" s="154" t="n"/>
      <c r="AU669" s="154" t="n"/>
      <c r="AV669" s="154" t="n"/>
      <c r="AW669" s="154" t="n"/>
      <c r="AX669" s="154" t="n"/>
      <c r="AY669" s="154" t="n"/>
      <c r="AZ669" s="154" t="n"/>
      <c r="BA669" s="154" t="n"/>
      <c r="BB669" s="154" t="n"/>
      <c r="BC669" s="154" t="n"/>
      <c r="BD669" s="154" t="n"/>
      <c r="BE669" s="154" t="n"/>
      <c r="BF669" s="154" t="n"/>
      <c r="BG669" s="154" t="n"/>
      <c r="BH669" s="154" t="n"/>
    </row>
    <row r="670" ht="15.75" customHeight="1" s="251">
      <c r="A670" s="153" t="n"/>
      <c r="B670" s="154" t="n"/>
      <c r="C670" s="154" t="n"/>
      <c r="D670" s="154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  <c r="AA670" s="154" t="n"/>
      <c r="AB670" s="154" t="n"/>
      <c r="AC670" s="154" t="n"/>
      <c r="AD670" s="154" t="n"/>
      <c r="AE670" s="154" t="n"/>
      <c r="AF670" s="154" t="n"/>
      <c r="AG670" s="154" t="n"/>
      <c r="AH670" s="154" t="n"/>
      <c r="AI670" s="154" t="n"/>
      <c r="AJ670" s="154" t="n"/>
      <c r="AK670" s="154" t="n"/>
      <c r="AL670" s="154" t="n"/>
      <c r="AM670" s="154" t="n"/>
      <c r="AN670" s="154" t="n"/>
      <c r="AO670" s="154" t="n"/>
      <c r="AP670" s="154" t="n"/>
      <c r="AQ670" s="154" t="n"/>
      <c r="AR670" s="154" t="n"/>
      <c r="AS670" s="154" t="n"/>
      <c r="AT670" s="154" t="n"/>
      <c r="AU670" s="154" t="n"/>
      <c r="AV670" s="154" t="n"/>
      <c r="AW670" s="154" t="n"/>
      <c r="AX670" s="154" t="n"/>
      <c r="AY670" s="154" t="n"/>
      <c r="AZ670" s="154" t="n"/>
      <c r="BA670" s="154" t="n"/>
      <c r="BB670" s="154" t="n"/>
      <c r="BC670" s="154" t="n"/>
      <c r="BD670" s="154" t="n"/>
      <c r="BE670" s="154" t="n"/>
      <c r="BF670" s="154" t="n"/>
      <c r="BG670" s="154" t="n"/>
      <c r="BH670" s="154" t="n"/>
    </row>
    <row r="671" ht="15.75" customHeight="1" s="251">
      <c r="A671" s="153" t="n"/>
      <c r="B671" s="154" t="n"/>
      <c r="C671" s="154" t="n"/>
      <c r="D671" s="154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  <c r="AA671" s="154" t="n"/>
      <c r="AB671" s="154" t="n"/>
      <c r="AC671" s="154" t="n"/>
      <c r="AD671" s="154" t="n"/>
      <c r="AE671" s="154" t="n"/>
      <c r="AF671" s="154" t="n"/>
      <c r="AG671" s="154" t="n"/>
      <c r="AH671" s="154" t="n"/>
      <c r="AI671" s="154" t="n"/>
      <c r="AJ671" s="154" t="n"/>
      <c r="AK671" s="154" t="n"/>
      <c r="AL671" s="154" t="n"/>
      <c r="AM671" s="154" t="n"/>
      <c r="AN671" s="154" t="n"/>
      <c r="AO671" s="154" t="n"/>
      <c r="AP671" s="154" t="n"/>
      <c r="AQ671" s="154" t="n"/>
      <c r="AR671" s="154" t="n"/>
      <c r="AS671" s="154" t="n"/>
      <c r="AT671" s="154" t="n"/>
      <c r="AU671" s="154" t="n"/>
      <c r="AV671" s="154" t="n"/>
      <c r="AW671" s="154" t="n"/>
      <c r="AX671" s="154" t="n"/>
      <c r="AY671" s="154" t="n"/>
      <c r="AZ671" s="154" t="n"/>
      <c r="BA671" s="154" t="n"/>
      <c r="BB671" s="154" t="n"/>
      <c r="BC671" s="154" t="n"/>
      <c r="BD671" s="154" t="n"/>
      <c r="BE671" s="154" t="n"/>
      <c r="BF671" s="154" t="n"/>
      <c r="BG671" s="154" t="n"/>
      <c r="BH671" s="154" t="n"/>
    </row>
    <row r="672" ht="15.75" customHeight="1" s="251">
      <c r="A672" s="153" t="n"/>
      <c r="B672" s="154" t="n"/>
      <c r="C672" s="154" t="n"/>
      <c r="D672" s="154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  <c r="AA672" s="154" t="n"/>
      <c r="AB672" s="154" t="n"/>
      <c r="AC672" s="154" t="n"/>
      <c r="AD672" s="154" t="n"/>
      <c r="AE672" s="154" t="n"/>
      <c r="AF672" s="154" t="n"/>
      <c r="AG672" s="154" t="n"/>
      <c r="AH672" s="154" t="n"/>
      <c r="AI672" s="154" t="n"/>
      <c r="AJ672" s="154" t="n"/>
      <c r="AK672" s="154" t="n"/>
      <c r="AL672" s="154" t="n"/>
      <c r="AM672" s="154" t="n"/>
      <c r="AN672" s="154" t="n"/>
      <c r="AO672" s="154" t="n"/>
      <c r="AP672" s="154" t="n"/>
      <c r="AQ672" s="154" t="n"/>
      <c r="AR672" s="154" t="n"/>
      <c r="AS672" s="154" t="n"/>
      <c r="AT672" s="154" t="n"/>
      <c r="AU672" s="154" t="n"/>
      <c r="AV672" s="154" t="n"/>
      <c r="AW672" s="154" t="n"/>
      <c r="AX672" s="154" t="n"/>
      <c r="AY672" s="154" t="n"/>
      <c r="AZ672" s="154" t="n"/>
      <c r="BA672" s="154" t="n"/>
      <c r="BB672" s="154" t="n"/>
      <c r="BC672" s="154" t="n"/>
      <c r="BD672" s="154" t="n"/>
      <c r="BE672" s="154" t="n"/>
      <c r="BF672" s="154" t="n"/>
      <c r="BG672" s="154" t="n"/>
      <c r="BH672" s="154" t="n"/>
    </row>
    <row r="673" ht="15.75" customHeight="1" s="251">
      <c r="A673" s="153" t="n"/>
      <c r="B673" s="154" t="n"/>
      <c r="C673" s="154" t="n"/>
      <c r="D673" s="154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  <c r="AA673" s="154" t="n"/>
      <c r="AB673" s="154" t="n"/>
      <c r="AC673" s="154" t="n"/>
      <c r="AD673" s="154" t="n"/>
      <c r="AE673" s="154" t="n"/>
      <c r="AF673" s="154" t="n"/>
      <c r="AG673" s="154" t="n"/>
      <c r="AH673" s="154" t="n"/>
      <c r="AI673" s="154" t="n"/>
      <c r="AJ673" s="154" t="n"/>
      <c r="AK673" s="154" t="n"/>
      <c r="AL673" s="154" t="n"/>
      <c r="AM673" s="154" t="n"/>
      <c r="AN673" s="154" t="n"/>
      <c r="AO673" s="154" t="n"/>
      <c r="AP673" s="154" t="n"/>
      <c r="AQ673" s="154" t="n"/>
      <c r="AR673" s="154" t="n"/>
      <c r="AS673" s="154" t="n"/>
      <c r="AT673" s="154" t="n"/>
      <c r="AU673" s="154" t="n"/>
      <c r="AV673" s="154" t="n"/>
      <c r="AW673" s="154" t="n"/>
      <c r="AX673" s="154" t="n"/>
      <c r="AY673" s="154" t="n"/>
      <c r="AZ673" s="154" t="n"/>
      <c r="BA673" s="154" t="n"/>
      <c r="BB673" s="154" t="n"/>
      <c r="BC673" s="154" t="n"/>
      <c r="BD673" s="154" t="n"/>
      <c r="BE673" s="154" t="n"/>
      <c r="BF673" s="154" t="n"/>
      <c r="BG673" s="154" t="n"/>
      <c r="BH673" s="154" t="n"/>
    </row>
    <row r="674" ht="15.75" customHeight="1" s="251">
      <c r="A674" s="153" t="n"/>
      <c r="B674" s="154" t="n"/>
      <c r="C674" s="154" t="n"/>
      <c r="D674" s="154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  <c r="AA674" s="154" t="n"/>
      <c r="AB674" s="154" t="n"/>
      <c r="AC674" s="154" t="n"/>
      <c r="AD674" s="154" t="n"/>
      <c r="AE674" s="154" t="n"/>
      <c r="AF674" s="154" t="n"/>
      <c r="AG674" s="154" t="n"/>
      <c r="AH674" s="154" t="n"/>
      <c r="AI674" s="154" t="n"/>
      <c r="AJ674" s="154" t="n"/>
      <c r="AK674" s="154" t="n"/>
      <c r="AL674" s="154" t="n"/>
      <c r="AM674" s="154" t="n"/>
      <c r="AN674" s="154" t="n"/>
      <c r="AO674" s="154" t="n"/>
      <c r="AP674" s="154" t="n"/>
      <c r="AQ674" s="154" t="n"/>
      <c r="AR674" s="154" t="n"/>
      <c r="AS674" s="154" t="n"/>
      <c r="AT674" s="154" t="n"/>
      <c r="AU674" s="154" t="n"/>
      <c r="AV674" s="154" t="n"/>
      <c r="AW674" s="154" t="n"/>
      <c r="AX674" s="154" t="n"/>
      <c r="AY674" s="154" t="n"/>
      <c r="AZ674" s="154" t="n"/>
      <c r="BA674" s="154" t="n"/>
      <c r="BB674" s="154" t="n"/>
      <c r="BC674" s="154" t="n"/>
      <c r="BD674" s="154" t="n"/>
      <c r="BE674" s="154" t="n"/>
      <c r="BF674" s="154" t="n"/>
      <c r="BG674" s="154" t="n"/>
      <c r="BH674" s="154" t="n"/>
    </row>
    <row r="675" ht="15.75" customHeight="1" s="251">
      <c r="A675" s="153" t="n"/>
      <c r="B675" s="154" t="n"/>
      <c r="C675" s="154" t="n"/>
      <c r="D675" s="154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  <c r="AA675" s="154" t="n"/>
      <c r="AB675" s="154" t="n"/>
      <c r="AC675" s="154" t="n"/>
      <c r="AD675" s="154" t="n"/>
      <c r="AE675" s="154" t="n"/>
      <c r="AF675" s="154" t="n"/>
      <c r="AG675" s="154" t="n"/>
      <c r="AH675" s="154" t="n"/>
      <c r="AI675" s="154" t="n"/>
      <c r="AJ675" s="154" t="n"/>
      <c r="AK675" s="154" t="n"/>
      <c r="AL675" s="154" t="n"/>
      <c r="AM675" s="154" t="n"/>
      <c r="AN675" s="154" t="n"/>
      <c r="AO675" s="154" t="n"/>
      <c r="AP675" s="154" t="n"/>
      <c r="AQ675" s="154" t="n"/>
      <c r="AR675" s="154" t="n"/>
      <c r="AS675" s="154" t="n"/>
      <c r="AT675" s="154" t="n"/>
      <c r="AU675" s="154" t="n"/>
      <c r="AV675" s="154" t="n"/>
      <c r="AW675" s="154" t="n"/>
      <c r="AX675" s="154" t="n"/>
      <c r="AY675" s="154" t="n"/>
      <c r="AZ675" s="154" t="n"/>
      <c r="BA675" s="154" t="n"/>
      <c r="BB675" s="154" t="n"/>
      <c r="BC675" s="154" t="n"/>
      <c r="BD675" s="154" t="n"/>
      <c r="BE675" s="154" t="n"/>
      <c r="BF675" s="154" t="n"/>
      <c r="BG675" s="154" t="n"/>
      <c r="BH675" s="154" t="n"/>
    </row>
    <row r="676" ht="15.75" customHeight="1" s="251">
      <c r="A676" s="153" t="n"/>
      <c r="B676" s="154" t="n"/>
      <c r="C676" s="154" t="n"/>
      <c r="D676" s="154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  <c r="AA676" s="154" t="n"/>
      <c r="AB676" s="154" t="n"/>
      <c r="AC676" s="154" t="n"/>
      <c r="AD676" s="154" t="n"/>
      <c r="AE676" s="154" t="n"/>
      <c r="AF676" s="154" t="n"/>
      <c r="AG676" s="154" t="n"/>
      <c r="AH676" s="154" t="n"/>
      <c r="AI676" s="154" t="n"/>
      <c r="AJ676" s="154" t="n"/>
      <c r="AK676" s="154" t="n"/>
      <c r="AL676" s="154" t="n"/>
      <c r="AM676" s="154" t="n"/>
      <c r="AN676" s="154" t="n"/>
      <c r="AO676" s="154" t="n"/>
      <c r="AP676" s="154" t="n"/>
      <c r="AQ676" s="154" t="n"/>
      <c r="AR676" s="154" t="n"/>
      <c r="AS676" s="154" t="n"/>
      <c r="AT676" s="154" t="n"/>
      <c r="AU676" s="154" t="n"/>
      <c r="AV676" s="154" t="n"/>
      <c r="AW676" s="154" t="n"/>
      <c r="AX676" s="154" t="n"/>
      <c r="AY676" s="154" t="n"/>
      <c r="AZ676" s="154" t="n"/>
      <c r="BA676" s="154" t="n"/>
      <c r="BB676" s="154" t="n"/>
      <c r="BC676" s="154" t="n"/>
      <c r="BD676" s="154" t="n"/>
      <c r="BE676" s="154" t="n"/>
      <c r="BF676" s="154" t="n"/>
      <c r="BG676" s="154" t="n"/>
      <c r="BH676" s="154" t="n"/>
    </row>
    <row r="677" ht="15.75" customHeight="1" s="251">
      <c r="A677" s="153" t="n"/>
      <c r="B677" s="154" t="n"/>
      <c r="C677" s="154" t="n"/>
      <c r="D677" s="154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  <c r="AA677" s="154" t="n"/>
      <c r="AB677" s="154" t="n"/>
      <c r="AC677" s="154" t="n"/>
      <c r="AD677" s="154" t="n"/>
      <c r="AE677" s="154" t="n"/>
      <c r="AF677" s="154" t="n"/>
      <c r="AG677" s="154" t="n"/>
      <c r="AH677" s="154" t="n"/>
      <c r="AI677" s="154" t="n"/>
      <c r="AJ677" s="154" t="n"/>
      <c r="AK677" s="154" t="n"/>
      <c r="AL677" s="154" t="n"/>
      <c r="AM677" s="154" t="n"/>
      <c r="AN677" s="154" t="n"/>
      <c r="AO677" s="154" t="n"/>
      <c r="AP677" s="154" t="n"/>
      <c r="AQ677" s="154" t="n"/>
      <c r="AR677" s="154" t="n"/>
      <c r="AS677" s="154" t="n"/>
      <c r="AT677" s="154" t="n"/>
      <c r="AU677" s="154" t="n"/>
      <c r="AV677" s="154" t="n"/>
      <c r="AW677" s="154" t="n"/>
      <c r="AX677" s="154" t="n"/>
      <c r="AY677" s="154" t="n"/>
      <c r="AZ677" s="154" t="n"/>
      <c r="BA677" s="154" t="n"/>
      <c r="BB677" s="154" t="n"/>
      <c r="BC677" s="154" t="n"/>
      <c r="BD677" s="154" t="n"/>
      <c r="BE677" s="154" t="n"/>
      <c r="BF677" s="154" t="n"/>
      <c r="BG677" s="154" t="n"/>
      <c r="BH677" s="154" t="n"/>
    </row>
    <row r="678" ht="15.75" customHeight="1" s="251">
      <c r="A678" s="153" t="n"/>
      <c r="B678" s="154" t="n"/>
      <c r="C678" s="154" t="n"/>
      <c r="D678" s="154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  <c r="AA678" s="154" t="n"/>
      <c r="AB678" s="154" t="n"/>
      <c r="AC678" s="154" t="n"/>
      <c r="AD678" s="154" t="n"/>
      <c r="AE678" s="154" t="n"/>
      <c r="AF678" s="154" t="n"/>
      <c r="AG678" s="154" t="n"/>
      <c r="AH678" s="154" t="n"/>
      <c r="AI678" s="154" t="n"/>
      <c r="AJ678" s="154" t="n"/>
      <c r="AK678" s="154" t="n"/>
      <c r="AL678" s="154" t="n"/>
      <c r="AM678" s="154" t="n"/>
      <c r="AN678" s="154" t="n"/>
      <c r="AO678" s="154" t="n"/>
      <c r="AP678" s="154" t="n"/>
      <c r="AQ678" s="154" t="n"/>
      <c r="AR678" s="154" t="n"/>
      <c r="AS678" s="154" t="n"/>
      <c r="AT678" s="154" t="n"/>
      <c r="AU678" s="154" t="n"/>
      <c r="AV678" s="154" t="n"/>
      <c r="AW678" s="154" t="n"/>
      <c r="AX678" s="154" t="n"/>
      <c r="AY678" s="154" t="n"/>
      <c r="AZ678" s="154" t="n"/>
      <c r="BA678" s="154" t="n"/>
      <c r="BB678" s="154" t="n"/>
      <c r="BC678" s="154" t="n"/>
      <c r="BD678" s="154" t="n"/>
      <c r="BE678" s="154" t="n"/>
      <c r="BF678" s="154" t="n"/>
      <c r="BG678" s="154" t="n"/>
      <c r="BH678" s="154" t="n"/>
    </row>
    <row r="679" ht="15.75" customHeight="1" s="251">
      <c r="A679" s="153" t="n"/>
      <c r="B679" s="154" t="n"/>
      <c r="C679" s="154" t="n"/>
      <c r="D679" s="154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  <c r="AA679" s="154" t="n"/>
      <c r="AB679" s="154" t="n"/>
      <c r="AC679" s="154" t="n"/>
      <c r="AD679" s="154" t="n"/>
      <c r="AE679" s="154" t="n"/>
      <c r="AF679" s="154" t="n"/>
      <c r="AG679" s="154" t="n"/>
      <c r="AH679" s="154" t="n"/>
      <c r="AI679" s="154" t="n"/>
      <c r="AJ679" s="154" t="n"/>
      <c r="AK679" s="154" t="n"/>
      <c r="AL679" s="154" t="n"/>
      <c r="AM679" s="154" t="n"/>
      <c r="AN679" s="154" t="n"/>
      <c r="AO679" s="154" t="n"/>
      <c r="AP679" s="154" t="n"/>
      <c r="AQ679" s="154" t="n"/>
      <c r="AR679" s="154" t="n"/>
      <c r="AS679" s="154" t="n"/>
      <c r="AT679" s="154" t="n"/>
      <c r="AU679" s="154" t="n"/>
      <c r="AV679" s="154" t="n"/>
      <c r="AW679" s="154" t="n"/>
      <c r="AX679" s="154" t="n"/>
      <c r="AY679" s="154" t="n"/>
      <c r="AZ679" s="154" t="n"/>
      <c r="BA679" s="154" t="n"/>
      <c r="BB679" s="154" t="n"/>
      <c r="BC679" s="154" t="n"/>
      <c r="BD679" s="154" t="n"/>
      <c r="BE679" s="154" t="n"/>
      <c r="BF679" s="154" t="n"/>
      <c r="BG679" s="154" t="n"/>
      <c r="BH679" s="154" t="n"/>
    </row>
    <row r="680" ht="15.75" customHeight="1" s="251">
      <c r="A680" s="153" t="n"/>
      <c r="B680" s="154" t="n"/>
      <c r="C680" s="154" t="n"/>
      <c r="D680" s="154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  <c r="AA680" s="154" t="n"/>
      <c r="AB680" s="154" t="n"/>
      <c r="AC680" s="154" t="n"/>
      <c r="AD680" s="154" t="n"/>
      <c r="AE680" s="154" t="n"/>
      <c r="AF680" s="154" t="n"/>
      <c r="AG680" s="154" t="n"/>
      <c r="AH680" s="154" t="n"/>
      <c r="AI680" s="154" t="n"/>
      <c r="AJ680" s="154" t="n"/>
      <c r="AK680" s="154" t="n"/>
      <c r="AL680" s="154" t="n"/>
      <c r="AM680" s="154" t="n"/>
      <c r="AN680" s="154" t="n"/>
      <c r="AO680" s="154" t="n"/>
      <c r="AP680" s="154" t="n"/>
      <c r="AQ680" s="154" t="n"/>
      <c r="AR680" s="154" t="n"/>
      <c r="AS680" s="154" t="n"/>
      <c r="AT680" s="154" t="n"/>
      <c r="AU680" s="154" t="n"/>
      <c r="AV680" s="154" t="n"/>
      <c r="AW680" s="154" t="n"/>
      <c r="AX680" s="154" t="n"/>
      <c r="AY680" s="154" t="n"/>
      <c r="AZ680" s="154" t="n"/>
      <c r="BA680" s="154" t="n"/>
      <c r="BB680" s="154" t="n"/>
      <c r="BC680" s="154" t="n"/>
      <c r="BD680" s="154" t="n"/>
      <c r="BE680" s="154" t="n"/>
      <c r="BF680" s="154" t="n"/>
      <c r="BG680" s="154" t="n"/>
      <c r="BH680" s="154" t="n"/>
    </row>
    <row r="681" ht="15.75" customHeight="1" s="251">
      <c r="A681" s="153" t="n"/>
      <c r="B681" s="154" t="n"/>
      <c r="C681" s="154" t="n"/>
      <c r="D681" s="154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  <c r="AA681" s="154" t="n"/>
      <c r="AB681" s="154" t="n"/>
      <c r="AC681" s="154" t="n"/>
      <c r="AD681" s="154" t="n"/>
      <c r="AE681" s="154" t="n"/>
      <c r="AF681" s="154" t="n"/>
      <c r="AG681" s="154" t="n"/>
      <c r="AH681" s="154" t="n"/>
      <c r="AI681" s="154" t="n"/>
      <c r="AJ681" s="154" t="n"/>
      <c r="AK681" s="154" t="n"/>
      <c r="AL681" s="154" t="n"/>
      <c r="AM681" s="154" t="n"/>
      <c r="AN681" s="154" t="n"/>
      <c r="AO681" s="154" t="n"/>
      <c r="AP681" s="154" t="n"/>
      <c r="AQ681" s="154" t="n"/>
      <c r="AR681" s="154" t="n"/>
      <c r="AS681" s="154" t="n"/>
      <c r="AT681" s="154" t="n"/>
      <c r="AU681" s="154" t="n"/>
      <c r="AV681" s="154" t="n"/>
      <c r="AW681" s="154" t="n"/>
      <c r="AX681" s="154" t="n"/>
      <c r="AY681" s="154" t="n"/>
      <c r="AZ681" s="154" t="n"/>
      <c r="BA681" s="154" t="n"/>
      <c r="BB681" s="154" t="n"/>
      <c r="BC681" s="154" t="n"/>
      <c r="BD681" s="154" t="n"/>
      <c r="BE681" s="154" t="n"/>
      <c r="BF681" s="154" t="n"/>
      <c r="BG681" s="154" t="n"/>
      <c r="BH681" s="154" t="n"/>
    </row>
    <row r="682" ht="15.75" customHeight="1" s="251">
      <c r="A682" s="153" t="n"/>
      <c r="B682" s="154" t="n"/>
      <c r="C682" s="154" t="n"/>
      <c r="D682" s="154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  <c r="AA682" s="154" t="n"/>
      <c r="AB682" s="154" t="n"/>
      <c r="AC682" s="154" t="n"/>
      <c r="AD682" s="154" t="n"/>
      <c r="AE682" s="154" t="n"/>
      <c r="AF682" s="154" t="n"/>
      <c r="AG682" s="154" t="n"/>
      <c r="AH682" s="154" t="n"/>
      <c r="AI682" s="154" t="n"/>
      <c r="AJ682" s="154" t="n"/>
      <c r="AK682" s="154" t="n"/>
      <c r="AL682" s="154" t="n"/>
      <c r="AM682" s="154" t="n"/>
      <c r="AN682" s="154" t="n"/>
      <c r="AO682" s="154" t="n"/>
      <c r="AP682" s="154" t="n"/>
      <c r="AQ682" s="154" t="n"/>
      <c r="AR682" s="154" t="n"/>
      <c r="AS682" s="154" t="n"/>
      <c r="AT682" s="154" t="n"/>
      <c r="AU682" s="154" t="n"/>
      <c r="AV682" s="154" t="n"/>
      <c r="AW682" s="154" t="n"/>
      <c r="AX682" s="154" t="n"/>
      <c r="AY682" s="154" t="n"/>
      <c r="AZ682" s="154" t="n"/>
      <c r="BA682" s="154" t="n"/>
      <c r="BB682" s="154" t="n"/>
      <c r="BC682" s="154" t="n"/>
      <c r="BD682" s="154" t="n"/>
      <c r="BE682" s="154" t="n"/>
      <c r="BF682" s="154" t="n"/>
      <c r="BG682" s="154" t="n"/>
      <c r="BH682" s="154" t="n"/>
    </row>
    <row r="683" ht="15.75" customHeight="1" s="251">
      <c r="A683" s="153" t="n"/>
      <c r="B683" s="154" t="n"/>
      <c r="C683" s="154" t="n"/>
      <c r="D683" s="154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  <c r="AA683" s="154" t="n"/>
      <c r="AB683" s="154" t="n"/>
      <c r="AC683" s="154" t="n"/>
      <c r="AD683" s="154" t="n"/>
      <c r="AE683" s="154" t="n"/>
      <c r="AF683" s="154" t="n"/>
      <c r="AG683" s="154" t="n"/>
      <c r="AH683" s="154" t="n"/>
      <c r="AI683" s="154" t="n"/>
      <c r="AJ683" s="154" t="n"/>
      <c r="AK683" s="154" t="n"/>
      <c r="AL683" s="154" t="n"/>
      <c r="AM683" s="154" t="n"/>
      <c r="AN683" s="154" t="n"/>
      <c r="AO683" s="154" t="n"/>
      <c r="AP683" s="154" t="n"/>
      <c r="AQ683" s="154" t="n"/>
      <c r="AR683" s="154" t="n"/>
      <c r="AS683" s="154" t="n"/>
      <c r="AT683" s="154" t="n"/>
      <c r="AU683" s="154" t="n"/>
      <c r="AV683" s="154" t="n"/>
      <c r="AW683" s="154" t="n"/>
      <c r="AX683" s="154" t="n"/>
      <c r="AY683" s="154" t="n"/>
      <c r="AZ683" s="154" t="n"/>
      <c r="BA683" s="154" t="n"/>
      <c r="BB683" s="154" t="n"/>
      <c r="BC683" s="154" t="n"/>
      <c r="BD683" s="154" t="n"/>
      <c r="BE683" s="154" t="n"/>
      <c r="BF683" s="154" t="n"/>
      <c r="BG683" s="154" t="n"/>
      <c r="BH683" s="154" t="n"/>
    </row>
    <row r="684" ht="15.75" customHeight="1" s="251">
      <c r="A684" s="153" t="n"/>
      <c r="B684" s="154" t="n"/>
      <c r="C684" s="154" t="n"/>
      <c r="D684" s="154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  <c r="AA684" s="154" t="n"/>
      <c r="AB684" s="154" t="n"/>
      <c r="AC684" s="154" t="n"/>
      <c r="AD684" s="154" t="n"/>
      <c r="AE684" s="154" t="n"/>
      <c r="AF684" s="154" t="n"/>
      <c r="AG684" s="154" t="n"/>
      <c r="AH684" s="154" t="n"/>
      <c r="AI684" s="154" t="n"/>
      <c r="AJ684" s="154" t="n"/>
      <c r="AK684" s="154" t="n"/>
      <c r="AL684" s="154" t="n"/>
      <c r="AM684" s="154" t="n"/>
      <c r="AN684" s="154" t="n"/>
      <c r="AO684" s="154" t="n"/>
      <c r="AP684" s="154" t="n"/>
      <c r="AQ684" s="154" t="n"/>
      <c r="AR684" s="154" t="n"/>
      <c r="AS684" s="154" t="n"/>
      <c r="AT684" s="154" t="n"/>
      <c r="AU684" s="154" t="n"/>
      <c r="AV684" s="154" t="n"/>
      <c r="AW684" s="154" t="n"/>
      <c r="AX684" s="154" t="n"/>
      <c r="AY684" s="154" t="n"/>
      <c r="AZ684" s="154" t="n"/>
      <c r="BA684" s="154" t="n"/>
      <c r="BB684" s="154" t="n"/>
      <c r="BC684" s="154" t="n"/>
      <c r="BD684" s="154" t="n"/>
      <c r="BE684" s="154" t="n"/>
      <c r="BF684" s="154" t="n"/>
      <c r="BG684" s="154" t="n"/>
      <c r="BH684" s="154" t="n"/>
    </row>
    <row r="685" ht="15.75" customHeight="1" s="251">
      <c r="A685" s="153" t="n"/>
      <c r="B685" s="154" t="n"/>
      <c r="C685" s="154" t="n"/>
      <c r="D685" s="154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  <c r="AA685" s="154" t="n"/>
      <c r="AB685" s="154" t="n"/>
      <c r="AC685" s="154" t="n"/>
      <c r="AD685" s="154" t="n"/>
      <c r="AE685" s="154" t="n"/>
      <c r="AF685" s="154" t="n"/>
      <c r="AG685" s="154" t="n"/>
      <c r="AH685" s="154" t="n"/>
      <c r="AI685" s="154" t="n"/>
      <c r="AJ685" s="154" t="n"/>
      <c r="AK685" s="154" t="n"/>
      <c r="AL685" s="154" t="n"/>
      <c r="AM685" s="154" t="n"/>
      <c r="AN685" s="154" t="n"/>
      <c r="AO685" s="154" t="n"/>
      <c r="AP685" s="154" t="n"/>
      <c r="AQ685" s="154" t="n"/>
      <c r="AR685" s="154" t="n"/>
      <c r="AS685" s="154" t="n"/>
      <c r="AT685" s="154" t="n"/>
      <c r="AU685" s="154" t="n"/>
      <c r="AV685" s="154" t="n"/>
      <c r="AW685" s="154" t="n"/>
      <c r="AX685" s="154" t="n"/>
      <c r="AY685" s="154" t="n"/>
      <c r="AZ685" s="154" t="n"/>
      <c r="BA685" s="154" t="n"/>
      <c r="BB685" s="154" t="n"/>
      <c r="BC685" s="154" t="n"/>
      <c r="BD685" s="154" t="n"/>
      <c r="BE685" s="154" t="n"/>
      <c r="BF685" s="154" t="n"/>
      <c r="BG685" s="154" t="n"/>
      <c r="BH685" s="154" t="n"/>
    </row>
    <row r="686" ht="15.75" customHeight="1" s="251">
      <c r="A686" s="153" t="n"/>
      <c r="B686" s="154" t="n"/>
      <c r="C686" s="154" t="n"/>
      <c r="D686" s="154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  <c r="AA686" s="154" t="n"/>
      <c r="AB686" s="154" t="n"/>
      <c r="AC686" s="154" t="n"/>
      <c r="AD686" s="154" t="n"/>
      <c r="AE686" s="154" t="n"/>
      <c r="AF686" s="154" t="n"/>
      <c r="AG686" s="154" t="n"/>
      <c r="AH686" s="154" t="n"/>
      <c r="AI686" s="154" t="n"/>
      <c r="AJ686" s="154" t="n"/>
      <c r="AK686" s="154" t="n"/>
      <c r="AL686" s="154" t="n"/>
      <c r="AM686" s="154" t="n"/>
      <c r="AN686" s="154" t="n"/>
      <c r="AO686" s="154" t="n"/>
      <c r="AP686" s="154" t="n"/>
      <c r="AQ686" s="154" t="n"/>
      <c r="AR686" s="154" t="n"/>
      <c r="AS686" s="154" t="n"/>
      <c r="AT686" s="154" t="n"/>
      <c r="AU686" s="154" t="n"/>
      <c r="AV686" s="154" t="n"/>
      <c r="AW686" s="154" t="n"/>
      <c r="AX686" s="154" t="n"/>
      <c r="AY686" s="154" t="n"/>
      <c r="AZ686" s="154" t="n"/>
      <c r="BA686" s="154" t="n"/>
      <c r="BB686" s="154" t="n"/>
      <c r="BC686" s="154" t="n"/>
      <c r="BD686" s="154" t="n"/>
      <c r="BE686" s="154" t="n"/>
      <c r="BF686" s="154" t="n"/>
      <c r="BG686" s="154" t="n"/>
      <c r="BH686" s="154" t="n"/>
    </row>
    <row r="687" ht="15.75" customHeight="1" s="251">
      <c r="A687" s="153" t="n"/>
      <c r="B687" s="154" t="n"/>
      <c r="C687" s="154" t="n"/>
      <c r="D687" s="154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  <c r="AA687" s="154" t="n"/>
      <c r="AB687" s="154" t="n"/>
      <c r="AC687" s="154" t="n"/>
      <c r="AD687" s="154" t="n"/>
      <c r="AE687" s="154" t="n"/>
      <c r="AF687" s="154" t="n"/>
      <c r="AG687" s="154" t="n"/>
      <c r="AH687" s="154" t="n"/>
      <c r="AI687" s="154" t="n"/>
      <c r="AJ687" s="154" t="n"/>
      <c r="AK687" s="154" t="n"/>
      <c r="AL687" s="154" t="n"/>
      <c r="AM687" s="154" t="n"/>
      <c r="AN687" s="154" t="n"/>
      <c r="AO687" s="154" t="n"/>
      <c r="AP687" s="154" t="n"/>
      <c r="AQ687" s="154" t="n"/>
      <c r="AR687" s="154" t="n"/>
      <c r="AS687" s="154" t="n"/>
      <c r="AT687" s="154" t="n"/>
      <c r="AU687" s="154" t="n"/>
      <c r="AV687" s="154" t="n"/>
      <c r="AW687" s="154" t="n"/>
      <c r="AX687" s="154" t="n"/>
      <c r="AY687" s="154" t="n"/>
      <c r="AZ687" s="154" t="n"/>
      <c r="BA687" s="154" t="n"/>
      <c r="BB687" s="154" t="n"/>
      <c r="BC687" s="154" t="n"/>
      <c r="BD687" s="154" t="n"/>
      <c r="BE687" s="154" t="n"/>
      <c r="BF687" s="154" t="n"/>
      <c r="BG687" s="154" t="n"/>
      <c r="BH687" s="154" t="n"/>
    </row>
    <row r="688" ht="15.75" customHeight="1" s="251">
      <c r="A688" s="153" t="n"/>
      <c r="B688" s="154" t="n"/>
      <c r="C688" s="154" t="n"/>
      <c r="D688" s="154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  <c r="AA688" s="154" t="n"/>
      <c r="AB688" s="154" t="n"/>
      <c r="AC688" s="154" t="n"/>
      <c r="AD688" s="154" t="n"/>
      <c r="AE688" s="154" t="n"/>
      <c r="AF688" s="154" t="n"/>
      <c r="AG688" s="154" t="n"/>
      <c r="AH688" s="154" t="n"/>
      <c r="AI688" s="154" t="n"/>
      <c r="AJ688" s="154" t="n"/>
      <c r="AK688" s="154" t="n"/>
      <c r="AL688" s="154" t="n"/>
      <c r="AM688" s="154" t="n"/>
      <c r="AN688" s="154" t="n"/>
      <c r="AO688" s="154" t="n"/>
      <c r="AP688" s="154" t="n"/>
      <c r="AQ688" s="154" t="n"/>
      <c r="AR688" s="154" t="n"/>
      <c r="AS688" s="154" t="n"/>
      <c r="AT688" s="154" t="n"/>
      <c r="AU688" s="154" t="n"/>
      <c r="AV688" s="154" t="n"/>
      <c r="AW688" s="154" t="n"/>
      <c r="AX688" s="154" t="n"/>
      <c r="AY688" s="154" t="n"/>
      <c r="AZ688" s="154" t="n"/>
      <c r="BA688" s="154" t="n"/>
      <c r="BB688" s="154" t="n"/>
      <c r="BC688" s="154" t="n"/>
      <c r="BD688" s="154" t="n"/>
      <c r="BE688" s="154" t="n"/>
      <c r="BF688" s="154" t="n"/>
      <c r="BG688" s="154" t="n"/>
      <c r="BH688" s="154" t="n"/>
    </row>
    <row r="689" ht="15.75" customHeight="1" s="251">
      <c r="A689" s="153" t="n"/>
      <c r="B689" s="154" t="n"/>
      <c r="C689" s="154" t="n"/>
      <c r="D689" s="154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  <c r="AA689" s="154" t="n"/>
      <c r="AB689" s="154" t="n"/>
      <c r="AC689" s="154" t="n"/>
      <c r="AD689" s="154" t="n"/>
      <c r="AE689" s="154" t="n"/>
      <c r="AF689" s="154" t="n"/>
      <c r="AG689" s="154" t="n"/>
      <c r="AH689" s="154" t="n"/>
      <c r="AI689" s="154" t="n"/>
      <c r="AJ689" s="154" t="n"/>
      <c r="AK689" s="154" t="n"/>
      <c r="AL689" s="154" t="n"/>
      <c r="AM689" s="154" t="n"/>
      <c r="AN689" s="154" t="n"/>
      <c r="AO689" s="154" t="n"/>
      <c r="AP689" s="154" t="n"/>
      <c r="AQ689" s="154" t="n"/>
      <c r="AR689" s="154" t="n"/>
      <c r="AS689" s="154" t="n"/>
      <c r="AT689" s="154" t="n"/>
      <c r="AU689" s="154" t="n"/>
      <c r="AV689" s="154" t="n"/>
      <c r="AW689" s="154" t="n"/>
      <c r="AX689" s="154" t="n"/>
      <c r="AY689" s="154" t="n"/>
      <c r="AZ689" s="154" t="n"/>
      <c r="BA689" s="154" t="n"/>
      <c r="BB689" s="154" t="n"/>
      <c r="BC689" s="154" t="n"/>
      <c r="BD689" s="154" t="n"/>
      <c r="BE689" s="154" t="n"/>
      <c r="BF689" s="154" t="n"/>
      <c r="BG689" s="154" t="n"/>
      <c r="BH689" s="154" t="n"/>
    </row>
    <row r="690" ht="15.75" customHeight="1" s="251">
      <c r="A690" s="153" t="n"/>
      <c r="B690" s="154" t="n"/>
      <c r="C690" s="154" t="n"/>
      <c r="D690" s="154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  <c r="AA690" s="154" t="n"/>
      <c r="AB690" s="154" t="n"/>
      <c r="AC690" s="154" t="n"/>
      <c r="AD690" s="154" t="n"/>
      <c r="AE690" s="154" t="n"/>
      <c r="AF690" s="154" t="n"/>
      <c r="AG690" s="154" t="n"/>
      <c r="AH690" s="154" t="n"/>
      <c r="AI690" s="154" t="n"/>
      <c r="AJ690" s="154" t="n"/>
      <c r="AK690" s="154" t="n"/>
      <c r="AL690" s="154" t="n"/>
      <c r="AM690" s="154" t="n"/>
      <c r="AN690" s="154" t="n"/>
      <c r="AO690" s="154" t="n"/>
      <c r="AP690" s="154" t="n"/>
      <c r="AQ690" s="154" t="n"/>
      <c r="AR690" s="154" t="n"/>
      <c r="AS690" s="154" t="n"/>
      <c r="AT690" s="154" t="n"/>
      <c r="AU690" s="154" t="n"/>
      <c r="AV690" s="154" t="n"/>
      <c r="AW690" s="154" t="n"/>
      <c r="AX690" s="154" t="n"/>
      <c r="AY690" s="154" t="n"/>
      <c r="AZ690" s="154" t="n"/>
      <c r="BA690" s="154" t="n"/>
      <c r="BB690" s="154" t="n"/>
      <c r="BC690" s="154" t="n"/>
      <c r="BD690" s="154" t="n"/>
      <c r="BE690" s="154" t="n"/>
      <c r="BF690" s="154" t="n"/>
      <c r="BG690" s="154" t="n"/>
      <c r="BH690" s="154" t="n"/>
    </row>
    <row r="691" ht="15.75" customHeight="1" s="251">
      <c r="A691" s="153" t="n"/>
      <c r="B691" s="154" t="n"/>
      <c r="C691" s="154" t="n"/>
      <c r="D691" s="154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  <c r="AA691" s="154" t="n"/>
      <c r="AB691" s="154" t="n"/>
      <c r="AC691" s="154" t="n"/>
      <c r="AD691" s="154" t="n"/>
      <c r="AE691" s="154" t="n"/>
      <c r="AF691" s="154" t="n"/>
      <c r="AG691" s="154" t="n"/>
      <c r="AH691" s="154" t="n"/>
      <c r="AI691" s="154" t="n"/>
      <c r="AJ691" s="154" t="n"/>
      <c r="AK691" s="154" t="n"/>
      <c r="AL691" s="154" t="n"/>
      <c r="AM691" s="154" t="n"/>
      <c r="AN691" s="154" t="n"/>
      <c r="AO691" s="154" t="n"/>
      <c r="AP691" s="154" t="n"/>
      <c r="AQ691" s="154" t="n"/>
      <c r="AR691" s="154" t="n"/>
      <c r="AS691" s="154" t="n"/>
      <c r="AT691" s="154" t="n"/>
      <c r="AU691" s="154" t="n"/>
      <c r="AV691" s="154" t="n"/>
      <c r="AW691" s="154" t="n"/>
      <c r="AX691" s="154" t="n"/>
      <c r="AY691" s="154" t="n"/>
      <c r="AZ691" s="154" t="n"/>
      <c r="BA691" s="154" t="n"/>
      <c r="BB691" s="154" t="n"/>
      <c r="BC691" s="154" t="n"/>
      <c r="BD691" s="154" t="n"/>
      <c r="BE691" s="154" t="n"/>
      <c r="BF691" s="154" t="n"/>
      <c r="BG691" s="154" t="n"/>
      <c r="BH691" s="154" t="n"/>
    </row>
    <row r="692" ht="15.75" customHeight="1" s="251">
      <c r="A692" s="153" t="n"/>
      <c r="B692" s="154" t="n"/>
      <c r="C692" s="154" t="n"/>
      <c r="D692" s="154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  <c r="AA692" s="154" t="n"/>
      <c r="AB692" s="154" t="n"/>
      <c r="AC692" s="154" t="n"/>
      <c r="AD692" s="154" t="n"/>
      <c r="AE692" s="154" t="n"/>
      <c r="AF692" s="154" t="n"/>
      <c r="AG692" s="154" t="n"/>
      <c r="AH692" s="154" t="n"/>
      <c r="AI692" s="154" t="n"/>
      <c r="AJ692" s="154" t="n"/>
      <c r="AK692" s="154" t="n"/>
      <c r="AL692" s="154" t="n"/>
      <c r="AM692" s="154" t="n"/>
      <c r="AN692" s="154" t="n"/>
      <c r="AO692" s="154" t="n"/>
      <c r="AP692" s="154" t="n"/>
      <c r="AQ692" s="154" t="n"/>
      <c r="AR692" s="154" t="n"/>
      <c r="AS692" s="154" t="n"/>
      <c r="AT692" s="154" t="n"/>
      <c r="AU692" s="154" t="n"/>
      <c r="AV692" s="154" t="n"/>
      <c r="AW692" s="154" t="n"/>
      <c r="AX692" s="154" t="n"/>
      <c r="AY692" s="154" t="n"/>
      <c r="AZ692" s="154" t="n"/>
      <c r="BA692" s="154" t="n"/>
      <c r="BB692" s="154" t="n"/>
      <c r="BC692" s="154" t="n"/>
      <c r="BD692" s="154" t="n"/>
      <c r="BE692" s="154" t="n"/>
      <c r="BF692" s="154" t="n"/>
      <c r="BG692" s="154" t="n"/>
      <c r="BH692" s="154" t="n"/>
    </row>
    <row r="693" ht="15.75" customHeight="1" s="251">
      <c r="A693" s="153" t="n"/>
      <c r="B693" s="154" t="n"/>
      <c r="C693" s="154" t="n"/>
      <c r="D693" s="154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  <c r="AA693" s="154" t="n"/>
      <c r="AB693" s="154" t="n"/>
      <c r="AC693" s="154" t="n"/>
      <c r="AD693" s="154" t="n"/>
      <c r="AE693" s="154" t="n"/>
      <c r="AF693" s="154" t="n"/>
      <c r="AG693" s="154" t="n"/>
      <c r="AH693" s="154" t="n"/>
      <c r="AI693" s="154" t="n"/>
      <c r="AJ693" s="154" t="n"/>
      <c r="AK693" s="154" t="n"/>
      <c r="AL693" s="154" t="n"/>
      <c r="AM693" s="154" t="n"/>
      <c r="AN693" s="154" t="n"/>
      <c r="AO693" s="154" t="n"/>
      <c r="AP693" s="154" t="n"/>
      <c r="AQ693" s="154" t="n"/>
      <c r="AR693" s="154" t="n"/>
      <c r="AS693" s="154" t="n"/>
      <c r="AT693" s="154" t="n"/>
      <c r="AU693" s="154" t="n"/>
      <c r="AV693" s="154" t="n"/>
      <c r="AW693" s="154" t="n"/>
      <c r="AX693" s="154" t="n"/>
      <c r="AY693" s="154" t="n"/>
      <c r="AZ693" s="154" t="n"/>
      <c r="BA693" s="154" t="n"/>
      <c r="BB693" s="154" t="n"/>
      <c r="BC693" s="154" t="n"/>
      <c r="BD693" s="154" t="n"/>
      <c r="BE693" s="154" t="n"/>
      <c r="BF693" s="154" t="n"/>
      <c r="BG693" s="154" t="n"/>
      <c r="BH693" s="154" t="n"/>
    </row>
    <row r="694" ht="15.75" customHeight="1" s="251">
      <c r="A694" s="153" t="n"/>
      <c r="B694" s="154" t="n"/>
      <c r="C694" s="154" t="n"/>
      <c r="D694" s="154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  <c r="AA694" s="154" t="n"/>
      <c r="AB694" s="154" t="n"/>
      <c r="AC694" s="154" t="n"/>
      <c r="AD694" s="154" t="n"/>
      <c r="AE694" s="154" t="n"/>
      <c r="AF694" s="154" t="n"/>
      <c r="AG694" s="154" t="n"/>
      <c r="AH694" s="154" t="n"/>
      <c r="AI694" s="154" t="n"/>
      <c r="AJ694" s="154" t="n"/>
      <c r="AK694" s="154" t="n"/>
      <c r="AL694" s="154" t="n"/>
      <c r="AM694" s="154" t="n"/>
      <c r="AN694" s="154" t="n"/>
      <c r="AO694" s="154" t="n"/>
      <c r="AP694" s="154" t="n"/>
      <c r="AQ694" s="154" t="n"/>
      <c r="AR694" s="154" t="n"/>
      <c r="AS694" s="154" t="n"/>
      <c r="AT694" s="154" t="n"/>
      <c r="AU694" s="154" t="n"/>
      <c r="AV694" s="154" t="n"/>
      <c r="AW694" s="154" t="n"/>
      <c r="AX694" s="154" t="n"/>
      <c r="AY694" s="154" t="n"/>
      <c r="AZ694" s="154" t="n"/>
      <c r="BA694" s="154" t="n"/>
      <c r="BB694" s="154" t="n"/>
      <c r="BC694" s="154" t="n"/>
      <c r="BD694" s="154" t="n"/>
      <c r="BE694" s="154" t="n"/>
      <c r="BF694" s="154" t="n"/>
      <c r="BG694" s="154" t="n"/>
      <c r="BH694" s="154" t="n"/>
    </row>
    <row r="695" ht="15.75" customHeight="1" s="251">
      <c r="A695" s="153" t="n"/>
      <c r="B695" s="154" t="n"/>
      <c r="C695" s="154" t="n"/>
      <c r="D695" s="154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  <c r="AA695" s="154" t="n"/>
      <c r="AB695" s="154" t="n"/>
      <c r="AC695" s="154" t="n"/>
      <c r="AD695" s="154" t="n"/>
      <c r="AE695" s="154" t="n"/>
      <c r="AF695" s="154" t="n"/>
      <c r="AG695" s="154" t="n"/>
      <c r="AH695" s="154" t="n"/>
      <c r="AI695" s="154" t="n"/>
      <c r="AJ695" s="154" t="n"/>
      <c r="AK695" s="154" t="n"/>
      <c r="AL695" s="154" t="n"/>
      <c r="AM695" s="154" t="n"/>
      <c r="AN695" s="154" t="n"/>
      <c r="AO695" s="154" t="n"/>
      <c r="AP695" s="154" t="n"/>
      <c r="AQ695" s="154" t="n"/>
      <c r="AR695" s="154" t="n"/>
      <c r="AS695" s="154" t="n"/>
      <c r="AT695" s="154" t="n"/>
      <c r="AU695" s="154" t="n"/>
      <c r="AV695" s="154" t="n"/>
      <c r="AW695" s="154" t="n"/>
      <c r="AX695" s="154" t="n"/>
      <c r="AY695" s="154" t="n"/>
      <c r="AZ695" s="154" t="n"/>
      <c r="BA695" s="154" t="n"/>
      <c r="BB695" s="154" t="n"/>
      <c r="BC695" s="154" t="n"/>
      <c r="BD695" s="154" t="n"/>
      <c r="BE695" s="154" t="n"/>
      <c r="BF695" s="154" t="n"/>
      <c r="BG695" s="154" t="n"/>
      <c r="BH695" s="154" t="n"/>
    </row>
    <row r="696" ht="15.75" customHeight="1" s="251">
      <c r="A696" s="153" t="n"/>
      <c r="B696" s="154" t="n"/>
      <c r="C696" s="154" t="n"/>
      <c r="D696" s="154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  <c r="AA696" s="154" t="n"/>
      <c r="AB696" s="154" t="n"/>
      <c r="AC696" s="154" t="n"/>
      <c r="AD696" s="154" t="n"/>
      <c r="AE696" s="154" t="n"/>
      <c r="AF696" s="154" t="n"/>
      <c r="AG696" s="154" t="n"/>
      <c r="AH696" s="154" t="n"/>
      <c r="AI696" s="154" t="n"/>
      <c r="AJ696" s="154" t="n"/>
      <c r="AK696" s="154" t="n"/>
      <c r="AL696" s="154" t="n"/>
      <c r="AM696" s="154" t="n"/>
      <c r="AN696" s="154" t="n"/>
      <c r="AO696" s="154" t="n"/>
      <c r="AP696" s="154" t="n"/>
      <c r="AQ696" s="154" t="n"/>
      <c r="AR696" s="154" t="n"/>
      <c r="AS696" s="154" t="n"/>
      <c r="AT696" s="154" t="n"/>
      <c r="AU696" s="154" t="n"/>
      <c r="AV696" s="154" t="n"/>
      <c r="AW696" s="154" t="n"/>
      <c r="AX696" s="154" t="n"/>
      <c r="AY696" s="154" t="n"/>
      <c r="AZ696" s="154" t="n"/>
      <c r="BA696" s="154" t="n"/>
      <c r="BB696" s="154" t="n"/>
      <c r="BC696" s="154" t="n"/>
      <c r="BD696" s="154" t="n"/>
      <c r="BE696" s="154" t="n"/>
      <c r="BF696" s="154" t="n"/>
      <c r="BG696" s="154" t="n"/>
      <c r="BH696" s="154" t="n"/>
    </row>
    <row r="697" ht="15.75" customHeight="1" s="251">
      <c r="A697" s="153" t="n"/>
      <c r="B697" s="154" t="n"/>
      <c r="C697" s="154" t="n"/>
      <c r="D697" s="154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  <c r="AA697" s="154" t="n"/>
      <c r="AB697" s="154" t="n"/>
      <c r="AC697" s="154" t="n"/>
      <c r="AD697" s="154" t="n"/>
      <c r="AE697" s="154" t="n"/>
      <c r="AF697" s="154" t="n"/>
      <c r="AG697" s="154" t="n"/>
      <c r="AH697" s="154" t="n"/>
      <c r="AI697" s="154" t="n"/>
      <c r="AJ697" s="154" t="n"/>
      <c r="AK697" s="154" t="n"/>
      <c r="AL697" s="154" t="n"/>
      <c r="AM697" s="154" t="n"/>
      <c r="AN697" s="154" t="n"/>
      <c r="AO697" s="154" t="n"/>
      <c r="AP697" s="154" t="n"/>
      <c r="AQ697" s="154" t="n"/>
      <c r="AR697" s="154" t="n"/>
      <c r="AS697" s="154" t="n"/>
      <c r="AT697" s="154" t="n"/>
      <c r="AU697" s="154" t="n"/>
      <c r="AV697" s="154" t="n"/>
      <c r="AW697" s="154" t="n"/>
      <c r="AX697" s="154" t="n"/>
      <c r="AY697" s="154" t="n"/>
      <c r="AZ697" s="154" t="n"/>
      <c r="BA697" s="154" t="n"/>
      <c r="BB697" s="154" t="n"/>
      <c r="BC697" s="154" t="n"/>
      <c r="BD697" s="154" t="n"/>
      <c r="BE697" s="154" t="n"/>
      <c r="BF697" s="154" t="n"/>
      <c r="BG697" s="154" t="n"/>
      <c r="BH697" s="154" t="n"/>
    </row>
    <row r="698" ht="15.75" customHeight="1" s="251">
      <c r="A698" s="153" t="n"/>
      <c r="B698" s="154" t="n"/>
      <c r="C698" s="154" t="n"/>
      <c r="D698" s="154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  <c r="AA698" s="154" t="n"/>
      <c r="AB698" s="154" t="n"/>
      <c r="AC698" s="154" t="n"/>
      <c r="AD698" s="154" t="n"/>
      <c r="AE698" s="154" t="n"/>
      <c r="AF698" s="154" t="n"/>
      <c r="AG698" s="154" t="n"/>
      <c r="AH698" s="154" t="n"/>
      <c r="AI698" s="154" t="n"/>
      <c r="AJ698" s="154" t="n"/>
      <c r="AK698" s="154" t="n"/>
      <c r="AL698" s="154" t="n"/>
      <c r="AM698" s="154" t="n"/>
      <c r="AN698" s="154" t="n"/>
      <c r="AO698" s="154" t="n"/>
      <c r="AP698" s="154" t="n"/>
      <c r="AQ698" s="154" t="n"/>
      <c r="AR698" s="154" t="n"/>
      <c r="AS698" s="154" t="n"/>
      <c r="AT698" s="154" t="n"/>
      <c r="AU698" s="154" t="n"/>
      <c r="AV698" s="154" t="n"/>
      <c r="AW698" s="154" t="n"/>
      <c r="AX698" s="154" t="n"/>
      <c r="AY698" s="154" t="n"/>
      <c r="AZ698" s="154" t="n"/>
      <c r="BA698" s="154" t="n"/>
      <c r="BB698" s="154" t="n"/>
      <c r="BC698" s="154" t="n"/>
      <c r="BD698" s="154" t="n"/>
      <c r="BE698" s="154" t="n"/>
      <c r="BF698" s="154" t="n"/>
      <c r="BG698" s="154" t="n"/>
      <c r="BH698" s="154" t="n"/>
    </row>
    <row r="699" ht="15.75" customHeight="1" s="251">
      <c r="A699" s="153" t="n"/>
      <c r="B699" s="154" t="n"/>
      <c r="C699" s="154" t="n"/>
      <c r="D699" s="154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  <c r="AA699" s="154" t="n"/>
      <c r="AB699" s="154" t="n"/>
      <c r="AC699" s="154" t="n"/>
      <c r="AD699" s="154" t="n"/>
      <c r="AE699" s="154" t="n"/>
      <c r="AF699" s="154" t="n"/>
      <c r="AG699" s="154" t="n"/>
      <c r="AH699" s="154" t="n"/>
      <c r="AI699" s="154" t="n"/>
      <c r="AJ699" s="154" t="n"/>
      <c r="AK699" s="154" t="n"/>
      <c r="AL699" s="154" t="n"/>
      <c r="AM699" s="154" t="n"/>
      <c r="AN699" s="154" t="n"/>
      <c r="AO699" s="154" t="n"/>
      <c r="AP699" s="154" t="n"/>
      <c r="AQ699" s="154" t="n"/>
      <c r="AR699" s="154" t="n"/>
      <c r="AS699" s="154" t="n"/>
      <c r="AT699" s="154" t="n"/>
      <c r="AU699" s="154" t="n"/>
      <c r="AV699" s="154" t="n"/>
      <c r="AW699" s="154" t="n"/>
      <c r="AX699" s="154" t="n"/>
      <c r="AY699" s="154" t="n"/>
      <c r="AZ699" s="154" t="n"/>
      <c r="BA699" s="154" t="n"/>
      <c r="BB699" s="154" t="n"/>
      <c r="BC699" s="154" t="n"/>
      <c r="BD699" s="154" t="n"/>
      <c r="BE699" s="154" t="n"/>
      <c r="BF699" s="154" t="n"/>
      <c r="BG699" s="154" t="n"/>
      <c r="BH699" s="154" t="n"/>
    </row>
    <row r="700" ht="15.75" customHeight="1" s="251">
      <c r="A700" s="153" t="n"/>
      <c r="B700" s="154" t="n"/>
      <c r="C700" s="154" t="n"/>
      <c r="D700" s="154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  <c r="AA700" s="154" t="n"/>
      <c r="AB700" s="154" t="n"/>
      <c r="AC700" s="154" t="n"/>
      <c r="AD700" s="154" t="n"/>
      <c r="AE700" s="154" t="n"/>
      <c r="AF700" s="154" t="n"/>
      <c r="AG700" s="154" t="n"/>
      <c r="AH700" s="154" t="n"/>
      <c r="AI700" s="154" t="n"/>
      <c r="AJ700" s="154" t="n"/>
      <c r="AK700" s="154" t="n"/>
      <c r="AL700" s="154" t="n"/>
      <c r="AM700" s="154" t="n"/>
      <c r="AN700" s="154" t="n"/>
      <c r="AO700" s="154" t="n"/>
      <c r="AP700" s="154" t="n"/>
      <c r="AQ700" s="154" t="n"/>
      <c r="AR700" s="154" t="n"/>
      <c r="AS700" s="154" t="n"/>
      <c r="AT700" s="154" t="n"/>
      <c r="AU700" s="154" t="n"/>
      <c r="AV700" s="154" t="n"/>
      <c r="AW700" s="154" t="n"/>
      <c r="AX700" s="154" t="n"/>
      <c r="AY700" s="154" t="n"/>
      <c r="AZ700" s="154" t="n"/>
      <c r="BA700" s="154" t="n"/>
      <c r="BB700" s="154" t="n"/>
      <c r="BC700" s="154" t="n"/>
      <c r="BD700" s="154" t="n"/>
      <c r="BE700" s="154" t="n"/>
      <c r="BF700" s="154" t="n"/>
      <c r="BG700" s="154" t="n"/>
      <c r="BH700" s="154" t="n"/>
    </row>
    <row r="701" ht="15.75" customHeight="1" s="251">
      <c r="A701" s="153" t="n"/>
      <c r="B701" s="154" t="n"/>
      <c r="C701" s="154" t="n"/>
      <c r="D701" s="154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  <c r="AA701" s="154" t="n"/>
      <c r="AB701" s="154" t="n"/>
      <c r="AC701" s="154" t="n"/>
      <c r="AD701" s="154" t="n"/>
      <c r="AE701" s="154" t="n"/>
      <c r="AF701" s="154" t="n"/>
      <c r="AG701" s="154" t="n"/>
      <c r="AH701" s="154" t="n"/>
      <c r="AI701" s="154" t="n"/>
      <c r="AJ701" s="154" t="n"/>
      <c r="AK701" s="154" t="n"/>
      <c r="AL701" s="154" t="n"/>
      <c r="AM701" s="154" t="n"/>
      <c r="AN701" s="154" t="n"/>
      <c r="AO701" s="154" t="n"/>
      <c r="AP701" s="154" t="n"/>
      <c r="AQ701" s="154" t="n"/>
      <c r="AR701" s="154" t="n"/>
      <c r="AS701" s="154" t="n"/>
      <c r="AT701" s="154" t="n"/>
      <c r="AU701" s="154" t="n"/>
      <c r="AV701" s="154" t="n"/>
      <c r="AW701" s="154" t="n"/>
      <c r="AX701" s="154" t="n"/>
      <c r="AY701" s="154" t="n"/>
      <c r="AZ701" s="154" t="n"/>
      <c r="BA701" s="154" t="n"/>
      <c r="BB701" s="154" t="n"/>
      <c r="BC701" s="154" t="n"/>
      <c r="BD701" s="154" t="n"/>
      <c r="BE701" s="154" t="n"/>
      <c r="BF701" s="154" t="n"/>
      <c r="BG701" s="154" t="n"/>
      <c r="BH701" s="154" t="n"/>
    </row>
    <row r="702" ht="15.75" customHeight="1" s="251">
      <c r="A702" s="153" t="n"/>
      <c r="B702" s="154" t="n"/>
      <c r="C702" s="154" t="n"/>
      <c r="D702" s="154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  <c r="AA702" s="154" t="n"/>
      <c r="AB702" s="154" t="n"/>
      <c r="AC702" s="154" t="n"/>
      <c r="AD702" s="154" t="n"/>
      <c r="AE702" s="154" t="n"/>
      <c r="AF702" s="154" t="n"/>
      <c r="AG702" s="154" t="n"/>
      <c r="AH702" s="154" t="n"/>
      <c r="AI702" s="154" t="n"/>
      <c r="AJ702" s="154" t="n"/>
      <c r="AK702" s="154" t="n"/>
      <c r="AL702" s="154" t="n"/>
      <c r="AM702" s="154" t="n"/>
      <c r="AN702" s="154" t="n"/>
      <c r="AO702" s="154" t="n"/>
      <c r="AP702" s="154" t="n"/>
      <c r="AQ702" s="154" t="n"/>
      <c r="AR702" s="154" t="n"/>
      <c r="AS702" s="154" t="n"/>
      <c r="AT702" s="154" t="n"/>
      <c r="AU702" s="154" t="n"/>
      <c r="AV702" s="154" t="n"/>
      <c r="AW702" s="154" t="n"/>
      <c r="AX702" s="154" t="n"/>
      <c r="AY702" s="154" t="n"/>
      <c r="AZ702" s="154" t="n"/>
      <c r="BA702" s="154" t="n"/>
      <c r="BB702" s="154" t="n"/>
      <c r="BC702" s="154" t="n"/>
      <c r="BD702" s="154" t="n"/>
      <c r="BE702" s="154" t="n"/>
      <c r="BF702" s="154" t="n"/>
      <c r="BG702" s="154" t="n"/>
      <c r="BH702" s="154" t="n"/>
    </row>
    <row r="703" ht="15.75" customHeight="1" s="251">
      <c r="A703" s="153" t="n"/>
      <c r="B703" s="154" t="n"/>
      <c r="C703" s="154" t="n"/>
      <c r="D703" s="154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  <c r="AA703" s="154" t="n"/>
      <c r="AB703" s="154" t="n"/>
      <c r="AC703" s="154" t="n"/>
      <c r="AD703" s="154" t="n"/>
      <c r="AE703" s="154" t="n"/>
      <c r="AF703" s="154" t="n"/>
      <c r="AG703" s="154" t="n"/>
      <c r="AH703" s="154" t="n"/>
      <c r="AI703" s="154" t="n"/>
      <c r="AJ703" s="154" t="n"/>
      <c r="AK703" s="154" t="n"/>
      <c r="AL703" s="154" t="n"/>
      <c r="AM703" s="154" t="n"/>
      <c r="AN703" s="154" t="n"/>
      <c r="AO703" s="154" t="n"/>
      <c r="AP703" s="154" t="n"/>
      <c r="AQ703" s="154" t="n"/>
      <c r="AR703" s="154" t="n"/>
      <c r="AS703" s="154" t="n"/>
      <c r="AT703" s="154" t="n"/>
      <c r="AU703" s="154" t="n"/>
      <c r="AV703" s="154" t="n"/>
      <c r="AW703" s="154" t="n"/>
      <c r="AX703" s="154" t="n"/>
      <c r="AY703" s="154" t="n"/>
      <c r="AZ703" s="154" t="n"/>
      <c r="BA703" s="154" t="n"/>
      <c r="BB703" s="154" t="n"/>
      <c r="BC703" s="154" t="n"/>
      <c r="BD703" s="154" t="n"/>
      <c r="BE703" s="154" t="n"/>
      <c r="BF703" s="154" t="n"/>
      <c r="BG703" s="154" t="n"/>
      <c r="BH703" s="154" t="n"/>
    </row>
    <row r="704" ht="15.75" customHeight="1" s="251">
      <c r="A704" s="153" t="n"/>
      <c r="B704" s="154" t="n"/>
      <c r="C704" s="154" t="n"/>
      <c r="D704" s="154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  <c r="AA704" s="154" t="n"/>
      <c r="AB704" s="154" t="n"/>
      <c r="AC704" s="154" t="n"/>
      <c r="AD704" s="154" t="n"/>
      <c r="AE704" s="154" t="n"/>
      <c r="AF704" s="154" t="n"/>
      <c r="AG704" s="154" t="n"/>
      <c r="AH704" s="154" t="n"/>
      <c r="AI704" s="154" t="n"/>
      <c r="AJ704" s="154" t="n"/>
      <c r="AK704" s="154" t="n"/>
      <c r="AL704" s="154" t="n"/>
      <c r="AM704" s="154" t="n"/>
      <c r="AN704" s="154" t="n"/>
      <c r="AO704" s="154" t="n"/>
      <c r="AP704" s="154" t="n"/>
      <c r="AQ704" s="154" t="n"/>
      <c r="AR704" s="154" t="n"/>
      <c r="AS704" s="154" t="n"/>
      <c r="AT704" s="154" t="n"/>
      <c r="AU704" s="154" t="n"/>
      <c r="AV704" s="154" t="n"/>
      <c r="AW704" s="154" t="n"/>
      <c r="AX704" s="154" t="n"/>
      <c r="AY704" s="154" t="n"/>
      <c r="AZ704" s="154" t="n"/>
      <c r="BA704" s="154" t="n"/>
      <c r="BB704" s="154" t="n"/>
      <c r="BC704" s="154" t="n"/>
      <c r="BD704" s="154" t="n"/>
      <c r="BE704" s="154" t="n"/>
      <c r="BF704" s="154" t="n"/>
      <c r="BG704" s="154" t="n"/>
      <c r="BH704" s="154" t="n"/>
    </row>
    <row r="705" ht="15.75" customHeight="1" s="251">
      <c r="A705" s="153" t="n"/>
      <c r="B705" s="154" t="n"/>
      <c r="C705" s="154" t="n"/>
      <c r="D705" s="154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  <c r="AA705" s="154" t="n"/>
      <c r="AB705" s="154" t="n"/>
      <c r="AC705" s="154" t="n"/>
      <c r="AD705" s="154" t="n"/>
      <c r="AE705" s="154" t="n"/>
      <c r="AF705" s="154" t="n"/>
      <c r="AG705" s="154" t="n"/>
      <c r="AH705" s="154" t="n"/>
      <c r="AI705" s="154" t="n"/>
      <c r="AJ705" s="154" t="n"/>
      <c r="AK705" s="154" t="n"/>
      <c r="AL705" s="154" t="n"/>
      <c r="AM705" s="154" t="n"/>
      <c r="AN705" s="154" t="n"/>
      <c r="AO705" s="154" t="n"/>
      <c r="AP705" s="154" t="n"/>
      <c r="AQ705" s="154" t="n"/>
      <c r="AR705" s="154" t="n"/>
      <c r="AS705" s="154" t="n"/>
      <c r="AT705" s="154" t="n"/>
      <c r="AU705" s="154" t="n"/>
      <c r="AV705" s="154" t="n"/>
      <c r="AW705" s="154" t="n"/>
      <c r="AX705" s="154" t="n"/>
      <c r="AY705" s="154" t="n"/>
      <c r="AZ705" s="154" t="n"/>
      <c r="BA705" s="154" t="n"/>
      <c r="BB705" s="154" t="n"/>
      <c r="BC705" s="154" t="n"/>
      <c r="BD705" s="154" t="n"/>
      <c r="BE705" s="154" t="n"/>
      <c r="BF705" s="154" t="n"/>
      <c r="BG705" s="154" t="n"/>
      <c r="BH705" s="154" t="n"/>
    </row>
    <row r="706" ht="15.75" customHeight="1" s="251">
      <c r="A706" s="153" t="n"/>
      <c r="B706" s="154" t="n"/>
      <c r="C706" s="154" t="n"/>
      <c r="D706" s="154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  <c r="AA706" s="154" t="n"/>
      <c r="AB706" s="154" t="n"/>
      <c r="AC706" s="154" t="n"/>
      <c r="AD706" s="154" t="n"/>
      <c r="AE706" s="154" t="n"/>
      <c r="AF706" s="154" t="n"/>
      <c r="AG706" s="154" t="n"/>
      <c r="AH706" s="154" t="n"/>
      <c r="AI706" s="154" t="n"/>
      <c r="AJ706" s="154" t="n"/>
      <c r="AK706" s="154" t="n"/>
      <c r="AL706" s="154" t="n"/>
      <c r="AM706" s="154" t="n"/>
      <c r="AN706" s="154" t="n"/>
      <c r="AO706" s="154" t="n"/>
      <c r="AP706" s="154" t="n"/>
      <c r="AQ706" s="154" t="n"/>
      <c r="AR706" s="154" t="n"/>
      <c r="AS706" s="154" t="n"/>
      <c r="AT706" s="154" t="n"/>
      <c r="AU706" s="154" t="n"/>
      <c r="AV706" s="154" t="n"/>
      <c r="AW706" s="154" t="n"/>
      <c r="AX706" s="154" t="n"/>
      <c r="AY706" s="154" t="n"/>
      <c r="AZ706" s="154" t="n"/>
      <c r="BA706" s="154" t="n"/>
      <c r="BB706" s="154" t="n"/>
      <c r="BC706" s="154" t="n"/>
      <c r="BD706" s="154" t="n"/>
      <c r="BE706" s="154" t="n"/>
      <c r="BF706" s="154" t="n"/>
      <c r="BG706" s="154" t="n"/>
      <c r="BH706" s="154" t="n"/>
    </row>
    <row r="707" ht="15.75" customHeight="1" s="251">
      <c r="A707" s="153" t="n"/>
      <c r="B707" s="154" t="n"/>
      <c r="C707" s="154" t="n"/>
      <c r="D707" s="154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  <c r="AA707" s="154" t="n"/>
      <c r="AB707" s="154" t="n"/>
      <c r="AC707" s="154" t="n"/>
      <c r="AD707" s="154" t="n"/>
      <c r="AE707" s="154" t="n"/>
      <c r="AF707" s="154" t="n"/>
      <c r="AG707" s="154" t="n"/>
      <c r="AH707" s="154" t="n"/>
      <c r="AI707" s="154" t="n"/>
      <c r="AJ707" s="154" t="n"/>
      <c r="AK707" s="154" t="n"/>
      <c r="AL707" s="154" t="n"/>
      <c r="AM707" s="154" t="n"/>
      <c r="AN707" s="154" t="n"/>
      <c r="AO707" s="154" t="n"/>
      <c r="AP707" s="154" t="n"/>
      <c r="AQ707" s="154" t="n"/>
      <c r="AR707" s="154" t="n"/>
      <c r="AS707" s="154" t="n"/>
      <c r="AT707" s="154" t="n"/>
      <c r="AU707" s="154" t="n"/>
      <c r="AV707" s="154" t="n"/>
      <c r="AW707" s="154" t="n"/>
      <c r="AX707" s="154" t="n"/>
      <c r="AY707" s="154" t="n"/>
      <c r="AZ707" s="154" t="n"/>
      <c r="BA707" s="154" t="n"/>
      <c r="BB707" s="154" t="n"/>
      <c r="BC707" s="154" t="n"/>
      <c r="BD707" s="154" t="n"/>
      <c r="BE707" s="154" t="n"/>
      <c r="BF707" s="154" t="n"/>
      <c r="BG707" s="154" t="n"/>
      <c r="BH707" s="154" t="n"/>
    </row>
    <row r="708" ht="15.75" customHeight="1" s="251">
      <c r="A708" s="153" t="n"/>
      <c r="B708" s="154" t="n"/>
      <c r="C708" s="154" t="n"/>
      <c r="D708" s="154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  <c r="AA708" s="154" t="n"/>
      <c r="AB708" s="154" t="n"/>
      <c r="AC708" s="154" t="n"/>
      <c r="AD708" s="154" t="n"/>
      <c r="AE708" s="154" t="n"/>
      <c r="AF708" s="154" t="n"/>
      <c r="AG708" s="154" t="n"/>
      <c r="AH708" s="154" t="n"/>
      <c r="AI708" s="154" t="n"/>
      <c r="AJ708" s="154" t="n"/>
      <c r="AK708" s="154" t="n"/>
      <c r="AL708" s="154" t="n"/>
      <c r="AM708" s="154" t="n"/>
      <c r="AN708" s="154" t="n"/>
      <c r="AO708" s="154" t="n"/>
      <c r="AP708" s="154" t="n"/>
      <c r="AQ708" s="154" t="n"/>
      <c r="AR708" s="154" t="n"/>
      <c r="AS708" s="154" t="n"/>
      <c r="AT708" s="154" t="n"/>
      <c r="AU708" s="154" t="n"/>
      <c r="AV708" s="154" t="n"/>
      <c r="AW708" s="154" t="n"/>
      <c r="AX708" s="154" t="n"/>
      <c r="AY708" s="154" t="n"/>
      <c r="AZ708" s="154" t="n"/>
      <c r="BA708" s="154" t="n"/>
      <c r="BB708" s="154" t="n"/>
      <c r="BC708" s="154" t="n"/>
      <c r="BD708" s="154" t="n"/>
      <c r="BE708" s="154" t="n"/>
      <c r="BF708" s="154" t="n"/>
      <c r="BG708" s="154" t="n"/>
      <c r="BH708" s="154" t="n"/>
    </row>
    <row r="709" ht="15.75" customHeight="1" s="251">
      <c r="A709" s="153" t="n"/>
      <c r="B709" s="154" t="n"/>
      <c r="C709" s="154" t="n"/>
      <c r="D709" s="154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  <c r="AA709" s="154" t="n"/>
      <c r="AB709" s="154" t="n"/>
      <c r="AC709" s="154" t="n"/>
      <c r="AD709" s="154" t="n"/>
      <c r="AE709" s="154" t="n"/>
      <c r="AF709" s="154" t="n"/>
      <c r="AG709" s="154" t="n"/>
      <c r="AH709" s="154" t="n"/>
      <c r="AI709" s="154" t="n"/>
      <c r="AJ709" s="154" t="n"/>
      <c r="AK709" s="154" t="n"/>
      <c r="AL709" s="154" t="n"/>
      <c r="AM709" s="154" t="n"/>
      <c r="AN709" s="154" t="n"/>
      <c r="AO709" s="154" t="n"/>
      <c r="AP709" s="154" t="n"/>
      <c r="AQ709" s="154" t="n"/>
      <c r="AR709" s="154" t="n"/>
      <c r="AS709" s="154" t="n"/>
      <c r="AT709" s="154" t="n"/>
      <c r="AU709" s="154" t="n"/>
      <c r="AV709" s="154" t="n"/>
      <c r="AW709" s="154" t="n"/>
      <c r="AX709" s="154" t="n"/>
      <c r="AY709" s="154" t="n"/>
      <c r="AZ709" s="154" t="n"/>
      <c r="BA709" s="154" t="n"/>
      <c r="BB709" s="154" t="n"/>
      <c r="BC709" s="154" t="n"/>
      <c r="BD709" s="154" t="n"/>
      <c r="BE709" s="154" t="n"/>
      <c r="BF709" s="154" t="n"/>
      <c r="BG709" s="154" t="n"/>
      <c r="BH709" s="154" t="n"/>
    </row>
    <row r="710" ht="15.75" customHeight="1" s="251">
      <c r="A710" s="153" t="n"/>
      <c r="B710" s="154" t="n"/>
      <c r="C710" s="154" t="n"/>
      <c r="D710" s="154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  <c r="AA710" s="154" t="n"/>
      <c r="AB710" s="154" t="n"/>
      <c r="AC710" s="154" t="n"/>
      <c r="AD710" s="154" t="n"/>
      <c r="AE710" s="154" t="n"/>
      <c r="AF710" s="154" t="n"/>
      <c r="AG710" s="154" t="n"/>
      <c r="AH710" s="154" t="n"/>
      <c r="AI710" s="154" t="n"/>
      <c r="AJ710" s="154" t="n"/>
      <c r="AK710" s="154" t="n"/>
      <c r="AL710" s="154" t="n"/>
      <c r="AM710" s="154" t="n"/>
      <c r="AN710" s="154" t="n"/>
      <c r="AO710" s="154" t="n"/>
      <c r="AP710" s="154" t="n"/>
      <c r="AQ710" s="154" t="n"/>
      <c r="AR710" s="154" t="n"/>
      <c r="AS710" s="154" t="n"/>
      <c r="AT710" s="154" t="n"/>
      <c r="AU710" s="154" t="n"/>
      <c r="AV710" s="154" t="n"/>
      <c r="AW710" s="154" t="n"/>
      <c r="AX710" s="154" t="n"/>
      <c r="AY710" s="154" t="n"/>
      <c r="AZ710" s="154" t="n"/>
      <c r="BA710" s="154" t="n"/>
      <c r="BB710" s="154" t="n"/>
      <c r="BC710" s="154" t="n"/>
      <c r="BD710" s="154" t="n"/>
      <c r="BE710" s="154" t="n"/>
      <c r="BF710" s="154" t="n"/>
      <c r="BG710" s="154" t="n"/>
      <c r="BH710" s="154" t="n"/>
    </row>
    <row r="711" ht="15.75" customHeight="1" s="251">
      <c r="A711" s="153" t="n"/>
      <c r="B711" s="154" t="n"/>
      <c r="C711" s="154" t="n"/>
      <c r="D711" s="154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  <c r="AA711" s="154" t="n"/>
      <c r="AB711" s="154" t="n"/>
      <c r="AC711" s="154" t="n"/>
      <c r="AD711" s="154" t="n"/>
      <c r="AE711" s="154" t="n"/>
      <c r="AF711" s="154" t="n"/>
      <c r="AG711" s="154" t="n"/>
      <c r="AH711" s="154" t="n"/>
      <c r="AI711" s="154" t="n"/>
      <c r="AJ711" s="154" t="n"/>
      <c r="AK711" s="154" t="n"/>
      <c r="AL711" s="154" t="n"/>
      <c r="AM711" s="154" t="n"/>
      <c r="AN711" s="154" t="n"/>
      <c r="AO711" s="154" t="n"/>
      <c r="AP711" s="154" t="n"/>
      <c r="AQ711" s="154" t="n"/>
      <c r="AR711" s="154" t="n"/>
      <c r="AS711" s="154" t="n"/>
      <c r="AT711" s="154" t="n"/>
      <c r="AU711" s="154" t="n"/>
      <c r="AV711" s="154" t="n"/>
      <c r="AW711" s="154" t="n"/>
      <c r="AX711" s="154" t="n"/>
      <c r="AY711" s="154" t="n"/>
      <c r="AZ711" s="154" t="n"/>
      <c r="BA711" s="154" t="n"/>
      <c r="BB711" s="154" t="n"/>
      <c r="BC711" s="154" t="n"/>
      <c r="BD711" s="154" t="n"/>
      <c r="BE711" s="154" t="n"/>
      <c r="BF711" s="154" t="n"/>
      <c r="BG711" s="154" t="n"/>
      <c r="BH711" s="154" t="n"/>
    </row>
    <row r="712" ht="15.75" customHeight="1" s="251">
      <c r="A712" s="153" t="n"/>
      <c r="B712" s="154" t="n"/>
      <c r="C712" s="154" t="n"/>
      <c r="D712" s="154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  <c r="AA712" s="154" t="n"/>
      <c r="AB712" s="154" t="n"/>
      <c r="AC712" s="154" t="n"/>
      <c r="AD712" s="154" t="n"/>
      <c r="AE712" s="154" t="n"/>
      <c r="AF712" s="154" t="n"/>
      <c r="AG712" s="154" t="n"/>
      <c r="AH712" s="154" t="n"/>
      <c r="AI712" s="154" t="n"/>
      <c r="AJ712" s="154" t="n"/>
      <c r="AK712" s="154" t="n"/>
      <c r="AL712" s="154" t="n"/>
      <c r="AM712" s="154" t="n"/>
      <c r="AN712" s="154" t="n"/>
      <c r="AO712" s="154" t="n"/>
      <c r="AP712" s="154" t="n"/>
      <c r="AQ712" s="154" t="n"/>
      <c r="AR712" s="154" t="n"/>
      <c r="AS712" s="154" t="n"/>
      <c r="AT712" s="154" t="n"/>
      <c r="AU712" s="154" t="n"/>
      <c r="AV712" s="154" t="n"/>
      <c r="AW712" s="154" t="n"/>
      <c r="AX712" s="154" t="n"/>
      <c r="AY712" s="154" t="n"/>
      <c r="AZ712" s="154" t="n"/>
      <c r="BA712" s="154" t="n"/>
      <c r="BB712" s="154" t="n"/>
      <c r="BC712" s="154" t="n"/>
      <c r="BD712" s="154" t="n"/>
      <c r="BE712" s="154" t="n"/>
      <c r="BF712" s="154" t="n"/>
      <c r="BG712" s="154" t="n"/>
      <c r="BH712" s="154" t="n"/>
    </row>
    <row r="713" ht="15.75" customHeight="1" s="251">
      <c r="A713" s="153" t="n"/>
      <c r="B713" s="154" t="n"/>
      <c r="C713" s="154" t="n"/>
      <c r="D713" s="154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  <c r="AA713" s="154" t="n"/>
      <c r="AB713" s="154" t="n"/>
      <c r="AC713" s="154" t="n"/>
      <c r="AD713" s="154" t="n"/>
      <c r="AE713" s="154" t="n"/>
      <c r="AF713" s="154" t="n"/>
      <c r="AG713" s="154" t="n"/>
      <c r="AH713" s="154" t="n"/>
      <c r="AI713" s="154" t="n"/>
      <c r="AJ713" s="154" t="n"/>
      <c r="AK713" s="154" t="n"/>
      <c r="AL713" s="154" t="n"/>
      <c r="AM713" s="154" t="n"/>
      <c r="AN713" s="154" t="n"/>
      <c r="AO713" s="154" t="n"/>
      <c r="AP713" s="154" t="n"/>
      <c r="AQ713" s="154" t="n"/>
      <c r="AR713" s="154" t="n"/>
      <c r="AS713" s="154" t="n"/>
      <c r="AT713" s="154" t="n"/>
      <c r="AU713" s="154" t="n"/>
      <c r="AV713" s="154" t="n"/>
      <c r="AW713" s="154" t="n"/>
      <c r="AX713" s="154" t="n"/>
      <c r="AY713" s="154" t="n"/>
      <c r="AZ713" s="154" t="n"/>
      <c r="BA713" s="154" t="n"/>
      <c r="BB713" s="154" t="n"/>
      <c r="BC713" s="154" t="n"/>
      <c r="BD713" s="154" t="n"/>
      <c r="BE713" s="154" t="n"/>
      <c r="BF713" s="154" t="n"/>
      <c r="BG713" s="154" t="n"/>
      <c r="BH713" s="154" t="n"/>
    </row>
    <row r="714" ht="15.75" customHeight="1" s="251">
      <c r="A714" s="153" t="n"/>
      <c r="B714" s="154" t="n"/>
      <c r="C714" s="154" t="n"/>
      <c r="D714" s="154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  <c r="AA714" s="154" t="n"/>
      <c r="AB714" s="154" t="n"/>
      <c r="AC714" s="154" t="n"/>
      <c r="AD714" s="154" t="n"/>
      <c r="AE714" s="154" t="n"/>
      <c r="AF714" s="154" t="n"/>
      <c r="AG714" s="154" t="n"/>
      <c r="AH714" s="154" t="n"/>
      <c r="AI714" s="154" t="n"/>
      <c r="AJ714" s="154" t="n"/>
      <c r="AK714" s="154" t="n"/>
      <c r="AL714" s="154" t="n"/>
      <c r="AM714" s="154" t="n"/>
      <c r="AN714" s="154" t="n"/>
      <c r="AO714" s="154" t="n"/>
      <c r="AP714" s="154" t="n"/>
      <c r="AQ714" s="154" t="n"/>
      <c r="AR714" s="154" t="n"/>
      <c r="AS714" s="154" t="n"/>
      <c r="AT714" s="154" t="n"/>
      <c r="AU714" s="154" t="n"/>
      <c r="AV714" s="154" t="n"/>
      <c r="AW714" s="154" t="n"/>
      <c r="AX714" s="154" t="n"/>
      <c r="AY714" s="154" t="n"/>
      <c r="AZ714" s="154" t="n"/>
      <c r="BA714" s="154" t="n"/>
      <c r="BB714" s="154" t="n"/>
      <c r="BC714" s="154" t="n"/>
      <c r="BD714" s="154" t="n"/>
      <c r="BE714" s="154" t="n"/>
      <c r="BF714" s="154" t="n"/>
      <c r="BG714" s="154" t="n"/>
      <c r="BH714" s="154" t="n"/>
    </row>
    <row r="715" ht="15.75" customHeight="1" s="251">
      <c r="A715" s="153" t="n"/>
      <c r="B715" s="154" t="n"/>
      <c r="C715" s="154" t="n"/>
      <c r="D715" s="154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  <c r="AA715" s="154" t="n"/>
      <c r="AB715" s="154" t="n"/>
      <c r="AC715" s="154" t="n"/>
      <c r="AD715" s="154" t="n"/>
      <c r="AE715" s="154" t="n"/>
      <c r="AF715" s="154" t="n"/>
      <c r="AG715" s="154" t="n"/>
      <c r="AH715" s="154" t="n"/>
      <c r="AI715" s="154" t="n"/>
      <c r="AJ715" s="154" t="n"/>
      <c r="AK715" s="154" t="n"/>
      <c r="AL715" s="154" t="n"/>
      <c r="AM715" s="154" t="n"/>
      <c r="AN715" s="154" t="n"/>
      <c r="AO715" s="154" t="n"/>
      <c r="AP715" s="154" t="n"/>
      <c r="AQ715" s="154" t="n"/>
      <c r="AR715" s="154" t="n"/>
      <c r="AS715" s="154" t="n"/>
      <c r="AT715" s="154" t="n"/>
      <c r="AU715" s="154" t="n"/>
      <c r="AV715" s="154" t="n"/>
      <c r="AW715" s="154" t="n"/>
      <c r="AX715" s="154" t="n"/>
      <c r="AY715" s="154" t="n"/>
      <c r="AZ715" s="154" t="n"/>
      <c r="BA715" s="154" t="n"/>
      <c r="BB715" s="154" t="n"/>
      <c r="BC715" s="154" t="n"/>
      <c r="BD715" s="154" t="n"/>
      <c r="BE715" s="154" t="n"/>
      <c r="BF715" s="154" t="n"/>
      <c r="BG715" s="154" t="n"/>
      <c r="BH715" s="154" t="n"/>
    </row>
    <row r="716" ht="15.75" customHeight="1" s="251">
      <c r="A716" s="153" t="n"/>
      <c r="B716" s="154" t="n"/>
      <c r="C716" s="154" t="n"/>
      <c r="D716" s="154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  <c r="AA716" s="154" t="n"/>
      <c r="AB716" s="154" t="n"/>
      <c r="AC716" s="154" t="n"/>
      <c r="AD716" s="154" t="n"/>
      <c r="AE716" s="154" t="n"/>
      <c r="AF716" s="154" t="n"/>
      <c r="AG716" s="154" t="n"/>
      <c r="AH716" s="154" t="n"/>
      <c r="AI716" s="154" t="n"/>
      <c r="AJ716" s="154" t="n"/>
      <c r="AK716" s="154" t="n"/>
      <c r="AL716" s="154" t="n"/>
      <c r="AM716" s="154" t="n"/>
      <c r="AN716" s="154" t="n"/>
      <c r="AO716" s="154" t="n"/>
      <c r="AP716" s="154" t="n"/>
      <c r="AQ716" s="154" t="n"/>
      <c r="AR716" s="154" t="n"/>
      <c r="AS716" s="154" t="n"/>
      <c r="AT716" s="154" t="n"/>
      <c r="AU716" s="154" t="n"/>
      <c r="AV716" s="154" t="n"/>
      <c r="AW716" s="154" t="n"/>
      <c r="AX716" s="154" t="n"/>
      <c r="AY716" s="154" t="n"/>
      <c r="AZ716" s="154" t="n"/>
      <c r="BA716" s="154" t="n"/>
      <c r="BB716" s="154" t="n"/>
      <c r="BC716" s="154" t="n"/>
      <c r="BD716" s="154" t="n"/>
      <c r="BE716" s="154" t="n"/>
      <c r="BF716" s="154" t="n"/>
      <c r="BG716" s="154" t="n"/>
      <c r="BH716" s="154" t="n"/>
    </row>
    <row r="717" ht="15.75" customHeight="1" s="251">
      <c r="A717" s="153" t="n"/>
      <c r="B717" s="154" t="n"/>
      <c r="C717" s="154" t="n"/>
      <c r="D717" s="154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  <c r="AA717" s="154" t="n"/>
      <c r="AB717" s="154" t="n"/>
      <c r="AC717" s="154" t="n"/>
      <c r="AD717" s="154" t="n"/>
      <c r="AE717" s="154" t="n"/>
      <c r="AF717" s="154" t="n"/>
      <c r="AG717" s="154" t="n"/>
      <c r="AH717" s="154" t="n"/>
      <c r="AI717" s="154" t="n"/>
      <c r="AJ717" s="154" t="n"/>
      <c r="AK717" s="154" t="n"/>
      <c r="AL717" s="154" t="n"/>
      <c r="AM717" s="154" t="n"/>
      <c r="AN717" s="154" t="n"/>
      <c r="AO717" s="154" t="n"/>
      <c r="AP717" s="154" t="n"/>
      <c r="AQ717" s="154" t="n"/>
      <c r="AR717" s="154" t="n"/>
      <c r="AS717" s="154" t="n"/>
      <c r="AT717" s="154" t="n"/>
      <c r="AU717" s="154" t="n"/>
      <c r="AV717" s="154" t="n"/>
      <c r="AW717" s="154" t="n"/>
      <c r="AX717" s="154" t="n"/>
      <c r="AY717" s="154" t="n"/>
      <c r="AZ717" s="154" t="n"/>
      <c r="BA717" s="154" t="n"/>
      <c r="BB717" s="154" t="n"/>
      <c r="BC717" s="154" t="n"/>
      <c r="BD717" s="154" t="n"/>
      <c r="BE717" s="154" t="n"/>
      <c r="BF717" s="154" t="n"/>
      <c r="BG717" s="154" t="n"/>
      <c r="BH717" s="154" t="n"/>
    </row>
    <row r="718" ht="15.75" customHeight="1" s="251">
      <c r="A718" s="153" t="n"/>
      <c r="B718" s="154" t="n"/>
      <c r="C718" s="154" t="n"/>
      <c r="D718" s="154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  <c r="AA718" s="154" t="n"/>
      <c r="AB718" s="154" t="n"/>
      <c r="AC718" s="154" t="n"/>
      <c r="AD718" s="154" t="n"/>
      <c r="AE718" s="154" t="n"/>
      <c r="AF718" s="154" t="n"/>
      <c r="AG718" s="154" t="n"/>
      <c r="AH718" s="154" t="n"/>
      <c r="AI718" s="154" t="n"/>
      <c r="AJ718" s="154" t="n"/>
      <c r="AK718" s="154" t="n"/>
      <c r="AL718" s="154" t="n"/>
      <c r="AM718" s="154" t="n"/>
      <c r="AN718" s="154" t="n"/>
      <c r="AO718" s="154" t="n"/>
      <c r="AP718" s="154" t="n"/>
      <c r="AQ718" s="154" t="n"/>
      <c r="AR718" s="154" t="n"/>
      <c r="AS718" s="154" t="n"/>
      <c r="AT718" s="154" t="n"/>
      <c r="AU718" s="154" t="n"/>
      <c r="AV718" s="154" t="n"/>
      <c r="AW718" s="154" t="n"/>
      <c r="AX718" s="154" t="n"/>
      <c r="AY718" s="154" t="n"/>
      <c r="AZ718" s="154" t="n"/>
      <c r="BA718" s="154" t="n"/>
      <c r="BB718" s="154" t="n"/>
      <c r="BC718" s="154" t="n"/>
      <c r="BD718" s="154" t="n"/>
      <c r="BE718" s="154" t="n"/>
      <c r="BF718" s="154" t="n"/>
      <c r="BG718" s="154" t="n"/>
      <c r="BH718" s="154" t="n"/>
    </row>
    <row r="719" ht="15.75" customHeight="1" s="251">
      <c r="A719" s="153" t="n"/>
      <c r="B719" s="154" t="n"/>
      <c r="C719" s="154" t="n"/>
      <c r="D719" s="154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  <c r="AA719" s="154" t="n"/>
      <c r="AB719" s="154" t="n"/>
      <c r="AC719" s="154" t="n"/>
      <c r="AD719" s="154" t="n"/>
      <c r="AE719" s="154" t="n"/>
      <c r="AF719" s="154" t="n"/>
      <c r="AG719" s="154" t="n"/>
      <c r="AH719" s="154" t="n"/>
      <c r="AI719" s="154" t="n"/>
      <c r="AJ719" s="154" t="n"/>
      <c r="AK719" s="154" t="n"/>
      <c r="AL719" s="154" t="n"/>
      <c r="AM719" s="154" t="n"/>
      <c r="AN719" s="154" t="n"/>
      <c r="AO719" s="154" t="n"/>
      <c r="AP719" s="154" t="n"/>
      <c r="AQ719" s="154" t="n"/>
      <c r="AR719" s="154" t="n"/>
      <c r="AS719" s="154" t="n"/>
      <c r="AT719" s="154" t="n"/>
      <c r="AU719" s="154" t="n"/>
      <c r="AV719" s="154" t="n"/>
      <c r="AW719" s="154" t="n"/>
      <c r="AX719" s="154" t="n"/>
      <c r="AY719" s="154" t="n"/>
      <c r="AZ719" s="154" t="n"/>
      <c r="BA719" s="154" t="n"/>
      <c r="BB719" s="154" t="n"/>
      <c r="BC719" s="154" t="n"/>
      <c r="BD719" s="154" t="n"/>
      <c r="BE719" s="154" t="n"/>
      <c r="BF719" s="154" t="n"/>
      <c r="BG719" s="154" t="n"/>
      <c r="BH719" s="154" t="n"/>
    </row>
    <row r="720" ht="15.75" customHeight="1" s="251">
      <c r="A720" s="153" t="n"/>
      <c r="B720" s="154" t="n"/>
      <c r="C720" s="154" t="n"/>
      <c r="D720" s="154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  <c r="AA720" s="154" t="n"/>
      <c r="AB720" s="154" t="n"/>
      <c r="AC720" s="154" t="n"/>
      <c r="AD720" s="154" t="n"/>
      <c r="AE720" s="154" t="n"/>
      <c r="AF720" s="154" t="n"/>
      <c r="AG720" s="154" t="n"/>
      <c r="AH720" s="154" t="n"/>
      <c r="AI720" s="154" t="n"/>
      <c r="AJ720" s="154" t="n"/>
      <c r="AK720" s="154" t="n"/>
      <c r="AL720" s="154" t="n"/>
      <c r="AM720" s="154" t="n"/>
      <c r="AN720" s="154" t="n"/>
      <c r="AO720" s="154" t="n"/>
      <c r="AP720" s="154" t="n"/>
      <c r="AQ720" s="154" t="n"/>
      <c r="AR720" s="154" t="n"/>
      <c r="AS720" s="154" t="n"/>
      <c r="AT720" s="154" t="n"/>
      <c r="AU720" s="154" t="n"/>
      <c r="AV720" s="154" t="n"/>
      <c r="AW720" s="154" t="n"/>
      <c r="AX720" s="154" t="n"/>
      <c r="AY720" s="154" t="n"/>
      <c r="AZ720" s="154" t="n"/>
      <c r="BA720" s="154" t="n"/>
      <c r="BB720" s="154" t="n"/>
      <c r="BC720" s="154" t="n"/>
      <c r="BD720" s="154" t="n"/>
      <c r="BE720" s="154" t="n"/>
      <c r="BF720" s="154" t="n"/>
      <c r="BG720" s="154" t="n"/>
      <c r="BH720" s="154" t="n"/>
    </row>
    <row r="721" ht="15.75" customHeight="1" s="251">
      <c r="A721" s="153" t="n"/>
      <c r="B721" s="154" t="n"/>
      <c r="C721" s="154" t="n"/>
      <c r="D721" s="154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  <c r="AA721" s="154" t="n"/>
      <c r="AB721" s="154" t="n"/>
      <c r="AC721" s="154" t="n"/>
      <c r="AD721" s="154" t="n"/>
      <c r="AE721" s="154" t="n"/>
      <c r="AF721" s="154" t="n"/>
      <c r="AG721" s="154" t="n"/>
      <c r="AH721" s="154" t="n"/>
      <c r="AI721" s="154" t="n"/>
      <c r="AJ721" s="154" t="n"/>
      <c r="AK721" s="154" t="n"/>
      <c r="AL721" s="154" t="n"/>
      <c r="AM721" s="154" t="n"/>
      <c r="AN721" s="154" t="n"/>
      <c r="AO721" s="154" t="n"/>
      <c r="AP721" s="154" t="n"/>
      <c r="AQ721" s="154" t="n"/>
      <c r="AR721" s="154" t="n"/>
      <c r="AS721" s="154" t="n"/>
      <c r="AT721" s="154" t="n"/>
      <c r="AU721" s="154" t="n"/>
      <c r="AV721" s="154" t="n"/>
      <c r="AW721" s="154" t="n"/>
      <c r="AX721" s="154" t="n"/>
      <c r="AY721" s="154" t="n"/>
      <c r="AZ721" s="154" t="n"/>
      <c r="BA721" s="154" t="n"/>
      <c r="BB721" s="154" t="n"/>
      <c r="BC721" s="154" t="n"/>
      <c r="BD721" s="154" t="n"/>
      <c r="BE721" s="154" t="n"/>
      <c r="BF721" s="154" t="n"/>
      <c r="BG721" s="154" t="n"/>
      <c r="BH721" s="154" t="n"/>
    </row>
    <row r="722" ht="15.75" customHeight="1" s="251">
      <c r="A722" s="153" t="n"/>
      <c r="B722" s="154" t="n"/>
      <c r="C722" s="154" t="n"/>
      <c r="D722" s="154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  <c r="AA722" s="154" t="n"/>
      <c r="AB722" s="154" t="n"/>
      <c r="AC722" s="154" t="n"/>
      <c r="AD722" s="154" t="n"/>
      <c r="AE722" s="154" t="n"/>
      <c r="AF722" s="154" t="n"/>
      <c r="AG722" s="154" t="n"/>
      <c r="AH722" s="154" t="n"/>
      <c r="AI722" s="154" t="n"/>
      <c r="AJ722" s="154" t="n"/>
      <c r="AK722" s="154" t="n"/>
      <c r="AL722" s="154" t="n"/>
      <c r="AM722" s="154" t="n"/>
      <c r="AN722" s="154" t="n"/>
      <c r="AO722" s="154" t="n"/>
      <c r="AP722" s="154" t="n"/>
      <c r="AQ722" s="154" t="n"/>
      <c r="AR722" s="154" t="n"/>
      <c r="AS722" s="154" t="n"/>
      <c r="AT722" s="154" t="n"/>
      <c r="AU722" s="154" t="n"/>
      <c r="AV722" s="154" t="n"/>
      <c r="AW722" s="154" t="n"/>
      <c r="AX722" s="154" t="n"/>
      <c r="AY722" s="154" t="n"/>
      <c r="AZ722" s="154" t="n"/>
      <c r="BA722" s="154" t="n"/>
      <c r="BB722" s="154" t="n"/>
      <c r="BC722" s="154" t="n"/>
      <c r="BD722" s="154" t="n"/>
      <c r="BE722" s="154" t="n"/>
      <c r="BF722" s="154" t="n"/>
      <c r="BG722" s="154" t="n"/>
      <c r="BH722" s="154" t="n"/>
    </row>
    <row r="723" ht="15.75" customHeight="1" s="251">
      <c r="A723" s="153" t="n"/>
      <c r="B723" s="154" t="n"/>
      <c r="C723" s="154" t="n"/>
      <c r="D723" s="154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  <c r="AA723" s="154" t="n"/>
      <c r="AB723" s="154" t="n"/>
      <c r="AC723" s="154" t="n"/>
      <c r="AD723" s="154" t="n"/>
      <c r="AE723" s="154" t="n"/>
      <c r="AF723" s="154" t="n"/>
      <c r="AG723" s="154" t="n"/>
      <c r="AH723" s="154" t="n"/>
      <c r="AI723" s="154" t="n"/>
      <c r="AJ723" s="154" t="n"/>
      <c r="AK723" s="154" t="n"/>
      <c r="AL723" s="154" t="n"/>
      <c r="AM723" s="154" t="n"/>
      <c r="AN723" s="154" t="n"/>
      <c r="AO723" s="154" t="n"/>
      <c r="AP723" s="154" t="n"/>
      <c r="AQ723" s="154" t="n"/>
      <c r="AR723" s="154" t="n"/>
      <c r="AS723" s="154" t="n"/>
      <c r="AT723" s="154" t="n"/>
      <c r="AU723" s="154" t="n"/>
      <c r="AV723" s="154" t="n"/>
      <c r="AW723" s="154" t="n"/>
      <c r="AX723" s="154" t="n"/>
      <c r="AY723" s="154" t="n"/>
      <c r="AZ723" s="154" t="n"/>
      <c r="BA723" s="154" t="n"/>
      <c r="BB723" s="154" t="n"/>
      <c r="BC723" s="154" t="n"/>
      <c r="BD723" s="154" t="n"/>
      <c r="BE723" s="154" t="n"/>
      <c r="BF723" s="154" t="n"/>
      <c r="BG723" s="154" t="n"/>
      <c r="BH723" s="154" t="n"/>
    </row>
    <row r="724" ht="15.75" customHeight="1" s="251">
      <c r="A724" s="153" t="n"/>
      <c r="B724" s="154" t="n"/>
      <c r="C724" s="154" t="n"/>
      <c r="D724" s="154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  <c r="AA724" s="154" t="n"/>
      <c r="AB724" s="154" t="n"/>
      <c r="AC724" s="154" t="n"/>
      <c r="AD724" s="154" t="n"/>
      <c r="AE724" s="154" t="n"/>
      <c r="AF724" s="154" t="n"/>
      <c r="AG724" s="154" t="n"/>
      <c r="AH724" s="154" t="n"/>
      <c r="AI724" s="154" t="n"/>
      <c r="AJ724" s="154" t="n"/>
      <c r="AK724" s="154" t="n"/>
      <c r="AL724" s="154" t="n"/>
      <c r="AM724" s="154" t="n"/>
      <c r="AN724" s="154" t="n"/>
      <c r="AO724" s="154" t="n"/>
      <c r="AP724" s="154" t="n"/>
      <c r="AQ724" s="154" t="n"/>
      <c r="AR724" s="154" t="n"/>
      <c r="AS724" s="154" t="n"/>
      <c r="AT724" s="154" t="n"/>
      <c r="AU724" s="154" t="n"/>
      <c r="AV724" s="154" t="n"/>
      <c r="AW724" s="154" t="n"/>
      <c r="AX724" s="154" t="n"/>
      <c r="AY724" s="154" t="n"/>
      <c r="AZ724" s="154" t="n"/>
      <c r="BA724" s="154" t="n"/>
      <c r="BB724" s="154" t="n"/>
      <c r="BC724" s="154" t="n"/>
      <c r="BD724" s="154" t="n"/>
      <c r="BE724" s="154" t="n"/>
      <c r="BF724" s="154" t="n"/>
      <c r="BG724" s="154" t="n"/>
      <c r="BH724" s="154" t="n"/>
    </row>
    <row r="725" ht="15.75" customHeight="1" s="251">
      <c r="A725" s="153" t="n"/>
      <c r="B725" s="154" t="n"/>
      <c r="C725" s="154" t="n"/>
      <c r="D725" s="154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  <c r="AA725" s="154" t="n"/>
      <c r="AB725" s="154" t="n"/>
      <c r="AC725" s="154" t="n"/>
      <c r="AD725" s="154" t="n"/>
      <c r="AE725" s="154" t="n"/>
      <c r="AF725" s="154" t="n"/>
      <c r="AG725" s="154" t="n"/>
      <c r="AH725" s="154" t="n"/>
      <c r="AI725" s="154" t="n"/>
      <c r="AJ725" s="154" t="n"/>
      <c r="AK725" s="154" t="n"/>
      <c r="AL725" s="154" t="n"/>
      <c r="AM725" s="154" t="n"/>
      <c r="AN725" s="154" t="n"/>
      <c r="AO725" s="154" t="n"/>
      <c r="AP725" s="154" t="n"/>
      <c r="AQ725" s="154" t="n"/>
      <c r="AR725" s="154" t="n"/>
      <c r="AS725" s="154" t="n"/>
      <c r="AT725" s="154" t="n"/>
      <c r="AU725" s="154" t="n"/>
      <c r="AV725" s="154" t="n"/>
      <c r="AW725" s="154" t="n"/>
      <c r="AX725" s="154" t="n"/>
      <c r="AY725" s="154" t="n"/>
      <c r="AZ725" s="154" t="n"/>
      <c r="BA725" s="154" t="n"/>
      <c r="BB725" s="154" t="n"/>
      <c r="BC725" s="154" t="n"/>
      <c r="BD725" s="154" t="n"/>
      <c r="BE725" s="154" t="n"/>
      <c r="BF725" s="154" t="n"/>
      <c r="BG725" s="154" t="n"/>
      <c r="BH725" s="154" t="n"/>
    </row>
    <row r="726" ht="15.75" customHeight="1" s="251">
      <c r="A726" s="153" t="n"/>
      <c r="B726" s="154" t="n"/>
      <c r="C726" s="154" t="n"/>
      <c r="D726" s="154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  <c r="AA726" s="154" t="n"/>
      <c r="AB726" s="154" t="n"/>
      <c r="AC726" s="154" t="n"/>
      <c r="AD726" s="154" t="n"/>
      <c r="AE726" s="154" t="n"/>
      <c r="AF726" s="154" t="n"/>
      <c r="AG726" s="154" t="n"/>
      <c r="AH726" s="154" t="n"/>
      <c r="AI726" s="154" t="n"/>
      <c r="AJ726" s="154" t="n"/>
      <c r="AK726" s="154" t="n"/>
      <c r="AL726" s="154" t="n"/>
      <c r="AM726" s="154" t="n"/>
      <c r="AN726" s="154" t="n"/>
      <c r="AO726" s="154" t="n"/>
      <c r="AP726" s="154" t="n"/>
      <c r="AQ726" s="154" t="n"/>
      <c r="AR726" s="154" t="n"/>
      <c r="AS726" s="154" t="n"/>
      <c r="AT726" s="154" t="n"/>
      <c r="AU726" s="154" t="n"/>
      <c r="AV726" s="154" t="n"/>
      <c r="AW726" s="154" t="n"/>
      <c r="AX726" s="154" t="n"/>
      <c r="AY726" s="154" t="n"/>
      <c r="AZ726" s="154" t="n"/>
      <c r="BA726" s="154" t="n"/>
      <c r="BB726" s="154" t="n"/>
      <c r="BC726" s="154" t="n"/>
      <c r="BD726" s="154" t="n"/>
      <c r="BE726" s="154" t="n"/>
      <c r="BF726" s="154" t="n"/>
      <c r="BG726" s="154" t="n"/>
      <c r="BH726" s="154" t="n"/>
    </row>
    <row r="727" ht="15.75" customHeight="1" s="251">
      <c r="A727" s="153" t="n"/>
      <c r="B727" s="154" t="n"/>
      <c r="C727" s="154" t="n"/>
      <c r="D727" s="154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  <c r="AA727" s="154" t="n"/>
      <c r="AB727" s="154" t="n"/>
      <c r="AC727" s="154" t="n"/>
      <c r="AD727" s="154" t="n"/>
      <c r="AE727" s="154" t="n"/>
      <c r="AF727" s="154" t="n"/>
      <c r="AG727" s="154" t="n"/>
      <c r="AH727" s="154" t="n"/>
      <c r="AI727" s="154" t="n"/>
      <c r="AJ727" s="154" t="n"/>
      <c r="AK727" s="154" t="n"/>
      <c r="AL727" s="154" t="n"/>
      <c r="AM727" s="154" t="n"/>
      <c r="AN727" s="154" t="n"/>
      <c r="AO727" s="154" t="n"/>
      <c r="AP727" s="154" t="n"/>
      <c r="AQ727" s="154" t="n"/>
      <c r="AR727" s="154" t="n"/>
      <c r="AS727" s="154" t="n"/>
      <c r="AT727" s="154" t="n"/>
      <c r="AU727" s="154" t="n"/>
      <c r="AV727" s="154" t="n"/>
      <c r="AW727" s="154" t="n"/>
      <c r="AX727" s="154" t="n"/>
      <c r="AY727" s="154" t="n"/>
      <c r="AZ727" s="154" t="n"/>
      <c r="BA727" s="154" t="n"/>
      <c r="BB727" s="154" t="n"/>
      <c r="BC727" s="154" t="n"/>
      <c r="BD727" s="154" t="n"/>
      <c r="BE727" s="154" t="n"/>
      <c r="BF727" s="154" t="n"/>
      <c r="BG727" s="154" t="n"/>
      <c r="BH727" s="154" t="n"/>
    </row>
    <row r="728" ht="15.75" customHeight="1" s="251">
      <c r="A728" s="153" t="n"/>
      <c r="B728" s="154" t="n"/>
      <c r="C728" s="154" t="n"/>
      <c r="D728" s="154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  <c r="AA728" s="154" t="n"/>
      <c r="AB728" s="154" t="n"/>
      <c r="AC728" s="154" t="n"/>
      <c r="AD728" s="154" t="n"/>
      <c r="AE728" s="154" t="n"/>
      <c r="AF728" s="154" t="n"/>
      <c r="AG728" s="154" t="n"/>
      <c r="AH728" s="154" t="n"/>
      <c r="AI728" s="154" t="n"/>
      <c r="AJ728" s="154" t="n"/>
      <c r="AK728" s="154" t="n"/>
      <c r="AL728" s="154" t="n"/>
      <c r="AM728" s="154" t="n"/>
      <c r="AN728" s="154" t="n"/>
      <c r="AO728" s="154" t="n"/>
      <c r="AP728" s="154" t="n"/>
      <c r="AQ728" s="154" t="n"/>
      <c r="AR728" s="154" t="n"/>
      <c r="AS728" s="154" t="n"/>
      <c r="AT728" s="154" t="n"/>
      <c r="AU728" s="154" t="n"/>
      <c r="AV728" s="154" t="n"/>
      <c r="AW728" s="154" t="n"/>
      <c r="AX728" s="154" t="n"/>
      <c r="AY728" s="154" t="n"/>
      <c r="AZ728" s="154" t="n"/>
      <c r="BA728" s="154" t="n"/>
      <c r="BB728" s="154" t="n"/>
      <c r="BC728" s="154" t="n"/>
      <c r="BD728" s="154" t="n"/>
      <c r="BE728" s="154" t="n"/>
      <c r="BF728" s="154" t="n"/>
      <c r="BG728" s="154" t="n"/>
      <c r="BH728" s="154" t="n"/>
    </row>
    <row r="729" ht="15.75" customHeight="1" s="251">
      <c r="A729" s="153" t="n"/>
      <c r="B729" s="154" t="n"/>
      <c r="C729" s="154" t="n"/>
      <c r="D729" s="154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  <c r="AA729" s="154" t="n"/>
      <c r="AB729" s="154" t="n"/>
      <c r="AC729" s="154" t="n"/>
      <c r="AD729" s="154" t="n"/>
      <c r="AE729" s="154" t="n"/>
      <c r="AF729" s="154" t="n"/>
      <c r="AG729" s="154" t="n"/>
      <c r="AH729" s="154" t="n"/>
      <c r="AI729" s="154" t="n"/>
      <c r="AJ729" s="154" t="n"/>
      <c r="AK729" s="154" t="n"/>
      <c r="AL729" s="154" t="n"/>
      <c r="AM729" s="154" t="n"/>
      <c r="AN729" s="154" t="n"/>
      <c r="AO729" s="154" t="n"/>
      <c r="AP729" s="154" t="n"/>
      <c r="AQ729" s="154" t="n"/>
      <c r="AR729" s="154" t="n"/>
      <c r="AS729" s="154" t="n"/>
      <c r="AT729" s="154" t="n"/>
      <c r="AU729" s="154" t="n"/>
      <c r="AV729" s="154" t="n"/>
      <c r="AW729" s="154" t="n"/>
      <c r="AX729" s="154" t="n"/>
      <c r="AY729" s="154" t="n"/>
      <c r="AZ729" s="154" t="n"/>
      <c r="BA729" s="154" t="n"/>
      <c r="BB729" s="154" t="n"/>
      <c r="BC729" s="154" t="n"/>
      <c r="BD729" s="154" t="n"/>
      <c r="BE729" s="154" t="n"/>
      <c r="BF729" s="154" t="n"/>
      <c r="BG729" s="154" t="n"/>
      <c r="BH729" s="154" t="n"/>
    </row>
    <row r="730" ht="15.75" customHeight="1" s="251">
      <c r="A730" s="153" t="n"/>
      <c r="B730" s="154" t="n"/>
      <c r="C730" s="154" t="n"/>
      <c r="D730" s="154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  <c r="AA730" s="154" t="n"/>
      <c r="AB730" s="154" t="n"/>
      <c r="AC730" s="154" t="n"/>
      <c r="AD730" s="154" t="n"/>
      <c r="AE730" s="154" t="n"/>
      <c r="AF730" s="154" t="n"/>
      <c r="AG730" s="154" t="n"/>
      <c r="AH730" s="154" t="n"/>
      <c r="AI730" s="154" t="n"/>
      <c r="AJ730" s="154" t="n"/>
      <c r="AK730" s="154" t="n"/>
      <c r="AL730" s="154" t="n"/>
      <c r="AM730" s="154" t="n"/>
      <c r="AN730" s="154" t="n"/>
      <c r="AO730" s="154" t="n"/>
      <c r="AP730" s="154" t="n"/>
      <c r="AQ730" s="154" t="n"/>
      <c r="AR730" s="154" t="n"/>
      <c r="AS730" s="154" t="n"/>
      <c r="AT730" s="154" t="n"/>
      <c r="AU730" s="154" t="n"/>
      <c r="AV730" s="154" t="n"/>
      <c r="AW730" s="154" t="n"/>
      <c r="AX730" s="154" t="n"/>
      <c r="AY730" s="154" t="n"/>
      <c r="AZ730" s="154" t="n"/>
      <c r="BA730" s="154" t="n"/>
      <c r="BB730" s="154" t="n"/>
      <c r="BC730" s="154" t="n"/>
      <c r="BD730" s="154" t="n"/>
      <c r="BE730" s="154" t="n"/>
      <c r="BF730" s="154" t="n"/>
      <c r="BG730" s="154" t="n"/>
      <c r="BH730" s="154" t="n"/>
    </row>
    <row r="731" ht="15.75" customHeight="1" s="251">
      <c r="A731" s="153" t="n"/>
      <c r="B731" s="154" t="n"/>
      <c r="C731" s="154" t="n"/>
      <c r="D731" s="154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  <c r="AA731" s="154" t="n"/>
      <c r="AB731" s="154" t="n"/>
      <c r="AC731" s="154" t="n"/>
      <c r="AD731" s="154" t="n"/>
      <c r="AE731" s="154" t="n"/>
      <c r="AF731" s="154" t="n"/>
      <c r="AG731" s="154" t="n"/>
      <c r="AH731" s="154" t="n"/>
      <c r="AI731" s="154" t="n"/>
      <c r="AJ731" s="154" t="n"/>
      <c r="AK731" s="154" t="n"/>
      <c r="AL731" s="154" t="n"/>
      <c r="AM731" s="154" t="n"/>
      <c r="AN731" s="154" t="n"/>
      <c r="AO731" s="154" t="n"/>
      <c r="AP731" s="154" t="n"/>
      <c r="AQ731" s="154" t="n"/>
      <c r="AR731" s="154" t="n"/>
      <c r="AS731" s="154" t="n"/>
      <c r="AT731" s="154" t="n"/>
      <c r="AU731" s="154" t="n"/>
      <c r="AV731" s="154" t="n"/>
      <c r="AW731" s="154" t="n"/>
      <c r="AX731" s="154" t="n"/>
      <c r="AY731" s="154" t="n"/>
      <c r="AZ731" s="154" t="n"/>
      <c r="BA731" s="154" t="n"/>
      <c r="BB731" s="154" t="n"/>
      <c r="BC731" s="154" t="n"/>
      <c r="BD731" s="154" t="n"/>
      <c r="BE731" s="154" t="n"/>
      <c r="BF731" s="154" t="n"/>
      <c r="BG731" s="154" t="n"/>
      <c r="BH731" s="154" t="n"/>
    </row>
    <row r="732" ht="15.75" customHeight="1" s="251">
      <c r="A732" s="153" t="n"/>
      <c r="B732" s="154" t="n"/>
      <c r="C732" s="154" t="n"/>
      <c r="D732" s="154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  <c r="AA732" s="154" t="n"/>
      <c r="AB732" s="154" t="n"/>
      <c r="AC732" s="154" t="n"/>
      <c r="AD732" s="154" t="n"/>
      <c r="AE732" s="154" t="n"/>
      <c r="AF732" s="154" t="n"/>
      <c r="AG732" s="154" t="n"/>
      <c r="AH732" s="154" t="n"/>
      <c r="AI732" s="154" t="n"/>
      <c r="AJ732" s="154" t="n"/>
      <c r="AK732" s="154" t="n"/>
      <c r="AL732" s="154" t="n"/>
      <c r="AM732" s="154" t="n"/>
      <c r="AN732" s="154" t="n"/>
      <c r="AO732" s="154" t="n"/>
      <c r="AP732" s="154" t="n"/>
      <c r="AQ732" s="154" t="n"/>
      <c r="AR732" s="154" t="n"/>
      <c r="AS732" s="154" t="n"/>
      <c r="AT732" s="154" t="n"/>
      <c r="AU732" s="154" t="n"/>
      <c r="AV732" s="154" t="n"/>
      <c r="AW732" s="154" t="n"/>
      <c r="AX732" s="154" t="n"/>
      <c r="AY732" s="154" t="n"/>
      <c r="AZ732" s="154" t="n"/>
      <c r="BA732" s="154" t="n"/>
      <c r="BB732" s="154" t="n"/>
      <c r="BC732" s="154" t="n"/>
      <c r="BD732" s="154" t="n"/>
      <c r="BE732" s="154" t="n"/>
      <c r="BF732" s="154" t="n"/>
      <c r="BG732" s="154" t="n"/>
      <c r="BH732" s="154" t="n"/>
    </row>
    <row r="733" ht="15.75" customHeight="1" s="251">
      <c r="A733" s="153" t="n"/>
      <c r="B733" s="154" t="n"/>
      <c r="C733" s="154" t="n"/>
      <c r="D733" s="154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  <c r="AA733" s="154" t="n"/>
      <c r="AB733" s="154" t="n"/>
      <c r="AC733" s="154" t="n"/>
      <c r="AD733" s="154" t="n"/>
      <c r="AE733" s="154" t="n"/>
      <c r="AF733" s="154" t="n"/>
      <c r="AG733" s="154" t="n"/>
      <c r="AH733" s="154" t="n"/>
      <c r="AI733" s="154" t="n"/>
      <c r="AJ733" s="154" t="n"/>
      <c r="AK733" s="154" t="n"/>
      <c r="AL733" s="154" t="n"/>
      <c r="AM733" s="154" t="n"/>
      <c r="AN733" s="154" t="n"/>
      <c r="AO733" s="154" t="n"/>
      <c r="AP733" s="154" t="n"/>
      <c r="AQ733" s="154" t="n"/>
      <c r="AR733" s="154" t="n"/>
      <c r="AS733" s="154" t="n"/>
      <c r="AT733" s="154" t="n"/>
      <c r="AU733" s="154" t="n"/>
      <c r="AV733" s="154" t="n"/>
      <c r="AW733" s="154" t="n"/>
      <c r="AX733" s="154" t="n"/>
      <c r="AY733" s="154" t="n"/>
      <c r="AZ733" s="154" t="n"/>
      <c r="BA733" s="154" t="n"/>
      <c r="BB733" s="154" t="n"/>
      <c r="BC733" s="154" t="n"/>
      <c r="BD733" s="154" t="n"/>
      <c r="BE733" s="154" t="n"/>
      <c r="BF733" s="154" t="n"/>
      <c r="BG733" s="154" t="n"/>
      <c r="BH733" s="154" t="n"/>
    </row>
    <row r="734" ht="15.75" customHeight="1" s="251">
      <c r="A734" s="153" t="n"/>
      <c r="B734" s="154" t="n"/>
      <c r="C734" s="154" t="n"/>
      <c r="D734" s="154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  <c r="AA734" s="154" t="n"/>
      <c r="AB734" s="154" t="n"/>
      <c r="AC734" s="154" t="n"/>
      <c r="AD734" s="154" t="n"/>
      <c r="AE734" s="154" t="n"/>
      <c r="AF734" s="154" t="n"/>
      <c r="AG734" s="154" t="n"/>
      <c r="AH734" s="154" t="n"/>
      <c r="AI734" s="154" t="n"/>
      <c r="AJ734" s="154" t="n"/>
      <c r="AK734" s="154" t="n"/>
      <c r="AL734" s="154" t="n"/>
      <c r="AM734" s="154" t="n"/>
      <c r="AN734" s="154" t="n"/>
      <c r="AO734" s="154" t="n"/>
      <c r="AP734" s="154" t="n"/>
      <c r="AQ734" s="154" t="n"/>
      <c r="AR734" s="154" t="n"/>
      <c r="AS734" s="154" t="n"/>
      <c r="AT734" s="154" t="n"/>
      <c r="AU734" s="154" t="n"/>
      <c r="AV734" s="154" t="n"/>
      <c r="AW734" s="154" t="n"/>
      <c r="AX734" s="154" t="n"/>
      <c r="AY734" s="154" t="n"/>
      <c r="AZ734" s="154" t="n"/>
      <c r="BA734" s="154" t="n"/>
      <c r="BB734" s="154" t="n"/>
      <c r="BC734" s="154" t="n"/>
      <c r="BD734" s="154" t="n"/>
      <c r="BE734" s="154" t="n"/>
      <c r="BF734" s="154" t="n"/>
      <c r="BG734" s="154" t="n"/>
      <c r="BH734" s="154" t="n"/>
    </row>
    <row r="735" ht="15.75" customHeight="1" s="251">
      <c r="A735" s="153" t="n"/>
      <c r="B735" s="154" t="n"/>
      <c r="C735" s="154" t="n"/>
      <c r="D735" s="154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  <c r="AA735" s="154" t="n"/>
      <c r="AB735" s="154" t="n"/>
      <c r="AC735" s="154" t="n"/>
      <c r="AD735" s="154" t="n"/>
      <c r="AE735" s="154" t="n"/>
      <c r="AF735" s="154" t="n"/>
      <c r="AG735" s="154" t="n"/>
      <c r="AH735" s="154" t="n"/>
      <c r="AI735" s="154" t="n"/>
      <c r="AJ735" s="154" t="n"/>
      <c r="AK735" s="154" t="n"/>
      <c r="AL735" s="154" t="n"/>
      <c r="AM735" s="154" t="n"/>
      <c r="AN735" s="154" t="n"/>
      <c r="AO735" s="154" t="n"/>
      <c r="AP735" s="154" t="n"/>
      <c r="AQ735" s="154" t="n"/>
      <c r="AR735" s="154" t="n"/>
      <c r="AS735" s="154" t="n"/>
      <c r="AT735" s="154" t="n"/>
      <c r="AU735" s="154" t="n"/>
      <c r="AV735" s="154" t="n"/>
      <c r="AW735" s="154" t="n"/>
      <c r="AX735" s="154" t="n"/>
      <c r="AY735" s="154" t="n"/>
      <c r="AZ735" s="154" t="n"/>
      <c r="BA735" s="154" t="n"/>
      <c r="BB735" s="154" t="n"/>
      <c r="BC735" s="154" t="n"/>
      <c r="BD735" s="154" t="n"/>
      <c r="BE735" s="154" t="n"/>
      <c r="BF735" s="154" t="n"/>
      <c r="BG735" s="154" t="n"/>
      <c r="BH735" s="154" t="n"/>
    </row>
    <row r="736" ht="15.75" customHeight="1" s="251">
      <c r="A736" s="153" t="n"/>
      <c r="B736" s="154" t="n"/>
      <c r="C736" s="154" t="n"/>
      <c r="D736" s="154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  <c r="AA736" s="154" t="n"/>
      <c r="AB736" s="154" t="n"/>
      <c r="AC736" s="154" t="n"/>
      <c r="AD736" s="154" t="n"/>
      <c r="AE736" s="154" t="n"/>
      <c r="AF736" s="154" t="n"/>
      <c r="AG736" s="154" t="n"/>
      <c r="AH736" s="154" t="n"/>
      <c r="AI736" s="154" t="n"/>
      <c r="AJ736" s="154" t="n"/>
      <c r="AK736" s="154" t="n"/>
      <c r="AL736" s="154" t="n"/>
      <c r="AM736" s="154" t="n"/>
      <c r="AN736" s="154" t="n"/>
      <c r="AO736" s="154" t="n"/>
      <c r="AP736" s="154" t="n"/>
      <c r="AQ736" s="154" t="n"/>
      <c r="AR736" s="154" t="n"/>
      <c r="AS736" s="154" t="n"/>
      <c r="AT736" s="154" t="n"/>
      <c r="AU736" s="154" t="n"/>
      <c r="AV736" s="154" t="n"/>
      <c r="AW736" s="154" t="n"/>
      <c r="AX736" s="154" t="n"/>
      <c r="AY736" s="154" t="n"/>
      <c r="AZ736" s="154" t="n"/>
      <c r="BA736" s="154" t="n"/>
      <c r="BB736" s="154" t="n"/>
      <c r="BC736" s="154" t="n"/>
      <c r="BD736" s="154" t="n"/>
      <c r="BE736" s="154" t="n"/>
      <c r="BF736" s="154" t="n"/>
      <c r="BG736" s="154" t="n"/>
      <c r="BH736" s="154" t="n"/>
    </row>
    <row r="737" ht="15.75" customHeight="1" s="251">
      <c r="A737" s="153" t="n"/>
      <c r="B737" s="154" t="n"/>
      <c r="C737" s="154" t="n"/>
      <c r="D737" s="154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  <c r="AA737" s="154" t="n"/>
      <c r="AB737" s="154" t="n"/>
      <c r="AC737" s="154" t="n"/>
      <c r="AD737" s="154" t="n"/>
      <c r="AE737" s="154" t="n"/>
      <c r="AF737" s="154" t="n"/>
      <c r="AG737" s="154" t="n"/>
      <c r="AH737" s="154" t="n"/>
      <c r="AI737" s="154" t="n"/>
      <c r="AJ737" s="154" t="n"/>
      <c r="AK737" s="154" t="n"/>
      <c r="AL737" s="154" t="n"/>
      <c r="AM737" s="154" t="n"/>
      <c r="AN737" s="154" t="n"/>
      <c r="AO737" s="154" t="n"/>
      <c r="AP737" s="154" t="n"/>
      <c r="AQ737" s="154" t="n"/>
      <c r="AR737" s="154" t="n"/>
      <c r="AS737" s="154" t="n"/>
      <c r="AT737" s="154" t="n"/>
      <c r="AU737" s="154" t="n"/>
      <c r="AV737" s="154" t="n"/>
      <c r="AW737" s="154" t="n"/>
      <c r="AX737" s="154" t="n"/>
      <c r="AY737" s="154" t="n"/>
      <c r="AZ737" s="154" t="n"/>
      <c r="BA737" s="154" t="n"/>
      <c r="BB737" s="154" t="n"/>
      <c r="BC737" s="154" t="n"/>
      <c r="BD737" s="154" t="n"/>
      <c r="BE737" s="154" t="n"/>
      <c r="BF737" s="154" t="n"/>
      <c r="BG737" s="154" t="n"/>
      <c r="BH737" s="154" t="n"/>
    </row>
    <row r="738" ht="15.75" customHeight="1" s="251">
      <c r="A738" s="153" t="n"/>
      <c r="B738" s="154" t="n"/>
      <c r="C738" s="154" t="n"/>
      <c r="D738" s="154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  <c r="AA738" s="154" t="n"/>
      <c r="AB738" s="154" t="n"/>
      <c r="AC738" s="154" t="n"/>
      <c r="AD738" s="154" t="n"/>
      <c r="AE738" s="154" t="n"/>
      <c r="AF738" s="154" t="n"/>
      <c r="AG738" s="154" t="n"/>
      <c r="AH738" s="154" t="n"/>
      <c r="AI738" s="154" t="n"/>
      <c r="AJ738" s="154" t="n"/>
      <c r="AK738" s="154" t="n"/>
      <c r="AL738" s="154" t="n"/>
      <c r="AM738" s="154" t="n"/>
      <c r="AN738" s="154" t="n"/>
      <c r="AO738" s="154" t="n"/>
      <c r="AP738" s="154" t="n"/>
      <c r="AQ738" s="154" t="n"/>
      <c r="AR738" s="154" t="n"/>
      <c r="AS738" s="154" t="n"/>
      <c r="AT738" s="154" t="n"/>
      <c r="AU738" s="154" t="n"/>
      <c r="AV738" s="154" t="n"/>
      <c r="AW738" s="154" t="n"/>
      <c r="AX738" s="154" t="n"/>
      <c r="AY738" s="154" t="n"/>
      <c r="AZ738" s="154" t="n"/>
      <c r="BA738" s="154" t="n"/>
      <c r="BB738" s="154" t="n"/>
      <c r="BC738" s="154" t="n"/>
      <c r="BD738" s="154" t="n"/>
      <c r="BE738" s="154" t="n"/>
      <c r="BF738" s="154" t="n"/>
      <c r="BG738" s="154" t="n"/>
      <c r="BH738" s="154" t="n"/>
    </row>
    <row r="739" ht="15.75" customHeight="1" s="251">
      <c r="A739" s="153" t="n"/>
      <c r="B739" s="154" t="n"/>
      <c r="C739" s="154" t="n"/>
      <c r="D739" s="154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  <c r="AA739" s="154" t="n"/>
      <c r="AB739" s="154" t="n"/>
      <c r="AC739" s="154" t="n"/>
      <c r="AD739" s="154" t="n"/>
      <c r="AE739" s="154" t="n"/>
      <c r="AF739" s="154" t="n"/>
      <c r="AG739" s="154" t="n"/>
      <c r="AH739" s="154" t="n"/>
      <c r="AI739" s="154" t="n"/>
      <c r="AJ739" s="154" t="n"/>
      <c r="AK739" s="154" t="n"/>
      <c r="AL739" s="154" t="n"/>
      <c r="AM739" s="154" t="n"/>
      <c r="AN739" s="154" t="n"/>
      <c r="AO739" s="154" t="n"/>
      <c r="AP739" s="154" t="n"/>
      <c r="AQ739" s="154" t="n"/>
      <c r="AR739" s="154" t="n"/>
      <c r="AS739" s="154" t="n"/>
      <c r="AT739" s="154" t="n"/>
      <c r="AU739" s="154" t="n"/>
      <c r="AV739" s="154" t="n"/>
      <c r="AW739" s="154" t="n"/>
      <c r="AX739" s="154" t="n"/>
      <c r="AY739" s="154" t="n"/>
      <c r="AZ739" s="154" t="n"/>
      <c r="BA739" s="154" t="n"/>
      <c r="BB739" s="154" t="n"/>
      <c r="BC739" s="154" t="n"/>
      <c r="BD739" s="154" t="n"/>
      <c r="BE739" s="154" t="n"/>
      <c r="BF739" s="154" t="n"/>
      <c r="BG739" s="154" t="n"/>
      <c r="BH739" s="154" t="n"/>
    </row>
    <row r="740" ht="15.75" customHeight="1" s="251">
      <c r="A740" s="153" t="n"/>
      <c r="B740" s="154" t="n"/>
      <c r="C740" s="154" t="n"/>
      <c r="D740" s="154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  <c r="AA740" s="154" t="n"/>
      <c r="AB740" s="154" t="n"/>
      <c r="AC740" s="154" t="n"/>
      <c r="AD740" s="154" t="n"/>
      <c r="AE740" s="154" t="n"/>
      <c r="AF740" s="154" t="n"/>
      <c r="AG740" s="154" t="n"/>
      <c r="AH740" s="154" t="n"/>
      <c r="AI740" s="154" t="n"/>
      <c r="AJ740" s="154" t="n"/>
      <c r="AK740" s="154" t="n"/>
      <c r="AL740" s="154" t="n"/>
      <c r="AM740" s="154" t="n"/>
      <c r="AN740" s="154" t="n"/>
      <c r="AO740" s="154" t="n"/>
      <c r="AP740" s="154" t="n"/>
      <c r="AQ740" s="154" t="n"/>
      <c r="AR740" s="154" t="n"/>
      <c r="AS740" s="154" t="n"/>
      <c r="AT740" s="154" t="n"/>
      <c r="AU740" s="154" t="n"/>
      <c r="AV740" s="154" t="n"/>
      <c r="AW740" s="154" t="n"/>
      <c r="AX740" s="154" t="n"/>
      <c r="AY740" s="154" t="n"/>
      <c r="AZ740" s="154" t="n"/>
      <c r="BA740" s="154" t="n"/>
      <c r="BB740" s="154" t="n"/>
      <c r="BC740" s="154" t="n"/>
      <c r="BD740" s="154" t="n"/>
      <c r="BE740" s="154" t="n"/>
      <c r="BF740" s="154" t="n"/>
      <c r="BG740" s="154" t="n"/>
      <c r="BH740" s="154" t="n"/>
    </row>
    <row r="741" ht="15.75" customHeight="1" s="251">
      <c r="A741" s="153" t="n"/>
      <c r="B741" s="154" t="n"/>
      <c r="C741" s="154" t="n"/>
      <c r="D741" s="154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  <c r="AA741" s="154" t="n"/>
      <c r="AB741" s="154" t="n"/>
      <c r="AC741" s="154" t="n"/>
      <c r="AD741" s="154" t="n"/>
      <c r="AE741" s="154" t="n"/>
      <c r="AF741" s="154" t="n"/>
      <c r="AG741" s="154" t="n"/>
      <c r="AH741" s="154" t="n"/>
      <c r="AI741" s="154" t="n"/>
      <c r="AJ741" s="154" t="n"/>
      <c r="AK741" s="154" t="n"/>
      <c r="AL741" s="154" t="n"/>
      <c r="AM741" s="154" t="n"/>
      <c r="AN741" s="154" t="n"/>
      <c r="AO741" s="154" t="n"/>
      <c r="AP741" s="154" t="n"/>
      <c r="AQ741" s="154" t="n"/>
      <c r="AR741" s="154" t="n"/>
      <c r="AS741" s="154" t="n"/>
      <c r="AT741" s="154" t="n"/>
      <c r="AU741" s="154" t="n"/>
      <c r="AV741" s="154" t="n"/>
      <c r="AW741" s="154" t="n"/>
      <c r="AX741" s="154" t="n"/>
      <c r="AY741" s="154" t="n"/>
      <c r="AZ741" s="154" t="n"/>
      <c r="BA741" s="154" t="n"/>
      <c r="BB741" s="154" t="n"/>
      <c r="BC741" s="154" t="n"/>
      <c r="BD741" s="154" t="n"/>
      <c r="BE741" s="154" t="n"/>
      <c r="BF741" s="154" t="n"/>
      <c r="BG741" s="154" t="n"/>
      <c r="BH741" s="154" t="n"/>
    </row>
    <row r="742" ht="15.75" customHeight="1" s="251">
      <c r="A742" s="153" t="n"/>
      <c r="B742" s="154" t="n"/>
      <c r="C742" s="154" t="n"/>
      <c r="D742" s="154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  <c r="AA742" s="154" t="n"/>
      <c r="AB742" s="154" t="n"/>
      <c r="AC742" s="154" t="n"/>
      <c r="AD742" s="154" t="n"/>
      <c r="AE742" s="154" t="n"/>
      <c r="AF742" s="154" t="n"/>
      <c r="AG742" s="154" t="n"/>
      <c r="AH742" s="154" t="n"/>
      <c r="AI742" s="154" t="n"/>
      <c r="AJ742" s="154" t="n"/>
      <c r="AK742" s="154" t="n"/>
      <c r="AL742" s="154" t="n"/>
      <c r="AM742" s="154" t="n"/>
      <c r="AN742" s="154" t="n"/>
      <c r="AO742" s="154" t="n"/>
      <c r="AP742" s="154" t="n"/>
      <c r="AQ742" s="154" t="n"/>
      <c r="AR742" s="154" t="n"/>
      <c r="AS742" s="154" t="n"/>
      <c r="AT742" s="154" t="n"/>
      <c r="AU742" s="154" t="n"/>
      <c r="AV742" s="154" t="n"/>
      <c r="AW742" s="154" t="n"/>
      <c r="AX742" s="154" t="n"/>
      <c r="AY742" s="154" t="n"/>
      <c r="AZ742" s="154" t="n"/>
      <c r="BA742" s="154" t="n"/>
      <c r="BB742" s="154" t="n"/>
      <c r="BC742" s="154" t="n"/>
      <c r="BD742" s="154" t="n"/>
      <c r="BE742" s="154" t="n"/>
      <c r="BF742" s="154" t="n"/>
      <c r="BG742" s="154" t="n"/>
      <c r="BH742" s="154" t="n"/>
    </row>
    <row r="743" ht="15.75" customHeight="1" s="251">
      <c r="A743" s="153" t="n"/>
      <c r="B743" s="154" t="n"/>
      <c r="C743" s="154" t="n"/>
      <c r="D743" s="154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  <c r="AA743" s="154" t="n"/>
      <c r="AB743" s="154" t="n"/>
      <c r="AC743" s="154" t="n"/>
      <c r="AD743" s="154" t="n"/>
      <c r="AE743" s="154" t="n"/>
      <c r="AF743" s="154" t="n"/>
      <c r="AG743" s="154" t="n"/>
      <c r="AH743" s="154" t="n"/>
      <c r="AI743" s="154" t="n"/>
      <c r="AJ743" s="154" t="n"/>
      <c r="AK743" s="154" t="n"/>
      <c r="AL743" s="154" t="n"/>
      <c r="AM743" s="154" t="n"/>
      <c r="AN743" s="154" t="n"/>
      <c r="AO743" s="154" t="n"/>
      <c r="AP743" s="154" t="n"/>
      <c r="AQ743" s="154" t="n"/>
      <c r="AR743" s="154" t="n"/>
      <c r="AS743" s="154" t="n"/>
      <c r="AT743" s="154" t="n"/>
      <c r="AU743" s="154" t="n"/>
      <c r="AV743" s="154" t="n"/>
      <c r="AW743" s="154" t="n"/>
      <c r="AX743" s="154" t="n"/>
      <c r="AY743" s="154" t="n"/>
      <c r="AZ743" s="154" t="n"/>
      <c r="BA743" s="154" t="n"/>
      <c r="BB743" s="154" t="n"/>
      <c r="BC743" s="154" t="n"/>
      <c r="BD743" s="154" t="n"/>
      <c r="BE743" s="154" t="n"/>
      <c r="BF743" s="154" t="n"/>
      <c r="BG743" s="154" t="n"/>
      <c r="BH743" s="154" t="n"/>
    </row>
    <row r="744" ht="15.75" customHeight="1" s="251">
      <c r="A744" s="153" t="n"/>
      <c r="B744" s="154" t="n"/>
      <c r="C744" s="154" t="n"/>
      <c r="D744" s="154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  <c r="AA744" s="154" t="n"/>
      <c r="AB744" s="154" t="n"/>
      <c r="AC744" s="154" t="n"/>
      <c r="AD744" s="154" t="n"/>
      <c r="AE744" s="154" t="n"/>
      <c r="AF744" s="154" t="n"/>
      <c r="AG744" s="154" t="n"/>
      <c r="AH744" s="154" t="n"/>
      <c r="AI744" s="154" t="n"/>
      <c r="AJ744" s="154" t="n"/>
      <c r="AK744" s="154" t="n"/>
      <c r="AL744" s="154" t="n"/>
      <c r="AM744" s="154" t="n"/>
      <c r="AN744" s="154" t="n"/>
      <c r="AO744" s="154" t="n"/>
      <c r="AP744" s="154" t="n"/>
      <c r="AQ744" s="154" t="n"/>
      <c r="AR744" s="154" t="n"/>
      <c r="AS744" s="154" t="n"/>
      <c r="AT744" s="154" t="n"/>
      <c r="AU744" s="154" t="n"/>
      <c r="AV744" s="154" t="n"/>
      <c r="AW744" s="154" t="n"/>
      <c r="AX744" s="154" t="n"/>
      <c r="AY744" s="154" t="n"/>
      <c r="AZ744" s="154" t="n"/>
      <c r="BA744" s="154" t="n"/>
      <c r="BB744" s="154" t="n"/>
      <c r="BC744" s="154" t="n"/>
      <c r="BD744" s="154" t="n"/>
      <c r="BE744" s="154" t="n"/>
      <c r="BF744" s="154" t="n"/>
      <c r="BG744" s="154" t="n"/>
      <c r="BH744" s="154" t="n"/>
    </row>
    <row r="745" ht="15.75" customHeight="1" s="251">
      <c r="A745" s="153" t="n"/>
      <c r="B745" s="154" t="n"/>
      <c r="C745" s="154" t="n"/>
      <c r="D745" s="154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  <c r="AA745" s="154" t="n"/>
      <c r="AB745" s="154" t="n"/>
      <c r="AC745" s="154" t="n"/>
      <c r="AD745" s="154" t="n"/>
      <c r="AE745" s="154" t="n"/>
      <c r="AF745" s="154" t="n"/>
      <c r="AG745" s="154" t="n"/>
      <c r="AH745" s="154" t="n"/>
      <c r="AI745" s="154" t="n"/>
      <c r="AJ745" s="154" t="n"/>
      <c r="AK745" s="154" t="n"/>
      <c r="AL745" s="154" t="n"/>
      <c r="AM745" s="154" t="n"/>
      <c r="AN745" s="154" t="n"/>
      <c r="AO745" s="154" t="n"/>
      <c r="AP745" s="154" t="n"/>
      <c r="AQ745" s="154" t="n"/>
      <c r="AR745" s="154" t="n"/>
      <c r="AS745" s="154" t="n"/>
      <c r="AT745" s="154" t="n"/>
      <c r="AU745" s="154" t="n"/>
      <c r="AV745" s="154" t="n"/>
      <c r="AW745" s="154" t="n"/>
      <c r="AX745" s="154" t="n"/>
      <c r="AY745" s="154" t="n"/>
      <c r="AZ745" s="154" t="n"/>
      <c r="BA745" s="154" t="n"/>
      <c r="BB745" s="154" t="n"/>
      <c r="BC745" s="154" t="n"/>
      <c r="BD745" s="154" t="n"/>
      <c r="BE745" s="154" t="n"/>
      <c r="BF745" s="154" t="n"/>
      <c r="BG745" s="154" t="n"/>
      <c r="BH745" s="154" t="n"/>
    </row>
    <row r="746" ht="15.75" customHeight="1" s="251">
      <c r="A746" s="153" t="n"/>
      <c r="B746" s="154" t="n"/>
      <c r="C746" s="154" t="n"/>
      <c r="D746" s="154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  <c r="AA746" s="154" t="n"/>
      <c r="AB746" s="154" t="n"/>
      <c r="AC746" s="154" t="n"/>
      <c r="AD746" s="154" t="n"/>
      <c r="AE746" s="154" t="n"/>
      <c r="AF746" s="154" t="n"/>
      <c r="AG746" s="154" t="n"/>
      <c r="AH746" s="154" t="n"/>
      <c r="AI746" s="154" t="n"/>
      <c r="AJ746" s="154" t="n"/>
      <c r="AK746" s="154" t="n"/>
      <c r="AL746" s="154" t="n"/>
      <c r="AM746" s="154" t="n"/>
      <c r="AN746" s="154" t="n"/>
      <c r="AO746" s="154" t="n"/>
      <c r="AP746" s="154" t="n"/>
      <c r="AQ746" s="154" t="n"/>
      <c r="AR746" s="154" t="n"/>
      <c r="AS746" s="154" t="n"/>
      <c r="AT746" s="154" t="n"/>
      <c r="AU746" s="154" t="n"/>
      <c r="AV746" s="154" t="n"/>
      <c r="AW746" s="154" t="n"/>
      <c r="AX746" s="154" t="n"/>
      <c r="AY746" s="154" t="n"/>
      <c r="AZ746" s="154" t="n"/>
      <c r="BA746" s="154" t="n"/>
      <c r="BB746" s="154" t="n"/>
      <c r="BC746" s="154" t="n"/>
      <c r="BD746" s="154" t="n"/>
      <c r="BE746" s="154" t="n"/>
      <c r="BF746" s="154" t="n"/>
      <c r="BG746" s="154" t="n"/>
      <c r="BH746" s="154" t="n"/>
    </row>
    <row r="747" ht="15.75" customHeight="1" s="251">
      <c r="A747" s="153" t="n"/>
      <c r="B747" s="154" t="n"/>
      <c r="C747" s="154" t="n"/>
      <c r="D747" s="154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  <c r="AA747" s="154" t="n"/>
      <c r="AB747" s="154" t="n"/>
      <c r="AC747" s="154" t="n"/>
      <c r="AD747" s="154" t="n"/>
      <c r="AE747" s="154" t="n"/>
      <c r="AF747" s="154" t="n"/>
      <c r="AG747" s="154" t="n"/>
      <c r="AH747" s="154" t="n"/>
      <c r="AI747" s="154" t="n"/>
      <c r="AJ747" s="154" t="n"/>
      <c r="AK747" s="154" t="n"/>
      <c r="AL747" s="154" t="n"/>
      <c r="AM747" s="154" t="n"/>
      <c r="AN747" s="154" t="n"/>
      <c r="AO747" s="154" t="n"/>
      <c r="AP747" s="154" t="n"/>
      <c r="AQ747" s="154" t="n"/>
      <c r="AR747" s="154" t="n"/>
      <c r="AS747" s="154" t="n"/>
      <c r="AT747" s="154" t="n"/>
      <c r="AU747" s="154" t="n"/>
      <c r="AV747" s="154" t="n"/>
      <c r="AW747" s="154" t="n"/>
      <c r="AX747" s="154" t="n"/>
      <c r="AY747" s="154" t="n"/>
      <c r="AZ747" s="154" t="n"/>
      <c r="BA747" s="154" t="n"/>
      <c r="BB747" s="154" t="n"/>
      <c r="BC747" s="154" t="n"/>
      <c r="BD747" s="154" t="n"/>
      <c r="BE747" s="154" t="n"/>
      <c r="BF747" s="154" t="n"/>
      <c r="BG747" s="154" t="n"/>
      <c r="BH747" s="154" t="n"/>
    </row>
    <row r="748" ht="15.75" customHeight="1" s="251">
      <c r="A748" s="153" t="n"/>
      <c r="B748" s="154" t="n"/>
      <c r="C748" s="154" t="n"/>
      <c r="D748" s="154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  <c r="AA748" s="154" t="n"/>
      <c r="AB748" s="154" t="n"/>
      <c r="AC748" s="154" t="n"/>
      <c r="AD748" s="154" t="n"/>
      <c r="AE748" s="154" t="n"/>
      <c r="AF748" s="154" t="n"/>
      <c r="AG748" s="154" t="n"/>
      <c r="AH748" s="154" t="n"/>
      <c r="AI748" s="154" t="n"/>
      <c r="AJ748" s="154" t="n"/>
      <c r="AK748" s="154" t="n"/>
      <c r="AL748" s="154" t="n"/>
      <c r="AM748" s="154" t="n"/>
      <c r="AN748" s="154" t="n"/>
      <c r="AO748" s="154" t="n"/>
      <c r="AP748" s="154" t="n"/>
      <c r="AQ748" s="154" t="n"/>
      <c r="AR748" s="154" t="n"/>
      <c r="AS748" s="154" t="n"/>
      <c r="AT748" s="154" t="n"/>
      <c r="AU748" s="154" t="n"/>
      <c r="AV748" s="154" t="n"/>
      <c r="AW748" s="154" t="n"/>
      <c r="AX748" s="154" t="n"/>
      <c r="AY748" s="154" t="n"/>
      <c r="AZ748" s="154" t="n"/>
      <c r="BA748" s="154" t="n"/>
      <c r="BB748" s="154" t="n"/>
      <c r="BC748" s="154" t="n"/>
      <c r="BD748" s="154" t="n"/>
      <c r="BE748" s="154" t="n"/>
      <c r="BF748" s="154" t="n"/>
      <c r="BG748" s="154" t="n"/>
      <c r="BH748" s="154" t="n"/>
    </row>
    <row r="749" ht="15.75" customHeight="1" s="251">
      <c r="A749" s="153" t="n"/>
      <c r="B749" s="154" t="n"/>
      <c r="C749" s="154" t="n"/>
      <c r="D749" s="154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  <c r="AA749" s="154" t="n"/>
      <c r="AB749" s="154" t="n"/>
      <c r="AC749" s="154" t="n"/>
      <c r="AD749" s="154" t="n"/>
      <c r="AE749" s="154" t="n"/>
      <c r="AF749" s="154" t="n"/>
      <c r="AG749" s="154" t="n"/>
      <c r="AH749" s="154" t="n"/>
      <c r="AI749" s="154" t="n"/>
      <c r="AJ749" s="154" t="n"/>
      <c r="AK749" s="154" t="n"/>
      <c r="AL749" s="154" t="n"/>
      <c r="AM749" s="154" t="n"/>
      <c r="AN749" s="154" t="n"/>
      <c r="AO749" s="154" t="n"/>
      <c r="AP749" s="154" t="n"/>
      <c r="AQ749" s="154" t="n"/>
      <c r="AR749" s="154" t="n"/>
      <c r="AS749" s="154" t="n"/>
      <c r="AT749" s="154" t="n"/>
      <c r="AU749" s="154" t="n"/>
      <c r="AV749" s="154" t="n"/>
      <c r="AW749" s="154" t="n"/>
      <c r="AX749" s="154" t="n"/>
      <c r="AY749" s="154" t="n"/>
      <c r="AZ749" s="154" t="n"/>
      <c r="BA749" s="154" t="n"/>
      <c r="BB749" s="154" t="n"/>
      <c r="BC749" s="154" t="n"/>
      <c r="BD749" s="154" t="n"/>
      <c r="BE749" s="154" t="n"/>
      <c r="BF749" s="154" t="n"/>
      <c r="BG749" s="154" t="n"/>
      <c r="BH749" s="154" t="n"/>
    </row>
    <row r="750" ht="15.75" customHeight="1" s="251">
      <c r="A750" s="153" t="n"/>
      <c r="B750" s="154" t="n"/>
      <c r="C750" s="154" t="n"/>
      <c r="D750" s="154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  <c r="AA750" s="154" t="n"/>
      <c r="AB750" s="154" t="n"/>
      <c r="AC750" s="154" t="n"/>
      <c r="AD750" s="154" t="n"/>
      <c r="AE750" s="154" t="n"/>
      <c r="AF750" s="154" t="n"/>
      <c r="AG750" s="154" t="n"/>
      <c r="AH750" s="154" t="n"/>
      <c r="AI750" s="154" t="n"/>
      <c r="AJ750" s="154" t="n"/>
      <c r="AK750" s="154" t="n"/>
      <c r="AL750" s="154" t="n"/>
      <c r="AM750" s="154" t="n"/>
      <c r="AN750" s="154" t="n"/>
      <c r="AO750" s="154" t="n"/>
      <c r="AP750" s="154" t="n"/>
      <c r="AQ750" s="154" t="n"/>
      <c r="AR750" s="154" t="n"/>
      <c r="AS750" s="154" t="n"/>
      <c r="AT750" s="154" t="n"/>
      <c r="AU750" s="154" t="n"/>
      <c r="AV750" s="154" t="n"/>
      <c r="AW750" s="154" t="n"/>
      <c r="AX750" s="154" t="n"/>
      <c r="AY750" s="154" t="n"/>
      <c r="AZ750" s="154" t="n"/>
      <c r="BA750" s="154" t="n"/>
      <c r="BB750" s="154" t="n"/>
      <c r="BC750" s="154" t="n"/>
      <c r="BD750" s="154" t="n"/>
      <c r="BE750" s="154" t="n"/>
      <c r="BF750" s="154" t="n"/>
      <c r="BG750" s="154" t="n"/>
      <c r="BH750" s="154" t="n"/>
    </row>
    <row r="751" ht="15.75" customHeight="1" s="251">
      <c r="A751" s="153" t="n"/>
      <c r="B751" s="154" t="n"/>
      <c r="C751" s="154" t="n"/>
      <c r="D751" s="154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  <c r="AA751" s="154" t="n"/>
      <c r="AB751" s="154" t="n"/>
      <c r="AC751" s="154" t="n"/>
      <c r="AD751" s="154" t="n"/>
      <c r="AE751" s="154" t="n"/>
      <c r="AF751" s="154" t="n"/>
      <c r="AG751" s="154" t="n"/>
      <c r="AH751" s="154" t="n"/>
      <c r="AI751" s="154" t="n"/>
      <c r="AJ751" s="154" t="n"/>
      <c r="AK751" s="154" t="n"/>
      <c r="AL751" s="154" t="n"/>
      <c r="AM751" s="154" t="n"/>
      <c r="AN751" s="154" t="n"/>
      <c r="AO751" s="154" t="n"/>
      <c r="AP751" s="154" t="n"/>
      <c r="AQ751" s="154" t="n"/>
      <c r="AR751" s="154" t="n"/>
      <c r="AS751" s="154" t="n"/>
      <c r="AT751" s="154" t="n"/>
      <c r="AU751" s="154" t="n"/>
      <c r="AV751" s="154" t="n"/>
      <c r="AW751" s="154" t="n"/>
      <c r="AX751" s="154" t="n"/>
      <c r="AY751" s="154" t="n"/>
      <c r="AZ751" s="154" t="n"/>
      <c r="BA751" s="154" t="n"/>
      <c r="BB751" s="154" t="n"/>
      <c r="BC751" s="154" t="n"/>
      <c r="BD751" s="154" t="n"/>
      <c r="BE751" s="154" t="n"/>
      <c r="BF751" s="154" t="n"/>
      <c r="BG751" s="154" t="n"/>
      <c r="BH751" s="154" t="n"/>
    </row>
    <row r="752" ht="15.75" customHeight="1" s="251">
      <c r="A752" s="153" t="n"/>
      <c r="B752" s="154" t="n"/>
      <c r="C752" s="154" t="n"/>
      <c r="D752" s="154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  <c r="AA752" s="154" t="n"/>
      <c r="AB752" s="154" t="n"/>
      <c r="AC752" s="154" t="n"/>
      <c r="AD752" s="154" t="n"/>
      <c r="AE752" s="154" t="n"/>
      <c r="AF752" s="154" t="n"/>
      <c r="AG752" s="154" t="n"/>
      <c r="AH752" s="154" t="n"/>
      <c r="AI752" s="154" t="n"/>
      <c r="AJ752" s="154" t="n"/>
      <c r="AK752" s="154" t="n"/>
      <c r="AL752" s="154" t="n"/>
      <c r="AM752" s="154" t="n"/>
      <c r="AN752" s="154" t="n"/>
      <c r="AO752" s="154" t="n"/>
      <c r="AP752" s="154" t="n"/>
      <c r="AQ752" s="154" t="n"/>
      <c r="AR752" s="154" t="n"/>
      <c r="AS752" s="154" t="n"/>
      <c r="AT752" s="154" t="n"/>
      <c r="AU752" s="154" t="n"/>
      <c r="AV752" s="154" t="n"/>
      <c r="AW752" s="154" t="n"/>
      <c r="AX752" s="154" t="n"/>
      <c r="AY752" s="154" t="n"/>
      <c r="AZ752" s="154" t="n"/>
      <c r="BA752" s="154" t="n"/>
      <c r="BB752" s="154" t="n"/>
      <c r="BC752" s="154" t="n"/>
      <c r="BD752" s="154" t="n"/>
      <c r="BE752" s="154" t="n"/>
      <c r="BF752" s="154" t="n"/>
      <c r="BG752" s="154" t="n"/>
      <c r="BH752" s="154" t="n"/>
    </row>
    <row r="753" ht="15.75" customHeight="1" s="251">
      <c r="A753" s="153" t="n"/>
      <c r="B753" s="154" t="n"/>
      <c r="C753" s="154" t="n"/>
      <c r="D753" s="154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  <c r="AA753" s="154" t="n"/>
      <c r="AB753" s="154" t="n"/>
      <c r="AC753" s="154" t="n"/>
      <c r="AD753" s="154" t="n"/>
      <c r="AE753" s="154" t="n"/>
      <c r="AF753" s="154" t="n"/>
      <c r="AG753" s="154" t="n"/>
      <c r="AH753" s="154" t="n"/>
      <c r="AI753" s="154" t="n"/>
      <c r="AJ753" s="154" t="n"/>
      <c r="AK753" s="154" t="n"/>
      <c r="AL753" s="154" t="n"/>
      <c r="AM753" s="154" t="n"/>
      <c r="AN753" s="154" t="n"/>
      <c r="AO753" s="154" t="n"/>
      <c r="AP753" s="154" t="n"/>
      <c r="AQ753" s="154" t="n"/>
      <c r="AR753" s="154" t="n"/>
      <c r="AS753" s="154" t="n"/>
      <c r="AT753" s="154" t="n"/>
      <c r="AU753" s="154" t="n"/>
      <c r="AV753" s="154" t="n"/>
      <c r="AW753" s="154" t="n"/>
      <c r="AX753" s="154" t="n"/>
      <c r="AY753" s="154" t="n"/>
      <c r="AZ753" s="154" t="n"/>
      <c r="BA753" s="154" t="n"/>
      <c r="BB753" s="154" t="n"/>
      <c r="BC753" s="154" t="n"/>
      <c r="BD753" s="154" t="n"/>
      <c r="BE753" s="154" t="n"/>
      <c r="BF753" s="154" t="n"/>
      <c r="BG753" s="154" t="n"/>
      <c r="BH753" s="154" t="n"/>
    </row>
    <row r="754" ht="15.75" customHeight="1" s="251">
      <c r="A754" s="153" t="n"/>
      <c r="B754" s="154" t="n"/>
      <c r="C754" s="154" t="n"/>
      <c r="D754" s="154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  <c r="AA754" s="154" t="n"/>
      <c r="AB754" s="154" t="n"/>
      <c r="AC754" s="154" t="n"/>
      <c r="AD754" s="154" t="n"/>
      <c r="AE754" s="154" t="n"/>
      <c r="AF754" s="154" t="n"/>
      <c r="AG754" s="154" t="n"/>
      <c r="AH754" s="154" t="n"/>
      <c r="AI754" s="154" t="n"/>
      <c r="AJ754" s="154" t="n"/>
      <c r="AK754" s="154" t="n"/>
      <c r="AL754" s="154" t="n"/>
      <c r="AM754" s="154" t="n"/>
      <c r="AN754" s="154" t="n"/>
      <c r="AO754" s="154" t="n"/>
      <c r="AP754" s="154" t="n"/>
      <c r="AQ754" s="154" t="n"/>
      <c r="AR754" s="154" t="n"/>
      <c r="AS754" s="154" t="n"/>
      <c r="AT754" s="154" t="n"/>
      <c r="AU754" s="154" t="n"/>
      <c r="AV754" s="154" t="n"/>
      <c r="AW754" s="154" t="n"/>
      <c r="AX754" s="154" t="n"/>
      <c r="AY754" s="154" t="n"/>
      <c r="AZ754" s="154" t="n"/>
      <c r="BA754" s="154" t="n"/>
      <c r="BB754" s="154" t="n"/>
      <c r="BC754" s="154" t="n"/>
      <c r="BD754" s="154" t="n"/>
      <c r="BE754" s="154" t="n"/>
      <c r="BF754" s="154" t="n"/>
      <c r="BG754" s="154" t="n"/>
      <c r="BH754" s="154" t="n"/>
    </row>
    <row r="755" ht="15.75" customHeight="1" s="251">
      <c r="A755" s="153" t="n"/>
      <c r="B755" s="154" t="n"/>
      <c r="C755" s="154" t="n"/>
      <c r="D755" s="154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  <c r="AA755" s="154" t="n"/>
      <c r="AB755" s="154" t="n"/>
      <c r="AC755" s="154" t="n"/>
      <c r="AD755" s="154" t="n"/>
      <c r="AE755" s="154" t="n"/>
      <c r="AF755" s="154" t="n"/>
      <c r="AG755" s="154" t="n"/>
      <c r="AH755" s="154" t="n"/>
      <c r="AI755" s="154" t="n"/>
      <c r="AJ755" s="154" t="n"/>
      <c r="AK755" s="154" t="n"/>
      <c r="AL755" s="154" t="n"/>
      <c r="AM755" s="154" t="n"/>
      <c r="AN755" s="154" t="n"/>
      <c r="AO755" s="154" t="n"/>
      <c r="AP755" s="154" t="n"/>
      <c r="AQ755" s="154" t="n"/>
      <c r="AR755" s="154" t="n"/>
      <c r="AS755" s="154" t="n"/>
      <c r="AT755" s="154" t="n"/>
      <c r="AU755" s="154" t="n"/>
      <c r="AV755" s="154" t="n"/>
      <c r="AW755" s="154" t="n"/>
      <c r="AX755" s="154" t="n"/>
      <c r="AY755" s="154" t="n"/>
      <c r="AZ755" s="154" t="n"/>
      <c r="BA755" s="154" t="n"/>
      <c r="BB755" s="154" t="n"/>
      <c r="BC755" s="154" t="n"/>
      <c r="BD755" s="154" t="n"/>
      <c r="BE755" s="154" t="n"/>
      <c r="BF755" s="154" t="n"/>
      <c r="BG755" s="154" t="n"/>
      <c r="BH755" s="154" t="n"/>
    </row>
    <row r="756" ht="15.75" customHeight="1" s="251">
      <c r="A756" s="153" t="n"/>
      <c r="B756" s="154" t="n"/>
      <c r="C756" s="154" t="n"/>
      <c r="D756" s="154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  <c r="AA756" s="154" t="n"/>
      <c r="AB756" s="154" t="n"/>
      <c r="AC756" s="154" t="n"/>
      <c r="AD756" s="154" t="n"/>
      <c r="AE756" s="154" t="n"/>
      <c r="AF756" s="154" t="n"/>
      <c r="AG756" s="154" t="n"/>
      <c r="AH756" s="154" t="n"/>
      <c r="AI756" s="154" t="n"/>
      <c r="AJ756" s="154" t="n"/>
      <c r="AK756" s="154" t="n"/>
      <c r="AL756" s="154" t="n"/>
      <c r="AM756" s="154" t="n"/>
      <c r="AN756" s="154" t="n"/>
      <c r="AO756" s="154" t="n"/>
      <c r="AP756" s="154" t="n"/>
      <c r="AQ756" s="154" t="n"/>
      <c r="AR756" s="154" t="n"/>
      <c r="AS756" s="154" t="n"/>
      <c r="AT756" s="154" t="n"/>
      <c r="AU756" s="154" t="n"/>
      <c r="AV756" s="154" t="n"/>
      <c r="AW756" s="154" t="n"/>
      <c r="AX756" s="154" t="n"/>
      <c r="AY756" s="154" t="n"/>
      <c r="AZ756" s="154" t="n"/>
      <c r="BA756" s="154" t="n"/>
      <c r="BB756" s="154" t="n"/>
      <c r="BC756" s="154" t="n"/>
      <c r="BD756" s="154" t="n"/>
      <c r="BE756" s="154" t="n"/>
      <c r="BF756" s="154" t="n"/>
      <c r="BG756" s="154" t="n"/>
      <c r="BH756" s="154" t="n"/>
    </row>
    <row r="757" ht="15.75" customHeight="1" s="251">
      <c r="A757" s="153" t="n"/>
      <c r="B757" s="154" t="n"/>
      <c r="C757" s="154" t="n"/>
      <c r="D757" s="154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  <c r="AA757" s="154" t="n"/>
      <c r="AB757" s="154" t="n"/>
      <c r="AC757" s="154" t="n"/>
      <c r="AD757" s="154" t="n"/>
      <c r="AE757" s="154" t="n"/>
      <c r="AF757" s="154" t="n"/>
      <c r="AG757" s="154" t="n"/>
      <c r="AH757" s="154" t="n"/>
      <c r="AI757" s="154" t="n"/>
      <c r="AJ757" s="154" t="n"/>
      <c r="AK757" s="154" t="n"/>
      <c r="AL757" s="154" t="n"/>
      <c r="AM757" s="154" t="n"/>
      <c r="AN757" s="154" t="n"/>
      <c r="AO757" s="154" t="n"/>
      <c r="AP757" s="154" t="n"/>
      <c r="AQ757" s="154" t="n"/>
      <c r="AR757" s="154" t="n"/>
      <c r="AS757" s="154" t="n"/>
      <c r="AT757" s="154" t="n"/>
      <c r="AU757" s="154" t="n"/>
      <c r="AV757" s="154" t="n"/>
      <c r="AW757" s="154" t="n"/>
      <c r="AX757" s="154" t="n"/>
      <c r="AY757" s="154" t="n"/>
      <c r="AZ757" s="154" t="n"/>
      <c r="BA757" s="154" t="n"/>
      <c r="BB757" s="154" t="n"/>
      <c r="BC757" s="154" t="n"/>
      <c r="BD757" s="154" t="n"/>
      <c r="BE757" s="154" t="n"/>
      <c r="BF757" s="154" t="n"/>
      <c r="BG757" s="154" t="n"/>
      <c r="BH757" s="154" t="n"/>
    </row>
    <row r="758" ht="15.75" customHeight="1" s="251">
      <c r="A758" s="153" t="n"/>
      <c r="B758" s="154" t="n"/>
      <c r="C758" s="154" t="n"/>
      <c r="D758" s="154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  <c r="AA758" s="154" t="n"/>
      <c r="AB758" s="154" t="n"/>
      <c r="AC758" s="154" t="n"/>
      <c r="AD758" s="154" t="n"/>
      <c r="AE758" s="154" t="n"/>
      <c r="AF758" s="154" t="n"/>
      <c r="AG758" s="154" t="n"/>
      <c r="AH758" s="154" t="n"/>
      <c r="AI758" s="154" t="n"/>
      <c r="AJ758" s="154" t="n"/>
      <c r="AK758" s="154" t="n"/>
      <c r="AL758" s="154" t="n"/>
      <c r="AM758" s="154" t="n"/>
      <c r="AN758" s="154" t="n"/>
      <c r="AO758" s="154" t="n"/>
      <c r="AP758" s="154" t="n"/>
      <c r="AQ758" s="154" t="n"/>
      <c r="AR758" s="154" t="n"/>
      <c r="AS758" s="154" t="n"/>
      <c r="AT758" s="154" t="n"/>
      <c r="AU758" s="154" t="n"/>
      <c r="AV758" s="154" t="n"/>
      <c r="AW758" s="154" t="n"/>
      <c r="AX758" s="154" t="n"/>
      <c r="AY758" s="154" t="n"/>
      <c r="AZ758" s="154" t="n"/>
      <c r="BA758" s="154" t="n"/>
      <c r="BB758" s="154" t="n"/>
      <c r="BC758" s="154" t="n"/>
      <c r="BD758" s="154" t="n"/>
      <c r="BE758" s="154" t="n"/>
      <c r="BF758" s="154" t="n"/>
      <c r="BG758" s="154" t="n"/>
      <c r="BH758" s="154" t="n"/>
    </row>
    <row r="759" ht="15.75" customHeight="1" s="251">
      <c r="A759" s="153" t="n"/>
      <c r="B759" s="154" t="n"/>
      <c r="C759" s="154" t="n"/>
      <c r="D759" s="154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  <c r="AA759" s="154" t="n"/>
      <c r="AB759" s="154" t="n"/>
      <c r="AC759" s="154" t="n"/>
      <c r="AD759" s="154" t="n"/>
      <c r="AE759" s="154" t="n"/>
      <c r="AF759" s="154" t="n"/>
      <c r="AG759" s="154" t="n"/>
      <c r="AH759" s="154" t="n"/>
      <c r="AI759" s="154" t="n"/>
      <c r="AJ759" s="154" t="n"/>
      <c r="AK759" s="154" t="n"/>
      <c r="AL759" s="154" t="n"/>
      <c r="AM759" s="154" t="n"/>
      <c r="AN759" s="154" t="n"/>
      <c r="AO759" s="154" t="n"/>
      <c r="AP759" s="154" t="n"/>
      <c r="AQ759" s="154" t="n"/>
      <c r="AR759" s="154" t="n"/>
      <c r="AS759" s="154" t="n"/>
      <c r="AT759" s="154" t="n"/>
      <c r="AU759" s="154" t="n"/>
      <c r="AV759" s="154" t="n"/>
      <c r="AW759" s="154" t="n"/>
      <c r="AX759" s="154" t="n"/>
      <c r="AY759" s="154" t="n"/>
      <c r="AZ759" s="154" t="n"/>
      <c r="BA759" s="154" t="n"/>
      <c r="BB759" s="154" t="n"/>
      <c r="BC759" s="154" t="n"/>
      <c r="BD759" s="154" t="n"/>
      <c r="BE759" s="154" t="n"/>
      <c r="BF759" s="154" t="n"/>
      <c r="BG759" s="154" t="n"/>
      <c r="BH759" s="154" t="n"/>
    </row>
    <row r="760" ht="15.75" customHeight="1" s="251">
      <c r="A760" s="153" t="n"/>
      <c r="B760" s="154" t="n"/>
      <c r="C760" s="154" t="n"/>
      <c r="D760" s="154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  <c r="AA760" s="154" t="n"/>
      <c r="AB760" s="154" t="n"/>
      <c r="AC760" s="154" t="n"/>
      <c r="AD760" s="154" t="n"/>
      <c r="AE760" s="154" t="n"/>
      <c r="AF760" s="154" t="n"/>
      <c r="AG760" s="154" t="n"/>
      <c r="AH760" s="154" t="n"/>
      <c r="AI760" s="154" t="n"/>
      <c r="AJ760" s="154" t="n"/>
      <c r="AK760" s="154" t="n"/>
      <c r="AL760" s="154" t="n"/>
      <c r="AM760" s="154" t="n"/>
      <c r="AN760" s="154" t="n"/>
      <c r="AO760" s="154" t="n"/>
      <c r="AP760" s="154" t="n"/>
      <c r="AQ760" s="154" t="n"/>
      <c r="AR760" s="154" t="n"/>
      <c r="AS760" s="154" t="n"/>
      <c r="AT760" s="154" t="n"/>
      <c r="AU760" s="154" t="n"/>
      <c r="AV760" s="154" t="n"/>
      <c r="AW760" s="154" t="n"/>
      <c r="AX760" s="154" t="n"/>
      <c r="AY760" s="154" t="n"/>
      <c r="AZ760" s="154" t="n"/>
      <c r="BA760" s="154" t="n"/>
      <c r="BB760" s="154" t="n"/>
      <c r="BC760" s="154" t="n"/>
      <c r="BD760" s="154" t="n"/>
      <c r="BE760" s="154" t="n"/>
      <c r="BF760" s="154" t="n"/>
      <c r="BG760" s="154" t="n"/>
      <c r="BH760" s="154" t="n"/>
    </row>
    <row r="761" ht="15.75" customHeight="1" s="251">
      <c r="A761" s="153" t="n"/>
      <c r="B761" s="154" t="n"/>
      <c r="C761" s="154" t="n"/>
      <c r="D761" s="154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  <c r="AA761" s="154" t="n"/>
      <c r="AB761" s="154" t="n"/>
      <c r="AC761" s="154" t="n"/>
      <c r="AD761" s="154" t="n"/>
      <c r="AE761" s="154" t="n"/>
      <c r="AF761" s="154" t="n"/>
      <c r="AG761" s="154" t="n"/>
      <c r="AH761" s="154" t="n"/>
      <c r="AI761" s="154" t="n"/>
      <c r="AJ761" s="154" t="n"/>
      <c r="AK761" s="154" t="n"/>
      <c r="AL761" s="154" t="n"/>
      <c r="AM761" s="154" t="n"/>
      <c r="AN761" s="154" t="n"/>
      <c r="AO761" s="154" t="n"/>
      <c r="AP761" s="154" t="n"/>
      <c r="AQ761" s="154" t="n"/>
      <c r="AR761" s="154" t="n"/>
      <c r="AS761" s="154" t="n"/>
      <c r="AT761" s="154" t="n"/>
      <c r="AU761" s="154" t="n"/>
      <c r="AV761" s="154" t="n"/>
      <c r="AW761" s="154" t="n"/>
      <c r="AX761" s="154" t="n"/>
      <c r="AY761" s="154" t="n"/>
      <c r="AZ761" s="154" t="n"/>
      <c r="BA761" s="154" t="n"/>
      <c r="BB761" s="154" t="n"/>
      <c r="BC761" s="154" t="n"/>
      <c r="BD761" s="154" t="n"/>
      <c r="BE761" s="154" t="n"/>
      <c r="BF761" s="154" t="n"/>
      <c r="BG761" s="154" t="n"/>
      <c r="BH761" s="154" t="n"/>
    </row>
    <row r="762" ht="15.75" customHeight="1" s="251">
      <c r="A762" s="153" t="n"/>
      <c r="B762" s="154" t="n"/>
      <c r="C762" s="154" t="n"/>
      <c r="D762" s="154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  <c r="AA762" s="154" t="n"/>
      <c r="AB762" s="154" t="n"/>
      <c r="AC762" s="154" t="n"/>
      <c r="AD762" s="154" t="n"/>
      <c r="AE762" s="154" t="n"/>
      <c r="AF762" s="154" t="n"/>
      <c r="AG762" s="154" t="n"/>
      <c r="AH762" s="154" t="n"/>
      <c r="AI762" s="154" t="n"/>
      <c r="AJ762" s="154" t="n"/>
      <c r="AK762" s="154" t="n"/>
      <c r="AL762" s="154" t="n"/>
      <c r="AM762" s="154" t="n"/>
      <c r="AN762" s="154" t="n"/>
      <c r="AO762" s="154" t="n"/>
      <c r="AP762" s="154" t="n"/>
      <c r="AQ762" s="154" t="n"/>
      <c r="AR762" s="154" t="n"/>
      <c r="AS762" s="154" t="n"/>
      <c r="AT762" s="154" t="n"/>
      <c r="AU762" s="154" t="n"/>
      <c r="AV762" s="154" t="n"/>
      <c r="AW762" s="154" t="n"/>
      <c r="AX762" s="154" t="n"/>
      <c r="AY762" s="154" t="n"/>
      <c r="AZ762" s="154" t="n"/>
      <c r="BA762" s="154" t="n"/>
      <c r="BB762" s="154" t="n"/>
      <c r="BC762" s="154" t="n"/>
      <c r="BD762" s="154" t="n"/>
      <c r="BE762" s="154" t="n"/>
      <c r="BF762" s="154" t="n"/>
      <c r="BG762" s="154" t="n"/>
      <c r="BH762" s="154" t="n"/>
    </row>
    <row r="763" ht="15.75" customHeight="1" s="251">
      <c r="A763" s="153" t="n"/>
      <c r="B763" s="154" t="n"/>
      <c r="C763" s="154" t="n"/>
      <c r="D763" s="154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  <c r="AA763" s="154" t="n"/>
      <c r="AB763" s="154" t="n"/>
      <c r="AC763" s="154" t="n"/>
      <c r="AD763" s="154" t="n"/>
      <c r="AE763" s="154" t="n"/>
      <c r="AF763" s="154" t="n"/>
      <c r="AG763" s="154" t="n"/>
      <c r="AH763" s="154" t="n"/>
      <c r="AI763" s="154" t="n"/>
      <c r="AJ763" s="154" t="n"/>
      <c r="AK763" s="154" t="n"/>
      <c r="AL763" s="154" t="n"/>
      <c r="AM763" s="154" t="n"/>
      <c r="AN763" s="154" t="n"/>
      <c r="AO763" s="154" t="n"/>
      <c r="AP763" s="154" t="n"/>
      <c r="AQ763" s="154" t="n"/>
      <c r="AR763" s="154" t="n"/>
      <c r="AS763" s="154" t="n"/>
      <c r="AT763" s="154" t="n"/>
      <c r="AU763" s="154" t="n"/>
      <c r="AV763" s="154" t="n"/>
      <c r="AW763" s="154" t="n"/>
      <c r="AX763" s="154" t="n"/>
      <c r="AY763" s="154" t="n"/>
      <c r="AZ763" s="154" t="n"/>
      <c r="BA763" s="154" t="n"/>
      <c r="BB763" s="154" t="n"/>
      <c r="BC763" s="154" t="n"/>
      <c r="BD763" s="154" t="n"/>
      <c r="BE763" s="154" t="n"/>
      <c r="BF763" s="154" t="n"/>
      <c r="BG763" s="154" t="n"/>
      <c r="BH763" s="154" t="n"/>
    </row>
    <row r="764" ht="15.75" customHeight="1" s="251">
      <c r="A764" s="153" t="n"/>
      <c r="B764" s="154" t="n"/>
      <c r="C764" s="154" t="n"/>
      <c r="D764" s="154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  <c r="AA764" s="154" t="n"/>
      <c r="AB764" s="154" t="n"/>
      <c r="AC764" s="154" t="n"/>
      <c r="AD764" s="154" t="n"/>
      <c r="AE764" s="154" t="n"/>
      <c r="AF764" s="154" t="n"/>
      <c r="AG764" s="154" t="n"/>
      <c r="AH764" s="154" t="n"/>
      <c r="AI764" s="154" t="n"/>
      <c r="AJ764" s="154" t="n"/>
      <c r="AK764" s="154" t="n"/>
      <c r="AL764" s="154" t="n"/>
      <c r="AM764" s="154" t="n"/>
      <c r="AN764" s="154" t="n"/>
      <c r="AO764" s="154" t="n"/>
      <c r="AP764" s="154" t="n"/>
      <c r="AQ764" s="154" t="n"/>
      <c r="AR764" s="154" t="n"/>
      <c r="AS764" s="154" t="n"/>
      <c r="AT764" s="154" t="n"/>
      <c r="AU764" s="154" t="n"/>
      <c r="AV764" s="154" t="n"/>
      <c r="AW764" s="154" t="n"/>
      <c r="AX764" s="154" t="n"/>
      <c r="AY764" s="154" t="n"/>
      <c r="AZ764" s="154" t="n"/>
      <c r="BA764" s="154" t="n"/>
      <c r="BB764" s="154" t="n"/>
      <c r="BC764" s="154" t="n"/>
      <c r="BD764" s="154" t="n"/>
      <c r="BE764" s="154" t="n"/>
      <c r="BF764" s="154" t="n"/>
      <c r="BG764" s="154" t="n"/>
      <c r="BH764" s="154" t="n"/>
    </row>
    <row r="765" ht="15.75" customHeight="1" s="251">
      <c r="A765" s="153" t="n"/>
      <c r="B765" s="154" t="n"/>
      <c r="C765" s="154" t="n"/>
      <c r="D765" s="154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  <c r="AA765" s="154" t="n"/>
      <c r="AB765" s="154" t="n"/>
      <c r="AC765" s="154" t="n"/>
      <c r="AD765" s="154" t="n"/>
      <c r="AE765" s="154" t="n"/>
      <c r="AF765" s="154" t="n"/>
      <c r="AG765" s="154" t="n"/>
      <c r="AH765" s="154" t="n"/>
      <c r="AI765" s="154" t="n"/>
      <c r="AJ765" s="154" t="n"/>
      <c r="AK765" s="154" t="n"/>
      <c r="AL765" s="154" t="n"/>
      <c r="AM765" s="154" t="n"/>
      <c r="AN765" s="154" t="n"/>
      <c r="AO765" s="154" t="n"/>
      <c r="AP765" s="154" t="n"/>
      <c r="AQ765" s="154" t="n"/>
      <c r="AR765" s="154" t="n"/>
      <c r="AS765" s="154" t="n"/>
      <c r="AT765" s="154" t="n"/>
      <c r="AU765" s="154" t="n"/>
      <c r="AV765" s="154" t="n"/>
      <c r="AW765" s="154" t="n"/>
      <c r="AX765" s="154" t="n"/>
      <c r="AY765" s="154" t="n"/>
      <c r="AZ765" s="154" t="n"/>
      <c r="BA765" s="154" t="n"/>
      <c r="BB765" s="154" t="n"/>
      <c r="BC765" s="154" t="n"/>
      <c r="BD765" s="154" t="n"/>
      <c r="BE765" s="154" t="n"/>
      <c r="BF765" s="154" t="n"/>
      <c r="BG765" s="154" t="n"/>
      <c r="BH765" s="154" t="n"/>
    </row>
    <row r="766" ht="15.75" customHeight="1" s="251">
      <c r="A766" s="153" t="n"/>
      <c r="B766" s="154" t="n"/>
      <c r="C766" s="154" t="n"/>
      <c r="D766" s="154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  <c r="AA766" s="154" t="n"/>
      <c r="AB766" s="154" t="n"/>
      <c r="AC766" s="154" t="n"/>
      <c r="AD766" s="154" t="n"/>
      <c r="AE766" s="154" t="n"/>
      <c r="AF766" s="154" t="n"/>
      <c r="AG766" s="154" t="n"/>
      <c r="AH766" s="154" t="n"/>
      <c r="AI766" s="154" t="n"/>
      <c r="AJ766" s="154" t="n"/>
      <c r="AK766" s="154" t="n"/>
      <c r="AL766" s="154" t="n"/>
      <c r="AM766" s="154" t="n"/>
      <c r="AN766" s="154" t="n"/>
      <c r="AO766" s="154" t="n"/>
      <c r="AP766" s="154" t="n"/>
      <c r="AQ766" s="154" t="n"/>
      <c r="AR766" s="154" t="n"/>
      <c r="AS766" s="154" t="n"/>
      <c r="AT766" s="154" t="n"/>
      <c r="AU766" s="154" t="n"/>
      <c r="AV766" s="154" t="n"/>
      <c r="AW766" s="154" t="n"/>
      <c r="AX766" s="154" t="n"/>
      <c r="AY766" s="154" t="n"/>
      <c r="AZ766" s="154" t="n"/>
      <c r="BA766" s="154" t="n"/>
      <c r="BB766" s="154" t="n"/>
      <c r="BC766" s="154" t="n"/>
      <c r="BD766" s="154" t="n"/>
      <c r="BE766" s="154" t="n"/>
      <c r="BF766" s="154" t="n"/>
      <c r="BG766" s="154" t="n"/>
      <c r="BH766" s="154" t="n"/>
    </row>
    <row r="767" ht="15.75" customHeight="1" s="251">
      <c r="A767" s="153" t="n"/>
      <c r="B767" s="154" t="n"/>
      <c r="C767" s="154" t="n"/>
      <c r="D767" s="154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  <c r="AA767" s="154" t="n"/>
      <c r="AB767" s="154" t="n"/>
      <c r="AC767" s="154" t="n"/>
      <c r="AD767" s="154" t="n"/>
      <c r="AE767" s="154" t="n"/>
      <c r="AF767" s="154" t="n"/>
      <c r="AG767" s="154" t="n"/>
      <c r="AH767" s="154" t="n"/>
      <c r="AI767" s="154" t="n"/>
      <c r="AJ767" s="154" t="n"/>
      <c r="AK767" s="154" t="n"/>
      <c r="AL767" s="154" t="n"/>
      <c r="AM767" s="154" t="n"/>
      <c r="AN767" s="154" t="n"/>
      <c r="AO767" s="154" t="n"/>
      <c r="AP767" s="154" t="n"/>
      <c r="AQ767" s="154" t="n"/>
      <c r="AR767" s="154" t="n"/>
      <c r="AS767" s="154" t="n"/>
      <c r="AT767" s="154" t="n"/>
      <c r="AU767" s="154" t="n"/>
      <c r="AV767" s="154" t="n"/>
      <c r="AW767" s="154" t="n"/>
      <c r="AX767" s="154" t="n"/>
      <c r="AY767" s="154" t="n"/>
      <c r="AZ767" s="154" t="n"/>
      <c r="BA767" s="154" t="n"/>
      <c r="BB767" s="154" t="n"/>
      <c r="BC767" s="154" t="n"/>
      <c r="BD767" s="154" t="n"/>
      <c r="BE767" s="154" t="n"/>
      <c r="BF767" s="154" t="n"/>
      <c r="BG767" s="154" t="n"/>
      <c r="BH767" s="154" t="n"/>
    </row>
    <row r="768" ht="15.75" customHeight="1" s="251">
      <c r="A768" s="153" t="n"/>
      <c r="B768" s="154" t="n"/>
      <c r="C768" s="154" t="n"/>
      <c r="D768" s="154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  <c r="AA768" s="154" t="n"/>
      <c r="AB768" s="154" t="n"/>
      <c r="AC768" s="154" t="n"/>
      <c r="AD768" s="154" t="n"/>
      <c r="AE768" s="154" t="n"/>
      <c r="AF768" s="154" t="n"/>
      <c r="AG768" s="154" t="n"/>
      <c r="AH768" s="154" t="n"/>
      <c r="AI768" s="154" t="n"/>
      <c r="AJ768" s="154" t="n"/>
      <c r="AK768" s="154" t="n"/>
      <c r="AL768" s="154" t="n"/>
      <c r="AM768" s="154" t="n"/>
      <c r="AN768" s="154" t="n"/>
      <c r="AO768" s="154" t="n"/>
      <c r="AP768" s="154" t="n"/>
      <c r="AQ768" s="154" t="n"/>
      <c r="AR768" s="154" t="n"/>
      <c r="AS768" s="154" t="n"/>
      <c r="AT768" s="154" t="n"/>
      <c r="AU768" s="154" t="n"/>
      <c r="AV768" s="154" t="n"/>
      <c r="AW768" s="154" t="n"/>
      <c r="AX768" s="154" t="n"/>
      <c r="AY768" s="154" t="n"/>
      <c r="AZ768" s="154" t="n"/>
      <c r="BA768" s="154" t="n"/>
      <c r="BB768" s="154" t="n"/>
      <c r="BC768" s="154" t="n"/>
      <c r="BD768" s="154" t="n"/>
      <c r="BE768" s="154" t="n"/>
      <c r="BF768" s="154" t="n"/>
      <c r="BG768" s="154" t="n"/>
      <c r="BH768" s="154" t="n"/>
    </row>
    <row r="769" ht="15.75" customHeight="1" s="251">
      <c r="A769" s="153" t="n"/>
      <c r="B769" s="154" t="n"/>
      <c r="C769" s="154" t="n"/>
      <c r="D769" s="154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  <c r="AA769" s="154" t="n"/>
      <c r="AB769" s="154" t="n"/>
      <c r="AC769" s="154" t="n"/>
      <c r="AD769" s="154" t="n"/>
      <c r="AE769" s="154" t="n"/>
      <c r="AF769" s="154" t="n"/>
      <c r="AG769" s="154" t="n"/>
      <c r="AH769" s="154" t="n"/>
      <c r="AI769" s="154" t="n"/>
      <c r="AJ769" s="154" t="n"/>
      <c r="AK769" s="154" t="n"/>
      <c r="AL769" s="154" t="n"/>
      <c r="AM769" s="154" t="n"/>
      <c r="AN769" s="154" t="n"/>
      <c r="AO769" s="154" t="n"/>
      <c r="AP769" s="154" t="n"/>
      <c r="AQ769" s="154" t="n"/>
      <c r="AR769" s="154" t="n"/>
      <c r="AS769" s="154" t="n"/>
      <c r="AT769" s="154" t="n"/>
      <c r="AU769" s="154" t="n"/>
      <c r="AV769" s="154" t="n"/>
      <c r="AW769" s="154" t="n"/>
      <c r="AX769" s="154" t="n"/>
      <c r="AY769" s="154" t="n"/>
      <c r="AZ769" s="154" t="n"/>
      <c r="BA769" s="154" t="n"/>
      <c r="BB769" s="154" t="n"/>
      <c r="BC769" s="154" t="n"/>
      <c r="BD769" s="154" t="n"/>
      <c r="BE769" s="154" t="n"/>
      <c r="BF769" s="154" t="n"/>
      <c r="BG769" s="154" t="n"/>
      <c r="BH769" s="154" t="n"/>
    </row>
    <row r="770" ht="15.75" customHeight="1" s="251">
      <c r="A770" s="153" t="n"/>
      <c r="B770" s="154" t="n"/>
      <c r="C770" s="154" t="n"/>
      <c r="D770" s="154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  <c r="AA770" s="154" t="n"/>
      <c r="AB770" s="154" t="n"/>
      <c r="AC770" s="154" t="n"/>
      <c r="AD770" s="154" t="n"/>
      <c r="AE770" s="154" t="n"/>
      <c r="AF770" s="154" t="n"/>
      <c r="AG770" s="154" t="n"/>
      <c r="AH770" s="154" t="n"/>
      <c r="AI770" s="154" t="n"/>
      <c r="AJ770" s="154" t="n"/>
      <c r="AK770" s="154" t="n"/>
      <c r="AL770" s="154" t="n"/>
      <c r="AM770" s="154" t="n"/>
      <c r="AN770" s="154" t="n"/>
      <c r="AO770" s="154" t="n"/>
      <c r="AP770" s="154" t="n"/>
      <c r="AQ770" s="154" t="n"/>
      <c r="AR770" s="154" t="n"/>
      <c r="AS770" s="154" t="n"/>
      <c r="AT770" s="154" t="n"/>
      <c r="AU770" s="154" t="n"/>
      <c r="AV770" s="154" t="n"/>
      <c r="AW770" s="154" t="n"/>
      <c r="AX770" s="154" t="n"/>
      <c r="AY770" s="154" t="n"/>
      <c r="AZ770" s="154" t="n"/>
      <c r="BA770" s="154" t="n"/>
      <c r="BB770" s="154" t="n"/>
      <c r="BC770" s="154" t="n"/>
      <c r="BD770" s="154" t="n"/>
      <c r="BE770" s="154" t="n"/>
      <c r="BF770" s="154" t="n"/>
      <c r="BG770" s="154" t="n"/>
      <c r="BH770" s="154" t="n"/>
    </row>
    <row r="771" ht="15.75" customHeight="1" s="251">
      <c r="A771" s="153" t="n"/>
      <c r="B771" s="154" t="n"/>
      <c r="C771" s="154" t="n"/>
      <c r="D771" s="154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  <c r="AA771" s="154" t="n"/>
      <c r="AB771" s="154" t="n"/>
      <c r="AC771" s="154" t="n"/>
      <c r="AD771" s="154" t="n"/>
      <c r="AE771" s="154" t="n"/>
      <c r="AF771" s="154" t="n"/>
      <c r="AG771" s="154" t="n"/>
      <c r="AH771" s="154" t="n"/>
      <c r="AI771" s="154" t="n"/>
      <c r="AJ771" s="154" t="n"/>
      <c r="AK771" s="154" t="n"/>
      <c r="AL771" s="154" t="n"/>
      <c r="AM771" s="154" t="n"/>
      <c r="AN771" s="154" t="n"/>
      <c r="AO771" s="154" t="n"/>
      <c r="AP771" s="154" t="n"/>
      <c r="AQ771" s="154" t="n"/>
      <c r="AR771" s="154" t="n"/>
      <c r="AS771" s="154" t="n"/>
      <c r="AT771" s="154" t="n"/>
      <c r="AU771" s="154" t="n"/>
      <c r="AV771" s="154" t="n"/>
      <c r="AW771" s="154" t="n"/>
      <c r="AX771" s="154" t="n"/>
      <c r="AY771" s="154" t="n"/>
      <c r="AZ771" s="154" t="n"/>
      <c r="BA771" s="154" t="n"/>
      <c r="BB771" s="154" t="n"/>
      <c r="BC771" s="154" t="n"/>
      <c r="BD771" s="154" t="n"/>
      <c r="BE771" s="154" t="n"/>
      <c r="BF771" s="154" t="n"/>
      <c r="BG771" s="154" t="n"/>
      <c r="BH771" s="154" t="n"/>
    </row>
    <row r="772" ht="15.75" customHeight="1" s="251">
      <c r="A772" s="153" t="n"/>
      <c r="B772" s="154" t="n"/>
      <c r="C772" s="154" t="n"/>
      <c r="D772" s="154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  <c r="AA772" s="154" t="n"/>
      <c r="AB772" s="154" t="n"/>
      <c r="AC772" s="154" t="n"/>
      <c r="AD772" s="154" t="n"/>
      <c r="AE772" s="154" t="n"/>
      <c r="AF772" s="154" t="n"/>
      <c r="AG772" s="154" t="n"/>
      <c r="AH772" s="154" t="n"/>
      <c r="AI772" s="154" t="n"/>
      <c r="AJ772" s="154" t="n"/>
      <c r="AK772" s="154" t="n"/>
      <c r="AL772" s="154" t="n"/>
      <c r="AM772" s="154" t="n"/>
      <c r="AN772" s="154" t="n"/>
      <c r="AO772" s="154" t="n"/>
      <c r="AP772" s="154" t="n"/>
      <c r="AQ772" s="154" t="n"/>
      <c r="AR772" s="154" t="n"/>
      <c r="AS772" s="154" t="n"/>
      <c r="AT772" s="154" t="n"/>
      <c r="AU772" s="154" t="n"/>
      <c r="AV772" s="154" t="n"/>
      <c r="AW772" s="154" t="n"/>
      <c r="AX772" s="154" t="n"/>
      <c r="AY772" s="154" t="n"/>
      <c r="AZ772" s="154" t="n"/>
      <c r="BA772" s="154" t="n"/>
      <c r="BB772" s="154" t="n"/>
      <c r="BC772" s="154" t="n"/>
      <c r="BD772" s="154" t="n"/>
      <c r="BE772" s="154" t="n"/>
      <c r="BF772" s="154" t="n"/>
      <c r="BG772" s="154" t="n"/>
      <c r="BH772" s="154" t="n"/>
    </row>
    <row r="773" ht="15.75" customHeight="1" s="251">
      <c r="A773" s="153" t="n"/>
      <c r="B773" s="154" t="n"/>
      <c r="C773" s="154" t="n"/>
      <c r="D773" s="154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  <c r="AA773" s="154" t="n"/>
      <c r="AB773" s="154" t="n"/>
      <c r="AC773" s="154" t="n"/>
      <c r="AD773" s="154" t="n"/>
      <c r="AE773" s="154" t="n"/>
      <c r="AF773" s="154" t="n"/>
      <c r="AG773" s="154" t="n"/>
      <c r="AH773" s="154" t="n"/>
      <c r="AI773" s="154" t="n"/>
      <c r="AJ773" s="154" t="n"/>
      <c r="AK773" s="154" t="n"/>
      <c r="AL773" s="154" t="n"/>
      <c r="AM773" s="154" t="n"/>
      <c r="AN773" s="154" t="n"/>
      <c r="AO773" s="154" t="n"/>
      <c r="AP773" s="154" t="n"/>
      <c r="AQ773" s="154" t="n"/>
      <c r="AR773" s="154" t="n"/>
      <c r="AS773" s="154" t="n"/>
      <c r="AT773" s="154" t="n"/>
      <c r="AU773" s="154" t="n"/>
      <c r="AV773" s="154" t="n"/>
      <c r="AW773" s="154" t="n"/>
      <c r="AX773" s="154" t="n"/>
      <c r="AY773" s="154" t="n"/>
      <c r="AZ773" s="154" t="n"/>
      <c r="BA773" s="154" t="n"/>
      <c r="BB773" s="154" t="n"/>
      <c r="BC773" s="154" t="n"/>
      <c r="BD773" s="154" t="n"/>
      <c r="BE773" s="154" t="n"/>
      <c r="BF773" s="154" t="n"/>
      <c r="BG773" s="154" t="n"/>
      <c r="BH773" s="154" t="n"/>
    </row>
    <row r="774" ht="15.75" customHeight="1" s="251">
      <c r="A774" s="153" t="n"/>
      <c r="B774" s="154" t="n"/>
      <c r="C774" s="154" t="n"/>
      <c r="D774" s="154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  <c r="AA774" s="154" t="n"/>
      <c r="AB774" s="154" t="n"/>
      <c r="AC774" s="154" t="n"/>
      <c r="AD774" s="154" t="n"/>
      <c r="AE774" s="154" t="n"/>
      <c r="AF774" s="154" t="n"/>
      <c r="AG774" s="154" t="n"/>
      <c r="AH774" s="154" t="n"/>
      <c r="AI774" s="154" t="n"/>
      <c r="AJ774" s="154" t="n"/>
      <c r="AK774" s="154" t="n"/>
      <c r="AL774" s="154" t="n"/>
      <c r="AM774" s="154" t="n"/>
      <c r="AN774" s="154" t="n"/>
      <c r="AO774" s="154" t="n"/>
      <c r="AP774" s="154" t="n"/>
      <c r="AQ774" s="154" t="n"/>
      <c r="AR774" s="154" t="n"/>
      <c r="AS774" s="154" t="n"/>
      <c r="AT774" s="154" t="n"/>
      <c r="AU774" s="154" t="n"/>
      <c r="AV774" s="154" t="n"/>
      <c r="AW774" s="154" t="n"/>
      <c r="AX774" s="154" t="n"/>
      <c r="AY774" s="154" t="n"/>
      <c r="AZ774" s="154" t="n"/>
      <c r="BA774" s="154" t="n"/>
      <c r="BB774" s="154" t="n"/>
      <c r="BC774" s="154" t="n"/>
      <c r="BD774" s="154" t="n"/>
      <c r="BE774" s="154" t="n"/>
      <c r="BF774" s="154" t="n"/>
      <c r="BG774" s="154" t="n"/>
      <c r="BH774" s="154" t="n"/>
    </row>
    <row r="775" ht="15.75" customHeight="1" s="251">
      <c r="A775" s="153" t="n"/>
      <c r="B775" s="154" t="n"/>
      <c r="C775" s="154" t="n"/>
      <c r="D775" s="154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  <c r="AA775" s="154" t="n"/>
      <c r="AB775" s="154" t="n"/>
      <c r="AC775" s="154" t="n"/>
      <c r="AD775" s="154" t="n"/>
      <c r="AE775" s="154" t="n"/>
      <c r="AF775" s="154" t="n"/>
      <c r="AG775" s="154" t="n"/>
      <c r="AH775" s="154" t="n"/>
      <c r="AI775" s="154" t="n"/>
      <c r="AJ775" s="154" t="n"/>
      <c r="AK775" s="154" t="n"/>
      <c r="AL775" s="154" t="n"/>
      <c r="AM775" s="154" t="n"/>
      <c r="AN775" s="154" t="n"/>
      <c r="AO775" s="154" t="n"/>
      <c r="AP775" s="154" t="n"/>
      <c r="AQ775" s="154" t="n"/>
      <c r="AR775" s="154" t="n"/>
      <c r="AS775" s="154" t="n"/>
      <c r="AT775" s="154" t="n"/>
      <c r="AU775" s="154" t="n"/>
      <c r="AV775" s="154" t="n"/>
      <c r="AW775" s="154" t="n"/>
      <c r="AX775" s="154" t="n"/>
      <c r="AY775" s="154" t="n"/>
      <c r="AZ775" s="154" t="n"/>
      <c r="BA775" s="154" t="n"/>
      <c r="BB775" s="154" t="n"/>
      <c r="BC775" s="154" t="n"/>
      <c r="BD775" s="154" t="n"/>
      <c r="BE775" s="154" t="n"/>
      <c r="BF775" s="154" t="n"/>
      <c r="BG775" s="154" t="n"/>
      <c r="BH775" s="154" t="n"/>
    </row>
    <row r="776" ht="15.75" customHeight="1" s="251">
      <c r="A776" s="153" t="n"/>
      <c r="B776" s="154" t="n"/>
      <c r="C776" s="154" t="n"/>
      <c r="D776" s="154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  <c r="AA776" s="154" t="n"/>
      <c r="AB776" s="154" t="n"/>
      <c r="AC776" s="154" t="n"/>
      <c r="AD776" s="154" t="n"/>
      <c r="AE776" s="154" t="n"/>
      <c r="AF776" s="154" t="n"/>
      <c r="AG776" s="154" t="n"/>
      <c r="AH776" s="154" t="n"/>
      <c r="AI776" s="154" t="n"/>
      <c r="AJ776" s="154" t="n"/>
      <c r="AK776" s="154" t="n"/>
      <c r="AL776" s="154" t="n"/>
      <c r="AM776" s="154" t="n"/>
      <c r="AN776" s="154" t="n"/>
      <c r="AO776" s="154" t="n"/>
      <c r="AP776" s="154" t="n"/>
      <c r="AQ776" s="154" t="n"/>
      <c r="AR776" s="154" t="n"/>
      <c r="AS776" s="154" t="n"/>
      <c r="AT776" s="154" t="n"/>
      <c r="AU776" s="154" t="n"/>
      <c r="AV776" s="154" t="n"/>
      <c r="AW776" s="154" t="n"/>
      <c r="AX776" s="154" t="n"/>
      <c r="AY776" s="154" t="n"/>
      <c r="AZ776" s="154" t="n"/>
      <c r="BA776" s="154" t="n"/>
      <c r="BB776" s="154" t="n"/>
      <c r="BC776" s="154" t="n"/>
      <c r="BD776" s="154" t="n"/>
      <c r="BE776" s="154" t="n"/>
      <c r="BF776" s="154" t="n"/>
      <c r="BG776" s="154" t="n"/>
      <c r="BH776" s="154" t="n"/>
    </row>
    <row r="777" ht="15.75" customHeight="1" s="251">
      <c r="A777" s="153" t="n"/>
      <c r="B777" s="154" t="n"/>
      <c r="C777" s="154" t="n"/>
      <c r="D777" s="154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  <c r="AA777" s="154" t="n"/>
      <c r="AB777" s="154" t="n"/>
      <c r="AC777" s="154" t="n"/>
      <c r="AD777" s="154" t="n"/>
      <c r="AE777" s="154" t="n"/>
      <c r="AF777" s="154" t="n"/>
      <c r="AG777" s="154" t="n"/>
      <c r="AH777" s="154" t="n"/>
      <c r="AI777" s="154" t="n"/>
      <c r="AJ777" s="154" t="n"/>
      <c r="AK777" s="154" t="n"/>
      <c r="AL777" s="154" t="n"/>
      <c r="AM777" s="154" t="n"/>
      <c r="AN777" s="154" t="n"/>
      <c r="AO777" s="154" t="n"/>
      <c r="AP777" s="154" t="n"/>
      <c r="AQ777" s="154" t="n"/>
      <c r="AR777" s="154" t="n"/>
      <c r="AS777" s="154" t="n"/>
      <c r="AT777" s="154" t="n"/>
      <c r="AU777" s="154" t="n"/>
      <c r="AV777" s="154" t="n"/>
      <c r="AW777" s="154" t="n"/>
      <c r="AX777" s="154" t="n"/>
      <c r="AY777" s="154" t="n"/>
      <c r="AZ777" s="154" t="n"/>
      <c r="BA777" s="154" t="n"/>
      <c r="BB777" s="154" t="n"/>
      <c r="BC777" s="154" t="n"/>
      <c r="BD777" s="154" t="n"/>
      <c r="BE777" s="154" t="n"/>
      <c r="BF777" s="154" t="n"/>
      <c r="BG777" s="154" t="n"/>
      <c r="BH777" s="154" t="n"/>
    </row>
    <row r="778" ht="15.75" customHeight="1" s="251">
      <c r="A778" s="153" t="n"/>
      <c r="B778" s="154" t="n"/>
      <c r="C778" s="154" t="n"/>
      <c r="D778" s="154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  <c r="AA778" s="154" t="n"/>
      <c r="AB778" s="154" t="n"/>
      <c r="AC778" s="154" t="n"/>
      <c r="AD778" s="154" t="n"/>
      <c r="AE778" s="154" t="n"/>
      <c r="AF778" s="154" t="n"/>
      <c r="AG778" s="154" t="n"/>
      <c r="AH778" s="154" t="n"/>
      <c r="AI778" s="154" t="n"/>
      <c r="AJ778" s="154" t="n"/>
      <c r="AK778" s="154" t="n"/>
      <c r="AL778" s="154" t="n"/>
      <c r="AM778" s="154" t="n"/>
      <c r="AN778" s="154" t="n"/>
      <c r="AO778" s="154" t="n"/>
      <c r="AP778" s="154" t="n"/>
      <c r="AQ778" s="154" t="n"/>
      <c r="AR778" s="154" t="n"/>
      <c r="AS778" s="154" t="n"/>
      <c r="AT778" s="154" t="n"/>
      <c r="AU778" s="154" t="n"/>
      <c r="AV778" s="154" t="n"/>
      <c r="AW778" s="154" t="n"/>
      <c r="AX778" s="154" t="n"/>
      <c r="AY778" s="154" t="n"/>
      <c r="AZ778" s="154" t="n"/>
      <c r="BA778" s="154" t="n"/>
      <c r="BB778" s="154" t="n"/>
      <c r="BC778" s="154" t="n"/>
      <c r="BD778" s="154" t="n"/>
      <c r="BE778" s="154" t="n"/>
      <c r="BF778" s="154" t="n"/>
      <c r="BG778" s="154" t="n"/>
      <c r="BH778" s="154" t="n"/>
    </row>
    <row r="779" ht="15.75" customHeight="1" s="251">
      <c r="A779" s="153" t="n"/>
      <c r="B779" s="154" t="n"/>
      <c r="C779" s="154" t="n"/>
      <c r="D779" s="154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  <c r="AA779" s="154" t="n"/>
      <c r="AB779" s="154" t="n"/>
      <c r="AC779" s="154" t="n"/>
      <c r="AD779" s="154" t="n"/>
      <c r="AE779" s="154" t="n"/>
      <c r="AF779" s="154" t="n"/>
      <c r="AG779" s="154" t="n"/>
      <c r="AH779" s="154" t="n"/>
      <c r="AI779" s="154" t="n"/>
      <c r="AJ779" s="154" t="n"/>
      <c r="AK779" s="154" t="n"/>
      <c r="AL779" s="154" t="n"/>
      <c r="AM779" s="154" t="n"/>
      <c r="AN779" s="154" t="n"/>
      <c r="AO779" s="154" t="n"/>
      <c r="AP779" s="154" t="n"/>
      <c r="AQ779" s="154" t="n"/>
      <c r="AR779" s="154" t="n"/>
      <c r="AS779" s="154" t="n"/>
      <c r="AT779" s="154" t="n"/>
      <c r="AU779" s="154" t="n"/>
      <c r="AV779" s="154" t="n"/>
      <c r="AW779" s="154" t="n"/>
      <c r="AX779" s="154" t="n"/>
      <c r="AY779" s="154" t="n"/>
      <c r="AZ779" s="154" t="n"/>
      <c r="BA779" s="154" t="n"/>
      <c r="BB779" s="154" t="n"/>
      <c r="BC779" s="154" t="n"/>
      <c r="BD779" s="154" t="n"/>
      <c r="BE779" s="154" t="n"/>
      <c r="BF779" s="154" t="n"/>
      <c r="BG779" s="154" t="n"/>
      <c r="BH779" s="154" t="n"/>
    </row>
    <row r="780" ht="15.75" customHeight="1" s="251">
      <c r="A780" s="153" t="n"/>
      <c r="B780" s="154" t="n"/>
      <c r="C780" s="154" t="n"/>
      <c r="D780" s="154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  <c r="AA780" s="154" t="n"/>
      <c r="AB780" s="154" t="n"/>
      <c r="AC780" s="154" t="n"/>
      <c r="AD780" s="154" t="n"/>
      <c r="AE780" s="154" t="n"/>
      <c r="AF780" s="154" t="n"/>
      <c r="AG780" s="154" t="n"/>
      <c r="AH780" s="154" t="n"/>
      <c r="AI780" s="154" t="n"/>
      <c r="AJ780" s="154" t="n"/>
      <c r="AK780" s="154" t="n"/>
      <c r="AL780" s="154" t="n"/>
      <c r="AM780" s="154" t="n"/>
      <c r="AN780" s="154" t="n"/>
      <c r="AO780" s="154" t="n"/>
      <c r="AP780" s="154" t="n"/>
      <c r="AQ780" s="154" t="n"/>
      <c r="AR780" s="154" t="n"/>
      <c r="AS780" s="154" t="n"/>
      <c r="AT780" s="154" t="n"/>
      <c r="AU780" s="154" t="n"/>
      <c r="AV780" s="154" t="n"/>
      <c r="AW780" s="154" t="n"/>
      <c r="AX780" s="154" t="n"/>
      <c r="AY780" s="154" t="n"/>
      <c r="AZ780" s="154" t="n"/>
      <c r="BA780" s="154" t="n"/>
      <c r="BB780" s="154" t="n"/>
      <c r="BC780" s="154" t="n"/>
      <c r="BD780" s="154" t="n"/>
      <c r="BE780" s="154" t="n"/>
      <c r="BF780" s="154" t="n"/>
      <c r="BG780" s="154" t="n"/>
      <c r="BH780" s="154" t="n"/>
    </row>
    <row r="781" ht="15.75" customHeight="1" s="251">
      <c r="A781" s="153" t="n"/>
      <c r="B781" s="154" t="n"/>
      <c r="C781" s="154" t="n"/>
      <c r="D781" s="154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  <c r="AA781" s="154" t="n"/>
      <c r="AB781" s="154" t="n"/>
      <c r="AC781" s="154" t="n"/>
      <c r="AD781" s="154" t="n"/>
      <c r="AE781" s="154" t="n"/>
      <c r="AF781" s="154" t="n"/>
      <c r="AG781" s="154" t="n"/>
      <c r="AH781" s="154" t="n"/>
      <c r="AI781" s="154" t="n"/>
      <c r="AJ781" s="154" t="n"/>
      <c r="AK781" s="154" t="n"/>
      <c r="AL781" s="154" t="n"/>
      <c r="AM781" s="154" t="n"/>
      <c r="AN781" s="154" t="n"/>
      <c r="AO781" s="154" t="n"/>
      <c r="AP781" s="154" t="n"/>
      <c r="AQ781" s="154" t="n"/>
      <c r="AR781" s="154" t="n"/>
      <c r="AS781" s="154" t="n"/>
      <c r="AT781" s="154" t="n"/>
      <c r="AU781" s="154" t="n"/>
      <c r="AV781" s="154" t="n"/>
      <c r="AW781" s="154" t="n"/>
      <c r="AX781" s="154" t="n"/>
      <c r="AY781" s="154" t="n"/>
      <c r="AZ781" s="154" t="n"/>
      <c r="BA781" s="154" t="n"/>
      <c r="BB781" s="154" t="n"/>
      <c r="BC781" s="154" t="n"/>
      <c r="BD781" s="154" t="n"/>
      <c r="BE781" s="154" t="n"/>
      <c r="BF781" s="154" t="n"/>
      <c r="BG781" s="154" t="n"/>
      <c r="BH781" s="154" t="n"/>
    </row>
    <row r="782" ht="15.75" customHeight="1" s="251">
      <c r="A782" s="153" t="n"/>
      <c r="B782" s="154" t="n"/>
      <c r="C782" s="154" t="n"/>
      <c r="D782" s="154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  <c r="AA782" s="154" t="n"/>
      <c r="AB782" s="154" t="n"/>
      <c r="AC782" s="154" t="n"/>
      <c r="AD782" s="154" t="n"/>
      <c r="AE782" s="154" t="n"/>
      <c r="AF782" s="154" t="n"/>
      <c r="AG782" s="154" t="n"/>
      <c r="AH782" s="154" t="n"/>
      <c r="AI782" s="154" t="n"/>
      <c r="AJ782" s="154" t="n"/>
      <c r="AK782" s="154" t="n"/>
      <c r="AL782" s="154" t="n"/>
      <c r="AM782" s="154" t="n"/>
      <c r="AN782" s="154" t="n"/>
      <c r="AO782" s="154" t="n"/>
      <c r="AP782" s="154" t="n"/>
      <c r="AQ782" s="154" t="n"/>
      <c r="AR782" s="154" t="n"/>
      <c r="AS782" s="154" t="n"/>
      <c r="AT782" s="154" t="n"/>
      <c r="AU782" s="154" t="n"/>
      <c r="AV782" s="154" t="n"/>
      <c r="AW782" s="154" t="n"/>
      <c r="AX782" s="154" t="n"/>
      <c r="AY782" s="154" t="n"/>
      <c r="AZ782" s="154" t="n"/>
      <c r="BA782" s="154" t="n"/>
      <c r="BB782" s="154" t="n"/>
      <c r="BC782" s="154" t="n"/>
      <c r="BD782" s="154" t="n"/>
      <c r="BE782" s="154" t="n"/>
      <c r="BF782" s="154" t="n"/>
      <c r="BG782" s="154" t="n"/>
      <c r="BH782" s="154" t="n"/>
    </row>
    <row r="783" ht="15.75" customHeight="1" s="251">
      <c r="A783" s="153" t="n"/>
      <c r="B783" s="154" t="n"/>
      <c r="C783" s="154" t="n"/>
      <c r="D783" s="154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  <c r="AA783" s="154" t="n"/>
      <c r="AB783" s="154" t="n"/>
      <c r="AC783" s="154" t="n"/>
      <c r="AD783" s="154" t="n"/>
      <c r="AE783" s="154" t="n"/>
      <c r="AF783" s="154" t="n"/>
      <c r="AG783" s="154" t="n"/>
      <c r="AH783" s="154" t="n"/>
      <c r="AI783" s="154" t="n"/>
      <c r="AJ783" s="154" t="n"/>
      <c r="AK783" s="154" t="n"/>
      <c r="AL783" s="154" t="n"/>
      <c r="AM783" s="154" t="n"/>
      <c r="AN783" s="154" t="n"/>
      <c r="AO783" s="154" t="n"/>
      <c r="AP783" s="154" t="n"/>
      <c r="AQ783" s="154" t="n"/>
      <c r="AR783" s="154" t="n"/>
      <c r="AS783" s="154" t="n"/>
      <c r="AT783" s="154" t="n"/>
      <c r="AU783" s="154" t="n"/>
      <c r="AV783" s="154" t="n"/>
      <c r="AW783" s="154" t="n"/>
      <c r="AX783" s="154" t="n"/>
      <c r="AY783" s="154" t="n"/>
      <c r="AZ783" s="154" t="n"/>
      <c r="BA783" s="154" t="n"/>
      <c r="BB783" s="154" t="n"/>
      <c r="BC783" s="154" t="n"/>
      <c r="BD783" s="154" t="n"/>
      <c r="BE783" s="154" t="n"/>
      <c r="BF783" s="154" t="n"/>
      <c r="BG783" s="154" t="n"/>
      <c r="BH783" s="154" t="n"/>
    </row>
    <row r="784" ht="15.75" customHeight="1" s="251">
      <c r="A784" s="153" t="n"/>
      <c r="B784" s="154" t="n"/>
      <c r="C784" s="154" t="n"/>
      <c r="D784" s="154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  <c r="AA784" s="154" t="n"/>
      <c r="AB784" s="154" t="n"/>
      <c r="AC784" s="154" t="n"/>
      <c r="AD784" s="154" t="n"/>
      <c r="AE784" s="154" t="n"/>
      <c r="AF784" s="154" t="n"/>
      <c r="AG784" s="154" t="n"/>
      <c r="AH784" s="154" t="n"/>
      <c r="AI784" s="154" t="n"/>
      <c r="AJ784" s="154" t="n"/>
      <c r="AK784" s="154" t="n"/>
      <c r="AL784" s="154" t="n"/>
      <c r="AM784" s="154" t="n"/>
      <c r="AN784" s="154" t="n"/>
      <c r="AO784" s="154" t="n"/>
      <c r="AP784" s="154" t="n"/>
      <c r="AQ784" s="154" t="n"/>
      <c r="AR784" s="154" t="n"/>
      <c r="AS784" s="154" t="n"/>
      <c r="AT784" s="154" t="n"/>
      <c r="AU784" s="154" t="n"/>
      <c r="AV784" s="154" t="n"/>
      <c r="AW784" s="154" t="n"/>
      <c r="AX784" s="154" t="n"/>
      <c r="AY784" s="154" t="n"/>
      <c r="AZ784" s="154" t="n"/>
      <c r="BA784" s="154" t="n"/>
      <c r="BB784" s="154" t="n"/>
      <c r="BC784" s="154" t="n"/>
      <c r="BD784" s="154" t="n"/>
      <c r="BE784" s="154" t="n"/>
      <c r="BF784" s="154" t="n"/>
      <c r="BG784" s="154" t="n"/>
      <c r="BH784" s="154" t="n"/>
    </row>
    <row r="785" ht="15.75" customHeight="1" s="251">
      <c r="A785" s="153" t="n"/>
      <c r="B785" s="154" t="n"/>
      <c r="C785" s="154" t="n"/>
      <c r="D785" s="154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  <c r="AA785" s="154" t="n"/>
      <c r="AB785" s="154" t="n"/>
      <c r="AC785" s="154" t="n"/>
      <c r="AD785" s="154" t="n"/>
      <c r="AE785" s="154" t="n"/>
      <c r="AF785" s="154" t="n"/>
      <c r="AG785" s="154" t="n"/>
      <c r="AH785" s="154" t="n"/>
      <c r="AI785" s="154" t="n"/>
      <c r="AJ785" s="154" t="n"/>
      <c r="AK785" s="154" t="n"/>
      <c r="AL785" s="154" t="n"/>
      <c r="AM785" s="154" t="n"/>
      <c r="AN785" s="154" t="n"/>
      <c r="AO785" s="154" t="n"/>
      <c r="AP785" s="154" t="n"/>
      <c r="AQ785" s="154" t="n"/>
      <c r="AR785" s="154" t="n"/>
      <c r="AS785" s="154" t="n"/>
      <c r="AT785" s="154" t="n"/>
      <c r="AU785" s="154" t="n"/>
      <c r="AV785" s="154" t="n"/>
      <c r="AW785" s="154" t="n"/>
      <c r="AX785" s="154" t="n"/>
      <c r="AY785" s="154" t="n"/>
      <c r="AZ785" s="154" t="n"/>
      <c r="BA785" s="154" t="n"/>
      <c r="BB785" s="154" t="n"/>
      <c r="BC785" s="154" t="n"/>
      <c r="BD785" s="154" t="n"/>
      <c r="BE785" s="154" t="n"/>
      <c r="BF785" s="154" t="n"/>
      <c r="BG785" s="154" t="n"/>
      <c r="BH785" s="154" t="n"/>
    </row>
    <row r="786" ht="15.75" customHeight="1" s="251">
      <c r="A786" s="153" t="n"/>
      <c r="B786" s="154" t="n"/>
      <c r="C786" s="154" t="n"/>
      <c r="D786" s="154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  <c r="AA786" s="154" t="n"/>
      <c r="AB786" s="154" t="n"/>
      <c r="AC786" s="154" t="n"/>
      <c r="AD786" s="154" t="n"/>
      <c r="AE786" s="154" t="n"/>
      <c r="AF786" s="154" t="n"/>
      <c r="AG786" s="154" t="n"/>
      <c r="AH786" s="154" t="n"/>
      <c r="AI786" s="154" t="n"/>
      <c r="AJ786" s="154" t="n"/>
      <c r="AK786" s="154" t="n"/>
      <c r="AL786" s="154" t="n"/>
      <c r="AM786" s="154" t="n"/>
      <c r="AN786" s="154" t="n"/>
      <c r="AO786" s="154" t="n"/>
      <c r="AP786" s="154" t="n"/>
      <c r="AQ786" s="154" t="n"/>
      <c r="AR786" s="154" t="n"/>
      <c r="AS786" s="154" t="n"/>
      <c r="AT786" s="154" t="n"/>
      <c r="AU786" s="154" t="n"/>
      <c r="AV786" s="154" t="n"/>
      <c r="AW786" s="154" t="n"/>
      <c r="AX786" s="154" t="n"/>
      <c r="AY786" s="154" t="n"/>
      <c r="AZ786" s="154" t="n"/>
      <c r="BA786" s="154" t="n"/>
      <c r="BB786" s="154" t="n"/>
      <c r="BC786" s="154" t="n"/>
      <c r="BD786" s="154" t="n"/>
      <c r="BE786" s="154" t="n"/>
      <c r="BF786" s="154" t="n"/>
      <c r="BG786" s="154" t="n"/>
      <c r="BH786" s="154" t="n"/>
    </row>
    <row r="787" ht="15.75" customHeight="1" s="251">
      <c r="A787" s="153" t="n"/>
      <c r="B787" s="154" t="n"/>
      <c r="C787" s="154" t="n"/>
      <c r="D787" s="154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  <c r="AA787" s="154" t="n"/>
      <c r="AB787" s="154" t="n"/>
      <c r="AC787" s="154" t="n"/>
      <c r="AD787" s="154" t="n"/>
      <c r="AE787" s="154" t="n"/>
      <c r="AF787" s="154" t="n"/>
      <c r="AG787" s="154" t="n"/>
      <c r="AH787" s="154" t="n"/>
      <c r="AI787" s="154" t="n"/>
      <c r="AJ787" s="154" t="n"/>
      <c r="AK787" s="154" t="n"/>
      <c r="AL787" s="154" t="n"/>
      <c r="AM787" s="154" t="n"/>
      <c r="AN787" s="154" t="n"/>
      <c r="AO787" s="154" t="n"/>
      <c r="AP787" s="154" t="n"/>
      <c r="AQ787" s="154" t="n"/>
      <c r="AR787" s="154" t="n"/>
      <c r="AS787" s="154" t="n"/>
      <c r="AT787" s="154" t="n"/>
      <c r="AU787" s="154" t="n"/>
      <c r="AV787" s="154" t="n"/>
      <c r="AW787" s="154" t="n"/>
      <c r="AX787" s="154" t="n"/>
      <c r="AY787" s="154" t="n"/>
      <c r="AZ787" s="154" t="n"/>
      <c r="BA787" s="154" t="n"/>
      <c r="BB787" s="154" t="n"/>
      <c r="BC787" s="154" t="n"/>
      <c r="BD787" s="154" t="n"/>
      <c r="BE787" s="154" t="n"/>
      <c r="BF787" s="154" t="n"/>
      <c r="BG787" s="154" t="n"/>
      <c r="BH787" s="154" t="n"/>
    </row>
    <row r="788" ht="15.75" customHeight="1" s="251">
      <c r="A788" s="153" t="n"/>
      <c r="B788" s="154" t="n"/>
      <c r="C788" s="154" t="n"/>
      <c r="D788" s="154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  <c r="AA788" s="154" t="n"/>
      <c r="AB788" s="154" t="n"/>
      <c r="AC788" s="154" t="n"/>
      <c r="AD788" s="154" t="n"/>
      <c r="AE788" s="154" t="n"/>
      <c r="AF788" s="154" t="n"/>
      <c r="AG788" s="154" t="n"/>
      <c r="AH788" s="154" t="n"/>
      <c r="AI788" s="154" t="n"/>
      <c r="AJ788" s="154" t="n"/>
      <c r="AK788" s="154" t="n"/>
      <c r="AL788" s="154" t="n"/>
      <c r="AM788" s="154" t="n"/>
      <c r="AN788" s="154" t="n"/>
      <c r="AO788" s="154" t="n"/>
      <c r="AP788" s="154" t="n"/>
      <c r="AQ788" s="154" t="n"/>
      <c r="AR788" s="154" t="n"/>
      <c r="AS788" s="154" t="n"/>
      <c r="AT788" s="154" t="n"/>
      <c r="AU788" s="154" t="n"/>
      <c r="AV788" s="154" t="n"/>
      <c r="AW788" s="154" t="n"/>
      <c r="AX788" s="154" t="n"/>
      <c r="AY788" s="154" t="n"/>
      <c r="AZ788" s="154" t="n"/>
      <c r="BA788" s="154" t="n"/>
      <c r="BB788" s="154" t="n"/>
      <c r="BC788" s="154" t="n"/>
      <c r="BD788" s="154" t="n"/>
      <c r="BE788" s="154" t="n"/>
      <c r="BF788" s="154" t="n"/>
      <c r="BG788" s="154" t="n"/>
      <c r="BH788" s="154" t="n"/>
    </row>
    <row r="789" ht="15.75" customHeight="1" s="251">
      <c r="A789" s="153" t="n"/>
      <c r="B789" s="154" t="n"/>
      <c r="C789" s="154" t="n"/>
      <c r="D789" s="154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  <c r="AA789" s="154" t="n"/>
      <c r="AB789" s="154" t="n"/>
      <c r="AC789" s="154" t="n"/>
      <c r="AD789" s="154" t="n"/>
      <c r="AE789" s="154" t="n"/>
      <c r="AF789" s="154" t="n"/>
      <c r="AG789" s="154" t="n"/>
      <c r="AH789" s="154" t="n"/>
      <c r="AI789" s="154" t="n"/>
      <c r="AJ789" s="154" t="n"/>
      <c r="AK789" s="154" t="n"/>
      <c r="AL789" s="154" t="n"/>
      <c r="AM789" s="154" t="n"/>
      <c r="AN789" s="154" t="n"/>
      <c r="AO789" s="154" t="n"/>
      <c r="AP789" s="154" t="n"/>
      <c r="AQ789" s="154" t="n"/>
      <c r="AR789" s="154" t="n"/>
      <c r="AS789" s="154" t="n"/>
      <c r="AT789" s="154" t="n"/>
      <c r="AU789" s="154" t="n"/>
      <c r="AV789" s="154" t="n"/>
      <c r="AW789" s="154" t="n"/>
      <c r="AX789" s="154" t="n"/>
      <c r="AY789" s="154" t="n"/>
      <c r="AZ789" s="154" t="n"/>
      <c r="BA789" s="154" t="n"/>
      <c r="BB789" s="154" t="n"/>
      <c r="BC789" s="154" t="n"/>
      <c r="BD789" s="154" t="n"/>
      <c r="BE789" s="154" t="n"/>
      <c r="BF789" s="154" t="n"/>
      <c r="BG789" s="154" t="n"/>
      <c r="BH789" s="154" t="n"/>
    </row>
    <row r="790" ht="15.75" customHeight="1" s="251">
      <c r="A790" s="153" t="n"/>
      <c r="B790" s="154" t="n"/>
      <c r="C790" s="154" t="n"/>
      <c r="D790" s="154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  <c r="AA790" s="154" t="n"/>
      <c r="AB790" s="154" t="n"/>
      <c r="AC790" s="154" t="n"/>
      <c r="AD790" s="154" t="n"/>
      <c r="AE790" s="154" t="n"/>
      <c r="AF790" s="154" t="n"/>
      <c r="AG790" s="154" t="n"/>
      <c r="AH790" s="154" t="n"/>
      <c r="AI790" s="154" t="n"/>
      <c r="AJ790" s="154" t="n"/>
      <c r="AK790" s="154" t="n"/>
      <c r="AL790" s="154" t="n"/>
      <c r="AM790" s="154" t="n"/>
      <c r="AN790" s="154" t="n"/>
      <c r="AO790" s="154" t="n"/>
      <c r="AP790" s="154" t="n"/>
      <c r="AQ790" s="154" t="n"/>
      <c r="AR790" s="154" t="n"/>
      <c r="AS790" s="154" t="n"/>
      <c r="AT790" s="154" t="n"/>
      <c r="AU790" s="154" t="n"/>
      <c r="AV790" s="154" t="n"/>
      <c r="AW790" s="154" t="n"/>
      <c r="AX790" s="154" t="n"/>
      <c r="AY790" s="154" t="n"/>
      <c r="AZ790" s="154" t="n"/>
      <c r="BA790" s="154" t="n"/>
      <c r="BB790" s="154" t="n"/>
      <c r="BC790" s="154" t="n"/>
      <c r="BD790" s="154" t="n"/>
      <c r="BE790" s="154" t="n"/>
      <c r="BF790" s="154" t="n"/>
      <c r="BG790" s="154" t="n"/>
      <c r="BH790" s="154" t="n"/>
    </row>
    <row r="791" ht="15.75" customHeight="1" s="251">
      <c r="A791" s="153" t="n"/>
      <c r="B791" s="154" t="n"/>
      <c r="C791" s="154" t="n"/>
      <c r="D791" s="154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  <c r="AA791" s="154" t="n"/>
      <c r="AB791" s="154" t="n"/>
      <c r="AC791" s="154" t="n"/>
      <c r="AD791" s="154" t="n"/>
      <c r="AE791" s="154" t="n"/>
      <c r="AF791" s="154" t="n"/>
      <c r="AG791" s="154" t="n"/>
      <c r="AH791" s="154" t="n"/>
      <c r="AI791" s="154" t="n"/>
      <c r="AJ791" s="154" t="n"/>
      <c r="AK791" s="154" t="n"/>
      <c r="AL791" s="154" t="n"/>
      <c r="AM791" s="154" t="n"/>
      <c r="AN791" s="154" t="n"/>
      <c r="AO791" s="154" t="n"/>
      <c r="AP791" s="154" t="n"/>
      <c r="AQ791" s="154" t="n"/>
      <c r="AR791" s="154" t="n"/>
      <c r="AS791" s="154" t="n"/>
      <c r="AT791" s="154" t="n"/>
      <c r="AU791" s="154" t="n"/>
      <c r="AV791" s="154" t="n"/>
      <c r="AW791" s="154" t="n"/>
      <c r="AX791" s="154" t="n"/>
      <c r="AY791" s="154" t="n"/>
      <c r="AZ791" s="154" t="n"/>
      <c r="BA791" s="154" t="n"/>
      <c r="BB791" s="154" t="n"/>
      <c r="BC791" s="154" t="n"/>
      <c r="BD791" s="154" t="n"/>
      <c r="BE791" s="154" t="n"/>
      <c r="BF791" s="154" t="n"/>
      <c r="BG791" s="154" t="n"/>
      <c r="BH791" s="154" t="n"/>
    </row>
    <row r="792" ht="15.75" customHeight="1" s="251">
      <c r="A792" s="153" t="n"/>
      <c r="B792" s="154" t="n"/>
      <c r="C792" s="154" t="n"/>
      <c r="D792" s="154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  <c r="AA792" s="154" t="n"/>
      <c r="AB792" s="154" t="n"/>
      <c r="AC792" s="154" t="n"/>
      <c r="AD792" s="154" t="n"/>
      <c r="AE792" s="154" t="n"/>
      <c r="AF792" s="154" t="n"/>
      <c r="AG792" s="154" t="n"/>
      <c r="AH792" s="154" t="n"/>
      <c r="AI792" s="154" t="n"/>
      <c r="AJ792" s="154" t="n"/>
      <c r="AK792" s="154" t="n"/>
      <c r="AL792" s="154" t="n"/>
      <c r="AM792" s="154" t="n"/>
      <c r="AN792" s="154" t="n"/>
      <c r="AO792" s="154" t="n"/>
      <c r="AP792" s="154" t="n"/>
      <c r="AQ792" s="154" t="n"/>
      <c r="AR792" s="154" t="n"/>
      <c r="AS792" s="154" t="n"/>
      <c r="AT792" s="154" t="n"/>
      <c r="AU792" s="154" t="n"/>
      <c r="AV792" s="154" t="n"/>
      <c r="AW792" s="154" t="n"/>
      <c r="AX792" s="154" t="n"/>
      <c r="AY792" s="154" t="n"/>
      <c r="AZ792" s="154" t="n"/>
      <c r="BA792" s="154" t="n"/>
      <c r="BB792" s="154" t="n"/>
      <c r="BC792" s="154" t="n"/>
      <c r="BD792" s="154" t="n"/>
      <c r="BE792" s="154" t="n"/>
      <c r="BF792" s="154" t="n"/>
      <c r="BG792" s="154" t="n"/>
      <c r="BH792" s="154" t="n"/>
    </row>
    <row r="793" ht="15.75" customHeight="1" s="251">
      <c r="A793" s="153" t="n"/>
      <c r="B793" s="154" t="n"/>
      <c r="C793" s="154" t="n"/>
      <c r="D793" s="154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  <c r="AA793" s="154" t="n"/>
      <c r="AB793" s="154" t="n"/>
      <c r="AC793" s="154" t="n"/>
      <c r="AD793" s="154" t="n"/>
      <c r="AE793" s="154" t="n"/>
      <c r="AF793" s="154" t="n"/>
      <c r="AG793" s="154" t="n"/>
      <c r="AH793" s="154" t="n"/>
      <c r="AI793" s="154" t="n"/>
      <c r="AJ793" s="154" t="n"/>
      <c r="AK793" s="154" t="n"/>
      <c r="AL793" s="154" t="n"/>
      <c r="AM793" s="154" t="n"/>
      <c r="AN793" s="154" t="n"/>
      <c r="AO793" s="154" t="n"/>
      <c r="AP793" s="154" t="n"/>
      <c r="AQ793" s="154" t="n"/>
      <c r="AR793" s="154" t="n"/>
      <c r="AS793" s="154" t="n"/>
      <c r="AT793" s="154" t="n"/>
      <c r="AU793" s="154" t="n"/>
      <c r="AV793" s="154" t="n"/>
      <c r="AW793" s="154" t="n"/>
      <c r="AX793" s="154" t="n"/>
      <c r="AY793" s="154" t="n"/>
      <c r="AZ793" s="154" t="n"/>
      <c r="BA793" s="154" t="n"/>
      <c r="BB793" s="154" t="n"/>
      <c r="BC793" s="154" t="n"/>
      <c r="BD793" s="154" t="n"/>
      <c r="BE793" s="154" t="n"/>
      <c r="BF793" s="154" t="n"/>
      <c r="BG793" s="154" t="n"/>
      <c r="BH793" s="154" t="n"/>
    </row>
    <row r="794" ht="15.75" customHeight="1" s="251">
      <c r="A794" s="153" t="n"/>
      <c r="B794" s="154" t="n"/>
      <c r="C794" s="154" t="n"/>
      <c r="D794" s="154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  <c r="AA794" s="154" t="n"/>
      <c r="AB794" s="154" t="n"/>
      <c r="AC794" s="154" t="n"/>
      <c r="AD794" s="154" t="n"/>
      <c r="AE794" s="154" t="n"/>
      <c r="AF794" s="154" t="n"/>
      <c r="AG794" s="154" t="n"/>
      <c r="AH794" s="154" t="n"/>
      <c r="AI794" s="154" t="n"/>
      <c r="AJ794" s="154" t="n"/>
      <c r="AK794" s="154" t="n"/>
      <c r="AL794" s="154" t="n"/>
      <c r="AM794" s="154" t="n"/>
      <c r="AN794" s="154" t="n"/>
      <c r="AO794" s="154" t="n"/>
      <c r="AP794" s="154" t="n"/>
      <c r="AQ794" s="154" t="n"/>
      <c r="AR794" s="154" t="n"/>
      <c r="AS794" s="154" t="n"/>
      <c r="AT794" s="154" t="n"/>
      <c r="AU794" s="154" t="n"/>
      <c r="AV794" s="154" t="n"/>
      <c r="AW794" s="154" t="n"/>
      <c r="AX794" s="154" t="n"/>
      <c r="AY794" s="154" t="n"/>
      <c r="AZ794" s="154" t="n"/>
      <c r="BA794" s="154" t="n"/>
      <c r="BB794" s="154" t="n"/>
      <c r="BC794" s="154" t="n"/>
      <c r="BD794" s="154" t="n"/>
      <c r="BE794" s="154" t="n"/>
      <c r="BF794" s="154" t="n"/>
      <c r="BG794" s="154" t="n"/>
      <c r="BH794" s="154" t="n"/>
    </row>
    <row r="795" ht="15.75" customHeight="1" s="251">
      <c r="A795" s="153" t="n"/>
      <c r="B795" s="154" t="n"/>
      <c r="C795" s="154" t="n"/>
      <c r="D795" s="154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  <c r="AA795" s="154" t="n"/>
      <c r="AB795" s="154" t="n"/>
      <c r="AC795" s="154" t="n"/>
      <c r="AD795" s="154" t="n"/>
      <c r="AE795" s="154" t="n"/>
      <c r="AF795" s="154" t="n"/>
      <c r="AG795" s="154" t="n"/>
      <c r="AH795" s="154" t="n"/>
      <c r="AI795" s="154" t="n"/>
      <c r="AJ795" s="154" t="n"/>
      <c r="AK795" s="154" t="n"/>
      <c r="AL795" s="154" t="n"/>
      <c r="AM795" s="154" t="n"/>
      <c r="AN795" s="154" t="n"/>
      <c r="AO795" s="154" t="n"/>
      <c r="AP795" s="154" t="n"/>
      <c r="AQ795" s="154" t="n"/>
      <c r="AR795" s="154" t="n"/>
      <c r="AS795" s="154" t="n"/>
      <c r="AT795" s="154" t="n"/>
      <c r="AU795" s="154" t="n"/>
      <c r="AV795" s="154" t="n"/>
      <c r="AW795" s="154" t="n"/>
      <c r="AX795" s="154" t="n"/>
      <c r="AY795" s="154" t="n"/>
      <c r="AZ795" s="154" t="n"/>
      <c r="BA795" s="154" t="n"/>
      <c r="BB795" s="154" t="n"/>
      <c r="BC795" s="154" t="n"/>
      <c r="BD795" s="154" t="n"/>
      <c r="BE795" s="154" t="n"/>
      <c r="BF795" s="154" t="n"/>
      <c r="BG795" s="154" t="n"/>
      <c r="BH795" s="154" t="n"/>
    </row>
    <row r="796" ht="15.75" customHeight="1" s="251">
      <c r="A796" s="153" t="n"/>
      <c r="B796" s="154" t="n"/>
      <c r="C796" s="154" t="n"/>
      <c r="D796" s="154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  <c r="AA796" s="154" t="n"/>
      <c r="AB796" s="154" t="n"/>
      <c r="AC796" s="154" t="n"/>
      <c r="AD796" s="154" t="n"/>
      <c r="AE796" s="154" t="n"/>
      <c r="AF796" s="154" t="n"/>
      <c r="AG796" s="154" t="n"/>
      <c r="AH796" s="154" t="n"/>
      <c r="AI796" s="154" t="n"/>
      <c r="AJ796" s="154" t="n"/>
      <c r="AK796" s="154" t="n"/>
      <c r="AL796" s="154" t="n"/>
      <c r="AM796" s="154" t="n"/>
      <c r="AN796" s="154" t="n"/>
      <c r="AO796" s="154" t="n"/>
      <c r="AP796" s="154" t="n"/>
      <c r="AQ796" s="154" t="n"/>
      <c r="AR796" s="154" t="n"/>
      <c r="AS796" s="154" t="n"/>
      <c r="AT796" s="154" t="n"/>
      <c r="AU796" s="154" t="n"/>
      <c r="AV796" s="154" t="n"/>
      <c r="AW796" s="154" t="n"/>
      <c r="AX796" s="154" t="n"/>
      <c r="AY796" s="154" t="n"/>
      <c r="AZ796" s="154" t="n"/>
      <c r="BA796" s="154" t="n"/>
      <c r="BB796" s="154" t="n"/>
      <c r="BC796" s="154" t="n"/>
      <c r="BD796" s="154" t="n"/>
      <c r="BE796" s="154" t="n"/>
      <c r="BF796" s="154" t="n"/>
      <c r="BG796" s="154" t="n"/>
      <c r="BH796" s="154" t="n"/>
    </row>
    <row r="797" ht="15.75" customHeight="1" s="251">
      <c r="A797" s="153" t="n"/>
      <c r="B797" s="154" t="n"/>
      <c r="C797" s="154" t="n"/>
      <c r="D797" s="154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  <c r="AA797" s="154" t="n"/>
      <c r="AB797" s="154" t="n"/>
      <c r="AC797" s="154" t="n"/>
      <c r="AD797" s="154" t="n"/>
      <c r="AE797" s="154" t="n"/>
      <c r="AF797" s="154" t="n"/>
      <c r="AG797" s="154" t="n"/>
      <c r="AH797" s="154" t="n"/>
      <c r="AI797" s="154" t="n"/>
      <c r="AJ797" s="154" t="n"/>
      <c r="AK797" s="154" t="n"/>
      <c r="AL797" s="154" t="n"/>
      <c r="AM797" s="154" t="n"/>
      <c r="AN797" s="154" t="n"/>
      <c r="AO797" s="154" t="n"/>
      <c r="AP797" s="154" t="n"/>
      <c r="AQ797" s="154" t="n"/>
      <c r="AR797" s="154" t="n"/>
      <c r="AS797" s="154" t="n"/>
      <c r="AT797" s="154" t="n"/>
      <c r="AU797" s="154" t="n"/>
      <c r="AV797" s="154" t="n"/>
      <c r="AW797" s="154" t="n"/>
      <c r="AX797" s="154" t="n"/>
      <c r="AY797" s="154" t="n"/>
      <c r="AZ797" s="154" t="n"/>
      <c r="BA797" s="154" t="n"/>
      <c r="BB797" s="154" t="n"/>
      <c r="BC797" s="154" t="n"/>
      <c r="BD797" s="154" t="n"/>
      <c r="BE797" s="154" t="n"/>
      <c r="BF797" s="154" t="n"/>
      <c r="BG797" s="154" t="n"/>
      <c r="BH797" s="154" t="n"/>
    </row>
    <row r="798" ht="15.75" customHeight="1" s="251">
      <c r="A798" s="153" t="n"/>
      <c r="B798" s="154" t="n"/>
      <c r="C798" s="154" t="n"/>
      <c r="D798" s="154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  <c r="AA798" s="154" t="n"/>
      <c r="AB798" s="154" t="n"/>
      <c r="AC798" s="154" t="n"/>
      <c r="AD798" s="154" t="n"/>
      <c r="AE798" s="154" t="n"/>
      <c r="AF798" s="154" t="n"/>
      <c r="AG798" s="154" t="n"/>
      <c r="AH798" s="154" t="n"/>
      <c r="AI798" s="154" t="n"/>
      <c r="AJ798" s="154" t="n"/>
      <c r="AK798" s="154" t="n"/>
      <c r="AL798" s="154" t="n"/>
      <c r="AM798" s="154" t="n"/>
      <c r="AN798" s="154" t="n"/>
      <c r="AO798" s="154" t="n"/>
      <c r="AP798" s="154" t="n"/>
      <c r="AQ798" s="154" t="n"/>
      <c r="AR798" s="154" t="n"/>
      <c r="AS798" s="154" t="n"/>
      <c r="AT798" s="154" t="n"/>
      <c r="AU798" s="154" t="n"/>
      <c r="AV798" s="154" t="n"/>
      <c r="AW798" s="154" t="n"/>
      <c r="AX798" s="154" t="n"/>
      <c r="AY798" s="154" t="n"/>
      <c r="AZ798" s="154" t="n"/>
      <c r="BA798" s="154" t="n"/>
      <c r="BB798" s="154" t="n"/>
      <c r="BC798" s="154" t="n"/>
      <c r="BD798" s="154" t="n"/>
      <c r="BE798" s="154" t="n"/>
      <c r="BF798" s="154" t="n"/>
      <c r="BG798" s="154" t="n"/>
      <c r="BH798" s="154" t="n"/>
    </row>
    <row r="799" ht="15.75" customHeight="1" s="251">
      <c r="A799" s="153" t="n"/>
      <c r="B799" s="154" t="n"/>
      <c r="C799" s="154" t="n"/>
      <c r="D799" s="154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  <c r="AA799" s="154" t="n"/>
      <c r="AB799" s="154" t="n"/>
      <c r="AC799" s="154" t="n"/>
      <c r="AD799" s="154" t="n"/>
      <c r="AE799" s="154" t="n"/>
      <c r="AF799" s="154" t="n"/>
      <c r="AG799" s="154" t="n"/>
      <c r="AH799" s="154" t="n"/>
      <c r="AI799" s="154" t="n"/>
      <c r="AJ799" s="154" t="n"/>
      <c r="AK799" s="154" t="n"/>
      <c r="AL799" s="154" t="n"/>
      <c r="AM799" s="154" t="n"/>
      <c r="AN799" s="154" t="n"/>
      <c r="AO799" s="154" t="n"/>
      <c r="AP799" s="154" t="n"/>
      <c r="AQ799" s="154" t="n"/>
      <c r="AR799" s="154" t="n"/>
      <c r="AS799" s="154" t="n"/>
      <c r="AT799" s="154" t="n"/>
      <c r="AU799" s="154" t="n"/>
      <c r="AV799" s="154" t="n"/>
      <c r="AW799" s="154" t="n"/>
      <c r="AX799" s="154" t="n"/>
      <c r="AY799" s="154" t="n"/>
      <c r="AZ799" s="154" t="n"/>
      <c r="BA799" s="154" t="n"/>
      <c r="BB799" s="154" t="n"/>
      <c r="BC799" s="154" t="n"/>
      <c r="BD799" s="154" t="n"/>
      <c r="BE799" s="154" t="n"/>
      <c r="BF799" s="154" t="n"/>
      <c r="BG799" s="154" t="n"/>
      <c r="BH799" s="154" t="n"/>
    </row>
    <row r="800" ht="15.75" customHeight="1" s="251">
      <c r="A800" s="153" t="n"/>
      <c r="B800" s="154" t="n"/>
      <c r="C800" s="154" t="n"/>
      <c r="D800" s="154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  <c r="AA800" s="154" t="n"/>
      <c r="AB800" s="154" t="n"/>
      <c r="AC800" s="154" t="n"/>
      <c r="AD800" s="154" t="n"/>
      <c r="AE800" s="154" t="n"/>
      <c r="AF800" s="154" t="n"/>
      <c r="AG800" s="154" t="n"/>
      <c r="AH800" s="154" t="n"/>
      <c r="AI800" s="154" t="n"/>
      <c r="AJ800" s="154" t="n"/>
      <c r="AK800" s="154" t="n"/>
      <c r="AL800" s="154" t="n"/>
      <c r="AM800" s="154" t="n"/>
      <c r="AN800" s="154" t="n"/>
      <c r="AO800" s="154" t="n"/>
      <c r="AP800" s="154" t="n"/>
      <c r="AQ800" s="154" t="n"/>
      <c r="AR800" s="154" t="n"/>
      <c r="AS800" s="154" t="n"/>
      <c r="AT800" s="154" t="n"/>
      <c r="AU800" s="154" t="n"/>
      <c r="AV800" s="154" t="n"/>
      <c r="AW800" s="154" t="n"/>
      <c r="AX800" s="154" t="n"/>
      <c r="AY800" s="154" t="n"/>
      <c r="AZ800" s="154" t="n"/>
      <c r="BA800" s="154" t="n"/>
      <c r="BB800" s="154" t="n"/>
      <c r="BC800" s="154" t="n"/>
      <c r="BD800" s="154" t="n"/>
      <c r="BE800" s="154" t="n"/>
      <c r="BF800" s="154" t="n"/>
      <c r="BG800" s="154" t="n"/>
      <c r="BH800" s="154" t="n"/>
    </row>
    <row r="801" ht="15.75" customHeight="1" s="251">
      <c r="A801" s="153" t="n"/>
      <c r="B801" s="154" t="n"/>
      <c r="C801" s="154" t="n"/>
      <c r="D801" s="154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  <c r="AA801" s="154" t="n"/>
      <c r="AB801" s="154" t="n"/>
      <c r="AC801" s="154" t="n"/>
      <c r="AD801" s="154" t="n"/>
      <c r="AE801" s="154" t="n"/>
      <c r="AF801" s="154" t="n"/>
      <c r="AG801" s="154" t="n"/>
      <c r="AH801" s="154" t="n"/>
      <c r="AI801" s="154" t="n"/>
      <c r="AJ801" s="154" t="n"/>
      <c r="AK801" s="154" t="n"/>
      <c r="AL801" s="154" t="n"/>
      <c r="AM801" s="154" t="n"/>
      <c r="AN801" s="154" t="n"/>
      <c r="AO801" s="154" t="n"/>
      <c r="AP801" s="154" t="n"/>
      <c r="AQ801" s="154" t="n"/>
      <c r="AR801" s="154" t="n"/>
      <c r="AS801" s="154" t="n"/>
      <c r="AT801" s="154" t="n"/>
      <c r="AU801" s="154" t="n"/>
      <c r="AV801" s="154" t="n"/>
      <c r="AW801" s="154" t="n"/>
      <c r="AX801" s="154" t="n"/>
      <c r="AY801" s="154" t="n"/>
      <c r="AZ801" s="154" t="n"/>
      <c r="BA801" s="154" t="n"/>
      <c r="BB801" s="154" t="n"/>
      <c r="BC801" s="154" t="n"/>
      <c r="BD801" s="154" t="n"/>
      <c r="BE801" s="154" t="n"/>
      <c r="BF801" s="154" t="n"/>
      <c r="BG801" s="154" t="n"/>
      <c r="BH801" s="154" t="n"/>
    </row>
    <row r="802" ht="15.75" customHeight="1" s="251">
      <c r="A802" s="153" t="n"/>
      <c r="B802" s="154" t="n"/>
      <c r="C802" s="154" t="n"/>
      <c r="D802" s="154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  <c r="AA802" s="154" t="n"/>
      <c r="AB802" s="154" t="n"/>
      <c r="AC802" s="154" t="n"/>
      <c r="AD802" s="154" t="n"/>
      <c r="AE802" s="154" t="n"/>
      <c r="AF802" s="154" t="n"/>
      <c r="AG802" s="154" t="n"/>
      <c r="AH802" s="154" t="n"/>
      <c r="AI802" s="154" t="n"/>
      <c r="AJ802" s="154" t="n"/>
      <c r="AK802" s="154" t="n"/>
      <c r="AL802" s="154" t="n"/>
      <c r="AM802" s="154" t="n"/>
      <c r="AN802" s="154" t="n"/>
      <c r="AO802" s="154" t="n"/>
      <c r="AP802" s="154" t="n"/>
      <c r="AQ802" s="154" t="n"/>
      <c r="AR802" s="154" t="n"/>
      <c r="AS802" s="154" t="n"/>
      <c r="AT802" s="154" t="n"/>
      <c r="AU802" s="154" t="n"/>
      <c r="AV802" s="154" t="n"/>
      <c r="AW802" s="154" t="n"/>
      <c r="AX802" s="154" t="n"/>
      <c r="AY802" s="154" t="n"/>
      <c r="AZ802" s="154" t="n"/>
      <c r="BA802" s="154" t="n"/>
      <c r="BB802" s="154" t="n"/>
      <c r="BC802" s="154" t="n"/>
      <c r="BD802" s="154" t="n"/>
      <c r="BE802" s="154" t="n"/>
      <c r="BF802" s="154" t="n"/>
      <c r="BG802" s="154" t="n"/>
      <c r="BH802" s="154" t="n"/>
    </row>
    <row r="803" ht="15.75" customHeight="1" s="251">
      <c r="A803" s="153" t="n"/>
      <c r="B803" s="154" t="n"/>
      <c r="C803" s="154" t="n"/>
      <c r="D803" s="154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  <c r="AA803" s="154" t="n"/>
      <c r="AB803" s="154" t="n"/>
      <c r="AC803" s="154" t="n"/>
      <c r="AD803" s="154" t="n"/>
      <c r="AE803" s="154" t="n"/>
      <c r="AF803" s="154" t="n"/>
      <c r="AG803" s="154" t="n"/>
      <c r="AH803" s="154" t="n"/>
      <c r="AI803" s="154" t="n"/>
      <c r="AJ803" s="154" t="n"/>
      <c r="AK803" s="154" t="n"/>
      <c r="AL803" s="154" t="n"/>
      <c r="AM803" s="154" t="n"/>
      <c r="AN803" s="154" t="n"/>
      <c r="AO803" s="154" t="n"/>
      <c r="AP803" s="154" t="n"/>
      <c r="AQ803" s="154" t="n"/>
      <c r="AR803" s="154" t="n"/>
      <c r="AS803" s="154" t="n"/>
      <c r="AT803" s="154" t="n"/>
      <c r="AU803" s="154" t="n"/>
      <c r="AV803" s="154" t="n"/>
      <c r="AW803" s="154" t="n"/>
      <c r="AX803" s="154" t="n"/>
      <c r="AY803" s="154" t="n"/>
      <c r="AZ803" s="154" t="n"/>
      <c r="BA803" s="154" t="n"/>
      <c r="BB803" s="154" t="n"/>
      <c r="BC803" s="154" t="n"/>
      <c r="BD803" s="154" t="n"/>
      <c r="BE803" s="154" t="n"/>
      <c r="BF803" s="154" t="n"/>
      <c r="BG803" s="154" t="n"/>
      <c r="BH803" s="154" t="n"/>
    </row>
    <row r="804" ht="15.75" customHeight="1" s="251">
      <c r="A804" s="153" t="n"/>
      <c r="B804" s="154" t="n"/>
      <c r="C804" s="154" t="n"/>
      <c r="D804" s="154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  <c r="AA804" s="154" t="n"/>
      <c r="AB804" s="154" t="n"/>
      <c r="AC804" s="154" t="n"/>
      <c r="AD804" s="154" t="n"/>
      <c r="AE804" s="154" t="n"/>
      <c r="AF804" s="154" t="n"/>
      <c r="AG804" s="154" t="n"/>
      <c r="AH804" s="154" t="n"/>
      <c r="AI804" s="154" t="n"/>
      <c r="AJ804" s="154" t="n"/>
      <c r="AK804" s="154" t="n"/>
      <c r="AL804" s="154" t="n"/>
      <c r="AM804" s="154" t="n"/>
      <c r="AN804" s="154" t="n"/>
      <c r="AO804" s="154" t="n"/>
      <c r="AP804" s="154" t="n"/>
      <c r="AQ804" s="154" t="n"/>
      <c r="AR804" s="154" t="n"/>
      <c r="AS804" s="154" t="n"/>
      <c r="AT804" s="154" t="n"/>
      <c r="AU804" s="154" t="n"/>
      <c r="AV804" s="154" t="n"/>
      <c r="AW804" s="154" t="n"/>
      <c r="AX804" s="154" t="n"/>
      <c r="AY804" s="154" t="n"/>
      <c r="AZ804" s="154" t="n"/>
      <c r="BA804" s="154" t="n"/>
      <c r="BB804" s="154" t="n"/>
      <c r="BC804" s="154" t="n"/>
      <c r="BD804" s="154" t="n"/>
      <c r="BE804" s="154" t="n"/>
      <c r="BF804" s="154" t="n"/>
      <c r="BG804" s="154" t="n"/>
      <c r="BH804" s="154" t="n"/>
    </row>
    <row r="805" ht="15.75" customHeight="1" s="251">
      <c r="A805" s="153" t="n"/>
      <c r="B805" s="154" t="n"/>
      <c r="C805" s="154" t="n"/>
      <c r="D805" s="154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  <c r="AA805" s="154" t="n"/>
      <c r="AB805" s="154" t="n"/>
      <c r="AC805" s="154" t="n"/>
      <c r="AD805" s="154" t="n"/>
      <c r="AE805" s="154" t="n"/>
      <c r="AF805" s="154" t="n"/>
      <c r="AG805" s="154" t="n"/>
      <c r="AH805" s="154" t="n"/>
      <c r="AI805" s="154" t="n"/>
      <c r="AJ805" s="154" t="n"/>
      <c r="AK805" s="154" t="n"/>
      <c r="AL805" s="154" t="n"/>
      <c r="AM805" s="154" t="n"/>
      <c r="AN805" s="154" t="n"/>
      <c r="AO805" s="154" t="n"/>
      <c r="AP805" s="154" t="n"/>
      <c r="AQ805" s="154" t="n"/>
      <c r="AR805" s="154" t="n"/>
      <c r="AS805" s="154" t="n"/>
      <c r="AT805" s="154" t="n"/>
      <c r="AU805" s="154" t="n"/>
      <c r="AV805" s="154" t="n"/>
      <c r="AW805" s="154" t="n"/>
      <c r="AX805" s="154" t="n"/>
      <c r="AY805" s="154" t="n"/>
      <c r="AZ805" s="154" t="n"/>
      <c r="BA805" s="154" t="n"/>
      <c r="BB805" s="154" t="n"/>
      <c r="BC805" s="154" t="n"/>
      <c r="BD805" s="154" t="n"/>
      <c r="BE805" s="154" t="n"/>
      <c r="BF805" s="154" t="n"/>
      <c r="BG805" s="154" t="n"/>
      <c r="BH805" s="154" t="n"/>
    </row>
    <row r="806" ht="15.75" customHeight="1" s="251">
      <c r="A806" s="153" t="n"/>
      <c r="B806" s="154" t="n"/>
      <c r="C806" s="154" t="n"/>
      <c r="D806" s="154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  <c r="AA806" s="154" t="n"/>
      <c r="AB806" s="154" t="n"/>
      <c r="AC806" s="154" t="n"/>
      <c r="AD806" s="154" t="n"/>
      <c r="AE806" s="154" t="n"/>
      <c r="AF806" s="154" t="n"/>
      <c r="AG806" s="154" t="n"/>
      <c r="AH806" s="154" t="n"/>
      <c r="AI806" s="154" t="n"/>
      <c r="AJ806" s="154" t="n"/>
      <c r="AK806" s="154" t="n"/>
      <c r="AL806" s="154" t="n"/>
      <c r="AM806" s="154" t="n"/>
      <c r="AN806" s="154" t="n"/>
      <c r="AO806" s="154" t="n"/>
      <c r="AP806" s="154" t="n"/>
      <c r="AQ806" s="154" t="n"/>
      <c r="AR806" s="154" t="n"/>
      <c r="AS806" s="154" t="n"/>
      <c r="AT806" s="154" t="n"/>
      <c r="AU806" s="154" t="n"/>
      <c r="AV806" s="154" t="n"/>
      <c r="AW806" s="154" t="n"/>
      <c r="AX806" s="154" t="n"/>
      <c r="AY806" s="154" t="n"/>
      <c r="AZ806" s="154" t="n"/>
      <c r="BA806" s="154" t="n"/>
      <c r="BB806" s="154" t="n"/>
      <c r="BC806" s="154" t="n"/>
      <c r="BD806" s="154" t="n"/>
      <c r="BE806" s="154" t="n"/>
      <c r="BF806" s="154" t="n"/>
      <c r="BG806" s="154" t="n"/>
      <c r="BH806" s="154" t="n"/>
    </row>
    <row r="807" ht="15.75" customHeight="1" s="251">
      <c r="A807" s="153" t="n"/>
      <c r="B807" s="154" t="n"/>
      <c r="C807" s="154" t="n"/>
      <c r="D807" s="154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  <c r="AA807" s="154" t="n"/>
      <c r="AB807" s="154" t="n"/>
      <c r="AC807" s="154" t="n"/>
      <c r="AD807" s="154" t="n"/>
      <c r="AE807" s="154" t="n"/>
      <c r="AF807" s="154" t="n"/>
      <c r="AG807" s="154" t="n"/>
      <c r="AH807" s="154" t="n"/>
      <c r="AI807" s="154" t="n"/>
      <c r="AJ807" s="154" t="n"/>
      <c r="AK807" s="154" t="n"/>
      <c r="AL807" s="154" t="n"/>
      <c r="AM807" s="154" t="n"/>
      <c r="AN807" s="154" t="n"/>
      <c r="AO807" s="154" t="n"/>
      <c r="AP807" s="154" t="n"/>
      <c r="AQ807" s="154" t="n"/>
      <c r="AR807" s="154" t="n"/>
      <c r="AS807" s="154" t="n"/>
      <c r="AT807" s="154" t="n"/>
      <c r="AU807" s="154" t="n"/>
      <c r="AV807" s="154" t="n"/>
      <c r="AW807" s="154" t="n"/>
      <c r="AX807" s="154" t="n"/>
      <c r="AY807" s="154" t="n"/>
      <c r="AZ807" s="154" t="n"/>
      <c r="BA807" s="154" t="n"/>
      <c r="BB807" s="154" t="n"/>
      <c r="BC807" s="154" t="n"/>
      <c r="BD807" s="154" t="n"/>
      <c r="BE807" s="154" t="n"/>
      <c r="BF807" s="154" t="n"/>
      <c r="BG807" s="154" t="n"/>
      <c r="BH807" s="154" t="n"/>
    </row>
    <row r="808" ht="15.75" customHeight="1" s="251">
      <c r="A808" s="153" t="n"/>
      <c r="B808" s="154" t="n"/>
      <c r="C808" s="154" t="n"/>
      <c r="D808" s="154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  <c r="AA808" s="154" t="n"/>
      <c r="AB808" s="154" t="n"/>
      <c r="AC808" s="154" t="n"/>
      <c r="AD808" s="154" t="n"/>
      <c r="AE808" s="154" t="n"/>
      <c r="AF808" s="154" t="n"/>
      <c r="AG808" s="154" t="n"/>
      <c r="AH808" s="154" t="n"/>
      <c r="AI808" s="154" t="n"/>
      <c r="AJ808" s="154" t="n"/>
      <c r="AK808" s="154" t="n"/>
      <c r="AL808" s="154" t="n"/>
      <c r="AM808" s="154" t="n"/>
      <c r="AN808" s="154" t="n"/>
      <c r="AO808" s="154" t="n"/>
      <c r="AP808" s="154" t="n"/>
      <c r="AQ808" s="154" t="n"/>
      <c r="AR808" s="154" t="n"/>
      <c r="AS808" s="154" t="n"/>
      <c r="AT808" s="154" t="n"/>
      <c r="AU808" s="154" t="n"/>
      <c r="AV808" s="154" t="n"/>
      <c r="AW808" s="154" t="n"/>
      <c r="AX808" s="154" t="n"/>
      <c r="AY808" s="154" t="n"/>
      <c r="AZ808" s="154" t="n"/>
      <c r="BA808" s="154" t="n"/>
      <c r="BB808" s="154" t="n"/>
      <c r="BC808" s="154" t="n"/>
      <c r="BD808" s="154" t="n"/>
      <c r="BE808" s="154" t="n"/>
      <c r="BF808" s="154" t="n"/>
      <c r="BG808" s="154" t="n"/>
      <c r="BH808" s="154" t="n"/>
    </row>
    <row r="809" ht="15.75" customHeight="1" s="251">
      <c r="A809" s="153" t="n"/>
      <c r="B809" s="154" t="n"/>
      <c r="C809" s="154" t="n"/>
      <c r="D809" s="154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  <c r="AA809" s="154" t="n"/>
      <c r="AB809" s="154" t="n"/>
      <c r="AC809" s="154" t="n"/>
      <c r="AD809" s="154" t="n"/>
      <c r="AE809" s="154" t="n"/>
      <c r="AF809" s="154" t="n"/>
      <c r="AG809" s="154" t="n"/>
      <c r="AH809" s="154" t="n"/>
      <c r="AI809" s="154" t="n"/>
      <c r="AJ809" s="154" t="n"/>
      <c r="AK809" s="154" t="n"/>
      <c r="AL809" s="154" t="n"/>
      <c r="AM809" s="154" t="n"/>
      <c r="AN809" s="154" t="n"/>
      <c r="AO809" s="154" t="n"/>
      <c r="AP809" s="154" t="n"/>
      <c r="AQ809" s="154" t="n"/>
      <c r="AR809" s="154" t="n"/>
      <c r="AS809" s="154" t="n"/>
      <c r="AT809" s="154" t="n"/>
      <c r="AU809" s="154" t="n"/>
      <c r="AV809" s="154" t="n"/>
      <c r="AW809" s="154" t="n"/>
      <c r="AX809" s="154" t="n"/>
      <c r="AY809" s="154" t="n"/>
      <c r="AZ809" s="154" t="n"/>
      <c r="BA809" s="154" t="n"/>
      <c r="BB809" s="154" t="n"/>
      <c r="BC809" s="154" t="n"/>
      <c r="BD809" s="154" t="n"/>
      <c r="BE809" s="154" t="n"/>
      <c r="BF809" s="154" t="n"/>
      <c r="BG809" s="154" t="n"/>
      <c r="BH809" s="154" t="n"/>
    </row>
    <row r="810" ht="15.75" customHeight="1" s="251">
      <c r="A810" s="153" t="n"/>
      <c r="B810" s="154" t="n"/>
      <c r="C810" s="154" t="n"/>
      <c r="D810" s="154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  <c r="AA810" s="154" t="n"/>
      <c r="AB810" s="154" t="n"/>
      <c r="AC810" s="154" t="n"/>
      <c r="AD810" s="154" t="n"/>
      <c r="AE810" s="154" t="n"/>
      <c r="AF810" s="154" t="n"/>
      <c r="AG810" s="154" t="n"/>
      <c r="AH810" s="154" t="n"/>
      <c r="AI810" s="154" t="n"/>
      <c r="AJ810" s="154" t="n"/>
      <c r="AK810" s="154" t="n"/>
      <c r="AL810" s="154" t="n"/>
      <c r="AM810" s="154" t="n"/>
      <c r="AN810" s="154" t="n"/>
      <c r="AO810" s="154" t="n"/>
      <c r="AP810" s="154" t="n"/>
      <c r="AQ810" s="154" t="n"/>
      <c r="AR810" s="154" t="n"/>
      <c r="AS810" s="154" t="n"/>
      <c r="AT810" s="154" t="n"/>
      <c r="AU810" s="154" t="n"/>
      <c r="AV810" s="154" t="n"/>
      <c r="AW810" s="154" t="n"/>
      <c r="AX810" s="154" t="n"/>
      <c r="AY810" s="154" t="n"/>
      <c r="AZ810" s="154" t="n"/>
      <c r="BA810" s="154" t="n"/>
      <c r="BB810" s="154" t="n"/>
      <c r="BC810" s="154" t="n"/>
      <c r="BD810" s="154" t="n"/>
      <c r="BE810" s="154" t="n"/>
      <c r="BF810" s="154" t="n"/>
      <c r="BG810" s="154" t="n"/>
      <c r="BH810" s="154" t="n"/>
    </row>
    <row r="811" ht="15.75" customHeight="1" s="251">
      <c r="A811" s="153" t="n"/>
      <c r="B811" s="154" t="n"/>
      <c r="C811" s="154" t="n"/>
      <c r="D811" s="154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  <c r="AA811" s="154" t="n"/>
      <c r="AB811" s="154" t="n"/>
      <c r="AC811" s="154" t="n"/>
      <c r="AD811" s="154" t="n"/>
      <c r="AE811" s="154" t="n"/>
      <c r="AF811" s="154" t="n"/>
      <c r="AG811" s="154" t="n"/>
      <c r="AH811" s="154" t="n"/>
      <c r="AI811" s="154" t="n"/>
      <c r="AJ811" s="154" t="n"/>
      <c r="AK811" s="154" t="n"/>
      <c r="AL811" s="154" t="n"/>
      <c r="AM811" s="154" t="n"/>
      <c r="AN811" s="154" t="n"/>
      <c r="AO811" s="154" t="n"/>
      <c r="AP811" s="154" t="n"/>
      <c r="AQ811" s="154" t="n"/>
      <c r="AR811" s="154" t="n"/>
      <c r="AS811" s="154" t="n"/>
      <c r="AT811" s="154" t="n"/>
      <c r="AU811" s="154" t="n"/>
      <c r="AV811" s="154" t="n"/>
      <c r="AW811" s="154" t="n"/>
      <c r="AX811" s="154" t="n"/>
      <c r="AY811" s="154" t="n"/>
      <c r="AZ811" s="154" t="n"/>
      <c r="BA811" s="154" t="n"/>
      <c r="BB811" s="154" t="n"/>
      <c r="BC811" s="154" t="n"/>
      <c r="BD811" s="154" t="n"/>
      <c r="BE811" s="154" t="n"/>
      <c r="BF811" s="154" t="n"/>
      <c r="BG811" s="154" t="n"/>
      <c r="BH811" s="154" t="n"/>
    </row>
    <row r="812" ht="15.75" customHeight="1" s="251">
      <c r="A812" s="153" t="n"/>
      <c r="B812" s="154" t="n"/>
      <c r="C812" s="154" t="n"/>
      <c r="D812" s="154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  <c r="AA812" s="154" t="n"/>
      <c r="AB812" s="154" t="n"/>
      <c r="AC812" s="154" t="n"/>
      <c r="AD812" s="154" t="n"/>
      <c r="AE812" s="154" t="n"/>
      <c r="AF812" s="154" t="n"/>
      <c r="AG812" s="154" t="n"/>
      <c r="AH812" s="154" t="n"/>
      <c r="AI812" s="154" t="n"/>
      <c r="AJ812" s="154" t="n"/>
      <c r="AK812" s="154" t="n"/>
      <c r="AL812" s="154" t="n"/>
      <c r="AM812" s="154" t="n"/>
      <c r="AN812" s="154" t="n"/>
      <c r="AO812" s="154" t="n"/>
      <c r="AP812" s="154" t="n"/>
      <c r="AQ812" s="154" t="n"/>
      <c r="AR812" s="154" t="n"/>
      <c r="AS812" s="154" t="n"/>
      <c r="AT812" s="154" t="n"/>
      <c r="AU812" s="154" t="n"/>
      <c r="AV812" s="154" t="n"/>
      <c r="AW812" s="154" t="n"/>
      <c r="AX812" s="154" t="n"/>
      <c r="AY812" s="154" t="n"/>
      <c r="AZ812" s="154" t="n"/>
      <c r="BA812" s="154" t="n"/>
      <c r="BB812" s="154" t="n"/>
      <c r="BC812" s="154" t="n"/>
      <c r="BD812" s="154" t="n"/>
      <c r="BE812" s="154" t="n"/>
      <c r="BF812" s="154" t="n"/>
      <c r="BG812" s="154" t="n"/>
      <c r="BH812" s="154" t="n"/>
    </row>
    <row r="813" ht="15.75" customHeight="1" s="251">
      <c r="A813" s="153" t="n"/>
      <c r="B813" s="154" t="n"/>
      <c r="C813" s="154" t="n"/>
      <c r="D813" s="154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  <c r="AA813" s="154" t="n"/>
      <c r="AB813" s="154" t="n"/>
      <c r="AC813" s="154" t="n"/>
      <c r="AD813" s="154" t="n"/>
      <c r="AE813" s="154" t="n"/>
      <c r="AF813" s="154" t="n"/>
      <c r="AG813" s="154" t="n"/>
      <c r="AH813" s="154" t="n"/>
      <c r="AI813" s="154" t="n"/>
      <c r="AJ813" s="154" t="n"/>
      <c r="AK813" s="154" t="n"/>
      <c r="AL813" s="154" t="n"/>
      <c r="AM813" s="154" t="n"/>
      <c r="AN813" s="154" t="n"/>
      <c r="AO813" s="154" t="n"/>
      <c r="AP813" s="154" t="n"/>
      <c r="AQ813" s="154" t="n"/>
      <c r="AR813" s="154" t="n"/>
      <c r="AS813" s="154" t="n"/>
      <c r="AT813" s="154" t="n"/>
      <c r="AU813" s="154" t="n"/>
      <c r="AV813" s="154" t="n"/>
      <c r="AW813" s="154" t="n"/>
      <c r="AX813" s="154" t="n"/>
      <c r="AY813" s="154" t="n"/>
      <c r="AZ813" s="154" t="n"/>
      <c r="BA813" s="154" t="n"/>
      <c r="BB813" s="154" t="n"/>
      <c r="BC813" s="154" t="n"/>
      <c r="BD813" s="154" t="n"/>
      <c r="BE813" s="154" t="n"/>
      <c r="BF813" s="154" t="n"/>
      <c r="BG813" s="154" t="n"/>
      <c r="BH813" s="154" t="n"/>
    </row>
    <row r="814" ht="15.75" customHeight="1" s="251">
      <c r="A814" s="153" t="n"/>
      <c r="B814" s="154" t="n"/>
      <c r="C814" s="154" t="n"/>
      <c r="D814" s="154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  <c r="AA814" s="154" t="n"/>
      <c r="AB814" s="154" t="n"/>
      <c r="AC814" s="154" t="n"/>
      <c r="AD814" s="154" t="n"/>
      <c r="AE814" s="154" t="n"/>
      <c r="AF814" s="154" t="n"/>
      <c r="AG814" s="154" t="n"/>
      <c r="AH814" s="154" t="n"/>
      <c r="AI814" s="154" t="n"/>
      <c r="AJ814" s="154" t="n"/>
      <c r="AK814" s="154" t="n"/>
      <c r="AL814" s="154" t="n"/>
      <c r="AM814" s="154" t="n"/>
      <c r="AN814" s="154" t="n"/>
      <c r="AO814" s="154" t="n"/>
      <c r="AP814" s="154" t="n"/>
      <c r="AQ814" s="154" t="n"/>
      <c r="AR814" s="154" t="n"/>
      <c r="AS814" s="154" t="n"/>
      <c r="AT814" s="154" t="n"/>
      <c r="AU814" s="154" t="n"/>
      <c r="AV814" s="154" t="n"/>
      <c r="AW814" s="154" t="n"/>
      <c r="AX814" s="154" t="n"/>
      <c r="AY814" s="154" t="n"/>
      <c r="AZ814" s="154" t="n"/>
      <c r="BA814" s="154" t="n"/>
      <c r="BB814" s="154" t="n"/>
      <c r="BC814" s="154" t="n"/>
      <c r="BD814" s="154" t="n"/>
      <c r="BE814" s="154" t="n"/>
      <c r="BF814" s="154" t="n"/>
      <c r="BG814" s="154" t="n"/>
      <c r="BH814" s="154" t="n"/>
    </row>
    <row r="815" ht="15.75" customHeight="1" s="251">
      <c r="A815" s="153" t="n"/>
      <c r="B815" s="154" t="n"/>
      <c r="C815" s="154" t="n"/>
      <c r="D815" s="154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  <c r="AA815" s="154" t="n"/>
      <c r="AB815" s="154" t="n"/>
      <c r="AC815" s="154" t="n"/>
      <c r="AD815" s="154" t="n"/>
      <c r="AE815" s="154" t="n"/>
      <c r="AF815" s="154" t="n"/>
      <c r="AG815" s="154" t="n"/>
      <c r="AH815" s="154" t="n"/>
      <c r="AI815" s="154" t="n"/>
      <c r="AJ815" s="154" t="n"/>
      <c r="AK815" s="154" t="n"/>
      <c r="AL815" s="154" t="n"/>
      <c r="AM815" s="154" t="n"/>
      <c r="AN815" s="154" t="n"/>
      <c r="AO815" s="154" t="n"/>
      <c r="AP815" s="154" t="n"/>
      <c r="AQ815" s="154" t="n"/>
      <c r="AR815" s="154" t="n"/>
      <c r="AS815" s="154" t="n"/>
      <c r="AT815" s="154" t="n"/>
      <c r="AU815" s="154" t="n"/>
      <c r="AV815" s="154" t="n"/>
      <c r="AW815" s="154" t="n"/>
      <c r="AX815" s="154" t="n"/>
      <c r="AY815" s="154" t="n"/>
      <c r="AZ815" s="154" t="n"/>
      <c r="BA815" s="154" t="n"/>
      <c r="BB815" s="154" t="n"/>
      <c r="BC815" s="154" t="n"/>
      <c r="BD815" s="154" t="n"/>
      <c r="BE815" s="154" t="n"/>
      <c r="BF815" s="154" t="n"/>
      <c r="BG815" s="154" t="n"/>
      <c r="BH815" s="154" t="n"/>
    </row>
    <row r="816" ht="15.75" customHeight="1" s="251">
      <c r="A816" s="153" t="n"/>
      <c r="B816" s="154" t="n"/>
      <c r="C816" s="154" t="n"/>
      <c r="D816" s="154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  <c r="AA816" s="154" t="n"/>
      <c r="AB816" s="154" t="n"/>
      <c r="AC816" s="154" t="n"/>
      <c r="AD816" s="154" t="n"/>
      <c r="AE816" s="154" t="n"/>
      <c r="AF816" s="154" t="n"/>
      <c r="AG816" s="154" t="n"/>
      <c r="AH816" s="154" t="n"/>
      <c r="AI816" s="154" t="n"/>
      <c r="AJ816" s="154" t="n"/>
      <c r="AK816" s="154" t="n"/>
      <c r="AL816" s="154" t="n"/>
      <c r="AM816" s="154" t="n"/>
      <c r="AN816" s="154" t="n"/>
      <c r="AO816" s="154" t="n"/>
      <c r="AP816" s="154" t="n"/>
      <c r="AQ816" s="154" t="n"/>
      <c r="AR816" s="154" t="n"/>
      <c r="AS816" s="154" t="n"/>
      <c r="AT816" s="154" t="n"/>
      <c r="AU816" s="154" t="n"/>
      <c r="AV816" s="154" t="n"/>
      <c r="AW816" s="154" t="n"/>
      <c r="AX816" s="154" t="n"/>
      <c r="AY816" s="154" t="n"/>
      <c r="AZ816" s="154" t="n"/>
      <c r="BA816" s="154" t="n"/>
      <c r="BB816" s="154" t="n"/>
      <c r="BC816" s="154" t="n"/>
      <c r="BD816" s="154" t="n"/>
      <c r="BE816" s="154" t="n"/>
      <c r="BF816" s="154" t="n"/>
      <c r="BG816" s="154" t="n"/>
      <c r="BH816" s="154" t="n"/>
    </row>
    <row r="817" ht="15.75" customHeight="1" s="251">
      <c r="A817" s="153" t="n"/>
      <c r="B817" s="154" t="n"/>
      <c r="C817" s="154" t="n"/>
      <c r="D817" s="154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  <c r="AA817" s="154" t="n"/>
      <c r="AB817" s="154" t="n"/>
      <c r="AC817" s="154" t="n"/>
      <c r="AD817" s="154" t="n"/>
      <c r="AE817" s="154" t="n"/>
      <c r="AF817" s="154" t="n"/>
      <c r="AG817" s="154" t="n"/>
      <c r="AH817" s="154" t="n"/>
      <c r="AI817" s="154" t="n"/>
      <c r="AJ817" s="154" t="n"/>
      <c r="AK817" s="154" t="n"/>
      <c r="AL817" s="154" t="n"/>
      <c r="AM817" s="154" t="n"/>
      <c r="AN817" s="154" t="n"/>
      <c r="AO817" s="154" t="n"/>
      <c r="AP817" s="154" t="n"/>
      <c r="AQ817" s="154" t="n"/>
      <c r="AR817" s="154" t="n"/>
      <c r="AS817" s="154" t="n"/>
      <c r="AT817" s="154" t="n"/>
      <c r="AU817" s="154" t="n"/>
      <c r="AV817" s="154" t="n"/>
      <c r="AW817" s="154" t="n"/>
      <c r="AX817" s="154" t="n"/>
      <c r="AY817" s="154" t="n"/>
      <c r="AZ817" s="154" t="n"/>
      <c r="BA817" s="154" t="n"/>
      <c r="BB817" s="154" t="n"/>
      <c r="BC817" s="154" t="n"/>
      <c r="BD817" s="154" t="n"/>
      <c r="BE817" s="154" t="n"/>
      <c r="BF817" s="154" t="n"/>
      <c r="BG817" s="154" t="n"/>
      <c r="BH817" s="154" t="n"/>
    </row>
    <row r="818" ht="15.75" customHeight="1" s="251">
      <c r="A818" s="153" t="n"/>
      <c r="B818" s="154" t="n"/>
      <c r="C818" s="154" t="n"/>
      <c r="D818" s="154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  <c r="AA818" s="154" t="n"/>
      <c r="AB818" s="154" t="n"/>
      <c r="AC818" s="154" t="n"/>
      <c r="AD818" s="154" t="n"/>
      <c r="AE818" s="154" t="n"/>
      <c r="AF818" s="154" t="n"/>
      <c r="AG818" s="154" t="n"/>
      <c r="AH818" s="154" t="n"/>
      <c r="AI818" s="154" t="n"/>
      <c r="AJ818" s="154" t="n"/>
      <c r="AK818" s="154" t="n"/>
      <c r="AL818" s="154" t="n"/>
      <c r="AM818" s="154" t="n"/>
      <c r="AN818" s="154" t="n"/>
      <c r="AO818" s="154" t="n"/>
      <c r="AP818" s="154" t="n"/>
      <c r="AQ818" s="154" t="n"/>
      <c r="AR818" s="154" t="n"/>
      <c r="AS818" s="154" t="n"/>
      <c r="AT818" s="154" t="n"/>
      <c r="AU818" s="154" t="n"/>
      <c r="AV818" s="154" t="n"/>
      <c r="AW818" s="154" t="n"/>
      <c r="AX818" s="154" t="n"/>
      <c r="AY818" s="154" t="n"/>
      <c r="AZ818" s="154" t="n"/>
      <c r="BA818" s="154" t="n"/>
      <c r="BB818" s="154" t="n"/>
      <c r="BC818" s="154" t="n"/>
      <c r="BD818" s="154" t="n"/>
      <c r="BE818" s="154" t="n"/>
      <c r="BF818" s="154" t="n"/>
      <c r="BG818" s="154" t="n"/>
      <c r="BH818" s="154" t="n"/>
    </row>
    <row r="819" ht="15.75" customHeight="1" s="251">
      <c r="A819" s="153" t="n"/>
      <c r="B819" s="154" t="n"/>
      <c r="C819" s="154" t="n"/>
      <c r="D819" s="154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  <c r="AA819" s="154" t="n"/>
      <c r="AB819" s="154" t="n"/>
      <c r="AC819" s="154" t="n"/>
      <c r="AD819" s="154" t="n"/>
      <c r="AE819" s="154" t="n"/>
      <c r="AF819" s="154" t="n"/>
      <c r="AG819" s="154" t="n"/>
      <c r="AH819" s="154" t="n"/>
      <c r="AI819" s="154" t="n"/>
      <c r="AJ819" s="154" t="n"/>
      <c r="AK819" s="154" t="n"/>
      <c r="AL819" s="154" t="n"/>
      <c r="AM819" s="154" t="n"/>
      <c r="AN819" s="154" t="n"/>
      <c r="AO819" s="154" t="n"/>
      <c r="AP819" s="154" t="n"/>
      <c r="AQ819" s="154" t="n"/>
      <c r="AR819" s="154" t="n"/>
      <c r="AS819" s="154" t="n"/>
      <c r="AT819" s="154" t="n"/>
      <c r="AU819" s="154" t="n"/>
      <c r="AV819" s="154" t="n"/>
      <c r="AW819" s="154" t="n"/>
      <c r="AX819" s="154" t="n"/>
      <c r="AY819" s="154" t="n"/>
      <c r="AZ819" s="154" t="n"/>
      <c r="BA819" s="154" t="n"/>
      <c r="BB819" s="154" t="n"/>
      <c r="BC819" s="154" t="n"/>
      <c r="BD819" s="154" t="n"/>
      <c r="BE819" s="154" t="n"/>
      <c r="BF819" s="154" t="n"/>
      <c r="BG819" s="154" t="n"/>
      <c r="BH819" s="154" t="n"/>
    </row>
    <row r="820" ht="15.75" customHeight="1" s="251">
      <c r="A820" s="153" t="n"/>
      <c r="B820" s="154" t="n"/>
      <c r="C820" s="154" t="n"/>
      <c r="D820" s="154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  <c r="AA820" s="154" t="n"/>
      <c r="AB820" s="154" t="n"/>
      <c r="AC820" s="154" t="n"/>
      <c r="AD820" s="154" t="n"/>
      <c r="AE820" s="154" t="n"/>
      <c r="AF820" s="154" t="n"/>
      <c r="AG820" s="154" t="n"/>
      <c r="AH820" s="154" t="n"/>
      <c r="AI820" s="154" t="n"/>
      <c r="AJ820" s="154" t="n"/>
      <c r="AK820" s="154" t="n"/>
      <c r="AL820" s="154" t="n"/>
      <c r="AM820" s="154" t="n"/>
      <c r="AN820" s="154" t="n"/>
      <c r="AO820" s="154" t="n"/>
      <c r="AP820" s="154" t="n"/>
      <c r="AQ820" s="154" t="n"/>
      <c r="AR820" s="154" t="n"/>
      <c r="AS820" s="154" t="n"/>
      <c r="AT820" s="154" t="n"/>
      <c r="AU820" s="154" t="n"/>
      <c r="AV820" s="154" t="n"/>
      <c r="AW820" s="154" t="n"/>
      <c r="AX820" s="154" t="n"/>
      <c r="AY820" s="154" t="n"/>
      <c r="AZ820" s="154" t="n"/>
      <c r="BA820" s="154" t="n"/>
      <c r="BB820" s="154" t="n"/>
      <c r="BC820" s="154" t="n"/>
      <c r="BD820" s="154" t="n"/>
      <c r="BE820" s="154" t="n"/>
      <c r="BF820" s="154" t="n"/>
      <c r="BG820" s="154" t="n"/>
      <c r="BH820" s="154" t="n"/>
    </row>
    <row r="821" ht="15.75" customHeight="1" s="251">
      <c r="A821" s="153" t="n"/>
      <c r="B821" s="154" t="n"/>
      <c r="C821" s="154" t="n"/>
      <c r="D821" s="154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  <c r="AA821" s="154" t="n"/>
      <c r="AB821" s="154" t="n"/>
      <c r="AC821" s="154" t="n"/>
      <c r="AD821" s="154" t="n"/>
      <c r="AE821" s="154" t="n"/>
      <c r="AF821" s="154" t="n"/>
      <c r="AG821" s="154" t="n"/>
      <c r="AH821" s="154" t="n"/>
      <c r="AI821" s="154" t="n"/>
      <c r="AJ821" s="154" t="n"/>
      <c r="AK821" s="154" t="n"/>
      <c r="AL821" s="154" t="n"/>
      <c r="AM821" s="154" t="n"/>
      <c r="AN821" s="154" t="n"/>
      <c r="AO821" s="154" t="n"/>
      <c r="AP821" s="154" t="n"/>
      <c r="AQ821" s="154" t="n"/>
      <c r="AR821" s="154" t="n"/>
      <c r="AS821" s="154" t="n"/>
      <c r="AT821" s="154" t="n"/>
      <c r="AU821" s="154" t="n"/>
      <c r="AV821" s="154" t="n"/>
      <c r="AW821" s="154" t="n"/>
      <c r="AX821" s="154" t="n"/>
      <c r="AY821" s="154" t="n"/>
      <c r="AZ821" s="154" t="n"/>
      <c r="BA821" s="154" t="n"/>
      <c r="BB821" s="154" t="n"/>
      <c r="BC821" s="154" t="n"/>
      <c r="BD821" s="154" t="n"/>
      <c r="BE821" s="154" t="n"/>
      <c r="BF821" s="154" t="n"/>
      <c r="BG821" s="154" t="n"/>
      <c r="BH821" s="154" t="n"/>
    </row>
    <row r="822" ht="15.75" customHeight="1" s="251">
      <c r="A822" s="153" t="n"/>
      <c r="B822" s="154" t="n"/>
      <c r="C822" s="154" t="n"/>
      <c r="D822" s="154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  <c r="AA822" s="154" t="n"/>
      <c r="AB822" s="154" t="n"/>
      <c r="AC822" s="154" t="n"/>
      <c r="AD822" s="154" t="n"/>
      <c r="AE822" s="154" t="n"/>
      <c r="AF822" s="154" t="n"/>
      <c r="AG822" s="154" t="n"/>
      <c r="AH822" s="154" t="n"/>
      <c r="AI822" s="154" t="n"/>
      <c r="AJ822" s="154" t="n"/>
      <c r="AK822" s="154" t="n"/>
      <c r="AL822" s="154" t="n"/>
      <c r="AM822" s="154" t="n"/>
      <c r="AN822" s="154" t="n"/>
      <c r="AO822" s="154" t="n"/>
      <c r="AP822" s="154" t="n"/>
      <c r="AQ822" s="154" t="n"/>
      <c r="AR822" s="154" t="n"/>
      <c r="AS822" s="154" t="n"/>
      <c r="AT822" s="154" t="n"/>
      <c r="AU822" s="154" t="n"/>
      <c r="AV822" s="154" t="n"/>
      <c r="AW822" s="154" t="n"/>
      <c r="AX822" s="154" t="n"/>
      <c r="AY822" s="154" t="n"/>
      <c r="AZ822" s="154" t="n"/>
      <c r="BA822" s="154" t="n"/>
      <c r="BB822" s="154" t="n"/>
      <c r="BC822" s="154" t="n"/>
      <c r="BD822" s="154" t="n"/>
      <c r="BE822" s="154" t="n"/>
      <c r="BF822" s="154" t="n"/>
      <c r="BG822" s="154" t="n"/>
      <c r="BH822" s="154" t="n"/>
    </row>
    <row r="823" ht="15.75" customHeight="1" s="251">
      <c r="A823" s="153" t="n"/>
      <c r="B823" s="154" t="n"/>
      <c r="C823" s="154" t="n"/>
      <c r="D823" s="154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  <c r="AA823" s="154" t="n"/>
      <c r="AB823" s="154" t="n"/>
      <c r="AC823" s="154" t="n"/>
      <c r="AD823" s="154" t="n"/>
      <c r="AE823" s="154" t="n"/>
      <c r="AF823" s="154" t="n"/>
      <c r="AG823" s="154" t="n"/>
      <c r="AH823" s="154" t="n"/>
      <c r="AI823" s="154" t="n"/>
      <c r="AJ823" s="154" t="n"/>
      <c r="AK823" s="154" t="n"/>
      <c r="AL823" s="154" t="n"/>
      <c r="AM823" s="154" t="n"/>
      <c r="AN823" s="154" t="n"/>
      <c r="AO823" s="154" t="n"/>
      <c r="AP823" s="154" t="n"/>
      <c r="AQ823" s="154" t="n"/>
      <c r="AR823" s="154" t="n"/>
      <c r="AS823" s="154" t="n"/>
      <c r="AT823" s="154" t="n"/>
      <c r="AU823" s="154" t="n"/>
      <c r="AV823" s="154" t="n"/>
      <c r="AW823" s="154" t="n"/>
      <c r="AX823" s="154" t="n"/>
      <c r="AY823" s="154" t="n"/>
      <c r="AZ823" s="154" t="n"/>
      <c r="BA823" s="154" t="n"/>
      <c r="BB823" s="154" t="n"/>
      <c r="BC823" s="154" t="n"/>
      <c r="BD823" s="154" t="n"/>
      <c r="BE823" s="154" t="n"/>
      <c r="BF823" s="154" t="n"/>
      <c r="BG823" s="154" t="n"/>
      <c r="BH823" s="154" t="n"/>
    </row>
    <row r="824" ht="15.75" customHeight="1" s="251">
      <c r="A824" s="153" t="n"/>
      <c r="B824" s="154" t="n"/>
      <c r="C824" s="154" t="n"/>
      <c r="D824" s="154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  <c r="AA824" s="154" t="n"/>
      <c r="AB824" s="154" t="n"/>
      <c r="AC824" s="154" t="n"/>
      <c r="AD824" s="154" t="n"/>
      <c r="AE824" s="154" t="n"/>
      <c r="AF824" s="154" t="n"/>
      <c r="AG824" s="154" t="n"/>
      <c r="AH824" s="154" t="n"/>
      <c r="AI824" s="154" t="n"/>
      <c r="AJ824" s="154" t="n"/>
      <c r="AK824" s="154" t="n"/>
      <c r="AL824" s="154" t="n"/>
      <c r="AM824" s="154" t="n"/>
      <c r="AN824" s="154" t="n"/>
      <c r="AO824" s="154" t="n"/>
      <c r="AP824" s="154" t="n"/>
      <c r="AQ824" s="154" t="n"/>
      <c r="AR824" s="154" t="n"/>
      <c r="AS824" s="154" t="n"/>
      <c r="AT824" s="154" t="n"/>
      <c r="AU824" s="154" t="n"/>
      <c r="AV824" s="154" t="n"/>
      <c r="AW824" s="154" t="n"/>
      <c r="AX824" s="154" t="n"/>
      <c r="AY824" s="154" t="n"/>
      <c r="AZ824" s="154" t="n"/>
      <c r="BA824" s="154" t="n"/>
      <c r="BB824" s="154" t="n"/>
      <c r="BC824" s="154" t="n"/>
      <c r="BD824" s="154" t="n"/>
      <c r="BE824" s="154" t="n"/>
      <c r="BF824" s="154" t="n"/>
      <c r="BG824" s="154" t="n"/>
      <c r="BH824" s="154" t="n"/>
    </row>
    <row r="825" ht="15.75" customHeight="1" s="251">
      <c r="A825" s="153" t="n"/>
      <c r="B825" s="154" t="n"/>
      <c r="C825" s="154" t="n"/>
      <c r="D825" s="154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  <c r="AA825" s="154" t="n"/>
      <c r="AB825" s="154" t="n"/>
      <c r="AC825" s="154" t="n"/>
      <c r="AD825" s="154" t="n"/>
      <c r="AE825" s="154" t="n"/>
      <c r="AF825" s="154" t="n"/>
      <c r="AG825" s="154" t="n"/>
      <c r="AH825" s="154" t="n"/>
      <c r="AI825" s="154" t="n"/>
      <c r="AJ825" s="154" t="n"/>
      <c r="AK825" s="154" t="n"/>
      <c r="AL825" s="154" t="n"/>
      <c r="AM825" s="154" t="n"/>
      <c r="AN825" s="154" t="n"/>
      <c r="AO825" s="154" t="n"/>
      <c r="AP825" s="154" t="n"/>
      <c r="AQ825" s="154" t="n"/>
      <c r="AR825" s="154" t="n"/>
      <c r="AS825" s="154" t="n"/>
      <c r="AT825" s="154" t="n"/>
      <c r="AU825" s="154" t="n"/>
      <c r="AV825" s="154" t="n"/>
      <c r="AW825" s="154" t="n"/>
      <c r="AX825" s="154" t="n"/>
      <c r="AY825" s="154" t="n"/>
      <c r="AZ825" s="154" t="n"/>
      <c r="BA825" s="154" t="n"/>
      <c r="BB825" s="154" t="n"/>
      <c r="BC825" s="154" t="n"/>
      <c r="BD825" s="154" t="n"/>
      <c r="BE825" s="154" t="n"/>
      <c r="BF825" s="154" t="n"/>
      <c r="BG825" s="154" t="n"/>
      <c r="BH825" s="154" t="n"/>
    </row>
    <row r="826" ht="15.75" customHeight="1" s="251">
      <c r="A826" s="153" t="n"/>
      <c r="B826" s="154" t="n"/>
      <c r="C826" s="154" t="n"/>
      <c r="D826" s="154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  <c r="AA826" s="154" t="n"/>
      <c r="AB826" s="154" t="n"/>
      <c r="AC826" s="154" t="n"/>
      <c r="AD826" s="154" t="n"/>
      <c r="AE826" s="154" t="n"/>
      <c r="AF826" s="154" t="n"/>
      <c r="AG826" s="154" t="n"/>
      <c r="AH826" s="154" t="n"/>
      <c r="AI826" s="154" t="n"/>
      <c r="AJ826" s="154" t="n"/>
      <c r="AK826" s="154" t="n"/>
      <c r="AL826" s="154" t="n"/>
      <c r="AM826" s="154" t="n"/>
      <c r="AN826" s="154" t="n"/>
      <c r="AO826" s="154" t="n"/>
      <c r="AP826" s="154" t="n"/>
      <c r="AQ826" s="154" t="n"/>
      <c r="AR826" s="154" t="n"/>
      <c r="AS826" s="154" t="n"/>
      <c r="AT826" s="154" t="n"/>
      <c r="AU826" s="154" t="n"/>
      <c r="AV826" s="154" t="n"/>
      <c r="AW826" s="154" t="n"/>
      <c r="AX826" s="154" t="n"/>
      <c r="AY826" s="154" t="n"/>
      <c r="AZ826" s="154" t="n"/>
      <c r="BA826" s="154" t="n"/>
      <c r="BB826" s="154" t="n"/>
      <c r="BC826" s="154" t="n"/>
      <c r="BD826" s="154" t="n"/>
      <c r="BE826" s="154" t="n"/>
      <c r="BF826" s="154" t="n"/>
      <c r="BG826" s="154" t="n"/>
      <c r="BH826" s="154" t="n"/>
    </row>
    <row r="827" ht="15.75" customHeight="1" s="251">
      <c r="A827" s="153" t="n"/>
      <c r="B827" s="154" t="n"/>
      <c r="C827" s="154" t="n"/>
      <c r="D827" s="154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  <c r="AA827" s="154" t="n"/>
      <c r="AB827" s="154" t="n"/>
      <c r="AC827" s="154" t="n"/>
      <c r="AD827" s="154" t="n"/>
      <c r="AE827" s="154" t="n"/>
      <c r="AF827" s="154" t="n"/>
      <c r="AG827" s="154" t="n"/>
      <c r="AH827" s="154" t="n"/>
      <c r="AI827" s="154" t="n"/>
      <c r="AJ827" s="154" t="n"/>
      <c r="AK827" s="154" t="n"/>
      <c r="AL827" s="154" t="n"/>
      <c r="AM827" s="154" t="n"/>
      <c r="AN827" s="154" t="n"/>
      <c r="AO827" s="154" t="n"/>
      <c r="AP827" s="154" t="n"/>
      <c r="AQ827" s="154" t="n"/>
      <c r="AR827" s="154" t="n"/>
      <c r="AS827" s="154" t="n"/>
      <c r="AT827" s="154" t="n"/>
      <c r="AU827" s="154" t="n"/>
      <c r="AV827" s="154" t="n"/>
      <c r="AW827" s="154" t="n"/>
      <c r="AX827" s="154" t="n"/>
      <c r="AY827" s="154" t="n"/>
      <c r="AZ827" s="154" t="n"/>
      <c r="BA827" s="154" t="n"/>
      <c r="BB827" s="154" t="n"/>
      <c r="BC827" s="154" t="n"/>
      <c r="BD827" s="154" t="n"/>
      <c r="BE827" s="154" t="n"/>
      <c r="BF827" s="154" t="n"/>
      <c r="BG827" s="154" t="n"/>
      <c r="BH827" s="154" t="n"/>
    </row>
    <row r="828" ht="15.75" customHeight="1" s="251">
      <c r="A828" s="153" t="n"/>
      <c r="B828" s="154" t="n"/>
      <c r="C828" s="154" t="n"/>
      <c r="D828" s="154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  <c r="AA828" s="154" t="n"/>
      <c r="AB828" s="154" t="n"/>
      <c r="AC828" s="154" t="n"/>
      <c r="AD828" s="154" t="n"/>
      <c r="AE828" s="154" t="n"/>
      <c r="AF828" s="154" t="n"/>
      <c r="AG828" s="154" t="n"/>
      <c r="AH828" s="154" t="n"/>
      <c r="AI828" s="154" t="n"/>
      <c r="AJ828" s="154" t="n"/>
      <c r="AK828" s="154" t="n"/>
      <c r="AL828" s="154" t="n"/>
      <c r="AM828" s="154" t="n"/>
      <c r="AN828" s="154" t="n"/>
      <c r="AO828" s="154" t="n"/>
      <c r="AP828" s="154" t="n"/>
      <c r="AQ828" s="154" t="n"/>
      <c r="AR828" s="154" t="n"/>
      <c r="AS828" s="154" t="n"/>
      <c r="AT828" s="154" t="n"/>
      <c r="AU828" s="154" t="n"/>
      <c r="AV828" s="154" t="n"/>
      <c r="AW828" s="154" t="n"/>
      <c r="AX828" s="154" t="n"/>
      <c r="AY828" s="154" t="n"/>
      <c r="AZ828" s="154" t="n"/>
      <c r="BA828" s="154" t="n"/>
      <c r="BB828" s="154" t="n"/>
      <c r="BC828" s="154" t="n"/>
      <c r="BD828" s="154" t="n"/>
      <c r="BE828" s="154" t="n"/>
      <c r="BF828" s="154" t="n"/>
      <c r="BG828" s="154" t="n"/>
      <c r="BH828" s="154" t="n"/>
    </row>
    <row r="829" ht="15.75" customHeight="1" s="251">
      <c r="A829" s="153" t="n"/>
      <c r="B829" s="154" t="n"/>
      <c r="C829" s="154" t="n"/>
      <c r="D829" s="154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  <c r="AA829" s="154" t="n"/>
      <c r="AB829" s="154" t="n"/>
      <c r="AC829" s="154" t="n"/>
      <c r="AD829" s="154" t="n"/>
      <c r="AE829" s="154" t="n"/>
      <c r="AF829" s="154" t="n"/>
      <c r="AG829" s="154" t="n"/>
      <c r="AH829" s="154" t="n"/>
      <c r="AI829" s="154" t="n"/>
      <c r="AJ829" s="154" t="n"/>
      <c r="AK829" s="154" t="n"/>
      <c r="AL829" s="154" t="n"/>
      <c r="AM829" s="154" t="n"/>
      <c r="AN829" s="154" t="n"/>
      <c r="AO829" s="154" t="n"/>
      <c r="AP829" s="154" t="n"/>
      <c r="AQ829" s="154" t="n"/>
      <c r="AR829" s="154" t="n"/>
      <c r="AS829" s="154" t="n"/>
      <c r="AT829" s="154" t="n"/>
      <c r="AU829" s="154" t="n"/>
      <c r="AV829" s="154" t="n"/>
      <c r="AW829" s="154" t="n"/>
      <c r="AX829" s="154" t="n"/>
      <c r="AY829" s="154" t="n"/>
      <c r="AZ829" s="154" t="n"/>
      <c r="BA829" s="154" t="n"/>
      <c r="BB829" s="154" t="n"/>
      <c r="BC829" s="154" t="n"/>
      <c r="BD829" s="154" t="n"/>
      <c r="BE829" s="154" t="n"/>
      <c r="BF829" s="154" t="n"/>
      <c r="BG829" s="154" t="n"/>
      <c r="BH829" s="154" t="n"/>
    </row>
    <row r="830" ht="15.75" customHeight="1" s="251">
      <c r="A830" s="153" t="n"/>
      <c r="B830" s="154" t="n"/>
      <c r="C830" s="154" t="n"/>
      <c r="D830" s="154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  <c r="AA830" s="154" t="n"/>
      <c r="AB830" s="154" t="n"/>
      <c r="AC830" s="154" t="n"/>
      <c r="AD830" s="154" t="n"/>
      <c r="AE830" s="154" t="n"/>
      <c r="AF830" s="154" t="n"/>
      <c r="AG830" s="154" t="n"/>
      <c r="AH830" s="154" t="n"/>
      <c r="AI830" s="154" t="n"/>
      <c r="AJ830" s="154" t="n"/>
      <c r="AK830" s="154" t="n"/>
      <c r="AL830" s="154" t="n"/>
      <c r="AM830" s="154" t="n"/>
      <c r="AN830" s="154" t="n"/>
      <c r="AO830" s="154" t="n"/>
      <c r="AP830" s="154" t="n"/>
      <c r="AQ830" s="154" t="n"/>
      <c r="AR830" s="154" t="n"/>
      <c r="AS830" s="154" t="n"/>
      <c r="AT830" s="154" t="n"/>
      <c r="AU830" s="154" t="n"/>
      <c r="AV830" s="154" t="n"/>
      <c r="AW830" s="154" t="n"/>
      <c r="AX830" s="154" t="n"/>
      <c r="AY830" s="154" t="n"/>
      <c r="AZ830" s="154" t="n"/>
      <c r="BA830" s="154" t="n"/>
      <c r="BB830" s="154" t="n"/>
      <c r="BC830" s="154" t="n"/>
      <c r="BD830" s="154" t="n"/>
      <c r="BE830" s="154" t="n"/>
      <c r="BF830" s="154" t="n"/>
      <c r="BG830" s="154" t="n"/>
      <c r="BH830" s="154" t="n"/>
    </row>
    <row r="831" ht="15.75" customHeight="1" s="251">
      <c r="A831" s="153" t="n"/>
      <c r="B831" s="154" t="n"/>
      <c r="C831" s="154" t="n"/>
      <c r="D831" s="154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  <c r="AA831" s="154" t="n"/>
      <c r="AB831" s="154" t="n"/>
      <c r="AC831" s="154" t="n"/>
      <c r="AD831" s="154" t="n"/>
      <c r="AE831" s="154" t="n"/>
      <c r="AF831" s="154" t="n"/>
      <c r="AG831" s="154" t="n"/>
      <c r="AH831" s="154" t="n"/>
      <c r="AI831" s="154" t="n"/>
      <c r="AJ831" s="154" t="n"/>
      <c r="AK831" s="154" t="n"/>
      <c r="AL831" s="154" t="n"/>
      <c r="AM831" s="154" t="n"/>
      <c r="AN831" s="154" t="n"/>
      <c r="AO831" s="154" t="n"/>
      <c r="AP831" s="154" t="n"/>
      <c r="AQ831" s="154" t="n"/>
      <c r="AR831" s="154" t="n"/>
      <c r="AS831" s="154" t="n"/>
      <c r="AT831" s="154" t="n"/>
      <c r="AU831" s="154" t="n"/>
      <c r="AV831" s="154" t="n"/>
      <c r="AW831" s="154" t="n"/>
      <c r="AX831" s="154" t="n"/>
      <c r="AY831" s="154" t="n"/>
      <c r="AZ831" s="154" t="n"/>
      <c r="BA831" s="154" t="n"/>
      <c r="BB831" s="154" t="n"/>
      <c r="BC831" s="154" t="n"/>
      <c r="BD831" s="154" t="n"/>
      <c r="BE831" s="154" t="n"/>
      <c r="BF831" s="154" t="n"/>
      <c r="BG831" s="154" t="n"/>
      <c r="BH831" s="154" t="n"/>
    </row>
    <row r="832" ht="15.75" customHeight="1" s="251">
      <c r="A832" s="153" t="n"/>
      <c r="B832" s="154" t="n"/>
      <c r="C832" s="154" t="n"/>
      <c r="D832" s="154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  <c r="AA832" s="154" t="n"/>
      <c r="AB832" s="154" t="n"/>
      <c r="AC832" s="154" t="n"/>
      <c r="AD832" s="154" t="n"/>
      <c r="AE832" s="154" t="n"/>
      <c r="AF832" s="154" t="n"/>
      <c r="AG832" s="154" t="n"/>
      <c r="AH832" s="154" t="n"/>
      <c r="AI832" s="154" t="n"/>
      <c r="AJ832" s="154" t="n"/>
      <c r="AK832" s="154" t="n"/>
      <c r="AL832" s="154" t="n"/>
      <c r="AM832" s="154" t="n"/>
      <c r="AN832" s="154" t="n"/>
      <c r="AO832" s="154" t="n"/>
      <c r="AP832" s="154" t="n"/>
      <c r="AQ832" s="154" t="n"/>
      <c r="AR832" s="154" t="n"/>
      <c r="AS832" s="154" t="n"/>
      <c r="AT832" s="154" t="n"/>
      <c r="AU832" s="154" t="n"/>
      <c r="AV832" s="154" t="n"/>
      <c r="AW832" s="154" t="n"/>
      <c r="AX832" s="154" t="n"/>
      <c r="AY832" s="154" t="n"/>
      <c r="AZ832" s="154" t="n"/>
      <c r="BA832" s="154" t="n"/>
      <c r="BB832" s="154" t="n"/>
      <c r="BC832" s="154" t="n"/>
      <c r="BD832" s="154" t="n"/>
      <c r="BE832" s="154" t="n"/>
      <c r="BF832" s="154" t="n"/>
      <c r="BG832" s="154" t="n"/>
      <c r="BH832" s="154" t="n"/>
    </row>
    <row r="833" ht="15.75" customHeight="1" s="251">
      <c r="A833" s="153" t="n"/>
      <c r="B833" s="154" t="n"/>
      <c r="C833" s="154" t="n"/>
      <c r="D833" s="154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  <c r="AA833" s="154" t="n"/>
      <c r="AB833" s="154" t="n"/>
      <c r="AC833" s="154" t="n"/>
      <c r="AD833" s="154" t="n"/>
      <c r="AE833" s="154" t="n"/>
      <c r="AF833" s="154" t="n"/>
      <c r="AG833" s="154" t="n"/>
      <c r="AH833" s="154" t="n"/>
      <c r="AI833" s="154" t="n"/>
      <c r="AJ833" s="154" t="n"/>
      <c r="AK833" s="154" t="n"/>
      <c r="AL833" s="154" t="n"/>
      <c r="AM833" s="154" t="n"/>
      <c r="AN833" s="154" t="n"/>
      <c r="AO833" s="154" t="n"/>
      <c r="AP833" s="154" t="n"/>
      <c r="AQ833" s="154" t="n"/>
      <c r="AR833" s="154" t="n"/>
      <c r="AS833" s="154" t="n"/>
      <c r="AT833" s="154" t="n"/>
      <c r="AU833" s="154" t="n"/>
      <c r="AV833" s="154" t="n"/>
      <c r="AW833" s="154" t="n"/>
      <c r="AX833" s="154" t="n"/>
      <c r="AY833" s="154" t="n"/>
      <c r="AZ833" s="154" t="n"/>
      <c r="BA833" s="154" t="n"/>
      <c r="BB833" s="154" t="n"/>
      <c r="BC833" s="154" t="n"/>
      <c r="BD833" s="154" t="n"/>
      <c r="BE833" s="154" t="n"/>
      <c r="BF833" s="154" t="n"/>
      <c r="BG833" s="154" t="n"/>
      <c r="BH833" s="154" t="n"/>
    </row>
    <row r="834" ht="15.75" customHeight="1" s="251">
      <c r="A834" s="153" t="n"/>
      <c r="B834" s="154" t="n"/>
      <c r="C834" s="154" t="n"/>
      <c r="D834" s="154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  <c r="AA834" s="154" t="n"/>
      <c r="AB834" s="154" t="n"/>
      <c r="AC834" s="154" t="n"/>
      <c r="AD834" s="154" t="n"/>
      <c r="AE834" s="154" t="n"/>
      <c r="AF834" s="154" t="n"/>
      <c r="AG834" s="154" t="n"/>
      <c r="AH834" s="154" t="n"/>
      <c r="AI834" s="154" t="n"/>
      <c r="AJ834" s="154" t="n"/>
      <c r="AK834" s="154" t="n"/>
      <c r="AL834" s="154" t="n"/>
      <c r="AM834" s="154" t="n"/>
      <c r="AN834" s="154" t="n"/>
      <c r="AO834" s="154" t="n"/>
      <c r="AP834" s="154" t="n"/>
      <c r="AQ834" s="154" t="n"/>
      <c r="AR834" s="154" t="n"/>
      <c r="AS834" s="154" t="n"/>
      <c r="AT834" s="154" t="n"/>
      <c r="AU834" s="154" t="n"/>
      <c r="AV834" s="154" t="n"/>
      <c r="AW834" s="154" t="n"/>
      <c r="AX834" s="154" t="n"/>
      <c r="AY834" s="154" t="n"/>
      <c r="AZ834" s="154" t="n"/>
      <c r="BA834" s="154" t="n"/>
      <c r="BB834" s="154" t="n"/>
      <c r="BC834" s="154" t="n"/>
      <c r="BD834" s="154" t="n"/>
      <c r="BE834" s="154" t="n"/>
      <c r="BF834" s="154" t="n"/>
      <c r="BG834" s="154" t="n"/>
      <c r="BH834" s="154" t="n"/>
    </row>
    <row r="835" ht="15.75" customHeight="1" s="251">
      <c r="A835" s="153" t="n"/>
      <c r="B835" s="154" t="n"/>
      <c r="C835" s="154" t="n"/>
      <c r="D835" s="154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  <c r="AA835" s="154" t="n"/>
      <c r="AB835" s="154" t="n"/>
      <c r="AC835" s="154" t="n"/>
      <c r="AD835" s="154" t="n"/>
      <c r="AE835" s="154" t="n"/>
      <c r="AF835" s="154" t="n"/>
      <c r="AG835" s="154" t="n"/>
      <c r="AH835" s="154" t="n"/>
      <c r="AI835" s="154" t="n"/>
      <c r="AJ835" s="154" t="n"/>
      <c r="AK835" s="154" t="n"/>
      <c r="AL835" s="154" t="n"/>
      <c r="AM835" s="154" t="n"/>
      <c r="AN835" s="154" t="n"/>
      <c r="AO835" s="154" t="n"/>
      <c r="AP835" s="154" t="n"/>
      <c r="AQ835" s="154" t="n"/>
      <c r="AR835" s="154" t="n"/>
      <c r="AS835" s="154" t="n"/>
      <c r="AT835" s="154" t="n"/>
      <c r="AU835" s="154" t="n"/>
      <c r="AV835" s="154" t="n"/>
      <c r="AW835" s="154" t="n"/>
      <c r="AX835" s="154" t="n"/>
      <c r="AY835" s="154" t="n"/>
      <c r="AZ835" s="154" t="n"/>
      <c r="BA835" s="154" t="n"/>
      <c r="BB835" s="154" t="n"/>
      <c r="BC835" s="154" t="n"/>
      <c r="BD835" s="154" t="n"/>
      <c r="BE835" s="154" t="n"/>
      <c r="BF835" s="154" t="n"/>
      <c r="BG835" s="154" t="n"/>
      <c r="BH835" s="154" t="n"/>
    </row>
    <row r="836" ht="15.75" customHeight="1" s="251">
      <c r="A836" s="153" t="n"/>
      <c r="B836" s="154" t="n"/>
      <c r="C836" s="154" t="n"/>
      <c r="D836" s="154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  <c r="AA836" s="154" t="n"/>
      <c r="AB836" s="154" t="n"/>
      <c r="AC836" s="154" t="n"/>
      <c r="AD836" s="154" t="n"/>
      <c r="AE836" s="154" t="n"/>
      <c r="AF836" s="154" t="n"/>
      <c r="AG836" s="154" t="n"/>
      <c r="AH836" s="154" t="n"/>
      <c r="AI836" s="154" t="n"/>
      <c r="AJ836" s="154" t="n"/>
      <c r="AK836" s="154" t="n"/>
      <c r="AL836" s="154" t="n"/>
      <c r="AM836" s="154" t="n"/>
      <c r="AN836" s="154" t="n"/>
      <c r="AO836" s="154" t="n"/>
      <c r="AP836" s="154" t="n"/>
      <c r="AQ836" s="154" t="n"/>
      <c r="AR836" s="154" t="n"/>
      <c r="AS836" s="154" t="n"/>
      <c r="AT836" s="154" t="n"/>
      <c r="AU836" s="154" t="n"/>
      <c r="AV836" s="154" t="n"/>
      <c r="AW836" s="154" t="n"/>
      <c r="AX836" s="154" t="n"/>
      <c r="AY836" s="154" t="n"/>
      <c r="AZ836" s="154" t="n"/>
      <c r="BA836" s="154" t="n"/>
      <c r="BB836" s="154" t="n"/>
      <c r="BC836" s="154" t="n"/>
      <c r="BD836" s="154" t="n"/>
      <c r="BE836" s="154" t="n"/>
      <c r="BF836" s="154" t="n"/>
      <c r="BG836" s="154" t="n"/>
      <c r="BH836" s="154" t="n"/>
    </row>
    <row r="837" ht="15.75" customHeight="1" s="251">
      <c r="A837" s="153" t="n"/>
      <c r="B837" s="154" t="n"/>
      <c r="C837" s="154" t="n"/>
      <c r="D837" s="154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  <c r="AA837" s="154" t="n"/>
      <c r="AB837" s="154" t="n"/>
      <c r="AC837" s="154" t="n"/>
      <c r="AD837" s="154" t="n"/>
      <c r="AE837" s="154" t="n"/>
      <c r="AF837" s="154" t="n"/>
      <c r="AG837" s="154" t="n"/>
      <c r="AH837" s="154" t="n"/>
      <c r="AI837" s="154" t="n"/>
      <c r="AJ837" s="154" t="n"/>
      <c r="AK837" s="154" t="n"/>
      <c r="AL837" s="154" t="n"/>
      <c r="AM837" s="154" t="n"/>
      <c r="AN837" s="154" t="n"/>
      <c r="AO837" s="154" t="n"/>
      <c r="AP837" s="154" t="n"/>
      <c r="AQ837" s="154" t="n"/>
      <c r="AR837" s="154" t="n"/>
      <c r="AS837" s="154" t="n"/>
      <c r="AT837" s="154" t="n"/>
      <c r="AU837" s="154" t="n"/>
      <c r="AV837" s="154" t="n"/>
      <c r="AW837" s="154" t="n"/>
      <c r="AX837" s="154" t="n"/>
      <c r="AY837" s="154" t="n"/>
      <c r="AZ837" s="154" t="n"/>
      <c r="BA837" s="154" t="n"/>
      <c r="BB837" s="154" t="n"/>
      <c r="BC837" s="154" t="n"/>
      <c r="BD837" s="154" t="n"/>
      <c r="BE837" s="154" t="n"/>
      <c r="BF837" s="154" t="n"/>
      <c r="BG837" s="154" t="n"/>
      <c r="BH837" s="154" t="n"/>
    </row>
    <row r="838" ht="15.75" customHeight="1" s="251">
      <c r="A838" s="153" t="n"/>
      <c r="B838" s="154" t="n"/>
      <c r="C838" s="154" t="n"/>
      <c r="D838" s="154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  <c r="AA838" s="154" t="n"/>
      <c r="AB838" s="154" t="n"/>
      <c r="AC838" s="154" t="n"/>
      <c r="AD838" s="154" t="n"/>
      <c r="AE838" s="154" t="n"/>
      <c r="AF838" s="154" t="n"/>
      <c r="AG838" s="154" t="n"/>
      <c r="AH838" s="154" t="n"/>
      <c r="AI838" s="154" t="n"/>
      <c r="AJ838" s="154" t="n"/>
      <c r="AK838" s="154" t="n"/>
      <c r="AL838" s="154" t="n"/>
      <c r="AM838" s="154" t="n"/>
      <c r="AN838" s="154" t="n"/>
      <c r="AO838" s="154" t="n"/>
      <c r="AP838" s="154" t="n"/>
      <c r="AQ838" s="154" t="n"/>
      <c r="AR838" s="154" t="n"/>
      <c r="AS838" s="154" t="n"/>
      <c r="AT838" s="154" t="n"/>
      <c r="AU838" s="154" t="n"/>
      <c r="AV838" s="154" t="n"/>
      <c r="AW838" s="154" t="n"/>
      <c r="AX838" s="154" t="n"/>
      <c r="AY838" s="154" t="n"/>
      <c r="AZ838" s="154" t="n"/>
      <c r="BA838" s="154" t="n"/>
      <c r="BB838" s="154" t="n"/>
      <c r="BC838" s="154" t="n"/>
      <c r="BD838" s="154" t="n"/>
      <c r="BE838" s="154" t="n"/>
      <c r="BF838" s="154" t="n"/>
      <c r="BG838" s="154" t="n"/>
      <c r="BH838" s="154" t="n"/>
    </row>
    <row r="839" ht="15.75" customHeight="1" s="251">
      <c r="A839" s="153" t="n"/>
      <c r="B839" s="154" t="n"/>
      <c r="C839" s="154" t="n"/>
      <c r="D839" s="154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  <c r="AA839" s="154" t="n"/>
      <c r="AB839" s="154" t="n"/>
      <c r="AC839" s="154" t="n"/>
      <c r="AD839" s="154" t="n"/>
      <c r="AE839" s="154" t="n"/>
      <c r="AF839" s="154" t="n"/>
      <c r="AG839" s="154" t="n"/>
      <c r="AH839" s="154" t="n"/>
      <c r="AI839" s="154" t="n"/>
      <c r="AJ839" s="154" t="n"/>
      <c r="AK839" s="154" t="n"/>
      <c r="AL839" s="154" t="n"/>
      <c r="AM839" s="154" t="n"/>
      <c r="AN839" s="154" t="n"/>
      <c r="AO839" s="154" t="n"/>
      <c r="AP839" s="154" t="n"/>
      <c r="AQ839" s="154" t="n"/>
      <c r="AR839" s="154" t="n"/>
      <c r="AS839" s="154" t="n"/>
      <c r="AT839" s="154" t="n"/>
      <c r="AU839" s="154" t="n"/>
      <c r="AV839" s="154" t="n"/>
      <c r="AW839" s="154" t="n"/>
      <c r="AX839" s="154" t="n"/>
      <c r="AY839" s="154" t="n"/>
      <c r="AZ839" s="154" t="n"/>
      <c r="BA839" s="154" t="n"/>
      <c r="BB839" s="154" t="n"/>
      <c r="BC839" s="154" t="n"/>
      <c r="BD839" s="154" t="n"/>
      <c r="BE839" s="154" t="n"/>
      <c r="BF839" s="154" t="n"/>
      <c r="BG839" s="154" t="n"/>
      <c r="BH839" s="154" t="n"/>
    </row>
    <row r="840" ht="15.75" customHeight="1" s="251">
      <c r="A840" s="153" t="n"/>
      <c r="B840" s="154" t="n"/>
      <c r="C840" s="154" t="n"/>
      <c r="D840" s="154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  <c r="AA840" s="154" t="n"/>
      <c r="AB840" s="154" t="n"/>
      <c r="AC840" s="154" t="n"/>
      <c r="AD840" s="154" t="n"/>
      <c r="AE840" s="154" t="n"/>
      <c r="AF840" s="154" t="n"/>
      <c r="AG840" s="154" t="n"/>
      <c r="AH840" s="154" t="n"/>
      <c r="AI840" s="154" t="n"/>
      <c r="AJ840" s="154" t="n"/>
      <c r="AK840" s="154" t="n"/>
      <c r="AL840" s="154" t="n"/>
      <c r="AM840" s="154" t="n"/>
      <c r="AN840" s="154" t="n"/>
      <c r="AO840" s="154" t="n"/>
      <c r="AP840" s="154" t="n"/>
      <c r="AQ840" s="154" t="n"/>
      <c r="AR840" s="154" t="n"/>
      <c r="AS840" s="154" t="n"/>
      <c r="AT840" s="154" t="n"/>
      <c r="AU840" s="154" t="n"/>
      <c r="AV840" s="154" t="n"/>
      <c r="AW840" s="154" t="n"/>
      <c r="AX840" s="154" t="n"/>
      <c r="AY840" s="154" t="n"/>
      <c r="AZ840" s="154" t="n"/>
      <c r="BA840" s="154" t="n"/>
      <c r="BB840" s="154" t="n"/>
      <c r="BC840" s="154" t="n"/>
      <c r="BD840" s="154" t="n"/>
      <c r="BE840" s="154" t="n"/>
      <c r="BF840" s="154" t="n"/>
      <c r="BG840" s="154" t="n"/>
      <c r="BH840" s="154" t="n"/>
    </row>
    <row r="841" ht="15.75" customHeight="1" s="251">
      <c r="A841" s="153" t="n"/>
      <c r="B841" s="154" t="n"/>
      <c r="C841" s="154" t="n"/>
      <c r="D841" s="154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  <c r="AA841" s="154" t="n"/>
      <c r="AB841" s="154" t="n"/>
      <c r="AC841" s="154" t="n"/>
      <c r="AD841" s="154" t="n"/>
      <c r="AE841" s="154" t="n"/>
      <c r="AF841" s="154" t="n"/>
      <c r="AG841" s="154" t="n"/>
      <c r="AH841" s="154" t="n"/>
      <c r="AI841" s="154" t="n"/>
      <c r="AJ841" s="154" t="n"/>
      <c r="AK841" s="154" t="n"/>
      <c r="AL841" s="154" t="n"/>
      <c r="AM841" s="154" t="n"/>
      <c r="AN841" s="154" t="n"/>
      <c r="AO841" s="154" t="n"/>
      <c r="AP841" s="154" t="n"/>
      <c r="AQ841" s="154" t="n"/>
      <c r="AR841" s="154" t="n"/>
      <c r="AS841" s="154" t="n"/>
      <c r="AT841" s="154" t="n"/>
      <c r="AU841" s="154" t="n"/>
      <c r="AV841" s="154" t="n"/>
      <c r="AW841" s="154" t="n"/>
      <c r="AX841" s="154" t="n"/>
      <c r="AY841" s="154" t="n"/>
      <c r="AZ841" s="154" t="n"/>
      <c r="BA841" s="154" t="n"/>
      <c r="BB841" s="154" t="n"/>
      <c r="BC841" s="154" t="n"/>
      <c r="BD841" s="154" t="n"/>
      <c r="BE841" s="154" t="n"/>
      <c r="BF841" s="154" t="n"/>
      <c r="BG841" s="154" t="n"/>
      <c r="BH841" s="154" t="n"/>
    </row>
    <row r="842" ht="15.75" customHeight="1" s="251">
      <c r="A842" s="153" t="n"/>
      <c r="B842" s="154" t="n"/>
      <c r="C842" s="154" t="n"/>
      <c r="D842" s="154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  <c r="AA842" s="154" t="n"/>
      <c r="AB842" s="154" t="n"/>
      <c r="AC842" s="154" t="n"/>
      <c r="AD842" s="154" t="n"/>
      <c r="AE842" s="154" t="n"/>
      <c r="AF842" s="154" t="n"/>
      <c r="AG842" s="154" t="n"/>
      <c r="AH842" s="154" t="n"/>
      <c r="AI842" s="154" t="n"/>
      <c r="AJ842" s="154" t="n"/>
      <c r="AK842" s="154" t="n"/>
      <c r="AL842" s="154" t="n"/>
      <c r="AM842" s="154" t="n"/>
      <c r="AN842" s="154" t="n"/>
      <c r="AO842" s="154" t="n"/>
      <c r="AP842" s="154" t="n"/>
      <c r="AQ842" s="154" t="n"/>
      <c r="AR842" s="154" t="n"/>
      <c r="AS842" s="154" t="n"/>
      <c r="AT842" s="154" t="n"/>
      <c r="AU842" s="154" t="n"/>
      <c r="AV842" s="154" t="n"/>
      <c r="AW842" s="154" t="n"/>
      <c r="AX842" s="154" t="n"/>
      <c r="AY842" s="154" t="n"/>
      <c r="AZ842" s="154" t="n"/>
      <c r="BA842" s="154" t="n"/>
      <c r="BB842" s="154" t="n"/>
      <c r="BC842" s="154" t="n"/>
      <c r="BD842" s="154" t="n"/>
      <c r="BE842" s="154" t="n"/>
      <c r="BF842" s="154" t="n"/>
      <c r="BG842" s="154" t="n"/>
      <c r="BH842" s="154" t="n"/>
    </row>
    <row r="843" ht="15.75" customHeight="1" s="251">
      <c r="A843" s="153" t="n"/>
      <c r="B843" s="154" t="n"/>
      <c r="C843" s="154" t="n"/>
      <c r="D843" s="154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  <c r="AA843" s="154" t="n"/>
      <c r="AB843" s="154" t="n"/>
      <c r="AC843" s="154" t="n"/>
      <c r="AD843" s="154" t="n"/>
      <c r="AE843" s="154" t="n"/>
      <c r="AF843" s="154" t="n"/>
      <c r="AG843" s="154" t="n"/>
      <c r="AH843" s="154" t="n"/>
      <c r="AI843" s="154" t="n"/>
      <c r="AJ843" s="154" t="n"/>
      <c r="AK843" s="154" t="n"/>
      <c r="AL843" s="154" t="n"/>
      <c r="AM843" s="154" t="n"/>
      <c r="AN843" s="154" t="n"/>
      <c r="AO843" s="154" t="n"/>
      <c r="AP843" s="154" t="n"/>
      <c r="AQ843" s="154" t="n"/>
      <c r="AR843" s="154" t="n"/>
      <c r="AS843" s="154" t="n"/>
      <c r="AT843" s="154" t="n"/>
      <c r="AU843" s="154" t="n"/>
      <c r="AV843" s="154" t="n"/>
      <c r="AW843" s="154" t="n"/>
      <c r="AX843" s="154" t="n"/>
      <c r="AY843" s="154" t="n"/>
      <c r="AZ843" s="154" t="n"/>
      <c r="BA843" s="154" t="n"/>
      <c r="BB843" s="154" t="n"/>
      <c r="BC843" s="154" t="n"/>
      <c r="BD843" s="154" t="n"/>
      <c r="BE843" s="154" t="n"/>
      <c r="BF843" s="154" t="n"/>
      <c r="BG843" s="154" t="n"/>
      <c r="BH843" s="154" t="n"/>
    </row>
    <row r="844" ht="15.75" customHeight="1" s="251">
      <c r="A844" s="153" t="n"/>
      <c r="B844" s="154" t="n"/>
      <c r="C844" s="154" t="n"/>
      <c r="D844" s="154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  <c r="AA844" s="154" t="n"/>
      <c r="AB844" s="154" t="n"/>
      <c r="AC844" s="154" t="n"/>
      <c r="AD844" s="154" t="n"/>
      <c r="AE844" s="154" t="n"/>
      <c r="AF844" s="154" t="n"/>
      <c r="AG844" s="154" t="n"/>
      <c r="AH844" s="154" t="n"/>
      <c r="AI844" s="154" t="n"/>
      <c r="AJ844" s="154" t="n"/>
      <c r="AK844" s="154" t="n"/>
      <c r="AL844" s="154" t="n"/>
      <c r="AM844" s="154" t="n"/>
      <c r="AN844" s="154" t="n"/>
      <c r="AO844" s="154" t="n"/>
      <c r="AP844" s="154" t="n"/>
      <c r="AQ844" s="154" t="n"/>
      <c r="AR844" s="154" t="n"/>
      <c r="AS844" s="154" t="n"/>
      <c r="AT844" s="154" t="n"/>
      <c r="AU844" s="154" t="n"/>
      <c r="AV844" s="154" t="n"/>
      <c r="AW844" s="154" t="n"/>
      <c r="AX844" s="154" t="n"/>
      <c r="AY844" s="154" t="n"/>
      <c r="AZ844" s="154" t="n"/>
      <c r="BA844" s="154" t="n"/>
      <c r="BB844" s="154" t="n"/>
      <c r="BC844" s="154" t="n"/>
      <c r="BD844" s="154" t="n"/>
      <c r="BE844" s="154" t="n"/>
      <c r="BF844" s="154" t="n"/>
      <c r="BG844" s="154" t="n"/>
      <c r="BH844" s="154" t="n"/>
    </row>
    <row r="845" ht="15.75" customHeight="1" s="251">
      <c r="A845" s="153" t="n"/>
      <c r="B845" s="154" t="n"/>
      <c r="C845" s="154" t="n"/>
      <c r="D845" s="154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  <c r="AA845" s="154" t="n"/>
      <c r="AB845" s="154" t="n"/>
      <c r="AC845" s="154" t="n"/>
      <c r="AD845" s="154" t="n"/>
      <c r="AE845" s="154" t="n"/>
      <c r="AF845" s="154" t="n"/>
      <c r="AG845" s="154" t="n"/>
      <c r="AH845" s="154" t="n"/>
      <c r="AI845" s="154" t="n"/>
      <c r="AJ845" s="154" t="n"/>
      <c r="AK845" s="154" t="n"/>
      <c r="AL845" s="154" t="n"/>
      <c r="AM845" s="154" t="n"/>
      <c r="AN845" s="154" t="n"/>
      <c r="AO845" s="154" t="n"/>
      <c r="AP845" s="154" t="n"/>
      <c r="AQ845" s="154" t="n"/>
      <c r="AR845" s="154" t="n"/>
      <c r="AS845" s="154" t="n"/>
      <c r="AT845" s="154" t="n"/>
      <c r="AU845" s="154" t="n"/>
      <c r="AV845" s="154" t="n"/>
      <c r="AW845" s="154" t="n"/>
      <c r="AX845" s="154" t="n"/>
      <c r="AY845" s="154" t="n"/>
      <c r="AZ845" s="154" t="n"/>
      <c r="BA845" s="154" t="n"/>
      <c r="BB845" s="154" t="n"/>
      <c r="BC845" s="154" t="n"/>
      <c r="BD845" s="154" t="n"/>
      <c r="BE845" s="154" t="n"/>
      <c r="BF845" s="154" t="n"/>
      <c r="BG845" s="154" t="n"/>
      <c r="BH845" s="154" t="n"/>
    </row>
    <row r="846" ht="15.75" customHeight="1" s="251">
      <c r="A846" s="153" t="n"/>
      <c r="B846" s="154" t="n"/>
      <c r="C846" s="154" t="n"/>
      <c r="D846" s="154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  <c r="AA846" s="154" t="n"/>
      <c r="AB846" s="154" t="n"/>
      <c r="AC846" s="154" t="n"/>
      <c r="AD846" s="154" t="n"/>
      <c r="AE846" s="154" t="n"/>
      <c r="AF846" s="154" t="n"/>
      <c r="AG846" s="154" t="n"/>
      <c r="AH846" s="154" t="n"/>
      <c r="AI846" s="154" t="n"/>
      <c r="AJ846" s="154" t="n"/>
      <c r="AK846" s="154" t="n"/>
      <c r="AL846" s="154" t="n"/>
      <c r="AM846" s="154" t="n"/>
      <c r="AN846" s="154" t="n"/>
      <c r="AO846" s="154" t="n"/>
      <c r="AP846" s="154" t="n"/>
      <c r="AQ846" s="154" t="n"/>
      <c r="AR846" s="154" t="n"/>
      <c r="AS846" s="154" t="n"/>
      <c r="AT846" s="154" t="n"/>
      <c r="AU846" s="154" t="n"/>
      <c r="AV846" s="154" t="n"/>
      <c r="AW846" s="154" t="n"/>
      <c r="AX846" s="154" t="n"/>
      <c r="AY846" s="154" t="n"/>
      <c r="AZ846" s="154" t="n"/>
      <c r="BA846" s="154" t="n"/>
      <c r="BB846" s="154" t="n"/>
      <c r="BC846" s="154" t="n"/>
      <c r="BD846" s="154" t="n"/>
      <c r="BE846" s="154" t="n"/>
      <c r="BF846" s="154" t="n"/>
      <c r="BG846" s="154" t="n"/>
      <c r="BH846" s="154" t="n"/>
    </row>
    <row r="847" ht="15.75" customHeight="1" s="251">
      <c r="A847" s="153" t="n"/>
      <c r="B847" s="154" t="n"/>
      <c r="C847" s="154" t="n"/>
      <c r="D847" s="154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  <c r="AA847" s="154" t="n"/>
      <c r="AB847" s="154" t="n"/>
      <c r="AC847" s="154" t="n"/>
      <c r="AD847" s="154" t="n"/>
      <c r="AE847" s="154" t="n"/>
      <c r="AF847" s="154" t="n"/>
      <c r="AG847" s="154" t="n"/>
      <c r="AH847" s="154" t="n"/>
      <c r="AI847" s="154" t="n"/>
      <c r="AJ847" s="154" t="n"/>
      <c r="AK847" s="154" t="n"/>
      <c r="AL847" s="154" t="n"/>
      <c r="AM847" s="154" t="n"/>
      <c r="AN847" s="154" t="n"/>
      <c r="AO847" s="154" t="n"/>
      <c r="AP847" s="154" t="n"/>
      <c r="AQ847" s="154" t="n"/>
      <c r="AR847" s="154" t="n"/>
      <c r="AS847" s="154" t="n"/>
      <c r="AT847" s="154" t="n"/>
      <c r="AU847" s="154" t="n"/>
      <c r="AV847" s="154" t="n"/>
      <c r="AW847" s="154" t="n"/>
      <c r="AX847" s="154" t="n"/>
      <c r="AY847" s="154" t="n"/>
      <c r="AZ847" s="154" t="n"/>
      <c r="BA847" s="154" t="n"/>
      <c r="BB847" s="154" t="n"/>
      <c r="BC847" s="154" t="n"/>
      <c r="BD847" s="154" t="n"/>
      <c r="BE847" s="154" t="n"/>
      <c r="BF847" s="154" t="n"/>
      <c r="BG847" s="154" t="n"/>
      <c r="BH847" s="154" t="n"/>
    </row>
    <row r="848" ht="15.75" customHeight="1" s="251">
      <c r="A848" s="153" t="n"/>
      <c r="B848" s="154" t="n"/>
      <c r="C848" s="154" t="n"/>
      <c r="D848" s="154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  <c r="AA848" s="154" t="n"/>
      <c r="AB848" s="154" t="n"/>
      <c r="AC848" s="154" t="n"/>
      <c r="AD848" s="154" t="n"/>
      <c r="AE848" s="154" t="n"/>
      <c r="AF848" s="154" t="n"/>
      <c r="AG848" s="154" t="n"/>
      <c r="AH848" s="154" t="n"/>
      <c r="AI848" s="154" t="n"/>
      <c r="AJ848" s="154" t="n"/>
      <c r="AK848" s="154" t="n"/>
      <c r="AL848" s="154" t="n"/>
      <c r="AM848" s="154" t="n"/>
      <c r="AN848" s="154" t="n"/>
      <c r="AO848" s="154" t="n"/>
      <c r="AP848" s="154" t="n"/>
      <c r="AQ848" s="154" t="n"/>
      <c r="AR848" s="154" t="n"/>
      <c r="AS848" s="154" t="n"/>
      <c r="AT848" s="154" t="n"/>
      <c r="AU848" s="154" t="n"/>
      <c r="AV848" s="154" t="n"/>
      <c r="AW848" s="154" t="n"/>
      <c r="AX848" s="154" t="n"/>
      <c r="AY848" s="154" t="n"/>
      <c r="AZ848" s="154" t="n"/>
      <c r="BA848" s="154" t="n"/>
      <c r="BB848" s="154" t="n"/>
      <c r="BC848" s="154" t="n"/>
      <c r="BD848" s="154" t="n"/>
      <c r="BE848" s="154" t="n"/>
      <c r="BF848" s="154" t="n"/>
      <c r="BG848" s="154" t="n"/>
      <c r="BH848" s="154" t="n"/>
    </row>
    <row r="849" ht="15.75" customHeight="1" s="251">
      <c r="A849" s="153" t="n"/>
      <c r="B849" s="154" t="n"/>
      <c r="C849" s="154" t="n"/>
      <c r="D849" s="154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  <c r="AA849" s="154" t="n"/>
      <c r="AB849" s="154" t="n"/>
      <c r="AC849" s="154" t="n"/>
      <c r="AD849" s="154" t="n"/>
      <c r="AE849" s="154" t="n"/>
      <c r="AF849" s="154" t="n"/>
      <c r="AG849" s="154" t="n"/>
      <c r="AH849" s="154" t="n"/>
      <c r="AI849" s="154" t="n"/>
      <c r="AJ849" s="154" t="n"/>
      <c r="AK849" s="154" t="n"/>
      <c r="AL849" s="154" t="n"/>
      <c r="AM849" s="154" t="n"/>
      <c r="AN849" s="154" t="n"/>
      <c r="AO849" s="154" t="n"/>
      <c r="AP849" s="154" t="n"/>
      <c r="AQ849" s="154" t="n"/>
      <c r="AR849" s="154" t="n"/>
      <c r="AS849" s="154" t="n"/>
      <c r="AT849" s="154" t="n"/>
      <c r="AU849" s="154" t="n"/>
      <c r="AV849" s="154" t="n"/>
      <c r="AW849" s="154" t="n"/>
      <c r="AX849" s="154" t="n"/>
      <c r="AY849" s="154" t="n"/>
      <c r="AZ849" s="154" t="n"/>
      <c r="BA849" s="154" t="n"/>
      <c r="BB849" s="154" t="n"/>
      <c r="BC849" s="154" t="n"/>
      <c r="BD849" s="154" t="n"/>
      <c r="BE849" s="154" t="n"/>
      <c r="BF849" s="154" t="n"/>
      <c r="BG849" s="154" t="n"/>
      <c r="BH849" s="154" t="n"/>
    </row>
    <row r="850" ht="15.75" customHeight="1" s="251">
      <c r="A850" s="153" t="n"/>
      <c r="B850" s="154" t="n"/>
      <c r="C850" s="154" t="n"/>
      <c r="D850" s="154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  <c r="AA850" s="154" t="n"/>
      <c r="AB850" s="154" t="n"/>
      <c r="AC850" s="154" t="n"/>
      <c r="AD850" s="154" t="n"/>
      <c r="AE850" s="154" t="n"/>
      <c r="AF850" s="154" t="n"/>
      <c r="AG850" s="154" t="n"/>
      <c r="AH850" s="154" t="n"/>
      <c r="AI850" s="154" t="n"/>
      <c r="AJ850" s="154" t="n"/>
      <c r="AK850" s="154" t="n"/>
      <c r="AL850" s="154" t="n"/>
      <c r="AM850" s="154" t="n"/>
      <c r="AN850" s="154" t="n"/>
      <c r="AO850" s="154" t="n"/>
      <c r="AP850" s="154" t="n"/>
      <c r="AQ850" s="154" t="n"/>
      <c r="AR850" s="154" t="n"/>
      <c r="AS850" s="154" t="n"/>
      <c r="AT850" s="154" t="n"/>
      <c r="AU850" s="154" t="n"/>
      <c r="AV850" s="154" t="n"/>
      <c r="AW850" s="154" t="n"/>
      <c r="AX850" s="154" t="n"/>
      <c r="AY850" s="154" t="n"/>
      <c r="AZ850" s="154" t="n"/>
      <c r="BA850" s="154" t="n"/>
      <c r="BB850" s="154" t="n"/>
      <c r="BC850" s="154" t="n"/>
      <c r="BD850" s="154" t="n"/>
      <c r="BE850" s="154" t="n"/>
      <c r="BF850" s="154" t="n"/>
      <c r="BG850" s="154" t="n"/>
      <c r="BH850" s="154" t="n"/>
    </row>
    <row r="851" ht="15.75" customHeight="1" s="251">
      <c r="A851" s="153" t="n"/>
      <c r="B851" s="154" t="n"/>
      <c r="C851" s="154" t="n"/>
      <c r="D851" s="154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  <c r="AA851" s="154" t="n"/>
      <c r="AB851" s="154" t="n"/>
      <c r="AC851" s="154" t="n"/>
      <c r="AD851" s="154" t="n"/>
      <c r="AE851" s="154" t="n"/>
      <c r="AF851" s="154" t="n"/>
      <c r="AG851" s="154" t="n"/>
      <c r="AH851" s="154" t="n"/>
      <c r="AI851" s="154" t="n"/>
      <c r="AJ851" s="154" t="n"/>
      <c r="AK851" s="154" t="n"/>
      <c r="AL851" s="154" t="n"/>
      <c r="AM851" s="154" t="n"/>
      <c r="AN851" s="154" t="n"/>
      <c r="AO851" s="154" t="n"/>
      <c r="AP851" s="154" t="n"/>
      <c r="AQ851" s="154" t="n"/>
      <c r="AR851" s="154" t="n"/>
      <c r="AS851" s="154" t="n"/>
      <c r="AT851" s="154" t="n"/>
      <c r="AU851" s="154" t="n"/>
      <c r="AV851" s="154" t="n"/>
      <c r="AW851" s="154" t="n"/>
      <c r="AX851" s="154" t="n"/>
      <c r="AY851" s="154" t="n"/>
      <c r="AZ851" s="154" t="n"/>
      <c r="BA851" s="154" t="n"/>
      <c r="BB851" s="154" t="n"/>
      <c r="BC851" s="154" t="n"/>
      <c r="BD851" s="154" t="n"/>
      <c r="BE851" s="154" t="n"/>
      <c r="BF851" s="154" t="n"/>
      <c r="BG851" s="154" t="n"/>
      <c r="BH851" s="154" t="n"/>
    </row>
    <row r="852" ht="15.75" customHeight="1" s="251">
      <c r="A852" s="153" t="n"/>
      <c r="B852" s="154" t="n"/>
      <c r="C852" s="154" t="n"/>
      <c r="D852" s="154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  <c r="AA852" s="154" t="n"/>
      <c r="AB852" s="154" t="n"/>
      <c r="AC852" s="154" t="n"/>
      <c r="AD852" s="154" t="n"/>
      <c r="AE852" s="154" t="n"/>
      <c r="AF852" s="154" t="n"/>
      <c r="AG852" s="154" t="n"/>
      <c r="AH852" s="154" t="n"/>
      <c r="AI852" s="154" t="n"/>
      <c r="AJ852" s="154" t="n"/>
      <c r="AK852" s="154" t="n"/>
      <c r="AL852" s="154" t="n"/>
      <c r="AM852" s="154" t="n"/>
      <c r="AN852" s="154" t="n"/>
      <c r="AO852" s="154" t="n"/>
      <c r="AP852" s="154" t="n"/>
      <c r="AQ852" s="154" t="n"/>
      <c r="AR852" s="154" t="n"/>
      <c r="AS852" s="154" t="n"/>
      <c r="AT852" s="154" t="n"/>
      <c r="AU852" s="154" t="n"/>
      <c r="AV852" s="154" t="n"/>
      <c r="AW852" s="154" t="n"/>
      <c r="AX852" s="154" t="n"/>
      <c r="AY852" s="154" t="n"/>
      <c r="AZ852" s="154" t="n"/>
      <c r="BA852" s="154" t="n"/>
      <c r="BB852" s="154" t="n"/>
      <c r="BC852" s="154" t="n"/>
      <c r="BD852" s="154" t="n"/>
      <c r="BE852" s="154" t="n"/>
      <c r="BF852" s="154" t="n"/>
      <c r="BG852" s="154" t="n"/>
      <c r="BH852" s="154" t="n"/>
    </row>
    <row r="853" ht="15.75" customHeight="1" s="251">
      <c r="A853" s="153" t="n"/>
      <c r="B853" s="154" t="n"/>
      <c r="C853" s="154" t="n"/>
      <c r="D853" s="154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  <c r="AA853" s="154" t="n"/>
      <c r="AB853" s="154" t="n"/>
      <c r="AC853" s="154" t="n"/>
      <c r="AD853" s="154" t="n"/>
      <c r="AE853" s="154" t="n"/>
      <c r="AF853" s="154" t="n"/>
      <c r="AG853" s="154" t="n"/>
      <c r="AH853" s="154" t="n"/>
      <c r="AI853" s="154" t="n"/>
      <c r="AJ853" s="154" t="n"/>
      <c r="AK853" s="154" t="n"/>
      <c r="AL853" s="154" t="n"/>
      <c r="AM853" s="154" t="n"/>
      <c r="AN853" s="154" t="n"/>
      <c r="AO853" s="154" t="n"/>
      <c r="AP853" s="154" t="n"/>
      <c r="AQ853" s="154" t="n"/>
      <c r="AR853" s="154" t="n"/>
      <c r="AS853" s="154" t="n"/>
      <c r="AT853" s="154" t="n"/>
      <c r="AU853" s="154" t="n"/>
      <c r="AV853" s="154" t="n"/>
      <c r="AW853" s="154" t="n"/>
      <c r="AX853" s="154" t="n"/>
      <c r="AY853" s="154" t="n"/>
      <c r="AZ853" s="154" t="n"/>
      <c r="BA853" s="154" t="n"/>
      <c r="BB853" s="154" t="n"/>
      <c r="BC853" s="154" t="n"/>
      <c r="BD853" s="154" t="n"/>
      <c r="BE853" s="154" t="n"/>
      <c r="BF853" s="154" t="n"/>
      <c r="BG853" s="154" t="n"/>
      <c r="BH853" s="154" t="n"/>
    </row>
    <row r="854" ht="15.75" customHeight="1" s="251">
      <c r="A854" s="153" t="n"/>
      <c r="B854" s="154" t="n"/>
      <c r="C854" s="154" t="n"/>
      <c r="D854" s="154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  <c r="AA854" s="154" t="n"/>
      <c r="AB854" s="154" t="n"/>
      <c r="AC854" s="154" t="n"/>
      <c r="AD854" s="154" t="n"/>
      <c r="AE854" s="154" t="n"/>
      <c r="AF854" s="154" t="n"/>
      <c r="AG854" s="154" t="n"/>
      <c r="AH854" s="154" t="n"/>
      <c r="AI854" s="154" t="n"/>
      <c r="AJ854" s="154" t="n"/>
      <c r="AK854" s="154" t="n"/>
      <c r="AL854" s="154" t="n"/>
      <c r="AM854" s="154" t="n"/>
      <c r="AN854" s="154" t="n"/>
      <c r="AO854" s="154" t="n"/>
      <c r="AP854" s="154" t="n"/>
      <c r="AQ854" s="154" t="n"/>
      <c r="AR854" s="154" t="n"/>
      <c r="AS854" s="154" t="n"/>
      <c r="AT854" s="154" t="n"/>
      <c r="AU854" s="154" t="n"/>
      <c r="AV854" s="154" t="n"/>
      <c r="AW854" s="154" t="n"/>
      <c r="AX854" s="154" t="n"/>
      <c r="AY854" s="154" t="n"/>
      <c r="AZ854" s="154" t="n"/>
      <c r="BA854" s="154" t="n"/>
      <c r="BB854" s="154" t="n"/>
      <c r="BC854" s="154" t="n"/>
      <c r="BD854" s="154" t="n"/>
      <c r="BE854" s="154" t="n"/>
      <c r="BF854" s="154" t="n"/>
      <c r="BG854" s="154" t="n"/>
      <c r="BH854" s="154" t="n"/>
    </row>
    <row r="855" ht="15.75" customHeight="1" s="251">
      <c r="A855" s="153" t="n"/>
      <c r="B855" s="154" t="n"/>
      <c r="C855" s="154" t="n"/>
      <c r="D855" s="154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  <c r="AA855" s="154" t="n"/>
      <c r="AB855" s="154" t="n"/>
      <c r="AC855" s="154" t="n"/>
      <c r="AD855" s="154" t="n"/>
      <c r="AE855" s="154" t="n"/>
      <c r="AF855" s="154" t="n"/>
      <c r="AG855" s="154" t="n"/>
      <c r="AH855" s="154" t="n"/>
      <c r="AI855" s="154" t="n"/>
      <c r="AJ855" s="154" t="n"/>
      <c r="AK855" s="154" t="n"/>
      <c r="AL855" s="154" t="n"/>
      <c r="AM855" s="154" t="n"/>
      <c r="AN855" s="154" t="n"/>
      <c r="AO855" s="154" t="n"/>
      <c r="AP855" s="154" t="n"/>
      <c r="AQ855" s="154" t="n"/>
      <c r="AR855" s="154" t="n"/>
      <c r="AS855" s="154" t="n"/>
      <c r="AT855" s="154" t="n"/>
      <c r="AU855" s="154" t="n"/>
      <c r="AV855" s="154" t="n"/>
      <c r="AW855" s="154" t="n"/>
      <c r="AX855" s="154" t="n"/>
      <c r="AY855" s="154" t="n"/>
      <c r="AZ855" s="154" t="n"/>
      <c r="BA855" s="154" t="n"/>
      <c r="BB855" s="154" t="n"/>
      <c r="BC855" s="154" t="n"/>
      <c r="BD855" s="154" t="n"/>
      <c r="BE855" s="154" t="n"/>
      <c r="BF855" s="154" t="n"/>
      <c r="BG855" s="154" t="n"/>
      <c r="BH855" s="154" t="n"/>
    </row>
    <row r="856" ht="15.75" customHeight="1" s="251">
      <c r="A856" s="153" t="n"/>
      <c r="B856" s="154" t="n"/>
      <c r="C856" s="154" t="n"/>
      <c r="D856" s="154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  <c r="AA856" s="154" t="n"/>
      <c r="AB856" s="154" t="n"/>
      <c r="AC856" s="154" t="n"/>
      <c r="AD856" s="154" t="n"/>
      <c r="AE856" s="154" t="n"/>
      <c r="AF856" s="154" t="n"/>
      <c r="AG856" s="154" t="n"/>
      <c r="AH856" s="154" t="n"/>
      <c r="AI856" s="154" t="n"/>
      <c r="AJ856" s="154" t="n"/>
      <c r="AK856" s="154" t="n"/>
      <c r="AL856" s="154" t="n"/>
      <c r="AM856" s="154" t="n"/>
      <c r="AN856" s="154" t="n"/>
      <c r="AO856" s="154" t="n"/>
      <c r="AP856" s="154" t="n"/>
      <c r="AQ856" s="154" t="n"/>
      <c r="AR856" s="154" t="n"/>
      <c r="AS856" s="154" t="n"/>
      <c r="AT856" s="154" t="n"/>
      <c r="AU856" s="154" t="n"/>
      <c r="AV856" s="154" t="n"/>
      <c r="AW856" s="154" t="n"/>
      <c r="AX856" s="154" t="n"/>
      <c r="AY856" s="154" t="n"/>
      <c r="AZ856" s="154" t="n"/>
      <c r="BA856" s="154" t="n"/>
      <c r="BB856" s="154" t="n"/>
      <c r="BC856" s="154" t="n"/>
      <c r="BD856" s="154" t="n"/>
      <c r="BE856" s="154" t="n"/>
      <c r="BF856" s="154" t="n"/>
      <c r="BG856" s="154" t="n"/>
      <c r="BH856" s="154" t="n"/>
    </row>
    <row r="857" ht="15.75" customHeight="1" s="251">
      <c r="A857" s="153" t="n"/>
      <c r="B857" s="154" t="n"/>
      <c r="C857" s="154" t="n"/>
      <c r="D857" s="154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  <c r="AA857" s="154" t="n"/>
      <c r="AB857" s="154" t="n"/>
      <c r="AC857" s="154" t="n"/>
      <c r="AD857" s="154" t="n"/>
      <c r="AE857" s="154" t="n"/>
      <c r="AF857" s="154" t="n"/>
      <c r="AG857" s="154" t="n"/>
      <c r="AH857" s="154" t="n"/>
      <c r="AI857" s="154" t="n"/>
      <c r="AJ857" s="154" t="n"/>
      <c r="AK857" s="154" t="n"/>
      <c r="AL857" s="154" t="n"/>
      <c r="AM857" s="154" t="n"/>
      <c r="AN857" s="154" t="n"/>
      <c r="AO857" s="154" t="n"/>
      <c r="AP857" s="154" t="n"/>
      <c r="AQ857" s="154" t="n"/>
      <c r="AR857" s="154" t="n"/>
      <c r="AS857" s="154" t="n"/>
      <c r="AT857" s="154" t="n"/>
      <c r="AU857" s="154" t="n"/>
      <c r="AV857" s="154" t="n"/>
      <c r="AW857" s="154" t="n"/>
      <c r="AX857" s="154" t="n"/>
      <c r="AY857" s="154" t="n"/>
      <c r="AZ857" s="154" t="n"/>
      <c r="BA857" s="154" t="n"/>
      <c r="BB857" s="154" t="n"/>
      <c r="BC857" s="154" t="n"/>
      <c r="BD857" s="154" t="n"/>
      <c r="BE857" s="154" t="n"/>
      <c r="BF857" s="154" t="n"/>
      <c r="BG857" s="154" t="n"/>
      <c r="BH857" s="154" t="n"/>
    </row>
    <row r="858" ht="15.75" customHeight="1" s="251">
      <c r="A858" s="153" t="n"/>
      <c r="B858" s="154" t="n"/>
      <c r="C858" s="154" t="n"/>
      <c r="D858" s="154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  <c r="AA858" s="154" t="n"/>
      <c r="AB858" s="154" t="n"/>
      <c r="AC858" s="154" t="n"/>
      <c r="AD858" s="154" t="n"/>
      <c r="AE858" s="154" t="n"/>
      <c r="AF858" s="154" t="n"/>
      <c r="AG858" s="154" t="n"/>
      <c r="AH858" s="154" t="n"/>
      <c r="AI858" s="154" t="n"/>
      <c r="AJ858" s="154" t="n"/>
      <c r="AK858" s="154" t="n"/>
      <c r="AL858" s="154" t="n"/>
      <c r="AM858" s="154" t="n"/>
      <c r="AN858" s="154" t="n"/>
      <c r="AO858" s="154" t="n"/>
      <c r="AP858" s="154" t="n"/>
      <c r="AQ858" s="154" t="n"/>
      <c r="AR858" s="154" t="n"/>
      <c r="AS858" s="154" t="n"/>
      <c r="AT858" s="154" t="n"/>
      <c r="AU858" s="154" t="n"/>
      <c r="AV858" s="154" t="n"/>
      <c r="AW858" s="154" t="n"/>
      <c r="AX858" s="154" t="n"/>
      <c r="AY858" s="154" t="n"/>
      <c r="AZ858" s="154" t="n"/>
      <c r="BA858" s="154" t="n"/>
      <c r="BB858" s="154" t="n"/>
      <c r="BC858" s="154" t="n"/>
      <c r="BD858" s="154" t="n"/>
      <c r="BE858" s="154" t="n"/>
      <c r="BF858" s="154" t="n"/>
      <c r="BG858" s="154" t="n"/>
      <c r="BH858" s="154" t="n"/>
    </row>
    <row r="859" ht="15.75" customHeight="1" s="251">
      <c r="A859" s="153" t="n"/>
      <c r="B859" s="154" t="n"/>
      <c r="C859" s="154" t="n"/>
      <c r="D859" s="154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  <c r="AA859" s="154" t="n"/>
      <c r="AB859" s="154" t="n"/>
      <c r="AC859" s="154" t="n"/>
      <c r="AD859" s="154" t="n"/>
      <c r="AE859" s="154" t="n"/>
      <c r="AF859" s="154" t="n"/>
      <c r="AG859" s="154" t="n"/>
      <c r="AH859" s="154" t="n"/>
      <c r="AI859" s="154" t="n"/>
      <c r="AJ859" s="154" t="n"/>
      <c r="AK859" s="154" t="n"/>
      <c r="AL859" s="154" t="n"/>
      <c r="AM859" s="154" t="n"/>
      <c r="AN859" s="154" t="n"/>
      <c r="AO859" s="154" t="n"/>
      <c r="AP859" s="154" t="n"/>
      <c r="AQ859" s="154" t="n"/>
      <c r="AR859" s="154" t="n"/>
      <c r="AS859" s="154" t="n"/>
      <c r="AT859" s="154" t="n"/>
      <c r="AU859" s="154" t="n"/>
      <c r="AV859" s="154" t="n"/>
      <c r="AW859" s="154" t="n"/>
      <c r="AX859" s="154" t="n"/>
      <c r="AY859" s="154" t="n"/>
      <c r="AZ859" s="154" t="n"/>
      <c r="BA859" s="154" t="n"/>
      <c r="BB859" s="154" t="n"/>
      <c r="BC859" s="154" t="n"/>
      <c r="BD859" s="154" t="n"/>
      <c r="BE859" s="154" t="n"/>
      <c r="BF859" s="154" t="n"/>
      <c r="BG859" s="154" t="n"/>
      <c r="BH859" s="154" t="n"/>
    </row>
    <row r="860" ht="15.75" customHeight="1" s="251">
      <c r="A860" s="153" t="n"/>
      <c r="B860" s="154" t="n"/>
      <c r="C860" s="154" t="n"/>
      <c r="D860" s="154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  <c r="AA860" s="154" t="n"/>
      <c r="AB860" s="154" t="n"/>
      <c r="AC860" s="154" t="n"/>
      <c r="AD860" s="154" t="n"/>
      <c r="AE860" s="154" t="n"/>
      <c r="AF860" s="154" t="n"/>
      <c r="AG860" s="154" t="n"/>
      <c r="AH860" s="154" t="n"/>
      <c r="AI860" s="154" t="n"/>
      <c r="AJ860" s="154" t="n"/>
      <c r="AK860" s="154" t="n"/>
      <c r="AL860" s="154" t="n"/>
      <c r="AM860" s="154" t="n"/>
      <c r="AN860" s="154" t="n"/>
      <c r="AO860" s="154" t="n"/>
      <c r="AP860" s="154" t="n"/>
      <c r="AQ860" s="154" t="n"/>
      <c r="AR860" s="154" t="n"/>
      <c r="AS860" s="154" t="n"/>
      <c r="AT860" s="154" t="n"/>
      <c r="AU860" s="154" t="n"/>
      <c r="AV860" s="154" t="n"/>
      <c r="AW860" s="154" t="n"/>
      <c r="AX860" s="154" t="n"/>
      <c r="AY860" s="154" t="n"/>
      <c r="AZ860" s="154" t="n"/>
      <c r="BA860" s="154" t="n"/>
      <c r="BB860" s="154" t="n"/>
      <c r="BC860" s="154" t="n"/>
      <c r="BD860" s="154" t="n"/>
      <c r="BE860" s="154" t="n"/>
      <c r="BF860" s="154" t="n"/>
      <c r="BG860" s="154" t="n"/>
      <c r="BH860" s="154" t="n"/>
    </row>
    <row r="861" ht="15.75" customHeight="1" s="251">
      <c r="A861" s="153" t="n"/>
      <c r="B861" s="154" t="n"/>
      <c r="C861" s="154" t="n"/>
      <c r="D861" s="154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  <c r="AA861" s="154" t="n"/>
      <c r="AB861" s="154" t="n"/>
      <c r="AC861" s="154" t="n"/>
      <c r="AD861" s="154" t="n"/>
      <c r="AE861" s="154" t="n"/>
      <c r="AF861" s="154" t="n"/>
      <c r="AG861" s="154" t="n"/>
      <c r="AH861" s="154" t="n"/>
      <c r="AI861" s="154" t="n"/>
      <c r="AJ861" s="154" t="n"/>
      <c r="AK861" s="154" t="n"/>
      <c r="AL861" s="154" t="n"/>
      <c r="AM861" s="154" t="n"/>
      <c r="AN861" s="154" t="n"/>
      <c r="AO861" s="154" t="n"/>
      <c r="AP861" s="154" t="n"/>
      <c r="AQ861" s="154" t="n"/>
      <c r="AR861" s="154" t="n"/>
      <c r="AS861" s="154" t="n"/>
      <c r="AT861" s="154" t="n"/>
      <c r="AU861" s="154" t="n"/>
      <c r="AV861" s="154" t="n"/>
      <c r="AW861" s="154" t="n"/>
      <c r="AX861" s="154" t="n"/>
      <c r="AY861" s="154" t="n"/>
      <c r="AZ861" s="154" t="n"/>
      <c r="BA861" s="154" t="n"/>
      <c r="BB861" s="154" t="n"/>
      <c r="BC861" s="154" t="n"/>
      <c r="BD861" s="154" t="n"/>
      <c r="BE861" s="154" t="n"/>
      <c r="BF861" s="154" t="n"/>
      <c r="BG861" s="154" t="n"/>
      <c r="BH861" s="154" t="n"/>
    </row>
    <row r="862" ht="15.75" customHeight="1" s="251">
      <c r="A862" s="153" t="n"/>
      <c r="B862" s="154" t="n"/>
      <c r="C862" s="154" t="n"/>
      <c r="D862" s="154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  <c r="AA862" s="154" t="n"/>
      <c r="AB862" s="154" t="n"/>
      <c r="AC862" s="154" t="n"/>
      <c r="AD862" s="154" t="n"/>
      <c r="AE862" s="154" t="n"/>
      <c r="AF862" s="154" t="n"/>
      <c r="AG862" s="154" t="n"/>
      <c r="AH862" s="154" t="n"/>
      <c r="AI862" s="154" t="n"/>
      <c r="AJ862" s="154" t="n"/>
      <c r="AK862" s="154" t="n"/>
      <c r="AL862" s="154" t="n"/>
      <c r="AM862" s="154" t="n"/>
      <c r="AN862" s="154" t="n"/>
      <c r="AO862" s="154" t="n"/>
      <c r="AP862" s="154" t="n"/>
      <c r="AQ862" s="154" t="n"/>
      <c r="AR862" s="154" t="n"/>
      <c r="AS862" s="154" t="n"/>
      <c r="AT862" s="154" t="n"/>
      <c r="AU862" s="154" t="n"/>
      <c r="AV862" s="154" t="n"/>
      <c r="AW862" s="154" t="n"/>
      <c r="AX862" s="154" t="n"/>
      <c r="AY862" s="154" t="n"/>
      <c r="AZ862" s="154" t="n"/>
      <c r="BA862" s="154" t="n"/>
      <c r="BB862" s="154" t="n"/>
      <c r="BC862" s="154" t="n"/>
      <c r="BD862" s="154" t="n"/>
      <c r="BE862" s="154" t="n"/>
      <c r="BF862" s="154" t="n"/>
      <c r="BG862" s="154" t="n"/>
      <c r="BH862" s="154" t="n"/>
    </row>
    <row r="863" ht="15.75" customHeight="1" s="251">
      <c r="A863" s="153" t="n"/>
      <c r="B863" s="154" t="n"/>
      <c r="C863" s="154" t="n"/>
      <c r="D863" s="154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  <c r="AA863" s="154" t="n"/>
      <c r="AB863" s="154" t="n"/>
      <c r="AC863" s="154" t="n"/>
      <c r="AD863" s="154" t="n"/>
      <c r="AE863" s="154" t="n"/>
      <c r="AF863" s="154" t="n"/>
      <c r="AG863" s="154" t="n"/>
      <c r="AH863" s="154" t="n"/>
      <c r="AI863" s="154" t="n"/>
      <c r="AJ863" s="154" t="n"/>
      <c r="AK863" s="154" t="n"/>
      <c r="AL863" s="154" t="n"/>
      <c r="AM863" s="154" t="n"/>
      <c r="AN863" s="154" t="n"/>
      <c r="AO863" s="154" t="n"/>
      <c r="AP863" s="154" t="n"/>
      <c r="AQ863" s="154" t="n"/>
      <c r="AR863" s="154" t="n"/>
      <c r="AS863" s="154" t="n"/>
      <c r="AT863" s="154" t="n"/>
      <c r="AU863" s="154" t="n"/>
      <c r="AV863" s="154" t="n"/>
      <c r="AW863" s="154" t="n"/>
      <c r="AX863" s="154" t="n"/>
      <c r="AY863" s="154" t="n"/>
      <c r="AZ863" s="154" t="n"/>
      <c r="BA863" s="154" t="n"/>
      <c r="BB863" s="154" t="n"/>
      <c r="BC863" s="154" t="n"/>
      <c r="BD863" s="154" t="n"/>
      <c r="BE863" s="154" t="n"/>
      <c r="BF863" s="154" t="n"/>
      <c r="BG863" s="154" t="n"/>
      <c r="BH863" s="154" t="n"/>
    </row>
    <row r="864" ht="15.75" customHeight="1" s="251">
      <c r="A864" s="153" t="n"/>
      <c r="B864" s="154" t="n"/>
      <c r="C864" s="154" t="n"/>
      <c r="D864" s="154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  <c r="AA864" s="154" t="n"/>
      <c r="AB864" s="154" t="n"/>
      <c r="AC864" s="154" t="n"/>
      <c r="AD864" s="154" t="n"/>
      <c r="AE864" s="154" t="n"/>
      <c r="AF864" s="154" t="n"/>
      <c r="AG864" s="154" t="n"/>
      <c r="AH864" s="154" t="n"/>
      <c r="AI864" s="154" t="n"/>
      <c r="AJ864" s="154" t="n"/>
      <c r="AK864" s="154" t="n"/>
      <c r="AL864" s="154" t="n"/>
      <c r="AM864" s="154" t="n"/>
      <c r="AN864" s="154" t="n"/>
      <c r="AO864" s="154" t="n"/>
      <c r="AP864" s="154" t="n"/>
      <c r="AQ864" s="154" t="n"/>
      <c r="AR864" s="154" t="n"/>
      <c r="AS864" s="154" t="n"/>
      <c r="AT864" s="154" t="n"/>
      <c r="AU864" s="154" t="n"/>
      <c r="AV864" s="154" t="n"/>
      <c r="AW864" s="154" t="n"/>
      <c r="AX864" s="154" t="n"/>
      <c r="AY864" s="154" t="n"/>
      <c r="AZ864" s="154" t="n"/>
      <c r="BA864" s="154" t="n"/>
      <c r="BB864" s="154" t="n"/>
      <c r="BC864" s="154" t="n"/>
      <c r="BD864" s="154" t="n"/>
      <c r="BE864" s="154" t="n"/>
      <c r="BF864" s="154" t="n"/>
      <c r="BG864" s="154" t="n"/>
      <c r="BH864" s="154" t="n"/>
    </row>
    <row r="865" ht="15.75" customHeight="1" s="251">
      <c r="A865" s="153" t="n"/>
      <c r="B865" s="154" t="n"/>
      <c r="C865" s="154" t="n"/>
      <c r="D865" s="154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  <c r="AA865" s="154" t="n"/>
      <c r="AB865" s="154" t="n"/>
      <c r="AC865" s="154" t="n"/>
      <c r="AD865" s="154" t="n"/>
      <c r="AE865" s="154" t="n"/>
      <c r="AF865" s="154" t="n"/>
      <c r="AG865" s="154" t="n"/>
      <c r="AH865" s="154" t="n"/>
      <c r="AI865" s="154" t="n"/>
      <c r="AJ865" s="154" t="n"/>
      <c r="AK865" s="154" t="n"/>
      <c r="AL865" s="154" t="n"/>
      <c r="AM865" s="154" t="n"/>
      <c r="AN865" s="154" t="n"/>
      <c r="AO865" s="154" t="n"/>
      <c r="AP865" s="154" t="n"/>
      <c r="AQ865" s="154" t="n"/>
      <c r="AR865" s="154" t="n"/>
      <c r="AS865" s="154" t="n"/>
      <c r="AT865" s="154" t="n"/>
      <c r="AU865" s="154" t="n"/>
      <c r="AV865" s="154" t="n"/>
      <c r="AW865" s="154" t="n"/>
      <c r="AX865" s="154" t="n"/>
      <c r="AY865" s="154" t="n"/>
      <c r="AZ865" s="154" t="n"/>
      <c r="BA865" s="154" t="n"/>
      <c r="BB865" s="154" t="n"/>
      <c r="BC865" s="154" t="n"/>
      <c r="BD865" s="154" t="n"/>
      <c r="BE865" s="154" t="n"/>
      <c r="BF865" s="154" t="n"/>
      <c r="BG865" s="154" t="n"/>
      <c r="BH865" s="154" t="n"/>
    </row>
    <row r="866" ht="15.75" customHeight="1" s="251">
      <c r="A866" s="153" t="n"/>
      <c r="B866" s="154" t="n"/>
      <c r="C866" s="154" t="n"/>
      <c r="D866" s="154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  <c r="AA866" s="154" t="n"/>
      <c r="AB866" s="154" t="n"/>
      <c r="AC866" s="154" t="n"/>
      <c r="AD866" s="154" t="n"/>
      <c r="AE866" s="154" t="n"/>
      <c r="AF866" s="154" t="n"/>
      <c r="AG866" s="154" t="n"/>
      <c r="AH866" s="154" t="n"/>
      <c r="AI866" s="154" t="n"/>
      <c r="AJ866" s="154" t="n"/>
      <c r="AK866" s="154" t="n"/>
      <c r="AL866" s="154" t="n"/>
      <c r="AM866" s="154" t="n"/>
      <c r="AN866" s="154" t="n"/>
      <c r="AO866" s="154" t="n"/>
      <c r="AP866" s="154" t="n"/>
      <c r="AQ866" s="154" t="n"/>
      <c r="AR866" s="154" t="n"/>
      <c r="AS866" s="154" t="n"/>
      <c r="AT866" s="154" t="n"/>
      <c r="AU866" s="154" t="n"/>
      <c r="AV866" s="154" t="n"/>
      <c r="AW866" s="154" t="n"/>
      <c r="AX866" s="154" t="n"/>
      <c r="AY866" s="154" t="n"/>
      <c r="AZ866" s="154" t="n"/>
      <c r="BA866" s="154" t="n"/>
      <c r="BB866" s="154" t="n"/>
      <c r="BC866" s="154" t="n"/>
      <c r="BD866" s="154" t="n"/>
      <c r="BE866" s="154" t="n"/>
      <c r="BF866" s="154" t="n"/>
      <c r="BG866" s="154" t="n"/>
      <c r="BH866" s="154" t="n"/>
    </row>
    <row r="867" ht="15.75" customHeight="1" s="251">
      <c r="A867" s="153" t="n"/>
      <c r="B867" s="154" t="n"/>
      <c r="C867" s="154" t="n"/>
      <c r="D867" s="154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  <c r="AA867" s="154" t="n"/>
      <c r="AB867" s="154" t="n"/>
      <c r="AC867" s="154" t="n"/>
      <c r="AD867" s="154" t="n"/>
      <c r="AE867" s="154" t="n"/>
      <c r="AF867" s="154" t="n"/>
      <c r="AG867" s="154" t="n"/>
      <c r="AH867" s="154" t="n"/>
      <c r="AI867" s="154" t="n"/>
      <c r="AJ867" s="154" t="n"/>
      <c r="AK867" s="154" t="n"/>
      <c r="AL867" s="154" t="n"/>
      <c r="AM867" s="154" t="n"/>
      <c r="AN867" s="154" t="n"/>
      <c r="AO867" s="154" t="n"/>
      <c r="AP867" s="154" t="n"/>
      <c r="AQ867" s="154" t="n"/>
      <c r="AR867" s="154" t="n"/>
      <c r="AS867" s="154" t="n"/>
      <c r="AT867" s="154" t="n"/>
      <c r="AU867" s="154" t="n"/>
      <c r="AV867" s="154" t="n"/>
      <c r="AW867" s="154" t="n"/>
      <c r="AX867" s="154" t="n"/>
      <c r="AY867" s="154" t="n"/>
      <c r="AZ867" s="154" t="n"/>
      <c r="BA867" s="154" t="n"/>
      <c r="BB867" s="154" t="n"/>
      <c r="BC867" s="154" t="n"/>
      <c r="BD867" s="154" t="n"/>
      <c r="BE867" s="154" t="n"/>
      <c r="BF867" s="154" t="n"/>
      <c r="BG867" s="154" t="n"/>
      <c r="BH867" s="154" t="n"/>
    </row>
    <row r="868" ht="15.75" customHeight="1" s="251">
      <c r="A868" s="153" t="n"/>
      <c r="B868" s="154" t="n"/>
      <c r="C868" s="154" t="n"/>
      <c r="D868" s="154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  <c r="AA868" s="154" t="n"/>
      <c r="AB868" s="154" t="n"/>
      <c r="AC868" s="154" t="n"/>
      <c r="AD868" s="154" t="n"/>
      <c r="AE868" s="154" t="n"/>
      <c r="AF868" s="154" t="n"/>
      <c r="AG868" s="154" t="n"/>
      <c r="AH868" s="154" t="n"/>
      <c r="AI868" s="154" t="n"/>
      <c r="AJ868" s="154" t="n"/>
      <c r="AK868" s="154" t="n"/>
      <c r="AL868" s="154" t="n"/>
      <c r="AM868" s="154" t="n"/>
      <c r="AN868" s="154" t="n"/>
      <c r="AO868" s="154" t="n"/>
      <c r="AP868" s="154" t="n"/>
      <c r="AQ868" s="154" t="n"/>
      <c r="AR868" s="154" t="n"/>
      <c r="AS868" s="154" t="n"/>
      <c r="AT868" s="154" t="n"/>
      <c r="AU868" s="154" t="n"/>
      <c r="AV868" s="154" t="n"/>
      <c r="AW868" s="154" t="n"/>
      <c r="AX868" s="154" t="n"/>
      <c r="AY868" s="154" t="n"/>
      <c r="AZ868" s="154" t="n"/>
      <c r="BA868" s="154" t="n"/>
      <c r="BB868" s="154" t="n"/>
      <c r="BC868" s="154" t="n"/>
      <c r="BD868" s="154" t="n"/>
      <c r="BE868" s="154" t="n"/>
      <c r="BF868" s="154" t="n"/>
      <c r="BG868" s="154" t="n"/>
      <c r="BH868" s="154" t="n"/>
    </row>
    <row r="869" ht="15.75" customHeight="1" s="251">
      <c r="A869" s="153" t="n"/>
      <c r="B869" s="154" t="n"/>
      <c r="C869" s="154" t="n"/>
      <c r="D869" s="154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  <c r="AA869" s="154" t="n"/>
      <c r="AB869" s="154" t="n"/>
      <c r="AC869" s="154" t="n"/>
      <c r="AD869" s="154" t="n"/>
      <c r="AE869" s="154" t="n"/>
      <c r="AF869" s="154" t="n"/>
      <c r="AG869" s="154" t="n"/>
      <c r="AH869" s="154" t="n"/>
      <c r="AI869" s="154" t="n"/>
      <c r="AJ869" s="154" t="n"/>
      <c r="AK869" s="154" t="n"/>
      <c r="AL869" s="154" t="n"/>
      <c r="AM869" s="154" t="n"/>
      <c r="AN869" s="154" t="n"/>
      <c r="AO869" s="154" t="n"/>
      <c r="AP869" s="154" t="n"/>
      <c r="AQ869" s="154" t="n"/>
      <c r="AR869" s="154" t="n"/>
      <c r="AS869" s="154" t="n"/>
      <c r="AT869" s="154" t="n"/>
      <c r="AU869" s="154" t="n"/>
      <c r="AV869" s="154" t="n"/>
      <c r="AW869" s="154" t="n"/>
      <c r="AX869" s="154" t="n"/>
      <c r="AY869" s="154" t="n"/>
      <c r="AZ869" s="154" t="n"/>
      <c r="BA869" s="154" t="n"/>
      <c r="BB869" s="154" t="n"/>
      <c r="BC869" s="154" t="n"/>
      <c r="BD869" s="154" t="n"/>
      <c r="BE869" s="154" t="n"/>
      <c r="BF869" s="154" t="n"/>
      <c r="BG869" s="154" t="n"/>
      <c r="BH869" s="154" t="n"/>
    </row>
    <row r="870" ht="15.75" customHeight="1" s="251">
      <c r="A870" s="153" t="n"/>
      <c r="B870" s="154" t="n"/>
      <c r="C870" s="154" t="n"/>
      <c r="D870" s="154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  <c r="AA870" s="154" t="n"/>
      <c r="AB870" s="154" t="n"/>
      <c r="AC870" s="154" t="n"/>
      <c r="AD870" s="154" t="n"/>
      <c r="AE870" s="154" t="n"/>
      <c r="AF870" s="154" t="n"/>
      <c r="AG870" s="154" t="n"/>
      <c r="AH870" s="154" t="n"/>
      <c r="AI870" s="154" t="n"/>
      <c r="AJ870" s="154" t="n"/>
      <c r="AK870" s="154" t="n"/>
      <c r="AL870" s="154" t="n"/>
      <c r="AM870" s="154" t="n"/>
      <c r="AN870" s="154" t="n"/>
      <c r="AO870" s="154" t="n"/>
      <c r="AP870" s="154" t="n"/>
      <c r="AQ870" s="154" t="n"/>
      <c r="AR870" s="154" t="n"/>
      <c r="AS870" s="154" t="n"/>
      <c r="AT870" s="154" t="n"/>
      <c r="AU870" s="154" t="n"/>
      <c r="AV870" s="154" t="n"/>
      <c r="AW870" s="154" t="n"/>
      <c r="AX870" s="154" t="n"/>
      <c r="AY870" s="154" t="n"/>
      <c r="AZ870" s="154" t="n"/>
      <c r="BA870" s="154" t="n"/>
      <c r="BB870" s="154" t="n"/>
      <c r="BC870" s="154" t="n"/>
      <c r="BD870" s="154" t="n"/>
      <c r="BE870" s="154" t="n"/>
      <c r="BF870" s="154" t="n"/>
      <c r="BG870" s="154" t="n"/>
      <c r="BH870" s="154" t="n"/>
    </row>
    <row r="871" ht="15.75" customHeight="1" s="251">
      <c r="A871" s="153" t="n"/>
      <c r="B871" s="154" t="n"/>
      <c r="C871" s="154" t="n"/>
      <c r="D871" s="154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  <c r="AA871" s="154" t="n"/>
      <c r="AB871" s="154" t="n"/>
      <c r="AC871" s="154" t="n"/>
      <c r="AD871" s="154" t="n"/>
      <c r="AE871" s="154" t="n"/>
      <c r="AF871" s="154" t="n"/>
      <c r="AG871" s="154" t="n"/>
      <c r="AH871" s="154" t="n"/>
      <c r="AI871" s="154" t="n"/>
      <c r="AJ871" s="154" t="n"/>
      <c r="AK871" s="154" t="n"/>
      <c r="AL871" s="154" t="n"/>
      <c r="AM871" s="154" t="n"/>
      <c r="AN871" s="154" t="n"/>
      <c r="AO871" s="154" t="n"/>
      <c r="AP871" s="154" t="n"/>
      <c r="AQ871" s="154" t="n"/>
      <c r="AR871" s="154" t="n"/>
      <c r="AS871" s="154" t="n"/>
      <c r="AT871" s="154" t="n"/>
      <c r="AU871" s="154" t="n"/>
      <c r="AV871" s="154" t="n"/>
      <c r="AW871" s="154" t="n"/>
      <c r="AX871" s="154" t="n"/>
      <c r="AY871" s="154" t="n"/>
      <c r="AZ871" s="154" t="n"/>
      <c r="BA871" s="154" t="n"/>
      <c r="BB871" s="154" t="n"/>
      <c r="BC871" s="154" t="n"/>
      <c r="BD871" s="154" t="n"/>
      <c r="BE871" s="154" t="n"/>
      <c r="BF871" s="154" t="n"/>
      <c r="BG871" s="154" t="n"/>
      <c r="BH871" s="154" t="n"/>
    </row>
    <row r="872" ht="15.75" customHeight="1" s="251">
      <c r="A872" s="153" t="n"/>
      <c r="B872" s="154" t="n"/>
      <c r="C872" s="154" t="n"/>
      <c r="D872" s="154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  <c r="AA872" s="154" t="n"/>
      <c r="AB872" s="154" t="n"/>
      <c r="AC872" s="154" t="n"/>
      <c r="AD872" s="154" t="n"/>
      <c r="AE872" s="154" t="n"/>
      <c r="AF872" s="154" t="n"/>
      <c r="AG872" s="154" t="n"/>
      <c r="AH872" s="154" t="n"/>
      <c r="AI872" s="154" t="n"/>
      <c r="AJ872" s="154" t="n"/>
      <c r="AK872" s="154" t="n"/>
      <c r="AL872" s="154" t="n"/>
      <c r="AM872" s="154" t="n"/>
      <c r="AN872" s="154" t="n"/>
      <c r="AO872" s="154" t="n"/>
      <c r="AP872" s="154" t="n"/>
      <c r="AQ872" s="154" t="n"/>
      <c r="AR872" s="154" t="n"/>
      <c r="AS872" s="154" t="n"/>
      <c r="AT872" s="154" t="n"/>
      <c r="AU872" s="154" t="n"/>
      <c r="AV872" s="154" t="n"/>
      <c r="AW872" s="154" t="n"/>
      <c r="AX872" s="154" t="n"/>
      <c r="AY872" s="154" t="n"/>
      <c r="AZ872" s="154" t="n"/>
      <c r="BA872" s="154" t="n"/>
      <c r="BB872" s="154" t="n"/>
      <c r="BC872" s="154" t="n"/>
      <c r="BD872" s="154" t="n"/>
      <c r="BE872" s="154" t="n"/>
      <c r="BF872" s="154" t="n"/>
      <c r="BG872" s="154" t="n"/>
      <c r="BH872" s="154" t="n"/>
    </row>
    <row r="873" ht="15.75" customHeight="1" s="251">
      <c r="A873" s="153" t="n"/>
      <c r="B873" s="154" t="n"/>
      <c r="C873" s="154" t="n"/>
      <c r="D873" s="154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  <c r="AA873" s="154" t="n"/>
      <c r="AB873" s="154" t="n"/>
      <c r="AC873" s="154" t="n"/>
      <c r="AD873" s="154" t="n"/>
      <c r="AE873" s="154" t="n"/>
      <c r="AF873" s="154" t="n"/>
      <c r="AG873" s="154" t="n"/>
      <c r="AH873" s="154" t="n"/>
      <c r="AI873" s="154" t="n"/>
      <c r="AJ873" s="154" t="n"/>
      <c r="AK873" s="154" t="n"/>
      <c r="AL873" s="154" t="n"/>
      <c r="AM873" s="154" t="n"/>
      <c r="AN873" s="154" t="n"/>
      <c r="AO873" s="154" t="n"/>
      <c r="AP873" s="154" t="n"/>
      <c r="AQ873" s="154" t="n"/>
      <c r="AR873" s="154" t="n"/>
      <c r="AS873" s="154" t="n"/>
      <c r="AT873" s="154" t="n"/>
      <c r="AU873" s="154" t="n"/>
      <c r="AV873" s="154" t="n"/>
      <c r="AW873" s="154" t="n"/>
      <c r="AX873" s="154" t="n"/>
      <c r="AY873" s="154" t="n"/>
      <c r="AZ873" s="154" t="n"/>
      <c r="BA873" s="154" t="n"/>
      <c r="BB873" s="154" t="n"/>
      <c r="BC873" s="154" t="n"/>
      <c r="BD873" s="154" t="n"/>
      <c r="BE873" s="154" t="n"/>
      <c r="BF873" s="154" t="n"/>
      <c r="BG873" s="154" t="n"/>
      <c r="BH873" s="154" t="n"/>
    </row>
    <row r="874" ht="15.75" customHeight="1" s="251">
      <c r="A874" s="153" t="n"/>
      <c r="B874" s="154" t="n"/>
      <c r="C874" s="154" t="n"/>
      <c r="D874" s="154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  <c r="AA874" s="154" t="n"/>
      <c r="AB874" s="154" t="n"/>
      <c r="AC874" s="154" t="n"/>
      <c r="AD874" s="154" t="n"/>
      <c r="AE874" s="154" t="n"/>
      <c r="AF874" s="154" t="n"/>
      <c r="AG874" s="154" t="n"/>
      <c r="AH874" s="154" t="n"/>
      <c r="AI874" s="154" t="n"/>
      <c r="AJ874" s="154" t="n"/>
      <c r="AK874" s="154" t="n"/>
      <c r="AL874" s="154" t="n"/>
      <c r="AM874" s="154" t="n"/>
      <c r="AN874" s="154" t="n"/>
      <c r="AO874" s="154" t="n"/>
      <c r="AP874" s="154" t="n"/>
      <c r="AQ874" s="154" t="n"/>
      <c r="AR874" s="154" t="n"/>
      <c r="AS874" s="154" t="n"/>
      <c r="AT874" s="154" t="n"/>
      <c r="AU874" s="154" t="n"/>
      <c r="AV874" s="154" t="n"/>
      <c r="AW874" s="154" t="n"/>
      <c r="AX874" s="154" t="n"/>
      <c r="AY874" s="154" t="n"/>
      <c r="AZ874" s="154" t="n"/>
      <c r="BA874" s="154" t="n"/>
      <c r="BB874" s="154" t="n"/>
      <c r="BC874" s="154" t="n"/>
      <c r="BD874" s="154" t="n"/>
      <c r="BE874" s="154" t="n"/>
      <c r="BF874" s="154" t="n"/>
      <c r="BG874" s="154" t="n"/>
      <c r="BH874" s="154" t="n"/>
    </row>
    <row r="875" ht="15.75" customHeight="1" s="251">
      <c r="A875" s="153" t="n"/>
      <c r="B875" s="154" t="n"/>
      <c r="C875" s="154" t="n"/>
      <c r="D875" s="154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  <c r="AA875" s="154" t="n"/>
      <c r="AB875" s="154" t="n"/>
      <c r="AC875" s="154" t="n"/>
      <c r="AD875" s="154" t="n"/>
      <c r="AE875" s="154" t="n"/>
      <c r="AF875" s="154" t="n"/>
      <c r="AG875" s="154" t="n"/>
      <c r="AH875" s="154" t="n"/>
      <c r="AI875" s="154" t="n"/>
      <c r="AJ875" s="154" t="n"/>
      <c r="AK875" s="154" t="n"/>
      <c r="AL875" s="154" t="n"/>
      <c r="AM875" s="154" t="n"/>
      <c r="AN875" s="154" t="n"/>
      <c r="AO875" s="154" t="n"/>
      <c r="AP875" s="154" t="n"/>
      <c r="AQ875" s="154" t="n"/>
      <c r="AR875" s="154" t="n"/>
      <c r="AS875" s="154" t="n"/>
      <c r="AT875" s="154" t="n"/>
      <c r="AU875" s="154" t="n"/>
      <c r="AV875" s="154" t="n"/>
      <c r="AW875" s="154" t="n"/>
      <c r="AX875" s="154" t="n"/>
      <c r="AY875" s="154" t="n"/>
      <c r="AZ875" s="154" t="n"/>
      <c r="BA875" s="154" t="n"/>
      <c r="BB875" s="154" t="n"/>
      <c r="BC875" s="154" t="n"/>
      <c r="BD875" s="154" t="n"/>
      <c r="BE875" s="154" t="n"/>
      <c r="BF875" s="154" t="n"/>
      <c r="BG875" s="154" t="n"/>
      <c r="BH875" s="154" t="n"/>
    </row>
    <row r="876" ht="15.75" customHeight="1" s="251">
      <c r="A876" s="153" t="n"/>
      <c r="B876" s="154" t="n"/>
      <c r="C876" s="154" t="n"/>
      <c r="D876" s="154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  <c r="AA876" s="154" t="n"/>
      <c r="AB876" s="154" t="n"/>
      <c r="AC876" s="154" t="n"/>
      <c r="AD876" s="154" t="n"/>
      <c r="AE876" s="154" t="n"/>
      <c r="AF876" s="154" t="n"/>
      <c r="AG876" s="154" t="n"/>
      <c r="AH876" s="154" t="n"/>
      <c r="AI876" s="154" t="n"/>
      <c r="AJ876" s="154" t="n"/>
      <c r="AK876" s="154" t="n"/>
      <c r="AL876" s="154" t="n"/>
      <c r="AM876" s="154" t="n"/>
      <c r="AN876" s="154" t="n"/>
      <c r="AO876" s="154" t="n"/>
      <c r="AP876" s="154" t="n"/>
      <c r="AQ876" s="154" t="n"/>
      <c r="AR876" s="154" t="n"/>
      <c r="AS876" s="154" t="n"/>
      <c r="AT876" s="154" t="n"/>
      <c r="AU876" s="154" t="n"/>
      <c r="AV876" s="154" t="n"/>
      <c r="AW876" s="154" t="n"/>
      <c r="AX876" s="154" t="n"/>
      <c r="AY876" s="154" t="n"/>
      <c r="AZ876" s="154" t="n"/>
      <c r="BA876" s="154" t="n"/>
      <c r="BB876" s="154" t="n"/>
      <c r="BC876" s="154" t="n"/>
      <c r="BD876" s="154" t="n"/>
      <c r="BE876" s="154" t="n"/>
      <c r="BF876" s="154" t="n"/>
      <c r="BG876" s="154" t="n"/>
      <c r="BH876" s="154" t="n"/>
    </row>
    <row r="877" ht="15.75" customHeight="1" s="251">
      <c r="A877" s="153" t="n"/>
      <c r="B877" s="154" t="n"/>
      <c r="C877" s="154" t="n"/>
      <c r="D877" s="154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  <c r="AA877" s="154" t="n"/>
      <c r="AB877" s="154" t="n"/>
      <c r="AC877" s="154" t="n"/>
      <c r="AD877" s="154" t="n"/>
      <c r="AE877" s="154" t="n"/>
      <c r="AF877" s="154" t="n"/>
      <c r="AG877" s="154" t="n"/>
      <c r="AH877" s="154" t="n"/>
      <c r="AI877" s="154" t="n"/>
      <c r="AJ877" s="154" t="n"/>
      <c r="AK877" s="154" t="n"/>
      <c r="AL877" s="154" t="n"/>
      <c r="AM877" s="154" t="n"/>
      <c r="AN877" s="154" t="n"/>
      <c r="AO877" s="154" t="n"/>
      <c r="AP877" s="154" t="n"/>
      <c r="AQ877" s="154" t="n"/>
      <c r="AR877" s="154" t="n"/>
      <c r="AS877" s="154" t="n"/>
      <c r="AT877" s="154" t="n"/>
      <c r="AU877" s="154" t="n"/>
      <c r="AV877" s="154" t="n"/>
      <c r="AW877" s="154" t="n"/>
      <c r="AX877" s="154" t="n"/>
      <c r="AY877" s="154" t="n"/>
      <c r="AZ877" s="154" t="n"/>
      <c r="BA877" s="154" t="n"/>
      <c r="BB877" s="154" t="n"/>
      <c r="BC877" s="154" t="n"/>
      <c r="BD877" s="154" t="n"/>
      <c r="BE877" s="154" t="n"/>
      <c r="BF877" s="154" t="n"/>
      <c r="BG877" s="154" t="n"/>
      <c r="BH877" s="154" t="n"/>
    </row>
    <row r="878" ht="15.75" customHeight="1" s="251">
      <c r="A878" s="153" t="n"/>
      <c r="B878" s="154" t="n"/>
      <c r="C878" s="154" t="n"/>
      <c r="D878" s="154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  <c r="AA878" s="154" t="n"/>
      <c r="AB878" s="154" t="n"/>
      <c r="AC878" s="154" t="n"/>
      <c r="AD878" s="154" t="n"/>
      <c r="AE878" s="154" t="n"/>
      <c r="AF878" s="154" t="n"/>
      <c r="AG878" s="154" t="n"/>
      <c r="AH878" s="154" t="n"/>
      <c r="AI878" s="154" t="n"/>
      <c r="AJ878" s="154" t="n"/>
      <c r="AK878" s="154" t="n"/>
      <c r="AL878" s="154" t="n"/>
      <c r="AM878" s="154" t="n"/>
      <c r="AN878" s="154" t="n"/>
      <c r="AO878" s="154" t="n"/>
      <c r="AP878" s="154" t="n"/>
      <c r="AQ878" s="154" t="n"/>
      <c r="AR878" s="154" t="n"/>
      <c r="AS878" s="154" t="n"/>
      <c r="AT878" s="154" t="n"/>
      <c r="AU878" s="154" t="n"/>
      <c r="AV878" s="154" t="n"/>
      <c r="AW878" s="154" t="n"/>
      <c r="AX878" s="154" t="n"/>
      <c r="AY878" s="154" t="n"/>
      <c r="AZ878" s="154" t="n"/>
      <c r="BA878" s="154" t="n"/>
      <c r="BB878" s="154" t="n"/>
      <c r="BC878" s="154" t="n"/>
      <c r="BD878" s="154" t="n"/>
      <c r="BE878" s="154" t="n"/>
      <c r="BF878" s="154" t="n"/>
      <c r="BG878" s="154" t="n"/>
      <c r="BH878" s="154" t="n"/>
    </row>
    <row r="879" ht="15.75" customHeight="1" s="251">
      <c r="A879" s="153" t="n"/>
      <c r="B879" s="154" t="n"/>
      <c r="C879" s="154" t="n"/>
      <c r="D879" s="154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  <c r="AA879" s="154" t="n"/>
      <c r="AB879" s="154" t="n"/>
      <c r="AC879" s="154" t="n"/>
      <c r="AD879" s="154" t="n"/>
      <c r="AE879" s="154" t="n"/>
      <c r="AF879" s="154" t="n"/>
      <c r="AG879" s="154" t="n"/>
      <c r="AH879" s="154" t="n"/>
      <c r="AI879" s="154" t="n"/>
      <c r="AJ879" s="154" t="n"/>
      <c r="AK879" s="154" t="n"/>
      <c r="AL879" s="154" t="n"/>
      <c r="AM879" s="154" t="n"/>
      <c r="AN879" s="154" t="n"/>
      <c r="AO879" s="154" t="n"/>
      <c r="AP879" s="154" t="n"/>
      <c r="AQ879" s="154" t="n"/>
      <c r="AR879" s="154" t="n"/>
      <c r="AS879" s="154" t="n"/>
      <c r="AT879" s="154" t="n"/>
      <c r="AU879" s="154" t="n"/>
      <c r="AV879" s="154" t="n"/>
      <c r="AW879" s="154" t="n"/>
      <c r="AX879" s="154" t="n"/>
      <c r="AY879" s="154" t="n"/>
      <c r="AZ879" s="154" t="n"/>
      <c r="BA879" s="154" t="n"/>
      <c r="BB879" s="154" t="n"/>
      <c r="BC879" s="154" t="n"/>
      <c r="BD879" s="154" t="n"/>
      <c r="BE879" s="154" t="n"/>
      <c r="BF879" s="154" t="n"/>
      <c r="BG879" s="154" t="n"/>
      <c r="BH879" s="154" t="n"/>
    </row>
    <row r="880" ht="15.75" customHeight="1" s="251">
      <c r="A880" s="153" t="n"/>
      <c r="B880" s="154" t="n"/>
      <c r="C880" s="154" t="n"/>
      <c r="D880" s="154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  <c r="AA880" s="154" t="n"/>
      <c r="AB880" s="154" t="n"/>
      <c r="AC880" s="154" t="n"/>
      <c r="AD880" s="154" t="n"/>
      <c r="AE880" s="154" t="n"/>
      <c r="AF880" s="154" t="n"/>
      <c r="AG880" s="154" t="n"/>
      <c r="AH880" s="154" t="n"/>
      <c r="AI880" s="154" t="n"/>
      <c r="AJ880" s="154" t="n"/>
      <c r="AK880" s="154" t="n"/>
      <c r="AL880" s="154" t="n"/>
      <c r="AM880" s="154" t="n"/>
      <c r="AN880" s="154" t="n"/>
      <c r="AO880" s="154" t="n"/>
      <c r="AP880" s="154" t="n"/>
      <c r="AQ880" s="154" t="n"/>
      <c r="AR880" s="154" t="n"/>
      <c r="AS880" s="154" t="n"/>
      <c r="AT880" s="154" t="n"/>
      <c r="AU880" s="154" t="n"/>
      <c r="AV880" s="154" t="n"/>
      <c r="AW880" s="154" t="n"/>
      <c r="AX880" s="154" t="n"/>
      <c r="AY880" s="154" t="n"/>
      <c r="AZ880" s="154" t="n"/>
      <c r="BA880" s="154" t="n"/>
      <c r="BB880" s="154" t="n"/>
      <c r="BC880" s="154" t="n"/>
      <c r="BD880" s="154" t="n"/>
      <c r="BE880" s="154" t="n"/>
      <c r="BF880" s="154" t="n"/>
      <c r="BG880" s="154" t="n"/>
      <c r="BH880" s="154" t="n"/>
    </row>
    <row r="881" ht="15.75" customHeight="1" s="251">
      <c r="A881" s="153" t="n"/>
      <c r="B881" s="154" t="n"/>
      <c r="C881" s="154" t="n"/>
      <c r="D881" s="154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  <c r="AA881" s="154" t="n"/>
      <c r="AB881" s="154" t="n"/>
      <c r="AC881" s="154" t="n"/>
      <c r="AD881" s="154" t="n"/>
      <c r="AE881" s="154" t="n"/>
      <c r="AF881" s="154" t="n"/>
      <c r="AG881" s="154" t="n"/>
      <c r="AH881" s="154" t="n"/>
      <c r="AI881" s="154" t="n"/>
      <c r="AJ881" s="154" t="n"/>
      <c r="AK881" s="154" t="n"/>
      <c r="AL881" s="154" t="n"/>
      <c r="AM881" s="154" t="n"/>
      <c r="AN881" s="154" t="n"/>
      <c r="AO881" s="154" t="n"/>
      <c r="AP881" s="154" t="n"/>
      <c r="AQ881" s="154" t="n"/>
      <c r="AR881" s="154" t="n"/>
      <c r="AS881" s="154" t="n"/>
      <c r="AT881" s="154" t="n"/>
      <c r="AU881" s="154" t="n"/>
      <c r="AV881" s="154" t="n"/>
      <c r="AW881" s="154" t="n"/>
      <c r="AX881" s="154" t="n"/>
      <c r="AY881" s="154" t="n"/>
      <c r="AZ881" s="154" t="n"/>
      <c r="BA881" s="154" t="n"/>
      <c r="BB881" s="154" t="n"/>
      <c r="BC881" s="154" t="n"/>
      <c r="BD881" s="154" t="n"/>
      <c r="BE881" s="154" t="n"/>
      <c r="BF881" s="154" t="n"/>
      <c r="BG881" s="154" t="n"/>
      <c r="BH881" s="154" t="n"/>
    </row>
    <row r="882" ht="15.75" customHeight="1" s="251">
      <c r="A882" s="153" t="n"/>
      <c r="B882" s="154" t="n"/>
      <c r="C882" s="154" t="n"/>
      <c r="D882" s="154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  <c r="AA882" s="154" t="n"/>
      <c r="AB882" s="154" t="n"/>
      <c r="AC882" s="154" t="n"/>
      <c r="AD882" s="154" t="n"/>
      <c r="AE882" s="154" t="n"/>
      <c r="AF882" s="154" t="n"/>
      <c r="AG882" s="154" t="n"/>
      <c r="AH882" s="154" t="n"/>
      <c r="AI882" s="154" t="n"/>
      <c r="AJ882" s="154" t="n"/>
      <c r="AK882" s="154" t="n"/>
      <c r="AL882" s="154" t="n"/>
      <c r="AM882" s="154" t="n"/>
      <c r="AN882" s="154" t="n"/>
      <c r="AO882" s="154" t="n"/>
      <c r="AP882" s="154" t="n"/>
      <c r="AQ882" s="154" t="n"/>
      <c r="AR882" s="154" t="n"/>
      <c r="AS882" s="154" t="n"/>
      <c r="AT882" s="154" t="n"/>
      <c r="AU882" s="154" t="n"/>
      <c r="AV882" s="154" t="n"/>
      <c r="AW882" s="154" t="n"/>
      <c r="AX882" s="154" t="n"/>
      <c r="AY882" s="154" t="n"/>
      <c r="AZ882" s="154" t="n"/>
      <c r="BA882" s="154" t="n"/>
      <c r="BB882" s="154" t="n"/>
      <c r="BC882" s="154" t="n"/>
      <c r="BD882" s="154" t="n"/>
      <c r="BE882" s="154" t="n"/>
      <c r="BF882" s="154" t="n"/>
      <c r="BG882" s="154" t="n"/>
      <c r="BH882" s="154" t="n"/>
    </row>
    <row r="883" ht="15.75" customHeight="1" s="251">
      <c r="A883" s="153" t="n"/>
      <c r="B883" s="154" t="n"/>
      <c r="C883" s="154" t="n"/>
      <c r="D883" s="154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  <c r="AA883" s="154" t="n"/>
      <c r="AB883" s="154" t="n"/>
      <c r="AC883" s="154" t="n"/>
      <c r="AD883" s="154" t="n"/>
      <c r="AE883" s="154" t="n"/>
      <c r="AF883" s="154" t="n"/>
      <c r="AG883" s="154" t="n"/>
      <c r="AH883" s="154" t="n"/>
      <c r="AI883" s="154" t="n"/>
      <c r="AJ883" s="154" t="n"/>
      <c r="AK883" s="154" t="n"/>
      <c r="AL883" s="154" t="n"/>
      <c r="AM883" s="154" t="n"/>
      <c r="AN883" s="154" t="n"/>
      <c r="AO883" s="154" t="n"/>
      <c r="AP883" s="154" t="n"/>
      <c r="AQ883" s="154" t="n"/>
      <c r="AR883" s="154" t="n"/>
      <c r="AS883" s="154" t="n"/>
      <c r="AT883" s="154" t="n"/>
      <c r="AU883" s="154" t="n"/>
      <c r="AV883" s="154" t="n"/>
      <c r="AW883" s="154" t="n"/>
      <c r="AX883" s="154" t="n"/>
      <c r="AY883" s="154" t="n"/>
      <c r="AZ883" s="154" t="n"/>
      <c r="BA883" s="154" t="n"/>
      <c r="BB883" s="154" t="n"/>
      <c r="BC883" s="154" t="n"/>
      <c r="BD883" s="154" t="n"/>
      <c r="BE883" s="154" t="n"/>
      <c r="BF883" s="154" t="n"/>
      <c r="BG883" s="154" t="n"/>
      <c r="BH883" s="154" t="n"/>
    </row>
    <row r="884" ht="15.75" customHeight="1" s="251">
      <c r="A884" s="153" t="n"/>
      <c r="B884" s="154" t="n"/>
      <c r="C884" s="154" t="n"/>
      <c r="D884" s="154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  <c r="AA884" s="154" t="n"/>
      <c r="AB884" s="154" t="n"/>
      <c r="AC884" s="154" t="n"/>
      <c r="AD884" s="154" t="n"/>
      <c r="AE884" s="154" t="n"/>
      <c r="AF884" s="154" t="n"/>
      <c r="AG884" s="154" t="n"/>
      <c r="AH884" s="154" t="n"/>
      <c r="AI884" s="154" t="n"/>
      <c r="AJ884" s="154" t="n"/>
      <c r="AK884" s="154" t="n"/>
      <c r="AL884" s="154" t="n"/>
      <c r="AM884" s="154" t="n"/>
      <c r="AN884" s="154" t="n"/>
      <c r="AO884" s="154" t="n"/>
      <c r="AP884" s="154" t="n"/>
      <c r="AQ884" s="154" t="n"/>
      <c r="AR884" s="154" t="n"/>
      <c r="AS884" s="154" t="n"/>
      <c r="AT884" s="154" t="n"/>
      <c r="AU884" s="154" t="n"/>
      <c r="AV884" s="154" t="n"/>
      <c r="AW884" s="154" t="n"/>
      <c r="AX884" s="154" t="n"/>
      <c r="AY884" s="154" t="n"/>
      <c r="AZ884" s="154" t="n"/>
      <c r="BA884" s="154" t="n"/>
      <c r="BB884" s="154" t="n"/>
      <c r="BC884" s="154" t="n"/>
      <c r="BD884" s="154" t="n"/>
      <c r="BE884" s="154" t="n"/>
      <c r="BF884" s="154" t="n"/>
      <c r="BG884" s="154" t="n"/>
      <c r="BH884" s="154" t="n"/>
    </row>
    <row r="885" ht="15.75" customHeight="1" s="251">
      <c r="A885" s="153" t="n"/>
      <c r="B885" s="154" t="n"/>
      <c r="C885" s="154" t="n"/>
      <c r="D885" s="154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  <c r="AA885" s="154" t="n"/>
      <c r="AB885" s="154" t="n"/>
      <c r="AC885" s="154" t="n"/>
      <c r="AD885" s="154" t="n"/>
      <c r="AE885" s="154" t="n"/>
      <c r="AF885" s="154" t="n"/>
      <c r="AG885" s="154" t="n"/>
      <c r="AH885" s="154" t="n"/>
      <c r="AI885" s="154" t="n"/>
      <c r="AJ885" s="154" t="n"/>
      <c r="AK885" s="154" t="n"/>
      <c r="AL885" s="154" t="n"/>
      <c r="AM885" s="154" t="n"/>
      <c r="AN885" s="154" t="n"/>
      <c r="AO885" s="154" t="n"/>
      <c r="AP885" s="154" t="n"/>
      <c r="AQ885" s="154" t="n"/>
      <c r="AR885" s="154" t="n"/>
      <c r="AS885" s="154" t="n"/>
      <c r="AT885" s="154" t="n"/>
      <c r="AU885" s="154" t="n"/>
      <c r="AV885" s="154" t="n"/>
      <c r="AW885" s="154" t="n"/>
      <c r="AX885" s="154" t="n"/>
      <c r="AY885" s="154" t="n"/>
      <c r="AZ885" s="154" t="n"/>
      <c r="BA885" s="154" t="n"/>
      <c r="BB885" s="154" t="n"/>
      <c r="BC885" s="154" t="n"/>
      <c r="BD885" s="154" t="n"/>
      <c r="BE885" s="154" t="n"/>
      <c r="BF885" s="154" t="n"/>
      <c r="BG885" s="154" t="n"/>
      <c r="BH885" s="154" t="n"/>
    </row>
    <row r="886" ht="15.75" customHeight="1" s="251">
      <c r="A886" s="153" t="n"/>
      <c r="B886" s="154" t="n"/>
      <c r="C886" s="154" t="n"/>
      <c r="D886" s="154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  <c r="AA886" s="154" t="n"/>
      <c r="AB886" s="154" t="n"/>
      <c r="AC886" s="154" t="n"/>
      <c r="AD886" s="154" t="n"/>
      <c r="AE886" s="154" t="n"/>
      <c r="AF886" s="154" t="n"/>
      <c r="AG886" s="154" t="n"/>
      <c r="AH886" s="154" t="n"/>
      <c r="AI886" s="154" t="n"/>
      <c r="AJ886" s="154" t="n"/>
      <c r="AK886" s="154" t="n"/>
      <c r="AL886" s="154" t="n"/>
      <c r="AM886" s="154" t="n"/>
      <c r="AN886" s="154" t="n"/>
      <c r="AO886" s="154" t="n"/>
      <c r="AP886" s="154" t="n"/>
      <c r="AQ886" s="154" t="n"/>
      <c r="AR886" s="154" t="n"/>
      <c r="AS886" s="154" t="n"/>
      <c r="AT886" s="154" t="n"/>
      <c r="AU886" s="154" t="n"/>
      <c r="AV886" s="154" t="n"/>
      <c r="AW886" s="154" t="n"/>
      <c r="AX886" s="154" t="n"/>
      <c r="AY886" s="154" t="n"/>
      <c r="AZ886" s="154" t="n"/>
      <c r="BA886" s="154" t="n"/>
      <c r="BB886" s="154" t="n"/>
      <c r="BC886" s="154" t="n"/>
      <c r="BD886" s="154" t="n"/>
      <c r="BE886" s="154" t="n"/>
      <c r="BF886" s="154" t="n"/>
      <c r="BG886" s="154" t="n"/>
      <c r="BH886" s="154" t="n"/>
    </row>
    <row r="887" ht="15.75" customHeight="1" s="251">
      <c r="A887" s="153" t="n"/>
      <c r="B887" s="154" t="n"/>
      <c r="C887" s="154" t="n"/>
      <c r="D887" s="154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  <c r="AA887" s="154" t="n"/>
      <c r="AB887" s="154" t="n"/>
      <c r="AC887" s="154" t="n"/>
      <c r="AD887" s="154" t="n"/>
      <c r="AE887" s="154" t="n"/>
      <c r="AF887" s="154" t="n"/>
      <c r="AG887" s="154" t="n"/>
      <c r="AH887" s="154" t="n"/>
      <c r="AI887" s="154" t="n"/>
      <c r="AJ887" s="154" t="n"/>
      <c r="AK887" s="154" t="n"/>
      <c r="AL887" s="154" t="n"/>
      <c r="AM887" s="154" t="n"/>
      <c r="AN887" s="154" t="n"/>
      <c r="AO887" s="154" t="n"/>
      <c r="AP887" s="154" t="n"/>
      <c r="AQ887" s="154" t="n"/>
      <c r="AR887" s="154" t="n"/>
      <c r="AS887" s="154" t="n"/>
      <c r="AT887" s="154" t="n"/>
      <c r="AU887" s="154" t="n"/>
      <c r="AV887" s="154" t="n"/>
      <c r="AW887" s="154" t="n"/>
      <c r="AX887" s="154" t="n"/>
      <c r="AY887" s="154" t="n"/>
      <c r="AZ887" s="154" t="n"/>
      <c r="BA887" s="154" t="n"/>
      <c r="BB887" s="154" t="n"/>
      <c r="BC887" s="154" t="n"/>
      <c r="BD887" s="154" t="n"/>
      <c r="BE887" s="154" t="n"/>
      <c r="BF887" s="154" t="n"/>
      <c r="BG887" s="154" t="n"/>
      <c r="BH887" s="154" t="n"/>
    </row>
    <row r="888" ht="15.75" customHeight="1" s="251">
      <c r="A888" s="153" t="n"/>
      <c r="B888" s="154" t="n"/>
      <c r="C888" s="154" t="n"/>
      <c r="D888" s="154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  <c r="AA888" s="154" t="n"/>
      <c r="AB888" s="154" t="n"/>
      <c r="AC888" s="154" t="n"/>
      <c r="AD888" s="154" t="n"/>
      <c r="AE888" s="154" t="n"/>
      <c r="AF888" s="154" t="n"/>
      <c r="AG888" s="154" t="n"/>
      <c r="AH888" s="154" t="n"/>
      <c r="AI888" s="154" t="n"/>
      <c r="AJ888" s="154" t="n"/>
      <c r="AK888" s="154" t="n"/>
      <c r="AL888" s="154" t="n"/>
      <c r="AM888" s="154" t="n"/>
      <c r="AN888" s="154" t="n"/>
      <c r="AO888" s="154" t="n"/>
      <c r="AP888" s="154" t="n"/>
      <c r="AQ888" s="154" t="n"/>
      <c r="AR888" s="154" t="n"/>
      <c r="AS888" s="154" t="n"/>
      <c r="AT888" s="154" t="n"/>
      <c r="AU888" s="154" t="n"/>
      <c r="AV888" s="154" t="n"/>
      <c r="AW888" s="154" t="n"/>
      <c r="AX888" s="154" t="n"/>
      <c r="AY888" s="154" t="n"/>
      <c r="AZ888" s="154" t="n"/>
      <c r="BA888" s="154" t="n"/>
      <c r="BB888" s="154" t="n"/>
      <c r="BC888" s="154" t="n"/>
      <c r="BD888" s="154" t="n"/>
      <c r="BE888" s="154" t="n"/>
      <c r="BF888" s="154" t="n"/>
      <c r="BG888" s="154" t="n"/>
      <c r="BH888" s="154" t="n"/>
    </row>
    <row r="889" ht="15.75" customHeight="1" s="251">
      <c r="A889" s="153" t="n"/>
      <c r="B889" s="154" t="n"/>
      <c r="C889" s="154" t="n"/>
      <c r="D889" s="154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  <c r="AA889" s="154" t="n"/>
      <c r="AB889" s="154" t="n"/>
      <c r="AC889" s="154" t="n"/>
      <c r="AD889" s="154" t="n"/>
      <c r="AE889" s="154" t="n"/>
      <c r="AF889" s="154" t="n"/>
      <c r="AG889" s="154" t="n"/>
      <c r="AH889" s="154" t="n"/>
      <c r="AI889" s="154" t="n"/>
      <c r="AJ889" s="154" t="n"/>
      <c r="AK889" s="154" t="n"/>
      <c r="AL889" s="154" t="n"/>
      <c r="AM889" s="154" t="n"/>
      <c r="AN889" s="154" t="n"/>
      <c r="AO889" s="154" t="n"/>
      <c r="AP889" s="154" t="n"/>
      <c r="AQ889" s="154" t="n"/>
      <c r="AR889" s="154" t="n"/>
      <c r="AS889" s="154" t="n"/>
      <c r="AT889" s="154" t="n"/>
      <c r="AU889" s="154" t="n"/>
      <c r="AV889" s="154" t="n"/>
      <c r="AW889" s="154" t="n"/>
      <c r="AX889" s="154" t="n"/>
      <c r="AY889" s="154" t="n"/>
      <c r="AZ889" s="154" t="n"/>
      <c r="BA889" s="154" t="n"/>
      <c r="BB889" s="154" t="n"/>
      <c r="BC889" s="154" t="n"/>
      <c r="BD889" s="154" t="n"/>
      <c r="BE889" s="154" t="n"/>
      <c r="BF889" s="154" t="n"/>
      <c r="BG889" s="154" t="n"/>
      <c r="BH889" s="154" t="n"/>
    </row>
    <row r="890" ht="15.75" customHeight="1" s="251">
      <c r="A890" s="153" t="n"/>
      <c r="B890" s="154" t="n"/>
      <c r="C890" s="154" t="n"/>
      <c r="D890" s="154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  <c r="AA890" s="154" t="n"/>
      <c r="AB890" s="154" t="n"/>
      <c r="AC890" s="154" t="n"/>
      <c r="AD890" s="154" t="n"/>
      <c r="AE890" s="154" t="n"/>
      <c r="AF890" s="154" t="n"/>
      <c r="AG890" s="154" t="n"/>
      <c r="AH890" s="154" t="n"/>
      <c r="AI890" s="154" t="n"/>
      <c r="AJ890" s="154" t="n"/>
      <c r="AK890" s="154" t="n"/>
      <c r="AL890" s="154" t="n"/>
      <c r="AM890" s="154" t="n"/>
      <c r="AN890" s="154" t="n"/>
      <c r="AO890" s="154" t="n"/>
      <c r="AP890" s="154" t="n"/>
      <c r="AQ890" s="154" t="n"/>
      <c r="AR890" s="154" t="n"/>
      <c r="AS890" s="154" t="n"/>
      <c r="AT890" s="154" t="n"/>
      <c r="AU890" s="154" t="n"/>
      <c r="AV890" s="154" t="n"/>
      <c r="AW890" s="154" t="n"/>
      <c r="AX890" s="154" t="n"/>
      <c r="AY890" s="154" t="n"/>
      <c r="AZ890" s="154" t="n"/>
      <c r="BA890" s="154" t="n"/>
      <c r="BB890" s="154" t="n"/>
      <c r="BC890" s="154" t="n"/>
      <c r="BD890" s="154" t="n"/>
      <c r="BE890" s="154" t="n"/>
      <c r="BF890" s="154" t="n"/>
      <c r="BG890" s="154" t="n"/>
      <c r="BH890" s="154" t="n"/>
    </row>
    <row r="891" ht="15.75" customHeight="1" s="251">
      <c r="A891" s="153" t="n"/>
      <c r="B891" s="154" t="n"/>
      <c r="C891" s="154" t="n"/>
      <c r="D891" s="154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  <c r="AA891" s="154" t="n"/>
      <c r="AB891" s="154" t="n"/>
      <c r="AC891" s="154" t="n"/>
      <c r="AD891" s="154" t="n"/>
      <c r="AE891" s="154" t="n"/>
      <c r="AF891" s="154" t="n"/>
      <c r="AG891" s="154" t="n"/>
      <c r="AH891" s="154" t="n"/>
      <c r="AI891" s="154" t="n"/>
      <c r="AJ891" s="154" t="n"/>
      <c r="AK891" s="154" t="n"/>
      <c r="AL891" s="154" t="n"/>
      <c r="AM891" s="154" t="n"/>
      <c r="AN891" s="154" t="n"/>
      <c r="AO891" s="154" t="n"/>
      <c r="AP891" s="154" t="n"/>
      <c r="AQ891" s="154" t="n"/>
      <c r="AR891" s="154" t="n"/>
      <c r="AS891" s="154" t="n"/>
      <c r="AT891" s="154" t="n"/>
      <c r="AU891" s="154" t="n"/>
      <c r="AV891" s="154" t="n"/>
      <c r="AW891" s="154" t="n"/>
      <c r="AX891" s="154" t="n"/>
      <c r="AY891" s="154" t="n"/>
      <c r="AZ891" s="154" t="n"/>
      <c r="BA891" s="154" t="n"/>
      <c r="BB891" s="154" t="n"/>
      <c r="BC891" s="154" t="n"/>
      <c r="BD891" s="154" t="n"/>
      <c r="BE891" s="154" t="n"/>
      <c r="BF891" s="154" t="n"/>
      <c r="BG891" s="154" t="n"/>
      <c r="BH891" s="154" t="n"/>
    </row>
    <row r="892" ht="15.75" customHeight="1" s="251">
      <c r="A892" s="153" t="n"/>
      <c r="B892" s="154" t="n"/>
      <c r="C892" s="154" t="n"/>
      <c r="D892" s="154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  <c r="AA892" s="154" t="n"/>
      <c r="AB892" s="154" t="n"/>
      <c r="AC892" s="154" t="n"/>
      <c r="AD892" s="154" t="n"/>
      <c r="AE892" s="154" t="n"/>
      <c r="AF892" s="154" t="n"/>
      <c r="AG892" s="154" t="n"/>
      <c r="AH892" s="154" t="n"/>
      <c r="AI892" s="154" t="n"/>
      <c r="AJ892" s="154" t="n"/>
      <c r="AK892" s="154" t="n"/>
      <c r="AL892" s="154" t="n"/>
      <c r="AM892" s="154" t="n"/>
      <c r="AN892" s="154" t="n"/>
      <c r="AO892" s="154" t="n"/>
      <c r="AP892" s="154" t="n"/>
      <c r="AQ892" s="154" t="n"/>
      <c r="AR892" s="154" t="n"/>
      <c r="AS892" s="154" t="n"/>
      <c r="AT892" s="154" t="n"/>
      <c r="AU892" s="154" t="n"/>
      <c r="AV892" s="154" t="n"/>
      <c r="AW892" s="154" t="n"/>
      <c r="AX892" s="154" t="n"/>
      <c r="AY892" s="154" t="n"/>
      <c r="AZ892" s="154" t="n"/>
      <c r="BA892" s="154" t="n"/>
      <c r="BB892" s="154" t="n"/>
      <c r="BC892" s="154" t="n"/>
      <c r="BD892" s="154" t="n"/>
      <c r="BE892" s="154" t="n"/>
      <c r="BF892" s="154" t="n"/>
      <c r="BG892" s="154" t="n"/>
      <c r="BH892" s="154" t="n"/>
    </row>
    <row r="893" ht="15.75" customHeight="1" s="251">
      <c r="A893" s="153" t="n"/>
      <c r="B893" s="154" t="n"/>
      <c r="C893" s="154" t="n"/>
      <c r="D893" s="154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  <c r="AA893" s="154" t="n"/>
      <c r="AB893" s="154" t="n"/>
      <c r="AC893" s="154" t="n"/>
      <c r="AD893" s="154" t="n"/>
      <c r="AE893" s="154" t="n"/>
      <c r="AF893" s="154" t="n"/>
      <c r="AG893" s="154" t="n"/>
      <c r="AH893" s="154" t="n"/>
      <c r="AI893" s="154" t="n"/>
      <c r="AJ893" s="154" t="n"/>
      <c r="AK893" s="154" t="n"/>
      <c r="AL893" s="154" t="n"/>
      <c r="AM893" s="154" t="n"/>
      <c r="AN893" s="154" t="n"/>
      <c r="AO893" s="154" t="n"/>
      <c r="AP893" s="154" t="n"/>
      <c r="AQ893" s="154" t="n"/>
      <c r="AR893" s="154" t="n"/>
      <c r="AS893" s="154" t="n"/>
      <c r="AT893" s="154" t="n"/>
      <c r="AU893" s="154" t="n"/>
      <c r="AV893" s="154" t="n"/>
      <c r="AW893" s="154" t="n"/>
      <c r="AX893" s="154" t="n"/>
      <c r="AY893" s="154" t="n"/>
      <c r="AZ893" s="154" t="n"/>
      <c r="BA893" s="154" t="n"/>
      <c r="BB893" s="154" t="n"/>
      <c r="BC893" s="154" t="n"/>
      <c r="BD893" s="154" t="n"/>
      <c r="BE893" s="154" t="n"/>
      <c r="BF893" s="154" t="n"/>
      <c r="BG893" s="154" t="n"/>
      <c r="BH893" s="154" t="n"/>
    </row>
    <row r="894" ht="15.75" customHeight="1" s="251">
      <c r="A894" s="153" t="n"/>
      <c r="B894" s="154" t="n"/>
      <c r="C894" s="154" t="n"/>
      <c r="D894" s="154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  <c r="AA894" s="154" t="n"/>
      <c r="AB894" s="154" t="n"/>
      <c r="AC894" s="154" t="n"/>
      <c r="AD894" s="154" t="n"/>
      <c r="AE894" s="154" t="n"/>
      <c r="AF894" s="154" t="n"/>
      <c r="AG894" s="154" t="n"/>
      <c r="AH894" s="154" t="n"/>
      <c r="AI894" s="154" t="n"/>
      <c r="AJ894" s="154" t="n"/>
      <c r="AK894" s="154" t="n"/>
      <c r="AL894" s="154" t="n"/>
      <c r="AM894" s="154" t="n"/>
      <c r="AN894" s="154" t="n"/>
      <c r="AO894" s="154" t="n"/>
      <c r="AP894" s="154" t="n"/>
      <c r="AQ894" s="154" t="n"/>
      <c r="AR894" s="154" t="n"/>
      <c r="AS894" s="154" t="n"/>
      <c r="AT894" s="154" t="n"/>
      <c r="AU894" s="154" t="n"/>
      <c r="AV894" s="154" t="n"/>
      <c r="AW894" s="154" t="n"/>
      <c r="AX894" s="154" t="n"/>
      <c r="AY894" s="154" t="n"/>
      <c r="AZ894" s="154" t="n"/>
      <c r="BA894" s="154" t="n"/>
      <c r="BB894" s="154" t="n"/>
      <c r="BC894" s="154" t="n"/>
      <c r="BD894" s="154" t="n"/>
      <c r="BE894" s="154" t="n"/>
      <c r="BF894" s="154" t="n"/>
      <c r="BG894" s="154" t="n"/>
      <c r="BH894" s="154" t="n"/>
    </row>
    <row r="895" ht="15.75" customHeight="1" s="251">
      <c r="A895" s="153" t="n"/>
      <c r="B895" s="154" t="n"/>
      <c r="C895" s="154" t="n"/>
      <c r="D895" s="154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  <c r="AA895" s="154" t="n"/>
      <c r="AB895" s="154" t="n"/>
      <c r="AC895" s="154" t="n"/>
      <c r="AD895" s="154" t="n"/>
      <c r="AE895" s="154" t="n"/>
      <c r="AF895" s="154" t="n"/>
      <c r="AG895" s="154" t="n"/>
      <c r="AH895" s="154" t="n"/>
      <c r="AI895" s="154" t="n"/>
      <c r="AJ895" s="154" t="n"/>
      <c r="AK895" s="154" t="n"/>
      <c r="AL895" s="154" t="n"/>
      <c r="AM895" s="154" t="n"/>
      <c r="AN895" s="154" t="n"/>
      <c r="AO895" s="154" t="n"/>
      <c r="AP895" s="154" t="n"/>
      <c r="AQ895" s="154" t="n"/>
      <c r="AR895" s="154" t="n"/>
      <c r="AS895" s="154" t="n"/>
      <c r="AT895" s="154" t="n"/>
      <c r="AU895" s="154" t="n"/>
      <c r="AV895" s="154" t="n"/>
      <c r="AW895" s="154" t="n"/>
      <c r="AX895" s="154" t="n"/>
      <c r="AY895" s="154" t="n"/>
      <c r="AZ895" s="154" t="n"/>
      <c r="BA895" s="154" t="n"/>
      <c r="BB895" s="154" t="n"/>
      <c r="BC895" s="154" t="n"/>
      <c r="BD895" s="154" t="n"/>
      <c r="BE895" s="154" t="n"/>
      <c r="BF895" s="154" t="n"/>
      <c r="BG895" s="154" t="n"/>
      <c r="BH895" s="154" t="n"/>
    </row>
    <row r="896" ht="15.75" customHeight="1" s="251">
      <c r="A896" s="153" t="n"/>
      <c r="B896" s="154" t="n"/>
      <c r="C896" s="154" t="n"/>
      <c r="D896" s="154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  <c r="AA896" s="154" t="n"/>
      <c r="AB896" s="154" t="n"/>
      <c r="AC896" s="154" t="n"/>
      <c r="AD896" s="154" t="n"/>
      <c r="AE896" s="154" t="n"/>
      <c r="AF896" s="154" t="n"/>
      <c r="AG896" s="154" t="n"/>
      <c r="AH896" s="154" t="n"/>
      <c r="AI896" s="154" t="n"/>
      <c r="AJ896" s="154" t="n"/>
      <c r="AK896" s="154" t="n"/>
      <c r="AL896" s="154" t="n"/>
      <c r="AM896" s="154" t="n"/>
      <c r="AN896" s="154" t="n"/>
      <c r="AO896" s="154" t="n"/>
      <c r="AP896" s="154" t="n"/>
      <c r="AQ896" s="154" t="n"/>
      <c r="AR896" s="154" t="n"/>
      <c r="AS896" s="154" t="n"/>
      <c r="AT896" s="154" t="n"/>
      <c r="AU896" s="154" t="n"/>
      <c r="AV896" s="154" t="n"/>
      <c r="AW896" s="154" t="n"/>
      <c r="AX896" s="154" t="n"/>
      <c r="AY896" s="154" t="n"/>
      <c r="AZ896" s="154" t="n"/>
      <c r="BA896" s="154" t="n"/>
      <c r="BB896" s="154" t="n"/>
      <c r="BC896" s="154" t="n"/>
      <c r="BD896" s="154" t="n"/>
      <c r="BE896" s="154" t="n"/>
      <c r="BF896" s="154" t="n"/>
      <c r="BG896" s="154" t="n"/>
      <c r="BH896" s="154" t="n"/>
    </row>
    <row r="897" ht="15.75" customHeight="1" s="251">
      <c r="A897" s="153" t="n"/>
      <c r="B897" s="154" t="n"/>
      <c r="C897" s="154" t="n"/>
      <c r="D897" s="154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  <c r="AA897" s="154" t="n"/>
      <c r="AB897" s="154" t="n"/>
      <c r="AC897" s="154" t="n"/>
      <c r="AD897" s="154" t="n"/>
      <c r="AE897" s="154" t="n"/>
      <c r="AF897" s="154" t="n"/>
      <c r="AG897" s="154" t="n"/>
      <c r="AH897" s="154" t="n"/>
      <c r="AI897" s="154" t="n"/>
      <c r="AJ897" s="154" t="n"/>
      <c r="AK897" s="154" t="n"/>
      <c r="AL897" s="154" t="n"/>
      <c r="AM897" s="154" t="n"/>
      <c r="AN897" s="154" t="n"/>
      <c r="AO897" s="154" t="n"/>
      <c r="AP897" s="154" t="n"/>
      <c r="AQ897" s="154" t="n"/>
      <c r="AR897" s="154" t="n"/>
      <c r="AS897" s="154" t="n"/>
      <c r="AT897" s="154" t="n"/>
      <c r="AU897" s="154" t="n"/>
      <c r="AV897" s="154" t="n"/>
      <c r="AW897" s="154" t="n"/>
      <c r="AX897" s="154" t="n"/>
      <c r="AY897" s="154" t="n"/>
      <c r="AZ897" s="154" t="n"/>
      <c r="BA897" s="154" t="n"/>
      <c r="BB897" s="154" t="n"/>
      <c r="BC897" s="154" t="n"/>
      <c r="BD897" s="154" t="n"/>
      <c r="BE897" s="154" t="n"/>
      <c r="BF897" s="154" t="n"/>
      <c r="BG897" s="154" t="n"/>
      <c r="BH897" s="154" t="n"/>
    </row>
    <row r="898" ht="15.75" customHeight="1" s="251">
      <c r="A898" s="153" t="n"/>
      <c r="B898" s="154" t="n"/>
      <c r="C898" s="154" t="n"/>
      <c r="D898" s="154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  <c r="AA898" s="154" t="n"/>
      <c r="AB898" s="154" t="n"/>
      <c r="AC898" s="154" t="n"/>
      <c r="AD898" s="154" t="n"/>
      <c r="AE898" s="154" t="n"/>
      <c r="AF898" s="154" t="n"/>
      <c r="AG898" s="154" t="n"/>
      <c r="AH898" s="154" t="n"/>
      <c r="AI898" s="154" t="n"/>
      <c r="AJ898" s="154" t="n"/>
      <c r="AK898" s="154" t="n"/>
      <c r="AL898" s="154" t="n"/>
      <c r="AM898" s="154" t="n"/>
      <c r="AN898" s="154" t="n"/>
      <c r="AO898" s="154" t="n"/>
      <c r="AP898" s="154" t="n"/>
      <c r="AQ898" s="154" t="n"/>
      <c r="AR898" s="154" t="n"/>
      <c r="AS898" s="154" t="n"/>
      <c r="AT898" s="154" t="n"/>
      <c r="AU898" s="154" t="n"/>
      <c r="AV898" s="154" t="n"/>
      <c r="AW898" s="154" t="n"/>
      <c r="AX898" s="154" t="n"/>
      <c r="AY898" s="154" t="n"/>
      <c r="AZ898" s="154" t="n"/>
      <c r="BA898" s="154" t="n"/>
      <c r="BB898" s="154" t="n"/>
      <c r="BC898" s="154" t="n"/>
      <c r="BD898" s="154" t="n"/>
      <c r="BE898" s="154" t="n"/>
      <c r="BF898" s="154" t="n"/>
      <c r="BG898" s="154" t="n"/>
      <c r="BH898" s="154" t="n"/>
    </row>
    <row r="899" ht="15.75" customHeight="1" s="251">
      <c r="A899" s="153" t="n"/>
      <c r="B899" s="154" t="n"/>
      <c r="C899" s="154" t="n"/>
      <c r="D899" s="154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  <c r="AA899" s="154" t="n"/>
      <c r="AB899" s="154" t="n"/>
      <c r="AC899" s="154" t="n"/>
      <c r="AD899" s="154" t="n"/>
      <c r="AE899" s="154" t="n"/>
      <c r="AF899" s="154" t="n"/>
      <c r="AG899" s="154" t="n"/>
      <c r="AH899" s="154" t="n"/>
      <c r="AI899" s="154" t="n"/>
      <c r="AJ899" s="154" t="n"/>
      <c r="AK899" s="154" t="n"/>
      <c r="AL899" s="154" t="n"/>
      <c r="AM899" s="154" t="n"/>
      <c r="AN899" s="154" t="n"/>
      <c r="AO899" s="154" t="n"/>
      <c r="AP899" s="154" t="n"/>
      <c r="AQ899" s="154" t="n"/>
      <c r="AR899" s="154" t="n"/>
      <c r="AS899" s="154" t="n"/>
      <c r="AT899" s="154" t="n"/>
      <c r="AU899" s="154" t="n"/>
      <c r="AV899" s="154" t="n"/>
      <c r="AW899" s="154" t="n"/>
      <c r="AX899" s="154" t="n"/>
      <c r="AY899" s="154" t="n"/>
      <c r="AZ899" s="154" t="n"/>
      <c r="BA899" s="154" t="n"/>
      <c r="BB899" s="154" t="n"/>
      <c r="BC899" s="154" t="n"/>
      <c r="BD899" s="154" t="n"/>
      <c r="BE899" s="154" t="n"/>
      <c r="BF899" s="154" t="n"/>
      <c r="BG899" s="154" t="n"/>
      <c r="BH899" s="154" t="n"/>
    </row>
    <row r="900" ht="15.75" customHeight="1" s="251">
      <c r="A900" s="153" t="n"/>
      <c r="B900" s="154" t="n"/>
      <c r="C900" s="154" t="n"/>
      <c r="D900" s="154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  <c r="AA900" s="154" t="n"/>
      <c r="AB900" s="154" t="n"/>
      <c r="AC900" s="154" t="n"/>
      <c r="AD900" s="154" t="n"/>
      <c r="AE900" s="154" t="n"/>
      <c r="AF900" s="154" t="n"/>
      <c r="AG900" s="154" t="n"/>
      <c r="AH900" s="154" t="n"/>
      <c r="AI900" s="154" t="n"/>
      <c r="AJ900" s="154" t="n"/>
      <c r="AK900" s="154" t="n"/>
      <c r="AL900" s="154" t="n"/>
      <c r="AM900" s="154" t="n"/>
      <c r="AN900" s="154" t="n"/>
      <c r="AO900" s="154" t="n"/>
      <c r="AP900" s="154" t="n"/>
      <c r="AQ900" s="154" t="n"/>
      <c r="AR900" s="154" t="n"/>
      <c r="AS900" s="154" t="n"/>
      <c r="AT900" s="154" t="n"/>
      <c r="AU900" s="154" t="n"/>
      <c r="AV900" s="154" t="n"/>
      <c r="AW900" s="154" t="n"/>
      <c r="AX900" s="154" t="n"/>
      <c r="AY900" s="154" t="n"/>
      <c r="AZ900" s="154" t="n"/>
      <c r="BA900" s="154" t="n"/>
      <c r="BB900" s="154" t="n"/>
      <c r="BC900" s="154" t="n"/>
      <c r="BD900" s="154" t="n"/>
      <c r="BE900" s="154" t="n"/>
      <c r="BF900" s="154" t="n"/>
      <c r="BG900" s="154" t="n"/>
      <c r="BH900" s="154" t="n"/>
    </row>
    <row r="901" ht="15.75" customHeight="1" s="251">
      <c r="A901" s="153" t="n"/>
      <c r="B901" s="154" t="n"/>
      <c r="C901" s="154" t="n"/>
      <c r="D901" s="154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  <c r="AA901" s="154" t="n"/>
      <c r="AB901" s="154" t="n"/>
      <c r="AC901" s="154" t="n"/>
      <c r="AD901" s="154" t="n"/>
      <c r="AE901" s="154" t="n"/>
      <c r="AF901" s="154" t="n"/>
      <c r="AG901" s="154" t="n"/>
      <c r="AH901" s="154" t="n"/>
      <c r="AI901" s="154" t="n"/>
      <c r="AJ901" s="154" t="n"/>
      <c r="AK901" s="154" t="n"/>
      <c r="AL901" s="154" t="n"/>
      <c r="AM901" s="154" t="n"/>
      <c r="AN901" s="154" t="n"/>
      <c r="AO901" s="154" t="n"/>
      <c r="AP901" s="154" t="n"/>
      <c r="AQ901" s="154" t="n"/>
      <c r="AR901" s="154" t="n"/>
      <c r="AS901" s="154" t="n"/>
      <c r="AT901" s="154" t="n"/>
      <c r="AU901" s="154" t="n"/>
      <c r="AV901" s="154" t="n"/>
      <c r="AW901" s="154" t="n"/>
      <c r="AX901" s="154" t="n"/>
      <c r="AY901" s="154" t="n"/>
      <c r="AZ901" s="154" t="n"/>
      <c r="BA901" s="154" t="n"/>
      <c r="BB901" s="154" t="n"/>
      <c r="BC901" s="154" t="n"/>
      <c r="BD901" s="154" t="n"/>
      <c r="BE901" s="154" t="n"/>
      <c r="BF901" s="154" t="n"/>
      <c r="BG901" s="154" t="n"/>
      <c r="BH901" s="154" t="n"/>
    </row>
    <row r="902" ht="15.75" customHeight="1" s="251">
      <c r="A902" s="153" t="n"/>
      <c r="B902" s="154" t="n"/>
      <c r="C902" s="154" t="n"/>
      <c r="D902" s="154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  <c r="AA902" s="154" t="n"/>
      <c r="AB902" s="154" t="n"/>
      <c r="AC902" s="154" t="n"/>
      <c r="AD902" s="154" t="n"/>
      <c r="AE902" s="154" t="n"/>
      <c r="AF902" s="154" t="n"/>
      <c r="AG902" s="154" t="n"/>
      <c r="AH902" s="154" t="n"/>
      <c r="AI902" s="154" t="n"/>
      <c r="AJ902" s="154" t="n"/>
      <c r="AK902" s="154" t="n"/>
      <c r="AL902" s="154" t="n"/>
      <c r="AM902" s="154" t="n"/>
      <c r="AN902" s="154" t="n"/>
      <c r="AO902" s="154" t="n"/>
      <c r="AP902" s="154" t="n"/>
      <c r="AQ902" s="154" t="n"/>
      <c r="AR902" s="154" t="n"/>
      <c r="AS902" s="154" t="n"/>
      <c r="AT902" s="154" t="n"/>
      <c r="AU902" s="154" t="n"/>
      <c r="AV902" s="154" t="n"/>
      <c r="AW902" s="154" t="n"/>
      <c r="AX902" s="154" t="n"/>
      <c r="AY902" s="154" t="n"/>
      <c r="AZ902" s="154" t="n"/>
      <c r="BA902" s="154" t="n"/>
      <c r="BB902" s="154" t="n"/>
      <c r="BC902" s="154" t="n"/>
      <c r="BD902" s="154" t="n"/>
      <c r="BE902" s="154" t="n"/>
      <c r="BF902" s="154" t="n"/>
      <c r="BG902" s="154" t="n"/>
      <c r="BH902" s="154" t="n"/>
    </row>
    <row r="903" ht="15.75" customHeight="1" s="251">
      <c r="A903" s="153" t="n"/>
      <c r="B903" s="154" t="n"/>
      <c r="C903" s="154" t="n"/>
      <c r="D903" s="154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  <c r="AA903" s="154" t="n"/>
      <c r="AB903" s="154" t="n"/>
      <c r="AC903" s="154" t="n"/>
      <c r="AD903" s="154" t="n"/>
      <c r="AE903" s="154" t="n"/>
      <c r="AF903" s="154" t="n"/>
      <c r="AG903" s="154" t="n"/>
      <c r="AH903" s="154" t="n"/>
      <c r="AI903" s="154" t="n"/>
      <c r="AJ903" s="154" t="n"/>
      <c r="AK903" s="154" t="n"/>
      <c r="AL903" s="154" t="n"/>
      <c r="AM903" s="154" t="n"/>
      <c r="AN903" s="154" t="n"/>
      <c r="AO903" s="154" t="n"/>
      <c r="AP903" s="154" t="n"/>
      <c r="AQ903" s="154" t="n"/>
      <c r="AR903" s="154" t="n"/>
      <c r="AS903" s="154" t="n"/>
      <c r="AT903" s="154" t="n"/>
      <c r="AU903" s="154" t="n"/>
      <c r="AV903" s="154" t="n"/>
      <c r="AW903" s="154" t="n"/>
      <c r="AX903" s="154" t="n"/>
      <c r="AY903" s="154" t="n"/>
      <c r="AZ903" s="154" t="n"/>
      <c r="BA903" s="154" t="n"/>
      <c r="BB903" s="154" t="n"/>
      <c r="BC903" s="154" t="n"/>
      <c r="BD903" s="154" t="n"/>
      <c r="BE903" s="154" t="n"/>
      <c r="BF903" s="154" t="n"/>
      <c r="BG903" s="154" t="n"/>
      <c r="BH903" s="154" t="n"/>
    </row>
    <row r="904" ht="15.75" customHeight="1" s="251">
      <c r="A904" s="153" t="n"/>
      <c r="B904" s="154" t="n"/>
      <c r="C904" s="154" t="n"/>
      <c r="D904" s="154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  <c r="AA904" s="154" t="n"/>
      <c r="AB904" s="154" t="n"/>
      <c r="AC904" s="154" t="n"/>
      <c r="AD904" s="154" t="n"/>
      <c r="AE904" s="154" t="n"/>
      <c r="AF904" s="154" t="n"/>
      <c r="AG904" s="154" t="n"/>
      <c r="AH904" s="154" t="n"/>
      <c r="AI904" s="154" t="n"/>
      <c r="AJ904" s="154" t="n"/>
      <c r="AK904" s="154" t="n"/>
      <c r="AL904" s="154" t="n"/>
      <c r="AM904" s="154" t="n"/>
      <c r="AN904" s="154" t="n"/>
      <c r="AO904" s="154" t="n"/>
      <c r="AP904" s="154" t="n"/>
      <c r="AQ904" s="154" t="n"/>
      <c r="AR904" s="154" t="n"/>
      <c r="AS904" s="154" t="n"/>
      <c r="AT904" s="154" t="n"/>
      <c r="AU904" s="154" t="n"/>
      <c r="AV904" s="154" t="n"/>
      <c r="AW904" s="154" t="n"/>
      <c r="AX904" s="154" t="n"/>
      <c r="AY904" s="154" t="n"/>
      <c r="AZ904" s="154" t="n"/>
      <c r="BA904" s="154" t="n"/>
      <c r="BB904" s="154" t="n"/>
      <c r="BC904" s="154" t="n"/>
      <c r="BD904" s="154" t="n"/>
      <c r="BE904" s="154" t="n"/>
      <c r="BF904" s="154" t="n"/>
      <c r="BG904" s="154" t="n"/>
      <c r="BH904" s="154" t="n"/>
    </row>
    <row r="905" ht="15.75" customHeight="1" s="251">
      <c r="A905" s="153" t="n"/>
      <c r="B905" s="154" t="n"/>
      <c r="C905" s="154" t="n"/>
      <c r="D905" s="154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  <c r="AA905" s="154" t="n"/>
      <c r="AB905" s="154" t="n"/>
      <c r="AC905" s="154" t="n"/>
      <c r="AD905" s="154" t="n"/>
      <c r="AE905" s="154" t="n"/>
      <c r="AF905" s="154" t="n"/>
      <c r="AG905" s="154" t="n"/>
      <c r="AH905" s="154" t="n"/>
      <c r="AI905" s="154" t="n"/>
      <c r="AJ905" s="154" t="n"/>
      <c r="AK905" s="154" t="n"/>
      <c r="AL905" s="154" t="n"/>
      <c r="AM905" s="154" t="n"/>
      <c r="AN905" s="154" t="n"/>
      <c r="AO905" s="154" t="n"/>
      <c r="AP905" s="154" t="n"/>
      <c r="AQ905" s="154" t="n"/>
      <c r="AR905" s="154" t="n"/>
      <c r="AS905" s="154" t="n"/>
      <c r="AT905" s="154" t="n"/>
      <c r="AU905" s="154" t="n"/>
      <c r="AV905" s="154" t="n"/>
      <c r="AW905" s="154" t="n"/>
      <c r="AX905" s="154" t="n"/>
      <c r="AY905" s="154" t="n"/>
      <c r="AZ905" s="154" t="n"/>
      <c r="BA905" s="154" t="n"/>
      <c r="BB905" s="154" t="n"/>
      <c r="BC905" s="154" t="n"/>
      <c r="BD905" s="154" t="n"/>
      <c r="BE905" s="154" t="n"/>
      <c r="BF905" s="154" t="n"/>
      <c r="BG905" s="154" t="n"/>
      <c r="BH905" s="154" t="n"/>
    </row>
    <row r="906" ht="15.75" customHeight="1" s="251">
      <c r="A906" s="153" t="n"/>
      <c r="B906" s="154" t="n"/>
      <c r="C906" s="154" t="n"/>
      <c r="D906" s="154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  <c r="AA906" s="154" t="n"/>
      <c r="AB906" s="154" t="n"/>
      <c r="AC906" s="154" t="n"/>
      <c r="AD906" s="154" t="n"/>
      <c r="AE906" s="154" t="n"/>
      <c r="AF906" s="154" t="n"/>
      <c r="AG906" s="154" t="n"/>
      <c r="AH906" s="154" t="n"/>
      <c r="AI906" s="154" t="n"/>
      <c r="AJ906" s="154" t="n"/>
      <c r="AK906" s="154" t="n"/>
      <c r="AL906" s="154" t="n"/>
      <c r="AM906" s="154" t="n"/>
      <c r="AN906" s="154" t="n"/>
      <c r="AO906" s="154" t="n"/>
      <c r="AP906" s="154" t="n"/>
      <c r="AQ906" s="154" t="n"/>
      <c r="AR906" s="154" t="n"/>
      <c r="AS906" s="154" t="n"/>
      <c r="AT906" s="154" t="n"/>
      <c r="AU906" s="154" t="n"/>
      <c r="AV906" s="154" t="n"/>
      <c r="AW906" s="154" t="n"/>
      <c r="AX906" s="154" t="n"/>
      <c r="AY906" s="154" t="n"/>
      <c r="AZ906" s="154" t="n"/>
      <c r="BA906" s="154" t="n"/>
      <c r="BB906" s="154" t="n"/>
      <c r="BC906" s="154" t="n"/>
      <c r="BD906" s="154" t="n"/>
      <c r="BE906" s="154" t="n"/>
      <c r="BF906" s="154" t="n"/>
      <c r="BG906" s="154" t="n"/>
      <c r="BH906" s="154" t="n"/>
    </row>
    <row r="907" ht="15.75" customHeight="1" s="251">
      <c r="A907" s="153" t="n"/>
      <c r="B907" s="154" t="n"/>
      <c r="C907" s="154" t="n"/>
      <c r="D907" s="154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  <c r="AA907" s="154" t="n"/>
      <c r="AB907" s="154" t="n"/>
      <c r="AC907" s="154" t="n"/>
      <c r="AD907" s="154" t="n"/>
      <c r="AE907" s="154" t="n"/>
      <c r="AF907" s="154" t="n"/>
      <c r="AG907" s="154" t="n"/>
      <c r="AH907" s="154" t="n"/>
      <c r="AI907" s="154" t="n"/>
      <c r="AJ907" s="154" t="n"/>
      <c r="AK907" s="154" t="n"/>
      <c r="AL907" s="154" t="n"/>
      <c r="AM907" s="154" t="n"/>
      <c r="AN907" s="154" t="n"/>
      <c r="AO907" s="154" t="n"/>
      <c r="AP907" s="154" t="n"/>
      <c r="AQ907" s="154" t="n"/>
      <c r="AR907" s="154" t="n"/>
      <c r="AS907" s="154" t="n"/>
      <c r="AT907" s="154" t="n"/>
      <c r="AU907" s="154" t="n"/>
      <c r="AV907" s="154" t="n"/>
      <c r="AW907" s="154" t="n"/>
      <c r="AX907" s="154" t="n"/>
      <c r="AY907" s="154" t="n"/>
      <c r="AZ907" s="154" t="n"/>
      <c r="BA907" s="154" t="n"/>
      <c r="BB907" s="154" t="n"/>
      <c r="BC907" s="154" t="n"/>
      <c r="BD907" s="154" t="n"/>
      <c r="BE907" s="154" t="n"/>
      <c r="BF907" s="154" t="n"/>
      <c r="BG907" s="154" t="n"/>
      <c r="BH907" s="154" t="n"/>
    </row>
    <row r="908" ht="15.75" customHeight="1" s="251">
      <c r="A908" s="153" t="n"/>
      <c r="B908" s="154" t="n"/>
      <c r="C908" s="154" t="n"/>
      <c r="D908" s="154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  <c r="AA908" s="154" t="n"/>
      <c r="AB908" s="154" t="n"/>
      <c r="AC908" s="154" t="n"/>
      <c r="AD908" s="154" t="n"/>
      <c r="AE908" s="154" t="n"/>
      <c r="AF908" s="154" t="n"/>
      <c r="AG908" s="154" t="n"/>
      <c r="AH908" s="154" t="n"/>
      <c r="AI908" s="154" t="n"/>
      <c r="AJ908" s="154" t="n"/>
      <c r="AK908" s="154" t="n"/>
      <c r="AL908" s="154" t="n"/>
      <c r="AM908" s="154" t="n"/>
      <c r="AN908" s="154" t="n"/>
      <c r="AO908" s="154" t="n"/>
      <c r="AP908" s="154" t="n"/>
      <c r="AQ908" s="154" t="n"/>
      <c r="AR908" s="154" t="n"/>
      <c r="AS908" s="154" t="n"/>
      <c r="AT908" s="154" t="n"/>
      <c r="AU908" s="154" t="n"/>
      <c r="AV908" s="154" t="n"/>
      <c r="AW908" s="154" t="n"/>
      <c r="AX908" s="154" t="n"/>
      <c r="AY908" s="154" t="n"/>
      <c r="AZ908" s="154" t="n"/>
      <c r="BA908" s="154" t="n"/>
      <c r="BB908" s="154" t="n"/>
      <c r="BC908" s="154" t="n"/>
      <c r="BD908" s="154" t="n"/>
      <c r="BE908" s="154" t="n"/>
      <c r="BF908" s="154" t="n"/>
      <c r="BG908" s="154" t="n"/>
      <c r="BH908" s="154" t="n"/>
    </row>
    <row r="909" ht="15.75" customHeight="1" s="251">
      <c r="A909" s="153" t="n"/>
      <c r="B909" s="154" t="n"/>
      <c r="C909" s="154" t="n"/>
      <c r="D909" s="154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  <c r="AA909" s="154" t="n"/>
      <c r="AB909" s="154" t="n"/>
      <c r="AC909" s="154" t="n"/>
      <c r="AD909" s="154" t="n"/>
      <c r="AE909" s="154" t="n"/>
      <c r="AF909" s="154" t="n"/>
      <c r="AG909" s="154" t="n"/>
      <c r="AH909" s="154" t="n"/>
      <c r="AI909" s="154" t="n"/>
      <c r="AJ909" s="154" t="n"/>
      <c r="AK909" s="154" t="n"/>
      <c r="AL909" s="154" t="n"/>
      <c r="AM909" s="154" t="n"/>
      <c r="AN909" s="154" t="n"/>
      <c r="AO909" s="154" t="n"/>
      <c r="AP909" s="154" t="n"/>
      <c r="AQ909" s="154" t="n"/>
      <c r="AR909" s="154" t="n"/>
      <c r="AS909" s="154" t="n"/>
      <c r="AT909" s="154" t="n"/>
      <c r="AU909" s="154" t="n"/>
      <c r="AV909" s="154" t="n"/>
      <c r="AW909" s="154" t="n"/>
      <c r="AX909" s="154" t="n"/>
      <c r="AY909" s="154" t="n"/>
      <c r="AZ909" s="154" t="n"/>
      <c r="BA909" s="154" t="n"/>
      <c r="BB909" s="154" t="n"/>
      <c r="BC909" s="154" t="n"/>
      <c r="BD909" s="154" t="n"/>
      <c r="BE909" s="154" t="n"/>
      <c r="BF909" s="154" t="n"/>
      <c r="BG909" s="154" t="n"/>
      <c r="BH909" s="154" t="n"/>
    </row>
    <row r="910" ht="15.75" customHeight="1" s="251">
      <c r="A910" s="153" t="n"/>
      <c r="B910" s="154" t="n"/>
      <c r="C910" s="154" t="n"/>
      <c r="D910" s="154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  <c r="AA910" s="154" t="n"/>
      <c r="AB910" s="154" t="n"/>
      <c r="AC910" s="154" t="n"/>
      <c r="AD910" s="154" t="n"/>
      <c r="AE910" s="154" t="n"/>
      <c r="AF910" s="154" t="n"/>
      <c r="AG910" s="154" t="n"/>
      <c r="AH910" s="154" t="n"/>
      <c r="AI910" s="154" t="n"/>
      <c r="AJ910" s="154" t="n"/>
      <c r="AK910" s="154" t="n"/>
      <c r="AL910" s="154" t="n"/>
      <c r="AM910" s="154" t="n"/>
      <c r="AN910" s="154" t="n"/>
      <c r="AO910" s="154" t="n"/>
      <c r="AP910" s="154" t="n"/>
      <c r="AQ910" s="154" t="n"/>
      <c r="AR910" s="154" t="n"/>
      <c r="AS910" s="154" t="n"/>
      <c r="AT910" s="154" t="n"/>
      <c r="AU910" s="154" t="n"/>
      <c r="AV910" s="154" t="n"/>
      <c r="AW910" s="154" t="n"/>
      <c r="AX910" s="154" t="n"/>
      <c r="AY910" s="154" t="n"/>
      <c r="AZ910" s="154" t="n"/>
      <c r="BA910" s="154" t="n"/>
      <c r="BB910" s="154" t="n"/>
      <c r="BC910" s="154" t="n"/>
      <c r="BD910" s="154" t="n"/>
      <c r="BE910" s="154" t="n"/>
      <c r="BF910" s="154" t="n"/>
      <c r="BG910" s="154" t="n"/>
      <c r="BH910" s="154" t="n"/>
    </row>
    <row r="911" ht="15.75" customHeight="1" s="251">
      <c r="A911" s="153" t="n"/>
      <c r="B911" s="154" t="n"/>
      <c r="C911" s="154" t="n"/>
      <c r="D911" s="154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  <c r="AA911" s="154" t="n"/>
      <c r="AB911" s="154" t="n"/>
      <c r="AC911" s="154" t="n"/>
      <c r="AD911" s="154" t="n"/>
      <c r="AE911" s="154" t="n"/>
      <c r="AF911" s="154" t="n"/>
      <c r="AG911" s="154" t="n"/>
      <c r="AH911" s="154" t="n"/>
      <c r="AI911" s="154" t="n"/>
      <c r="AJ911" s="154" t="n"/>
      <c r="AK911" s="154" t="n"/>
      <c r="AL911" s="154" t="n"/>
      <c r="AM911" s="154" t="n"/>
      <c r="AN911" s="154" t="n"/>
      <c r="AO911" s="154" t="n"/>
      <c r="AP911" s="154" t="n"/>
      <c r="AQ911" s="154" t="n"/>
      <c r="AR911" s="154" t="n"/>
      <c r="AS911" s="154" t="n"/>
      <c r="AT911" s="154" t="n"/>
      <c r="AU911" s="154" t="n"/>
      <c r="AV911" s="154" t="n"/>
      <c r="AW911" s="154" t="n"/>
      <c r="AX911" s="154" t="n"/>
      <c r="AY911" s="154" t="n"/>
      <c r="AZ911" s="154" t="n"/>
      <c r="BA911" s="154" t="n"/>
      <c r="BB911" s="154" t="n"/>
      <c r="BC911" s="154" t="n"/>
      <c r="BD911" s="154" t="n"/>
      <c r="BE911" s="154" t="n"/>
      <c r="BF911" s="154" t="n"/>
      <c r="BG911" s="154" t="n"/>
      <c r="BH911" s="154" t="n"/>
    </row>
    <row r="912" ht="15.75" customHeight="1" s="251">
      <c r="A912" s="153" t="n"/>
      <c r="B912" s="154" t="n"/>
      <c r="C912" s="154" t="n"/>
      <c r="D912" s="154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  <c r="AA912" s="154" t="n"/>
      <c r="AB912" s="154" t="n"/>
      <c r="AC912" s="154" t="n"/>
      <c r="AD912" s="154" t="n"/>
      <c r="AE912" s="154" t="n"/>
      <c r="AF912" s="154" t="n"/>
      <c r="AG912" s="154" t="n"/>
      <c r="AH912" s="154" t="n"/>
      <c r="AI912" s="154" t="n"/>
      <c r="AJ912" s="154" t="n"/>
      <c r="AK912" s="154" t="n"/>
      <c r="AL912" s="154" t="n"/>
      <c r="AM912" s="154" t="n"/>
      <c r="AN912" s="154" t="n"/>
      <c r="AO912" s="154" t="n"/>
      <c r="AP912" s="154" t="n"/>
      <c r="AQ912" s="154" t="n"/>
      <c r="AR912" s="154" t="n"/>
      <c r="AS912" s="154" t="n"/>
      <c r="AT912" s="154" t="n"/>
      <c r="AU912" s="154" t="n"/>
      <c r="AV912" s="154" t="n"/>
      <c r="AW912" s="154" t="n"/>
      <c r="AX912" s="154" t="n"/>
      <c r="AY912" s="154" t="n"/>
      <c r="AZ912" s="154" t="n"/>
      <c r="BA912" s="154" t="n"/>
      <c r="BB912" s="154" t="n"/>
      <c r="BC912" s="154" t="n"/>
      <c r="BD912" s="154" t="n"/>
      <c r="BE912" s="154" t="n"/>
      <c r="BF912" s="154" t="n"/>
      <c r="BG912" s="154" t="n"/>
      <c r="BH912" s="154" t="n"/>
    </row>
    <row r="913" ht="15.75" customHeight="1" s="251">
      <c r="A913" s="153" t="n"/>
      <c r="B913" s="154" t="n"/>
      <c r="C913" s="154" t="n"/>
      <c r="D913" s="154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  <c r="AA913" s="154" t="n"/>
      <c r="AB913" s="154" t="n"/>
      <c r="AC913" s="154" t="n"/>
      <c r="AD913" s="154" t="n"/>
      <c r="AE913" s="154" t="n"/>
      <c r="AF913" s="154" t="n"/>
      <c r="AG913" s="154" t="n"/>
      <c r="AH913" s="154" t="n"/>
      <c r="AI913" s="154" t="n"/>
      <c r="AJ913" s="154" t="n"/>
      <c r="AK913" s="154" t="n"/>
      <c r="AL913" s="154" t="n"/>
      <c r="AM913" s="154" t="n"/>
      <c r="AN913" s="154" t="n"/>
      <c r="AO913" s="154" t="n"/>
      <c r="AP913" s="154" t="n"/>
      <c r="AQ913" s="154" t="n"/>
      <c r="AR913" s="154" t="n"/>
      <c r="AS913" s="154" t="n"/>
      <c r="AT913" s="154" t="n"/>
      <c r="AU913" s="154" t="n"/>
      <c r="AV913" s="154" t="n"/>
      <c r="AW913" s="154" t="n"/>
      <c r="AX913" s="154" t="n"/>
      <c r="AY913" s="154" t="n"/>
      <c r="AZ913" s="154" t="n"/>
      <c r="BA913" s="154" t="n"/>
      <c r="BB913" s="154" t="n"/>
      <c r="BC913" s="154" t="n"/>
      <c r="BD913" s="154" t="n"/>
      <c r="BE913" s="154" t="n"/>
      <c r="BF913" s="154" t="n"/>
      <c r="BG913" s="154" t="n"/>
      <c r="BH913" s="154" t="n"/>
    </row>
    <row r="914" ht="15.75" customHeight="1" s="251">
      <c r="A914" s="153" t="n"/>
      <c r="B914" s="154" t="n"/>
      <c r="C914" s="154" t="n"/>
      <c r="D914" s="154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  <c r="AA914" s="154" t="n"/>
      <c r="AB914" s="154" t="n"/>
      <c r="AC914" s="154" t="n"/>
      <c r="AD914" s="154" t="n"/>
      <c r="AE914" s="154" t="n"/>
      <c r="AF914" s="154" t="n"/>
      <c r="AG914" s="154" t="n"/>
      <c r="AH914" s="154" t="n"/>
      <c r="AI914" s="154" t="n"/>
      <c r="AJ914" s="154" t="n"/>
      <c r="AK914" s="154" t="n"/>
      <c r="AL914" s="154" t="n"/>
      <c r="AM914" s="154" t="n"/>
      <c r="AN914" s="154" t="n"/>
      <c r="AO914" s="154" t="n"/>
      <c r="AP914" s="154" t="n"/>
      <c r="AQ914" s="154" t="n"/>
      <c r="AR914" s="154" t="n"/>
      <c r="AS914" s="154" t="n"/>
      <c r="AT914" s="154" t="n"/>
      <c r="AU914" s="154" t="n"/>
      <c r="AV914" s="154" t="n"/>
      <c r="AW914" s="154" t="n"/>
      <c r="AX914" s="154" t="n"/>
      <c r="AY914" s="154" t="n"/>
      <c r="AZ914" s="154" t="n"/>
      <c r="BA914" s="154" t="n"/>
      <c r="BB914" s="154" t="n"/>
      <c r="BC914" s="154" t="n"/>
      <c r="BD914" s="154" t="n"/>
      <c r="BE914" s="154" t="n"/>
      <c r="BF914" s="154" t="n"/>
      <c r="BG914" s="154" t="n"/>
      <c r="BH914" s="154" t="n"/>
    </row>
    <row r="915" ht="15.75" customHeight="1" s="251">
      <c r="A915" s="153" t="n"/>
      <c r="B915" s="154" t="n"/>
      <c r="C915" s="154" t="n"/>
      <c r="D915" s="154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  <c r="AA915" s="154" t="n"/>
      <c r="AB915" s="154" t="n"/>
      <c r="AC915" s="154" t="n"/>
      <c r="AD915" s="154" t="n"/>
      <c r="AE915" s="154" t="n"/>
      <c r="AF915" s="154" t="n"/>
      <c r="AG915" s="154" t="n"/>
      <c r="AH915" s="154" t="n"/>
      <c r="AI915" s="154" t="n"/>
      <c r="AJ915" s="154" t="n"/>
      <c r="AK915" s="154" t="n"/>
      <c r="AL915" s="154" t="n"/>
      <c r="AM915" s="154" t="n"/>
      <c r="AN915" s="154" t="n"/>
      <c r="AO915" s="154" t="n"/>
      <c r="AP915" s="154" t="n"/>
      <c r="AQ915" s="154" t="n"/>
      <c r="AR915" s="154" t="n"/>
      <c r="AS915" s="154" t="n"/>
      <c r="AT915" s="154" t="n"/>
      <c r="AU915" s="154" t="n"/>
      <c r="AV915" s="154" t="n"/>
      <c r="AW915" s="154" t="n"/>
      <c r="AX915" s="154" t="n"/>
      <c r="AY915" s="154" t="n"/>
      <c r="AZ915" s="154" t="n"/>
      <c r="BA915" s="154" t="n"/>
      <c r="BB915" s="154" t="n"/>
      <c r="BC915" s="154" t="n"/>
      <c r="BD915" s="154" t="n"/>
      <c r="BE915" s="154" t="n"/>
      <c r="BF915" s="154" t="n"/>
      <c r="BG915" s="154" t="n"/>
      <c r="BH915" s="154" t="n"/>
    </row>
    <row r="916" ht="15.75" customHeight="1" s="251">
      <c r="A916" s="153" t="n"/>
      <c r="B916" s="154" t="n"/>
      <c r="C916" s="154" t="n"/>
      <c r="D916" s="154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  <c r="AA916" s="154" t="n"/>
      <c r="AB916" s="154" t="n"/>
      <c r="AC916" s="154" t="n"/>
      <c r="AD916" s="154" t="n"/>
      <c r="AE916" s="154" t="n"/>
      <c r="AF916" s="154" t="n"/>
      <c r="AG916" s="154" t="n"/>
      <c r="AH916" s="154" t="n"/>
      <c r="AI916" s="154" t="n"/>
      <c r="AJ916" s="154" t="n"/>
      <c r="AK916" s="154" t="n"/>
      <c r="AL916" s="154" t="n"/>
      <c r="AM916" s="154" t="n"/>
      <c r="AN916" s="154" t="n"/>
      <c r="AO916" s="154" t="n"/>
      <c r="AP916" s="154" t="n"/>
      <c r="AQ916" s="154" t="n"/>
      <c r="AR916" s="154" t="n"/>
      <c r="AS916" s="154" t="n"/>
      <c r="AT916" s="154" t="n"/>
      <c r="AU916" s="154" t="n"/>
      <c r="AV916" s="154" t="n"/>
      <c r="AW916" s="154" t="n"/>
      <c r="AX916" s="154" t="n"/>
      <c r="AY916" s="154" t="n"/>
      <c r="AZ916" s="154" t="n"/>
      <c r="BA916" s="154" t="n"/>
      <c r="BB916" s="154" t="n"/>
      <c r="BC916" s="154" t="n"/>
      <c r="BD916" s="154" t="n"/>
      <c r="BE916" s="154" t="n"/>
      <c r="BF916" s="154" t="n"/>
      <c r="BG916" s="154" t="n"/>
      <c r="BH916" s="154" t="n"/>
    </row>
    <row r="917" ht="15.75" customHeight="1" s="251">
      <c r="A917" s="153" t="n"/>
      <c r="B917" s="154" t="n"/>
      <c r="C917" s="154" t="n"/>
      <c r="D917" s="154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  <c r="AA917" s="154" t="n"/>
      <c r="AB917" s="154" t="n"/>
      <c r="AC917" s="154" t="n"/>
      <c r="AD917" s="154" t="n"/>
      <c r="AE917" s="154" t="n"/>
      <c r="AF917" s="154" t="n"/>
      <c r="AG917" s="154" t="n"/>
      <c r="AH917" s="154" t="n"/>
      <c r="AI917" s="154" t="n"/>
      <c r="AJ917" s="154" t="n"/>
      <c r="AK917" s="154" t="n"/>
      <c r="AL917" s="154" t="n"/>
      <c r="AM917" s="154" t="n"/>
      <c r="AN917" s="154" t="n"/>
      <c r="AO917" s="154" t="n"/>
      <c r="AP917" s="154" t="n"/>
      <c r="AQ917" s="154" t="n"/>
      <c r="AR917" s="154" t="n"/>
      <c r="AS917" s="154" t="n"/>
      <c r="AT917" s="154" t="n"/>
      <c r="AU917" s="154" t="n"/>
      <c r="AV917" s="154" t="n"/>
      <c r="AW917" s="154" t="n"/>
      <c r="AX917" s="154" t="n"/>
      <c r="AY917" s="154" t="n"/>
      <c r="AZ917" s="154" t="n"/>
      <c r="BA917" s="154" t="n"/>
      <c r="BB917" s="154" t="n"/>
      <c r="BC917" s="154" t="n"/>
      <c r="BD917" s="154" t="n"/>
      <c r="BE917" s="154" t="n"/>
      <c r="BF917" s="154" t="n"/>
      <c r="BG917" s="154" t="n"/>
      <c r="BH917" s="154" t="n"/>
    </row>
    <row r="918" ht="15.75" customHeight="1" s="251">
      <c r="A918" s="153" t="n"/>
      <c r="B918" s="154" t="n"/>
      <c r="C918" s="154" t="n"/>
      <c r="D918" s="154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  <c r="AA918" s="154" t="n"/>
      <c r="AB918" s="154" t="n"/>
      <c r="AC918" s="154" t="n"/>
      <c r="AD918" s="154" t="n"/>
      <c r="AE918" s="154" t="n"/>
      <c r="AF918" s="154" t="n"/>
      <c r="AG918" s="154" t="n"/>
      <c r="AH918" s="154" t="n"/>
      <c r="AI918" s="154" t="n"/>
      <c r="AJ918" s="154" t="n"/>
      <c r="AK918" s="154" t="n"/>
      <c r="AL918" s="154" t="n"/>
      <c r="AM918" s="154" t="n"/>
      <c r="AN918" s="154" t="n"/>
      <c r="AO918" s="154" t="n"/>
      <c r="AP918" s="154" t="n"/>
      <c r="AQ918" s="154" t="n"/>
      <c r="AR918" s="154" t="n"/>
      <c r="AS918" s="154" t="n"/>
      <c r="AT918" s="154" t="n"/>
      <c r="AU918" s="154" t="n"/>
      <c r="AV918" s="154" t="n"/>
      <c r="AW918" s="154" t="n"/>
      <c r="AX918" s="154" t="n"/>
      <c r="AY918" s="154" t="n"/>
      <c r="AZ918" s="154" t="n"/>
      <c r="BA918" s="154" t="n"/>
      <c r="BB918" s="154" t="n"/>
      <c r="BC918" s="154" t="n"/>
      <c r="BD918" s="154" t="n"/>
      <c r="BE918" s="154" t="n"/>
      <c r="BF918" s="154" t="n"/>
      <c r="BG918" s="154" t="n"/>
      <c r="BH918" s="154" t="n"/>
    </row>
    <row r="919" ht="15.75" customHeight="1" s="251">
      <c r="A919" s="153" t="n"/>
      <c r="B919" s="154" t="n"/>
      <c r="C919" s="154" t="n"/>
      <c r="D919" s="154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  <c r="AA919" s="154" t="n"/>
      <c r="AB919" s="154" t="n"/>
      <c r="AC919" s="154" t="n"/>
      <c r="AD919" s="154" t="n"/>
      <c r="AE919" s="154" t="n"/>
      <c r="AF919" s="154" t="n"/>
      <c r="AG919" s="154" t="n"/>
      <c r="AH919" s="154" t="n"/>
      <c r="AI919" s="154" t="n"/>
      <c r="AJ919" s="154" t="n"/>
      <c r="AK919" s="154" t="n"/>
      <c r="AL919" s="154" t="n"/>
      <c r="AM919" s="154" t="n"/>
      <c r="AN919" s="154" t="n"/>
      <c r="AO919" s="154" t="n"/>
      <c r="AP919" s="154" t="n"/>
      <c r="AQ919" s="154" t="n"/>
      <c r="AR919" s="154" t="n"/>
      <c r="AS919" s="154" t="n"/>
      <c r="AT919" s="154" t="n"/>
      <c r="AU919" s="154" t="n"/>
      <c r="AV919" s="154" t="n"/>
      <c r="AW919" s="154" t="n"/>
      <c r="AX919" s="154" t="n"/>
      <c r="AY919" s="154" t="n"/>
      <c r="AZ919" s="154" t="n"/>
      <c r="BA919" s="154" t="n"/>
      <c r="BB919" s="154" t="n"/>
      <c r="BC919" s="154" t="n"/>
      <c r="BD919" s="154" t="n"/>
      <c r="BE919" s="154" t="n"/>
      <c r="BF919" s="154" t="n"/>
      <c r="BG919" s="154" t="n"/>
      <c r="BH919" s="154" t="n"/>
    </row>
    <row r="920" ht="15.75" customHeight="1" s="251">
      <c r="A920" s="153" t="n"/>
      <c r="B920" s="154" t="n"/>
      <c r="C920" s="154" t="n"/>
      <c r="D920" s="154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  <c r="AA920" s="154" t="n"/>
      <c r="AB920" s="154" t="n"/>
      <c r="AC920" s="154" t="n"/>
      <c r="AD920" s="154" t="n"/>
      <c r="AE920" s="154" t="n"/>
      <c r="AF920" s="154" t="n"/>
      <c r="AG920" s="154" t="n"/>
      <c r="AH920" s="154" t="n"/>
      <c r="AI920" s="154" t="n"/>
      <c r="AJ920" s="154" t="n"/>
      <c r="AK920" s="154" t="n"/>
      <c r="AL920" s="154" t="n"/>
      <c r="AM920" s="154" t="n"/>
      <c r="AN920" s="154" t="n"/>
      <c r="AO920" s="154" t="n"/>
      <c r="AP920" s="154" t="n"/>
      <c r="AQ920" s="154" t="n"/>
      <c r="AR920" s="154" t="n"/>
      <c r="AS920" s="154" t="n"/>
      <c r="AT920" s="154" t="n"/>
      <c r="AU920" s="154" t="n"/>
      <c r="AV920" s="154" t="n"/>
      <c r="AW920" s="154" t="n"/>
      <c r="AX920" s="154" t="n"/>
      <c r="AY920" s="154" t="n"/>
      <c r="AZ920" s="154" t="n"/>
      <c r="BA920" s="154" t="n"/>
      <c r="BB920" s="154" t="n"/>
      <c r="BC920" s="154" t="n"/>
      <c r="BD920" s="154" t="n"/>
      <c r="BE920" s="154" t="n"/>
      <c r="BF920" s="154" t="n"/>
      <c r="BG920" s="154" t="n"/>
      <c r="BH920" s="154" t="n"/>
    </row>
    <row r="921" ht="15.75" customHeight="1" s="251">
      <c r="A921" s="153" t="n"/>
      <c r="B921" s="154" t="n"/>
      <c r="C921" s="154" t="n"/>
      <c r="D921" s="154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  <c r="AA921" s="154" t="n"/>
      <c r="AB921" s="154" t="n"/>
      <c r="AC921" s="154" t="n"/>
      <c r="AD921" s="154" t="n"/>
      <c r="AE921" s="154" t="n"/>
      <c r="AF921" s="154" t="n"/>
      <c r="AG921" s="154" t="n"/>
      <c r="AH921" s="154" t="n"/>
      <c r="AI921" s="154" t="n"/>
      <c r="AJ921" s="154" t="n"/>
      <c r="AK921" s="154" t="n"/>
      <c r="AL921" s="154" t="n"/>
      <c r="AM921" s="154" t="n"/>
      <c r="AN921" s="154" t="n"/>
      <c r="AO921" s="154" t="n"/>
      <c r="AP921" s="154" t="n"/>
      <c r="AQ921" s="154" t="n"/>
      <c r="AR921" s="154" t="n"/>
      <c r="AS921" s="154" t="n"/>
      <c r="AT921" s="154" t="n"/>
      <c r="AU921" s="154" t="n"/>
      <c r="AV921" s="154" t="n"/>
      <c r="AW921" s="154" t="n"/>
      <c r="AX921" s="154" t="n"/>
      <c r="AY921" s="154" t="n"/>
      <c r="AZ921" s="154" t="n"/>
      <c r="BA921" s="154" t="n"/>
      <c r="BB921" s="154" t="n"/>
      <c r="BC921" s="154" t="n"/>
      <c r="BD921" s="154" t="n"/>
      <c r="BE921" s="154" t="n"/>
      <c r="BF921" s="154" t="n"/>
      <c r="BG921" s="154" t="n"/>
      <c r="BH921" s="154" t="n"/>
    </row>
    <row r="922" ht="15.75" customHeight="1" s="251">
      <c r="A922" s="153" t="n"/>
      <c r="B922" s="154" t="n"/>
      <c r="C922" s="154" t="n"/>
      <c r="D922" s="154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  <c r="AA922" s="154" t="n"/>
      <c r="AB922" s="154" t="n"/>
      <c r="AC922" s="154" t="n"/>
      <c r="AD922" s="154" t="n"/>
      <c r="AE922" s="154" t="n"/>
      <c r="AF922" s="154" t="n"/>
      <c r="AG922" s="154" t="n"/>
      <c r="AH922" s="154" t="n"/>
      <c r="AI922" s="154" t="n"/>
      <c r="AJ922" s="154" t="n"/>
      <c r="AK922" s="154" t="n"/>
      <c r="AL922" s="154" t="n"/>
      <c r="AM922" s="154" t="n"/>
      <c r="AN922" s="154" t="n"/>
      <c r="AO922" s="154" t="n"/>
      <c r="AP922" s="154" t="n"/>
      <c r="AQ922" s="154" t="n"/>
      <c r="AR922" s="154" t="n"/>
      <c r="AS922" s="154" t="n"/>
      <c r="AT922" s="154" t="n"/>
      <c r="AU922" s="154" t="n"/>
      <c r="AV922" s="154" t="n"/>
      <c r="AW922" s="154" t="n"/>
      <c r="AX922" s="154" t="n"/>
      <c r="AY922" s="154" t="n"/>
      <c r="AZ922" s="154" t="n"/>
      <c r="BA922" s="154" t="n"/>
      <c r="BB922" s="154" t="n"/>
      <c r="BC922" s="154" t="n"/>
      <c r="BD922" s="154" t="n"/>
      <c r="BE922" s="154" t="n"/>
      <c r="BF922" s="154" t="n"/>
      <c r="BG922" s="154" t="n"/>
      <c r="BH922" s="154" t="n"/>
    </row>
    <row r="923" ht="15.75" customHeight="1" s="251">
      <c r="A923" s="153" t="n"/>
      <c r="B923" s="154" t="n"/>
      <c r="C923" s="154" t="n"/>
      <c r="D923" s="154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  <c r="AA923" s="154" t="n"/>
      <c r="AB923" s="154" t="n"/>
      <c r="AC923" s="154" t="n"/>
      <c r="AD923" s="154" t="n"/>
      <c r="AE923" s="154" t="n"/>
      <c r="AF923" s="154" t="n"/>
      <c r="AG923" s="154" t="n"/>
      <c r="AH923" s="154" t="n"/>
      <c r="AI923" s="154" t="n"/>
      <c r="AJ923" s="154" t="n"/>
      <c r="AK923" s="154" t="n"/>
      <c r="AL923" s="154" t="n"/>
      <c r="AM923" s="154" t="n"/>
      <c r="AN923" s="154" t="n"/>
      <c r="AO923" s="154" t="n"/>
      <c r="AP923" s="154" t="n"/>
      <c r="AQ923" s="154" t="n"/>
      <c r="AR923" s="154" t="n"/>
      <c r="AS923" s="154" t="n"/>
      <c r="AT923" s="154" t="n"/>
      <c r="AU923" s="154" t="n"/>
      <c r="AV923" s="154" t="n"/>
      <c r="AW923" s="154" t="n"/>
      <c r="AX923" s="154" t="n"/>
      <c r="AY923" s="154" t="n"/>
      <c r="AZ923" s="154" t="n"/>
      <c r="BA923" s="154" t="n"/>
      <c r="BB923" s="154" t="n"/>
      <c r="BC923" s="154" t="n"/>
      <c r="BD923" s="154" t="n"/>
      <c r="BE923" s="154" t="n"/>
      <c r="BF923" s="154" t="n"/>
      <c r="BG923" s="154" t="n"/>
      <c r="BH923" s="154" t="n"/>
    </row>
    <row r="924" ht="15.75" customHeight="1" s="251">
      <c r="A924" s="153" t="n"/>
      <c r="B924" s="154" t="n"/>
      <c r="C924" s="154" t="n"/>
      <c r="D924" s="154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  <c r="AA924" s="154" t="n"/>
      <c r="AB924" s="154" t="n"/>
      <c r="AC924" s="154" t="n"/>
      <c r="AD924" s="154" t="n"/>
      <c r="AE924" s="154" t="n"/>
      <c r="AF924" s="154" t="n"/>
      <c r="AG924" s="154" t="n"/>
      <c r="AH924" s="154" t="n"/>
      <c r="AI924" s="154" t="n"/>
      <c r="AJ924" s="154" t="n"/>
      <c r="AK924" s="154" t="n"/>
      <c r="AL924" s="154" t="n"/>
      <c r="AM924" s="154" t="n"/>
      <c r="AN924" s="154" t="n"/>
      <c r="AO924" s="154" t="n"/>
      <c r="AP924" s="154" t="n"/>
      <c r="AQ924" s="154" t="n"/>
      <c r="AR924" s="154" t="n"/>
      <c r="AS924" s="154" t="n"/>
      <c r="AT924" s="154" t="n"/>
      <c r="AU924" s="154" t="n"/>
      <c r="AV924" s="154" t="n"/>
      <c r="AW924" s="154" t="n"/>
      <c r="AX924" s="154" t="n"/>
      <c r="AY924" s="154" t="n"/>
      <c r="AZ924" s="154" t="n"/>
      <c r="BA924" s="154" t="n"/>
      <c r="BB924" s="154" t="n"/>
      <c r="BC924" s="154" t="n"/>
      <c r="BD924" s="154" t="n"/>
      <c r="BE924" s="154" t="n"/>
      <c r="BF924" s="154" t="n"/>
      <c r="BG924" s="154" t="n"/>
      <c r="BH924" s="154" t="n"/>
    </row>
    <row r="925" ht="15.75" customHeight="1" s="251">
      <c r="A925" s="153" t="n"/>
      <c r="B925" s="154" t="n"/>
      <c r="C925" s="154" t="n"/>
      <c r="D925" s="154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  <c r="AA925" s="154" t="n"/>
      <c r="AB925" s="154" t="n"/>
      <c r="AC925" s="154" t="n"/>
      <c r="AD925" s="154" t="n"/>
      <c r="AE925" s="154" t="n"/>
      <c r="AF925" s="154" t="n"/>
      <c r="AG925" s="154" t="n"/>
      <c r="AH925" s="154" t="n"/>
      <c r="AI925" s="154" t="n"/>
      <c r="AJ925" s="154" t="n"/>
      <c r="AK925" s="154" t="n"/>
      <c r="AL925" s="154" t="n"/>
      <c r="AM925" s="154" t="n"/>
      <c r="AN925" s="154" t="n"/>
      <c r="AO925" s="154" t="n"/>
      <c r="AP925" s="154" t="n"/>
      <c r="AQ925" s="154" t="n"/>
      <c r="AR925" s="154" t="n"/>
      <c r="AS925" s="154" t="n"/>
      <c r="AT925" s="154" t="n"/>
      <c r="AU925" s="154" t="n"/>
      <c r="AV925" s="154" t="n"/>
      <c r="AW925" s="154" t="n"/>
      <c r="AX925" s="154" t="n"/>
      <c r="AY925" s="154" t="n"/>
      <c r="AZ925" s="154" t="n"/>
      <c r="BA925" s="154" t="n"/>
      <c r="BB925" s="154" t="n"/>
      <c r="BC925" s="154" t="n"/>
      <c r="BD925" s="154" t="n"/>
      <c r="BE925" s="154" t="n"/>
      <c r="BF925" s="154" t="n"/>
      <c r="BG925" s="154" t="n"/>
      <c r="BH925" s="154" t="n"/>
    </row>
    <row r="926" ht="15.75" customHeight="1" s="251">
      <c r="A926" s="153" t="n"/>
      <c r="B926" s="154" t="n"/>
      <c r="C926" s="154" t="n"/>
      <c r="D926" s="154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  <c r="AA926" s="154" t="n"/>
      <c r="AB926" s="154" t="n"/>
      <c r="AC926" s="154" t="n"/>
      <c r="AD926" s="154" t="n"/>
      <c r="AE926" s="154" t="n"/>
      <c r="AF926" s="154" t="n"/>
      <c r="AG926" s="154" t="n"/>
      <c r="AH926" s="154" t="n"/>
      <c r="AI926" s="154" t="n"/>
      <c r="AJ926" s="154" t="n"/>
      <c r="AK926" s="154" t="n"/>
      <c r="AL926" s="154" t="n"/>
      <c r="AM926" s="154" t="n"/>
      <c r="AN926" s="154" t="n"/>
      <c r="AO926" s="154" t="n"/>
      <c r="AP926" s="154" t="n"/>
      <c r="AQ926" s="154" t="n"/>
      <c r="AR926" s="154" t="n"/>
      <c r="AS926" s="154" t="n"/>
      <c r="AT926" s="154" t="n"/>
      <c r="AU926" s="154" t="n"/>
      <c r="AV926" s="154" t="n"/>
      <c r="AW926" s="154" t="n"/>
      <c r="AX926" s="154" t="n"/>
      <c r="AY926" s="154" t="n"/>
      <c r="AZ926" s="154" t="n"/>
      <c r="BA926" s="154" t="n"/>
      <c r="BB926" s="154" t="n"/>
      <c r="BC926" s="154" t="n"/>
      <c r="BD926" s="154" t="n"/>
      <c r="BE926" s="154" t="n"/>
      <c r="BF926" s="154" t="n"/>
      <c r="BG926" s="154" t="n"/>
      <c r="BH926" s="154" t="n"/>
    </row>
    <row r="927" ht="15.75" customHeight="1" s="251">
      <c r="A927" s="153" t="n"/>
      <c r="B927" s="154" t="n"/>
      <c r="C927" s="154" t="n"/>
      <c r="D927" s="154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  <c r="AA927" s="154" t="n"/>
      <c r="AB927" s="154" t="n"/>
      <c r="AC927" s="154" t="n"/>
      <c r="AD927" s="154" t="n"/>
      <c r="AE927" s="154" t="n"/>
      <c r="AF927" s="154" t="n"/>
      <c r="AG927" s="154" t="n"/>
      <c r="AH927" s="154" t="n"/>
      <c r="AI927" s="154" t="n"/>
      <c r="AJ927" s="154" t="n"/>
      <c r="AK927" s="154" t="n"/>
      <c r="AL927" s="154" t="n"/>
      <c r="AM927" s="154" t="n"/>
      <c r="AN927" s="154" t="n"/>
      <c r="AO927" s="154" t="n"/>
      <c r="AP927" s="154" t="n"/>
      <c r="AQ927" s="154" t="n"/>
      <c r="AR927" s="154" t="n"/>
      <c r="AS927" s="154" t="n"/>
      <c r="AT927" s="154" t="n"/>
      <c r="AU927" s="154" t="n"/>
      <c r="AV927" s="154" t="n"/>
      <c r="AW927" s="154" t="n"/>
      <c r="AX927" s="154" t="n"/>
      <c r="AY927" s="154" t="n"/>
      <c r="AZ927" s="154" t="n"/>
      <c r="BA927" s="154" t="n"/>
      <c r="BB927" s="154" t="n"/>
      <c r="BC927" s="154" t="n"/>
      <c r="BD927" s="154" t="n"/>
      <c r="BE927" s="154" t="n"/>
      <c r="BF927" s="154" t="n"/>
      <c r="BG927" s="154" t="n"/>
      <c r="BH927" s="154" t="n"/>
    </row>
    <row r="928" ht="15.75" customHeight="1" s="251">
      <c r="A928" s="153" t="n"/>
      <c r="B928" s="154" t="n"/>
      <c r="C928" s="154" t="n"/>
      <c r="D928" s="154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  <c r="AA928" s="154" t="n"/>
      <c r="AB928" s="154" t="n"/>
      <c r="AC928" s="154" t="n"/>
      <c r="AD928" s="154" t="n"/>
      <c r="AE928" s="154" t="n"/>
      <c r="AF928" s="154" t="n"/>
      <c r="AG928" s="154" t="n"/>
      <c r="AH928" s="154" t="n"/>
      <c r="AI928" s="154" t="n"/>
      <c r="AJ928" s="154" t="n"/>
      <c r="AK928" s="154" t="n"/>
      <c r="AL928" s="154" t="n"/>
      <c r="AM928" s="154" t="n"/>
      <c r="AN928" s="154" t="n"/>
      <c r="AO928" s="154" t="n"/>
      <c r="AP928" s="154" t="n"/>
      <c r="AQ928" s="154" t="n"/>
      <c r="AR928" s="154" t="n"/>
      <c r="AS928" s="154" t="n"/>
      <c r="AT928" s="154" t="n"/>
      <c r="AU928" s="154" t="n"/>
      <c r="AV928" s="154" t="n"/>
      <c r="AW928" s="154" t="n"/>
      <c r="AX928" s="154" t="n"/>
      <c r="AY928" s="154" t="n"/>
      <c r="AZ928" s="154" t="n"/>
      <c r="BA928" s="154" t="n"/>
      <c r="BB928" s="154" t="n"/>
      <c r="BC928" s="154" t="n"/>
      <c r="BD928" s="154" t="n"/>
      <c r="BE928" s="154" t="n"/>
      <c r="BF928" s="154" t="n"/>
      <c r="BG928" s="154" t="n"/>
      <c r="BH928" s="154" t="n"/>
    </row>
    <row r="929" ht="15.75" customHeight="1" s="251">
      <c r="A929" s="153" t="n"/>
      <c r="B929" s="154" t="n"/>
      <c r="C929" s="154" t="n"/>
      <c r="D929" s="154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  <c r="AA929" s="154" t="n"/>
      <c r="AB929" s="154" t="n"/>
      <c r="AC929" s="154" t="n"/>
      <c r="AD929" s="154" t="n"/>
      <c r="AE929" s="154" t="n"/>
      <c r="AF929" s="154" t="n"/>
      <c r="AG929" s="154" t="n"/>
      <c r="AH929" s="154" t="n"/>
      <c r="AI929" s="154" t="n"/>
      <c r="AJ929" s="154" t="n"/>
      <c r="AK929" s="154" t="n"/>
      <c r="AL929" s="154" t="n"/>
      <c r="AM929" s="154" t="n"/>
      <c r="AN929" s="154" t="n"/>
      <c r="AO929" s="154" t="n"/>
      <c r="AP929" s="154" t="n"/>
      <c r="AQ929" s="154" t="n"/>
      <c r="AR929" s="154" t="n"/>
      <c r="AS929" s="154" t="n"/>
      <c r="AT929" s="154" t="n"/>
      <c r="AU929" s="154" t="n"/>
      <c r="AV929" s="154" t="n"/>
      <c r="AW929" s="154" t="n"/>
      <c r="AX929" s="154" t="n"/>
      <c r="AY929" s="154" t="n"/>
      <c r="AZ929" s="154" t="n"/>
      <c r="BA929" s="154" t="n"/>
      <c r="BB929" s="154" t="n"/>
      <c r="BC929" s="154" t="n"/>
      <c r="BD929" s="154" t="n"/>
      <c r="BE929" s="154" t="n"/>
      <c r="BF929" s="154" t="n"/>
      <c r="BG929" s="154" t="n"/>
      <c r="BH929" s="154" t="n"/>
    </row>
    <row r="930" ht="15.75" customHeight="1" s="251">
      <c r="A930" s="153" t="n"/>
      <c r="B930" s="154" t="n"/>
      <c r="C930" s="154" t="n"/>
      <c r="D930" s="154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  <c r="AA930" s="154" t="n"/>
      <c r="AB930" s="154" t="n"/>
      <c r="AC930" s="154" t="n"/>
      <c r="AD930" s="154" t="n"/>
      <c r="AE930" s="154" t="n"/>
      <c r="AF930" s="154" t="n"/>
      <c r="AG930" s="154" t="n"/>
      <c r="AH930" s="154" t="n"/>
      <c r="AI930" s="154" t="n"/>
      <c r="AJ930" s="154" t="n"/>
      <c r="AK930" s="154" t="n"/>
      <c r="AL930" s="154" t="n"/>
      <c r="AM930" s="154" t="n"/>
      <c r="AN930" s="154" t="n"/>
      <c r="AO930" s="154" t="n"/>
      <c r="AP930" s="154" t="n"/>
      <c r="AQ930" s="154" t="n"/>
      <c r="AR930" s="154" t="n"/>
      <c r="AS930" s="154" t="n"/>
      <c r="AT930" s="154" t="n"/>
      <c r="AU930" s="154" t="n"/>
      <c r="AV930" s="154" t="n"/>
      <c r="AW930" s="154" t="n"/>
      <c r="AX930" s="154" t="n"/>
      <c r="AY930" s="154" t="n"/>
      <c r="AZ930" s="154" t="n"/>
      <c r="BA930" s="154" t="n"/>
      <c r="BB930" s="154" t="n"/>
      <c r="BC930" s="154" t="n"/>
      <c r="BD930" s="154" t="n"/>
      <c r="BE930" s="154" t="n"/>
      <c r="BF930" s="154" t="n"/>
      <c r="BG930" s="154" t="n"/>
      <c r="BH930" s="154" t="n"/>
    </row>
    <row r="931" ht="15.75" customHeight="1" s="251">
      <c r="A931" s="153" t="n"/>
      <c r="B931" s="154" t="n"/>
      <c r="C931" s="154" t="n"/>
      <c r="D931" s="154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  <c r="AA931" s="154" t="n"/>
      <c r="AB931" s="154" t="n"/>
      <c r="AC931" s="154" t="n"/>
      <c r="AD931" s="154" t="n"/>
      <c r="AE931" s="154" t="n"/>
      <c r="AF931" s="154" t="n"/>
      <c r="AG931" s="154" t="n"/>
      <c r="AH931" s="154" t="n"/>
      <c r="AI931" s="154" t="n"/>
      <c r="AJ931" s="154" t="n"/>
      <c r="AK931" s="154" t="n"/>
      <c r="AL931" s="154" t="n"/>
      <c r="AM931" s="154" t="n"/>
      <c r="AN931" s="154" t="n"/>
      <c r="AO931" s="154" t="n"/>
      <c r="AP931" s="154" t="n"/>
      <c r="AQ931" s="154" t="n"/>
      <c r="AR931" s="154" t="n"/>
      <c r="AS931" s="154" t="n"/>
      <c r="AT931" s="154" t="n"/>
      <c r="AU931" s="154" t="n"/>
      <c r="AV931" s="154" t="n"/>
      <c r="AW931" s="154" t="n"/>
      <c r="AX931" s="154" t="n"/>
      <c r="AY931" s="154" t="n"/>
      <c r="AZ931" s="154" t="n"/>
      <c r="BA931" s="154" t="n"/>
      <c r="BB931" s="154" t="n"/>
      <c r="BC931" s="154" t="n"/>
      <c r="BD931" s="154" t="n"/>
      <c r="BE931" s="154" t="n"/>
      <c r="BF931" s="154" t="n"/>
      <c r="BG931" s="154" t="n"/>
      <c r="BH931" s="154" t="n"/>
    </row>
    <row r="932" ht="15.75" customHeight="1" s="251">
      <c r="A932" s="153" t="n"/>
      <c r="B932" s="154" t="n"/>
      <c r="C932" s="154" t="n"/>
      <c r="D932" s="154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  <c r="AA932" s="154" t="n"/>
      <c r="AB932" s="154" t="n"/>
      <c r="AC932" s="154" t="n"/>
      <c r="AD932" s="154" t="n"/>
      <c r="AE932" s="154" t="n"/>
      <c r="AF932" s="154" t="n"/>
      <c r="AG932" s="154" t="n"/>
      <c r="AH932" s="154" t="n"/>
      <c r="AI932" s="154" t="n"/>
      <c r="AJ932" s="154" t="n"/>
      <c r="AK932" s="154" t="n"/>
      <c r="AL932" s="154" t="n"/>
      <c r="AM932" s="154" t="n"/>
      <c r="AN932" s="154" t="n"/>
      <c r="AO932" s="154" t="n"/>
      <c r="AP932" s="154" t="n"/>
      <c r="AQ932" s="154" t="n"/>
      <c r="AR932" s="154" t="n"/>
      <c r="AS932" s="154" t="n"/>
      <c r="AT932" s="154" t="n"/>
      <c r="AU932" s="154" t="n"/>
      <c r="AV932" s="154" t="n"/>
      <c r="AW932" s="154" t="n"/>
      <c r="AX932" s="154" t="n"/>
      <c r="AY932" s="154" t="n"/>
      <c r="AZ932" s="154" t="n"/>
      <c r="BA932" s="154" t="n"/>
      <c r="BB932" s="154" t="n"/>
      <c r="BC932" s="154" t="n"/>
      <c r="BD932" s="154" t="n"/>
      <c r="BE932" s="154" t="n"/>
      <c r="BF932" s="154" t="n"/>
      <c r="BG932" s="154" t="n"/>
      <c r="BH932" s="154" t="n"/>
    </row>
    <row r="933" ht="15.75" customHeight="1" s="251">
      <c r="A933" s="153" t="n"/>
      <c r="B933" s="154" t="n"/>
      <c r="C933" s="154" t="n"/>
      <c r="D933" s="154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  <c r="AA933" s="154" t="n"/>
      <c r="AB933" s="154" t="n"/>
      <c r="AC933" s="154" t="n"/>
      <c r="AD933" s="154" t="n"/>
      <c r="AE933" s="154" t="n"/>
      <c r="AF933" s="154" t="n"/>
      <c r="AG933" s="154" t="n"/>
      <c r="AH933" s="154" t="n"/>
      <c r="AI933" s="154" t="n"/>
      <c r="AJ933" s="154" t="n"/>
      <c r="AK933" s="154" t="n"/>
      <c r="AL933" s="154" t="n"/>
      <c r="AM933" s="154" t="n"/>
      <c r="AN933" s="154" t="n"/>
      <c r="AO933" s="154" t="n"/>
      <c r="AP933" s="154" t="n"/>
      <c r="AQ933" s="154" t="n"/>
      <c r="AR933" s="154" t="n"/>
      <c r="AS933" s="154" t="n"/>
      <c r="AT933" s="154" t="n"/>
      <c r="AU933" s="154" t="n"/>
      <c r="AV933" s="154" t="n"/>
      <c r="AW933" s="154" t="n"/>
      <c r="AX933" s="154" t="n"/>
      <c r="AY933" s="154" t="n"/>
      <c r="AZ933" s="154" t="n"/>
      <c r="BA933" s="154" t="n"/>
      <c r="BB933" s="154" t="n"/>
      <c r="BC933" s="154" t="n"/>
      <c r="BD933" s="154" t="n"/>
      <c r="BE933" s="154" t="n"/>
      <c r="BF933" s="154" t="n"/>
      <c r="BG933" s="154" t="n"/>
      <c r="BH933" s="154" t="n"/>
    </row>
    <row r="934" ht="15.75" customHeight="1" s="251">
      <c r="A934" s="153" t="n"/>
      <c r="B934" s="154" t="n"/>
      <c r="C934" s="154" t="n"/>
      <c r="D934" s="154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  <c r="AA934" s="154" t="n"/>
      <c r="AB934" s="154" t="n"/>
      <c r="AC934" s="154" t="n"/>
      <c r="AD934" s="154" t="n"/>
      <c r="AE934" s="154" t="n"/>
      <c r="AF934" s="154" t="n"/>
      <c r="AG934" s="154" t="n"/>
      <c r="AH934" s="154" t="n"/>
      <c r="AI934" s="154" t="n"/>
      <c r="AJ934" s="154" t="n"/>
      <c r="AK934" s="154" t="n"/>
      <c r="AL934" s="154" t="n"/>
      <c r="AM934" s="154" t="n"/>
      <c r="AN934" s="154" t="n"/>
      <c r="AO934" s="154" t="n"/>
      <c r="AP934" s="154" t="n"/>
      <c r="AQ934" s="154" t="n"/>
      <c r="AR934" s="154" t="n"/>
      <c r="AS934" s="154" t="n"/>
      <c r="AT934" s="154" t="n"/>
      <c r="AU934" s="154" t="n"/>
      <c r="AV934" s="154" t="n"/>
      <c r="AW934" s="154" t="n"/>
      <c r="AX934" s="154" t="n"/>
      <c r="AY934" s="154" t="n"/>
      <c r="AZ934" s="154" t="n"/>
      <c r="BA934" s="154" t="n"/>
      <c r="BB934" s="154" t="n"/>
      <c r="BC934" s="154" t="n"/>
      <c r="BD934" s="154" t="n"/>
      <c r="BE934" s="154" t="n"/>
      <c r="BF934" s="154" t="n"/>
      <c r="BG934" s="154" t="n"/>
      <c r="BH934" s="154" t="n"/>
    </row>
    <row r="935" ht="15.75" customHeight="1" s="251">
      <c r="A935" s="153" t="n"/>
      <c r="B935" s="154" t="n"/>
      <c r="C935" s="154" t="n"/>
      <c r="D935" s="154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  <c r="AA935" s="154" t="n"/>
      <c r="AB935" s="154" t="n"/>
      <c r="AC935" s="154" t="n"/>
      <c r="AD935" s="154" t="n"/>
      <c r="AE935" s="154" t="n"/>
      <c r="AF935" s="154" t="n"/>
      <c r="AG935" s="154" t="n"/>
      <c r="AH935" s="154" t="n"/>
      <c r="AI935" s="154" t="n"/>
      <c r="AJ935" s="154" t="n"/>
      <c r="AK935" s="154" t="n"/>
      <c r="AL935" s="154" t="n"/>
      <c r="AM935" s="154" t="n"/>
      <c r="AN935" s="154" t="n"/>
      <c r="AO935" s="154" t="n"/>
      <c r="AP935" s="154" t="n"/>
      <c r="AQ935" s="154" t="n"/>
      <c r="AR935" s="154" t="n"/>
      <c r="AS935" s="154" t="n"/>
      <c r="AT935" s="154" t="n"/>
      <c r="AU935" s="154" t="n"/>
      <c r="AV935" s="154" t="n"/>
      <c r="AW935" s="154" t="n"/>
      <c r="AX935" s="154" t="n"/>
      <c r="AY935" s="154" t="n"/>
      <c r="AZ935" s="154" t="n"/>
      <c r="BA935" s="154" t="n"/>
      <c r="BB935" s="154" t="n"/>
      <c r="BC935" s="154" t="n"/>
      <c r="BD935" s="154" t="n"/>
      <c r="BE935" s="154" t="n"/>
      <c r="BF935" s="154" t="n"/>
      <c r="BG935" s="154" t="n"/>
      <c r="BH935" s="154" t="n"/>
    </row>
    <row r="936" ht="15.75" customHeight="1" s="251">
      <c r="A936" s="153" t="n"/>
      <c r="B936" s="154" t="n"/>
      <c r="C936" s="154" t="n"/>
      <c r="D936" s="154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  <c r="AA936" s="154" t="n"/>
      <c r="AB936" s="154" t="n"/>
      <c r="AC936" s="154" t="n"/>
      <c r="AD936" s="154" t="n"/>
      <c r="AE936" s="154" t="n"/>
      <c r="AF936" s="154" t="n"/>
      <c r="AG936" s="154" t="n"/>
      <c r="AH936" s="154" t="n"/>
      <c r="AI936" s="154" t="n"/>
      <c r="AJ936" s="154" t="n"/>
      <c r="AK936" s="154" t="n"/>
      <c r="AL936" s="154" t="n"/>
      <c r="AM936" s="154" t="n"/>
      <c r="AN936" s="154" t="n"/>
      <c r="AO936" s="154" t="n"/>
      <c r="AP936" s="154" t="n"/>
      <c r="AQ936" s="154" t="n"/>
      <c r="AR936" s="154" t="n"/>
      <c r="AS936" s="154" t="n"/>
      <c r="AT936" s="154" t="n"/>
      <c r="AU936" s="154" t="n"/>
      <c r="AV936" s="154" t="n"/>
      <c r="AW936" s="154" t="n"/>
      <c r="AX936" s="154" t="n"/>
      <c r="AY936" s="154" t="n"/>
      <c r="AZ936" s="154" t="n"/>
      <c r="BA936" s="154" t="n"/>
      <c r="BB936" s="154" t="n"/>
      <c r="BC936" s="154" t="n"/>
      <c r="BD936" s="154" t="n"/>
      <c r="BE936" s="154" t="n"/>
      <c r="BF936" s="154" t="n"/>
      <c r="BG936" s="154" t="n"/>
      <c r="BH936" s="154" t="n"/>
    </row>
    <row r="937" ht="15.75" customHeight="1" s="251">
      <c r="A937" s="153" t="n"/>
      <c r="B937" s="154" t="n"/>
      <c r="C937" s="154" t="n"/>
      <c r="D937" s="154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  <c r="AA937" s="154" t="n"/>
      <c r="AB937" s="154" t="n"/>
      <c r="AC937" s="154" t="n"/>
      <c r="AD937" s="154" t="n"/>
      <c r="AE937" s="154" t="n"/>
      <c r="AF937" s="154" t="n"/>
      <c r="AG937" s="154" t="n"/>
      <c r="AH937" s="154" t="n"/>
      <c r="AI937" s="154" t="n"/>
      <c r="AJ937" s="154" t="n"/>
      <c r="AK937" s="154" t="n"/>
      <c r="AL937" s="154" t="n"/>
      <c r="AM937" s="154" t="n"/>
      <c r="AN937" s="154" t="n"/>
      <c r="AO937" s="154" t="n"/>
      <c r="AP937" s="154" t="n"/>
      <c r="AQ937" s="154" t="n"/>
      <c r="AR937" s="154" t="n"/>
      <c r="AS937" s="154" t="n"/>
      <c r="AT937" s="154" t="n"/>
      <c r="AU937" s="154" t="n"/>
      <c r="AV937" s="154" t="n"/>
      <c r="AW937" s="154" t="n"/>
      <c r="AX937" s="154" t="n"/>
      <c r="AY937" s="154" t="n"/>
      <c r="AZ937" s="154" t="n"/>
      <c r="BA937" s="154" t="n"/>
      <c r="BB937" s="154" t="n"/>
      <c r="BC937" s="154" t="n"/>
      <c r="BD937" s="154" t="n"/>
      <c r="BE937" s="154" t="n"/>
      <c r="BF937" s="154" t="n"/>
      <c r="BG937" s="154" t="n"/>
      <c r="BH937" s="154" t="n"/>
    </row>
    <row r="938" ht="15.75" customHeight="1" s="251">
      <c r="A938" s="153" t="n"/>
      <c r="B938" s="154" t="n"/>
      <c r="C938" s="154" t="n"/>
      <c r="D938" s="154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  <c r="AA938" s="154" t="n"/>
      <c r="AB938" s="154" t="n"/>
      <c r="AC938" s="154" t="n"/>
      <c r="AD938" s="154" t="n"/>
      <c r="AE938" s="154" t="n"/>
      <c r="AF938" s="154" t="n"/>
      <c r="AG938" s="154" t="n"/>
      <c r="AH938" s="154" t="n"/>
      <c r="AI938" s="154" t="n"/>
      <c r="AJ938" s="154" t="n"/>
      <c r="AK938" s="154" t="n"/>
      <c r="AL938" s="154" t="n"/>
      <c r="AM938" s="154" t="n"/>
      <c r="AN938" s="154" t="n"/>
      <c r="AO938" s="154" t="n"/>
      <c r="AP938" s="154" t="n"/>
      <c r="AQ938" s="154" t="n"/>
      <c r="AR938" s="154" t="n"/>
      <c r="AS938" s="154" t="n"/>
      <c r="AT938" s="154" t="n"/>
      <c r="AU938" s="154" t="n"/>
      <c r="AV938" s="154" t="n"/>
      <c r="AW938" s="154" t="n"/>
      <c r="AX938" s="154" t="n"/>
      <c r="AY938" s="154" t="n"/>
      <c r="AZ938" s="154" t="n"/>
      <c r="BA938" s="154" t="n"/>
      <c r="BB938" s="154" t="n"/>
      <c r="BC938" s="154" t="n"/>
      <c r="BD938" s="154" t="n"/>
      <c r="BE938" s="154" t="n"/>
      <c r="BF938" s="154" t="n"/>
      <c r="BG938" s="154" t="n"/>
      <c r="BH938" s="154" t="n"/>
    </row>
    <row r="939" ht="15.75" customHeight="1" s="251">
      <c r="A939" s="153" t="n"/>
      <c r="B939" s="154" t="n"/>
      <c r="C939" s="154" t="n"/>
      <c r="D939" s="154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  <c r="AA939" s="154" t="n"/>
      <c r="AB939" s="154" t="n"/>
      <c r="AC939" s="154" t="n"/>
      <c r="AD939" s="154" t="n"/>
      <c r="AE939" s="154" t="n"/>
      <c r="AF939" s="154" t="n"/>
      <c r="AG939" s="154" t="n"/>
      <c r="AH939" s="154" t="n"/>
      <c r="AI939" s="154" t="n"/>
      <c r="AJ939" s="154" t="n"/>
      <c r="AK939" s="154" t="n"/>
      <c r="AL939" s="154" t="n"/>
      <c r="AM939" s="154" t="n"/>
      <c r="AN939" s="154" t="n"/>
      <c r="AO939" s="154" t="n"/>
      <c r="AP939" s="154" t="n"/>
      <c r="AQ939" s="154" t="n"/>
      <c r="AR939" s="154" t="n"/>
      <c r="AS939" s="154" t="n"/>
      <c r="AT939" s="154" t="n"/>
      <c r="AU939" s="154" t="n"/>
      <c r="AV939" s="154" t="n"/>
      <c r="AW939" s="154" t="n"/>
      <c r="AX939" s="154" t="n"/>
      <c r="AY939" s="154" t="n"/>
      <c r="AZ939" s="154" t="n"/>
      <c r="BA939" s="154" t="n"/>
      <c r="BB939" s="154" t="n"/>
      <c r="BC939" s="154" t="n"/>
      <c r="BD939" s="154" t="n"/>
      <c r="BE939" s="154" t="n"/>
      <c r="BF939" s="154" t="n"/>
      <c r="BG939" s="154" t="n"/>
      <c r="BH939" s="154" t="n"/>
    </row>
    <row r="940" ht="15.75" customHeight="1" s="251">
      <c r="A940" s="153" t="n"/>
      <c r="B940" s="154" t="n"/>
      <c r="C940" s="154" t="n"/>
      <c r="D940" s="154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  <c r="AA940" s="154" t="n"/>
      <c r="AB940" s="154" t="n"/>
      <c r="AC940" s="154" t="n"/>
      <c r="AD940" s="154" t="n"/>
      <c r="AE940" s="154" t="n"/>
      <c r="AF940" s="154" t="n"/>
      <c r="AG940" s="154" t="n"/>
      <c r="AH940" s="154" t="n"/>
      <c r="AI940" s="154" t="n"/>
      <c r="AJ940" s="154" t="n"/>
      <c r="AK940" s="154" t="n"/>
      <c r="AL940" s="154" t="n"/>
      <c r="AM940" s="154" t="n"/>
      <c r="AN940" s="154" t="n"/>
      <c r="AO940" s="154" t="n"/>
      <c r="AP940" s="154" t="n"/>
      <c r="AQ940" s="154" t="n"/>
      <c r="AR940" s="154" t="n"/>
      <c r="AS940" s="154" t="n"/>
      <c r="AT940" s="154" t="n"/>
      <c r="AU940" s="154" t="n"/>
      <c r="AV940" s="154" t="n"/>
      <c r="AW940" s="154" t="n"/>
      <c r="AX940" s="154" t="n"/>
      <c r="AY940" s="154" t="n"/>
      <c r="AZ940" s="154" t="n"/>
      <c r="BA940" s="154" t="n"/>
      <c r="BB940" s="154" t="n"/>
      <c r="BC940" s="154" t="n"/>
      <c r="BD940" s="154" t="n"/>
      <c r="BE940" s="154" t="n"/>
      <c r="BF940" s="154" t="n"/>
      <c r="BG940" s="154" t="n"/>
      <c r="BH940" s="154" t="n"/>
    </row>
    <row r="941" ht="15.75" customHeight="1" s="251">
      <c r="A941" s="153" t="n"/>
      <c r="B941" s="154" t="n"/>
      <c r="C941" s="154" t="n"/>
      <c r="D941" s="154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  <c r="AA941" s="154" t="n"/>
      <c r="AB941" s="154" t="n"/>
      <c r="AC941" s="154" t="n"/>
      <c r="AD941" s="154" t="n"/>
      <c r="AE941" s="154" t="n"/>
      <c r="AF941" s="154" t="n"/>
      <c r="AG941" s="154" t="n"/>
      <c r="AH941" s="154" t="n"/>
      <c r="AI941" s="154" t="n"/>
      <c r="AJ941" s="154" t="n"/>
      <c r="AK941" s="154" t="n"/>
      <c r="AL941" s="154" t="n"/>
      <c r="AM941" s="154" t="n"/>
      <c r="AN941" s="154" t="n"/>
      <c r="AO941" s="154" t="n"/>
      <c r="AP941" s="154" t="n"/>
      <c r="AQ941" s="154" t="n"/>
      <c r="AR941" s="154" t="n"/>
      <c r="AS941" s="154" t="n"/>
      <c r="AT941" s="154" t="n"/>
      <c r="AU941" s="154" t="n"/>
      <c r="AV941" s="154" t="n"/>
      <c r="AW941" s="154" t="n"/>
      <c r="AX941" s="154" t="n"/>
      <c r="AY941" s="154" t="n"/>
      <c r="AZ941" s="154" t="n"/>
      <c r="BA941" s="154" t="n"/>
      <c r="BB941" s="154" t="n"/>
      <c r="BC941" s="154" t="n"/>
      <c r="BD941" s="154" t="n"/>
      <c r="BE941" s="154" t="n"/>
      <c r="BF941" s="154" t="n"/>
      <c r="BG941" s="154" t="n"/>
      <c r="BH941" s="154" t="n"/>
    </row>
    <row r="942" ht="15.75" customHeight="1" s="251">
      <c r="A942" s="153" t="n"/>
      <c r="B942" s="154" t="n"/>
      <c r="C942" s="154" t="n"/>
      <c r="D942" s="154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  <c r="AA942" s="154" t="n"/>
      <c r="AB942" s="154" t="n"/>
      <c r="AC942" s="154" t="n"/>
      <c r="AD942" s="154" t="n"/>
      <c r="AE942" s="154" t="n"/>
      <c r="AF942" s="154" t="n"/>
      <c r="AG942" s="154" t="n"/>
      <c r="AH942" s="154" t="n"/>
      <c r="AI942" s="154" t="n"/>
      <c r="AJ942" s="154" t="n"/>
      <c r="AK942" s="154" t="n"/>
      <c r="AL942" s="154" t="n"/>
      <c r="AM942" s="154" t="n"/>
      <c r="AN942" s="154" t="n"/>
      <c r="AO942" s="154" t="n"/>
      <c r="AP942" s="154" t="n"/>
      <c r="AQ942" s="154" t="n"/>
      <c r="AR942" s="154" t="n"/>
      <c r="AS942" s="154" t="n"/>
      <c r="AT942" s="154" t="n"/>
      <c r="AU942" s="154" t="n"/>
      <c r="AV942" s="154" t="n"/>
      <c r="AW942" s="154" t="n"/>
      <c r="AX942" s="154" t="n"/>
      <c r="AY942" s="154" t="n"/>
      <c r="AZ942" s="154" t="n"/>
      <c r="BA942" s="154" t="n"/>
      <c r="BB942" s="154" t="n"/>
      <c r="BC942" s="154" t="n"/>
      <c r="BD942" s="154" t="n"/>
      <c r="BE942" s="154" t="n"/>
      <c r="BF942" s="154" t="n"/>
      <c r="BG942" s="154" t="n"/>
      <c r="BH942" s="154" t="n"/>
    </row>
    <row r="943" ht="15.75" customHeight="1" s="251">
      <c r="A943" s="153" t="n"/>
      <c r="B943" s="154" t="n"/>
      <c r="C943" s="154" t="n"/>
      <c r="D943" s="154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  <c r="AA943" s="154" t="n"/>
      <c r="AB943" s="154" t="n"/>
      <c r="AC943" s="154" t="n"/>
      <c r="AD943" s="154" t="n"/>
      <c r="AE943" s="154" t="n"/>
      <c r="AF943" s="154" t="n"/>
      <c r="AG943" s="154" t="n"/>
      <c r="AH943" s="154" t="n"/>
      <c r="AI943" s="154" t="n"/>
      <c r="AJ943" s="154" t="n"/>
      <c r="AK943" s="154" t="n"/>
      <c r="AL943" s="154" t="n"/>
      <c r="AM943" s="154" t="n"/>
      <c r="AN943" s="154" t="n"/>
      <c r="AO943" s="154" t="n"/>
      <c r="AP943" s="154" t="n"/>
      <c r="AQ943" s="154" t="n"/>
      <c r="AR943" s="154" t="n"/>
      <c r="AS943" s="154" t="n"/>
      <c r="AT943" s="154" t="n"/>
      <c r="AU943" s="154" t="n"/>
      <c r="AV943" s="154" t="n"/>
      <c r="AW943" s="154" t="n"/>
      <c r="AX943" s="154" t="n"/>
      <c r="AY943" s="154" t="n"/>
      <c r="AZ943" s="154" t="n"/>
      <c r="BA943" s="154" t="n"/>
      <c r="BB943" s="154" t="n"/>
      <c r="BC943" s="154" t="n"/>
      <c r="BD943" s="154" t="n"/>
      <c r="BE943" s="154" t="n"/>
      <c r="BF943" s="154" t="n"/>
      <c r="BG943" s="154" t="n"/>
      <c r="BH943" s="154" t="n"/>
    </row>
    <row r="944" ht="15.75" customHeight="1" s="251">
      <c r="A944" s="153" t="n"/>
      <c r="B944" s="154" t="n"/>
      <c r="C944" s="154" t="n"/>
      <c r="D944" s="154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  <c r="AA944" s="154" t="n"/>
      <c r="AB944" s="154" t="n"/>
      <c r="AC944" s="154" t="n"/>
      <c r="AD944" s="154" t="n"/>
      <c r="AE944" s="154" t="n"/>
      <c r="AF944" s="154" t="n"/>
      <c r="AG944" s="154" t="n"/>
      <c r="AH944" s="154" t="n"/>
      <c r="AI944" s="154" t="n"/>
      <c r="AJ944" s="154" t="n"/>
      <c r="AK944" s="154" t="n"/>
      <c r="AL944" s="154" t="n"/>
      <c r="AM944" s="154" t="n"/>
      <c r="AN944" s="154" t="n"/>
      <c r="AO944" s="154" t="n"/>
      <c r="AP944" s="154" t="n"/>
      <c r="AQ944" s="154" t="n"/>
      <c r="AR944" s="154" t="n"/>
      <c r="AS944" s="154" t="n"/>
      <c r="AT944" s="154" t="n"/>
      <c r="AU944" s="154" t="n"/>
      <c r="AV944" s="154" t="n"/>
      <c r="AW944" s="154" t="n"/>
      <c r="AX944" s="154" t="n"/>
      <c r="AY944" s="154" t="n"/>
      <c r="AZ944" s="154" t="n"/>
      <c r="BA944" s="154" t="n"/>
      <c r="BB944" s="154" t="n"/>
      <c r="BC944" s="154" t="n"/>
      <c r="BD944" s="154" t="n"/>
      <c r="BE944" s="154" t="n"/>
      <c r="BF944" s="154" t="n"/>
      <c r="BG944" s="154" t="n"/>
      <c r="BH944" s="154" t="n"/>
    </row>
    <row r="945" ht="15.75" customHeight="1" s="251">
      <c r="A945" s="153" t="n"/>
      <c r="B945" s="154" t="n"/>
      <c r="C945" s="154" t="n"/>
      <c r="D945" s="154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  <c r="AA945" s="154" t="n"/>
      <c r="AB945" s="154" t="n"/>
      <c r="AC945" s="154" t="n"/>
      <c r="AD945" s="154" t="n"/>
      <c r="AE945" s="154" t="n"/>
      <c r="AF945" s="154" t="n"/>
      <c r="AG945" s="154" t="n"/>
      <c r="AH945" s="154" t="n"/>
      <c r="AI945" s="154" t="n"/>
      <c r="AJ945" s="154" t="n"/>
      <c r="AK945" s="154" t="n"/>
      <c r="AL945" s="154" t="n"/>
      <c r="AM945" s="154" t="n"/>
      <c r="AN945" s="154" t="n"/>
      <c r="AO945" s="154" t="n"/>
      <c r="AP945" s="154" t="n"/>
      <c r="AQ945" s="154" t="n"/>
      <c r="AR945" s="154" t="n"/>
      <c r="AS945" s="154" t="n"/>
      <c r="AT945" s="154" t="n"/>
      <c r="AU945" s="154" t="n"/>
      <c r="AV945" s="154" t="n"/>
      <c r="AW945" s="154" t="n"/>
      <c r="AX945" s="154" t="n"/>
      <c r="AY945" s="154" t="n"/>
      <c r="AZ945" s="154" t="n"/>
      <c r="BA945" s="154" t="n"/>
      <c r="BB945" s="154" t="n"/>
      <c r="BC945" s="154" t="n"/>
      <c r="BD945" s="154" t="n"/>
      <c r="BE945" s="154" t="n"/>
      <c r="BF945" s="154" t="n"/>
      <c r="BG945" s="154" t="n"/>
      <c r="BH945" s="154" t="n"/>
    </row>
    <row r="946" ht="15.75" customHeight="1" s="251">
      <c r="A946" s="153" t="n"/>
      <c r="B946" s="154" t="n"/>
      <c r="C946" s="154" t="n"/>
      <c r="D946" s="154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  <c r="AA946" s="154" t="n"/>
      <c r="AB946" s="154" t="n"/>
      <c r="AC946" s="154" t="n"/>
      <c r="AD946" s="154" t="n"/>
      <c r="AE946" s="154" t="n"/>
      <c r="AF946" s="154" t="n"/>
      <c r="AG946" s="154" t="n"/>
      <c r="AH946" s="154" t="n"/>
      <c r="AI946" s="154" t="n"/>
      <c r="AJ946" s="154" t="n"/>
      <c r="AK946" s="154" t="n"/>
      <c r="AL946" s="154" t="n"/>
      <c r="AM946" s="154" t="n"/>
      <c r="AN946" s="154" t="n"/>
      <c r="AO946" s="154" t="n"/>
      <c r="AP946" s="154" t="n"/>
      <c r="AQ946" s="154" t="n"/>
      <c r="AR946" s="154" t="n"/>
      <c r="AS946" s="154" t="n"/>
      <c r="AT946" s="154" t="n"/>
      <c r="AU946" s="154" t="n"/>
      <c r="AV946" s="154" t="n"/>
      <c r="AW946" s="154" t="n"/>
      <c r="AX946" s="154" t="n"/>
      <c r="AY946" s="154" t="n"/>
      <c r="AZ946" s="154" t="n"/>
      <c r="BA946" s="154" t="n"/>
      <c r="BB946" s="154" t="n"/>
      <c r="BC946" s="154" t="n"/>
      <c r="BD946" s="154" t="n"/>
      <c r="BE946" s="154" t="n"/>
      <c r="BF946" s="154" t="n"/>
      <c r="BG946" s="154" t="n"/>
      <c r="BH946" s="154" t="n"/>
    </row>
    <row r="947" ht="15.75" customHeight="1" s="251">
      <c r="A947" s="153" t="n"/>
      <c r="B947" s="154" t="n"/>
      <c r="C947" s="154" t="n"/>
      <c r="D947" s="154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  <c r="AA947" s="154" t="n"/>
      <c r="AB947" s="154" t="n"/>
      <c r="AC947" s="154" t="n"/>
      <c r="AD947" s="154" t="n"/>
      <c r="AE947" s="154" t="n"/>
      <c r="AF947" s="154" t="n"/>
      <c r="AG947" s="154" t="n"/>
      <c r="AH947" s="154" t="n"/>
      <c r="AI947" s="154" t="n"/>
      <c r="AJ947" s="154" t="n"/>
      <c r="AK947" s="154" t="n"/>
      <c r="AL947" s="154" t="n"/>
      <c r="AM947" s="154" t="n"/>
      <c r="AN947" s="154" t="n"/>
      <c r="AO947" s="154" t="n"/>
      <c r="AP947" s="154" t="n"/>
      <c r="AQ947" s="154" t="n"/>
      <c r="AR947" s="154" t="n"/>
      <c r="AS947" s="154" t="n"/>
      <c r="AT947" s="154" t="n"/>
      <c r="AU947" s="154" t="n"/>
      <c r="AV947" s="154" t="n"/>
      <c r="AW947" s="154" t="n"/>
      <c r="AX947" s="154" t="n"/>
      <c r="AY947" s="154" t="n"/>
      <c r="AZ947" s="154" t="n"/>
      <c r="BA947" s="154" t="n"/>
      <c r="BB947" s="154" t="n"/>
      <c r="BC947" s="154" t="n"/>
      <c r="BD947" s="154" t="n"/>
      <c r="BE947" s="154" t="n"/>
      <c r="BF947" s="154" t="n"/>
      <c r="BG947" s="154" t="n"/>
      <c r="BH947" s="154" t="n"/>
    </row>
    <row r="948" ht="15.75" customHeight="1" s="251">
      <c r="A948" s="153" t="n"/>
      <c r="B948" s="154" t="n"/>
      <c r="C948" s="154" t="n"/>
      <c r="D948" s="154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  <c r="AA948" s="154" t="n"/>
      <c r="AB948" s="154" t="n"/>
      <c r="AC948" s="154" t="n"/>
      <c r="AD948" s="154" t="n"/>
      <c r="AE948" s="154" t="n"/>
      <c r="AF948" s="154" t="n"/>
      <c r="AG948" s="154" t="n"/>
      <c r="AH948" s="154" t="n"/>
      <c r="AI948" s="154" t="n"/>
      <c r="AJ948" s="154" t="n"/>
      <c r="AK948" s="154" t="n"/>
      <c r="AL948" s="154" t="n"/>
      <c r="AM948" s="154" t="n"/>
      <c r="AN948" s="154" t="n"/>
      <c r="AO948" s="154" t="n"/>
      <c r="AP948" s="154" t="n"/>
      <c r="AQ948" s="154" t="n"/>
      <c r="AR948" s="154" t="n"/>
      <c r="AS948" s="154" t="n"/>
      <c r="AT948" s="154" t="n"/>
      <c r="AU948" s="154" t="n"/>
      <c r="AV948" s="154" t="n"/>
      <c r="AW948" s="154" t="n"/>
      <c r="AX948" s="154" t="n"/>
      <c r="AY948" s="154" t="n"/>
      <c r="AZ948" s="154" t="n"/>
      <c r="BA948" s="154" t="n"/>
      <c r="BB948" s="154" t="n"/>
      <c r="BC948" s="154" t="n"/>
      <c r="BD948" s="154" t="n"/>
      <c r="BE948" s="154" t="n"/>
      <c r="BF948" s="154" t="n"/>
      <c r="BG948" s="154" t="n"/>
      <c r="BH948" s="154" t="n"/>
    </row>
    <row r="949" ht="15.75" customHeight="1" s="251">
      <c r="A949" s="153" t="n"/>
      <c r="B949" s="154" t="n"/>
      <c r="C949" s="154" t="n"/>
      <c r="D949" s="154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  <c r="AA949" s="154" t="n"/>
      <c r="AB949" s="154" t="n"/>
      <c r="AC949" s="154" t="n"/>
      <c r="AD949" s="154" t="n"/>
      <c r="AE949" s="154" t="n"/>
      <c r="AF949" s="154" t="n"/>
      <c r="AG949" s="154" t="n"/>
      <c r="AH949" s="154" t="n"/>
      <c r="AI949" s="154" t="n"/>
      <c r="AJ949" s="154" t="n"/>
      <c r="AK949" s="154" t="n"/>
      <c r="AL949" s="154" t="n"/>
      <c r="AM949" s="154" t="n"/>
      <c r="AN949" s="154" t="n"/>
      <c r="AO949" s="154" t="n"/>
      <c r="AP949" s="154" t="n"/>
      <c r="AQ949" s="154" t="n"/>
      <c r="AR949" s="154" t="n"/>
      <c r="AS949" s="154" t="n"/>
      <c r="AT949" s="154" t="n"/>
      <c r="AU949" s="154" t="n"/>
      <c r="AV949" s="154" t="n"/>
      <c r="AW949" s="154" t="n"/>
      <c r="AX949" s="154" t="n"/>
      <c r="AY949" s="154" t="n"/>
      <c r="AZ949" s="154" t="n"/>
      <c r="BA949" s="154" t="n"/>
      <c r="BB949" s="154" t="n"/>
      <c r="BC949" s="154" t="n"/>
      <c r="BD949" s="154" t="n"/>
      <c r="BE949" s="154" t="n"/>
      <c r="BF949" s="154" t="n"/>
      <c r="BG949" s="154" t="n"/>
      <c r="BH949" s="154" t="n"/>
    </row>
    <row r="950" ht="15.75" customHeight="1" s="251">
      <c r="A950" s="153" t="n"/>
      <c r="B950" s="154" t="n"/>
      <c r="C950" s="154" t="n"/>
      <c r="D950" s="154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  <c r="AA950" s="154" t="n"/>
      <c r="AB950" s="154" t="n"/>
      <c r="AC950" s="154" t="n"/>
      <c r="AD950" s="154" t="n"/>
      <c r="AE950" s="154" t="n"/>
      <c r="AF950" s="154" t="n"/>
      <c r="AG950" s="154" t="n"/>
      <c r="AH950" s="154" t="n"/>
      <c r="AI950" s="154" t="n"/>
      <c r="AJ950" s="154" t="n"/>
      <c r="AK950" s="154" t="n"/>
      <c r="AL950" s="154" t="n"/>
      <c r="AM950" s="154" t="n"/>
      <c r="AN950" s="154" t="n"/>
      <c r="AO950" s="154" t="n"/>
      <c r="AP950" s="154" t="n"/>
      <c r="AQ950" s="154" t="n"/>
      <c r="AR950" s="154" t="n"/>
      <c r="AS950" s="154" t="n"/>
      <c r="AT950" s="154" t="n"/>
      <c r="AU950" s="154" t="n"/>
      <c r="AV950" s="154" t="n"/>
      <c r="AW950" s="154" t="n"/>
      <c r="AX950" s="154" t="n"/>
      <c r="AY950" s="154" t="n"/>
      <c r="AZ950" s="154" t="n"/>
      <c r="BA950" s="154" t="n"/>
      <c r="BB950" s="154" t="n"/>
      <c r="BC950" s="154" t="n"/>
      <c r="BD950" s="154" t="n"/>
      <c r="BE950" s="154" t="n"/>
      <c r="BF950" s="154" t="n"/>
      <c r="BG950" s="154" t="n"/>
      <c r="BH950" s="154" t="n"/>
    </row>
    <row r="951" ht="15.75" customHeight="1" s="251">
      <c r="A951" s="153" t="n"/>
      <c r="B951" s="154" t="n"/>
      <c r="C951" s="154" t="n"/>
      <c r="D951" s="154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  <c r="AA951" s="154" t="n"/>
      <c r="AB951" s="154" t="n"/>
      <c r="AC951" s="154" t="n"/>
      <c r="AD951" s="154" t="n"/>
      <c r="AE951" s="154" t="n"/>
      <c r="AF951" s="154" t="n"/>
      <c r="AG951" s="154" t="n"/>
      <c r="AH951" s="154" t="n"/>
      <c r="AI951" s="154" t="n"/>
      <c r="AJ951" s="154" t="n"/>
      <c r="AK951" s="154" t="n"/>
      <c r="AL951" s="154" t="n"/>
      <c r="AM951" s="154" t="n"/>
      <c r="AN951" s="154" t="n"/>
      <c r="AO951" s="154" t="n"/>
      <c r="AP951" s="154" t="n"/>
      <c r="AQ951" s="154" t="n"/>
      <c r="AR951" s="154" t="n"/>
      <c r="AS951" s="154" t="n"/>
      <c r="AT951" s="154" t="n"/>
      <c r="AU951" s="154" t="n"/>
      <c r="AV951" s="154" t="n"/>
      <c r="AW951" s="154" t="n"/>
      <c r="AX951" s="154" t="n"/>
      <c r="AY951" s="154" t="n"/>
      <c r="AZ951" s="154" t="n"/>
      <c r="BA951" s="154" t="n"/>
      <c r="BB951" s="154" t="n"/>
      <c r="BC951" s="154" t="n"/>
      <c r="BD951" s="154" t="n"/>
      <c r="BE951" s="154" t="n"/>
      <c r="BF951" s="154" t="n"/>
      <c r="BG951" s="154" t="n"/>
      <c r="BH951" s="154" t="n"/>
    </row>
    <row r="952" ht="15.75" customHeight="1" s="251">
      <c r="A952" s="153" t="n"/>
      <c r="B952" s="154" t="n"/>
      <c r="C952" s="154" t="n"/>
      <c r="D952" s="154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  <c r="AA952" s="154" t="n"/>
      <c r="AB952" s="154" t="n"/>
      <c r="AC952" s="154" t="n"/>
      <c r="AD952" s="154" t="n"/>
      <c r="AE952" s="154" t="n"/>
      <c r="AF952" s="154" t="n"/>
      <c r="AG952" s="154" t="n"/>
      <c r="AH952" s="154" t="n"/>
      <c r="AI952" s="154" t="n"/>
      <c r="AJ952" s="154" t="n"/>
      <c r="AK952" s="154" t="n"/>
      <c r="AL952" s="154" t="n"/>
      <c r="AM952" s="154" t="n"/>
      <c r="AN952" s="154" t="n"/>
      <c r="AO952" s="154" t="n"/>
      <c r="AP952" s="154" t="n"/>
      <c r="AQ952" s="154" t="n"/>
      <c r="AR952" s="154" t="n"/>
      <c r="AS952" s="154" t="n"/>
      <c r="AT952" s="154" t="n"/>
      <c r="AU952" s="154" t="n"/>
      <c r="AV952" s="154" t="n"/>
      <c r="AW952" s="154" t="n"/>
      <c r="AX952" s="154" t="n"/>
      <c r="AY952" s="154" t="n"/>
      <c r="AZ952" s="154" t="n"/>
      <c r="BA952" s="154" t="n"/>
      <c r="BB952" s="154" t="n"/>
      <c r="BC952" s="154" t="n"/>
      <c r="BD952" s="154" t="n"/>
      <c r="BE952" s="154" t="n"/>
      <c r="BF952" s="154" t="n"/>
      <c r="BG952" s="154" t="n"/>
      <c r="BH952" s="154" t="n"/>
    </row>
    <row r="953" ht="15.75" customHeight="1" s="251">
      <c r="A953" s="153" t="n"/>
      <c r="B953" s="154" t="n"/>
      <c r="C953" s="154" t="n"/>
      <c r="D953" s="154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  <c r="AA953" s="154" t="n"/>
      <c r="AB953" s="154" t="n"/>
      <c r="AC953" s="154" t="n"/>
      <c r="AD953" s="154" t="n"/>
      <c r="AE953" s="154" t="n"/>
      <c r="AF953" s="154" t="n"/>
      <c r="AG953" s="154" t="n"/>
      <c r="AH953" s="154" t="n"/>
      <c r="AI953" s="154" t="n"/>
      <c r="AJ953" s="154" t="n"/>
      <c r="AK953" s="154" t="n"/>
      <c r="AL953" s="154" t="n"/>
      <c r="AM953" s="154" t="n"/>
      <c r="AN953" s="154" t="n"/>
      <c r="AO953" s="154" t="n"/>
      <c r="AP953" s="154" t="n"/>
      <c r="AQ953" s="154" t="n"/>
      <c r="AR953" s="154" t="n"/>
      <c r="AS953" s="154" t="n"/>
      <c r="AT953" s="154" t="n"/>
      <c r="AU953" s="154" t="n"/>
      <c r="AV953" s="154" t="n"/>
      <c r="AW953" s="154" t="n"/>
      <c r="AX953" s="154" t="n"/>
      <c r="AY953" s="154" t="n"/>
      <c r="AZ953" s="154" t="n"/>
      <c r="BA953" s="154" t="n"/>
      <c r="BB953" s="154" t="n"/>
      <c r="BC953" s="154" t="n"/>
      <c r="BD953" s="154" t="n"/>
      <c r="BE953" s="154" t="n"/>
      <c r="BF953" s="154" t="n"/>
      <c r="BG953" s="154" t="n"/>
      <c r="BH953" s="154" t="n"/>
    </row>
    <row r="954" ht="15.75" customHeight="1" s="251">
      <c r="A954" s="153" t="n"/>
      <c r="B954" s="154" t="n"/>
      <c r="C954" s="154" t="n"/>
      <c r="D954" s="154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  <c r="AA954" s="154" t="n"/>
      <c r="AB954" s="154" t="n"/>
      <c r="AC954" s="154" t="n"/>
      <c r="AD954" s="154" t="n"/>
      <c r="AE954" s="154" t="n"/>
      <c r="AF954" s="154" t="n"/>
      <c r="AG954" s="154" t="n"/>
      <c r="AH954" s="154" t="n"/>
      <c r="AI954" s="154" t="n"/>
      <c r="AJ954" s="154" t="n"/>
      <c r="AK954" s="154" t="n"/>
      <c r="AL954" s="154" t="n"/>
      <c r="AM954" s="154" t="n"/>
      <c r="AN954" s="154" t="n"/>
      <c r="AO954" s="154" t="n"/>
      <c r="AP954" s="154" t="n"/>
      <c r="AQ954" s="154" t="n"/>
      <c r="AR954" s="154" t="n"/>
      <c r="AS954" s="154" t="n"/>
      <c r="AT954" s="154" t="n"/>
      <c r="AU954" s="154" t="n"/>
      <c r="AV954" s="154" t="n"/>
      <c r="AW954" s="154" t="n"/>
      <c r="AX954" s="154" t="n"/>
      <c r="AY954" s="154" t="n"/>
      <c r="AZ954" s="154" t="n"/>
      <c r="BA954" s="154" t="n"/>
      <c r="BB954" s="154" t="n"/>
      <c r="BC954" s="154" t="n"/>
      <c r="BD954" s="154" t="n"/>
      <c r="BE954" s="154" t="n"/>
      <c r="BF954" s="154" t="n"/>
      <c r="BG954" s="154" t="n"/>
      <c r="BH954" s="154" t="n"/>
    </row>
    <row r="955" ht="15.75" customHeight="1" s="251">
      <c r="A955" s="153" t="n"/>
      <c r="B955" s="154" t="n"/>
      <c r="C955" s="154" t="n"/>
      <c r="D955" s="154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  <c r="AA955" s="154" t="n"/>
      <c r="AB955" s="154" t="n"/>
      <c r="AC955" s="154" t="n"/>
      <c r="AD955" s="154" t="n"/>
      <c r="AE955" s="154" t="n"/>
      <c r="AF955" s="154" t="n"/>
      <c r="AG955" s="154" t="n"/>
      <c r="AH955" s="154" t="n"/>
      <c r="AI955" s="154" t="n"/>
      <c r="AJ955" s="154" t="n"/>
      <c r="AK955" s="154" t="n"/>
      <c r="AL955" s="154" t="n"/>
      <c r="AM955" s="154" t="n"/>
      <c r="AN955" s="154" t="n"/>
      <c r="AO955" s="154" t="n"/>
      <c r="AP955" s="154" t="n"/>
      <c r="AQ955" s="154" t="n"/>
      <c r="AR955" s="154" t="n"/>
      <c r="AS955" s="154" t="n"/>
      <c r="AT955" s="154" t="n"/>
      <c r="AU955" s="154" t="n"/>
      <c r="AV955" s="154" t="n"/>
      <c r="AW955" s="154" t="n"/>
      <c r="AX955" s="154" t="n"/>
      <c r="AY955" s="154" t="n"/>
      <c r="AZ955" s="154" t="n"/>
      <c r="BA955" s="154" t="n"/>
      <c r="BB955" s="154" t="n"/>
      <c r="BC955" s="154" t="n"/>
      <c r="BD955" s="154" t="n"/>
      <c r="BE955" s="154" t="n"/>
      <c r="BF955" s="154" t="n"/>
      <c r="BG955" s="154" t="n"/>
      <c r="BH955" s="154" t="n"/>
    </row>
    <row r="956" ht="15.75" customHeight="1" s="251">
      <c r="A956" s="153" t="n"/>
      <c r="B956" s="154" t="n"/>
      <c r="C956" s="154" t="n"/>
      <c r="D956" s="154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  <c r="AA956" s="154" t="n"/>
      <c r="AB956" s="154" t="n"/>
      <c r="AC956" s="154" t="n"/>
      <c r="AD956" s="154" t="n"/>
      <c r="AE956" s="154" t="n"/>
      <c r="AF956" s="154" t="n"/>
      <c r="AG956" s="154" t="n"/>
      <c r="AH956" s="154" t="n"/>
      <c r="AI956" s="154" t="n"/>
      <c r="AJ956" s="154" t="n"/>
      <c r="AK956" s="154" t="n"/>
      <c r="AL956" s="154" t="n"/>
      <c r="AM956" s="154" t="n"/>
      <c r="AN956" s="154" t="n"/>
      <c r="AO956" s="154" t="n"/>
      <c r="AP956" s="154" t="n"/>
      <c r="AQ956" s="154" t="n"/>
      <c r="AR956" s="154" t="n"/>
      <c r="AS956" s="154" t="n"/>
      <c r="AT956" s="154" t="n"/>
      <c r="AU956" s="154" t="n"/>
      <c r="AV956" s="154" t="n"/>
      <c r="AW956" s="154" t="n"/>
      <c r="AX956" s="154" t="n"/>
      <c r="AY956" s="154" t="n"/>
      <c r="AZ956" s="154" t="n"/>
      <c r="BA956" s="154" t="n"/>
      <c r="BB956" s="154" t="n"/>
      <c r="BC956" s="154" t="n"/>
      <c r="BD956" s="154" t="n"/>
      <c r="BE956" s="154" t="n"/>
      <c r="BF956" s="154" t="n"/>
      <c r="BG956" s="154" t="n"/>
      <c r="BH956" s="154" t="n"/>
    </row>
    <row r="957" ht="15.75" customHeight="1" s="251">
      <c r="A957" s="153" t="n"/>
      <c r="B957" s="154" t="n"/>
      <c r="C957" s="154" t="n"/>
      <c r="D957" s="154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  <c r="AA957" s="154" t="n"/>
      <c r="AB957" s="154" t="n"/>
      <c r="AC957" s="154" t="n"/>
      <c r="AD957" s="154" t="n"/>
      <c r="AE957" s="154" t="n"/>
      <c r="AF957" s="154" t="n"/>
      <c r="AG957" s="154" t="n"/>
      <c r="AH957" s="154" t="n"/>
      <c r="AI957" s="154" t="n"/>
      <c r="AJ957" s="154" t="n"/>
      <c r="AK957" s="154" t="n"/>
      <c r="AL957" s="154" t="n"/>
      <c r="AM957" s="154" t="n"/>
      <c r="AN957" s="154" t="n"/>
      <c r="AO957" s="154" t="n"/>
      <c r="AP957" s="154" t="n"/>
      <c r="AQ957" s="154" t="n"/>
      <c r="AR957" s="154" t="n"/>
      <c r="AS957" s="154" t="n"/>
      <c r="AT957" s="154" t="n"/>
      <c r="AU957" s="154" t="n"/>
      <c r="AV957" s="154" t="n"/>
      <c r="AW957" s="154" t="n"/>
      <c r="AX957" s="154" t="n"/>
      <c r="AY957" s="154" t="n"/>
      <c r="AZ957" s="154" t="n"/>
      <c r="BA957" s="154" t="n"/>
      <c r="BB957" s="154" t="n"/>
      <c r="BC957" s="154" t="n"/>
      <c r="BD957" s="154" t="n"/>
      <c r="BE957" s="154" t="n"/>
      <c r="BF957" s="154" t="n"/>
      <c r="BG957" s="154" t="n"/>
      <c r="BH957" s="154" t="n"/>
    </row>
    <row r="958" ht="15.75" customHeight="1" s="251">
      <c r="A958" s="153" t="n"/>
      <c r="B958" s="154" t="n"/>
      <c r="C958" s="154" t="n"/>
      <c r="D958" s="154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  <c r="AA958" s="154" t="n"/>
      <c r="AB958" s="154" t="n"/>
      <c r="AC958" s="154" t="n"/>
      <c r="AD958" s="154" t="n"/>
      <c r="AE958" s="154" t="n"/>
      <c r="AF958" s="154" t="n"/>
      <c r="AG958" s="154" t="n"/>
      <c r="AH958" s="154" t="n"/>
      <c r="AI958" s="154" t="n"/>
      <c r="AJ958" s="154" t="n"/>
      <c r="AK958" s="154" t="n"/>
      <c r="AL958" s="154" t="n"/>
      <c r="AM958" s="154" t="n"/>
      <c r="AN958" s="154" t="n"/>
      <c r="AO958" s="154" t="n"/>
      <c r="AP958" s="154" t="n"/>
      <c r="AQ958" s="154" t="n"/>
      <c r="AR958" s="154" t="n"/>
      <c r="AS958" s="154" t="n"/>
      <c r="AT958" s="154" t="n"/>
      <c r="AU958" s="154" t="n"/>
      <c r="AV958" s="154" t="n"/>
      <c r="AW958" s="154" t="n"/>
      <c r="AX958" s="154" t="n"/>
      <c r="AY958" s="154" t="n"/>
      <c r="AZ958" s="154" t="n"/>
      <c r="BA958" s="154" t="n"/>
      <c r="BB958" s="154" t="n"/>
      <c r="BC958" s="154" t="n"/>
      <c r="BD958" s="154" t="n"/>
      <c r="BE958" s="154" t="n"/>
      <c r="BF958" s="154" t="n"/>
      <c r="BG958" s="154" t="n"/>
      <c r="BH958" s="154" t="n"/>
    </row>
    <row r="959" ht="15.75" customHeight="1" s="251">
      <c r="A959" s="153" t="n"/>
      <c r="B959" s="154" t="n"/>
      <c r="C959" s="154" t="n"/>
      <c r="D959" s="154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  <c r="AA959" s="154" t="n"/>
      <c r="AB959" s="154" t="n"/>
      <c r="AC959" s="154" t="n"/>
      <c r="AD959" s="154" t="n"/>
      <c r="AE959" s="154" t="n"/>
      <c r="AF959" s="154" t="n"/>
      <c r="AG959" s="154" t="n"/>
      <c r="AH959" s="154" t="n"/>
      <c r="AI959" s="154" t="n"/>
      <c r="AJ959" s="154" t="n"/>
      <c r="AK959" s="154" t="n"/>
      <c r="AL959" s="154" t="n"/>
      <c r="AM959" s="154" t="n"/>
      <c r="AN959" s="154" t="n"/>
      <c r="AO959" s="154" t="n"/>
      <c r="AP959" s="154" t="n"/>
      <c r="AQ959" s="154" t="n"/>
      <c r="AR959" s="154" t="n"/>
      <c r="AS959" s="154" t="n"/>
      <c r="AT959" s="154" t="n"/>
      <c r="AU959" s="154" t="n"/>
      <c r="AV959" s="154" t="n"/>
      <c r="AW959" s="154" t="n"/>
      <c r="AX959" s="154" t="n"/>
      <c r="AY959" s="154" t="n"/>
      <c r="AZ959" s="154" t="n"/>
      <c r="BA959" s="154" t="n"/>
      <c r="BB959" s="154" t="n"/>
      <c r="BC959" s="154" t="n"/>
      <c r="BD959" s="154" t="n"/>
      <c r="BE959" s="154" t="n"/>
      <c r="BF959" s="154" t="n"/>
      <c r="BG959" s="154" t="n"/>
      <c r="BH959" s="154" t="n"/>
    </row>
    <row r="960" ht="15.75" customHeight="1" s="251">
      <c r="A960" s="153" t="n"/>
      <c r="B960" s="154" t="n"/>
      <c r="C960" s="154" t="n"/>
      <c r="D960" s="154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  <c r="AA960" s="154" t="n"/>
      <c r="AB960" s="154" t="n"/>
      <c r="AC960" s="154" t="n"/>
      <c r="AD960" s="154" t="n"/>
      <c r="AE960" s="154" t="n"/>
      <c r="AF960" s="154" t="n"/>
      <c r="AG960" s="154" t="n"/>
      <c r="AH960" s="154" t="n"/>
      <c r="AI960" s="154" t="n"/>
      <c r="AJ960" s="154" t="n"/>
      <c r="AK960" s="154" t="n"/>
      <c r="AL960" s="154" t="n"/>
      <c r="AM960" s="154" t="n"/>
      <c r="AN960" s="154" t="n"/>
      <c r="AO960" s="154" t="n"/>
      <c r="AP960" s="154" t="n"/>
      <c r="AQ960" s="154" t="n"/>
      <c r="AR960" s="154" t="n"/>
      <c r="AS960" s="154" t="n"/>
      <c r="AT960" s="154" t="n"/>
      <c r="AU960" s="154" t="n"/>
      <c r="AV960" s="154" t="n"/>
      <c r="AW960" s="154" t="n"/>
      <c r="AX960" s="154" t="n"/>
      <c r="AY960" s="154" t="n"/>
      <c r="AZ960" s="154" t="n"/>
      <c r="BA960" s="154" t="n"/>
      <c r="BB960" s="154" t="n"/>
      <c r="BC960" s="154" t="n"/>
      <c r="BD960" s="154" t="n"/>
      <c r="BE960" s="154" t="n"/>
      <c r="BF960" s="154" t="n"/>
      <c r="BG960" s="154" t="n"/>
      <c r="BH960" s="154" t="n"/>
    </row>
    <row r="961" ht="15.75" customHeight="1" s="251">
      <c r="A961" s="153" t="n"/>
      <c r="B961" s="154" t="n"/>
      <c r="C961" s="154" t="n"/>
      <c r="D961" s="154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  <c r="AA961" s="154" t="n"/>
      <c r="AB961" s="154" t="n"/>
      <c r="AC961" s="154" t="n"/>
      <c r="AD961" s="154" t="n"/>
      <c r="AE961" s="154" t="n"/>
      <c r="AF961" s="154" t="n"/>
      <c r="AG961" s="154" t="n"/>
      <c r="AH961" s="154" t="n"/>
      <c r="AI961" s="154" t="n"/>
      <c r="AJ961" s="154" t="n"/>
      <c r="AK961" s="154" t="n"/>
      <c r="AL961" s="154" t="n"/>
      <c r="AM961" s="154" t="n"/>
      <c r="AN961" s="154" t="n"/>
      <c r="AO961" s="154" t="n"/>
      <c r="AP961" s="154" t="n"/>
      <c r="AQ961" s="154" t="n"/>
      <c r="AR961" s="154" t="n"/>
      <c r="AS961" s="154" t="n"/>
      <c r="AT961" s="154" t="n"/>
      <c r="AU961" s="154" t="n"/>
      <c r="AV961" s="154" t="n"/>
      <c r="AW961" s="154" t="n"/>
      <c r="AX961" s="154" t="n"/>
      <c r="AY961" s="154" t="n"/>
      <c r="AZ961" s="154" t="n"/>
      <c r="BA961" s="154" t="n"/>
      <c r="BB961" s="154" t="n"/>
      <c r="BC961" s="154" t="n"/>
      <c r="BD961" s="154" t="n"/>
      <c r="BE961" s="154" t="n"/>
      <c r="BF961" s="154" t="n"/>
      <c r="BG961" s="154" t="n"/>
      <c r="BH961" s="154" t="n"/>
    </row>
    <row r="962" ht="15.75" customHeight="1" s="251">
      <c r="A962" s="153" t="n"/>
      <c r="B962" s="154" t="n"/>
      <c r="C962" s="154" t="n"/>
      <c r="D962" s="154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  <c r="AA962" s="154" t="n"/>
      <c r="AB962" s="154" t="n"/>
      <c r="AC962" s="154" t="n"/>
      <c r="AD962" s="154" t="n"/>
      <c r="AE962" s="154" t="n"/>
      <c r="AF962" s="154" t="n"/>
      <c r="AG962" s="154" t="n"/>
      <c r="AH962" s="154" t="n"/>
      <c r="AI962" s="154" t="n"/>
      <c r="AJ962" s="154" t="n"/>
      <c r="AK962" s="154" t="n"/>
      <c r="AL962" s="154" t="n"/>
      <c r="AM962" s="154" t="n"/>
      <c r="AN962" s="154" t="n"/>
      <c r="AO962" s="154" t="n"/>
      <c r="AP962" s="154" t="n"/>
      <c r="AQ962" s="154" t="n"/>
      <c r="AR962" s="154" t="n"/>
      <c r="AS962" s="154" t="n"/>
      <c r="AT962" s="154" t="n"/>
      <c r="AU962" s="154" t="n"/>
      <c r="AV962" s="154" t="n"/>
      <c r="AW962" s="154" t="n"/>
      <c r="AX962" s="154" t="n"/>
      <c r="AY962" s="154" t="n"/>
      <c r="AZ962" s="154" t="n"/>
      <c r="BA962" s="154" t="n"/>
      <c r="BB962" s="154" t="n"/>
      <c r="BC962" s="154" t="n"/>
      <c r="BD962" s="154" t="n"/>
      <c r="BE962" s="154" t="n"/>
      <c r="BF962" s="154" t="n"/>
      <c r="BG962" s="154" t="n"/>
      <c r="BH962" s="154" t="n"/>
    </row>
    <row r="963" ht="15.75" customHeight="1" s="251">
      <c r="A963" s="153" t="n"/>
      <c r="B963" s="154" t="n"/>
      <c r="C963" s="154" t="n"/>
      <c r="D963" s="154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  <c r="AA963" s="154" t="n"/>
      <c r="AB963" s="154" t="n"/>
      <c r="AC963" s="154" t="n"/>
      <c r="AD963" s="154" t="n"/>
      <c r="AE963" s="154" t="n"/>
      <c r="AF963" s="154" t="n"/>
      <c r="AG963" s="154" t="n"/>
      <c r="AH963" s="154" t="n"/>
      <c r="AI963" s="154" t="n"/>
      <c r="AJ963" s="154" t="n"/>
      <c r="AK963" s="154" t="n"/>
      <c r="AL963" s="154" t="n"/>
      <c r="AM963" s="154" t="n"/>
      <c r="AN963" s="154" t="n"/>
      <c r="AO963" s="154" t="n"/>
      <c r="AP963" s="154" t="n"/>
      <c r="AQ963" s="154" t="n"/>
      <c r="AR963" s="154" t="n"/>
      <c r="AS963" s="154" t="n"/>
      <c r="AT963" s="154" t="n"/>
      <c r="AU963" s="154" t="n"/>
      <c r="AV963" s="154" t="n"/>
      <c r="AW963" s="154" t="n"/>
      <c r="AX963" s="154" t="n"/>
      <c r="AY963" s="154" t="n"/>
      <c r="AZ963" s="154" t="n"/>
      <c r="BA963" s="154" t="n"/>
      <c r="BB963" s="154" t="n"/>
      <c r="BC963" s="154" t="n"/>
      <c r="BD963" s="154" t="n"/>
      <c r="BE963" s="154" t="n"/>
      <c r="BF963" s="154" t="n"/>
      <c r="BG963" s="154" t="n"/>
      <c r="BH963" s="154" t="n"/>
    </row>
    <row r="964" ht="15.75" customHeight="1" s="251">
      <c r="A964" s="153" t="n"/>
      <c r="B964" s="154" t="n"/>
      <c r="C964" s="154" t="n"/>
      <c r="D964" s="154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  <c r="AA964" s="154" t="n"/>
      <c r="AB964" s="154" t="n"/>
      <c r="AC964" s="154" t="n"/>
      <c r="AD964" s="154" t="n"/>
      <c r="AE964" s="154" t="n"/>
      <c r="AF964" s="154" t="n"/>
      <c r="AG964" s="154" t="n"/>
      <c r="AH964" s="154" t="n"/>
      <c r="AI964" s="154" t="n"/>
      <c r="AJ964" s="154" t="n"/>
      <c r="AK964" s="154" t="n"/>
      <c r="AL964" s="154" t="n"/>
      <c r="AM964" s="154" t="n"/>
      <c r="AN964" s="154" t="n"/>
      <c r="AO964" s="154" t="n"/>
      <c r="AP964" s="154" t="n"/>
      <c r="AQ964" s="154" t="n"/>
      <c r="AR964" s="154" t="n"/>
      <c r="AS964" s="154" t="n"/>
      <c r="AT964" s="154" t="n"/>
      <c r="AU964" s="154" t="n"/>
      <c r="AV964" s="154" t="n"/>
      <c r="AW964" s="154" t="n"/>
      <c r="AX964" s="154" t="n"/>
      <c r="AY964" s="154" t="n"/>
      <c r="AZ964" s="154" t="n"/>
      <c r="BA964" s="154" t="n"/>
      <c r="BB964" s="154" t="n"/>
      <c r="BC964" s="154" t="n"/>
      <c r="BD964" s="154" t="n"/>
      <c r="BE964" s="154" t="n"/>
      <c r="BF964" s="154" t="n"/>
      <c r="BG964" s="154" t="n"/>
      <c r="BH964" s="154" t="n"/>
    </row>
    <row r="965" ht="15.75" customHeight="1" s="251">
      <c r="A965" s="153" t="n"/>
      <c r="B965" s="154" t="n"/>
      <c r="C965" s="154" t="n"/>
      <c r="D965" s="154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  <c r="AA965" s="154" t="n"/>
      <c r="AB965" s="154" t="n"/>
      <c r="AC965" s="154" t="n"/>
      <c r="AD965" s="154" t="n"/>
      <c r="AE965" s="154" t="n"/>
      <c r="AF965" s="154" t="n"/>
      <c r="AG965" s="154" t="n"/>
      <c r="AH965" s="154" t="n"/>
      <c r="AI965" s="154" t="n"/>
      <c r="AJ965" s="154" t="n"/>
      <c r="AK965" s="154" t="n"/>
      <c r="AL965" s="154" t="n"/>
      <c r="AM965" s="154" t="n"/>
      <c r="AN965" s="154" t="n"/>
      <c r="AO965" s="154" t="n"/>
      <c r="AP965" s="154" t="n"/>
      <c r="AQ965" s="154" t="n"/>
      <c r="AR965" s="154" t="n"/>
      <c r="AS965" s="154" t="n"/>
      <c r="AT965" s="154" t="n"/>
      <c r="AU965" s="154" t="n"/>
      <c r="AV965" s="154" t="n"/>
      <c r="AW965" s="154" t="n"/>
      <c r="AX965" s="154" t="n"/>
      <c r="AY965" s="154" t="n"/>
      <c r="AZ965" s="154" t="n"/>
      <c r="BA965" s="154" t="n"/>
      <c r="BB965" s="154" t="n"/>
      <c r="BC965" s="154" t="n"/>
      <c r="BD965" s="154" t="n"/>
      <c r="BE965" s="154" t="n"/>
      <c r="BF965" s="154" t="n"/>
      <c r="BG965" s="154" t="n"/>
      <c r="BH965" s="154" t="n"/>
    </row>
    <row r="966" ht="15.75" customHeight="1" s="251">
      <c r="A966" s="153" t="n"/>
      <c r="B966" s="154" t="n"/>
      <c r="C966" s="154" t="n"/>
      <c r="D966" s="154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  <c r="AA966" s="154" t="n"/>
      <c r="AB966" s="154" t="n"/>
      <c r="AC966" s="154" t="n"/>
      <c r="AD966" s="154" t="n"/>
      <c r="AE966" s="154" t="n"/>
      <c r="AF966" s="154" t="n"/>
      <c r="AG966" s="154" t="n"/>
      <c r="AH966" s="154" t="n"/>
      <c r="AI966" s="154" t="n"/>
      <c r="AJ966" s="154" t="n"/>
      <c r="AK966" s="154" t="n"/>
      <c r="AL966" s="154" t="n"/>
      <c r="AM966" s="154" t="n"/>
      <c r="AN966" s="154" t="n"/>
      <c r="AO966" s="154" t="n"/>
      <c r="AP966" s="154" t="n"/>
      <c r="AQ966" s="154" t="n"/>
      <c r="AR966" s="154" t="n"/>
      <c r="AS966" s="154" t="n"/>
      <c r="AT966" s="154" t="n"/>
      <c r="AU966" s="154" t="n"/>
      <c r="AV966" s="154" t="n"/>
      <c r="AW966" s="154" t="n"/>
      <c r="AX966" s="154" t="n"/>
      <c r="AY966" s="154" t="n"/>
      <c r="AZ966" s="154" t="n"/>
      <c r="BA966" s="154" t="n"/>
      <c r="BB966" s="154" t="n"/>
      <c r="BC966" s="154" t="n"/>
      <c r="BD966" s="154" t="n"/>
      <c r="BE966" s="154" t="n"/>
      <c r="BF966" s="154" t="n"/>
      <c r="BG966" s="154" t="n"/>
      <c r="BH966" s="154" t="n"/>
    </row>
    <row r="967" ht="15.75" customHeight="1" s="251">
      <c r="A967" s="153" t="n"/>
      <c r="B967" s="154" t="n"/>
      <c r="C967" s="154" t="n"/>
      <c r="D967" s="154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  <c r="AA967" s="154" t="n"/>
      <c r="AB967" s="154" t="n"/>
      <c r="AC967" s="154" t="n"/>
      <c r="AD967" s="154" t="n"/>
      <c r="AE967" s="154" t="n"/>
      <c r="AF967" s="154" t="n"/>
      <c r="AG967" s="154" t="n"/>
      <c r="AH967" s="154" t="n"/>
      <c r="AI967" s="154" t="n"/>
      <c r="AJ967" s="154" t="n"/>
      <c r="AK967" s="154" t="n"/>
      <c r="AL967" s="154" t="n"/>
      <c r="AM967" s="154" t="n"/>
      <c r="AN967" s="154" t="n"/>
      <c r="AO967" s="154" t="n"/>
      <c r="AP967" s="154" t="n"/>
      <c r="AQ967" s="154" t="n"/>
      <c r="AR967" s="154" t="n"/>
      <c r="AS967" s="154" t="n"/>
      <c r="AT967" s="154" t="n"/>
      <c r="AU967" s="154" t="n"/>
      <c r="AV967" s="154" t="n"/>
      <c r="AW967" s="154" t="n"/>
      <c r="AX967" s="154" t="n"/>
      <c r="AY967" s="154" t="n"/>
      <c r="AZ967" s="154" t="n"/>
      <c r="BA967" s="154" t="n"/>
      <c r="BB967" s="154" t="n"/>
      <c r="BC967" s="154" t="n"/>
      <c r="BD967" s="154" t="n"/>
      <c r="BE967" s="154" t="n"/>
      <c r="BF967" s="154" t="n"/>
      <c r="BG967" s="154" t="n"/>
      <c r="BH967" s="154" t="n"/>
    </row>
    <row r="968" ht="15.75" customHeight="1" s="251">
      <c r="A968" s="153" t="n"/>
      <c r="B968" s="154" t="n"/>
      <c r="C968" s="154" t="n"/>
      <c r="D968" s="154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  <c r="AA968" s="154" t="n"/>
      <c r="AB968" s="154" t="n"/>
      <c r="AC968" s="154" t="n"/>
      <c r="AD968" s="154" t="n"/>
      <c r="AE968" s="154" t="n"/>
      <c r="AF968" s="154" t="n"/>
      <c r="AG968" s="154" t="n"/>
      <c r="AH968" s="154" t="n"/>
      <c r="AI968" s="154" t="n"/>
      <c r="AJ968" s="154" t="n"/>
      <c r="AK968" s="154" t="n"/>
      <c r="AL968" s="154" t="n"/>
      <c r="AM968" s="154" t="n"/>
      <c r="AN968" s="154" t="n"/>
      <c r="AO968" s="154" t="n"/>
      <c r="AP968" s="154" t="n"/>
      <c r="AQ968" s="154" t="n"/>
      <c r="AR968" s="154" t="n"/>
      <c r="AS968" s="154" t="n"/>
      <c r="AT968" s="154" t="n"/>
      <c r="AU968" s="154" t="n"/>
      <c r="AV968" s="154" t="n"/>
      <c r="AW968" s="154" t="n"/>
      <c r="AX968" s="154" t="n"/>
      <c r="AY968" s="154" t="n"/>
      <c r="AZ968" s="154" t="n"/>
      <c r="BA968" s="154" t="n"/>
      <c r="BB968" s="154" t="n"/>
      <c r="BC968" s="154" t="n"/>
      <c r="BD968" s="154" t="n"/>
      <c r="BE968" s="154" t="n"/>
      <c r="BF968" s="154" t="n"/>
      <c r="BG968" s="154" t="n"/>
      <c r="BH968" s="154" t="n"/>
    </row>
    <row r="969" ht="15.75" customHeight="1" s="251">
      <c r="A969" s="153" t="n"/>
      <c r="B969" s="154" t="n"/>
      <c r="C969" s="154" t="n"/>
      <c r="D969" s="154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  <c r="AA969" s="154" t="n"/>
      <c r="AB969" s="154" t="n"/>
      <c r="AC969" s="154" t="n"/>
      <c r="AD969" s="154" t="n"/>
      <c r="AE969" s="154" t="n"/>
      <c r="AF969" s="154" t="n"/>
      <c r="AG969" s="154" t="n"/>
      <c r="AH969" s="154" t="n"/>
      <c r="AI969" s="154" t="n"/>
      <c r="AJ969" s="154" t="n"/>
      <c r="AK969" s="154" t="n"/>
      <c r="AL969" s="154" t="n"/>
      <c r="AM969" s="154" t="n"/>
      <c r="AN969" s="154" t="n"/>
      <c r="AO969" s="154" t="n"/>
      <c r="AP969" s="154" t="n"/>
      <c r="AQ969" s="154" t="n"/>
      <c r="AR969" s="154" t="n"/>
      <c r="AS969" s="154" t="n"/>
      <c r="AT969" s="154" t="n"/>
      <c r="AU969" s="154" t="n"/>
      <c r="AV969" s="154" t="n"/>
      <c r="AW969" s="154" t="n"/>
      <c r="AX969" s="154" t="n"/>
      <c r="AY969" s="154" t="n"/>
      <c r="AZ969" s="154" t="n"/>
      <c r="BA969" s="154" t="n"/>
      <c r="BB969" s="154" t="n"/>
      <c r="BC969" s="154" t="n"/>
      <c r="BD969" s="154" t="n"/>
      <c r="BE969" s="154" t="n"/>
      <c r="BF969" s="154" t="n"/>
      <c r="BG969" s="154" t="n"/>
      <c r="BH969" s="154" t="n"/>
    </row>
    <row r="970" ht="15.75" customHeight="1" s="251">
      <c r="A970" s="153" t="n"/>
      <c r="B970" s="154" t="n"/>
      <c r="C970" s="154" t="n"/>
      <c r="D970" s="154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  <c r="AA970" s="154" t="n"/>
      <c r="AB970" s="154" t="n"/>
      <c r="AC970" s="154" t="n"/>
      <c r="AD970" s="154" t="n"/>
      <c r="AE970" s="154" t="n"/>
      <c r="AF970" s="154" t="n"/>
      <c r="AG970" s="154" t="n"/>
      <c r="AH970" s="154" t="n"/>
      <c r="AI970" s="154" t="n"/>
      <c r="AJ970" s="154" t="n"/>
      <c r="AK970" s="154" t="n"/>
      <c r="AL970" s="154" t="n"/>
      <c r="AM970" s="154" t="n"/>
      <c r="AN970" s="154" t="n"/>
      <c r="AO970" s="154" t="n"/>
      <c r="AP970" s="154" t="n"/>
      <c r="AQ970" s="154" t="n"/>
      <c r="AR970" s="154" t="n"/>
      <c r="AS970" s="154" t="n"/>
      <c r="AT970" s="154" t="n"/>
      <c r="AU970" s="154" t="n"/>
      <c r="AV970" s="154" t="n"/>
      <c r="AW970" s="154" t="n"/>
      <c r="AX970" s="154" t="n"/>
      <c r="AY970" s="154" t="n"/>
      <c r="AZ970" s="154" t="n"/>
      <c r="BA970" s="154" t="n"/>
      <c r="BB970" s="154" t="n"/>
      <c r="BC970" s="154" t="n"/>
      <c r="BD970" s="154" t="n"/>
      <c r="BE970" s="154" t="n"/>
      <c r="BF970" s="154" t="n"/>
      <c r="BG970" s="154" t="n"/>
      <c r="BH970" s="154" t="n"/>
    </row>
    <row r="971" ht="15.75" customHeight="1" s="251">
      <c r="A971" s="153" t="n"/>
      <c r="B971" s="154" t="n"/>
      <c r="C971" s="154" t="n"/>
      <c r="D971" s="154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  <c r="AA971" s="154" t="n"/>
      <c r="AB971" s="154" t="n"/>
      <c r="AC971" s="154" t="n"/>
      <c r="AD971" s="154" t="n"/>
      <c r="AE971" s="154" t="n"/>
      <c r="AF971" s="154" t="n"/>
      <c r="AG971" s="154" t="n"/>
      <c r="AH971" s="154" t="n"/>
      <c r="AI971" s="154" t="n"/>
      <c r="AJ971" s="154" t="n"/>
      <c r="AK971" s="154" t="n"/>
      <c r="AL971" s="154" t="n"/>
      <c r="AM971" s="154" t="n"/>
      <c r="AN971" s="154" t="n"/>
      <c r="AO971" s="154" t="n"/>
      <c r="AP971" s="154" t="n"/>
      <c r="AQ971" s="154" t="n"/>
      <c r="AR971" s="154" t="n"/>
      <c r="AS971" s="154" t="n"/>
      <c r="AT971" s="154" t="n"/>
      <c r="AU971" s="154" t="n"/>
      <c r="AV971" s="154" t="n"/>
      <c r="AW971" s="154" t="n"/>
      <c r="AX971" s="154" t="n"/>
      <c r="AY971" s="154" t="n"/>
      <c r="AZ971" s="154" t="n"/>
      <c r="BA971" s="154" t="n"/>
      <c r="BB971" s="154" t="n"/>
      <c r="BC971" s="154" t="n"/>
      <c r="BD971" s="154" t="n"/>
      <c r="BE971" s="154" t="n"/>
      <c r="BF971" s="154" t="n"/>
      <c r="BG971" s="154" t="n"/>
      <c r="BH971" s="154" t="n"/>
    </row>
    <row r="972" ht="15.75" customHeight="1" s="251">
      <c r="A972" s="153" t="n"/>
      <c r="B972" s="154" t="n"/>
      <c r="C972" s="154" t="n"/>
      <c r="D972" s="154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  <c r="AA972" s="154" t="n"/>
      <c r="AB972" s="154" t="n"/>
      <c r="AC972" s="154" t="n"/>
      <c r="AD972" s="154" t="n"/>
      <c r="AE972" s="154" t="n"/>
      <c r="AF972" s="154" t="n"/>
      <c r="AG972" s="154" t="n"/>
      <c r="AH972" s="154" t="n"/>
      <c r="AI972" s="154" t="n"/>
      <c r="AJ972" s="154" t="n"/>
      <c r="AK972" s="154" t="n"/>
      <c r="AL972" s="154" t="n"/>
      <c r="AM972" s="154" t="n"/>
      <c r="AN972" s="154" t="n"/>
      <c r="AO972" s="154" t="n"/>
      <c r="AP972" s="154" t="n"/>
      <c r="AQ972" s="154" t="n"/>
      <c r="AR972" s="154" t="n"/>
      <c r="AS972" s="154" t="n"/>
      <c r="AT972" s="154" t="n"/>
      <c r="AU972" s="154" t="n"/>
      <c r="AV972" s="154" t="n"/>
      <c r="AW972" s="154" t="n"/>
      <c r="AX972" s="154" t="n"/>
      <c r="AY972" s="154" t="n"/>
      <c r="AZ972" s="154" t="n"/>
      <c r="BA972" s="154" t="n"/>
      <c r="BB972" s="154" t="n"/>
      <c r="BC972" s="154" t="n"/>
      <c r="BD972" s="154" t="n"/>
      <c r="BE972" s="154" t="n"/>
      <c r="BF972" s="154" t="n"/>
      <c r="BG972" s="154" t="n"/>
      <c r="BH972" s="154" t="n"/>
    </row>
    <row r="973" ht="15.75" customHeight="1" s="251">
      <c r="A973" s="153" t="n"/>
      <c r="B973" s="154" t="n"/>
      <c r="C973" s="154" t="n"/>
      <c r="D973" s="154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  <c r="AA973" s="154" t="n"/>
      <c r="AB973" s="154" t="n"/>
      <c r="AC973" s="154" t="n"/>
      <c r="AD973" s="154" t="n"/>
      <c r="AE973" s="154" t="n"/>
      <c r="AF973" s="154" t="n"/>
      <c r="AG973" s="154" t="n"/>
      <c r="AH973" s="154" t="n"/>
      <c r="AI973" s="154" t="n"/>
      <c r="AJ973" s="154" t="n"/>
      <c r="AK973" s="154" t="n"/>
      <c r="AL973" s="154" t="n"/>
      <c r="AM973" s="154" t="n"/>
      <c r="AN973" s="154" t="n"/>
      <c r="AO973" s="154" t="n"/>
      <c r="AP973" s="154" t="n"/>
      <c r="AQ973" s="154" t="n"/>
      <c r="AR973" s="154" t="n"/>
      <c r="AS973" s="154" t="n"/>
      <c r="AT973" s="154" t="n"/>
      <c r="AU973" s="154" t="n"/>
      <c r="AV973" s="154" t="n"/>
      <c r="AW973" s="154" t="n"/>
      <c r="AX973" s="154" t="n"/>
      <c r="AY973" s="154" t="n"/>
      <c r="AZ973" s="154" t="n"/>
      <c r="BA973" s="154" t="n"/>
      <c r="BB973" s="154" t="n"/>
      <c r="BC973" s="154" t="n"/>
      <c r="BD973" s="154" t="n"/>
      <c r="BE973" s="154" t="n"/>
      <c r="BF973" s="154" t="n"/>
      <c r="BG973" s="154" t="n"/>
      <c r="BH973" s="154" t="n"/>
    </row>
    <row r="974" ht="15.75" customHeight="1" s="251">
      <c r="A974" s="153" t="n"/>
      <c r="B974" s="154" t="n"/>
      <c r="C974" s="154" t="n"/>
      <c r="D974" s="154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  <c r="AA974" s="154" t="n"/>
      <c r="AB974" s="154" t="n"/>
      <c r="AC974" s="154" t="n"/>
      <c r="AD974" s="154" t="n"/>
      <c r="AE974" s="154" t="n"/>
      <c r="AF974" s="154" t="n"/>
      <c r="AG974" s="154" t="n"/>
      <c r="AH974" s="154" t="n"/>
      <c r="AI974" s="154" t="n"/>
      <c r="AJ974" s="154" t="n"/>
      <c r="AK974" s="154" t="n"/>
      <c r="AL974" s="154" t="n"/>
      <c r="AM974" s="154" t="n"/>
      <c r="AN974" s="154" t="n"/>
      <c r="AO974" s="154" t="n"/>
      <c r="AP974" s="154" t="n"/>
      <c r="AQ974" s="154" t="n"/>
      <c r="AR974" s="154" t="n"/>
      <c r="AS974" s="154" t="n"/>
      <c r="AT974" s="154" t="n"/>
      <c r="AU974" s="154" t="n"/>
      <c r="AV974" s="154" t="n"/>
      <c r="AW974" s="154" t="n"/>
      <c r="AX974" s="154" t="n"/>
      <c r="AY974" s="154" t="n"/>
      <c r="AZ974" s="154" t="n"/>
      <c r="BA974" s="154" t="n"/>
      <c r="BB974" s="154" t="n"/>
      <c r="BC974" s="154" t="n"/>
      <c r="BD974" s="154" t="n"/>
      <c r="BE974" s="154" t="n"/>
      <c r="BF974" s="154" t="n"/>
      <c r="BG974" s="154" t="n"/>
      <c r="BH974" s="154" t="n"/>
    </row>
    <row r="975" ht="15.75" customHeight="1" s="251">
      <c r="A975" s="153" t="n"/>
      <c r="B975" s="154" t="n"/>
      <c r="C975" s="154" t="n"/>
      <c r="D975" s="154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  <c r="AA975" s="154" t="n"/>
      <c r="AB975" s="154" t="n"/>
      <c r="AC975" s="154" t="n"/>
      <c r="AD975" s="154" t="n"/>
      <c r="AE975" s="154" t="n"/>
      <c r="AF975" s="154" t="n"/>
      <c r="AG975" s="154" t="n"/>
      <c r="AH975" s="154" t="n"/>
      <c r="AI975" s="154" t="n"/>
      <c r="AJ975" s="154" t="n"/>
      <c r="AK975" s="154" t="n"/>
      <c r="AL975" s="154" t="n"/>
      <c r="AM975" s="154" t="n"/>
      <c r="AN975" s="154" t="n"/>
      <c r="AO975" s="154" t="n"/>
      <c r="AP975" s="154" t="n"/>
      <c r="AQ975" s="154" t="n"/>
      <c r="AR975" s="154" t="n"/>
      <c r="AS975" s="154" t="n"/>
      <c r="AT975" s="154" t="n"/>
      <c r="AU975" s="154" t="n"/>
      <c r="AV975" s="154" t="n"/>
      <c r="AW975" s="154" t="n"/>
      <c r="AX975" s="154" t="n"/>
      <c r="AY975" s="154" t="n"/>
      <c r="AZ975" s="154" t="n"/>
      <c r="BA975" s="154" t="n"/>
      <c r="BB975" s="154" t="n"/>
      <c r="BC975" s="154" t="n"/>
      <c r="BD975" s="154" t="n"/>
      <c r="BE975" s="154" t="n"/>
      <c r="BF975" s="154" t="n"/>
      <c r="BG975" s="154" t="n"/>
      <c r="BH975" s="154" t="n"/>
    </row>
    <row r="976" ht="15.75" customHeight="1" s="251">
      <c r="A976" s="153" t="n"/>
      <c r="B976" s="154" t="n"/>
      <c r="C976" s="154" t="n"/>
      <c r="D976" s="154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  <c r="AA976" s="154" t="n"/>
      <c r="AB976" s="154" t="n"/>
      <c r="AC976" s="154" t="n"/>
      <c r="AD976" s="154" t="n"/>
      <c r="AE976" s="154" t="n"/>
      <c r="AF976" s="154" t="n"/>
      <c r="AG976" s="154" t="n"/>
      <c r="AH976" s="154" t="n"/>
      <c r="AI976" s="154" t="n"/>
      <c r="AJ976" s="154" t="n"/>
      <c r="AK976" s="154" t="n"/>
      <c r="AL976" s="154" t="n"/>
      <c r="AM976" s="154" t="n"/>
      <c r="AN976" s="154" t="n"/>
      <c r="AO976" s="154" t="n"/>
      <c r="AP976" s="154" t="n"/>
      <c r="AQ976" s="154" t="n"/>
      <c r="AR976" s="154" t="n"/>
      <c r="AS976" s="154" t="n"/>
      <c r="AT976" s="154" t="n"/>
      <c r="AU976" s="154" t="n"/>
      <c r="AV976" s="154" t="n"/>
      <c r="AW976" s="154" t="n"/>
      <c r="AX976" s="154" t="n"/>
      <c r="AY976" s="154" t="n"/>
      <c r="AZ976" s="154" t="n"/>
      <c r="BA976" s="154" t="n"/>
      <c r="BB976" s="154" t="n"/>
      <c r="BC976" s="154" t="n"/>
      <c r="BD976" s="154" t="n"/>
      <c r="BE976" s="154" t="n"/>
      <c r="BF976" s="154" t="n"/>
      <c r="BG976" s="154" t="n"/>
      <c r="BH976" s="154" t="n"/>
    </row>
    <row r="977" ht="15.75" customHeight="1" s="251">
      <c r="A977" s="153" t="n"/>
      <c r="B977" s="154" t="n"/>
      <c r="C977" s="154" t="n"/>
      <c r="D977" s="154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  <c r="AA977" s="154" t="n"/>
      <c r="AB977" s="154" t="n"/>
      <c r="AC977" s="154" t="n"/>
      <c r="AD977" s="154" t="n"/>
      <c r="AE977" s="154" t="n"/>
      <c r="AF977" s="154" t="n"/>
      <c r="AG977" s="154" t="n"/>
      <c r="AH977" s="154" t="n"/>
      <c r="AI977" s="154" t="n"/>
      <c r="AJ977" s="154" t="n"/>
      <c r="AK977" s="154" t="n"/>
      <c r="AL977" s="154" t="n"/>
      <c r="AM977" s="154" t="n"/>
      <c r="AN977" s="154" t="n"/>
      <c r="AO977" s="154" t="n"/>
      <c r="AP977" s="154" t="n"/>
      <c r="AQ977" s="154" t="n"/>
      <c r="AR977" s="154" t="n"/>
      <c r="AS977" s="154" t="n"/>
      <c r="AT977" s="154" t="n"/>
      <c r="AU977" s="154" t="n"/>
      <c r="AV977" s="154" t="n"/>
      <c r="AW977" s="154" t="n"/>
      <c r="AX977" s="154" t="n"/>
      <c r="AY977" s="154" t="n"/>
      <c r="AZ977" s="154" t="n"/>
      <c r="BA977" s="154" t="n"/>
      <c r="BB977" s="154" t="n"/>
      <c r="BC977" s="154" t="n"/>
      <c r="BD977" s="154" t="n"/>
      <c r="BE977" s="154" t="n"/>
      <c r="BF977" s="154" t="n"/>
      <c r="BG977" s="154" t="n"/>
      <c r="BH977" s="154" t="n"/>
    </row>
    <row r="978" ht="15.75" customHeight="1" s="251">
      <c r="A978" s="153" t="n"/>
      <c r="B978" s="154" t="n"/>
      <c r="C978" s="154" t="n"/>
      <c r="D978" s="154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  <c r="AA978" s="154" t="n"/>
      <c r="AB978" s="154" t="n"/>
      <c r="AC978" s="154" t="n"/>
      <c r="AD978" s="154" t="n"/>
      <c r="AE978" s="154" t="n"/>
      <c r="AF978" s="154" t="n"/>
      <c r="AG978" s="154" t="n"/>
      <c r="AH978" s="154" t="n"/>
      <c r="AI978" s="154" t="n"/>
      <c r="AJ978" s="154" t="n"/>
      <c r="AK978" s="154" t="n"/>
      <c r="AL978" s="154" t="n"/>
      <c r="AM978" s="154" t="n"/>
      <c r="AN978" s="154" t="n"/>
      <c r="AO978" s="154" t="n"/>
      <c r="AP978" s="154" t="n"/>
      <c r="AQ978" s="154" t="n"/>
      <c r="AR978" s="154" t="n"/>
      <c r="AS978" s="154" t="n"/>
      <c r="AT978" s="154" t="n"/>
      <c r="AU978" s="154" t="n"/>
      <c r="AV978" s="154" t="n"/>
      <c r="AW978" s="154" t="n"/>
      <c r="AX978" s="154" t="n"/>
      <c r="AY978" s="154" t="n"/>
      <c r="AZ978" s="154" t="n"/>
      <c r="BA978" s="154" t="n"/>
      <c r="BB978" s="154" t="n"/>
      <c r="BC978" s="154" t="n"/>
      <c r="BD978" s="154" t="n"/>
      <c r="BE978" s="154" t="n"/>
      <c r="BF978" s="154" t="n"/>
      <c r="BG978" s="154" t="n"/>
      <c r="BH978" s="154" t="n"/>
    </row>
    <row r="979" ht="15.75" customHeight="1" s="251">
      <c r="A979" s="153" t="n"/>
      <c r="B979" s="154" t="n"/>
      <c r="C979" s="154" t="n"/>
      <c r="D979" s="154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  <c r="AA979" s="154" t="n"/>
      <c r="AB979" s="154" t="n"/>
      <c r="AC979" s="154" t="n"/>
      <c r="AD979" s="154" t="n"/>
      <c r="AE979" s="154" t="n"/>
      <c r="AF979" s="154" t="n"/>
      <c r="AG979" s="154" t="n"/>
      <c r="AH979" s="154" t="n"/>
      <c r="AI979" s="154" t="n"/>
      <c r="AJ979" s="154" t="n"/>
      <c r="AK979" s="154" t="n"/>
      <c r="AL979" s="154" t="n"/>
      <c r="AM979" s="154" t="n"/>
      <c r="AN979" s="154" t="n"/>
      <c r="AO979" s="154" t="n"/>
      <c r="AP979" s="154" t="n"/>
      <c r="AQ979" s="154" t="n"/>
      <c r="AR979" s="154" t="n"/>
      <c r="AS979" s="154" t="n"/>
      <c r="AT979" s="154" t="n"/>
      <c r="AU979" s="154" t="n"/>
      <c r="AV979" s="154" t="n"/>
      <c r="AW979" s="154" t="n"/>
      <c r="AX979" s="154" t="n"/>
      <c r="AY979" s="154" t="n"/>
      <c r="AZ979" s="154" t="n"/>
      <c r="BA979" s="154" t="n"/>
      <c r="BB979" s="154" t="n"/>
      <c r="BC979" s="154" t="n"/>
      <c r="BD979" s="154" t="n"/>
      <c r="BE979" s="154" t="n"/>
      <c r="BF979" s="154" t="n"/>
      <c r="BG979" s="154" t="n"/>
      <c r="BH979" s="154" t="n"/>
    </row>
    <row r="980" ht="15.75" customHeight="1" s="251">
      <c r="A980" s="153" t="n"/>
      <c r="B980" s="154" t="n"/>
      <c r="C980" s="154" t="n"/>
      <c r="D980" s="154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  <c r="AA980" s="154" t="n"/>
      <c r="AB980" s="154" t="n"/>
      <c r="AC980" s="154" t="n"/>
      <c r="AD980" s="154" t="n"/>
      <c r="AE980" s="154" t="n"/>
      <c r="AF980" s="154" t="n"/>
      <c r="AG980" s="154" t="n"/>
      <c r="AH980" s="154" t="n"/>
      <c r="AI980" s="154" t="n"/>
      <c r="AJ980" s="154" t="n"/>
      <c r="AK980" s="154" t="n"/>
      <c r="AL980" s="154" t="n"/>
      <c r="AM980" s="154" t="n"/>
      <c r="AN980" s="154" t="n"/>
      <c r="AO980" s="154" t="n"/>
      <c r="AP980" s="154" t="n"/>
      <c r="AQ980" s="154" t="n"/>
      <c r="AR980" s="154" t="n"/>
      <c r="AS980" s="154" t="n"/>
      <c r="AT980" s="154" t="n"/>
      <c r="AU980" s="154" t="n"/>
      <c r="AV980" s="154" t="n"/>
      <c r="AW980" s="154" t="n"/>
      <c r="AX980" s="154" t="n"/>
      <c r="AY980" s="154" t="n"/>
      <c r="AZ980" s="154" t="n"/>
      <c r="BA980" s="154" t="n"/>
      <c r="BB980" s="154" t="n"/>
      <c r="BC980" s="154" t="n"/>
      <c r="BD980" s="154" t="n"/>
      <c r="BE980" s="154" t="n"/>
      <c r="BF980" s="154" t="n"/>
      <c r="BG980" s="154" t="n"/>
      <c r="BH980" s="154" t="n"/>
    </row>
    <row r="981" ht="15.75" customHeight="1" s="251">
      <c r="A981" s="153" t="n"/>
      <c r="B981" s="154" t="n"/>
      <c r="C981" s="154" t="n"/>
      <c r="D981" s="154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  <c r="AA981" s="154" t="n"/>
      <c r="AB981" s="154" t="n"/>
      <c r="AC981" s="154" t="n"/>
      <c r="AD981" s="154" t="n"/>
      <c r="AE981" s="154" t="n"/>
      <c r="AF981" s="154" t="n"/>
      <c r="AG981" s="154" t="n"/>
      <c r="AH981" s="154" t="n"/>
      <c r="AI981" s="154" t="n"/>
      <c r="AJ981" s="154" t="n"/>
      <c r="AK981" s="154" t="n"/>
      <c r="AL981" s="154" t="n"/>
      <c r="AM981" s="154" t="n"/>
      <c r="AN981" s="154" t="n"/>
      <c r="AO981" s="154" t="n"/>
      <c r="AP981" s="154" t="n"/>
      <c r="AQ981" s="154" t="n"/>
      <c r="AR981" s="154" t="n"/>
      <c r="AS981" s="154" t="n"/>
      <c r="AT981" s="154" t="n"/>
      <c r="AU981" s="154" t="n"/>
      <c r="AV981" s="154" t="n"/>
      <c r="AW981" s="154" t="n"/>
      <c r="AX981" s="154" t="n"/>
      <c r="AY981" s="154" t="n"/>
      <c r="AZ981" s="154" t="n"/>
      <c r="BA981" s="154" t="n"/>
      <c r="BB981" s="154" t="n"/>
      <c r="BC981" s="154" t="n"/>
      <c r="BD981" s="154" t="n"/>
      <c r="BE981" s="154" t="n"/>
      <c r="BF981" s="154" t="n"/>
      <c r="BG981" s="154" t="n"/>
      <c r="BH981" s="154" t="n"/>
    </row>
    <row r="982" ht="15.75" customHeight="1" s="251">
      <c r="A982" s="153" t="n"/>
      <c r="B982" s="154" t="n"/>
      <c r="C982" s="154" t="n"/>
      <c r="D982" s="154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  <c r="AA982" s="154" t="n"/>
      <c r="AB982" s="154" t="n"/>
      <c r="AC982" s="154" t="n"/>
      <c r="AD982" s="154" t="n"/>
      <c r="AE982" s="154" t="n"/>
      <c r="AF982" s="154" t="n"/>
      <c r="AG982" s="154" t="n"/>
      <c r="AH982" s="154" t="n"/>
      <c r="AI982" s="154" t="n"/>
      <c r="AJ982" s="154" t="n"/>
      <c r="AK982" s="154" t="n"/>
      <c r="AL982" s="154" t="n"/>
      <c r="AM982" s="154" t="n"/>
      <c r="AN982" s="154" t="n"/>
      <c r="AO982" s="154" t="n"/>
      <c r="AP982" s="154" t="n"/>
      <c r="AQ982" s="154" t="n"/>
      <c r="AR982" s="154" t="n"/>
      <c r="AS982" s="154" t="n"/>
      <c r="AT982" s="154" t="n"/>
      <c r="AU982" s="154" t="n"/>
      <c r="AV982" s="154" t="n"/>
      <c r="AW982" s="154" t="n"/>
      <c r="AX982" s="154" t="n"/>
      <c r="AY982" s="154" t="n"/>
      <c r="AZ982" s="154" t="n"/>
      <c r="BA982" s="154" t="n"/>
      <c r="BB982" s="154" t="n"/>
      <c r="BC982" s="154" t="n"/>
      <c r="BD982" s="154" t="n"/>
      <c r="BE982" s="154" t="n"/>
      <c r="BF982" s="154" t="n"/>
      <c r="BG982" s="154" t="n"/>
      <c r="BH982" s="154" t="n"/>
    </row>
    <row r="983" ht="15.75" customHeight="1" s="251">
      <c r="A983" s="153" t="n"/>
      <c r="B983" s="154" t="n"/>
      <c r="C983" s="154" t="n"/>
      <c r="D983" s="154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  <c r="AA983" s="154" t="n"/>
      <c r="AB983" s="154" t="n"/>
      <c r="AC983" s="154" t="n"/>
      <c r="AD983" s="154" t="n"/>
      <c r="AE983" s="154" t="n"/>
      <c r="AF983" s="154" t="n"/>
      <c r="AG983" s="154" t="n"/>
      <c r="AH983" s="154" t="n"/>
      <c r="AI983" s="154" t="n"/>
      <c r="AJ983" s="154" t="n"/>
      <c r="AK983" s="154" t="n"/>
      <c r="AL983" s="154" t="n"/>
      <c r="AM983" s="154" t="n"/>
      <c r="AN983" s="154" t="n"/>
      <c r="AO983" s="154" t="n"/>
      <c r="AP983" s="154" t="n"/>
      <c r="AQ983" s="154" t="n"/>
      <c r="AR983" s="154" t="n"/>
      <c r="AS983" s="154" t="n"/>
      <c r="AT983" s="154" t="n"/>
      <c r="AU983" s="154" t="n"/>
      <c r="AV983" s="154" t="n"/>
      <c r="AW983" s="154" t="n"/>
      <c r="AX983" s="154" t="n"/>
      <c r="AY983" s="154" t="n"/>
      <c r="AZ983" s="154" t="n"/>
      <c r="BA983" s="154" t="n"/>
      <c r="BB983" s="154" t="n"/>
      <c r="BC983" s="154" t="n"/>
      <c r="BD983" s="154" t="n"/>
      <c r="BE983" s="154" t="n"/>
      <c r="BF983" s="154" t="n"/>
      <c r="BG983" s="154" t="n"/>
      <c r="BH983" s="154" t="n"/>
    </row>
    <row r="984" ht="15.75" customHeight="1" s="251">
      <c r="A984" s="153" t="n"/>
      <c r="B984" s="154" t="n"/>
      <c r="C984" s="154" t="n"/>
      <c r="D984" s="154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  <c r="AA984" s="154" t="n"/>
      <c r="AB984" s="154" t="n"/>
      <c r="AC984" s="154" t="n"/>
      <c r="AD984" s="154" t="n"/>
      <c r="AE984" s="154" t="n"/>
      <c r="AF984" s="154" t="n"/>
      <c r="AG984" s="154" t="n"/>
      <c r="AH984" s="154" t="n"/>
      <c r="AI984" s="154" t="n"/>
      <c r="AJ984" s="154" t="n"/>
      <c r="AK984" s="154" t="n"/>
      <c r="AL984" s="154" t="n"/>
      <c r="AM984" s="154" t="n"/>
      <c r="AN984" s="154" t="n"/>
      <c r="AO984" s="154" t="n"/>
      <c r="AP984" s="154" t="n"/>
      <c r="AQ984" s="154" t="n"/>
      <c r="AR984" s="154" t="n"/>
      <c r="AS984" s="154" t="n"/>
      <c r="AT984" s="154" t="n"/>
      <c r="AU984" s="154" t="n"/>
      <c r="AV984" s="154" t="n"/>
      <c r="AW984" s="154" t="n"/>
      <c r="AX984" s="154" t="n"/>
      <c r="AY984" s="154" t="n"/>
      <c r="AZ984" s="154" t="n"/>
      <c r="BA984" s="154" t="n"/>
      <c r="BB984" s="154" t="n"/>
      <c r="BC984" s="154" t="n"/>
      <c r="BD984" s="154" t="n"/>
      <c r="BE984" s="154" t="n"/>
      <c r="BF984" s="154" t="n"/>
      <c r="BG984" s="154" t="n"/>
      <c r="BH984" s="154" t="n"/>
    </row>
    <row r="985" ht="15.75" customHeight="1" s="251">
      <c r="A985" s="153" t="n"/>
      <c r="B985" s="154" t="n"/>
      <c r="C985" s="154" t="n"/>
      <c r="D985" s="154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  <c r="AA985" s="154" t="n"/>
      <c r="AB985" s="154" t="n"/>
      <c r="AC985" s="154" t="n"/>
      <c r="AD985" s="154" t="n"/>
      <c r="AE985" s="154" t="n"/>
      <c r="AF985" s="154" t="n"/>
      <c r="AG985" s="154" t="n"/>
      <c r="AH985" s="154" t="n"/>
      <c r="AI985" s="154" t="n"/>
      <c r="AJ985" s="154" t="n"/>
      <c r="AK985" s="154" t="n"/>
      <c r="AL985" s="154" t="n"/>
      <c r="AM985" s="154" t="n"/>
      <c r="AN985" s="154" t="n"/>
      <c r="AO985" s="154" t="n"/>
      <c r="AP985" s="154" t="n"/>
      <c r="AQ985" s="154" t="n"/>
      <c r="AR985" s="154" t="n"/>
      <c r="AS985" s="154" t="n"/>
      <c r="AT985" s="154" t="n"/>
      <c r="AU985" s="154" t="n"/>
      <c r="AV985" s="154" t="n"/>
      <c r="AW985" s="154" t="n"/>
      <c r="AX985" s="154" t="n"/>
      <c r="AY985" s="154" t="n"/>
      <c r="AZ985" s="154" t="n"/>
      <c r="BA985" s="154" t="n"/>
      <c r="BB985" s="154" t="n"/>
      <c r="BC985" s="154" t="n"/>
      <c r="BD985" s="154" t="n"/>
      <c r="BE985" s="154" t="n"/>
      <c r="BF985" s="154" t="n"/>
      <c r="BG985" s="154" t="n"/>
      <c r="BH985" s="154" t="n"/>
    </row>
    <row r="986" ht="15.75" customHeight="1" s="251">
      <c r="A986" s="153" t="n"/>
      <c r="B986" s="154" t="n"/>
      <c r="C986" s="154" t="n"/>
      <c r="D986" s="154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  <c r="AA986" s="154" t="n"/>
      <c r="AB986" s="154" t="n"/>
      <c r="AC986" s="154" t="n"/>
      <c r="AD986" s="154" t="n"/>
      <c r="AE986" s="154" t="n"/>
      <c r="AF986" s="154" t="n"/>
      <c r="AG986" s="154" t="n"/>
      <c r="AH986" s="154" t="n"/>
      <c r="AI986" s="154" t="n"/>
      <c r="AJ986" s="154" t="n"/>
      <c r="AK986" s="154" t="n"/>
      <c r="AL986" s="154" t="n"/>
      <c r="AM986" s="154" t="n"/>
      <c r="AN986" s="154" t="n"/>
      <c r="AO986" s="154" t="n"/>
      <c r="AP986" s="154" t="n"/>
      <c r="AQ986" s="154" t="n"/>
      <c r="AR986" s="154" t="n"/>
      <c r="AS986" s="154" t="n"/>
      <c r="AT986" s="154" t="n"/>
      <c r="AU986" s="154" t="n"/>
      <c r="AV986" s="154" t="n"/>
      <c r="AW986" s="154" t="n"/>
      <c r="AX986" s="154" t="n"/>
      <c r="AY986" s="154" t="n"/>
      <c r="AZ986" s="154" t="n"/>
      <c r="BA986" s="154" t="n"/>
      <c r="BB986" s="154" t="n"/>
      <c r="BC986" s="154" t="n"/>
      <c r="BD986" s="154" t="n"/>
      <c r="BE986" s="154" t="n"/>
      <c r="BF986" s="154" t="n"/>
      <c r="BG986" s="154" t="n"/>
      <c r="BH986" s="154" t="n"/>
    </row>
    <row r="987" ht="15.75" customHeight="1" s="251">
      <c r="A987" s="153" t="n"/>
      <c r="B987" s="154" t="n"/>
      <c r="C987" s="154" t="n"/>
      <c r="D987" s="154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  <c r="AA987" s="154" t="n"/>
      <c r="AB987" s="154" t="n"/>
      <c r="AC987" s="154" t="n"/>
      <c r="AD987" s="154" t="n"/>
      <c r="AE987" s="154" t="n"/>
      <c r="AF987" s="154" t="n"/>
      <c r="AG987" s="154" t="n"/>
      <c r="AH987" s="154" t="n"/>
      <c r="AI987" s="154" t="n"/>
      <c r="AJ987" s="154" t="n"/>
      <c r="AK987" s="154" t="n"/>
      <c r="AL987" s="154" t="n"/>
      <c r="AM987" s="154" t="n"/>
      <c r="AN987" s="154" t="n"/>
      <c r="AO987" s="154" t="n"/>
      <c r="AP987" s="154" t="n"/>
      <c r="AQ987" s="154" t="n"/>
      <c r="AR987" s="154" t="n"/>
      <c r="AS987" s="154" t="n"/>
      <c r="AT987" s="154" t="n"/>
      <c r="AU987" s="154" t="n"/>
      <c r="AV987" s="154" t="n"/>
      <c r="AW987" s="154" t="n"/>
      <c r="AX987" s="154" t="n"/>
      <c r="AY987" s="154" t="n"/>
      <c r="AZ987" s="154" t="n"/>
      <c r="BA987" s="154" t="n"/>
      <c r="BB987" s="154" t="n"/>
      <c r="BC987" s="154" t="n"/>
      <c r="BD987" s="154" t="n"/>
      <c r="BE987" s="154" t="n"/>
      <c r="BF987" s="154" t="n"/>
      <c r="BG987" s="154" t="n"/>
      <c r="BH987" s="154" t="n"/>
    </row>
    <row r="988" ht="15.75" customHeight="1" s="251">
      <c r="A988" s="153" t="n"/>
      <c r="B988" s="154" t="n"/>
      <c r="C988" s="154" t="n"/>
      <c r="D988" s="154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  <c r="AA988" s="154" t="n"/>
      <c r="AB988" s="154" t="n"/>
      <c r="AC988" s="154" t="n"/>
      <c r="AD988" s="154" t="n"/>
      <c r="AE988" s="154" t="n"/>
      <c r="AF988" s="154" t="n"/>
      <c r="AG988" s="154" t="n"/>
      <c r="AH988" s="154" t="n"/>
      <c r="AI988" s="154" t="n"/>
      <c r="AJ988" s="154" t="n"/>
      <c r="AK988" s="154" t="n"/>
      <c r="AL988" s="154" t="n"/>
      <c r="AM988" s="154" t="n"/>
      <c r="AN988" s="154" t="n"/>
      <c r="AO988" s="154" t="n"/>
      <c r="AP988" s="154" t="n"/>
      <c r="AQ988" s="154" t="n"/>
      <c r="AR988" s="154" t="n"/>
      <c r="AS988" s="154" t="n"/>
      <c r="AT988" s="154" t="n"/>
      <c r="AU988" s="154" t="n"/>
      <c r="AV988" s="154" t="n"/>
      <c r="AW988" s="154" t="n"/>
      <c r="AX988" s="154" t="n"/>
      <c r="AY988" s="154" t="n"/>
      <c r="AZ988" s="154" t="n"/>
      <c r="BA988" s="154" t="n"/>
      <c r="BB988" s="154" t="n"/>
      <c r="BC988" s="154" t="n"/>
      <c r="BD988" s="154" t="n"/>
      <c r="BE988" s="154" t="n"/>
      <c r="BF988" s="154" t="n"/>
      <c r="BG988" s="154" t="n"/>
      <c r="BH988" s="154" t="n"/>
    </row>
    <row r="989" ht="15.75" customHeight="1" s="251">
      <c r="A989" s="153" t="n"/>
      <c r="B989" s="154" t="n"/>
      <c r="C989" s="154" t="n"/>
      <c r="D989" s="154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  <c r="AA989" s="154" t="n"/>
      <c r="AB989" s="154" t="n"/>
      <c r="AC989" s="154" t="n"/>
      <c r="AD989" s="154" t="n"/>
      <c r="AE989" s="154" t="n"/>
      <c r="AF989" s="154" t="n"/>
      <c r="AG989" s="154" t="n"/>
      <c r="AH989" s="154" t="n"/>
      <c r="AI989" s="154" t="n"/>
      <c r="AJ989" s="154" t="n"/>
      <c r="AK989" s="154" t="n"/>
      <c r="AL989" s="154" t="n"/>
      <c r="AM989" s="154" t="n"/>
      <c r="AN989" s="154" t="n"/>
      <c r="AO989" s="154" t="n"/>
      <c r="AP989" s="154" t="n"/>
      <c r="AQ989" s="154" t="n"/>
      <c r="AR989" s="154" t="n"/>
      <c r="AS989" s="154" t="n"/>
      <c r="AT989" s="154" t="n"/>
      <c r="AU989" s="154" t="n"/>
      <c r="AV989" s="154" t="n"/>
      <c r="AW989" s="154" t="n"/>
      <c r="AX989" s="154" t="n"/>
      <c r="AY989" s="154" t="n"/>
      <c r="AZ989" s="154" t="n"/>
      <c r="BA989" s="154" t="n"/>
      <c r="BB989" s="154" t="n"/>
      <c r="BC989" s="154" t="n"/>
      <c r="BD989" s="154" t="n"/>
      <c r="BE989" s="154" t="n"/>
      <c r="BF989" s="154" t="n"/>
      <c r="BG989" s="154" t="n"/>
      <c r="BH989" s="154" t="n"/>
    </row>
    <row r="990" ht="15.75" customHeight="1" s="251">
      <c r="A990" s="153" t="n"/>
      <c r="B990" s="154" t="n"/>
      <c r="C990" s="154" t="n"/>
      <c r="D990" s="154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  <c r="AA990" s="154" t="n"/>
      <c r="AB990" s="154" t="n"/>
      <c r="AC990" s="154" t="n"/>
      <c r="AD990" s="154" t="n"/>
      <c r="AE990" s="154" t="n"/>
      <c r="AF990" s="154" t="n"/>
      <c r="AG990" s="154" t="n"/>
      <c r="AH990" s="154" t="n"/>
      <c r="AI990" s="154" t="n"/>
      <c r="AJ990" s="154" t="n"/>
      <c r="AK990" s="154" t="n"/>
      <c r="AL990" s="154" t="n"/>
      <c r="AM990" s="154" t="n"/>
      <c r="AN990" s="154" t="n"/>
      <c r="AO990" s="154" t="n"/>
      <c r="AP990" s="154" t="n"/>
      <c r="AQ990" s="154" t="n"/>
      <c r="AR990" s="154" t="n"/>
      <c r="AS990" s="154" t="n"/>
      <c r="AT990" s="154" t="n"/>
      <c r="AU990" s="154" t="n"/>
      <c r="AV990" s="154" t="n"/>
      <c r="AW990" s="154" t="n"/>
      <c r="AX990" s="154" t="n"/>
      <c r="AY990" s="154" t="n"/>
      <c r="AZ990" s="154" t="n"/>
      <c r="BA990" s="154" t="n"/>
      <c r="BB990" s="154" t="n"/>
      <c r="BC990" s="154" t="n"/>
      <c r="BD990" s="154" t="n"/>
      <c r="BE990" s="154" t="n"/>
      <c r="BF990" s="154" t="n"/>
      <c r="BG990" s="154" t="n"/>
      <c r="BH990" s="154" t="n"/>
    </row>
    <row r="991" ht="15.75" customHeight="1" s="251">
      <c r="A991" s="153" t="n"/>
      <c r="B991" s="154" t="n"/>
      <c r="C991" s="154" t="n"/>
      <c r="D991" s="154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  <c r="AA991" s="154" t="n"/>
      <c r="AB991" s="154" t="n"/>
      <c r="AC991" s="154" t="n"/>
      <c r="AD991" s="154" t="n"/>
      <c r="AE991" s="154" t="n"/>
      <c r="AF991" s="154" t="n"/>
      <c r="AG991" s="154" t="n"/>
      <c r="AH991" s="154" t="n"/>
      <c r="AI991" s="154" t="n"/>
      <c r="AJ991" s="154" t="n"/>
      <c r="AK991" s="154" t="n"/>
      <c r="AL991" s="154" t="n"/>
      <c r="AM991" s="154" t="n"/>
      <c r="AN991" s="154" t="n"/>
      <c r="AO991" s="154" t="n"/>
      <c r="AP991" s="154" t="n"/>
      <c r="AQ991" s="154" t="n"/>
      <c r="AR991" s="154" t="n"/>
      <c r="AS991" s="154" t="n"/>
      <c r="AT991" s="154" t="n"/>
      <c r="AU991" s="154" t="n"/>
      <c r="AV991" s="154" t="n"/>
      <c r="AW991" s="154" t="n"/>
      <c r="AX991" s="154" t="n"/>
      <c r="AY991" s="154" t="n"/>
      <c r="AZ991" s="154" t="n"/>
      <c r="BA991" s="154" t="n"/>
      <c r="BB991" s="154" t="n"/>
      <c r="BC991" s="154" t="n"/>
      <c r="BD991" s="154" t="n"/>
      <c r="BE991" s="154" t="n"/>
      <c r="BF991" s="154" t="n"/>
      <c r="BG991" s="154" t="n"/>
      <c r="BH991" s="154" t="n"/>
    </row>
    <row r="992" ht="15.75" customHeight="1" s="251">
      <c r="A992" s="153" t="n"/>
      <c r="B992" s="154" t="n"/>
      <c r="C992" s="154" t="n"/>
      <c r="D992" s="154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  <c r="AA992" s="154" t="n"/>
      <c r="AB992" s="154" t="n"/>
      <c r="AC992" s="154" t="n"/>
      <c r="AD992" s="154" t="n"/>
      <c r="AE992" s="154" t="n"/>
      <c r="AF992" s="154" t="n"/>
      <c r="AG992" s="154" t="n"/>
      <c r="AH992" s="154" t="n"/>
      <c r="AI992" s="154" t="n"/>
      <c r="AJ992" s="154" t="n"/>
      <c r="AK992" s="154" t="n"/>
      <c r="AL992" s="154" t="n"/>
      <c r="AM992" s="154" t="n"/>
      <c r="AN992" s="154" t="n"/>
      <c r="AO992" s="154" t="n"/>
      <c r="AP992" s="154" t="n"/>
      <c r="AQ992" s="154" t="n"/>
      <c r="AR992" s="154" t="n"/>
      <c r="AS992" s="154" t="n"/>
      <c r="AT992" s="154" t="n"/>
      <c r="AU992" s="154" t="n"/>
      <c r="AV992" s="154" t="n"/>
      <c r="AW992" s="154" t="n"/>
      <c r="AX992" s="154" t="n"/>
      <c r="AY992" s="154" t="n"/>
      <c r="AZ992" s="154" t="n"/>
      <c r="BA992" s="154" t="n"/>
      <c r="BB992" s="154" t="n"/>
      <c r="BC992" s="154" t="n"/>
      <c r="BD992" s="154" t="n"/>
      <c r="BE992" s="154" t="n"/>
      <c r="BF992" s="154" t="n"/>
      <c r="BG992" s="154" t="n"/>
      <c r="BH992" s="154" t="n"/>
    </row>
    <row r="993" ht="15.75" customHeight="1" s="251">
      <c r="A993" s="153" t="n"/>
      <c r="B993" s="154" t="n"/>
      <c r="C993" s="154" t="n"/>
      <c r="D993" s="154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  <c r="AA993" s="154" t="n"/>
      <c r="AB993" s="154" t="n"/>
      <c r="AC993" s="154" t="n"/>
      <c r="AD993" s="154" t="n"/>
      <c r="AE993" s="154" t="n"/>
      <c r="AF993" s="154" t="n"/>
      <c r="AG993" s="154" t="n"/>
      <c r="AH993" s="154" t="n"/>
      <c r="AI993" s="154" t="n"/>
      <c r="AJ993" s="154" t="n"/>
      <c r="AK993" s="154" t="n"/>
      <c r="AL993" s="154" t="n"/>
      <c r="AM993" s="154" t="n"/>
      <c r="AN993" s="154" t="n"/>
      <c r="AO993" s="154" t="n"/>
      <c r="AP993" s="154" t="n"/>
      <c r="AQ993" s="154" t="n"/>
      <c r="AR993" s="154" t="n"/>
      <c r="AS993" s="154" t="n"/>
      <c r="AT993" s="154" t="n"/>
      <c r="AU993" s="154" t="n"/>
      <c r="AV993" s="154" t="n"/>
      <c r="AW993" s="154" t="n"/>
      <c r="AX993" s="154" t="n"/>
      <c r="AY993" s="154" t="n"/>
      <c r="AZ993" s="154" t="n"/>
      <c r="BA993" s="154" t="n"/>
      <c r="BB993" s="154" t="n"/>
      <c r="BC993" s="154" t="n"/>
      <c r="BD993" s="154" t="n"/>
      <c r="BE993" s="154" t="n"/>
      <c r="BF993" s="154" t="n"/>
      <c r="BG993" s="154" t="n"/>
      <c r="BH993" s="154" t="n"/>
    </row>
    <row r="994" ht="15.75" customHeight="1" s="251">
      <c r="A994" s="153" t="n"/>
      <c r="B994" s="154" t="n"/>
      <c r="C994" s="154" t="n"/>
      <c r="D994" s="154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  <c r="AA994" s="154" t="n"/>
      <c r="AB994" s="154" t="n"/>
      <c r="AC994" s="154" t="n"/>
      <c r="AD994" s="154" t="n"/>
      <c r="AE994" s="154" t="n"/>
      <c r="AF994" s="154" t="n"/>
      <c r="AG994" s="154" t="n"/>
      <c r="AH994" s="154" t="n"/>
      <c r="AI994" s="154" t="n"/>
      <c r="AJ994" s="154" t="n"/>
      <c r="AK994" s="154" t="n"/>
      <c r="AL994" s="154" t="n"/>
      <c r="AM994" s="154" t="n"/>
      <c r="AN994" s="154" t="n"/>
      <c r="AO994" s="154" t="n"/>
      <c r="AP994" s="154" t="n"/>
      <c r="AQ994" s="154" t="n"/>
      <c r="AR994" s="154" t="n"/>
      <c r="AS994" s="154" t="n"/>
      <c r="AT994" s="154" t="n"/>
      <c r="AU994" s="154" t="n"/>
      <c r="AV994" s="154" t="n"/>
      <c r="AW994" s="154" t="n"/>
      <c r="AX994" s="154" t="n"/>
      <c r="AY994" s="154" t="n"/>
      <c r="AZ994" s="154" t="n"/>
      <c r="BA994" s="154" t="n"/>
      <c r="BB994" s="154" t="n"/>
      <c r="BC994" s="154" t="n"/>
      <c r="BD994" s="154" t="n"/>
      <c r="BE994" s="154" t="n"/>
      <c r="BF994" s="154" t="n"/>
      <c r="BG994" s="154" t="n"/>
      <c r="BH994" s="154" t="n"/>
    </row>
    <row r="995" ht="15.75" customHeight="1" s="251">
      <c r="A995" s="153" t="n"/>
      <c r="B995" s="154" t="n"/>
      <c r="C995" s="154" t="n"/>
      <c r="D995" s="154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  <c r="AA995" s="154" t="n"/>
      <c r="AB995" s="154" t="n"/>
      <c r="AC995" s="154" t="n"/>
      <c r="AD995" s="154" t="n"/>
      <c r="AE995" s="154" t="n"/>
      <c r="AF995" s="154" t="n"/>
      <c r="AG995" s="154" t="n"/>
      <c r="AH995" s="154" t="n"/>
      <c r="AI995" s="154" t="n"/>
      <c r="AJ995" s="154" t="n"/>
      <c r="AK995" s="154" t="n"/>
      <c r="AL995" s="154" t="n"/>
      <c r="AM995" s="154" t="n"/>
      <c r="AN995" s="154" t="n"/>
      <c r="AO995" s="154" t="n"/>
      <c r="AP995" s="154" t="n"/>
      <c r="AQ995" s="154" t="n"/>
      <c r="AR995" s="154" t="n"/>
      <c r="AS995" s="154" t="n"/>
      <c r="AT995" s="154" t="n"/>
      <c r="AU995" s="154" t="n"/>
      <c r="AV995" s="154" t="n"/>
      <c r="AW995" s="154" t="n"/>
      <c r="AX995" s="154" t="n"/>
      <c r="AY995" s="154" t="n"/>
      <c r="AZ995" s="154" t="n"/>
      <c r="BA995" s="154" t="n"/>
      <c r="BB995" s="154" t="n"/>
      <c r="BC995" s="154" t="n"/>
      <c r="BD995" s="154" t="n"/>
      <c r="BE995" s="154" t="n"/>
      <c r="BF995" s="154" t="n"/>
      <c r="BG995" s="154" t="n"/>
      <c r="BH995" s="154" t="n"/>
    </row>
    <row r="996" ht="15.75" customHeight="1" s="251">
      <c r="A996" s="153" t="n"/>
      <c r="B996" s="154" t="n"/>
      <c r="C996" s="154" t="n"/>
      <c r="D996" s="154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  <c r="AA996" s="154" t="n"/>
      <c r="AB996" s="154" t="n"/>
      <c r="AC996" s="154" t="n"/>
      <c r="AD996" s="154" t="n"/>
      <c r="AE996" s="154" t="n"/>
      <c r="AF996" s="154" t="n"/>
      <c r="AG996" s="154" t="n"/>
      <c r="AH996" s="154" t="n"/>
      <c r="AI996" s="154" t="n"/>
      <c r="AJ996" s="154" t="n"/>
      <c r="AK996" s="154" t="n"/>
      <c r="AL996" s="154" t="n"/>
      <c r="AM996" s="154" t="n"/>
      <c r="AN996" s="154" t="n"/>
      <c r="AO996" s="154" t="n"/>
      <c r="AP996" s="154" t="n"/>
      <c r="AQ996" s="154" t="n"/>
      <c r="AR996" s="154" t="n"/>
      <c r="AS996" s="154" t="n"/>
      <c r="AT996" s="154" t="n"/>
      <c r="AU996" s="154" t="n"/>
      <c r="AV996" s="154" t="n"/>
      <c r="AW996" s="154" t="n"/>
      <c r="AX996" s="154" t="n"/>
      <c r="AY996" s="154" t="n"/>
      <c r="AZ996" s="154" t="n"/>
      <c r="BA996" s="154" t="n"/>
      <c r="BB996" s="154" t="n"/>
      <c r="BC996" s="154" t="n"/>
      <c r="BD996" s="154" t="n"/>
      <c r="BE996" s="154" t="n"/>
      <c r="BF996" s="154" t="n"/>
      <c r="BG996" s="154" t="n"/>
      <c r="BH996" s="154" t="n"/>
    </row>
    <row r="997" ht="15.75" customHeight="1" s="251">
      <c r="A997" s="153" t="n"/>
      <c r="B997" s="154" t="n"/>
      <c r="C997" s="154" t="n"/>
      <c r="D997" s="154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  <c r="AA997" s="154" t="n"/>
      <c r="AB997" s="154" t="n"/>
      <c r="AC997" s="154" t="n"/>
      <c r="AD997" s="154" t="n"/>
      <c r="AE997" s="154" t="n"/>
      <c r="AF997" s="154" t="n"/>
      <c r="AG997" s="154" t="n"/>
      <c r="AH997" s="154" t="n"/>
      <c r="AI997" s="154" t="n"/>
      <c r="AJ997" s="154" t="n"/>
      <c r="AK997" s="154" t="n"/>
      <c r="AL997" s="154" t="n"/>
      <c r="AM997" s="154" t="n"/>
      <c r="AN997" s="154" t="n"/>
      <c r="AO997" s="154" t="n"/>
      <c r="AP997" s="154" t="n"/>
      <c r="AQ997" s="154" t="n"/>
      <c r="AR997" s="154" t="n"/>
      <c r="AS997" s="154" t="n"/>
      <c r="AT997" s="154" t="n"/>
      <c r="AU997" s="154" t="n"/>
      <c r="AV997" s="154" t="n"/>
      <c r="AW997" s="154" t="n"/>
      <c r="AX997" s="154" t="n"/>
      <c r="AY997" s="154" t="n"/>
      <c r="AZ997" s="154" t="n"/>
      <c r="BA997" s="154" t="n"/>
      <c r="BB997" s="154" t="n"/>
      <c r="BC997" s="154" t="n"/>
      <c r="BD997" s="154" t="n"/>
      <c r="BE997" s="154" t="n"/>
      <c r="BF997" s="154" t="n"/>
      <c r="BG997" s="154" t="n"/>
      <c r="BH997" s="154" t="n"/>
    </row>
    <row r="998" ht="15.75" customHeight="1" s="251">
      <c r="A998" s="153" t="n"/>
      <c r="B998" s="154" t="n"/>
      <c r="C998" s="154" t="n"/>
      <c r="D998" s="154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  <c r="AA998" s="154" t="n"/>
      <c r="AB998" s="154" t="n"/>
      <c r="AC998" s="154" t="n"/>
      <c r="AD998" s="154" t="n"/>
      <c r="AE998" s="154" t="n"/>
      <c r="AF998" s="154" t="n"/>
      <c r="AG998" s="154" t="n"/>
      <c r="AH998" s="154" t="n"/>
      <c r="AI998" s="154" t="n"/>
      <c r="AJ998" s="154" t="n"/>
      <c r="AK998" s="154" t="n"/>
      <c r="AL998" s="154" t="n"/>
      <c r="AM998" s="154" t="n"/>
      <c r="AN998" s="154" t="n"/>
      <c r="AO998" s="154" t="n"/>
      <c r="AP998" s="154" t="n"/>
      <c r="AQ998" s="154" t="n"/>
      <c r="AR998" s="154" t="n"/>
      <c r="AS998" s="154" t="n"/>
      <c r="AT998" s="154" t="n"/>
      <c r="AU998" s="154" t="n"/>
      <c r="AV998" s="154" t="n"/>
      <c r="AW998" s="154" t="n"/>
      <c r="AX998" s="154" t="n"/>
      <c r="AY998" s="154" t="n"/>
      <c r="AZ998" s="154" t="n"/>
      <c r="BA998" s="154" t="n"/>
      <c r="BB998" s="154" t="n"/>
      <c r="BC998" s="154" t="n"/>
      <c r="BD998" s="154" t="n"/>
      <c r="BE998" s="154" t="n"/>
      <c r="BF998" s="154" t="n"/>
      <c r="BG998" s="154" t="n"/>
      <c r="BH998" s="154" t="n"/>
    </row>
    <row r="999" ht="15.75" customHeight="1" s="251">
      <c r="A999" s="153" t="n"/>
      <c r="B999" s="154" t="n"/>
      <c r="C999" s="154" t="n"/>
      <c r="D999" s="154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  <c r="AA999" s="154" t="n"/>
      <c r="AB999" s="154" t="n"/>
      <c r="AC999" s="154" t="n"/>
      <c r="AD999" s="154" t="n"/>
      <c r="AE999" s="154" t="n"/>
      <c r="AF999" s="154" t="n"/>
      <c r="AG999" s="154" t="n"/>
      <c r="AH999" s="154" t="n"/>
      <c r="AI999" s="154" t="n"/>
      <c r="AJ999" s="154" t="n"/>
      <c r="AK999" s="154" t="n"/>
      <c r="AL999" s="154" t="n"/>
      <c r="AM999" s="154" t="n"/>
      <c r="AN999" s="154" t="n"/>
      <c r="AO999" s="154" t="n"/>
      <c r="AP999" s="154" t="n"/>
      <c r="AQ999" s="154" t="n"/>
      <c r="AR999" s="154" t="n"/>
      <c r="AS999" s="154" t="n"/>
      <c r="AT999" s="154" t="n"/>
      <c r="AU999" s="154" t="n"/>
      <c r="AV999" s="154" t="n"/>
      <c r="AW999" s="154" t="n"/>
      <c r="AX999" s="154" t="n"/>
      <c r="AY999" s="154" t="n"/>
      <c r="AZ999" s="154" t="n"/>
      <c r="BA999" s="154" t="n"/>
      <c r="BB999" s="154" t="n"/>
      <c r="BC999" s="154" t="n"/>
      <c r="BD999" s="154" t="n"/>
      <c r="BE999" s="154" t="n"/>
      <c r="BF999" s="154" t="n"/>
      <c r="BG999" s="154" t="n"/>
      <c r="BH999" s="154" t="n"/>
    </row>
    <row r="1000" ht="15.75" customHeight="1" s="251">
      <c r="A1000" s="153" t="n"/>
      <c r="B1000" s="154" t="n"/>
      <c r="C1000" s="154" t="n"/>
      <c r="D1000" s="154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  <c r="AA1000" s="154" t="n"/>
      <c r="AB1000" s="154" t="n"/>
      <c r="AC1000" s="154" t="n"/>
      <c r="AD1000" s="154" t="n"/>
      <c r="AE1000" s="154" t="n"/>
      <c r="AF1000" s="154" t="n"/>
      <c r="AG1000" s="154" t="n"/>
      <c r="AH1000" s="154" t="n"/>
      <c r="AI1000" s="154" t="n"/>
      <c r="AJ1000" s="154" t="n"/>
      <c r="AK1000" s="154" t="n"/>
      <c r="AL1000" s="154" t="n"/>
      <c r="AM1000" s="154" t="n"/>
      <c r="AN1000" s="154" t="n"/>
      <c r="AO1000" s="154" t="n"/>
      <c r="AP1000" s="154" t="n"/>
      <c r="AQ1000" s="154" t="n"/>
      <c r="AR1000" s="154" t="n"/>
      <c r="AS1000" s="154" t="n"/>
      <c r="AT1000" s="154" t="n"/>
      <c r="AU1000" s="154" t="n"/>
      <c r="AV1000" s="154" t="n"/>
      <c r="AW1000" s="154" t="n"/>
      <c r="AX1000" s="154" t="n"/>
      <c r="AY1000" s="154" t="n"/>
      <c r="AZ1000" s="154" t="n"/>
      <c r="BA1000" s="154" t="n"/>
      <c r="BB1000" s="154" t="n"/>
      <c r="BC1000" s="154" t="n"/>
      <c r="BD1000" s="154" t="n"/>
      <c r="BE1000" s="154" t="n"/>
      <c r="BF1000" s="154" t="n"/>
      <c r="BG1000" s="154" t="n"/>
      <c r="BH1000" s="154" t="n"/>
    </row>
    <row r="1001" ht="15.75" customHeight="1" s="251">
      <c r="A1001" s="153" t="n"/>
      <c r="B1001" s="154" t="n"/>
      <c r="C1001" s="154" t="n"/>
      <c r="D1001" s="154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  <c r="AA1001" s="154" t="n"/>
      <c r="AB1001" s="154" t="n"/>
      <c r="AC1001" s="154" t="n"/>
      <c r="AD1001" s="154" t="n"/>
      <c r="AE1001" s="154" t="n"/>
      <c r="AF1001" s="154" t="n"/>
      <c r="AG1001" s="154" t="n"/>
      <c r="AH1001" s="154" t="n"/>
      <c r="AI1001" s="154" t="n"/>
      <c r="AJ1001" s="154" t="n"/>
      <c r="AK1001" s="154" t="n"/>
      <c r="AL1001" s="154" t="n"/>
      <c r="AM1001" s="154" t="n"/>
      <c r="AN1001" s="154" t="n"/>
      <c r="AO1001" s="154" t="n"/>
      <c r="AP1001" s="154" t="n"/>
      <c r="AQ1001" s="154" t="n"/>
      <c r="AR1001" s="154" t="n"/>
      <c r="AS1001" s="154" t="n"/>
      <c r="AT1001" s="154" t="n"/>
      <c r="AU1001" s="154" t="n"/>
      <c r="AV1001" s="154" t="n"/>
      <c r="AW1001" s="154" t="n"/>
      <c r="AX1001" s="154" t="n"/>
      <c r="AY1001" s="154" t="n"/>
      <c r="AZ1001" s="154" t="n"/>
      <c r="BA1001" s="154" t="n"/>
      <c r="BB1001" s="154" t="n"/>
      <c r="BC1001" s="154" t="n"/>
      <c r="BD1001" s="154" t="n"/>
      <c r="BE1001" s="154" t="n"/>
      <c r="BF1001" s="154" t="n"/>
      <c r="BG1001" s="154" t="n"/>
      <c r="BH1001" s="154" t="n"/>
    </row>
  </sheetData>
  <mergeCells count="8">
    <mergeCell ref="BF1:BF2"/>
    <mergeCell ref="BD1:BD2"/>
    <mergeCell ref="D1:BC1"/>
    <mergeCell ref="B1:C1"/>
    <mergeCell ref="A1:A2"/>
    <mergeCell ref="BG1:BG2"/>
    <mergeCell ref="BE1:BE2"/>
    <mergeCell ref="BH1:BH2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E67"/>
  <sheetViews>
    <sheetView tabSelected="1" zoomScale="150" zoomScaleNormal="1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" sqref="C1"/>
    </sheetView>
  </sheetViews>
  <sheetFormatPr baseColWidth="10" defaultColWidth="14.5" defaultRowHeight="15" customHeight="1"/>
  <cols>
    <col width="12.5" customWidth="1" style="251" min="1" max="1"/>
    <col hidden="1" width="22.33203125" customWidth="1" style="251" min="2" max="2"/>
    <col width="44" bestFit="1" customWidth="1" style="251" min="3" max="3"/>
    <col width="23.5" customWidth="1" style="265" min="4" max="4"/>
    <col width="23.5" customWidth="1" style="251" min="5" max="18"/>
    <col width="29" customWidth="1" style="251" min="19" max="20"/>
    <col width="23.5" customWidth="1" style="251" min="21" max="54"/>
    <col width="30.5" customWidth="1" style="251" min="55" max="56"/>
    <col width="19" customWidth="1" style="251" min="57" max="57"/>
  </cols>
  <sheetData>
    <row r="1" ht="39" customHeight="1" s="251">
      <c r="A1" s="155" t="n"/>
      <c r="B1" s="156" t="n"/>
      <c r="C1" s="156" t="n"/>
      <c r="D1" s="228" t="inlineStr">
        <is>
          <t>Balance from last FY year</t>
        </is>
      </c>
      <c r="E1" s="285" t="n">
        <v>46113</v>
      </c>
      <c r="F1" s="267" t="n"/>
      <c r="G1" s="267" t="n"/>
      <c r="H1" s="268" t="n"/>
      <c r="I1" s="286" t="n">
        <v>46143</v>
      </c>
      <c r="J1" s="267" t="n"/>
      <c r="K1" s="267" t="n"/>
      <c r="L1" s="268" t="n"/>
      <c r="M1" s="287" t="n">
        <v>46174</v>
      </c>
      <c r="N1" s="267" t="n"/>
      <c r="O1" s="267" t="n"/>
      <c r="P1" s="268" t="n"/>
      <c r="Q1" s="288" t="n">
        <v>46204</v>
      </c>
      <c r="R1" s="267" t="n"/>
      <c r="S1" s="267" t="n"/>
      <c r="T1" s="268" t="n"/>
      <c r="U1" s="287" t="n">
        <v>46235</v>
      </c>
      <c r="V1" s="267" t="n"/>
      <c r="W1" s="267" t="n"/>
      <c r="X1" s="268" t="n"/>
      <c r="Y1" s="288" t="n">
        <v>46266</v>
      </c>
      <c r="Z1" s="267" t="n"/>
      <c r="AA1" s="267" t="n"/>
      <c r="AB1" s="268" t="n"/>
      <c r="AC1" s="288" t="n">
        <v>46296</v>
      </c>
      <c r="AD1" s="267" t="n"/>
      <c r="AE1" s="267" t="n"/>
      <c r="AF1" s="268" t="n"/>
      <c r="AG1" s="288" t="n">
        <v>46327</v>
      </c>
      <c r="AH1" s="267" t="n"/>
      <c r="AI1" s="267" t="n"/>
      <c r="AJ1" s="268" t="n"/>
      <c r="AK1" s="288" t="n">
        <v>46357</v>
      </c>
      <c r="AL1" s="267" t="n"/>
      <c r="AM1" s="267" t="n"/>
      <c r="AN1" s="268" t="n"/>
      <c r="AO1" s="288" t="n">
        <v>46388</v>
      </c>
      <c r="AP1" s="267" t="n"/>
      <c r="AQ1" s="267" t="n"/>
      <c r="AR1" s="268" t="n"/>
      <c r="AS1" s="288" t="n">
        <v>46419</v>
      </c>
      <c r="AT1" s="267" t="n"/>
      <c r="AU1" s="267" t="n"/>
      <c r="AV1" s="268" t="n"/>
      <c r="AW1" s="288" t="n">
        <v>46447</v>
      </c>
      <c r="AX1" s="267" t="n"/>
      <c r="AY1" s="267" t="n"/>
      <c r="AZ1" s="268" t="n"/>
      <c r="BA1" s="159" t="inlineStr">
        <is>
          <t>TOTAL COLLECTION
(Apr2026 to Mar2027)</t>
        </is>
      </c>
      <c r="BB1" s="159" t="inlineStr">
        <is>
          <t>TOTAL EXPENSE
(Apr2026 to Mar2027)</t>
        </is>
      </c>
      <c r="BC1" s="159" t="inlineStr">
        <is>
          <t>TOTAL LATE FEE
(Apr2026 to Mar2027)</t>
        </is>
      </c>
      <c r="BD1" s="159" t="inlineStr">
        <is>
          <t>TOTAL COLLECTION - EXPENSE
(Apr2026 to Mar2027)</t>
        </is>
      </c>
      <c r="BE1" s="229" t="inlineStr">
        <is>
          <t>Total Dues 
(Since FY 26-27)</t>
        </is>
      </c>
    </row>
    <row r="2">
      <c r="A2" s="161" t="inlineStr">
        <is>
          <t>FLAT#</t>
        </is>
      </c>
      <c r="B2" s="161" t="inlineStr">
        <is>
          <t>email id</t>
        </is>
      </c>
      <c r="C2" s="161" t="inlineStr">
        <is>
          <t>OCCUPANT</t>
        </is>
      </c>
      <c r="D2" s="163" t="n"/>
      <c r="E2" s="164" t="inlineStr">
        <is>
          <t>COLLECTION</t>
        </is>
      </c>
      <c r="F2" s="165" t="inlineStr">
        <is>
          <t>EXPENSE</t>
        </is>
      </c>
      <c r="G2" s="165" t="inlineStr">
        <is>
          <t>LATE PAYMENT FEE</t>
        </is>
      </c>
      <c r="H2" s="165" t="inlineStr">
        <is>
          <t>COLLECTION - EXPENSE</t>
        </is>
      </c>
      <c r="I2" s="166" t="inlineStr">
        <is>
          <t>COLLECTION</t>
        </is>
      </c>
      <c r="J2" s="166" t="inlineStr">
        <is>
          <t>EXPENSE</t>
        </is>
      </c>
      <c r="K2" s="166" t="inlineStr">
        <is>
          <t>LATE PAYMENT FEE</t>
        </is>
      </c>
      <c r="L2" s="166" t="inlineStr">
        <is>
          <t>COLLECTION - EXPENSE</t>
        </is>
      </c>
      <c r="M2" s="165" t="inlineStr">
        <is>
          <t>COLLECTION</t>
        </is>
      </c>
      <c r="N2" s="165" t="inlineStr">
        <is>
          <t>EXPENSE</t>
        </is>
      </c>
      <c r="O2" s="165" t="inlineStr">
        <is>
          <t>LATE PAYMENT FEE</t>
        </is>
      </c>
      <c r="P2" s="165" t="inlineStr">
        <is>
          <t>COLLECTION - EXPENSE</t>
        </is>
      </c>
      <c r="Q2" s="166" t="inlineStr">
        <is>
          <t>COLLECTION</t>
        </is>
      </c>
      <c r="R2" s="166" t="inlineStr">
        <is>
          <t>EXPENSE</t>
        </is>
      </c>
      <c r="S2" s="166" t="inlineStr">
        <is>
          <t>LATE PAYMENT FEE</t>
        </is>
      </c>
      <c r="T2" s="166" t="inlineStr">
        <is>
          <t>COLLECTION - EXPENSE</t>
        </is>
      </c>
      <c r="U2" s="165" t="inlineStr">
        <is>
          <t>COLLECTION</t>
        </is>
      </c>
      <c r="V2" s="165" t="inlineStr">
        <is>
          <t>EXPENSE</t>
        </is>
      </c>
      <c r="W2" s="165" t="inlineStr">
        <is>
          <t>LATE PAYMENT FEE</t>
        </is>
      </c>
      <c r="X2" s="165" t="inlineStr">
        <is>
          <t>COLLECTION - EXPENSE</t>
        </is>
      </c>
      <c r="Y2" s="166" t="inlineStr">
        <is>
          <t>COLLECTION</t>
        </is>
      </c>
      <c r="Z2" s="166" t="inlineStr">
        <is>
          <t>EXPENSE</t>
        </is>
      </c>
      <c r="AA2" s="166" t="inlineStr">
        <is>
          <t>LATE PAYMENT FEE</t>
        </is>
      </c>
      <c r="AB2" s="166" t="inlineStr">
        <is>
          <t>COLLECTION - EXPENSE</t>
        </is>
      </c>
      <c r="AC2" s="166" t="inlineStr">
        <is>
          <t>COLLECTION</t>
        </is>
      </c>
      <c r="AD2" s="166" t="inlineStr">
        <is>
          <t>EXPENSE</t>
        </is>
      </c>
      <c r="AE2" s="166" t="inlineStr">
        <is>
          <t>LATE PAYMENT FEE</t>
        </is>
      </c>
      <c r="AF2" s="166" t="inlineStr">
        <is>
          <t>COLLECTION - EXPENSE</t>
        </is>
      </c>
      <c r="AG2" s="166" t="inlineStr">
        <is>
          <t>COLLECTION</t>
        </is>
      </c>
      <c r="AH2" s="166" t="inlineStr">
        <is>
          <t>EXPENSE</t>
        </is>
      </c>
      <c r="AI2" s="166" t="inlineStr">
        <is>
          <t>LATE PAYMENT FEE</t>
        </is>
      </c>
      <c r="AJ2" s="166" t="inlineStr">
        <is>
          <t>COLLECTION - EXPENSE</t>
        </is>
      </c>
      <c r="AK2" s="166" t="inlineStr">
        <is>
          <t>COLLECTION</t>
        </is>
      </c>
      <c r="AL2" s="166" t="inlineStr">
        <is>
          <t>EXPENSE</t>
        </is>
      </c>
      <c r="AM2" s="166" t="inlineStr">
        <is>
          <t>LATE PAYMENT FEE</t>
        </is>
      </c>
      <c r="AN2" s="166" t="inlineStr">
        <is>
          <t>COLLECTION - EXPENSE</t>
        </is>
      </c>
      <c r="AO2" s="166" t="inlineStr">
        <is>
          <t>COLLECTION</t>
        </is>
      </c>
      <c r="AP2" s="166" t="inlineStr">
        <is>
          <t>EXPENSE</t>
        </is>
      </c>
      <c r="AQ2" s="166" t="inlineStr">
        <is>
          <t>LATE PAYMENT FEE</t>
        </is>
      </c>
      <c r="AR2" s="166" t="inlineStr">
        <is>
          <t>COLLECTION - EXPENSE</t>
        </is>
      </c>
      <c r="AS2" s="166" t="inlineStr">
        <is>
          <t>COLLECTION</t>
        </is>
      </c>
      <c r="AT2" s="166" t="inlineStr">
        <is>
          <t>EXPENSE</t>
        </is>
      </c>
      <c r="AU2" s="166" t="inlineStr">
        <is>
          <t>LATE PAYMENT FEE</t>
        </is>
      </c>
      <c r="AV2" s="166" t="inlineStr">
        <is>
          <t>COLLECTION - EXPENSE</t>
        </is>
      </c>
      <c r="AW2" s="166" t="inlineStr">
        <is>
          <t>COLLECTION</t>
        </is>
      </c>
      <c r="AX2" s="166" t="inlineStr">
        <is>
          <t>EXPENSE</t>
        </is>
      </c>
      <c r="AY2" s="166" t="inlineStr">
        <is>
          <t>LATE PAYMENT FEE</t>
        </is>
      </c>
      <c r="AZ2" s="166" t="inlineStr">
        <is>
          <t>COLLECTION - EXPENSE</t>
        </is>
      </c>
      <c r="BA2" s="167" t="n"/>
      <c r="BB2" s="167" t="n"/>
      <c r="BC2" s="167" t="n"/>
      <c r="BD2" s="230" t="n"/>
      <c r="BE2" s="233" t="n"/>
    </row>
    <row r="3" ht="16" customHeight="1" s="251">
      <c r="A3" s="169" t="inlineStr">
        <is>
          <t>F1</t>
        </is>
      </c>
      <c r="B3" s="13" t="n"/>
      <c r="C3" s="13" t="inlineStr">
        <is>
          <t>Shailesh Srivastava / Azeem Nawaz</t>
        </is>
      </c>
      <c r="D3" s="263" t="n">
        <v>0</v>
      </c>
      <c r="E3" s="171" t="n"/>
      <c r="F3" s="172" t="n"/>
      <c r="G3" s="172" t="n"/>
      <c r="H3" s="172">
        <f>E3-(F3+G3)</f>
        <v/>
      </c>
      <c r="I3" s="173" t="n"/>
      <c r="J3" s="174" t="n"/>
      <c r="K3" s="174" t="n"/>
      <c r="L3" s="174">
        <f>I3-(J3+K3)</f>
        <v/>
      </c>
      <c r="M3" s="172" t="n"/>
      <c r="N3" s="172" t="n"/>
      <c r="O3" s="172" t="n"/>
      <c r="P3" s="172">
        <f>M3-(N3+O3)</f>
        <v/>
      </c>
      <c r="Q3" s="41" t="n"/>
      <c r="R3" s="174" t="n"/>
      <c r="S3" s="174" t="n"/>
      <c r="T3" s="174">
        <f>Q3-(R3+S3)</f>
        <v/>
      </c>
      <c r="U3" s="167" t="n"/>
      <c r="V3" s="172" t="n"/>
      <c r="W3" s="172" t="n"/>
      <c r="X3" s="172">
        <f>U3-(V3+W3)</f>
        <v/>
      </c>
      <c r="Y3" s="41" t="n"/>
      <c r="Z3" s="174" t="n"/>
      <c r="AA3" s="174" t="n"/>
      <c r="AB3" s="174">
        <f>Y3-(Z3+AA3)</f>
        <v/>
      </c>
      <c r="AC3" s="41" t="n"/>
      <c r="AD3" s="174" t="n"/>
      <c r="AE3" s="174" t="n"/>
      <c r="AF3" s="174">
        <f>AC3-(AD3+AE3)</f>
        <v/>
      </c>
      <c r="AG3" s="41" t="n"/>
      <c r="AH3" s="174" t="n"/>
      <c r="AI3" s="174" t="n"/>
      <c r="AJ3" s="174">
        <f>AG3-(AH3+AI3)</f>
        <v/>
      </c>
      <c r="AK3" s="41" t="n"/>
      <c r="AL3" s="174" t="n"/>
      <c r="AM3" s="174" t="n"/>
      <c r="AN3" s="174">
        <f>AK3-(AL3+AM3)</f>
        <v/>
      </c>
      <c r="AO3" s="7" t="n"/>
      <c r="AP3" s="10" t="n"/>
      <c r="AQ3" s="10" t="n"/>
      <c r="AR3" s="174">
        <f>AO3-(AP3+AQ3)</f>
        <v/>
      </c>
      <c r="AS3" s="7" t="n"/>
      <c r="AT3" s="10" t="n"/>
      <c r="AU3" s="10" t="n"/>
      <c r="AV3" s="174">
        <f>AS3-(AT3+AU3)</f>
        <v/>
      </c>
      <c r="AW3" s="7" t="n"/>
      <c r="AX3" s="10" t="n"/>
      <c r="AY3" s="10" t="n"/>
      <c r="AZ3" s="174">
        <f>AW3-(AX3+AY3)</f>
        <v/>
      </c>
      <c r="BA3" s="172">
        <f>SUM(E3,I3,M3,Q3,U3,Y3,AC3,AG3,AK3,AO3,AS3,AW3)</f>
        <v/>
      </c>
      <c r="BB3" s="172">
        <f>SUM(F3,J3,N3,R3,V3,Z3,AD3,AH3,AL3,AP3,AT3,AX3)</f>
        <v/>
      </c>
      <c r="BC3" s="172">
        <f>SUM(G3,K3,O3,S3,W3,AA3,AE3,AI3,AM3,AQ3,AU3,AY3)</f>
        <v/>
      </c>
      <c r="BD3" s="231">
        <f>BA3-(BB3+BC3)</f>
        <v/>
      </c>
      <c r="BE3" s="234">
        <f>BD3+D3</f>
        <v/>
      </c>
    </row>
    <row r="4" ht="16" customHeight="1" s="251">
      <c r="A4" s="169" t="inlineStr">
        <is>
          <t>F2</t>
        </is>
      </c>
      <c r="B4" s="13" t="inlineStr">
        <is>
          <t>ramazen1@gmail.com</t>
        </is>
      </c>
      <c r="C4" s="13" t="inlineStr">
        <is>
          <t>Ramamurthy Pachaiyappan</t>
        </is>
      </c>
      <c r="D4" s="264" t="n">
        <v>0</v>
      </c>
      <c r="E4" s="171" t="n"/>
      <c r="F4" s="172" t="n"/>
      <c r="G4" s="172" t="n"/>
      <c r="H4" s="172">
        <f>E4-(F4+G4)</f>
        <v/>
      </c>
      <c r="I4" s="173" t="n"/>
      <c r="J4" s="174" t="n"/>
      <c r="K4" s="174" t="n"/>
      <c r="L4" s="174">
        <f>I4-(J4+K4)</f>
        <v/>
      </c>
      <c r="M4" s="172" t="n"/>
      <c r="N4" s="172" t="n"/>
      <c r="O4" s="172" t="n"/>
      <c r="P4" s="172">
        <f>M4-(N4+O4)</f>
        <v/>
      </c>
      <c r="Q4" s="41" t="n"/>
      <c r="R4" s="174" t="n"/>
      <c r="S4" s="174" t="n"/>
      <c r="T4" s="174">
        <f>Q4-(R4+S4)</f>
        <v/>
      </c>
      <c r="U4" s="167" t="n"/>
      <c r="V4" s="172" t="n"/>
      <c r="W4" s="172" t="n"/>
      <c r="X4" s="172">
        <f>U4-(V4+W4)</f>
        <v/>
      </c>
      <c r="Y4" s="41" t="n"/>
      <c r="Z4" s="174" t="n"/>
      <c r="AA4" s="174" t="n"/>
      <c r="AB4" s="174">
        <f>Y4-(Z4+AA4)</f>
        <v/>
      </c>
      <c r="AC4" s="41" t="n"/>
      <c r="AD4" s="174" t="n"/>
      <c r="AE4" s="174" t="n"/>
      <c r="AF4" s="174">
        <f>AC4-(AD4+AE4)</f>
        <v/>
      </c>
      <c r="AG4" s="41" t="n"/>
      <c r="AH4" s="174" t="n"/>
      <c r="AI4" s="174" t="n"/>
      <c r="AJ4" s="174">
        <f>AG4-(AH4+AI4)</f>
        <v/>
      </c>
      <c r="AK4" s="41" t="n"/>
      <c r="AL4" s="174" t="n"/>
      <c r="AM4" s="174" t="n"/>
      <c r="AN4" s="174">
        <f>AK4-(AL4+AM4)</f>
        <v/>
      </c>
      <c r="AO4" s="7" t="n"/>
      <c r="AP4" s="10" t="n"/>
      <c r="AQ4" s="10" t="n"/>
      <c r="AR4" s="174">
        <f>AO4-(AP4+AQ4)</f>
        <v/>
      </c>
      <c r="AS4" s="7" t="n"/>
      <c r="AT4" s="10" t="n"/>
      <c r="AU4" s="10" t="n"/>
      <c r="AV4" s="174">
        <f>AS4-(AT4+AU4)</f>
        <v/>
      </c>
      <c r="AW4" s="7" t="n"/>
      <c r="AX4" s="10" t="n"/>
      <c r="AY4" s="10" t="n"/>
      <c r="AZ4" s="174">
        <f>AW4-(AX4+AY4)</f>
        <v/>
      </c>
      <c r="BA4" s="172">
        <f>SUM(E4,I4,M4,Q4,U4,Y4,AC4,AG4,AK4,AO4,AS4,AW4)</f>
        <v/>
      </c>
      <c r="BB4" s="172">
        <f>SUM(F4,J4,N4,R4,V4,Z4,AD4,AH4,AL4,AP4,AT4,AX4)</f>
        <v/>
      </c>
      <c r="BC4" s="172">
        <f>SUM(G4,K4,O4,S4,W4,AA4,AE4,AI4,AM4,AQ4,AU4,AY4)</f>
        <v/>
      </c>
      <c r="BD4" s="231">
        <f>BA4-(BB4+BC4)</f>
        <v/>
      </c>
      <c r="BE4" s="234">
        <f>BD4+D4</f>
        <v/>
      </c>
    </row>
    <row r="5" ht="16" customHeight="1" s="251">
      <c r="A5" s="169" t="inlineStr">
        <is>
          <t>F3</t>
        </is>
      </c>
      <c r="B5" s="13" t="n"/>
      <c r="C5" s="13" t="inlineStr">
        <is>
          <t>Samrat Kar</t>
        </is>
      </c>
      <c r="D5" s="264" t="n">
        <v>0</v>
      </c>
      <c r="E5" s="171" t="n"/>
      <c r="F5" s="172" t="n"/>
      <c r="G5" s="172" t="n"/>
      <c r="H5" s="172">
        <f>E5-(F5+G5)</f>
        <v/>
      </c>
      <c r="I5" s="173" t="n"/>
      <c r="J5" s="174" t="n"/>
      <c r="K5" s="174" t="n"/>
      <c r="L5" s="174">
        <f>I5-(J5+K5)</f>
        <v/>
      </c>
      <c r="M5" s="172" t="n"/>
      <c r="N5" s="172" t="n"/>
      <c r="O5" s="172" t="n"/>
      <c r="P5" s="172">
        <f>M5-(N5+O5)</f>
        <v/>
      </c>
      <c r="Q5" s="41" t="n"/>
      <c r="R5" s="174" t="n"/>
      <c r="S5" s="174" t="n"/>
      <c r="T5" s="174">
        <f>Q5-(R5+S5)</f>
        <v/>
      </c>
      <c r="U5" s="167" t="n"/>
      <c r="V5" s="172" t="n"/>
      <c r="W5" s="172" t="n"/>
      <c r="X5" s="172">
        <f>U5-(V5+W5)</f>
        <v/>
      </c>
      <c r="Y5" s="41" t="n"/>
      <c r="Z5" s="174" t="n"/>
      <c r="AA5" s="174" t="n"/>
      <c r="AB5" s="174">
        <f>Y5-(Z5+AA5)</f>
        <v/>
      </c>
      <c r="AC5" s="41" t="n"/>
      <c r="AD5" s="174" t="n"/>
      <c r="AE5" s="174" t="n"/>
      <c r="AF5" s="174">
        <f>AC5-(AD5+AE5)</f>
        <v/>
      </c>
      <c r="AG5" s="41" t="n"/>
      <c r="AH5" s="174" t="n"/>
      <c r="AI5" s="174" t="n"/>
      <c r="AJ5" s="174">
        <f>AG5-(AH5+AI5)</f>
        <v/>
      </c>
      <c r="AK5" s="41" t="n"/>
      <c r="AL5" s="174" t="n"/>
      <c r="AM5" s="174" t="n"/>
      <c r="AN5" s="174">
        <f>AK5-(AL5+AM5)</f>
        <v/>
      </c>
      <c r="AO5" s="7" t="n"/>
      <c r="AP5" s="10" t="n"/>
      <c r="AQ5" s="10" t="n"/>
      <c r="AR5" s="174">
        <f>AO5-(AP5+AQ5)</f>
        <v/>
      </c>
      <c r="AS5" s="7" t="n"/>
      <c r="AT5" s="10" t="n"/>
      <c r="AU5" s="10" t="n"/>
      <c r="AV5" s="174">
        <f>AS5-(AT5+AU5)</f>
        <v/>
      </c>
      <c r="AW5" s="7" t="n"/>
      <c r="AX5" s="10" t="n"/>
      <c r="AY5" s="10" t="n"/>
      <c r="AZ5" s="174">
        <f>AW5-(AX5+AY5)</f>
        <v/>
      </c>
      <c r="BA5" s="172">
        <f>SUM(E5,I5,M5,Q5,U5,Y5,AC5,AG5,AK5,AO5,AS5,AW5)</f>
        <v/>
      </c>
      <c r="BB5" s="172">
        <f>SUM(F5,J5,N5,R5,V5,Z5,AD5,AH5,AL5,AP5,AT5,AX5)</f>
        <v/>
      </c>
      <c r="BC5" s="172">
        <f>SUM(G5,K5,O5,S5,W5,AA5,AE5,AI5,AM5,AQ5,AU5,AY5)</f>
        <v/>
      </c>
      <c r="BD5" s="231">
        <f>BA5-(BB5+BC5)</f>
        <v/>
      </c>
      <c r="BE5" s="234">
        <f>BD5+D5</f>
        <v/>
      </c>
    </row>
    <row r="6" ht="16" customHeight="1" s="251">
      <c r="A6" s="169" t="inlineStr">
        <is>
          <t>F4</t>
        </is>
      </c>
      <c r="B6" s="13" t="n"/>
      <c r="C6" s="13" t="inlineStr">
        <is>
          <t>Renu R</t>
        </is>
      </c>
      <c r="D6" s="264" t="n">
        <v>0</v>
      </c>
      <c r="E6" s="171" t="n"/>
      <c r="F6" s="172" t="n"/>
      <c r="G6" s="172" t="n"/>
      <c r="H6" s="172">
        <f>E6-(F6+G6)</f>
        <v/>
      </c>
      <c r="I6" s="173" t="n"/>
      <c r="J6" s="174" t="n"/>
      <c r="K6" s="174" t="n"/>
      <c r="L6" s="174">
        <f>I6-(J6+K6)</f>
        <v/>
      </c>
      <c r="M6" s="172" t="n"/>
      <c r="N6" s="172" t="n"/>
      <c r="O6" s="172" t="n"/>
      <c r="P6" s="172">
        <f>M6-(N6+O6)</f>
        <v/>
      </c>
      <c r="Q6" s="41" t="n"/>
      <c r="R6" s="174" t="n"/>
      <c r="S6" s="174" t="n"/>
      <c r="T6" s="174">
        <f>Q6-(R6+S6)</f>
        <v/>
      </c>
      <c r="U6" s="167" t="n"/>
      <c r="V6" s="172" t="n"/>
      <c r="W6" s="172" t="n"/>
      <c r="X6" s="172">
        <f>U6-(V6+W6)</f>
        <v/>
      </c>
      <c r="Y6" s="41" t="n"/>
      <c r="Z6" s="174" t="n"/>
      <c r="AA6" s="174" t="n"/>
      <c r="AB6" s="174">
        <f>Y6-(Z6+AA6)</f>
        <v/>
      </c>
      <c r="AC6" s="41" t="n"/>
      <c r="AD6" s="174" t="n"/>
      <c r="AE6" s="174" t="n"/>
      <c r="AF6" s="174">
        <f>AC6-(AD6+AE6)</f>
        <v/>
      </c>
      <c r="AG6" s="41" t="n"/>
      <c r="AH6" s="174" t="n"/>
      <c r="AI6" s="174" t="n"/>
      <c r="AJ6" s="174">
        <f>AG6-(AH6+AI6)</f>
        <v/>
      </c>
      <c r="AK6" s="41" t="n"/>
      <c r="AL6" s="174" t="n"/>
      <c r="AM6" s="174" t="n"/>
      <c r="AN6" s="174">
        <f>AK6-(AL6+AM6)</f>
        <v/>
      </c>
      <c r="AO6" s="7" t="n"/>
      <c r="AP6" s="10" t="n"/>
      <c r="AQ6" s="10" t="n"/>
      <c r="AR6" s="174">
        <f>AO6-(AP6+AQ6)</f>
        <v/>
      </c>
      <c r="AS6" s="7" t="n"/>
      <c r="AT6" s="10" t="n"/>
      <c r="AU6" s="10" t="n"/>
      <c r="AV6" s="174">
        <f>AS6-(AT6+AU6)</f>
        <v/>
      </c>
      <c r="AW6" s="7" t="n"/>
      <c r="AX6" s="10" t="n"/>
      <c r="AY6" s="10" t="n"/>
      <c r="AZ6" s="174">
        <f>AW6-(AX6+AY6)</f>
        <v/>
      </c>
      <c r="BA6" s="172">
        <f>SUM(E6,I6,M6,Q6,U6,Y6,AC6,AG6,AK6,AO6,AS6,AW6)</f>
        <v/>
      </c>
      <c r="BB6" s="172">
        <f>SUM(F6,J6,N6,R6,V6,Z6,AD6,AH6,AL6,AP6,AT6,AX6)</f>
        <v/>
      </c>
      <c r="BC6" s="172">
        <f>SUM(G6,K6,O6,S6,W6,AA6,AE6,AI6,AM6,AQ6,AU6,AY6)</f>
        <v/>
      </c>
      <c r="BD6" s="231">
        <f>BA6-(BB6+BC6)</f>
        <v/>
      </c>
      <c r="BE6" s="234">
        <f>BD6+D6</f>
        <v/>
      </c>
    </row>
    <row r="7" ht="16" customHeight="1" s="251">
      <c r="A7" s="169" t="inlineStr">
        <is>
          <t>F5</t>
        </is>
      </c>
      <c r="B7" s="13" t="n"/>
      <c r="C7" s="13" t="inlineStr">
        <is>
          <t>Vamsidhar Bethanabatla / Madhuri Anumula</t>
        </is>
      </c>
      <c r="D7" s="264" t="n">
        <v>0</v>
      </c>
      <c r="E7" s="171" t="n"/>
      <c r="F7" s="172" t="n"/>
      <c r="G7" s="172" t="n"/>
      <c r="H7" s="172">
        <f>E7-(F7+G7)</f>
        <v/>
      </c>
      <c r="I7" s="173" t="n"/>
      <c r="J7" s="174" t="n"/>
      <c r="K7" s="174" t="n"/>
      <c r="L7" s="174">
        <f>I7-(J7+K7)</f>
        <v/>
      </c>
      <c r="M7" s="172" t="n"/>
      <c r="N7" s="172" t="n"/>
      <c r="O7" s="172" t="n"/>
      <c r="P7" s="172">
        <f>M7-(N7+O7)</f>
        <v/>
      </c>
      <c r="Q7" s="41" t="n"/>
      <c r="R7" s="174" t="n"/>
      <c r="S7" s="174" t="n"/>
      <c r="T7" s="174">
        <f>Q7-(R7+S7)</f>
        <v/>
      </c>
      <c r="U7" s="167" t="n"/>
      <c r="V7" s="172" t="n"/>
      <c r="W7" s="172" t="n"/>
      <c r="X7" s="172">
        <f>U7-(V7+W7)</f>
        <v/>
      </c>
      <c r="Y7" s="41" t="n"/>
      <c r="Z7" s="174" t="n"/>
      <c r="AA7" s="174" t="n"/>
      <c r="AB7" s="174">
        <f>Y7-(Z7+AA7)</f>
        <v/>
      </c>
      <c r="AC7" s="41" t="n"/>
      <c r="AD7" s="174" t="n"/>
      <c r="AE7" s="174" t="n"/>
      <c r="AF7" s="174">
        <f>AC7-(AD7+AE7)</f>
        <v/>
      </c>
      <c r="AG7" s="41" t="n"/>
      <c r="AH7" s="174" t="n"/>
      <c r="AI7" s="174" t="n"/>
      <c r="AJ7" s="174">
        <f>AG7-(AH7+AI7)</f>
        <v/>
      </c>
      <c r="AK7" s="41" t="n"/>
      <c r="AL7" s="174" t="n"/>
      <c r="AM7" s="174" t="n"/>
      <c r="AN7" s="174">
        <f>AK7-(AL7+AM7)</f>
        <v/>
      </c>
      <c r="AO7" s="7" t="n"/>
      <c r="AP7" s="10" t="n"/>
      <c r="AQ7" s="10" t="n"/>
      <c r="AR7" s="174">
        <f>AO7-(AP7+AQ7)</f>
        <v/>
      </c>
      <c r="AS7" s="7" t="n"/>
      <c r="AT7" s="10" t="n"/>
      <c r="AU7" s="10" t="n"/>
      <c r="AV7" s="174">
        <f>AS7-(AT7+AU7)</f>
        <v/>
      </c>
      <c r="AW7" s="7" t="n"/>
      <c r="AX7" s="10" t="n"/>
      <c r="AY7" s="10" t="n"/>
      <c r="AZ7" s="174">
        <f>AW7-(AX7+AY7)</f>
        <v/>
      </c>
      <c r="BA7" s="172">
        <f>SUM(E7,I7,M7,Q7,U7,Y7,AC7,AG7,AK7,AO7,AS7,AW7)</f>
        <v/>
      </c>
      <c r="BB7" s="172">
        <f>SUM(F7,J7,N7,R7,V7,Z7,AD7,AH7,AL7,AP7,AT7,AX7)</f>
        <v/>
      </c>
      <c r="BC7" s="172">
        <f>SUM(G7,K7,O7,S7,W7,AA7,AE7,AI7,AM7,AQ7,AU7,AY7)</f>
        <v/>
      </c>
      <c r="BD7" s="231">
        <f>BA7-(BB7+BC7)</f>
        <v/>
      </c>
      <c r="BE7" s="234">
        <f>BD7+D7</f>
        <v/>
      </c>
    </row>
    <row r="8" ht="32" customHeight="1" s="251">
      <c r="A8" s="169" t="inlineStr">
        <is>
          <t>F6</t>
        </is>
      </c>
      <c r="B8" s="13" t="n"/>
      <c r="C8" s="13" t="inlineStr">
        <is>
          <t>Meghana Viral Shah and Vviral Shah (Owner) / Sangeet and Swagat (Tenent)</t>
        </is>
      </c>
      <c r="D8" s="264" t="n">
        <v>0</v>
      </c>
      <c r="E8" s="171" t="n"/>
      <c r="F8" s="172" t="n"/>
      <c r="G8" s="172" t="n"/>
      <c r="H8" s="172">
        <f>E8-(F8+G8)</f>
        <v/>
      </c>
      <c r="I8" s="173" t="n"/>
      <c r="J8" s="174" t="n"/>
      <c r="K8" s="174" t="n"/>
      <c r="L8" s="174">
        <f>I8-(J8+K8)</f>
        <v/>
      </c>
      <c r="M8" s="172" t="n"/>
      <c r="N8" s="172" t="n"/>
      <c r="O8" s="172" t="n"/>
      <c r="P8" s="172">
        <f>M8-(N8+O8)</f>
        <v/>
      </c>
      <c r="Q8" s="41" t="n"/>
      <c r="R8" s="174" t="n"/>
      <c r="S8" s="174" t="n"/>
      <c r="T8" s="174">
        <f>Q8-(R8+S8)</f>
        <v/>
      </c>
      <c r="U8" s="167" t="n"/>
      <c r="V8" s="172" t="n"/>
      <c r="W8" s="172" t="n"/>
      <c r="X8" s="172">
        <f>U8-(V8+W8)</f>
        <v/>
      </c>
      <c r="Y8" s="41" t="n"/>
      <c r="Z8" s="174" t="n"/>
      <c r="AA8" s="174" t="n"/>
      <c r="AB8" s="174">
        <f>Y8-(Z8+AA8)</f>
        <v/>
      </c>
      <c r="AC8" s="41" t="n"/>
      <c r="AD8" s="174" t="n"/>
      <c r="AE8" s="174" t="n"/>
      <c r="AF8" s="174">
        <f>AC8-(AD8+AE8)</f>
        <v/>
      </c>
      <c r="AG8" s="41" t="n"/>
      <c r="AH8" s="174" t="n"/>
      <c r="AI8" s="174" t="n"/>
      <c r="AJ8" s="174">
        <f>AG8-(AH8+AI8)</f>
        <v/>
      </c>
      <c r="AK8" s="41" t="n"/>
      <c r="AL8" s="174" t="n"/>
      <c r="AM8" s="174" t="n"/>
      <c r="AN8" s="174">
        <f>AK8-(AL8+AM8)</f>
        <v/>
      </c>
      <c r="AO8" s="7" t="n"/>
      <c r="AP8" s="10" t="n"/>
      <c r="AQ8" s="10" t="n"/>
      <c r="AR8" s="174">
        <f>AO8-(AP8+AQ8)</f>
        <v/>
      </c>
      <c r="AS8" s="7" t="n"/>
      <c r="AT8" s="10" t="n"/>
      <c r="AU8" s="10" t="n"/>
      <c r="AV8" s="174">
        <f>AS8-(AT8+AU8)</f>
        <v/>
      </c>
      <c r="AW8" s="7" t="n"/>
      <c r="AX8" s="10" t="n"/>
      <c r="AY8" s="10" t="n"/>
      <c r="AZ8" s="174">
        <f>AW8-(AX8+AY8)</f>
        <v/>
      </c>
      <c r="BA8" s="172">
        <f>SUM(E8,I8,M8,Q8,U8,Y8,AC8,AG8,AK8,AO8,AS8,AW8)</f>
        <v/>
      </c>
      <c r="BB8" s="172">
        <f>SUM(F8,J8,N8,R8,V8,Z8,AD8,AH8,AL8,AP8,AT8,AX8)</f>
        <v/>
      </c>
      <c r="BC8" s="172">
        <f>SUM(G8,K8,O8,S8,W8,AA8,AE8,AI8,AM8,AQ8,AU8,AY8)</f>
        <v/>
      </c>
      <c r="BD8" s="231">
        <f>BA8-(BB8+BC8)</f>
        <v/>
      </c>
      <c r="BE8" s="234">
        <f>BD8+D8</f>
        <v/>
      </c>
    </row>
    <row r="9" ht="16" customHeight="1" s="251">
      <c r="A9" s="169" t="inlineStr">
        <is>
          <t>F7</t>
        </is>
      </c>
      <c r="B9" s="13" t="n"/>
      <c r="C9" s="13" t="inlineStr">
        <is>
          <t>Vimal NK</t>
        </is>
      </c>
      <c r="D9" s="264" t="n">
        <v>0</v>
      </c>
      <c r="E9" s="171" t="n"/>
      <c r="F9" s="172" t="n"/>
      <c r="G9" s="172" t="n"/>
      <c r="H9" s="172">
        <f>E9-(F9+G9)</f>
        <v/>
      </c>
      <c r="I9" s="173" t="n"/>
      <c r="J9" s="174" t="n"/>
      <c r="K9" s="174" t="n"/>
      <c r="L9" s="174">
        <f>I9-(J9+K9)</f>
        <v/>
      </c>
      <c r="M9" s="172" t="n"/>
      <c r="N9" s="172" t="n"/>
      <c r="O9" s="172" t="n"/>
      <c r="P9" s="172">
        <f>M9-(N9+O9)</f>
        <v/>
      </c>
      <c r="Q9" s="41" t="n"/>
      <c r="R9" s="174" t="n"/>
      <c r="S9" s="174" t="n"/>
      <c r="T9" s="174">
        <f>Q9-(R9+S9)</f>
        <v/>
      </c>
      <c r="U9" s="167" t="n"/>
      <c r="V9" s="172" t="n"/>
      <c r="W9" s="172" t="n"/>
      <c r="X9" s="172">
        <f>U9-(V9+W9)</f>
        <v/>
      </c>
      <c r="Y9" s="41" t="n"/>
      <c r="Z9" s="174" t="n"/>
      <c r="AA9" s="174" t="n"/>
      <c r="AB9" s="174">
        <f>Y9-(Z9+AA9)</f>
        <v/>
      </c>
      <c r="AC9" s="41" t="n"/>
      <c r="AD9" s="174" t="n"/>
      <c r="AE9" s="174" t="n"/>
      <c r="AF9" s="174">
        <f>AC9-(AD9+AE9)</f>
        <v/>
      </c>
      <c r="AG9" s="41" t="n"/>
      <c r="AH9" s="174" t="n"/>
      <c r="AI9" s="174" t="n"/>
      <c r="AJ9" s="174">
        <f>AG9-(AH9+AI9)</f>
        <v/>
      </c>
      <c r="AK9" s="41" t="n"/>
      <c r="AL9" s="174" t="n"/>
      <c r="AM9" s="174" t="n"/>
      <c r="AN9" s="174">
        <f>AK9-(AL9+AM9)</f>
        <v/>
      </c>
      <c r="AO9" s="7" t="n"/>
      <c r="AP9" s="10" t="n"/>
      <c r="AQ9" s="10" t="n"/>
      <c r="AR9" s="174">
        <f>AO9-(AP9+AQ9)</f>
        <v/>
      </c>
      <c r="AS9" s="7" t="n"/>
      <c r="AT9" s="10" t="n"/>
      <c r="AU9" s="10" t="n"/>
      <c r="AV9" s="174">
        <f>AS9-(AT9+AU9)</f>
        <v/>
      </c>
      <c r="AW9" s="7" t="n"/>
      <c r="AX9" s="10" t="n"/>
      <c r="AY9" s="10" t="n"/>
      <c r="AZ9" s="174">
        <f>AW9-(AX9+AY9)</f>
        <v/>
      </c>
      <c r="BA9" s="172">
        <f>SUM(E9,I9,M9,Q9,U9,Y9,AC9,AG9,AK9,AO9,AS9,AW9)</f>
        <v/>
      </c>
      <c r="BB9" s="172">
        <f>SUM(F9,J9,N9,R9,V9,Z9,AD9,AH9,AL9,AP9,AT9,AX9)</f>
        <v/>
      </c>
      <c r="BC9" s="172">
        <f>SUM(G9,K9,O9,S9,W9,AA9,AE9,AI9,AM9,AQ9,AU9,AY9)</f>
        <v/>
      </c>
      <c r="BD9" s="231">
        <f>BA9-(BB9+BC9)</f>
        <v/>
      </c>
      <c r="BE9" s="234">
        <f>BD9+D9</f>
        <v/>
      </c>
    </row>
    <row r="10" ht="16" customHeight="1" s="251">
      <c r="A10" s="169" t="inlineStr">
        <is>
          <t>F8</t>
        </is>
      </c>
      <c r="B10" s="13" t="n"/>
      <c r="C10" s="13" t="inlineStr">
        <is>
          <t>Sujeet Kumar (Tenant)/Sreejith Menon (Owner)</t>
        </is>
      </c>
      <c r="D10" s="264" t="n">
        <v>0</v>
      </c>
      <c r="E10" s="171" t="n"/>
      <c r="F10" s="172" t="n"/>
      <c r="G10" s="172" t="n"/>
      <c r="H10" s="172">
        <f>E10-(F10+G10)</f>
        <v/>
      </c>
      <c r="I10" s="173" t="n"/>
      <c r="J10" s="174" t="n"/>
      <c r="K10" s="174" t="n"/>
      <c r="L10" s="174">
        <f>I10-(J10+K10)</f>
        <v/>
      </c>
      <c r="M10" s="172" t="n"/>
      <c r="N10" s="172" t="n"/>
      <c r="O10" s="172" t="n"/>
      <c r="P10" s="172">
        <f>M10-(N10+O10)</f>
        <v/>
      </c>
      <c r="Q10" s="41" t="n"/>
      <c r="R10" s="174" t="n"/>
      <c r="S10" s="174" t="n"/>
      <c r="T10" s="174">
        <f>Q10-(R10+S10)</f>
        <v/>
      </c>
      <c r="U10" s="167" t="n"/>
      <c r="V10" s="172" t="n"/>
      <c r="W10" s="172" t="n"/>
      <c r="X10" s="172">
        <f>U10-(V10+W10)</f>
        <v/>
      </c>
      <c r="Y10" s="41" t="n"/>
      <c r="Z10" s="174" t="n"/>
      <c r="AA10" s="174" t="n"/>
      <c r="AB10" s="174">
        <f>Y10-(Z10+AA10)</f>
        <v/>
      </c>
      <c r="AC10" s="41" t="n"/>
      <c r="AD10" s="174" t="n"/>
      <c r="AE10" s="174" t="n"/>
      <c r="AF10" s="174">
        <f>AC10-(AD10+AE10)</f>
        <v/>
      </c>
      <c r="AG10" s="41" t="n"/>
      <c r="AH10" s="174" t="n"/>
      <c r="AI10" s="174" t="n"/>
      <c r="AJ10" s="174">
        <f>AG10-(AH10+AI10)</f>
        <v/>
      </c>
      <c r="AK10" s="41" t="n"/>
      <c r="AL10" s="174" t="n"/>
      <c r="AM10" s="174" t="n"/>
      <c r="AN10" s="174">
        <f>AK10-(AL10+AM10)</f>
        <v/>
      </c>
      <c r="AO10" s="7" t="n"/>
      <c r="AP10" s="10" t="n"/>
      <c r="AQ10" s="10" t="n"/>
      <c r="AR10" s="174">
        <f>AO10-(AP10+AQ10)</f>
        <v/>
      </c>
      <c r="AS10" s="7" t="n"/>
      <c r="AT10" s="10" t="n"/>
      <c r="AU10" s="10" t="n"/>
      <c r="AV10" s="174">
        <f>AS10-(AT10+AU10)</f>
        <v/>
      </c>
      <c r="AW10" s="7" t="n"/>
      <c r="AX10" s="10" t="n"/>
      <c r="AY10" s="10" t="n"/>
      <c r="AZ10" s="174">
        <f>AW10-(AX10+AY10)</f>
        <v/>
      </c>
      <c r="BA10" s="172">
        <f>SUM(E10,I10,M10,Q10,U10,Y10,AC10,AG10,AK10,AO10,AS10,AW10)</f>
        <v/>
      </c>
      <c r="BB10" s="172">
        <f>SUM(F10,J10,N10,R10,V10,Z10,AD10,AH10,AL10,AP10,AT10,AX10)</f>
        <v/>
      </c>
      <c r="BC10" s="172">
        <f>SUM(G10,K10,O10,S10,W10,AA10,AE10,AI10,AM10,AQ10,AU10,AY10)</f>
        <v/>
      </c>
      <c r="BD10" s="231">
        <f>BA10-(BB10+BC10)</f>
        <v/>
      </c>
      <c r="BE10" s="234">
        <f>BD10+D10</f>
        <v/>
      </c>
    </row>
    <row r="11" ht="16" customHeight="1" s="251">
      <c r="A11" s="169" t="inlineStr">
        <is>
          <t>F9</t>
        </is>
      </c>
      <c r="B11" s="13" t="n"/>
      <c r="C11" s="13" t="inlineStr">
        <is>
          <t>Vijay Suswaram (Owner)  /   Divya Shikha (Tenant)</t>
        </is>
      </c>
      <c r="D11" s="264" t="n">
        <v>0</v>
      </c>
      <c r="E11" s="171" t="n"/>
      <c r="F11" s="172" t="n"/>
      <c r="G11" s="172" t="n"/>
      <c r="H11" s="172">
        <f>E11-(F11+G11)</f>
        <v/>
      </c>
      <c r="I11" s="173" t="n"/>
      <c r="J11" s="174" t="n"/>
      <c r="K11" s="174" t="n"/>
      <c r="L11" s="174">
        <f>I11-(J11+K11)</f>
        <v/>
      </c>
      <c r="M11" s="172" t="n"/>
      <c r="N11" s="172" t="n"/>
      <c r="O11" s="172" t="n"/>
      <c r="P11" s="172">
        <f>M11-(N11+O11)</f>
        <v/>
      </c>
      <c r="Q11" s="41" t="n"/>
      <c r="R11" s="174" t="n"/>
      <c r="S11" s="174" t="n"/>
      <c r="T11" s="174">
        <f>Q11-(R11+S11)</f>
        <v/>
      </c>
      <c r="U11" s="167" t="n"/>
      <c r="V11" s="172" t="n"/>
      <c r="W11" s="172" t="n"/>
      <c r="X11" s="172">
        <f>U11-(V11+W11)</f>
        <v/>
      </c>
      <c r="Y11" s="41" t="n"/>
      <c r="Z11" s="174" t="n"/>
      <c r="AA11" s="174" t="n"/>
      <c r="AB11" s="174">
        <f>Y11-(Z11+AA11)</f>
        <v/>
      </c>
      <c r="AC11" s="41" t="n"/>
      <c r="AD11" s="174" t="n"/>
      <c r="AE11" s="174" t="n"/>
      <c r="AF11" s="174">
        <f>AC11-(AD11+AE11)</f>
        <v/>
      </c>
      <c r="AG11" s="41" t="n"/>
      <c r="AH11" s="174" t="n"/>
      <c r="AI11" s="174" t="n"/>
      <c r="AJ11" s="174">
        <f>AG11-(AH11+AI11)</f>
        <v/>
      </c>
      <c r="AK11" s="41" t="n"/>
      <c r="AL11" s="174" t="n"/>
      <c r="AM11" s="174" t="n"/>
      <c r="AN11" s="174">
        <f>AK11-(AL11+AM11)</f>
        <v/>
      </c>
      <c r="AO11" s="7" t="n"/>
      <c r="AP11" s="10" t="n"/>
      <c r="AQ11" s="10" t="n"/>
      <c r="AR11" s="174">
        <f>AO11-(AP11+AQ11)</f>
        <v/>
      </c>
      <c r="AS11" s="7" t="n"/>
      <c r="AT11" s="10" t="n"/>
      <c r="AU11" s="10" t="n"/>
      <c r="AV11" s="174">
        <f>AS11-(AT11+AU11)</f>
        <v/>
      </c>
      <c r="AW11" s="7" t="n"/>
      <c r="AX11" s="10" t="n"/>
      <c r="AY11" s="10" t="n"/>
      <c r="AZ11" s="174">
        <f>AW11-(AX11+AY11)</f>
        <v/>
      </c>
      <c r="BA11" s="172">
        <f>SUM(E11,I11,M11,Q11,U11,Y11,AC11,AG11,AK11,AO11,AS11,AW11)</f>
        <v/>
      </c>
      <c r="BB11" s="172">
        <f>SUM(F11,J11,N11,R11,V11,Z11,AD11,AH11,AL11,AP11,AT11,AX11)</f>
        <v/>
      </c>
      <c r="BC11" s="172">
        <f>SUM(G11,K11,O11,S11,W11,AA11,AE11,AI11,AM11,AQ11,AU11,AY11)</f>
        <v/>
      </c>
      <c r="BD11" s="231">
        <f>BA11-(BB11+BC11)</f>
        <v/>
      </c>
      <c r="BE11" s="234">
        <f>BD11+D11</f>
        <v/>
      </c>
    </row>
    <row r="12" ht="16" customHeight="1" s="251">
      <c r="A12" s="169" t="inlineStr">
        <is>
          <t>F10</t>
        </is>
      </c>
      <c r="B12" s="13" t="n"/>
      <c r="C12" s="13" t="inlineStr">
        <is>
          <t>Aby Thomas</t>
        </is>
      </c>
      <c r="D12" s="264" t="n">
        <v>0</v>
      </c>
      <c r="E12" s="171" t="n"/>
      <c r="F12" s="172" t="n"/>
      <c r="G12" s="172" t="n"/>
      <c r="H12" s="172">
        <f>E12-(F12+G12)</f>
        <v/>
      </c>
      <c r="I12" s="173" t="n"/>
      <c r="J12" s="174" t="n"/>
      <c r="K12" s="174" t="n"/>
      <c r="L12" s="174">
        <f>I12-(J12+K12)</f>
        <v/>
      </c>
      <c r="M12" s="172" t="n"/>
      <c r="N12" s="172" t="n"/>
      <c r="O12" s="172" t="n"/>
      <c r="P12" s="172">
        <f>M12-(N12+O12)</f>
        <v/>
      </c>
      <c r="Q12" s="41" t="n"/>
      <c r="R12" s="174" t="n"/>
      <c r="S12" s="174" t="n"/>
      <c r="T12" s="174">
        <f>Q12-(R12+S12)</f>
        <v/>
      </c>
      <c r="U12" s="167" t="n"/>
      <c r="V12" s="172" t="n"/>
      <c r="W12" s="172" t="n"/>
      <c r="X12" s="172">
        <f>U12-(V12+W12)</f>
        <v/>
      </c>
      <c r="Y12" s="41" t="n"/>
      <c r="Z12" s="174" t="n"/>
      <c r="AA12" s="174" t="n"/>
      <c r="AB12" s="174">
        <f>Y12-(Z12+AA12)</f>
        <v/>
      </c>
      <c r="AC12" s="41" t="n"/>
      <c r="AD12" s="174" t="n"/>
      <c r="AE12" s="174" t="n"/>
      <c r="AF12" s="174">
        <f>AC12-(AD12+AE12)</f>
        <v/>
      </c>
      <c r="AG12" s="41" t="n"/>
      <c r="AH12" s="174" t="n"/>
      <c r="AI12" s="174" t="n"/>
      <c r="AJ12" s="174">
        <f>AG12-(AH12+AI12)</f>
        <v/>
      </c>
      <c r="AK12" s="41" t="n"/>
      <c r="AL12" s="174" t="n"/>
      <c r="AM12" s="174" t="n"/>
      <c r="AN12" s="174">
        <f>AK12-(AL12+AM12)</f>
        <v/>
      </c>
      <c r="AO12" s="7" t="n"/>
      <c r="AP12" s="10" t="n"/>
      <c r="AQ12" s="10" t="n"/>
      <c r="AR12" s="174">
        <f>AO12-(AP12+AQ12)</f>
        <v/>
      </c>
      <c r="AS12" s="7" t="n"/>
      <c r="AT12" s="10" t="n"/>
      <c r="AU12" s="10" t="n"/>
      <c r="AV12" s="174">
        <f>AS12-(AT12+AU12)</f>
        <v/>
      </c>
      <c r="AW12" s="7" t="n"/>
      <c r="AX12" s="10" t="n"/>
      <c r="AY12" s="10" t="n"/>
      <c r="AZ12" s="174">
        <f>AW12-(AX12+AY12)</f>
        <v/>
      </c>
      <c r="BA12" s="172">
        <f>SUM(E12,I12,M12,Q12,U12,Y12,AC12,AG12,AK12,AO12,AS12,AW12)</f>
        <v/>
      </c>
      <c r="BB12" s="172">
        <f>SUM(F12,J12,N12,R12,V12,Z12,AD12,AH12,AL12,AP12,AT12,AX12)</f>
        <v/>
      </c>
      <c r="BC12" s="172">
        <f>SUM(G12,K12,O12,S12,W12,AA12,AE12,AI12,AM12,AQ12,AU12,AY12)</f>
        <v/>
      </c>
      <c r="BD12" s="231">
        <f>BA12-(BB12+BC12)</f>
        <v/>
      </c>
      <c r="BE12" s="234">
        <f>BD12+D12</f>
        <v/>
      </c>
    </row>
    <row r="13" ht="16" customHeight="1" s="251">
      <c r="A13" s="169" t="inlineStr">
        <is>
          <t>F11</t>
        </is>
      </c>
      <c r="B13" s="13" t="n"/>
      <c r="C13" s="13" t="inlineStr">
        <is>
          <t>Niwin Anto</t>
        </is>
      </c>
      <c r="D13" s="264" t="n">
        <v>0</v>
      </c>
      <c r="E13" s="171" t="n"/>
      <c r="F13" s="172" t="n"/>
      <c r="G13" s="172" t="n"/>
      <c r="H13" s="172">
        <f>E13-(F13+G13)</f>
        <v/>
      </c>
      <c r="I13" s="173" t="n"/>
      <c r="J13" s="174" t="n"/>
      <c r="K13" s="174" t="n"/>
      <c r="L13" s="174">
        <f>I13-(J13+K13)</f>
        <v/>
      </c>
      <c r="M13" s="172" t="n"/>
      <c r="N13" s="172" t="n"/>
      <c r="O13" s="172" t="n"/>
      <c r="P13" s="172">
        <f>M13-(N13+O13)</f>
        <v/>
      </c>
      <c r="Q13" s="41" t="n"/>
      <c r="R13" s="174" t="n"/>
      <c r="S13" s="174" t="n"/>
      <c r="T13" s="174">
        <f>Q13-(R13+S13)</f>
        <v/>
      </c>
      <c r="U13" s="167" t="n"/>
      <c r="V13" s="172" t="n"/>
      <c r="W13" s="172" t="n"/>
      <c r="X13" s="172">
        <f>U13-(V13+W13)</f>
        <v/>
      </c>
      <c r="Y13" s="41" t="n"/>
      <c r="Z13" s="174" t="n"/>
      <c r="AA13" s="174" t="n"/>
      <c r="AB13" s="174">
        <f>Y13-(Z13+AA13)</f>
        <v/>
      </c>
      <c r="AC13" s="41" t="n"/>
      <c r="AD13" s="174" t="n"/>
      <c r="AE13" s="174" t="n"/>
      <c r="AF13" s="174">
        <f>AC13-(AD13+AE13)</f>
        <v/>
      </c>
      <c r="AG13" s="41" t="n"/>
      <c r="AH13" s="174" t="n"/>
      <c r="AI13" s="174" t="n"/>
      <c r="AJ13" s="174">
        <f>AG13-(AH13+AI13)</f>
        <v/>
      </c>
      <c r="AK13" s="41" t="n"/>
      <c r="AL13" s="174" t="n"/>
      <c r="AM13" s="174" t="n"/>
      <c r="AN13" s="174">
        <f>AK13-(AL13+AM13)</f>
        <v/>
      </c>
      <c r="AO13" s="7" t="n"/>
      <c r="AP13" s="10" t="n"/>
      <c r="AQ13" s="10" t="n"/>
      <c r="AR13" s="174">
        <f>AO13-(AP13+AQ13)</f>
        <v/>
      </c>
      <c r="AS13" s="7" t="n"/>
      <c r="AT13" s="10" t="n"/>
      <c r="AU13" s="10" t="n"/>
      <c r="AV13" s="174">
        <f>AS13-(AT13+AU13)</f>
        <v/>
      </c>
      <c r="AW13" s="7" t="n"/>
      <c r="AX13" s="10" t="n"/>
      <c r="AY13" s="10" t="n"/>
      <c r="AZ13" s="174">
        <f>AW13-(AX13+AY13)</f>
        <v/>
      </c>
      <c r="BA13" s="172">
        <f>SUM(E13,I13,M13,Q13,U13,Y13,AC13,AG13,AK13,AO13,AS13,AW13)</f>
        <v/>
      </c>
      <c r="BB13" s="172">
        <f>SUM(F13,J13,N13,R13,V13,Z13,AD13,AH13,AL13,AP13,AT13,AX13)</f>
        <v/>
      </c>
      <c r="BC13" s="172">
        <f>SUM(G13,K13,O13,S13,W13,AA13,AE13,AI13,AM13,AQ13,AU13,AY13)</f>
        <v/>
      </c>
      <c r="BD13" s="231">
        <f>BA13-(BB13+BC13)</f>
        <v/>
      </c>
      <c r="BE13" s="234">
        <f>BD13+D13</f>
        <v/>
      </c>
    </row>
    <row r="14" ht="16" customHeight="1" s="251">
      <c r="A14" s="169" t="inlineStr">
        <is>
          <t>F12</t>
        </is>
      </c>
      <c r="B14" s="13" t="n"/>
      <c r="C14" s="13" t="inlineStr">
        <is>
          <t>Anirudh Singh</t>
        </is>
      </c>
      <c r="D14" s="264" t="n">
        <v>0</v>
      </c>
      <c r="E14" s="171" t="n"/>
      <c r="F14" s="172" t="n"/>
      <c r="G14" s="172" t="n"/>
      <c r="H14" s="172">
        <f>E14-(F14+G14)</f>
        <v/>
      </c>
      <c r="I14" s="173" t="n"/>
      <c r="J14" s="174" t="n"/>
      <c r="K14" s="174" t="n"/>
      <c r="L14" s="174">
        <f>I14-(J14+K14)</f>
        <v/>
      </c>
      <c r="M14" s="172" t="n"/>
      <c r="N14" s="172" t="n"/>
      <c r="O14" s="172" t="n"/>
      <c r="P14" s="172">
        <f>M14-(N14+O14)</f>
        <v/>
      </c>
      <c r="Q14" s="41" t="n"/>
      <c r="R14" s="174" t="n"/>
      <c r="S14" s="174" t="n"/>
      <c r="T14" s="174">
        <f>Q14-(R14+S14)</f>
        <v/>
      </c>
      <c r="U14" s="167" t="n"/>
      <c r="V14" s="172" t="n"/>
      <c r="W14" s="172" t="n"/>
      <c r="X14" s="172">
        <f>U14-(V14+W14)</f>
        <v/>
      </c>
      <c r="Y14" s="41" t="n"/>
      <c r="Z14" s="174" t="n"/>
      <c r="AA14" s="174" t="n"/>
      <c r="AB14" s="174">
        <f>Y14-(Z14+AA14)</f>
        <v/>
      </c>
      <c r="AC14" s="41" t="n"/>
      <c r="AD14" s="174" t="n"/>
      <c r="AE14" s="174" t="n"/>
      <c r="AF14" s="174">
        <f>AC14-(AD14+AE14)</f>
        <v/>
      </c>
      <c r="AG14" s="41" t="n"/>
      <c r="AH14" s="174" t="n"/>
      <c r="AI14" s="174" t="n"/>
      <c r="AJ14" s="174">
        <f>AG14-(AH14+AI14)</f>
        <v/>
      </c>
      <c r="AK14" s="41" t="n"/>
      <c r="AL14" s="174" t="n"/>
      <c r="AM14" s="174" t="n"/>
      <c r="AN14" s="174">
        <f>AK14-(AL14+AM14)</f>
        <v/>
      </c>
      <c r="AO14" s="7" t="n"/>
      <c r="AP14" s="10" t="n"/>
      <c r="AQ14" s="10" t="n"/>
      <c r="AR14" s="174">
        <f>AO14-(AP14+AQ14)</f>
        <v/>
      </c>
      <c r="AS14" s="7" t="n"/>
      <c r="AT14" s="10" t="n"/>
      <c r="AU14" s="10" t="n"/>
      <c r="AV14" s="174">
        <f>AS14-(AT14+AU14)</f>
        <v/>
      </c>
      <c r="AW14" s="7" t="n"/>
      <c r="AX14" s="10" t="n"/>
      <c r="AY14" s="10" t="n"/>
      <c r="AZ14" s="174">
        <f>AW14-(AX14+AY14)</f>
        <v/>
      </c>
      <c r="BA14" s="172">
        <f>SUM(E14,I14,M14,Q14,U14,Y14,AC14,AG14,AK14,AO14,AS14,AW14)</f>
        <v/>
      </c>
      <c r="BB14" s="172">
        <f>SUM(F14,J14,N14,R14,V14,Z14,AD14,AH14,AL14,AP14,AT14,AX14)</f>
        <v/>
      </c>
      <c r="BC14" s="172">
        <f>SUM(G14,K14,O14,S14,W14,AA14,AE14,AI14,AM14,AQ14,AU14,AY14)</f>
        <v/>
      </c>
      <c r="BD14" s="231">
        <f>BA14-(BB14+BC14)</f>
        <v/>
      </c>
      <c r="BE14" s="234">
        <f>BD14+D14</f>
        <v/>
      </c>
    </row>
    <row r="15" ht="16" customHeight="1" s="251">
      <c r="A15" s="169" t="inlineStr">
        <is>
          <t>F13</t>
        </is>
      </c>
      <c r="B15" s="13" t="n"/>
      <c r="C15" s="13" t="inlineStr">
        <is>
          <t>Sanchay Saxena</t>
        </is>
      </c>
      <c r="D15" s="264" t="n">
        <v>0</v>
      </c>
      <c r="E15" s="171" t="n"/>
      <c r="F15" s="172" t="n"/>
      <c r="G15" s="172" t="n"/>
      <c r="H15" s="172">
        <f>E15-(F15+G15)</f>
        <v/>
      </c>
      <c r="I15" s="173" t="n"/>
      <c r="J15" s="174" t="n"/>
      <c r="K15" s="174" t="n"/>
      <c r="L15" s="174">
        <f>I15-(J15+K15)</f>
        <v/>
      </c>
      <c r="M15" s="172" t="n"/>
      <c r="N15" s="172" t="n"/>
      <c r="O15" s="172" t="n"/>
      <c r="P15" s="172">
        <f>M15-(N15+O15)</f>
        <v/>
      </c>
      <c r="Q15" s="41" t="n"/>
      <c r="R15" s="174" t="n"/>
      <c r="S15" s="174" t="n"/>
      <c r="T15" s="174">
        <f>Q15-(R15+S15)</f>
        <v/>
      </c>
      <c r="U15" s="167" t="n"/>
      <c r="V15" s="172" t="n"/>
      <c r="W15" s="172" t="n"/>
      <c r="X15" s="172">
        <f>U15-(V15+W15)</f>
        <v/>
      </c>
      <c r="Y15" s="41" t="n"/>
      <c r="Z15" s="174" t="n"/>
      <c r="AA15" s="174" t="n"/>
      <c r="AB15" s="174">
        <f>Y15-(Z15+AA15)</f>
        <v/>
      </c>
      <c r="AC15" s="41" t="n"/>
      <c r="AD15" s="174" t="n"/>
      <c r="AE15" s="174" t="n"/>
      <c r="AF15" s="174">
        <f>AC15-(AD15+AE15)</f>
        <v/>
      </c>
      <c r="AG15" s="41" t="n"/>
      <c r="AH15" s="174" t="n"/>
      <c r="AI15" s="174" t="n"/>
      <c r="AJ15" s="174">
        <f>AG15-(AH15+AI15)</f>
        <v/>
      </c>
      <c r="AK15" s="41" t="n"/>
      <c r="AL15" s="174" t="n"/>
      <c r="AM15" s="174" t="n"/>
      <c r="AN15" s="174">
        <f>AK15-(AL15+AM15)</f>
        <v/>
      </c>
      <c r="AO15" s="7" t="n"/>
      <c r="AP15" s="10" t="n"/>
      <c r="AQ15" s="10" t="n"/>
      <c r="AR15" s="174">
        <f>AO15-(AP15+AQ15)</f>
        <v/>
      </c>
      <c r="AS15" s="7" t="n"/>
      <c r="AT15" s="10" t="n"/>
      <c r="AU15" s="10" t="n"/>
      <c r="AV15" s="174">
        <f>AS15-(AT15+AU15)</f>
        <v/>
      </c>
      <c r="AW15" s="7" t="n"/>
      <c r="AX15" s="10" t="n"/>
      <c r="AY15" s="10" t="n"/>
      <c r="AZ15" s="174">
        <f>AW15-(AX15+AY15)</f>
        <v/>
      </c>
      <c r="BA15" s="172">
        <f>SUM(E15,I15,M15,Q15,U15,Y15,AC15,AG15,AK15,AO15,AS15,AW15)</f>
        <v/>
      </c>
      <c r="BB15" s="172">
        <f>SUM(F15,J15,N15,R15,V15,Z15,AD15,AH15,AL15,AP15,AT15,AX15)</f>
        <v/>
      </c>
      <c r="BC15" s="172">
        <f>SUM(G15,K15,O15,S15,W15,AA15,AE15,AI15,AM15,AQ15,AU15,AY15)</f>
        <v/>
      </c>
      <c r="BD15" s="231">
        <f>BA15-(BB15+BC15)</f>
        <v/>
      </c>
      <c r="BE15" s="234">
        <f>BD15+D15</f>
        <v/>
      </c>
    </row>
    <row r="16" ht="16" customHeight="1" s="251">
      <c r="A16" s="169" t="inlineStr">
        <is>
          <t>F14</t>
        </is>
      </c>
      <c r="B16" s="13" t="n"/>
      <c r="C16" s="13" t="inlineStr">
        <is>
          <t>Hemant Patel</t>
        </is>
      </c>
      <c r="D16" s="264" t="n">
        <v>0</v>
      </c>
      <c r="E16" s="171" t="n"/>
      <c r="F16" s="172" t="n"/>
      <c r="G16" s="172" t="n"/>
      <c r="H16" s="172">
        <f>E16-(F16+G16)</f>
        <v/>
      </c>
      <c r="I16" s="173" t="n"/>
      <c r="J16" s="174" t="n"/>
      <c r="K16" s="174" t="n"/>
      <c r="L16" s="174">
        <f>I16-(J16+K16)</f>
        <v/>
      </c>
      <c r="M16" s="172" t="n"/>
      <c r="N16" s="172" t="n"/>
      <c r="O16" s="172" t="n"/>
      <c r="P16" s="172">
        <f>M16-(N16+O16)</f>
        <v/>
      </c>
      <c r="Q16" s="41" t="n"/>
      <c r="R16" s="174" t="n"/>
      <c r="S16" s="174" t="n"/>
      <c r="T16" s="174">
        <f>Q16-(R16+S16)</f>
        <v/>
      </c>
      <c r="U16" s="167" t="n"/>
      <c r="V16" s="172" t="n"/>
      <c r="W16" s="172" t="n"/>
      <c r="X16" s="172">
        <f>U16-(V16+W16)</f>
        <v/>
      </c>
      <c r="Y16" s="41" t="n"/>
      <c r="Z16" s="174" t="n"/>
      <c r="AA16" s="174" t="n"/>
      <c r="AB16" s="174">
        <f>Y16-(Z16+AA16)</f>
        <v/>
      </c>
      <c r="AC16" s="41" t="n"/>
      <c r="AD16" s="174" t="n"/>
      <c r="AE16" s="174" t="n"/>
      <c r="AF16" s="174">
        <f>AC16-(AD16+AE16)</f>
        <v/>
      </c>
      <c r="AG16" s="41" t="n"/>
      <c r="AH16" s="174" t="n"/>
      <c r="AI16" s="174" t="n"/>
      <c r="AJ16" s="174">
        <f>AG16-(AH16+AI16)</f>
        <v/>
      </c>
      <c r="AK16" s="41" t="n"/>
      <c r="AL16" s="174" t="n"/>
      <c r="AM16" s="174" t="n"/>
      <c r="AN16" s="174">
        <f>AK16-(AL16+AM16)</f>
        <v/>
      </c>
      <c r="AO16" s="7" t="n"/>
      <c r="AP16" s="10" t="n"/>
      <c r="AQ16" s="10" t="n"/>
      <c r="AR16" s="174">
        <f>AO16-(AP16+AQ16)</f>
        <v/>
      </c>
      <c r="AS16" s="7" t="n"/>
      <c r="AT16" s="10" t="n"/>
      <c r="AU16" s="10" t="n"/>
      <c r="AV16" s="174">
        <f>AS16-(AT16+AU16)</f>
        <v/>
      </c>
      <c r="AW16" s="7" t="n"/>
      <c r="AX16" s="10" t="n"/>
      <c r="AY16" s="10" t="n"/>
      <c r="AZ16" s="174">
        <f>AW16-(AX16+AY16)</f>
        <v/>
      </c>
      <c r="BA16" s="172">
        <f>SUM(E16,I16,M16,Q16,U16,Y16,AC16,AG16,AK16,AO16,AS16,AW16)</f>
        <v/>
      </c>
      <c r="BB16" s="172">
        <f>SUM(F16,J16,N16,R16,V16,Z16,AD16,AH16,AL16,AP16,AT16,AX16)</f>
        <v/>
      </c>
      <c r="BC16" s="172">
        <f>SUM(G16,K16,O16,S16,W16,AA16,AE16,AI16,AM16,AQ16,AU16,AY16)</f>
        <v/>
      </c>
      <c r="BD16" s="231">
        <f>BA16-(BB16+BC16)</f>
        <v/>
      </c>
      <c r="BE16" s="234">
        <f>BD16+D16</f>
        <v/>
      </c>
    </row>
    <row r="17" ht="16" customHeight="1" s="251">
      <c r="A17" s="169" t="inlineStr">
        <is>
          <t>F15</t>
        </is>
      </c>
      <c r="B17" s="13" t="n"/>
      <c r="C17" s="13" t="inlineStr">
        <is>
          <t>Senthil.Vijayaragavan</t>
        </is>
      </c>
      <c r="D17" s="264" t="n">
        <v>0</v>
      </c>
      <c r="E17" s="171" t="n"/>
      <c r="F17" s="172" t="n"/>
      <c r="G17" s="172" t="n"/>
      <c r="H17" s="172">
        <f>E17-(F17+G17)</f>
        <v/>
      </c>
      <c r="I17" s="173" t="n"/>
      <c r="J17" s="174" t="n"/>
      <c r="K17" s="174" t="n"/>
      <c r="L17" s="174">
        <f>I17-(J17+K17)</f>
        <v/>
      </c>
      <c r="M17" s="172" t="n"/>
      <c r="N17" s="172" t="n"/>
      <c r="O17" s="172" t="n"/>
      <c r="P17" s="172">
        <f>M17-(N17+O17)</f>
        <v/>
      </c>
      <c r="Q17" s="41" t="n"/>
      <c r="R17" s="174" t="n"/>
      <c r="S17" s="174" t="n"/>
      <c r="T17" s="174">
        <f>Q17-(R17+S17)</f>
        <v/>
      </c>
      <c r="U17" s="167" t="n"/>
      <c r="V17" s="172" t="n"/>
      <c r="W17" s="172" t="n"/>
      <c r="X17" s="172">
        <f>U17-(V17+W17)</f>
        <v/>
      </c>
      <c r="Y17" s="41" t="n"/>
      <c r="Z17" s="174" t="n"/>
      <c r="AA17" s="174" t="n"/>
      <c r="AB17" s="174">
        <f>Y17-(Z17+AA17)</f>
        <v/>
      </c>
      <c r="AC17" s="41" t="n"/>
      <c r="AD17" s="174" t="n"/>
      <c r="AE17" s="174" t="n"/>
      <c r="AF17" s="174">
        <f>AC17-(AD17+AE17)</f>
        <v/>
      </c>
      <c r="AG17" s="41" t="n"/>
      <c r="AH17" s="174" t="n"/>
      <c r="AI17" s="174" t="n"/>
      <c r="AJ17" s="174">
        <f>AG17-(AH17+AI17)</f>
        <v/>
      </c>
      <c r="AK17" s="41" t="n"/>
      <c r="AL17" s="174" t="n"/>
      <c r="AM17" s="174" t="n"/>
      <c r="AN17" s="174">
        <f>AK17-(AL17+AM17)</f>
        <v/>
      </c>
      <c r="AO17" s="7" t="n"/>
      <c r="AP17" s="10" t="n"/>
      <c r="AQ17" s="10" t="n"/>
      <c r="AR17" s="174">
        <f>AO17-(AP17+AQ17)</f>
        <v/>
      </c>
      <c r="AS17" s="7" t="n"/>
      <c r="AT17" s="10" t="n"/>
      <c r="AU17" s="10" t="n"/>
      <c r="AV17" s="174">
        <f>AS17-(AT17+AU17)</f>
        <v/>
      </c>
      <c r="AW17" s="7" t="n"/>
      <c r="AX17" s="10" t="n"/>
      <c r="AY17" s="10" t="n"/>
      <c r="AZ17" s="174">
        <f>AW17-(AX17+AY17)</f>
        <v/>
      </c>
      <c r="BA17" s="172">
        <f>SUM(E17,I17,M17,Q17,U17,Y17,AC17,AG17,AK17,AO17,AS17,AW17)</f>
        <v/>
      </c>
      <c r="BB17" s="172">
        <f>SUM(F17,J17,N17,R17,V17,Z17,AD17,AH17,AL17,AP17,AT17,AX17)</f>
        <v/>
      </c>
      <c r="BC17" s="172">
        <f>SUM(G17,K17,O17,S17,W17,AA17,AE17,AI17,AM17,AQ17,AU17,AY17)</f>
        <v/>
      </c>
      <c r="BD17" s="231">
        <f>BA17-(BB17+BC17)</f>
        <v/>
      </c>
      <c r="BE17" s="234">
        <f>BD17+D17</f>
        <v/>
      </c>
    </row>
    <row r="18" ht="16" customHeight="1" s="251">
      <c r="A18" s="169" t="inlineStr">
        <is>
          <t>F16</t>
        </is>
      </c>
      <c r="B18" s="13" t="n"/>
      <c r="C18" s="13" t="inlineStr">
        <is>
          <t>Sreeja Sudharma</t>
        </is>
      </c>
      <c r="D18" s="264" t="n">
        <v>0</v>
      </c>
      <c r="E18" s="171" t="n"/>
      <c r="F18" s="172" t="n"/>
      <c r="G18" s="172" t="n"/>
      <c r="H18" s="172">
        <f>E18-(F18+G18)</f>
        <v/>
      </c>
      <c r="I18" s="173" t="n"/>
      <c r="J18" s="174" t="n"/>
      <c r="K18" s="174" t="n"/>
      <c r="L18" s="174">
        <f>I18-(J18+K18)</f>
        <v/>
      </c>
      <c r="M18" s="172" t="n"/>
      <c r="N18" s="172" t="n"/>
      <c r="O18" s="172" t="n"/>
      <c r="P18" s="172">
        <f>M18-(N18+O18)</f>
        <v/>
      </c>
      <c r="Q18" s="41" t="n"/>
      <c r="R18" s="174" t="n"/>
      <c r="S18" s="174" t="n"/>
      <c r="T18" s="174">
        <f>Q18-(R18+S18)</f>
        <v/>
      </c>
      <c r="U18" s="167" t="n"/>
      <c r="V18" s="172" t="n"/>
      <c r="W18" s="172" t="n"/>
      <c r="X18" s="172">
        <f>U18-(V18+W18)</f>
        <v/>
      </c>
      <c r="Y18" s="41" t="n"/>
      <c r="Z18" s="174" t="n"/>
      <c r="AA18" s="174" t="n"/>
      <c r="AB18" s="174">
        <f>Y18-(Z18+AA18)</f>
        <v/>
      </c>
      <c r="AC18" s="41" t="n"/>
      <c r="AD18" s="174" t="n"/>
      <c r="AE18" s="174" t="n"/>
      <c r="AF18" s="174">
        <f>AC18-(AD18+AE18)</f>
        <v/>
      </c>
      <c r="AG18" s="41" t="n"/>
      <c r="AH18" s="174" t="n"/>
      <c r="AI18" s="174" t="n"/>
      <c r="AJ18" s="174">
        <f>AG18-(AH18+AI18)</f>
        <v/>
      </c>
      <c r="AK18" s="41" t="n"/>
      <c r="AL18" s="174" t="n"/>
      <c r="AM18" s="174" t="n"/>
      <c r="AN18" s="174">
        <f>AK18-(AL18+AM18)</f>
        <v/>
      </c>
      <c r="AO18" s="7" t="n"/>
      <c r="AP18" s="10" t="n"/>
      <c r="AQ18" s="10" t="n"/>
      <c r="AR18" s="174">
        <f>AO18-(AP18+AQ18)</f>
        <v/>
      </c>
      <c r="AS18" s="7" t="n"/>
      <c r="AT18" s="10" t="n"/>
      <c r="AU18" s="10" t="n"/>
      <c r="AV18" s="174">
        <f>AS18-(AT18+AU18)</f>
        <v/>
      </c>
      <c r="AW18" s="7" t="n"/>
      <c r="AX18" s="10" t="n"/>
      <c r="AY18" s="10" t="n"/>
      <c r="AZ18" s="174">
        <f>AW18-(AX18+AY18)</f>
        <v/>
      </c>
      <c r="BA18" s="172">
        <f>SUM(E18,I18,M18,Q18,U18,Y18,AC18,AG18,AK18,AO18,AS18,AW18)</f>
        <v/>
      </c>
      <c r="BB18" s="172">
        <f>SUM(F18,J18,N18,R18,V18,Z18,AD18,AH18,AL18,AP18,AT18,AX18)</f>
        <v/>
      </c>
      <c r="BC18" s="172">
        <f>SUM(G18,K18,O18,S18,W18,AA18,AE18,AI18,AM18,AQ18,AU18,AY18)</f>
        <v/>
      </c>
      <c r="BD18" s="231">
        <f>BA18-(BB18+BC18)</f>
        <v/>
      </c>
      <c r="BE18" s="234">
        <f>BD18+D18</f>
        <v/>
      </c>
    </row>
    <row r="19" ht="16" customHeight="1" s="251">
      <c r="A19" s="169" t="inlineStr">
        <is>
          <t>G1</t>
        </is>
      </c>
      <c r="B19" s="13" t="inlineStr">
        <is>
          <t>jyothij1979@gmail.com</t>
        </is>
      </c>
      <c r="C19" s="13" t="inlineStr">
        <is>
          <t>Venkataramanan C</t>
        </is>
      </c>
      <c r="D19" s="264" t="n">
        <v>0</v>
      </c>
      <c r="E19" s="171" t="n"/>
      <c r="F19" s="172" t="n"/>
      <c r="G19" s="172" t="n"/>
      <c r="H19" s="172">
        <f>E19-(F19+G19)</f>
        <v/>
      </c>
      <c r="I19" s="173" t="n"/>
      <c r="J19" s="174" t="n"/>
      <c r="K19" s="174" t="n"/>
      <c r="L19" s="174">
        <f>I19-(J19+K19)</f>
        <v/>
      </c>
      <c r="M19" s="172" t="n"/>
      <c r="N19" s="172" t="n"/>
      <c r="O19" s="172" t="n"/>
      <c r="P19" s="172">
        <f>M19-(N19+O19)</f>
        <v/>
      </c>
      <c r="Q19" s="41" t="n"/>
      <c r="R19" s="174" t="n"/>
      <c r="S19" s="174" t="n"/>
      <c r="T19" s="174">
        <f>Q19-(R19+S19)</f>
        <v/>
      </c>
      <c r="U19" s="167" t="n"/>
      <c r="V19" s="172" t="n"/>
      <c r="W19" s="172" t="n"/>
      <c r="X19" s="172">
        <f>U19-(V19+W19)</f>
        <v/>
      </c>
      <c r="Y19" s="41" t="n"/>
      <c r="Z19" s="174" t="n"/>
      <c r="AA19" s="174" t="n"/>
      <c r="AB19" s="174">
        <f>Y19-(Z19+AA19)</f>
        <v/>
      </c>
      <c r="AC19" s="41" t="n"/>
      <c r="AD19" s="174" t="n"/>
      <c r="AE19" s="174" t="n"/>
      <c r="AF19" s="174">
        <f>AC19-(AD19+AE19)</f>
        <v/>
      </c>
      <c r="AG19" s="41" t="n"/>
      <c r="AH19" s="174" t="n"/>
      <c r="AI19" s="174" t="n"/>
      <c r="AJ19" s="174">
        <f>AG19-(AH19+AI19)</f>
        <v/>
      </c>
      <c r="AK19" s="41" t="n"/>
      <c r="AL19" s="174" t="n"/>
      <c r="AM19" s="174" t="n"/>
      <c r="AN19" s="174">
        <f>AK19-(AL19+AM19)</f>
        <v/>
      </c>
      <c r="AO19" s="7" t="n"/>
      <c r="AP19" s="10" t="n"/>
      <c r="AQ19" s="10" t="n"/>
      <c r="AR19" s="174">
        <f>AO19-(AP19+AQ19)</f>
        <v/>
      </c>
      <c r="AS19" s="7" t="n"/>
      <c r="AT19" s="10" t="n"/>
      <c r="AU19" s="10" t="n"/>
      <c r="AV19" s="174">
        <f>AS19-(AT19+AU19)</f>
        <v/>
      </c>
      <c r="AW19" s="7" t="n"/>
      <c r="AX19" s="10" t="n"/>
      <c r="AY19" s="10" t="n"/>
      <c r="AZ19" s="174">
        <f>AW19-(AX19+AY19)</f>
        <v/>
      </c>
      <c r="BA19" s="172">
        <f>SUM(E19,I19,M19,Q19,U19,Y19,AC19,AG19,AK19,AO19,AS19,AW19)</f>
        <v/>
      </c>
      <c r="BB19" s="172">
        <f>SUM(F19,J19,N19,R19,V19,Z19,AD19,AH19,AL19,AP19,AT19,AX19)</f>
        <v/>
      </c>
      <c r="BC19" s="172">
        <f>SUM(G19,K19,O19,S19,W19,AA19,AE19,AI19,AM19,AQ19,AU19,AY19)</f>
        <v/>
      </c>
      <c r="BD19" s="231">
        <f>BA19-(BB19+BC19)</f>
        <v/>
      </c>
      <c r="BE19" s="234">
        <f>BD19+D19</f>
        <v/>
      </c>
    </row>
    <row r="20" ht="16" customHeight="1" s="251">
      <c r="A20" s="169" t="inlineStr">
        <is>
          <t>G2</t>
        </is>
      </c>
      <c r="B20" s="13" t="n"/>
      <c r="C20" s="13" t="inlineStr">
        <is>
          <t>Kaushik Kasibhatla</t>
        </is>
      </c>
      <c r="D20" s="264" t="n">
        <v>0</v>
      </c>
      <c r="E20" s="171" t="n"/>
      <c r="F20" s="172" t="n"/>
      <c r="G20" s="172" t="n"/>
      <c r="H20" s="172">
        <f>E20-(F20+G20)</f>
        <v/>
      </c>
      <c r="I20" s="173" t="n"/>
      <c r="J20" s="174" t="n"/>
      <c r="K20" s="174" t="n"/>
      <c r="L20" s="174">
        <f>I20-(J20+K20)</f>
        <v/>
      </c>
      <c r="M20" s="172" t="n"/>
      <c r="N20" s="172" t="n"/>
      <c r="O20" s="172" t="n"/>
      <c r="P20" s="172">
        <f>M20-(N20+O20)</f>
        <v/>
      </c>
      <c r="Q20" s="41" t="n"/>
      <c r="R20" s="174" t="n"/>
      <c r="S20" s="174" t="n"/>
      <c r="T20" s="174">
        <f>Q20-(R20+S20)</f>
        <v/>
      </c>
      <c r="U20" s="167" t="n"/>
      <c r="V20" s="172" t="n"/>
      <c r="W20" s="172" t="n"/>
      <c r="X20" s="172">
        <f>U20-(V20+W20)</f>
        <v/>
      </c>
      <c r="Y20" s="41" t="n"/>
      <c r="Z20" s="174" t="n"/>
      <c r="AA20" s="174" t="n"/>
      <c r="AB20" s="174">
        <f>Y20-(Z20+AA20)</f>
        <v/>
      </c>
      <c r="AC20" s="41" t="n"/>
      <c r="AD20" s="174" t="n"/>
      <c r="AE20" s="174" t="n"/>
      <c r="AF20" s="174">
        <f>AC20-(AD20+AE20)</f>
        <v/>
      </c>
      <c r="AG20" s="41" t="n"/>
      <c r="AH20" s="174" t="n"/>
      <c r="AI20" s="174" t="n"/>
      <c r="AJ20" s="174">
        <f>AG20-(AH20+AI20)</f>
        <v/>
      </c>
      <c r="AK20" s="41" t="n"/>
      <c r="AL20" s="174" t="n"/>
      <c r="AM20" s="174" t="n"/>
      <c r="AN20" s="174">
        <f>AK20-(AL20+AM20)</f>
        <v/>
      </c>
      <c r="AO20" s="7" t="n"/>
      <c r="AP20" s="10" t="n"/>
      <c r="AQ20" s="10" t="n"/>
      <c r="AR20" s="174">
        <f>AO20-(AP20+AQ20)</f>
        <v/>
      </c>
      <c r="AS20" s="7" t="n"/>
      <c r="AT20" s="10" t="n"/>
      <c r="AU20" s="10" t="n"/>
      <c r="AV20" s="174">
        <f>AS20-(AT20+AU20)</f>
        <v/>
      </c>
      <c r="AW20" s="7" t="n"/>
      <c r="AX20" s="10" t="n"/>
      <c r="AY20" s="10" t="n"/>
      <c r="AZ20" s="174">
        <f>AW20-(AX20+AY20)</f>
        <v/>
      </c>
      <c r="BA20" s="172">
        <f>SUM(E20,I20,M20,Q20,U20,Y20,AC20,AG20,AK20,AO20,AS20,AW20)</f>
        <v/>
      </c>
      <c r="BB20" s="172">
        <f>SUM(F20,J20,N20,R20,V20,Z20,AD20,AH20,AL20,AP20,AT20,AX20)</f>
        <v/>
      </c>
      <c r="BC20" s="172">
        <f>SUM(G20,K20,O20,S20,W20,AA20,AE20,AI20,AM20,AQ20,AU20,AY20)</f>
        <v/>
      </c>
      <c r="BD20" s="231">
        <f>BA20-(BB20+BC20)</f>
        <v/>
      </c>
      <c r="BE20" s="234">
        <f>BD20+D20</f>
        <v/>
      </c>
    </row>
    <row r="21" ht="15.75" customHeight="1" s="251">
      <c r="A21" s="169" t="inlineStr">
        <is>
          <t>G3</t>
        </is>
      </c>
      <c r="B21" s="13" t="n"/>
      <c r="C21" s="13" t="inlineStr">
        <is>
          <t>Balakrishnan</t>
        </is>
      </c>
      <c r="D21" s="264" t="n">
        <v>0</v>
      </c>
      <c r="E21" s="171" t="n"/>
      <c r="F21" s="172" t="n"/>
      <c r="G21" s="172" t="n"/>
      <c r="H21" s="172">
        <f>E21-(F21+G21)</f>
        <v/>
      </c>
      <c r="I21" s="173" t="n"/>
      <c r="J21" s="174" t="n"/>
      <c r="K21" s="174" t="n"/>
      <c r="L21" s="174">
        <f>I21-(J21+K21)</f>
        <v/>
      </c>
      <c r="M21" s="172" t="n"/>
      <c r="N21" s="172" t="n"/>
      <c r="O21" s="172" t="n"/>
      <c r="P21" s="172">
        <f>M21-(N21+O21)</f>
        <v/>
      </c>
      <c r="Q21" s="41" t="n"/>
      <c r="R21" s="174" t="n"/>
      <c r="S21" s="174" t="n"/>
      <c r="T21" s="174">
        <f>Q21-(R21+S21)</f>
        <v/>
      </c>
      <c r="U21" s="167" t="n"/>
      <c r="V21" s="172" t="n"/>
      <c r="W21" s="172" t="n"/>
      <c r="X21" s="172">
        <f>U21-(V21+W21)</f>
        <v/>
      </c>
      <c r="Y21" s="41" t="n"/>
      <c r="Z21" s="174" t="n"/>
      <c r="AA21" s="174" t="n"/>
      <c r="AB21" s="174">
        <f>Y21-(Z21+AA21)</f>
        <v/>
      </c>
      <c r="AC21" s="41" t="n"/>
      <c r="AD21" s="174" t="n"/>
      <c r="AE21" s="174" t="n"/>
      <c r="AF21" s="174">
        <f>AC21-(AD21+AE21)</f>
        <v/>
      </c>
      <c r="AG21" s="41" t="n"/>
      <c r="AH21" s="174" t="n"/>
      <c r="AI21" s="174" t="n"/>
      <c r="AJ21" s="174">
        <f>AG21-(AH21+AI21)</f>
        <v/>
      </c>
      <c r="AK21" s="41" t="n"/>
      <c r="AL21" s="174" t="n"/>
      <c r="AM21" s="174" t="n"/>
      <c r="AN21" s="174">
        <f>AK21-(AL21+AM21)</f>
        <v/>
      </c>
      <c r="AO21" s="7" t="n"/>
      <c r="AP21" s="10" t="n"/>
      <c r="AQ21" s="10" t="n"/>
      <c r="AR21" s="174">
        <f>AO21-(AP21+AQ21)</f>
        <v/>
      </c>
      <c r="AS21" s="7" t="n"/>
      <c r="AT21" s="10" t="n"/>
      <c r="AU21" s="10" t="n"/>
      <c r="AV21" s="174">
        <f>AS21-(AT21+AU21)</f>
        <v/>
      </c>
      <c r="AW21" s="7" t="n"/>
      <c r="AX21" s="10" t="n"/>
      <c r="AY21" s="10" t="n"/>
      <c r="AZ21" s="174">
        <f>AW21-(AX21+AY21)</f>
        <v/>
      </c>
      <c r="BA21" s="172">
        <f>SUM(E21,I21,M21,Q21,U21,Y21,AC21,AG21,AK21,AO21,AS21,AW21)</f>
        <v/>
      </c>
      <c r="BB21" s="172">
        <f>SUM(F21,J21,N21,R21,V21,Z21,AD21,AH21,AL21,AP21,AT21,AX21)</f>
        <v/>
      </c>
      <c r="BC21" s="172">
        <f>SUM(G21,K21,O21,S21,W21,AA21,AE21,AI21,AM21,AQ21,AU21,AY21)</f>
        <v/>
      </c>
      <c r="BD21" s="231">
        <f>BA21-(BB21+BC21)</f>
        <v/>
      </c>
      <c r="BE21" s="234">
        <f>BD21+D21</f>
        <v/>
      </c>
    </row>
    <row r="22" ht="15.75" customHeight="1" s="251">
      <c r="A22" s="169" t="inlineStr">
        <is>
          <t>G4</t>
        </is>
      </c>
      <c r="B22" s="13" t="n"/>
      <c r="C22" s="13" t="inlineStr">
        <is>
          <t>Ashwin Pandith</t>
        </is>
      </c>
      <c r="D22" s="264" t="n">
        <v>0</v>
      </c>
      <c r="E22" s="171" t="n"/>
      <c r="F22" s="172" t="n"/>
      <c r="G22" s="172" t="n"/>
      <c r="H22" s="172">
        <f>E22-(F22+G22)</f>
        <v/>
      </c>
      <c r="I22" s="173" t="n"/>
      <c r="J22" s="174" t="n"/>
      <c r="K22" s="174" t="n"/>
      <c r="L22" s="174">
        <f>I22-(J22+K22)</f>
        <v/>
      </c>
      <c r="M22" s="172" t="n"/>
      <c r="N22" s="172" t="n"/>
      <c r="O22" s="172" t="n"/>
      <c r="P22" s="172">
        <f>M22-(N22+O22)</f>
        <v/>
      </c>
      <c r="Q22" s="41" t="n"/>
      <c r="R22" s="174" t="n"/>
      <c r="S22" s="174" t="n"/>
      <c r="T22" s="174">
        <f>Q22-(R22+S22)</f>
        <v/>
      </c>
      <c r="U22" s="167" t="n"/>
      <c r="V22" s="172" t="n"/>
      <c r="W22" s="172" t="n"/>
      <c r="X22" s="172">
        <f>U22-(V22+W22)</f>
        <v/>
      </c>
      <c r="Y22" s="41" t="n"/>
      <c r="Z22" s="174" t="n"/>
      <c r="AA22" s="174" t="n"/>
      <c r="AB22" s="174">
        <f>Y22-(Z22+AA22)</f>
        <v/>
      </c>
      <c r="AC22" s="41" t="n"/>
      <c r="AD22" s="174" t="n"/>
      <c r="AE22" s="174" t="n"/>
      <c r="AF22" s="174">
        <f>AC22-(AD22+AE22)</f>
        <v/>
      </c>
      <c r="AG22" s="41" t="n"/>
      <c r="AH22" s="174" t="n"/>
      <c r="AI22" s="174" t="n"/>
      <c r="AJ22" s="174">
        <f>AG22-(AH22+AI22)</f>
        <v/>
      </c>
      <c r="AK22" s="41" t="n"/>
      <c r="AL22" s="174" t="n"/>
      <c r="AM22" s="174" t="n"/>
      <c r="AN22" s="174">
        <f>AK22-(AL22+AM22)</f>
        <v/>
      </c>
      <c r="AO22" s="7" t="n"/>
      <c r="AP22" s="10" t="n"/>
      <c r="AQ22" s="10" t="n"/>
      <c r="AR22" s="174">
        <f>AO22-(AP22+AQ22)</f>
        <v/>
      </c>
      <c r="AS22" s="7" t="n"/>
      <c r="AT22" s="10" t="n"/>
      <c r="AU22" s="10" t="n"/>
      <c r="AV22" s="174">
        <f>AS22-(AT22+AU22)</f>
        <v/>
      </c>
      <c r="AW22" s="7" t="n"/>
      <c r="AX22" s="10" t="n"/>
      <c r="AY22" s="10" t="n"/>
      <c r="AZ22" s="174">
        <f>AW22-(AX22+AY22)</f>
        <v/>
      </c>
      <c r="BA22" s="172">
        <f>SUM(E22,I22,M22,Q22,U22,Y22,AC22,AG22,AK22,AO22,AS22,AW22)</f>
        <v/>
      </c>
      <c r="BB22" s="172">
        <f>SUM(F22,J22,N22,R22,V22,Z22,AD22,AH22,AL22,AP22,AT22,AX22)</f>
        <v/>
      </c>
      <c r="BC22" s="172">
        <f>SUM(G22,K22,O22,S22,W22,AA22,AE22,AI22,AM22,AQ22,AU22,AY22)</f>
        <v/>
      </c>
      <c r="BD22" s="231">
        <f>BA22-(BB22+BC22)</f>
        <v/>
      </c>
      <c r="BE22" s="234">
        <f>BD22+D22</f>
        <v/>
      </c>
    </row>
    <row r="23" ht="15.75" customHeight="1" s="251">
      <c r="A23" s="169" t="inlineStr">
        <is>
          <t>G5</t>
        </is>
      </c>
      <c r="B23" s="13" t="n"/>
      <c r="C23" s="13" t="inlineStr">
        <is>
          <t>Mayank Phophaliya</t>
        </is>
      </c>
      <c r="D23" s="264" t="n">
        <v>0</v>
      </c>
      <c r="E23" s="171" t="n"/>
      <c r="F23" s="172" t="n"/>
      <c r="G23" s="172" t="n"/>
      <c r="H23" s="172">
        <f>E23-(F23+G23)</f>
        <v/>
      </c>
      <c r="I23" s="173" t="n"/>
      <c r="J23" s="174" t="n"/>
      <c r="K23" s="174" t="n"/>
      <c r="L23" s="174">
        <f>I23-(J23+K23)</f>
        <v/>
      </c>
      <c r="M23" s="172" t="n"/>
      <c r="N23" s="172" t="n"/>
      <c r="O23" s="172" t="n"/>
      <c r="P23" s="172">
        <f>M23-(N23+O23)</f>
        <v/>
      </c>
      <c r="Q23" s="41" t="n"/>
      <c r="R23" s="174" t="n"/>
      <c r="S23" s="174" t="n"/>
      <c r="T23" s="174">
        <f>Q23-(R23+S23)</f>
        <v/>
      </c>
      <c r="U23" s="167" t="n"/>
      <c r="V23" s="172" t="n"/>
      <c r="W23" s="172" t="n"/>
      <c r="X23" s="172">
        <f>U23-(V23+W23)</f>
        <v/>
      </c>
      <c r="Y23" s="41" t="n"/>
      <c r="Z23" s="174" t="n"/>
      <c r="AA23" s="174" t="n"/>
      <c r="AB23" s="174">
        <f>Y23-(Z23+AA23)</f>
        <v/>
      </c>
      <c r="AC23" s="41" t="n"/>
      <c r="AD23" s="174" t="n"/>
      <c r="AE23" s="174" t="n"/>
      <c r="AF23" s="174">
        <f>AC23-(AD23+AE23)</f>
        <v/>
      </c>
      <c r="AG23" s="41" t="n"/>
      <c r="AH23" s="174" t="n"/>
      <c r="AI23" s="174" t="n"/>
      <c r="AJ23" s="174">
        <f>AG23-(AH23+AI23)</f>
        <v/>
      </c>
      <c r="AK23" s="41" t="n"/>
      <c r="AL23" s="174" t="n"/>
      <c r="AM23" s="174" t="n"/>
      <c r="AN23" s="174">
        <f>AK23-(AL23+AM23)</f>
        <v/>
      </c>
      <c r="AO23" s="7" t="n"/>
      <c r="AP23" s="10" t="n"/>
      <c r="AQ23" s="10" t="n"/>
      <c r="AR23" s="174">
        <f>AO23-(AP23+AQ23)</f>
        <v/>
      </c>
      <c r="AS23" s="7" t="n"/>
      <c r="AT23" s="10" t="n"/>
      <c r="AU23" s="10" t="n"/>
      <c r="AV23" s="174">
        <f>AS23-(AT23+AU23)</f>
        <v/>
      </c>
      <c r="AW23" s="7" t="n"/>
      <c r="AX23" s="10" t="n"/>
      <c r="AY23" s="10" t="n"/>
      <c r="AZ23" s="174">
        <f>AW23-(AX23+AY23)</f>
        <v/>
      </c>
      <c r="BA23" s="172">
        <f>SUM(E23,I23,M23,Q23,U23,Y23,AC23,AG23,AK23,AO23,AS23,AW23)</f>
        <v/>
      </c>
      <c r="BB23" s="172">
        <f>SUM(F23,J23,N23,R23,V23,Z23,AD23,AH23,AL23,AP23,AT23,AX23)</f>
        <v/>
      </c>
      <c r="BC23" s="172">
        <f>SUM(G23,K23,O23,S23,W23,AA23,AE23,AI23,AM23,AQ23,AU23,AY23)</f>
        <v/>
      </c>
      <c r="BD23" s="231">
        <f>BA23-(BB23+BC23)</f>
        <v/>
      </c>
      <c r="BE23" s="234">
        <f>BD23+D23</f>
        <v/>
      </c>
    </row>
    <row r="24" ht="15.75" customHeight="1" s="251">
      <c r="A24" s="169" t="inlineStr">
        <is>
          <t>G6</t>
        </is>
      </c>
      <c r="B24" s="13" t="n"/>
      <c r="C24" s="13" t="inlineStr">
        <is>
          <t>Srinath / Tenant - Mohit Daga</t>
        </is>
      </c>
      <c r="D24" s="264" t="n">
        <v>0</v>
      </c>
      <c r="E24" s="171" t="n"/>
      <c r="F24" s="172" t="n"/>
      <c r="G24" s="172" t="n"/>
      <c r="H24" s="172">
        <f>E24-(F24+G24)</f>
        <v/>
      </c>
      <c r="I24" s="173" t="n"/>
      <c r="J24" s="174" t="n"/>
      <c r="K24" s="174" t="n"/>
      <c r="L24" s="174">
        <f>I24-(J24+K24)</f>
        <v/>
      </c>
      <c r="M24" s="172" t="n"/>
      <c r="N24" s="172" t="n"/>
      <c r="O24" s="172" t="n"/>
      <c r="P24" s="172">
        <f>M24-(N24+O24)</f>
        <v/>
      </c>
      <c r="Q24" s="41" t="n"/>
      <c r="R24" s="174" t="n"/>
      <c r="S24" s="174" t="n"/>
      <c r="T24" s="174">
        <f>Q24-(R24+S24)</f>
        <v/>
      </c>
      <c r="U24" s="167" t="n"/>
      <c r="V24" s="172" t="n"/>
      <c r="W24" s="172" t="n"/>
      <c r="X24" s="172">
        <f>U24-(V24+W24)</f>
        <v/>
      </c>
      <c r="Y24" s="41" t="n"/>
      <c r="Z24" s="174" t="n"/>
      <c r="AA24" s="174" t="n"/>
      <c r="AB24" s="174">
        <f>Y24-(Z24+AA24)</f>
        <v/>
      </c>
      <c r="AC24" s="41" t="n"/>
      <c r="AD24" s="174" t="n"/>
      <c r="AE24" s="174" t="n"/>
      <c r="AF24" s="174">
        <f>AC24-(AD24+AE24)</f>
        <v/>
      </c>
      <c r="AG24" s="41" t="n"/>
      <c r="AH24" s="174" t="n"/>
      <c r="AI24" s="174" t="n"/>
      <c r="AJ24" s="174">
        <f>AG24-(AH24+AI24)</f>
        <v/>
      </c>
      <c r="AK24" s="41" t="n"/>
      <c r="AL24" s="174" t="n"/>
      <c r="AM24" s="174" t="n"/>
      <c r="AN24" s="174">
        <f>AK24-(AL24+AM24)</f>
        <v/>
      </c>
      <c r="AO24" s="7" t="n"/>
      <c r="AP24" s="10" t="n"/>
      <c r="AQ24" s="10" t="n"/>
      <c r="AR24" s="174">
        <f>AO24-(AP24+AQ24)</f>
        <v/>
      </c>
      <c r="AS24" s="7" t="n"/>
      <c r="AT24" s="10" t="n"/>
      <c r="AU24" s="10" t="n"/>
      <c r="AV24" s="174">
        <f>AS24-(AT24+AU24)</f>
        <v/>
      </c>
      <c r="AW24" s="7" t="n"/>
      <c r="AX24" s="10" t="n"/>
      <c r="AY24" s="10" t="n"/>
      <c r="AZ24" s="174">
        <f>AW24-(AX24+AY24)</f>
        <v/>
      </c>
      <c r="BA24" s="172">
        <f>SUM(E24,I24,M24,Q24,U24,Y24,AC24,AG24,AK24,AO24,AS24,AW24)</f>
        <v/>
      </c>
      <c r="BB24" s="172">
        <f>SUM(F24,J24,N24,R24,V24,Z24,AD24,AH24,AL24,AP24,AT24,AX24)</f>
        <v/>
      </c>
      <c r="BC24" s="172">
        <f>SUM(G24,K24,O24,S24,W24,AA24,AE24,AI24,AM24,AQ24,AU24,AY24)</f>
        <v/>
      </c>
      <c r="BD24" s="231">
        <f>BA24-(BB24+BC24)</f>
        <v/>
      </c>
      <c r="BE24" s="234">
        <f>BD24+D24</f>
        <v/>
      </c>
    </row>
    <row r="25" ht="15.75" customHeight="1" s="251">
      <c r="A25" s="169" t="inlineStr">
        <is>
          <t>G7</t>
        </is>
      </c>
      <c r="B25" s="13" t="n"/>
      <c r="C25" s="13" t="inlineStr">
        <is>
          <t>Prince Richfield</t>
        </is>
      </c>
      <c r="D25" s="264" t="n">
        <v>0</v>
      </c>
      <c r="E25" s="171" t="n"/>
      <c r="F25" s="172" t="n"/>
      <c r="G25" s="172" t="n"/>
      <c r="H25" s="172">
        <f>E25-(F25+G25)</f>
        <v/>
      </c>
      <c r="I25" s="173" t="n"/>
      <c r="J25" s="174" t="n"/>
      <c r="K25" s="174" t="n"/>
      <c r="L25" s="174">
        <f>I25-(J25+K25)</f>
        <v/>
      </c>
      <c r="M25" s="172" t="n"/>
      <c r="N25" s="172" t="n"/>
      <c r="O25" s="172" t="n"/>
      <c r="P25" s="172">
        <f>M25-(N25+O25)</f>
        <v/>
      </c>
      <c r="Q25" s="41" t="n"/>
      <c r="R25" s="174" t="n"/>
      <c r="S25" s="174" t="n"/>
      <c r="T25" s="174">
        <f>Q25-(R25+S25)</f>
        <v/>
      </c>
      <c r="U25" s="167" t="n"/>
      <c r="V25" s="172" t="n"/>
      <c r="W25" s="172" t="n"/>
      <c r="X25" s="172">
        <f>U25-(V25+W25)</f>
        <v/>
      </c>
      <c r="Y25" s="41" t="n"/>
      <c r="Z25" s="174" t="n"/>
      <c r="AA25" s="174" t="n"/>
      <c r="AB25" s="174">
        <f>Y25-(Z25+AA25)</f>
        <v/>
      </c>
      <c r="AC25" s="41" t="n"/>
      <c r="AD25" s="174" t="n"/>
      <c r="AE25" s="174" t="n"/>
      <c r="AF25" s="174">
        <f>AC25-(AD25+AE25)</f>
        <v/>
      </c>
      <c r="AG25" s="41" t="n"/>
      <c r="AH25" s="174" t="n"/>
      <c r="AI25" s="174" t="n"/>
      <c r="AJ25" s="174">
        <f>AG25-(AH25+AI25)</f>
        <v/>
      </c>
      <c r="AK25" s="41" t="n"/>
      <c r="AL25" s="174" t="n"/>
      <c r="AM25" s="174" t="n"/>
      <c r="AN25" s="174">
        <f>AK25-(AL25+AM25)</f>
        <v/>
      </c>
      <c r="AO25" s="7" t="n"/>
      <c r="AP25" s="10" t="n"/>
      <c r="AQ25" s="10" t="n"/>
      <c r="AR25" s="174">
        <f>AO25-(AP25+AQ25)</f>
        <v/>
      </c>
      <c r="AS25" s="7" t="n"/>
      <c r="AT25" s="10" t="n"/>
      <c r="AU25" s="10" t="n"/>
      <c r="AV25" s="174">
        <f>AS25-(AT25+AU25)</f>
        <v/>
      </c>
      <c r="AW25" s="7" t="n"/>
      <c r="AX25" s="10" t="n"/>
      <c r="AY25" s="10" t="n"/>
      <c r="AZ25" s="174">
        <f>AW25-(AX25+AY25)</f>
        <v/>
      </c>
      <c r="BA25" s="172">
        <f>SUM(E25,I25,M25,Q25,U25,Y25,AC25,AG25,AK25,AO25,AS25,AW25)</f>
        <v/>
      </c>
      <c r="BB25" s="172">
        <f>SUM(F25,J25,N25,R25,V25,Z25,AD25,AH25,AL25,AP25,AT25,AX25)</f>
        <v/>
      </c>
      <c r="BC25" s="172">
        <f>SUM(G25,K25,O25,S25,W25,AA25,AE25,AI25,AM25,AQ25,AU25,AY25)</f>
        <v/>
      </c>
      <c r="BD25" s="231">
        <f>BA25-(BB25+BC25)</f>
        <v/>
      </c>
      <c r="BE25" s="234">
        <f>BD25+D25</f>
        <v/>
      </c>
    </row>
    <row r="26" ht="15.75" customHeight="1" s="251">
      <c r="A26" s="169" t="inlineStr">
        <is>
          <t>G8</t>
        </is>
      </c>
      <c r="B26" s="13" t="n"/>
      <c r="C26" s="13" t="inlineStr">
        <is>
          <t>Ranjithkumar R / Sameer (tenant) / Princy (tenant)</t>
        </is>
      </c>
      <c r="D26" s="264" t="n">
        <v>0</v>
      </c>
      <c r="E26" s="171" t="n"/>
      <c r="F26" s="172" t="n"/>
      <c r="G26" s="172" t="n"/>
      <c r="H26" s="172">
        <f>E26-(F26+G26)</f>
        <v/>
      </c>
      <c r="I26" s="173" t="n"/>
      <c r="J26" s="174" t="n"/>
      <c r="K26" s="174" t="n"/>
      <c r="L26" s="174">
        <f>I26-(J26+K26)</f>
        <v/>
      </c>
      <c r="M26" s="172" t="n"/>
      <c r="N26" s="172" t="n"/>
      <c r="O26" s="172" t="n"/>
      <c r="P26" s="172">
        <f>M26-(N26+O26)</f>
        <v/>
      </c>
      <c r="Q26" s="41" t="n"/>
      <c r="R26" s="174" t="n"/>
      <c r="S26" s="174" t="n"/>
      <c r="T26" s="174">
        <f>Q26-(R26+S26)</f>
        <v/>
      </c>
      <c r="U26" s="167" t="n"/>
      <c r="V26" s="172" t="n"/>
      <c r="W26" s="172" t="n"/>
      <c r="X26" s="172">
        <f>U26-(V26+W26)</f>
        <v/>
      </c>
      <c r="Y26" s="41" t="n"/>
      <c r="Z26" s="174" t="n"/>
      <c r="AA26" s="174" t="n"/>
      <c r="AB26" s="174">
        <f>Y26-(Z26+AA26)</f>
        <v/>
      </c>
      <c r="AC26" s="41" t="n"/>
      <c r="AD26" s="174" t="n"/>
      <c r="AE26" s="174" t="n"/>
      <c r="AF26" s="174">
        <f>AC26-(AD26+AE26)</f>
        <v/>
      </c>
      <c r="AG26" s="41" t="n"/>
      <c r="AH26" s="174" t="n"/>
      <c r="AI26" s="174" t="n"/>
      <c r="AJ26" s="174">
        <f>AG26-(AH26+AI26)</f>
        <v/>
      </c>
      <c r="AK26" s="41" t="n"/>
      <c r="AL26" s="174" t="n"/>
      <c r="AM26" s="174" t="n"/>
      <c r="AN26" s="174">
        <f>AK26-(AL26+AM26)</f>
        <v/>
      </c>
      <c r="AO26" s="7" t="n"/>
      <c r="AP26" s="10" t="n"/>
      <c r="AQ26" s="10" t="n"/>
      <c r="AR26" s="174">
        <f>AO26-(AP26+AQ26)</f>
        <v/>
      </c>
      <c r="AS26" s="7" t="n"/>
      <c r="AT26" s="10" t="n"/>
      <c r="AU26" s="10" t="n"/>
      <c r="AV26" s="174">
        <f>AS26-(AT26+AU26)</f>
        <v/>
      </c>
      <c r="AW26" s="7" t="n"/>
      <c r="AX26" s="10" t="n"/>
      <c r="AY26" s="10" t="n"/>
      <c r="AZ26" s="174">
        <f>AW26-(AX26+AY26)</f>
        <v/>
      </c>
      <c r="BA26" s="172">
        <f>SUM(E26,I26,M26,Q26,U26,Y26,AC26,AG26,AK26,AO26,AS26,AW26)</f>
        <v/>
      </c>
      <c r="BB26" s="172">
        <f>SUM(F26,J26,N26,R26,V26,Z26,AD26,AH26,AL26,AP26,AT26,AX26)</f>
        <v/>
      </c>
      <c r="BC26" s="172">
        <f>SUM(G26,K26,O26,S26,W26,AA26,AE26,AI26,AM26,AQ26,AU26,AY26)</f>
        <v/>
      </c>
      <c r="BD26" s="231">
        <f>BA26-(BB26+BC26)</f>
        <v/>
      </c>
      <c r="BE26" s="234">
        <f>BD26+D26</f>
        <v/>
      </c>
    </row>
    <row r="27" ht="15.75" customHeight="1" s="251">
      <c r="A27" s="169" t="inlineStr">
        <is>
          <t>G9</t>
        </is>
      </c>
      <c r="B27" s="13" t="n"/>
      <c r="C27" s="13" t="inlineStr">
        <is>
          <t>Chandramouli</t>
        </is>
      </c>
      <c r="D27" s="264" t="n">
        <v>0</v>
      </c>
      <c r="E27" s="171" t="n"/>
      <c r="F27" s="172" t="n"/>
      <c r="G27" s="172" t="n"/>
      <c r="H27" s="172">
        <f>E27-(F27+G27)</f>
        <v/>
      </c>
      <c r="I27" s="173" t="n"/>
      <c r="J27" s="174" t="n"/>
      <c r="K27" s="174" t="n"/>
      <c r="L27" s="174">
        <f>I27-(J27+K27)</f>
        <v/>
      </c>
      <c r="M27" s="172" t="n"/>
      <c r="N27" s="172" t="n"/>
      <c r="O27" s="172" t="n"/>
      <c r="P27" s="172">
        <f>M27-(N27+O27)</f>
        <v/>
      </c>
      <c r="Q27" s="41" t="n"/>
      <c r="R27" s="174" t="n"/>
      <c r="S27" s="174" t="n"/>
      <c r="T27" s="174">
        <f>Q27-(R27+S27)</f>
        <v/>
      </c>
      <c r="U27" s="167" t="n"/>
      <c r="V27" s="172" t="n"/>
      <c r="W27" s="172" t="n"/>
      <c r="X27" s="172">
        <f>U27-(V27+W27)</f>
        <v/>
      </c>
      <c r="Y27" s="41" t="n"/>
      <c r="Z27" s="174" t="n"/>
      <c r="AA27" s="174" t="n"/>
      <c r="AB27" s="174">
        <f>Y27-(Z27+AA27)</f>
        <v/>
      </c>
      <c r="AC27" s="41" t="n"/>
      <c r="AD27" s="174" t="n"/>
      <c r="AE27" s="174" t="n"/>
      <c r="AF27" s="174">
        <f>AC27-(AD27+AE27)</f>
        <v/>
      </c>
      <c r="AG27" s="41" t="n"/>
      <c r="AH27" s="174" t="n"/>
      <c r="AI27" s="174" t="n"/>
      <c r="AJ27" s="174">
        <f>AG27-(AH27+AI27)</f>
        <v/>
      </c>
      <c r="AK27" s="41" t="n"/>
      <c r="AL27" s="174" t="n"/>
      <c r="AM27" s="174" t="n"/>
      <c r="AN27" s="174">
        <f>AK27-(AL27+AM27)</f>
        <v/>
      </c>
      <c r="AO27" s="7" t="n"/>
      <c r="AP27" s="10" t="n"/>
      <c r="AQ27" s="10" t="n"/>
      <c r="AR27" s="174">
        <f>AO27-(AP27+AQ27)</f>
        <v/>
      </c>
      <c r="AS27" s="7" t="n"/>
      <c r="AT27" s="10" t="n"/>
      <c r="AU27" s="10" t="n"/>
      <c r="AV27" s="174">
        <f>AS27-(AT27+AU27)</f>
        <v/>
      </c>
      <c r="AW27" s="7" t="n"/>
      <c r="AX27" s="10" t="n"/>
      <c r="AY27" s="10" t="n"/>
      <c r="AZ27" s="174">
        <f>AW27-(AX27+AY27)</f>
        <v/>
      </c>
      <c r="BA27" s="172">
        <f>SUM(E27,I27,M27,Q27,U27,Y27,AC27,AG27,AK27,AO27,AS27,AW27)</f>
        <v/>
      </c>
      <c r="BB27" s="172">
        <f>SUM(F27,J27,N27,R27,V27,Z27,AD27,AH27,AL27,AP27,AT27,AX27)</f>
        <v/>
      </c>
      <c r="BC27" s="172">
        <f>SUM(G27,K27,O27,S27,W27,AA27,AE27,AI27,AM27,AQ27,AU27,AY27)</f>
        <v/>
      </c>
      <c r="BD27" s="231">
        <f>BA27-(BB27+BC27)</f>
        <v/>
      </c>
      <c r="BE27" s="234">
        <f>BD27+D27</f>
        <v/>
      </c>
    </row>
    <row r="28" ht="15.75" customHeight="1" s="251">
      <c r="A28" s="169" t="inlineStr">
        <is>
          <t>G10</t>
        </is>
      </c>
      <c r="B28" s="13" t="n"/>
      <c r="C28" s="13" t="inlineStr">
        <is>
          <t xml:space="preserve">Cijo Jacob / Thara Joy </t>
        </is>
      </c>
      <c r="D28" s="264" t="n">
        <v>0</v>
      </c>
      <c r="E28" s="171" t="n"/>
      <c r="F28" s="172" t="n"/>
      <c r="G28" s="172" t="n"/>
      <c r="H28" s="172">
        <f>E28-(F28+G28)</f>
        <v/>
      </c>
      <c r="I28" s="173" t="n"/>
      <c r="J28" s="174" t="n"/>
      <c r="K28" s="174" t="n"/>
      <c r="L28" s="174">
        <f>I28-(J28+K28)</f>
        <v/>
      </c>
      <c r="M28" s="172" t="n"/>
      <c r="N28" s="172" t="n"/>
      <c r="O28" s="172" t="n"/>
      <c r="P28" s="172">
        <f>M28-(N28+O28)</f>
        <v/>
      </c>
      <c r="Q28" s="41" t="n"/>
      <c r="R28" s="174" t="n"/>
      <c r="S28" s="174" t="n"/>
      <c r="T28" s="174">
        <f>Q28-(R28+S28)</f>
        <v/>
      </c>
      <c r="U28" s="167" t="n"/>
      <c r="V28" s="172" t="n"/>
      <c r="W28" s="172" t="n"/>
      <c r="X28" s="172">
        <f>U28-(V28+W28)</f>
        <v/>
      </c>
      <c r="Y28" s="41" t="n"/>
      <c r="Z28" s="174" t="n"/>
      <c r="AA28" s="174" t="n"/>
      <c r="AB28" s="174">
        <f>Y28-(Z28+AA28)</f>
        <v/>
      </c>
      <c r="AC28" s="41" t="n"/>
      <c r="AD28" s="174" t="n"/>
      <c r="AE28" s="174" t="n"/>
      <c r="AF28" s="174">
        <f>AC28-(AD28+AE28)</f>
        <v/>
      </c>
      <c r="AG28" s="41" t="n"/>
      <c r="AH28" s="174" t="n"/>
      <c r="AI28" s="174" t="n"/>
      <c r="AJ28" s="174">
        <f>AG28-(AH28+AI28)</f>
        <v/>
      </c>
      <c r="AK28" s="41" t="n"/>
      <c r="AL28" s="174" t="n"/>
      <c r="AM28" s="174" t="n"/>
      <c r="AN28" s="174">
        <f>AK28-(AL28+AM28)</f>
        <v/>
      </c>
      <c r="AO28" s="7" t="n"/>
      <c r="AP28" s="10" t="n"/>
      <c r="AQ28" s="10" t="n"/>
      <c r="AR28" s="174">
        <f>AO28-(AP28+AQ28)</f>
        <v/>
      </c>
      <c r="AS28" s="7" t="n"/>
      <c r="AT28" s="10" t="n"/>
      <c r="AU28" s="10" t="n"/>
      <c r="AV28" s="174">
        <f>AS28-(AT28+AU28)</f>
        <v/>
      </c>
      <c r="AW28" s="7" t="n"/>
      <c r="AX28" s="10" t="n"/>
      <c r="AY28" s="10" t="n"/>
      <c r="AZ28" s="174">
        <f>AW28-(AX28+AY28)</f>
        <v/>
      </c>
      <c r="BA28" s="172">
        <f>SUM(E28,I28,M28,Q28,U28,Y28,AC28,AG28,AK28,AO28,AS28,AW28)</f>
        <v/>
      </c>
      <c r="BB28" s="172">
        <f>SUM(F28,J28,N28,R28,V28,Z28,AD28,AH28,AL28,AP28,AT28,AX28)</f>
        <v/>
      </c>
      <c r="BC28" s="172">
        <f>SUM(G28,K28,O28,S28,W28,AA28,AE28,AI28,AM28,AQ28,AU28,AY28)</f>
        <v/>
      </c>
      <c r="BD28" s="231">
        <f>BA28-(BB28+BC28)</f>
        <v/>
      </c>
      <c r="BE28" s="234">
        <f>BD28+D28</f>
        <v/>
      </c>
    </row>
    <row r="29" ht="15.75" customHeight="1" s="251">
      <c r="A29" s="169" t="inlineStr">
        <is>
          <t>G11</t>
        </is>
      </c>
      <c r="B29" s="13" t="n"/>
      <c r="C29" s="13" t="inlineStr">
        <is>
          <t>Ketan Verlekar</t>
        </is>
      </c>
      <c r="D29" s="264" t="n">
        <v>0</v>
      </c>
      <c r="E29" s="171" t="n"/>
      <c r="F29" s="172" t="n"/>
      <c r="G29" s="172" t="n"/>
      <c r="H29" s="172">
        <f>E29-(F29+G29)</f>
        <v/>
      </c>
      <c r="I29" s="173" t="n"/>
      <c r="J29" s="174" t="n"/>
      <c r="K29" s="174" t="n"/>
      <c r="L29" s="174">
        <f>I29-(J29+K29)</f>
        <v/>
      </c>
      <c r="M29" s="172" t="n"/>
      <c r="N29" s="172" t="n"/>
      <c r="O29" s="172" t="n"/>
      <c r="P29" s="172">
        <f>M29-(N29+O29)</f>
        <v/>
      </c>
      <c r="Q29" s="41" t="n"/>
      <c r="R29" s="174" t="n"/>
      <c r="S29" s="174" t="n"/>
      <c r="T29" s="174">
        <f>Q29-(R29+S29)</f>
        <v/>
      </c>
      <c r="U29" s="167" t="n"/>
      <c r="V29" s="172" t="n"/>
      <c r="W29" s="172" t="n"/>
      <c r="X29" s="172">
        <f>U29-(V29+W29)</f>
        <v/>
      </c>
      <c r="Y29" s="41" t="n"/>
      <c r="Z29" s="174" t="n"/>
      <c r="AA29" s="174" t="n"/>
      <c r="AB29" s="174">
        <f>Y29-(Z29+AA29)</f>
        <v/>
      </c>
      <c r="AC29" s="41" t="n"/>
      <c r="AD29" s="174" t="n"/>
      <c r="AE29" s="174" t="n"/>
      <c r="AF29" s="174">
        <f>AC29-(AD29+AE29)</f>
        <v/>
      </c>
      <c r="AG29" s="41" t="n"/>
      <c r="AH29" s="174" t="n"/>
      <c r="AI29" s="174" t="n"/>
      <c r="AJ29" s="174">
        <f>AG29-(AH29+AI29)</f>
        <v/>
      </c>
      <c r="AK29" s="41" t="n"/>
      <c r="AL29" s="174" t="n"/>
      <c r="AM29" s="174" t="n"/>
      <c r="AN29" s="174">
        <f>AK29-(AL29+AM29)</f>
        <v/>
      </c>
      <c r="AO29" s="7" t="n"/>
      <c r="AP29" s="10" t="n"/>
      <c r="AQ29" s="10" t="n"/>
      <c r="AR29" s="174">
        <f>AO29-(AP29+AQ29)</f>
        <v/>
      </c>
      <c r="AS29" s="7" t="n"/>
      <c r="AT29" s="10" t="n"/>
      <c r="AU29" s="10" t="n"/>
      <c r="AV29" s="174">
        <f>AS29-(AT29+AU29)</f>
        <v/>
      </c>
      <c r="AW29" s="7" t="n"/>
      <c r="AX29" s="10" t="n"/>
      <c r="AY29" s="10" t="n"/>
      <c r="AZ29" s="174">
        <f>AW29-(AX29+AY29)</f>
        <v/>
      </c>
      <c r="BA29" s="172">
        <f>SUM(E29,I29,M29,Q29,U29,Y29,AC29,AG29,AK29,AO29,AS29,AW29)</f>
        <v/>
      </c>
      <c r="BB29" s="172">
        <f>SUM(F29,J29,N29,R29,V29,Z29,AD29,AH29,AL29,AP29,AT29,AX29)</f>
        <v/>
      </c>
      <c r="BC29" s="172">
        <f>SUM(G29,K29,O29,S29,W29,AA29,AE29,AI29,AM29,AQ29,AU29,AY29)</f>
        <v/>
      </c>
      <c r="BD29" s="231">
        <f>BA29-(BB29+BC29)</f>
        <v/>
      </c>
      <c r="BE29" s="234">
        <f>BD29+D29</f>
        <v/>
      </c>
    </row>
    <row r="30" ht="15.75" customHeight="1" s="251">
      <c r="A30" s="169" t="inlineStr">
        <is>
          <t>G12</t>
        </is>
      </c>
      <c r="B30" s="13" t="n"/>
      <c r="C30" s="13" t="inlineStr">
        <is>
          <t>Shyam Nair</t>
        </is>
      </c>
      <c r="D30" s="264" t="n">
        <v>0</v>
      </c>
      <c r="E30" s="171" t="n"/>
      <c r="F30" s="172" t="n"/>
      <c r="G30" s="172" t="n"/>
      <c r="H30" s="172">
        <f>E30-(F30+G30)</f>
        <v/>
      </c>
      <c r="I30" s="173" t="n"/>
      <c r="J30" s="174" t="n"/>
      <c r="K30" s="174" t="n"/>
      <c r="L30" s="174">
        <f>I30-(J30+K30)</f>
        <v/>
      </c>
      <c r="M30" s="172" t="n"/>
      <c r="N30" s="172" t="n"/>
      <c r="O30" s="172" t="n"/>
      <c r="P30" s="172">
        <f>M30-(N30+O30)</f>
        <v/>
      </c>
      <c r="Q30" s="41" t="n"/>
      <c r="R30" s="174" t="n"/>
      <c r="S30" s="174" t="n"/>
      <c r="T30" s="174">
        <f>Q30-(R30+S30)</f>
        <v/>
      </c>
      <c r="U30" s="167" t="n"/>
      <c r="V30" s="172" t="n"/>
      <c r="W30" s="172" t="n"/>
      <c r="X30" s="172">
        <f>U30-(V30+W30)</f>
        <v/>
      </c>
      <c r="Y30" s="41" t="n"/>
      <c r="Z30" s="174" t="n"/>
      <c r="AA30" s="174" t="n"/>
      <c r="AB30" s="174">
        <f>Y30-(Z30+AA30)</f>
        <v/>
      </c>
      <c r="AC30" s="41" t="n"/>
      <c r="AD30" s="174" t="n"/>
      <c r="AE30" s="174" t="n"/>
      <c r="AF30" s="174">
        <f>AC30-(AD30+AE30)</f>
        <v/>
      </c>
      <c r="AG30" s="41" t="n"/>
      <c r="AH30" s="174" t="n"/>
      <c r="AI30" s="174" t="n"/>
      <c r="AJ30" s="174">
        <f>AG30-(AH30+AI30)</f>
        <v/>
      </c>
      <c r="AK30" s="41" t="n"/>
      <c r="AL30" s="174" t="n"/>
      <c r="AM30" s="174" t="n"/>
      <c r="AN30" s="174">
        <f>AK30-(AL30+AM30)</f>
        <v/>
      </c>
      <c r="AO30" s="7" t="n"/>
      <c r="AP30" s="10" t="n"/>
      <c r="AQ30" s="10" t="n"/>
      <c r="AR30" s="174">
        <f>AO30-(AP30+AQ30)</f>
        <v/>
      </c>
      <c r="AS30" s="7" t="n"/>
      <c r="AT30" s="10" t="n"/>
      <c r="AU30" s="10" t="n"/>
      <c r="AV30" s="174">
        <f>AS30-(AT30+AU30)</f>
        <v/>
      </c>
      <c r="AW30" s="7" t="n"/>
      <c r="AX30" s="10" t="n"/>
      <c r="AY30" s="10" t="n"/>
      <c r="AZ30" s="174">
        <f>AW30-(AX30+AY30)</f>
        <v/>
      </c>
      <c r="BA30" s="172">
        <f>SUM(E30,I30,M30,Q30,U30,Y30,AC30,AG30,AK30,AO30,AS30,AW30)</f>
        <v/>
      </c>
      <c r="BB30" s="172">
        <f>SUM(F30,J30,N30,R30,V30,Z30,AD30,AH30,AL30,AP30,AT30,AX30)</f>
        <v/>
      </c>
      <c r="BC30" s="172">
        <f>SUM(G30,K30,O30,S30,W30,AA30,AE30,AI30,AM30,AQ30,AU30,AY30)</f>
        <v/>
      </c>
      <c r="BD30" s="231">
        <f>BA30-(BB30+BC30)</f>
        <v/>
      </c>
      <c r="BE30" s="234">
        <f>BD30+D30</f>
        <v/>
      </c>
    </row>
    <row r="31" ht="15.75" customHeight="1" s="251">
      <c r="A31" s="169" t="inlineStr">
        <is>
          <t>G13</t>
        </is>
      </c>
      <c r="B31" s="13" t="n"/>
      <c r="C31" s="13" t="inlineStr">
        <is>
          <t>Ajai.B</t>
        </is>
      </c>
      <c r="D31" s="264" t="n">
        <v>0</v>
      </c>
      <c r="E31" s="171" t="n"/>
      <c r="F31" s="172" t="n"/>
      <c r="G31" s="172" t="n"/>
      <c r="H31" s="172">
        <f>E31-(F31+G31)</f>
        <v/>
      </c>
      <c r="I31" s="173" t="n"/>
      <c r="J31" s="174" t="n"/>
      <c r="K31" s="174" t="n"/>
      <c r="L31" s="174">
        <f>I31-(J31+K31)</f>
        <v/>
      </c>
      <c r="M31" s="172" t="n"/>
      <c r="N31" s="172" t="n"/>
      <c r="O31" s="172" t="n"/>
      <c r="P31" s="172">
        <f>M31-(N31+O31)</f>
        <v/>
      </c>
      <c r="Q31" s="41" t="n"/>
      <c r="R31" s="174" t="n"/>
      <c r="S31" s="174" t="n"/>
      <c r="T31" s="174">
        <f>Q31-(R31+S31)</f>
        <v/>
      </c>
      <c r="U31" s="167" t="n"/>
      <c r="V31" s="172" t="n"/>
      <c r="W31" s="172" t="n"/>
      <c r="X31" s="172">
        <f>U31-(V31+W31)</f>
        <v/>
      </c>
      <c r="Y31" s="41" t="n"/>
      <c r="Z31" s="174" t="n"/>
      <c r="AA31" s="174" t="n"/>
      <c r="AB31" s="174">
        <f>Y31-(Z31+AA31)</f>
        <v/>
      </c>
      <c r="AC31" s="41" t="n"/>
      <c r="AD31" s="174" t="n"/>
      <c r="AE31" s="174" t="n"/>
      <c r="AF31" s="174">
        <f>AC31-(AD31+AE31)</f>
        <v/>
      </c>
      <c r="AG31" s="41" t="n"/>
      <c r="AH31" s="174" t="n"/>
      <c r="AI31" s="174" t="n"/>
      <c r="AJ31" s="174">
        <f>AG31-(AH31+AI31)</f>
        <v/>
      </c>
      <c r="AK31" s="41" t="n"/>
      <c r="AL31" s="174" t="n"/>
      <c r="AM31" s="174" t="n"/>
      <c r="AN31" s="174">
        <f>AK31-(AL31+AM31)</f>
        <v/>
      </c>
      <c r="AO31" s="7" t="n"/>
      <c r="AP31" s="10" t="n"/>
      <c r="AQ31" s="10" t="n"/>
      <c r="AR31" s="174">
        <f>AO31-(AP31+AQ31)</f>
        <v/>
      </c>
      <c r="AS31" s="7" t="n"/>
      <c r="AT31" s="10" t="n"/>
      <c r="AU31" s="10" t="n"/>
      <c r="AV31" s="174">
        <f>AS31-(AT31+AU31)</f>
        <v/>
      </c>
      <c r="AW31" s="7" t="n"/>
      <c r="AX31" s="10" t="n"/>
      <c r="AY31" s="10" t="n"/>
      <c r="AZ31" s="174">
        <f>AW31-(AX31+AY31)</f>
        <v/>
      </c>
      <c r="BA31" s="172">
        <f>SUM(E31,I31,M31,Q31,U31,Y31,AC31,AG31,AK31,AO31,AS31,AW31)</f>
        <v/>
      </c>
      <c r="BB31" s="172">
        <f>SUM(F31,J31,N31,R31,V31,Z31,AD31,AH31,AL31,AP31,AT31,AX31)</f>
        <v/>
      </c>
      <c r="BC31" s="172">
        <f>SUM(G31,K31,O31,S31,W31,AA31,AE31,AI31,AM31,AQ31,AU31,AY31)</f>
        <v/>
      </c>
      <c r="BD31" s="231">
        <f>BA31-(BB31+BC31)</f>
        <v/>
      </c>
      <c r="BE31" s="234">
        <f>BD31+D31</f>
        <v/>
      </c>
    </row>
    <row r="32" ht="15.75" customHeight="1" s="251">
      <c r="A32" s="169" t="inlineStr">
        <is>
          <t>G14</t>
        </is>
      </c>
      <c r="B32" s="13" t="n"/>
      <c r="C32" s="13" t="inlineStr">
        <is>
          <t>Surajit Borah</t>
        </is>
      </c>
      <c r="D32" s="264" t="n">
        <v>0</v>
      </c>
      <c r="E32" s="171" t="n"/>
      <c r="F32" s="172" t="n"/>
      <c r="G32" s="172" t="n"/>
      <c r="H32" s="172">
        <f>E32-(F32+G32)</f>
        <v/>
      </c>
      <c r="I32" s="173" t="n"/>
      <c r="J32" s="174" t="n"/>
      <c r="K32" s="174" t="n"/>
      <c r="L32" s="174">
        <f>I32-(J32+K32)</f>
        <v/>
      </c>
      <c r="M32" s="172" t="n"/>
      <c r="N32" s="172" t="n"/>
      <c r="O32" s="172" t="n"/>
      <c r="P32" s="172">
        <f>M32-(N32+O32)</f>
        <v/>
      </c>
      <c r="Q32" s="41" t="n"/>
      <c r="R32" s="174" t="n"/>
      <c r="S32" s="174" t="n"/>
      <c r="T32" s="174">
        <f>Q32-(R32+S32)</f>
        <v/>
      </c>
      <c r="U32" s="167" t="n"/>
      <c r="V32" s="172" t="n"/>
      <c r="W32" s="172" t="n"/>
      <c r="X32" s="172">
        <f>U32-(V32+W32)</f>
        <v/>
      </c>
      <c r="Y32" s="41" t="n"/>
      <c r="Z32" s="174" t="n"/>
      <c r="AA32" s="174" t="n"/>
      <c r="AB32" s="174">
        <f>Y32-(Z32+AA32)</f>
        <v/>
      </c>
      <c r="AC32" s="41" t="n"/>
      <c r="AD32" s="174" t="n"/>
      <c r="AE32" s="174" t="n"/>
      <c r="AF32" s="174">
        <f>AC32-(AD32+AE32)</f>
        <v/>
      </c>
      <c r="AG32" s="41" t="n"/>
      <c r="AH32" s="174" t="n"/>
      <c r="AI32" s="174" t="n"/>
      <c r="AJ32" s="174">
        <f>AG32-(AH32+AI32)</f>
        <v/>
      </c>
      <c r="AK32" s="41" t="n"/>
      <c r="AL32" s="174" t="n"/>
      <c r="AM32" s="174" t="n"/>
      <c r="AN32" s="174">
        <f>AK32-(AL32+AM32)</f>
        <v/>
      </c>
      <c r="AO32" s="7" t="n"/>
      <c r="AP32" s="10" t="n"/>
      <c r="AQ32" s="10" t="n"/>
      <c r="AR32" s="174">
        <f>AO32-(AP32+AQ32)</f>
        <v/>
      </c>
      <c r="AS32" s="7" t="n"/>
      <c r="AT32" s="10" t="n"/>
      <c r="AU32" s="10" t="n"/>
      <c r="AV32" s="174">
        <f>AS32-(AT32+AU32)</f>
        <v/>
      </c>
      <c r="AW32" s="7" t="n"/>
      <c r="AX32" s="10" t="n"/>
      <c r="AY32" s="10" t="n"/>
      <c r="AZ32" s="174">
        <f>AW32-(AX32+AY32)</f>
        <v/>
      </c>
      <c r="BA32" s="172">
        <f>SUM(E32,I32,M32,Q32,U32,Y32,AC32,AG32,AK32,AO32,AS32,AW32)</f>
        <v/>
      </c>
      <c r="BB32" s="172">
        <f>SUM(F32,J32,N32,R32,V32,Z32,AD32,AH32,AL32,AP32,AT32,AX32)</f>
        <v/>
      </c>
      <c r="BC32" s="172">
        <f>SUM(G32,K32,O32,S32,W32,AA32,AE32,AI32,AM32,AQ32,AU32,AY32)</f>
        <v/>
      </c>
      <c r="BD32" s="231">
        <f>BA32-(BB32+BC32)</f>
        <v/>
      </c>
      <c r="BE32" s="234">
        <f>BD32+D32</f>
        <v/>
      </c>
    </row>
    <row r="33" ht="15.75" customHeight="1" s="251">
      <c r="A33" s="169" t="inlineStr">
        <is>
          <t>G15</t>
        </is>
      </c>
      <c r="B33" s="13" t="n"/>
      <c r="C33" s="13" t="inlineStr">
        <is>
          <t>Suresh Nallusamy / Antriksh (tenant)</t>
        </is>
      </c>
      <c r="D33" s="264" t="n">
        <v>0</v>
      </c>
      <c r="E33" s="171" t="n"/>
      <c r="F33" s="172" t="n"/>
      <c r="G33" s="172" t="n"/>
      <c r="H33" s="172">
        <f>E33-(F33+G33)</f>
        <v/>
      </c>
      <c r="I33" s="173" t="n"/>
      <c r="J33" s="174" t="n"/>
      <c r="K33" s="174" t="n"/>
      <c r="L33" s="174">
        <f>I33-(J33+K33)</f>
        <v/>
      </c>
      <c r="M33" s="172" t="n"/>
      <c r="N33" s="172" t="n"/>
      <c r="O33" s="172" t="n"/>
      <c r="P33" s="172">
        <f>M33-(N33+O33)</f>
        <v/>
      </c>
      <c r="Q33" s="41" t="n"/>
      <c r="R33" s="174" t="n"/>
      <c r="S33" s="174" t="n"/>
      <c r="T33" s="174">
        <f>Q33-(R33+S33)</f>
        <v/>
      </c>
      <c r="U33" s="167" t="n"/>
      <c r="V33" s="172" t="n"/>
      <c r="W33" s="172" t="n"/>
      <c r="X33" s="172">
        <f>U33-(V33+W33)</f>
        <v/>
      </c>
      <c r="Y33" s="41" t="n"/>
      <c r="Z33" s="174" t="n"/>
      <c r="AA33" s="174" t="n"/>
      <c r="AB33" s="174">
        <f>Y33-(Z33+AA33)</f>
        <v/>
      </c>
      <c r="AC33" s="41" t="n"/>
      <c r="AD33" s="174" t="n"/>
      <c r="AE33" s="174" t="n"/>
      <c r="AF33" s="174">
        <f>AC33-(AD33+AE33)</f>
        <v/>
      </c>
      <c r="AG33" s="41" t="n"/>
      <c r="AH33" s="174" t="n"/>
      <c r="AI33" s="174" t="n"/>
      <c r="AJ33" s="174">
        <f>AG33-(AH33+AI33)</f>
        <v/>
      </c>
      <c r="AK33" s="41" t="n"/>
      <c r="AL33" s="174" t="n"/>
      <c r="AM33" s="174" t="n"/>
      <c r="AN33" s="174">
        <f>AK33-(AL33+AM33)</f>
        <v/>
      </c>
      <c r="AO33" s="7" t="n"/>
      <c r="AP33" s="10" t="n"/>
      <c r="AQ33" s="10" t="n"/>
      <c r="AR33" s="174">
        <f>AO33-(AP33+AQ33)</f>
        <v/>
      </c>
      <c r="AS33" s="7" t="n"/>
      <c r="AT33" s="10" t="n"/>
      <c r="AU33" s="10" t="n"/>
      <c r="AV33" s="174">
        <f>AS33-(AT33+AU33)</f>
        <v/>
      </c>
      <c r="AW33" s="7" t="n"/>
      <c r="AX33" s="10" t="n"/>
      <c r="AY33" s="10" t="n"/>
      <c r="AZ33" s="174">
        <f>AW33-(AX33+AY33)</f>
        <v/>
      </c>
      <c r="BA33" s="172">
        <f>SUM(E33,I33,M33,Q33,U33,Y33,AC33,AG33,AK33,AO33,AS33,AW33)</f>
        <v/>
      </c>
      <c r="BB33" s="172">
        <f>SUM(F33,J33,N33,R33,V33,Z33,AD33,AH33,AL33,AP33,AT33,AX33)</f>
        <v/>
      </c>
      <c r="BC33" s="172">
        <f>SUM(G33,K33,O33,S33,W33,AA33,AE33,AI33,AM33,AQ33,AU33,AY33)</f>
        <v/>
      </c>
      <c r="BD33" s="231">
        <f>BA33-(BB33+BC33)</f>
        <v/>
      </c>
      <c r="BE33" s="234">
        <f>BD33+D33</f>
        <v/>
      </c>
    </row>
    <row r="34" ht="15.75" customHeight="1" s="251">
      <c r="A34" s="169" t="inlineStr">
        <is>
          <t>G16</t>
        </is>
      </c>
      <c r="B34" s="13" t="n"/>
      <c r="C34" s="13" t="inlineStr">
        <is>
          <t>Praveen Ganesan</t>
        </is>
      </c>
      <c r="D34" s="264" t="n">
        <v>0</v>
      </c>
      <c r="E34" s="171" t="n"/>
      <c r="F34" s="172" t="n"/>
      <c r="G34" s="172" t="n"/>
      <c r="H34" s="172">
        <f>E34-(F34+G34)</f>
        <v/>
      </c>
      <c r="I34" s="173" t="n"/>
      <c r="J34" s="174" t="n"/>
      <c r="K34" s="174" t="n"/>
      <c r="L34" s="174">
        <f>I34-(J34+K34)</f>
        <v/>
      </c>
      <c r="M34" s="172" t="n"/>
      <c r="N34" s="172" t="n"/>
      <c r="O34" s="172" t="n"/>
      <c r="P34" s="172">
        <f>M34-(N34+O34)</f>
        <v/>
      </c>
      <c r="Q34" s="41" t="n"/>
      <c r="R34" s="174" t="n"/>
      <c r="S34" s="174" t="n"/>
      <c r="T34" s="174">
        <f>Q34-(R34+S34)</f>
        <v/>
      </c>
      <c r="U34" s="167" t="n"/>
      <c r="V34" s="172" t="n"/>
      <c r="W34" s="172" t="n"/>
      <c r="X34" s="172">
        <f>U34-(V34+W34)</f>
        <v/>
      </c>
      <c r="Y34" s="41" t="n"/>
      <c r="Z34" s="174" t="n"/>
      <c r="AA34" s="174" t="n"/>
      <c r="AB34" s="174">
        <f>Y34-(Z34+AA34)</f>
        <v/>
      </c>
      <c r="AC34" s="41" t="n"/>
      <c r="AD34" s="174" t="n"/>
      <c r="AE34" s="174" t="n"/>
      <c r="AF34" s="174">
        <f>AC34-(AD34+AE34)</f>
        <v/>
      </c>
      <c r="AG34" s="41" t="n"/>
      <c r="AH34" s="174" t="n"/>
      <c r="AI34" s="174" t="n"/>
      <c r="AJ34" s="174">
        <f>AG34-(AH34+AI34)</f>
        <v/>
      </c>
      <c r="AK34" s="41" t="n"/>
      <c r="AL34" s="174" t="n"/>
      <c r="AM34" s="174" t="n"/>
      <c r="AN34" s="174">
        <f>AK34-(AL34+AM34)</f>
        <v/>
      </c>
      <c r="AO34" s="7" t="n"/>
      <c r="AP34" s="10" t="n"/>
      <c r="AQ34" s="10" t="n"/>
      <c r="AR34" s="174">
        <f>AO34-(AP34+AQ34)</f>
        <v/>
      </c>
      <c r="AS34" s="7" t="n"/>
      <c r="AT34" s="10" t="n"/>
      <c r="AU34" s="10" t="n"/>
      <c r="AV34" s="174">
        <f>AS34-(AT34+AU34)</f>
        <v/>
      </c>
      <c r="AW34" s="7" t="n"/>
      <c r="AX34" s="10" t="n"/>
      <c r="AY34" s="10" t="n"/>
      <c r="AZ34" s="174">
        <f>AW34-(AX34+AY34)</f>
        <v/>
      </c>
      <c r="BA34" s="172">
        <f>SUM(E34,I34,M34,Q34,U34,Y34,AC34,AG34,AK34,AO34,AS34,AW34)</f>
        <v/>
      </c>
      <c r="BB34" s="172">
        <f>SUM(F34,J34,N34,R34,V34,Z34,AD34,AH34,AL34,AP34,AT34,AX34)</f>
        <v/>
      </c>
      <c r="BC34" s="172">
        <f>SUM(G34,K34,O34,S34,W34,AA34,AE34,AI34,AM34,AQ34,AU34,AY34)</f>
        <v/>
      </c>
      <c r="BD34" s="231">
        <f>BA34-(BB34+BC34)</f>
        <v/>
      </c>
      <c r="BE34" s="234">
        <f>BD34+D34</f>
        <v/>
      </c>
    </row>
    <row r="35" ht="15.75" customHeight="1" s="251">
      <c r="A35" s="169" t="inlineStr">
        <is>
          <t>S1</t>
        </is>
      </c>
      <c r="B35" s="13" t="n"/>
      <c r="C35" s="13" t="inlineStr">
        <is>
          <t>S.N.Behera</t>
        </is>
      </c>
      <c r="D35" s="264" t="n">
        <v>0</v>
      </c>
      <c r="E35" s="171" t="n"/>
      <c r="F35" s="172" t="n"/>
      <c r="G35" s="172" t="n"/>
      <c r="H35" s="172">
        <f>E35-(F35+G35)</f>
        <v/>
      </c>
      <c r="I35" s="173" t="n"/>
      <c r="J35" s="174" t="n"/>
      <c r="K35" s="174" t="n"/>
      <c r="L35" s="174">
        <f>I35-(J35+K35)</f>
        <v/>
      </c>
      <c r="M35" s="172" t="n"/>
      <c r="N35" s="172" t="n"/>
      <c r="O35" s="172" t="n"/>
      <c r="P35" s="172">
        <f>M35-(N35+O35)</f>
        <v/>
      </c>
      <c r="Q35" s="41" t="n"/>
      <c r="R35" s="174" t="n"/>
      <c r="S35" s="174" t="n"/>
      <c r="T35" s="174">
        <f>Q35-(R35+S35)</f>
        <v/>
      </c>
      <c r="U35" s="167" t="n"/>
      <c r="V35" s="172" t="n"/>
      <c r="W35" s="172" t="n"/>
      <c r="X35" s="172">
        <f>U35-(V35+W35)</f>
        <v/>
      </c>
      <c r="Y35" s="41" t="n"/>
      <c r="Z35" s="174" t="n"/>
      <c r="AA35" s="174" t="n"/>
      <c r="AB35" s="174">
        <f>Y35-(Z35+AA35)</f>
        <v/>
      </c>
      <c r="AC35" s="41" t="n"/>
      <c r="AD35" s="174" t="n"/>
      <c r="AE35" s="174" t="n"/>
      <c r="AF35" s="174">
        <f>AC35-(AD35+AE35)</f>
        <v/>
      </c>
      <c r="AG35" s="41" t="n"/>
      <c r="AH35" s="174" t="n"/>
      <c r="AI35" s="174" t="n"/>
      <c r="AJ35" s="174">
        <f>AG35-(AH35+AI35)</f>
        <v/>
      </c>
      <c r="AK35" s="41" t="n"/>
      <c r="AL35" s="174" t="n"/>
      <c r="AM35" s="174" t="n"/>
      <c r="AN35" s="174">
        <f>AK35-(AL35+AM35)</f>
        <v/>
      </c>
      <c r="AO35" s="7" t="n"/>
      <c r="AP35" s="10" t="n"/>
      <c r="AQ35" s="10" t="n"/>
      <c r="AR35" s="174">
        <f>AO35-(AP35+AQ35)</f>
        <v/>
      </c>
      <c r="AS35" s="7" t="n"/>
      <c r="AT35" s="10" t="n"/>
      <c r="AU35" s="10" t="n"/>
      <c r="AV35" s="174">
        <f>AS35-(AT35+AU35)</f>
        <v/>
      </c>
      <c r="AW35" s="7" t="n"/>
      <c r="AX35" s="10" t="n"/>
      <c r="AY35" s="10" t="n"/>
      <c r="AZ35" s="174">
        <f>AW35-(AX35+AY35)</f>
        <v/>
      </c>
      <c r="BA35" s="172">
        <f>SUM(E35,I35,M35,Q35,U35,Y35,AC35,AG35,AK35,AO35,AS35,AW35)</f>
        <v/>
      </c>
      <c r="BB35" s="172">
        <f>SUM(F35,J35,N35,R35,V35,Z35,AD35,AH35,AL35,AP35,AT35,AX35)</f>
        <v/>
      </c>
      <c r="BC35" s="172">
        <f>SUM(G35,K35,O35,S35,W35,AA35,AE35,AI35,AM35,AQ35,AU35,AY35)</f>
        <v/>
      </c>
      <c r="BD35" s="231">
        <f>BA35-(BB35+BC35)</f>
        <v/>
      </c>
      <c r="BE35" s="234">
        <f>BD35+D35</f>
        <v/>
      </c>
    </row>
    <row r="36" ht="15.75" customHeight="1" s="251">
      <c r="A36" s="169" t="inlineStr">
        <is>
          <t>S2</t>
        </is>
      </c>
      <c r="B36" s="13" t="n"/>
      <c r="C36" s="13" t="inlineStr">
        <is>
          <t>Sonal Singhal</t>
        </is>
      </c>
      <c r="D36" s="264" t="n">
        <v>0</v>
      </c>
      <c r="E36" s="171" t="n"/>
      <c r="F36" s="172" t="n"/>
      <c r="G36" s="172" t="n"/>
      <c r="H36" s="172">
        <f>E36-(F36+G36)</f>
        <v/>
      </c>
      <c r="I36" s="173" t="n"/>
      <c r="J36" s="174" t="n"/>
      <c r="K36" s="174" t="n"/>
      <c r="L36" s="174">
        <f>I36-(J36+K36)</f>
        <v/>
      </c>
      <c r="M36" s="172" t="n"/>
      <c r="N36" s="172" t="n"/>
      <c r="O36" s="172" t="n"/>
      <c r="P36" s="172">
        <f>M36-(N36+O36)</f>
        <v/>
      </c>
      <c r="Q36" s="41" t="n"/>
      <c r="R36" s="174" t="n"/>
      <c r="S36" s="174" t="n"/>
      <c r="T36" s="174">
        <f>Q36-(R36+S36)</f>
        <v/>
      </c>
      <c r="U36" s="167" t="n"/>
      <c r="V36" s="172" t="n"/>
      <c r="W36" s="172" t="n"/>
      <c r="X36" s="172">
        <f>U36-(V36+W36)</f>
        <v/>
      </c>
      <c r="Y36" s="41" t="n"/>
      <c r="Z36" s="174" t="n"/>
      <c r="AA36" s="174" t="n"/>
      <c r="AB36" s="174">
        <f>Y36-(Z36+AA36)</f>
        <v/>
      </c>
      <c r="AC36" s="41" t="n"/>
      <c r="AD36" s="174" t="n"/>
      <c r="AE36" s="174" t="n"/>
      <c r="AF36" s="174">
        <f>AC36-(AD36+AE36)</f>
        <v/>
      </c>
      <c r="AG36" s="41" t="n"/>
      <c r="AH36" s="174" t="n"/>
      <c r="AI36" s="174" t="n"/>
      <c r="AJ36" s="174">
        <f>AG36-(AH36+AI36)</f>
        <v/>
      </c>
      <c r="AK36" s="41" t="n"/>
      <c r="AL36" s="174" t="n"/>
      <c r="AM36" s="174" t="n"/>
      <c r="AN36" s="174">
        <f>AK36-(AL36+AM36)</f>
        <v/>
      </c>
      <c r="AO36" s="7" t="n"/>
      <c r="AP36" s="10" t="n"/>
      <c r="AQ36" s="10" t="n"/>
      <c r="AR36" s="174">
        <f>AO36-(AP36+AQ36)</f>
        <v/>
      </c>
      <c r="AS36" s="7" t="n"/>
      <c r="AT36" s="10" t="n"/>
      <c r="AU36" s="10" t="n"/>
      <c r="AV36" s="174">
        <f>AS36-(AT36+AU36)</f>
        <v/>
      </c>
      <c r="AW36" s="7" t="n"/>
      <c r="AX36" s="10" t="n"/>
      <c r="AY36" s="10" t="n"/>
      <c r="AZ36" s="174">
        <f>AW36-(AX36+AY36)</f>
        <v/>
      </c>
      <c r="BA36" s="172">
        <f>SUM(E36,I36,M36,Q36,U36,Y36,AC36,AG36,AK36,AO36,AS36,AW36)</f>
        <v/>
      </c>
      <c r="BB36" s="172">
        <f>SUM(F36,J36,N36,R36,V36,Z36,AD36,AH36,AL36,AP36,AT36,AX36)</f>
        <v/>
      </c>
      <c r="BC36" s="172">
        <f>SUM(G36,K36,O36,S36,W36,AA36,AE36,AI36,AM36,AQ36,AU36,AY36)</f>
        <v/>
      </c>
      <c r="BD36" s="231">
        <f>BA36-(BB36+BC36)</f>
        <v/>
      </c>
      <c r="BE36" s="234">
        <f>BD36+D36</f>
        <v/>
      </c>
    </row>
    <row r="37" ht="15.75" customHeight="1" s="251">
      <c r="A37" s="169" t="inlineStr">
        <is>
          <t>S3</t>
        </is>
      </c>
      <c r="B37" s="13" t="inlineStr">
        <is>
          <t>manikandan.nj@gmail.com</t>
        </is>
      </c>
      <c r="C37" s="13" t="inlineStr">
        <is>
          <t>Manikandan NG</t>
        </is>
      </c>
      <c r="D37" s="264" t="n">
        <v>0</v>
      </c>
      <c r="E37" s="171" t="n"/>
      <c r="F37" s="172" t="n"/>
      <c r="G37" s="172" t="n"/>
      <c r="H37" s="172">
        <f>E37-(F37+G37)</f>
        <v/>
      </c>
      <c r="I37" s="173" t="n"/>
      <c r="J37" s="174" t="n"/>
      <c r="K37" s="174" t="n"/>
      <c r="L37" s="174">
        <f>I37-(J37+K37)</f>
        <v/>
      </c>
      <c r="M37" s="172" t="n"/>
      <c r="N37" s="172" t="n"/>
      <c r="O37" s="172" t="n"/>
      <c r="P37" s="172">
        <f>M37-(N37+O37)</f>
        <v/>
      </c>
      <c r="Q37" s="41" t="n"/>
      <c r="R37" s="174" t="n"/>
      <c r="S37" s="174" t="n"/>
      <c r="T37" s="174">
        <f>Q37-(R37+S37)</f>
        <v/>
      </c>
      <c r="U37" s="167" t="n"/>
      <c r="V37" s="172" t="n"/>
      <c r="W37" s="172" t="n"/>
      <c r="X37" s="172">
        <f>U37-(V37+W37)</f>
        <v/>
      </c>
      <c r="Y37" s="41" t="n"/>
      <c r="Z37" s="174" t="n"/>
      <c r="AA37" s="174" t="n"/>
      <c r="AB37" s="174">
        <f>Y37-(Z37+AA37)</f>
        <v/>
      </c>
      <c r="AC37" s="41" t="n"/>
      <c r="AD37" s="174" t="n"/>
      <c r="AE37" s="174" t="n"/>
      <c r="AF37" s="174">
        <f>AC37-(AD37+AE37)</f>
        <v/>
      </c>
      <c r="AG37" s="41" t="n"/>
      <c r="AH37" s="174" t="n"/>
      <c r="AI37" s="174" t="n"/>
      <c r="AJ37" s="174">
        <f>AG37-(AH37+AI37)</f>
        <v/>
      </c>
      <c r="AK37" s="41" t="n"/>
      <c r="AL37" s="174" t="n"/>
      <c r="AM37" s="174" t="n"/>
      <c r="AN37" s="174">
        <f>AK37-(AL37+AM37)</f>
        <v/>
      </c>
      <c r="AO37" s="7" t="n"/>
      <c r="AP37" s="10" t="n"/>
      <c r="AQ37" s="10" t="n"/>
      <c r="AR37" s="174">
        <f>AO37-(AP37+AQ37)</f>
        <v/>
      </c>
      <c r="AS37" s="7" t="n"/>
      <c r="AT37" s="10" t="n"/>
      <c r="AU37" s="10" t="n"/>
      <c r="AV37" s="174">
        <f>AS37-(AT37+AU37)</f>
        <v/>
      </c>
      <c r="AW37" s="7" t="n"/>
      <c r="AX37" s="10" t="n"/>
      <c r="AY37" s="10" t="n"/>
      <c r="AZ37" s="174">
        <f>AW37-(AX37+AY37)</f>
        <v/>
      </c>
      <c r="BA37" s="172">
        <f>SUM(E37,I37,M37,Q37,U37,Y37,AC37,AG37,AK37,AO37,AS37,AW37)</f>
        <v/>
      </c>
      <c r="BB37" s="172">
        <f>SUM(F37,J37,N37,R37,V37,Z37,AD37,AH37,AL37,AP37,AT37,AX37)</f>
        <v/>
      </c>
      <c r="BC37" s="172">
        <f>SUM(G37,K37,O37,S37,W37,AA37,AE37,AI37,AM37,AQ37,AU37,AY37)</f>
        <v/>
      </c>
      <c r="BD37" s="231">
        <f>BA37-(BB37+BC37)</f>
        <v/>
      </c>
      <c r="BE37" s="234">
        <f>BD37+D37</f>
        <v/>
      </c>
    </row>
    <row r="38" ht="15.75" customHeight="1" s="251">
      <c r="A38" s="169" t="inlineStr">
        <is>
          <t>S4</t>
        </is>
      </c>
      <c r="B38" s="13" t="n"/>
      <c r="C38" s="13" t="inlineStr">
        <is>
          <t xml:space="preserve">Swaminathan </t>
        </is>
      </c>
      <c r="D38" s="264" t="n">
        <v>0</v>
      </c>
      <c r="E38" s="171" t="n"/>
      <c r="F38" s="172" t="n"/>
      <c r="G38" s="172" t="n"/>
      <c r="H38" s="172">
        <f>E38-(F38+G38)</f>
        <v/>
      </c>
      <c r="I38" s="173" t="n"/>
      <c r="J38" s="174" t="n"/>
      <c r="K38" s="174" t="n"/>
      <c r="L38" s="174">
        <f>I38-(J38+K38)</f>
        <v/>
      </c>
      <c r="M38" s="172" t="n"/>
      <c r="N38" s="172" t="n"/>
      <c r="O38" s="172" t="n"/>
      <c r="P38" s="172">
        <f>M38-(N38+O38)</f>
        <v/>
      </c>
      <c r="Q38" s="41" t="n"/>
      <c r="R38" s="174" t="n"/>
      <c r="S38" s="174" t="n"/>
      <c r="T38" s="174">
        <f>Q38-(R38+S38)</f>
        <v/>
      </c>
      <c r="U38" s="167" t="n"/>
      <c r="V38" s="172" t="n"/>
      <c r="W38" s="172" t="n"/>
      <c r="X38" s="172">
        <f>U38-(V38+W38)</f>
        <v/>
      </c>
      <c r="Y38" s="41" t="n"/>
      <c r="Z38" s="174" t="n"/>
      <c r="AA38" s="174" t="n"/>
      <c r="AB38" s="174">
        <f>Y38-(Z38+AA38)</f>
        <v/>
      </c>
      <c r="AC38" s="41" t="n"/>
      <c r="AD38" s="174" t="n"/>
      <c r="AE38" s="174" t="n"/>
      <c r="AF38" s="174">
        <f>AC38-(AD38+AE38)</f>
        <v/>
      </c>
      <c r="AG38" s="41" t="n"/>
      <c r="AH38" s="174" t="n"/>
      <c r="AI38" s="174" t="n"/>
      <c r="AJ38" s="174">
        <f>AG38-(AH38+AI38)</f>
        <v/>
      </c>
      <c r="AK38" s="41" t="n"/>
      <c r="AL38" s="174" t="n"/>
      <c r="AM38" s="174" t="n"/>
      <c r="AN38" s="174">
        <f>AK38-(AL38+AM38)</f>
        <v/>
      </c>
      <c r="AO38" s="7" t="n"/>
      <c r="AP38" s="10" t="n"/>
      <c r="AQ38" s="10" t="n"/>
      <c r="AR38" s="174">
        <f>AO38-(AP38+AQ38)</f>
        <v/>
      </c>
      <c r="AS38" s="7" t="n"/>
      <c r="AT38" s="10" t="n"/>
      <c r="AU38" s="10" t="n"/>
      <c r="AV38" s="174">
        <f>AS38-(AT38+AU38)</f>
        <v/>
      </c>
      <c r="AW38" s="7" t="n"/>
      <c r="AX38" s="10" t="n"/>
      <c r="AY38" s="10" t="n"/>
      <c r="AZ38" s="174">
        <f>AW38-(AX38+AY38)</f>
        <v/>
      </c>
      <c r="BA38" s="172">
        <f>SUM(E38,I38,M38,Q38,U38,Y38,AC38,AG38,AK38,AO38,AS38,AW38)</f>
        <v/>
      </c>
      <c r="BB38" s="172">
        <f>SUM(F38,J38,N38,R38,V38,Z38,AD38,AH38,AL38,AP38,AT38,AX38)</f>
        <v/>
      </c>
      <c r="BC38" s="172">
        <f>SUM(G38,K38,O38,S38,W38,AA38,AE38,AI38,AM38,AQ38,AU38,AY38)</f>
        <v/>
      </c>
      <c r="BD38" s="231">
        <f>BA38-(BB38+BC38)</f>
        <v/>
      </c>
      <c r="BE38" s="234">
        <f>BD38+D38</f>
        <v/>
      </c>
    </row>
    <row r="39" ht="15.75" customHeight="1" s="251">
      <c r="A39" s="169" t="inlineStr">
        <is>
          <t>S5</t>
        </is>
      </c>
      <c r="B39" s="13" t="n"/>
      <c r="C39" s="13" t="inlineStr">
        <is>
          <t>Abhishek Gopalakrishnan</t>
        </is>
      </c>
      <c r="D39" s="264" t="n">
        <v>0</v>
      </c>
      <c r="E39" s="171" t="n"/>
      <c r="F39" s="172" t="n"/>
      <c r="G39" s="172" t="n"/>
      <c r="H39" s="172">
        <f>E39-(F39+G39)</f>
        <v/>
      </c>
      <c r="I39" s="173" t="n"/>
      <c r="J39" s="174" t="n"/>
      <c r="K39" s="174" t="n"/>
      <c r="L39" s="174">
        <f>I39-(J39+K39)</f>
        <v/>
      </c>
      <c r="M39" s="172" t="n"/>
      <c r="N39" s="172" t="n"/>
      <c r="O39" s="172" t="n"/>
      <c r="P39" s="172">
        <f>M39-(N39+O39)</f>
        <v/>
      </c>
      <c r="Q39" s="41" t="n"/>
      <c r="R39" s="174" t="n"/>
      <c r="S39" s="174" t="n"/>
      <c r="T39" s="174">
        <f>Q39-(R39+S39)</f>
        <v/>
      </c>
      <c r="U39" s="167" t="n"/>
      <c r="V39" s="172" t="n"/>
      <c r="W39" s="172" t="n"/>
      <c r="X39" s="172">
        <f>U39-(V39+W39)</f>
        <v/>
      </c>
      <c r="Y39" s="41" t="n"/>
      <c r="Z39" s="174" t="n"/>
      <c r="AA39" s="174" t="n"/>
      <c r="AB39" s="174">
        <f>Y39-(Z39+AA39)</f>
        <v/>
      </c>
      <c r="AC39" s="41" t="n"/>
      <c r="AD39" s="174" t="n"/>
      <c r="AE39" s="174" t="n"/>
      <c r="AF39" s="174">
        <f>AC39-(AD39+AE39)</f>
        <v/>
      </c>
      <c r="AG39" s="41" t="n"/>
      <c r="AH39" s="174" t="n"/>
      <c r="AI39" s="174" t="n"/>
      <c r="AJ39" s="174">
        <f>AG39-(AH39+AI39)</f>
        <v/>
      </c>
      <c r="AK39" s="41" t="n"/>
      <c r="AL39" s="174" t="n"/>
      <c r="AM39" s="174" t="n"/>
      <c r="AN39" s="174">
        <f>AK39-(AL39+AM39)</f>
        <v/>
      </c>
      <c r="AO39" s="7" t="n"/>
      <c r="AP39" s="10" t="n"/>
      <c r="AQ39" s="10" t="n"/>
      <c r="AR39" s="174">
        <f>AO39-(AP39+AQ39)</f>
        <v/>
      </c>
      <c r="AS39" s="7" t="n"/>
      <c r="AT39" s="10" t="n"/>
      <c r="AU39" s="10" t="n"/>
      <c r="AV39" s="174">
        <f>AS39-(AT39+AU39)</f>
        <v/>
      </c>
      <c r="AW39" s="7" t="n"/>
      <c r="AX39" s="10" t="n"/>
      <c r="AY39" s="10" t="n"/>
      <c r="AZ39" s="174">
        <f>AW39-(AX39+AY39)</f>
        <v/>
      </c>
      <c r="BA39" s="172">
        <f>SUM(E39,I39,M39,Q39,U39,Y39,AC39,AG39,AK39,AO39,AS39,AW39)</f>
        <v/>
      </c>
      <c r="BB39" s="172">
        <f>SUM(F39,J39,N39,R39,V39,Z39,AD39,AH39,AL39,AP39,AT39,AX39)</f>
        <v/>
      </c>
      <c r="BC39" s="172">
        <f>SUM(G39,K39,O39,S39,W39,AA39,AE39,AI39,AM39,AQ39,AU39,AY39)</f>
        <v/>
      </c>
      <c r="BD39" s="231">
        <f>BA39-(BB39+BC39)</f>
        <v/>
      </c>
      <c r="BE39" s="234">
        <f>BD39+D39</f>
        <v/>
      </c>
    </row>
    <row r="40" ht="15.75" customHeight="1" s="251">
      <c r="A40" s="169" t="inlineStr">
        <is>
          <t>S6</t>
        </is>
      </c>
      <c r="B40" s="30" t="n"/>
      <c r="C40" s="30" t="inlineStr">
        <is>
          <t>Vivek Dhingra / Pratyush Das</t>
        </is>
      </c>
      <c r="D40" s="264" t="n">
        <v>0</v>
      </c>
      <c r="E40" s="171" t="n"/>
      <c r="F40" s="172" t="n"/>
      <c r="G40" s="172" t="n"/>
      <c r="H40" s="172">
        <f>E40-(F40+G40)</f>
        <v/>
      </c>
      <c r="I40" s="173" t="n"/>
      <c r="J40" s="174" t="n"/>
      <c r="K40" s="174" t="n"/>
      <c r="L40" s="174">
        <f>I40-(J40+K40)</f>
        <v/>
      </c>
      <c r="M40" s="172" t="n"/>
      <c r="N40" s="172" t="n"/>
      <c r="O40" s="172" t="n"/>
      <c r="P40" s="172">
        <f>M40-(N40+O40)</f>
        <v/>
      </c>
      <c r="Q40" s="41" t="n"/>
      <c r="R40" s="174" t="n"/>
      <c r="S40" s="174" t="n"/>
      <c r="T40" s="174">
        <f>Q40-(R40+S40)</f>
        <v/>
      </c>
      <c r="U40" s="167" t="n"/>
      <c r="V40" s="172" t="n"/>
      <c r="W40" s="172" t="n"/>
      <c r="X40" s="172">
        <f>U40-(V40+W40)</f>
        <v/>
      </c>
      <c r="Y40" s="41" t="n"/>
      <c r="Z40" s="174" t="n"/>
      <c r="AA40" s="174" t="n"/>
      <c r="AB40" s="174">
        <f>Y40-(Z40+AA40)</f>
        <v/>
      </c>
      <c r="AC40" s="41" t="n"/>
      <c r="AD40" s="174" t="n"/>
      <c r="AE40" s="174" t="n"/>
      <c r="AF40" s="174">
        <f>AC40-(AD40+AE40)</f>
        <v/>
      </c>
      <c r="AG40" s="41" t="n"/>
      <c r="AH40" s="174" t="n"/>
      <c r="AI40" s="174" t="n"/>
      <c r="AJ40" s="174">
        <f>AG40-(AH40+AI40)</f>
        <v/>
      </c>
      <c r="AK40" s="41" t="n"/>
      <c r="AL40" s="174" t="n"/>
      <c r="AM40" s="174" t="n"/>
      <c r="AN40" s="174">
        <f>AK40-(AL40+AM40)</f>
        <v/>
      </c>
      <c r="AO40" s="7" t="n"/>
      <c r="AP40" s="10" t="n"/>
      <c r="AQ40" s="10" t="n"/>
      <c r="AR40" s="174">
        <f>AO40-(AP40+AQ40)</f>
        <v/>
      </c>
      <c r="AS40" s="7" t="n"/>
      <c r="AT40" s="10" t="n"/>
      <c r="AU40" s="10" t="n"/>
      <c r="AV40" s="174">
        <f>AS40-(AT40+AU40)</f>
        <v/>
      </c>
      <c r="AW40" s="7" t="n"/>
      <c r="AX40" s="10" t="n"/>
      <c r="AY40" s="10" t="n"/>
      <c r="AZ40" s="174">
        <f>AW40-(AX40+AY40)</f>
        <v/>
      </c>
      <c r="BA40" s="172">
        <f>SUM(E40,I40,M40,Q40,U40,Y40,AC40,AG40,AK40,AO40,AS40,AW40)</f>
        <v/>
      </c>
      <c r="BB40" s="172">
        <f>SUM(F40,J40,N40,R40,V40,Z40,AD40,AH40,AL40,AP40,AT40,AX40)</f>
        <v/>
      </c>
      <c r="BC40" s="172">
        <f>SUM(G40,K40,O40,S40,W40,AA40,AE40,AI40,AM40,AQ40,AU40,AY40)</f>
        <v/>
      </c>
      <c r="BD40" s="231">
        <f>BA40-(BB40+BC40)</f>
        <v/>
      </c>
      <c r="BE40" s="234">
        <f>BD40+D40</f>
        <v/>
      </c>
    </row>
    <row r="41" ht="15.75" customHeight="1" s="251">
      <c r="A41" s="169" t="inlineStr">
        <is>
          <t>S7</t>
        </is>
      </c>
      <c r="B41" s="13" t="n"/>
      <c r="C41" s="13" t="inlineStr">
        <is>
          <t>Harish B</t>
        </is>
      </c>
      <c r="D41" s="264" t="n">
        <v>0</v>
      </c>
      <c r="E41" s="171" t="n"/>
      <c r="F41" s="172" t="n"/>
      <c r="G41" s="172" t="n"/>
      <c r="H41" s="172">
        <f>E41-(F41+G41)</f>
        <v/>
      </c>
      <c r="I41" s="173" t="n"/>
      <c r="J41" s="174" t="n"/>
      <c r="K41" s="174" t="n"/>
      <c r="L41" s="174">
        <f>I41-(J41+K41)</f>
        <v/>
      </c>
      <c r="M41" s="172" t="n"/>
      <c r="N41" s="172" t="n"/>
      <c r="O41" s="172" t="n"/>
      <c r="P41" s="172">
        <f>M41-(N41+O41)</f>
        <v/>
      </c>
      <c r="Q41" s="41" t="n"/>
      <c r="R41" s="174" t="n"/>
      <c r="S41" s="174" t="n"/>
      <c r="T41" s="174">
        <f>Q41-(R41+S41)</f>
        <v/>
      </c>
      <c r="U41" s="167" t="n"/>
      <c r="V41" s="172" t="n"/>
      <c r="W41" s="172" t="n"/>
      <c r="X41" s="172">
        <f>U41-(V41+W41)</f>
        <v/>
      </c>
      <c r="Y41" s="41" t="n"/>
      <c r="Z41" s="174" t="n"/>
      <c r="AA41" s="174" t="n"/>
      <c r="AB41" s="174">
        <f>Y41-(Z41+AA41)</f>
        <v/>
      </c>
      <c r="AC41" s="41" t="n"/>
      <c r="AD41" s="174" t="n"/>
      <c r="AE41" s="174" t="n"/>
      <c r="AF41" s="174">
        <f>AC41-(AD41+AE41)</f>
        <v/>
      </c>
      <c r="AG41" s="41" t="n"/>
      <c r="AH41" s="174" t="n"/>
      <c r="AI41" s="174" t="n"/>
      <c r="AJ41" s="174">
        <f>AG41-(AH41+AI41)</f>
        <v/>
      </c>
      <c r="AK41" s="41" t="n"/>
      <c r="AL41" s="174" t="n"/>
      <c r="AM41" s="174" t="n"/>
      <c r="AN41" s="174">
        <f>AK41-(AL41+AM41)</f>
        <v/>
      </c>
      <c r="AO41" s="7" t="n"/>
      <c r="AP41" s="10" t="n"/>
      <c r="AQ41" s="10" t="n"/>
      <c r="AR41" s="174">
        <f>AO41-(AP41+AQ41)</f>
        <v/>
      </c>
      <c r="AS41" s="7" t="n"/>
      <c r="AT41" s="10" t="n"/>
      <c r="AU41" s="10" t="n"/>
      <c r="AV41" s="174">
        <f>AS41-(AT41+AU41)</f>
        <v/>
      </c>
      <c r="AW41" s="7" t="n"/>
      <c r="AX41" s="10" t="n"/>
      <c r="AY41" s="10" t="n"/>
      <c r="AZ41" s="174">
        <f>AW41-(AX41+AY41)</f>
        <v/>
      </c>
      <c r="BA41" s="172">
        <f>SUM(E41,I41,M41,Q41,U41,Y41,AC41,AG41,AK41,AO41,AS41,AW41)</f>
        <v/>
      </c>
      <c r="BB41" s="172">
        <f>SUM(F41,J41,N41,R41,V41,Z41,AD41,AH41,AL41,AP41,AT41,AX41)</f>
        <v/>
      </c>
      <c r="BC41" s="172">
        <f>SUM(G41,K41,O41,S41,W41,AA41,AE41,AI41,AM41,AQ41,AU41,AY41)</f>
        <v/>
      </c>
      <c r="BD41" s="231">
        <f>BA41-(BB41+BC41)</f>
        <v/>
      </c>
      <c r="BE41" s="234">
        <f>BD41+D41</f>
        <v/>
      </c>
    </row>
    <row r="42" ht="15.75" customHeight="1" s="251">
      <c r="A42" s="169" t="inlineStr">
        <is>
          <t>S8</t>
        </is>
      </c>
      <c r="B42" s="13" t="n"/>
      <c r="C42" s="13" t="inlineStr">
        <is>
          <t>Irudayaraj Alwin</t>
        </is>
      </c>
      <c r="D42" s="264" t="n">
        <v>0</v>
      </c>
      <c r="E42" s="171" t="n"/>
      <c r="F42" s="172" t="n"/>
      <c r="G42" s="172" t="n"/>
      <c r="H42" s="172">
        <f>E42-(F42+G42)</f>
        <v/>
      </c>
      <c r="I42" s="173" t="n"/>
      <c r="J42" s="174" t="n"/>
      <c r="K42" s="174" t="n"/>
      <c r="L42" s="174">
        <f>I42-(J42+K42)</f>
        <v/>
      </c>
      <c r="M42" s="172" t="n"/>
      <c r="N42" s="172" t="n"/>
      <c r="O42" s="172" t="n"/>
      <c r="P42" s="172">
        <f>M42-(N42+O42)</f>
        <v/>
      </c>
      <c r="Q42" s="41" t="n"/>
      <c r="R42" s="174" t="n"/>
      <c r="S42" s="174" t="n"/>
      <c r="T42" s="174">
        <f>Q42-(R42+S42)</f>
        <v/>
      </c>
      <c r="U42" s="167" t="n"/>
      <c r="V42" s="172" t="n"/>
      <c r="W42" s="172" t="n"/>
      <c r="X42" s="172">
        <f>U42-(V42+W42)</f>
        <v/>
      </c>
      <c r="Y42" s="41" t="n"/>
      <c r="Z42" s="174" t="n"/>
      <c r="AA42" s="174" t="n"/>
      <c r="AB42" s="174">
        <f>Y42-(Z42+AA42)</f>
        <v/>
      </c>
      <c r="AC42" s="41" t="n"/>
      <c r="AD42" s="174" t="n"/>
      <c r="AE42" s="174" t="n"/>
      <c r="AF42" s="174">
        <f>AC42-(AD42+AE42)</f>
        <v/>
      </c>
      <c r="AG42" s="41" t="n"/>
      <c r="AH42" s="174" t="n"/>
      <c r="AI42" s="174" t="n"/>
      <c r="AJ42" s="174">
        <f>AG42-(AH42+AI42)</f>
        <v/>
      </c>
      <c r="AK42" s="41" t="n"/>
      <c r="AL42" s="174" t="n"/>
      <c r="AM42" s="174" t="n"/>
      <c r="AN42" s="174">
        <f>AK42-(AL42+AM42)</f>
        <v/>
      </c>
      <c r="AO42" s="7" t="n"/>
      <c r="AP42" s="10" t="n"/>
      <c r="AQ42" s="10" t="n"/>
      <c r="AR42" s="174">
        <f>AO42-(AP42+AQ42)</f>
        <v/>
      </c>
      <c r="AS42" s="7" t="n"/>
      <c r="AT42" s="10" t="n"/>
      <c r="AU42" s="10" t="n"/>
      <c r="AV42" s="174">
        <f>AS42-(AT42+AU42)</f>
        <v/>
      </c>
      <c r="AW42" s="7" t="n"/>
      <c r="AX42" s="10" t="n"/>
      <c r="AY42" s="10" t="n"/>
      <c r="AZ42" s="174">
        <f>AW42-(AX42+AY42)</f>
        <v/>
      </c>
      <c r="BA42" s="172">
        <f>SUM(E42,I42,M42,Q42,U42,Y42,AC42,AG42,AK42,AO42,AS42,AW42)</f>
        <v/>
      </c>
      <c r="BB42" s="172">
        <f>SUM(F42,J42,N42,R42,V42,Z42,AD42,AH42,AL42,AP42,AT42,AX42)</f>
        <v/>
      </c>
      <c r="BC42" s="172">
        <f>SUM(G42,K42,O42,S42,W42,AA42,AE42,AI42,AM42,AQ42,AU42,AY42)</f>
        <v/>
      </c>
      <c r="BD42" s="231">
        <f>BA42-(BB42+BC42)</f>
        <v/>
      </c>
      <c r="BE42" s="234">
        <f>BD42+D42</f>
        <v/>
      </c>
    </row>
    <row r="43" ht="15.75" customHeight="1" s="251">
      <c r="A43" s="169" t="inlineStr">
        <is>
          <t>S9</t>
        </is>
      </c>
      <c r="B43" s="13" t="n"/>
      <c r="C43" s="13" t="inlineStr">
        <is>
          <t>Pawan GS</t>
        </is>
      </c>
      <c r="D43" s="264" t="n">
        <v>0</v>
      </c>
      <c r="E43" s="171" t="n"/>
      <c r="F43" s="172" t="n"/>
      <c r="G43" s="172" t="n"/>
      <c r="H43" s="172">
        <f>E43-(F43+G43)</f>
        <v/>
      </c>
      <c r="I43" s="173" t="n"/>
      <c r="J43" s="174" t="n"/>
      <c r="K43" s="174" t="n"/>
      <c r="L43" s="174">
        <f>I43-(J43+K43)</f>
        <v/>
      </c>
      <c r="M43" s="172" t="n"/>
      <c r="N43" s="172" t="n"/>
      <c r="O43" s="172" t="n"/>
      <c r="P43" s="172">
        <f>M43-(N43+O43)</f>
        <v/>
      </c>
      <c r="Q43" s="41" t="n"/>
      <c r="R43" s="174" t="n"/>
      <c r="S43" s="174" t="n"/>
      <c r="T43" s="174">
        <f>Q43-(R43+S43)</f>
        <v/>
      </c>
      <c r="U43" s="167" t="n"/>
      <c r="V43" s="172" t="n"/>
      <c r="W43" s="172" t="n"/>
      <c r="X43" s="172">
        <f>U43-(V43+W43)</f>
        <v/>
      </c>
      <c r="Y43" s="41" t="n"/>
      <c r="Z43" s="174" t="n"/>
      <c r="AA43" s="174" t="n"/>
      <c r="AB43" s="174">
        <f>Y43-(Z43+AA43)</f>
        <v/>
      </c>
      <c r="AC43" s="41" t="n"/>
      <c r="AD43" s="174" t="n"/>
      <c r="AE43" s="174" t="n"/>
      <c r="AF43" s="174">
        <f>AC43-(AD43+AE43)</f>
        <v/>
      </c>
      <c r="AG43" s="41" t="n"/>
      <c r="AH43" s="174" t="n"/>
      <c r="AI43" s="174" t="n"/>
      <c r="AJ43" s="174">
        <f>AG43-(AH43+AI43)</f>
        <v/>
      </c>
      <c r="AK43" s="41" t="n"/>
      <c r="AL43" s="174" t="n"/>
      <c r="AM43" s="174" t="n"/>
      <c r="AN43" s="174">
        <f>AK43-(AL43+AM43)</f>
        <v/>
      </c>
      <c r="AO43" s="7" t="n"/>
      <c r="AP43" s="10" t="n"/>
      <c r="AQ43" s="10" t="n"/>
      <c r="AR43" s="174">
        <f>AO43-(AP43+AQ43)</f>
        <v/>
      </c>
      <c r="AS43" s="7" t="n"/>
      <c r="AT43" s="10" t="n"/>
      <c r="AU43" s="10" t="n"/>
      <c r="AV43" s="174">
        <f>AS43-(AT43+AU43)</f>
        <v/>
      </c>
      <c r="AW43" s="7" t="n"/>
      <c r="AX43" s="10" t="n"/>
      <c r="AY43" s="10" t="n"/>
      <c r="AZ43" s="174">
        <f>AW43-(AX43+AY43)</f>
        <v/>
      </c>
      <c r="BA43" s="172">
        <f>SUM(E43,I43,M43,Q43,U43,Y43,AC43,AG43,AK43,AO43,AS43,AW43)</f>
        <v/>
      </c>
      <c r="BB43" s="172">
        <f>SUM(F43,J43,N43,R43,V43,Z43,AD43,AH43,AL43,AP43,AT43,AX43)</f>
        <v/>
      </c>
      <c r="BC43" s="172">
        <f>SUM(G43,K43,O43,S43,W43,AA43,AE43,AI43,AM43,AQ43,AU43,AY43)</f>
        <v/>
      </c>
      <c r="BD43" s="231">
        <f>BA43-(BB43+BC43)</f>
        <v/>
      </c>
      <c r="BE43" s="234">
        <f>BD43+D43</f>
        <v/>
      </c>
    </row>
    <row r="44" ht="15.75" customHeight="1" s="251">
      <c r="A44" s="169" t="inlineStr">
        <is>
          <t>S10</t>
        </is>
      </c>
      <c r="B44" s="13" t="inlineStr">
        <is>
          <t>esky2524@gmail.com</t>
        </is>
      </c>
      <c r="C44" s="13" t="inlineStr">
        <is>
          <t>Previous owner - Rohith. New owner name not known</t>
        </is>
      </c>
      <c r="D44" s="264" t="n">
        <v>0</v>
      </c>
      <c r="E44" s="171" t="n"/>
      <c r="F44" s="172" t="n"/>
      <c r="G44" s="172" t="n"/>
      <c r="H44" s="172">
        <f>E44-(F44+G44)</f>
        <v/>
      </c>
      <c r="I44" s="173" t="n"/>
      <c r="J44" s="174" t="n"/>
      <c r="K44" s="174" t="n"/>
      <c r="L44" s="174">
        <f>I44-(J44+K44)</f>
        <v/>
      </c>
      <c r="M44" s="172" t="n"/>
      <c r="N44" s="172" t="n"/>
      <c r="O44" s="172" t="n"/>
      <c r="P44" s="172">
        <f>M44-(N44+O44)</f>
        <v/>
      </c>
      <c r="Q44" s="41" t="n"/>
      <c r="R44" s="174" t="n"/>
      <c r="S44" s="174" t="n"/>
      <c r="T44" s="174">
        <f>Q44-(R44+S44)</f>
        <v/>
      </c>
      <c r="U44" s="167" t="n"/>
      <c r="V44" s="172" t="n"/>
      <c r="W44" s="172" t="n"/>
      <c r="X44" s="172">
        <f>U44-(V44+W44)</f>
        <v/>
      </c>
      <c r="Y44" s="41" t="n"/>
      <c r="Z44" s="174" t="n"/>
      <c r="AA44" s="174" t="n"/>
      <c r="AB44" s="174">
        <f>Y44-(Z44+AA44)</f>
        <v/>
      </c>
      <c r="AC44" s="41" t="n"/>
      <c r="AD44" s="174" t="n"/>
      <c r="AE44" s="174" t="n"/>
      <c r="AF44" s="174">
        <f>AC44-(AD44+AE44)</f>
        <v/>
      </c>
      <c r="AG44" s="41" t="n"/>
      <c r="AH44" s="174" t="n"/>
      <c r="AI44" s="174" t="n"/>
      <c r="AJ44" s="174">
        <f>AG44-(AH44+AI44)</f>
        <v/>
      </c>
      <c r="AK44" s="41" t="n"/>
      <c r="AL44" s="174" t="n"/>
      <c r="AM44" s="174" t="n"/>
      <c r="AN44" s="174">
        <f>AK44-(AL44+AM44)</f>
        <v/>
      </c>
      <c r="AO44" s="7" t="n"/>
      <c r="AP44" s="10" t="n"/>
      <c r="AQ44" s="10" t="n"/>
      <c r="AR44" s="174">
        <f>AO44-(AP44+AQ44)</f>
        <v/>
      </c>
      <c r="AS44" s="7" t="n"/>
      <c r="AT44" s="10" t="n"/>
      <c r="AU44" s="10" t="n"/>
      <c r="AV44" s="174">
        <f>AS44-(AT44+AU44)</f>
        <v/>
      </c>
      <c r="AW44" s="7" t="n"/>
      <c r="AX44" s="10" t="n"/>
      <c r="AY44" s="10" t="n"/>
      <c r="AZ44" s="174">
        <f>AW44-(AX44+AY44)</f>
        <v/>
      </c>
      <c r="BA44" s="172">
        <f>SUM(E44,I44,M44,Q44,U44,Y44,AC44,AG44,AK44,AO44,AS44,AW44)</f>
        <v/>
      </c>
      <c r="BB44" s="172">
        <f>SUM(F44,J44,N44,R44,V44,Z44,AD44,AH44,AL44,AP44,AT44,AX44)</f>
        <v/>
      </c>
      <c r="BC44" s="172">
        <f>SUM(G44,K44,O44,S44,W44,AA44,AE44,AI44,AM44,AQ44,AU44,AY44)</f>
        <v/>
      </c>
      <c r="BD44" s="231">
        <f>BA44-(BB44+BC44)</f>
        <v/>
      </c>
      <c r="BE44" s="234">
        <f>BD44+D44</f>
        <v/>
      </c>
    </row>
    <row r="45" ht="15.75" customHeight="1" s="251">
      <c r="A45" s="169" t="inlineStr">
        <is>
          <t>S11</t>
        </is>
      </c>
      <c r="B45" s="13" t="n"/>
      <c r="C45" s="13" t="inlineStr">
        <is>
          <t>Gowrish Patnaik / Somananth GM</t>
        </is>
      </c>
      <c r="D45" s="264" t="n">
        <v>0</v>
      </c>
      <c r="E45" s="171" t="n"/>
      <c r="F45" s="172" t="n"/>
      <c r="G45" s="172" t="n"/>
      <c r="H45" s="172">
        <f>E45-(F45+G45)</f>
        <v/>
      </c>
      <c r="I45" s="173" t="n"/>
      <c r="J45" s="174" t="n"/>
      <c r="K45" s="174" t="n"/>
      <c r="L45" s="174">
        <f>I45-(J45+K45)</f>
        <v/>
      </c>
      <c r="M45" s="172" t="n"/>
      <c r="N45" s="172" t="n"/>
      <c r="O45" s="172" t="n"/>
      <c r="P45" s="172">
        <f>M45-(N45+O45)</f>
        <v/>
      </c>
      <c r="Q45" s="41" t="n"/>
      <c r="R45" s="174" t="n"/>
      <c r="S45" s="174" t="n"/>
      <c r="T45" s="174">
        <f>Q45-(R45+S45)</f>
        <v/>
      </c>
      <c r="U45" s="167" t="n"/>
      <c r="V45" s="172" t="n"/>
      <c r="W45" s="172" t="n"/>
      <c r="X45" s="172">
        <f>U45-(V45+W45)</f>
        <v/>
      </c>
      <c r="Y45" s="41" t="n"/>
      <c r="Z45" s="174" t="n"/>
      <c r="AA45" s="174" t="n"/>
      <c r="AB45" s="174">
        <f>Y45-(Z45+AA45)</f>
        <v/>
      </c>
      <c r="AC45" s="41" t="n"/>
      <c r="AD45" s="174" t="n"/>
      <c r="AE45" s="174" t="n"/>
      <c r="AF45" s="174">
        <f>AC45-(AD45+AE45)</f>
        <v/>
      </c>
      <c r="AG45" s="41" t="n"/>
      <c r="AH45" s="174" t="n"/>
      <c r="AI45" s="174" t="n"/>
      <c r="AJ45" s="174">
        <f>AG45-(AH45+AI45)</f>
        <v/>
      </c>
      <c r="AK45" s="41" t="n"/>
      <c r="AL45" s="174" t="n"/>
      <c r="AM45" s="174" t="n"/>
      <c r="AN45" s="174">
        <f>AK45-(AL45+AM45)</f>
        <v/>
      </c>
      <c r="AO45" s="7" t="n"/>
      <c r="AP45" s="10" t="n"/>
      <c r="AQ45" s="10" t="n"/>
      <c r="AR45" s="174">
        <f>AO45-(AP45+AQ45)</f>
        <v/>
      </c>
      <c r="AS45" s="7" t="n"/>
      <c r="AT45" s="10" t="n"/>
      <c r="AU45" s="10" t="n"/>
      <c r="AV45" s="174">
        <f>AS45-(AT45+AU45)</f>
        <v/>
      </c>
      <c r="AW45" s="7" t="n"/>
      <c r="AX45" s="10" t="n"/>
      <c r="AY45" s="10" t="n"/>
      <c r="AZ45" s="174">
        <f>AW45-(AX45+AY45)</f>
        <v/>
      </c>
      <c r="BA45" s="172">
        <f>SUM(E45,I45,M45,Q45,U45,Y45,AC45,AG45,AK45,AO45,AS45,AW45)</f>
        <v/>
      </c>
      <c r="BB45" s="172">
        <f>SUM(F45,J45,N45,R45,V45,Z45,AD45,AH45,AL45,AP45,AT45,AX45)</f>
        <v/>
      </c>
      <c r="BC45" s="172">
        <f>SUM(G45,K45,O45,S45,W45,AA45,AE45,AI45,AM45,AQ45,AU45,AY45)</f>
        <v/>
      </c>
      <c r="BD45" s="231">
        <f>BA45-(BB45+BC45)</f>
        <v/>
      </c>
      <c r="BE45" s="234">
        <f>BD45+D45</f>
        <v/>
      </c>
    </row>
    <row r="46" ht="15.75" customHeight="1" s="251">
      <c r="A46" s="169" t="inlineStr">
        <is>
          <t>S12</t>
        </is>
      </c>
      <c r="B46" s="13" t="n"/>
      <c r="C46" s="13" t="inlineStr">
        <is>
          <t>Saovik Mondal</t>
        </is>
      </c>
      <c r="D46" s="264" t="n">
        <v>0</v>
      </c>
      <c r="E46" s="171" t="n"/>
      <c r="F46" s="172" t="n"/>
      <c r="G46" s="172" t="n"/>
      <c r="H46" s="172">
        <f>E46-(F46+G46)</f>
        <v/>
      </c>
      <c r="I46" s="173" t="n"/>
      <c r="J46" s="174" t="n"/>
      <c r="K46" s="174" t="n"/>
      <c r="L46" s="174">
        <f>I46-(J46+K46)</f>
        <v/>
      </c>
      <c r="M46" s="172" t="n"/>
      <c r="N46" s="172" t="n"/>
      <c r="O46" s="172" t="n"/>
      <c r="P46" s="172">
        <f>M46-(N46+O46)</f>
        <v/>
      </c>
      <c r="Q46" s="41" t="n"/>
      <c r="R46" s="174" t="n"/>
      <c r="S46" s="174" t="n"/>
      <c r="T46" s="174">
        <f>Q46-(R46+S46)</f>
        <v/>
      </c>
      <c r="U46" s="167" t="n"/>
      <c r="V46" s="172" t="n"/>
      <c r="W46" s="172" t="n"/>
      <c r="X46" s="172">
        <f>U46-(V46+W46)</f>
        <v/>
      </c>
      <c r="Y46" s="41" t="n"/>
      <c r="Z46" s="174" t="n"/>
      <c r="AA46" s="174" t="n"/>
      <c r="AB46" s="174">
        <f>Y46-(Z46+AA46)</f>
        <v/>
      </c>
      <c r="AC46" s="41" t="n"/>
      <c r="AD46" s="174" t="n"/>
      <c r="AE46" s="174" t="n"/>
      <c r="AF46" s="174">
        <f>AC46-(AD46+AE46)</f>
        <v/>
      </c>
      <c r="AG46" s="41" t="n"/>
      <c r="AH46" s="174" t="n"/>
      <c r="AI46" s="174" t="n"/>
      <c r="AJ46" s="174">
        <f>AG46-(AH46+AI46)</f>
        <v/>
      </c>
      <c r="AK46" s="41" t="n"/>
      <c r="AL46" s="174" t="n"/>
      <c r="AM46" s="174" t="n"/>
      <c r="AN46" s="174">
        <f>AK46-(AL46+AM46)</f>
        <v/>
      </c>
      <c r="AO46" s="7" t="n"/>
      <c r="AP46" s="10" t="n"/>
      <c r="AQ46" s="10" t="n"/>
      <c r="AR46" s="174">
        <f>AO46-(AP46+AQ46)</f>
        <v/>
      </c>
      <c r="AS46" s="7" t="n"/>
      <c r="AT46" s="10" t="n"/>
      <c r="AU46" s="10" t="n"/>
      <c r="AV46" s="174">
        <f>AS46-(AT46+AU46)</f>
        <v/>
      </c>
      <c r="AW46" s="7" t="n"/>
      <c r="AX46" s="10" t="n"/>
      <c r="AY46" s="10" t="n"/>
      <c r="AZ46" s="174">
        <f>AW46-(AX46+AY46)</f>
        <v/>
      </c>
      <c r="BA46" s="172">
        <f>SUM(E46,I46,M46,Q46,U46,Y46,AC46,AG46,AK46,AO46,AS46,AW46)</f>
        <v/>
      </c>
      <c r="BB46" s="172">
        <f>SUM(F46,J46,N46,R46,V46,Z46,AD46,AH46,AL46,AP46,AT46,AX46)</f>
        <v/>
      </c>
      <c r="BC46" s="172">
        <f>SUM(G46,K46,O46,S46,W46,AA46,AE46,AI46,AM46,AQ46,AU46,AY46)</f>
        <v/>
      </c>
      <c r="BD46" s="231">
        <f>BA46-(BB46+BC46)</f>
        <v/>
      </c>
      <c r="BE46" s="234">
        <f>BD46+D46</f>
        <v/>
      </c>
    </row>
    <row r="47" ht="15.75" customHeight="1" s="251">
      <c r="A47" s="169" t="inlineStr">
        <is>
          <t>S13</t>
        </is>
      </c>
      <c r="B47" s="13" t="n"/>
      <c r="C47" s="13" t="inlineStr">
        <is>
          <t>Ramadevi S.</t>
        </is>
      </c>
      <c r="D47" s="264" t="n">
        <v>0</v>
      </c>
      <c r="E47" s="171" t="n"/>
      <c r="F47" s="172" t="n"/>
      <c r="G47" s="172" t="n"/>
      <c r="H47" s="172">
        <f>E47-(F47+G47)</f>
        <v/>
      </c>
      <c r="I47" s="173" t="n"/>
      <c r="J47" s="174" t="n"/>
      <c r="K47" s="174" t="n"/>
      <c r="L47" s="174">
        <f>I47-(J47+K47)</f>
        <v/>
      </c>
      <c r="M47" s="172" t="n"/>
      <c r="N47" s="172" t="n"/>
      <c r="O47" s="172" t="n"/>
      <c r="P47" s="172">
        <f>M47-(N47+O47)</f>
        <v/>
      </c>
      <c r="Q47" s="41" t="n"/>
      <c r="R47" s="174" t="n"/>
      <c r="S47" s="174" t="n"/>
      <c r="T47" s="174">
        <f>Q47-(R47+S47)</f>
        <v/>
      </c>
      <c r="U47" s="167" t="n"/>
      <c r="V47" s="172" t="n"/>
      <c r="W47" s="172" t="n"/>
      <c r="X47" s="172">
        <f>U47-(V47+W47)</f>
        <v/>
      </c>
      <c r="Y47" s="41" t="n"/>
      <c r="Z47" s="174" t="n"/>
      <c r="AA47" s="174" t="n"/>
      <c r="AB47" s="174">
        <f>Y47-(Z47+AA47)</f>
        <v/>
      </c>
      <c r="AC47" s="41" t="n"/>
      <c r="AD47" s="174" t="n"/>
      <c r="AE47" s="174" t="n"/>
      <c r="AF47" s="174">
        <f>AC47-(AD47+AE47)</f>
        <v/>
      </c>
      <c r="AG47" s="41" t="n"/>
      <c r="AH47" s="174" t="n"/>
      <c r="AI47" s="174" t="n"/>
      <c r="AJ47" s="174">
        <f>AG47-(AH47+AI47)</f>
        <v/>
      </c>
      <c r="AK47" s="41" t="n"/>
      <c r="AL47" s="174" t="n"/>
      <c r="AM47" s="174" t="n"/>
      <c r="AN47" s="174">
        <f>AK47-(AL47+AM47)</f>
        <v/>
      </c>
      <c r="AO47" s="7" t="n"/>
      <c r="AP47" s="10" t="n"/>
      <c r="AQ47" s="10" t="n"/>
      <c r="AR47" s="174">
        <f>AO47-(AP47+AQ47)</f>
        <v/>
      </c>
      <c r="AS47" s="7" t="n"/>
      <c r="AT47" s="10" t="n"/>
      <c r="AU47" s="10" t="n"/>
      <c r="AV47" s="174">
        <f>AS47-(AT47+AU47)</f>
        <v/>
      </c>
      <c r="AW47" s="7" t="n"/>
      <c r="AX47" s="10" t="n"/>
      <c r="AY47" s="10" t="n"/>
      <c r="AZ47" s="174">
        <f>AW47-(AX47+AY47)</f>
        <v/>
      </c>
      <c r="BA47" s="172">
        <f>SUM(E47,I47,M47,Q47,U47,Y47,AC47,AG47,AK47,AO47,AS47,AW47)</f>
        <v/>
      </c>
      <c r="BB47" s="172">
        <f>SUM(F47,J47,N47,R47,V47,Z47,AD47,AH47,AL47,AP47,AT47,AX47)</f>
        <v/>
      </c>
      <c r="BC47" s="172">
        <f>SUM(G47,K47,O47,S47,W47,AA47,AE47,AI47,AM47,AQ47,AU47,AY47)</f>
        <v/>
      </c>
      <c r="BD47" s="231">
        <f>BA47-(BB47+BC47)</f>
        <v/>
      </c>
      <c r="BE47" s="234">
        <f>BD47+D47</f>
        <v/>
      </c>
    </row>
    <row r="48" ht="15.75" customHeight="1" s="251">
      <c r="A48" s="169" t="inlineStr">
        <is>
          <t>S14</t>
        </is>
      </c>
      <c r="B48" s="13" t="n"/>
      <c r="C48" s="13" t="inlineStr">
        <is>
          <t>Nishant Upadhyay(Owner)/ Fabian (Tenant)</t>
        </is>
      </c>
      <c r="D48" s="264" t="n">
        <v>0</v>
      </c>
      <c r="E48" s="171" t="n"/>
      <c r="F48" s="172" t="n"/>
      <c r="G48" s="172" t="n"/>
      <c r="H48" s="172">
        <f>E48-(F48+G48)</f>
        <v/>
      </c>
      <c r="I48" s="173" t="n"/>
      <c r="J48" s="174" t="n"/>
      <c r="K48" s="174" t="n"/>
      <c r="L48" s="174">
        <f>I48-(J48+K48)</f>
        <v/>
      </c>
      <c r="M48" s="172" t="n"/>
      <c r="N48" s="172" t="n"/>
      <c r="O48" s="172" t="n"/>
      <c r="P48" s="172">
        <f>M48-(N48+O48)</f>
        <v/>
      </c>
      <c r="Q48" s="41" t="n"/>
      <c r="R48" s="174" t="n"/>
      <c r="S48" s="174" t="n"/>
      <c r="T48" s="174">
        <f>Q48-(R48+S48)</f>
        <v/>
      </c>
      <c r="U48" s="167" t="n"/>
      <c r="V48" s="172" t="n"/>
      <c r="W48" s="172" t="n"/>
      <c r="X48" s="172">
        <f>U48-(V48+W48)</f>
        <v/>
      </c>
      <c r="Y48" s="41" t="n"/>
      <c r="Z48" s="174" t="n"/>
      <c r="AA48" s="174" t="n"/>
      <c r="AB48" s="174">
        <f>Y48-(Z48+AA48)</f>
        <v/>
      </c>
      <c r="AC48" s="41" t="n"/>
      <c r="AD48" s="174" t="n"/>
      <c r="AE48" s="174" t="n"/>
      <c r="AF48" s="174">
        <f>AC48-(AD48+AE48)</f>
        <v/>
      </c>
      <c r="AG48" s="41" t="n"/>
      <c r="AH48" s="174" t="n"/>
      <c r="AI48" s="174" t="n"/>
      <c r="AJ48" s="174">
        <f>AG48-(AH48+AI48)</f>
        <v/>
      </c>
      <c r="AK48" s="41" t="n"/>
      <c r="AL48" s="174" t="n"/>
      <c r="AM48" s="174" t="n"/>
      <c r="AN48" s="174">
        <f>AK48-(AL48+AM48)</f>
        <v/>
      </c>
      <c r="AO48" s="7" t="n"/>
      <c r="AP48" s="10" t="n"/>
      <c r="AQ48" s="10" t="n"/>
      <c r="AR48" s="174">
        <f>AO48-(AP48+AQ48)</f>
        <v/>
      </c>
      <c r="AS48" s="7" t="n"/>
      <c r="AT48" s="10" t="n"/>
      <c r="AU48" s="10" t="n"/>
      <c r="AV48" s="174">
        <f>AS48-(AT48+AU48)</f>
        <v/>
      </c>
      <c r="AW48" s="7" t="n"/>
      <c r="AX48" s="10" t="n"/>
      <c r="AY48" s="10" t="n"/>
      <c r="AZ48" s="174">
        <f>AW48-(AX48+AY48)</f>
        <v/>
      </c>
      <c r="BA48" s="172">
        <f>SUM(E48,I48,M48,Q48,U48,Y48,AC48,AG48,AK48,AO48,AS48,AW48)</f>
        <v/>
      </c>
      <c r="BB48" s="172">
        <f>SUM(F48,J48,N48,R48,V48,Z48,AD48,AH48,AL48,AP48,AT48,AX48)</f>
        <v/>
      </c>
      <c r="BC48" s="172">
        <f>SUM(G48,K48,O48,S48,W48,AA48,AE48,AI48,AM48,AQ48,AU48,AY48)</f>
        <v/>
      </c>
      <c r="BD48" s="231">
        <f>BA48-(BB48+BC48)</f>
        <v/>
      </c>
      <c r="BE48" s="234">
        <f>BD48+D48</f>
        <v/>
      </c>
    </row>
    <row r="49" ht="15.75" customHeight="1" s="251">
      <c r="A49" s="169" t="inlineStr">
        <is>
          <t>S15</t>
        </is>
      </c>
      <c r="B49" s="13" t="n"/>
      <c r="C49" s="13" t="inlineStr">
        <is>
          <t>Manas Dasgupta</t>
        </is>
      </c>
      <c r="D49" s="264" t="n">
        <v>0</v>
      </c>
      <c r="E49" s="171" t="n"/>
      <c r="F49" s="172" t="n"/>
      <c r="G49" s="172" t="n"/>
      <c r="H49" s="172">
        <f>E49-(F49+G49)</f>
        <v/>
      </c>
      <c r="I49" s="173" t="n"/>
      <c r="J49" s="174" t="n"/>
      <c r="K49" s="174" t="n"/>
      <c r="L49" s="174">
        <f>I49-(J49+K49)</f>
        <v/>
      </c>
      <c r="M49" s="172" t="n"/>
      <c r="N49" s="172" t="n"/>
      <c r="O49" s="172" t="n"/>
      <c r="P49" s="172">
        <f>M49-(N49+O49)</f>
        <v/>
      </c>
      <c r="Q49" s="41" t="n"/>
      <c r="R49" s="174" t="n"/>
      <c r="S49" s="174" t="n"/>
      <c r="T49" s="174">
        <f>Q49-(R49+S49)</f>
        <v/>
      </c>
      <c r="U49" s="167" t="n"/>
      <c r="V49" s="172" t="n"/>
      <c r="W49" s="172" t="n"/>
      <c r="X49" s="172">
        <f>U49-(V49+W49)</f>
        <v/>
      </c>
      <c r="Y49" s="41" t="n"/>
      <c r="Z49" s="174" t="n"/>
      <c r="AA49" s="174" t="n"/>
      <c r="AB49" s="174">
        <f>Y49-(Z49+AA49)</f>
        <v/>
      </c>
      <c r="AC49" s="41" t="n"/>
      <c r="AD49" s="174" t="n"/>
      <c r="AE49" s="174" t="n"/>
      <c r="AF49" s="174">
        <f>AC49-(AD49+AE49)</f>
        <v/>
      </c>
      <c r="AG49" s="41" t="n"/>
      <c r="AH49" s="174" t="n"/>
      <c r="AI49" s="174" t="n"/>
      <c r="AJ49" s="174">
        <f>AG49-(AH49+AI49)</f>
        <v/>
      </c>
      <c r="AK49" s="41" t="n"/>
      <c r="AL49" s="174" t="n"/>
      <c r="AM49" s="174" t="n"/>
      <c r="AN49" s="174">
        <f>AK49-(AL49+AM49)</f>
        <v/>
      </c>
      <c r="AO49" s="7" t="n"/>
      <c r="AP49" s="10" t="n"/>
      <c r="AQ49" s="10" t="n"/>
      <c r="AR49" s="174">
        <f>AO49-(AP49+AQ49)</f>
        <v/>
      </c>
      <c r="AS49" s="7" t="n"/>
      <c r="AT49" s="10" t="n"/>
      <c r="AU49" s="10" t="n"/>
      <c r="AV49" s="174">
        <f>AS49-(AT49+AU49)</f>
        <v/>
      </c>
      <c r="AW49" s="7" t="n"/>
      <c r="AX49" s="10" t="n"/>
      <c r="AY49" s="10" t="n"/>
      <c r="AZ49" s="174">
        <f>AW49-(AX49+AY49)</f>
        <v/>
      </c>
      <c r="BA49" s="172">
        <f>SUM(E49,I49,M49,Q49,U49,Y49,AC49,AG49,AK49,AO49,AS49,AW49)</f>
        <v/>
      </c>
      <c r="BB49" s="172">
        <f>SUM(F49,J49,N49,R49,V49,Z49,AD49,AH49,AL49,AP49,AT49,AX49)</f>
        <v/>
      </c>
      <c r="BC49" s="172">
        <f>SUM(G49,K49,O49,S49,W49,AA49,AE49,AI49,AM49,AQ49,AU49,AY49)</f>
        <v/>
      </c>
      <c r="BD49" s="231">
        <f>BA49-(BB49+BC49)</f>
        <v/>
      </c>
      <c r="BE49" s="234">
        <f>BD49+D49</f>
        <v/>
      </c>
    </row>
    <row r="50" ht="15.75" customHeight="1" s="251">
      <c r="A50" s="169" t="inlineStr">
        <is>
          <t>S16</t>
        </is>
      </c>
      <c r="B50" s="13" t="n"/>
      <c r="C50" s="13" t="inlineStr">
        <is>
          <t>Devendra Singh Rawat / Nancy</t>
        </is>
      </c>
      <c r="D50" s="264" t="n">
        <v>0</v>
      </c>
      <c r="E50" s="171" t="n"/>
      <c r="F50" s="172" t="n"/>
      <c r="G50" s="172" t="n"/>
      <c r="H50" s="172">
        <f>E50-(F50+G50)</f>
        <v/>
      </c>
      <c r="I50" s="173" t="n"/>
      <c r="J50" s="174" t="n"/>
      <c r="K50" s="174" t="n"/>
      <c r="L50" s="174">
        <f>I50-(J50+K50)</f>
        <v/>
      </c>
      <c r="M50" s="172" t="n"/>
      <c r="N50" s="172" t="n"/>
      <c r="O50" s="172" t="n"/>
      <c r="P50" s="172">
        <f>M50-(N50+O50)</f>
        <v/>
      </c>
      <c r="Q50" s="41" t="n"/>
      <c r="R50" s="174" t="n"/>
      <c r="S50" s="174" t="n"/>
      <c r="T50" s="174">
        <f>Q50-(R50+S50)</f>
        <v/>
      </c>
      <c r="U50" s="167" t="n"/>
      <c r="V50" s="172" t="n"/>
      <c r="W50" s="172" t="n"/>
      <c r="X50" s="172">
        <f>U50-(V50+W50)</f>
        <v/>
      </c>
      <c r="Y50" s="41" t="n"/>
      <c r="Z50" s="174" t="n"/>
      <c r="AA50" s="174" t="n"/>
      <c r="AB50" s="174">
        <f>Y50-(Z50+AA50)</f>
        <v/>
      </c>
      <c r="AC50" s="41" t="n"/>
      <c r="AD50" s="174" t="n"/>
      <c r="AE50" s="174" t="n"/>
      <c r="AF50" s="174">
        <f>AC50-(AD50+AE50)</f>
        <v/>
      </c>
      <c r="AG50" s="41" t="n"/>
      <c r="AH50" s="174" t="n"/>
      <c r="AI50" s="174" t="n"/>
      <c r="AJ50" s="174">
        <f>AG50-(AH50+AI50)</f>
        <v/>
      </c>
      <c r="AK50" s="41" t="n"/>
      <c r="AL50" s="174" t="n"/>
      <c r="AM50" s="174" t="n"/>
      <c r="AN50" s="174">
        <f>AK50-(AL50+AM50)</f>
        <v/>
      </c>
      <c r="AO50" s="7" t="n"/>
      <c r="AP50" s="10" t="n"/>
      <c r="AQ50" s="10" t="n"/>
      <c r="AR50" s="174">
        <f>AO50-(AP50+AQ50)</f>
        <v/>
      </c>
      <c r="AS50" s="7" t="n"/>
      <c r="AT50" s="10" t="n"/>
      <c r="AU50" s="10" t="n"/>
      <c r="AV50" s="174">
        <f>AS50-(AT50+AU50)</f>
        <v/>
      </c>
      <c r="AW50" s="7" t="n"/>
      <c r="AX50" s="10" t="n"/>
      <c r="AY50" s="10" t="n"/>
      <c r="AZ50" s="174">
        <f>AW50-(AX50+AY50)</f>
        <v/>
      </c>
      <c r="BA50" s="172">
        <f>SUM(E50,I50,M50,Q50,U50,Y50,AC50,AG50,AK50,AO50,AS50,AW50)</f>
        <v/>
      </c>
      <c r="BB50" s="172">
        <f>SUM(F50,J50,N50,R50,V50,Z50,AD50,AH50,AL50,AP50,AT50,AX50)</f>
        <v/>
      </c>
      <c r="BC50" s="172">
        <f>SUM(G50,K50,O50,S50,W50,AA50,AE50,AI50,AM50,AQ50,AU50,AY50)</f>
        <v/>
      </c>
      <c r="BD50" s="231">
        <f>BA50-(BB50+BC50)</f>
        <v/>
      </c>
      <c r="BE50" s="234">
        <f>BD50+D50</f>
        <v/>
      </c>
    </row>
    <row r="51" ht="15.75" customHeight="1" s="251">
      <c r="A51" s="169" t="inlineStr">
        <is>
          <t>T1</t>
        </is>
      </c>
      <c r="B51" s="13" t="n"/>
      <c r="C51" s="13" t="inlineStr">
        <is>
          <t>Prashant Sikdar</t>
        </is>
      </c>
      <c r="D51" s="264" t="n">
        <v>0</v>
      </c>
      <c r="E51" s="171" t="n"/>
      <c r="F51" s="172" t="n"/>
      <c r="G51" s="172" t="n"/>
      <c r="H51" s="172">
        <f>E51-(F51+G51)</f>
        <v/>
      </c>
      <c r="I51" s="173" t="n"/>
      <c r="J51" s="174" t="n"/>
      <c r="K51" s="174" t="n"/>
      <c r="L51" s="174">
        <f>I51-(J51+K51)</f>
        <v/>
      </c>
      <c r="M51" s="172" t="n"/>
      <c r="N51" s="172" t="n"/>
      <c r="O51" s="172" t="n"/>
      <c r="P51" s="172">
        <f>M51-(N51+O51)</f>
        <v/>
      </c>
      <c r="Q51" s="41" t="n"/>
      <c r="R51" s="174" t="n"/>
      <c r="S51" s="174" t="n"/>
      <c r="T51" s="174">
        <f>Q51-(R51+S51)</f>
        <v/>
      </c>
      <c r="U51" s="167" t="n"/>
      <c r="V51" s="172" t="n"/>
      <c r="W51" s="172" t="n"/>
      <c r="X51" s="172">
        <f>U51-(V51+W51)</f>
        <v/>
      </c>
      <c r="Y51" s="41" t="n"/>
      <c r="Z51" s="174" t="n"/>
      <c r="AA51" s="174" t="n"/>
      <c r="AB51" s="174">
        <f>Y51-(Z51+AA51)</f>
        <v/>
      </c>
      <c r="AC51" s="41" t="n"/>
      <c r="AD51" s="174" t="n"/>
      <c r="AE51" s="174" t="n"/>
      <c r="AF51" s="174">
        <f>AC51-(AD51+AE51)</f>
        <v/>
      </c>
      <c r="AG51" s="41" t="n"/>
      <c r="AH51" s="174" t="n"/>
      <c r="AI51" s="174" t="n"/>
      <c r="AJ51" s="174">
        <f>AG51-(AH51+AI51)</f>
        <v/>
      </c>
      <c r="AK51" s="41" t="n"/>
      <c r="AL51" s="174" t="n"/>
      <c r="AM51" s="174" t="n"/>
      <c r="AN51" s="174">
        <f>AK51-(AL51+AM51)</f>
        <v/>
      </c>
      <c r="AO51" s="7" t="n"/>
      <c r="AP51" s="10" t="n"/>
      <c r="AQ51" s="10" t="n"/>
      <c r="AR51" s="174">
        <f>AO51-(AP51+AQ51)</f>
        <v/>
      </c>
      <c r="AS51" s="7" t="n"/>
      <c r="AT51" s="10" t="n"/>
      <c r="AU51" s="10" t="n"/>
      <c r="AV51" s="174">
        <f>AS51-(AT51+AU51)</f>
        <v/>
      </c>
      <c r="AW51" s="7" t="n"/>
      <c r="AX51" s="10" t="n"/>
      <c r="AY51" s="10" t="n"/>
      <c r="AZ51" s="174">
        <f>AW51-(AX51+AY51)</f>
        <v/>
      </c>
      <c r="BA51" s="172">
        <f>SUM(E51,I51,M51,Q51,U51,Y51,AC51,AG51,AK51,AO51,AS51,AW51)</f>
        <v/>
      </c>
      <c r="BB51" s="172">
        <f>SUM(F51,J51,N51,R51,V51,Z51,AD51,AH51,AL51,AP51,AT51,AX51)</f>
        <v/>
      </c>
      <c r="BC51" s="172">
        <f>SUM(G51,K51,O51,S51,W51,AA51,AE51,AI51,AM51,AQ51,AU51,AY51)</f>
        <v/>
      </c>
      <c r="BD51" s="231">
        <f>BA51-(BB51+BC51)</f>
        <v/>
      </c>
      <c r="BE51" s="234">
        <f>BD51+D51</f>
        <v/>
      </c>
    </row>
    <row r="52" ht="15.75" customHeight="1" s="251">
      <c r="A52" s="169" t="inlineStr">
        <is>
          <t>T2</t>
        </is>
      </c>
      <c r="B52" s="13" t="n"/>
      <c r="C52" s="13" t="inlineStr">
        <is>
          <t>Kunal Mehta</t>
        </is>
      </c>
      <c r="D52" s="264" t="n">
        <v>0</v>
      </c>
      <c r="E52" s="171" t="n"/>
      <c r="F52" s="172" t="n"/>
      <c r="G52" s="172" t="n"/>
      <c r="H52" s="172">
        <f>E52-(F52+G52)</f>
        <v/>
      </c>
      <c r="I52" s="173" t="n"/>
      <c r="J52" s="174" t="n"/>
      <c r="K52" s="174" t="n"/>
      <c r="L52" s="174">
        <f>I52-(J52+K52)</f>
        <v/>
      </c>
      <c r="M52" s="172" t="n"/>
      <c r="N52" s="172" t="n"/>
      <c r="O52" s="172" t="n"/>
      <c r="P52" s="172">
        <f>M52-(N52+O52)</f>
        <v/>
      </c>
      <c r="Q52" s="41" t="n"/>
      <c r="R52" s="174" t="n"/>
      <c r="S52" s="174" t="n"/>
      <c r="T52" s="174">
        <f>Q52-(R52+S52)</f>
        <v/>
      </c>
      <c r="U52" s="167" t="n"/>
      <c r="V52" s="172" t="n"/>
      <c r="W52" s="172" t="n"/>
      <c r="X52" s="172">
        <f>U52-(V52+W52)</f>
        <v/>
      </c>
      <c r="Y52" s="41" t="n"/>
      <c r="Z52" s="174" t="n"/>
      <c r="AA52" s="174" t="n"/>
      <c r="AB52" s="174">
        <f>Y52-(Z52+AA52)</f>
        <v/>
      </c>
      <c r="AC52" s="41" t="n"/>
      <c r="AD52" s="174" t="n"/>
      <c r="AE52" s="174" t="n"/>
      <c r="AF52" s="174">
        <f>AC52-(AD52+AE52)</f>
        <v/>
      </c>
      <c r="AG52" s="41" t="n"/>
      <c r="AH52" s="174" t="n"/>
      <c r="AI52" s="174" t="n"/>
      <c r="AJ52" s="174">
        <f>AG52-(AH52+AI52)</f>
        <v/>
      </c>
      <c r="AK52" s="41" t="n"/>
      <c r="AL52" s="174" t="n"/>
      <c r="AM52" s="174" t="n"/>
      <c r="AN52" s="174">
        <f>AK52-(AL52+AM52)</f>
        <v/>
      </c>
      <c r="AO52" s="7" t="n"/>
      <c r="AP52" s="10" t="n"/>
      <c r="AQ52" s="10" t="n"/>
      <c r="AR52" s="174">
        <f>AO52-(AP52+AQ52)</f>
        <v/>
      </c>
      <c r="AS52" s="7" t="n"/>
      <c r="AT52" s="10" t="n"/>
      <c r="AU52" s="10" t="n"/>
      <c r="AV52" s="174">
        <f>AS52-(AT52+AU52)</f>
        <v/>
      </c>
      <c r="AW52" s="7" t="n"/>
      <c r="AX52" s="10" t="n"/>
      <c r="AY52" s="10" t="n"/>
      <c r="AZ52" s="174">
        <f>AW52-(AX52+AY52)</f>
        <v/>
      </c>
      <c r="BA52" s="172">
        <f>SUM(E52,I52,M52,Q52,U52,Y52,AC52,AG52,AK52,AO52,AS52,AW52)</f>
        <v/>
      </c>
      <c r="BB52" s="172">
        <f>SUM(F52,J52,N52,R52,V52,Z52,AD52,AH52,AL52,AP52,AT52,AX52)</f>
        <v/>
      </c>
      <c r="BC52" s="172">
        <f>SUM(G52,K52,O52,S52,W52,AA52,AE52,AI52,AM52,AQ52,AU52,AY52)</f>
        <v/>
      </c>
      <c r="BD52" s="231">
        <f>BA52-(BB52+BC52)</f>
        <v/>
      </c>
      <c r="BE52" s="234">
        <f>BD52+D52</f>
        <v/>
      </c>
    </row>
    <row r="53" ht="15.75" customHeight="1" s="251">
      <c r="A53" s="169" t="inlineStr">
        <is>
          <t>T3</t>
        </is>
      </c>
      <c r="B53" s="13" t="n"/>
      <c r="C53" s="13" t="inlineStr">
        <is>
          <t>Kapil Garg</t>
        </is>
      </c>
      <c r="D53" s="264" t="n">
        <v>0</v>
      </c>
      <c r="E53" s="171" t="n"/>
      <c r="F53" s="172" t="n"/>
      <c r="G53" s="172" t="n"/>
      <c r="H53" s="172">
        <f>E53-(F53+G53)</f>
        <v/>
      </c>
      <c r="I53" s="173" t="n"/>
      <c r="J53" s="174" t="n"/>
      <c r="K53" s="174" t="n"/>
      <c r="L53" s="174">
        <f>I53-(J53+K53)</f>
        <v/>
      </c>
      <c r="M53" s="172" t="n"/>
      <c r="N53" s="172" t="n"/>
      <c r="O53" s="172" t="n"/>
      <c r="P53" s="172">
        <f>M53-(N53+O53)</f>
        <v/>
      </c>
      <c r="Q53" s="41" t="n"/>
      <c r="R53" s="174" t="n"/>
      <c r="S53" s="174" t="n"/>
      <c r="T53" s="174">
        <f>Q53-(R53+S53)</f>
        <v/>
      </c>
      <c r="U53" s="167" t="n"/>
      <c r="V53" s="172" t="n"/>
      <c r="W53" s="172" t="n"/>
      <c r="X53" s="172">
        <f>U53-(V53+W53)</f>
        <v/>
      </c>
      <c r="Y53" s="41" t="n"/>
      <c r="Z53" s="174" t="n"/>
      <c r="AA53" s="174" t="n"/>
      <c r="AB53" s="174">
        <f>Y53-(Z53+AA53)</f>
        <v/>
      </c>
      <c r="AC53" s="41" t="n"/>
      <c r="AD53" s="174" t="n"/>
      <c r="AE53" s="174" t="n"/>
      <c r="AF53" s="174">
        <f>AC53-(AD53+AE53)</f>
        <v/>
      </c>
      <c r="AG53" s="41" t="n"/>
      <c r="AH53" s="174" t="n"/>
      <c r="AI53" s="174" t="n"/>
      <c r="AJ53" s="174">
        <f>AG53-(AH53+AI53)</f>
        <v/>
      </c>
      <c r="AK53" s="41" t="n"/>
      <c r="AL53" s="174" t="n"/>
      <c r="AM53" s="174" t="n"/>
      <c r="AN53" s="174">
        <f>AK53-(AL53+AM53)</f>
        <v/>
      </c>
      <c r="AO53" s="7" t="n"/>
      <c r="AP53" s="10" t="n"/>
      <c r="AQ53" s="10" t="n"/>
      <c r="AR53" s="174">
        <f>AO53-(AP53+AQ53)</f>
        <v/>
      </c>
      <c r="AS53" s="7" t="n"/>
      <c r="AT53" s="10" t="n"/>
      <c r="AU53" s="10" t="n"/>
      <c r="AV53" s="174">
        <f>AS53-(AT53+AU53)</f>
        <v/>
      </c>
      <c r="AW53" s="7" t="n"/>
      <c r="AX53" s="10" t="n"/>
      <c r="AY53" s="10" t="n"/>
      <c r="AZ53" s="174">
        <f>AW53-(AX53+AY53)</f>
        <v/>
      </c>
      <c r="BA53" s="172">
        <f>SUM(E53,I53,M53,Q53,U53,Y53,AC53,AG53,AK53,AO53,AS53,AW53)</f>
        <v/>
      </c>
      <c r="BB53" s="172">
        <f>SUM(F53,J53,N53,R53,V53,Z53,AD53,AH53,AL53,AP53,AT53,AX53)</f>
        <v/>
      </c>
      <c r="BC53" s="172">
        <f>SUM(G53,K53,O53,S53,W53,AA53,AE53,AI53,AM53,AQ53,AU53,AY53)</f>
        <v/>
      </c>
      <c r="BD53" s="231">
        <f>BA53-(BB53+BC53)</f>
        <v/>
      </c>
      <c r="BE53" s="234">
        <f>BD53+D53</f>
        <v/>
      </c>
    </row>
    <row r="54" ht="15.75" customHeight="1" s="251">
      <c r="A54" s="169" t="inlineStr">
        <is>
          <t>T4</t>
        </is>
      </c>
      <c r="B54" s="13" t="n"/>
      <c r="C54" s="13" t="inlineStr">
        <is>
          <t>Vijet Alva (Owner)    -    Masood (Tenant)</t>
        </is>
      </c>
      <c r="D54" s="264" t="n">
        <v>0</v>
      </c>
      <c r="E54" s="171" t="n"/>
      <c r="F54" s="172" t="n"/>
      <c r="G54" s="172" t="n"/>
      <c r="H54" s="172">
        <f>E54-(F54+G54)</f>
        <v/>
      </c>
      <c r="I54" s="173" t="n"/>
      <c r="J54" s="174" t="n"/>
      <c r="K54" s="174" t="n"/>
      <c r="L54" s="174">
        <f>I54-(J54+K54)</f>
        <v/>
      </c>
      <c r="M54" s="172" t="n"/>
      <c r="N54" s="172" t="n"/>
      <c r="O54" s="172" t="n"/>
      <c r="P54" s="172">
        <f>M54-(N54+O54)</f>
        <v/>
      </c>
      <c r="Q54" s="41" t="n"/>
      <c r="R54" s="174" t="n"/>
      <c r="S54" s="174" t="n"/>
      <c r="T54" s="174">
        <f>Q54-(R54+S54)</f>
        <v/>
      </c>
      <c r="U54" s="167" t="n"/>
      <c r="V54" s="172" t="n"/>
      <c r="W54" s="172" t="n"/>
      <c r="X54" s="172">
        <f>U54-(V54+W54)</f>
        <v/>
      </c>
      <c r="Y54" s="41" t="n"/>
      <c r="Z54" s="174" t="n"/>
      <c r="AA54" s="174" t="n"/>
      <c r="AB54" s="174">
        <f>Y54-(Z54+AA54)</f>
        <v/>
      </c>
      <c r="AC54" s="41" t="n"/>
      <c r="AD54" s="174" t="n"/>
      <c r="AE54" s="174" t="n"/>
      <c r="AF54" s="174">
        <f>AC54-(AD54+AE54)</f>
        <v/>
      </c>
      <c r="AG54" s="41" t="n"/>
      <c r="AH54" s="174" t="n"/>
      <c r="AI54" s="174" t="n"/>
      <c r="AJ54" s="174">
        <f>AG54-(AH54+AI54)</f>
        <v/>
      </c>
      <c r="AK54" s="41" t="n"/>
      <c r="AL54" s="174" t="n"/>
      <c r="AM54" s="174" t="n"/>
      <c r="AN54" s="174">
        <f>AK54-(AL54+AM54)</f>
        <v/>
      </c>
      <c r="AO54" s="7" t="n"/>
      <c r="AP54" s="10" t="n"/>
      <c r="AQ54" s="10" t="n"/>
      <c r="AR54" s="174">
        <f>AO54-(AP54+AQ54)</f>
        <v/>
      </c>
      <c r="AS54" s="7" t="n"/>
      <c r="AT54" s="10" t="n"/>
      <c r="AU54" s="10" t="n"/>
      <c r="AV54" s="174">
        <f>AS54-(AT54+AU54)</f>
        <v/>
      </c>
      <c r="AW54" s="7" t="n"/>
      <c r="AX54" s="10" t="n"/>
      <c r="AY54" s="10" t="n"/>
      <c r="AZ54" s="174">
        <f>AW54-(AX54+AY54)</f>
        <v/>
      </c>
      <c r="BA54" s="172">
        <f>SUM(E54,I54,M54,Q54,U54,Y54,AC54,AG54,AK54,AO54,AS54,AW54)</f>
        <v/>
      </c>
      <c r="BB54" s="172">
        <f>SUM(F54,J54,N54,R54,V54,Z54,AD54,AH54,AL54,AP54,AT54,AX54)</f>
        <v/>
      </c>
      <c r="BC54" s="172">
        <f>SUM(G54,K54,O54,S54,W54,AA54,AE54,AI54,AM54,AQ54,AU54,AY54)</f>
        <v/>
      </c>
      <c r="BD54" s="231">
        <f>BA54-(BB54+BC54)</f>
        <v/>
      </c>
      <c r="BE54" s="234">
        <f>BD54+D54</f>
        <v/>
      </c>
    </row>
    <row r="55" ht="15.75" customHeight="1" s="251">
      <c r="A55" s="169" t="inlineStr">
        <is>
          <t>T5</t>
        </is>
      </c>
      <c r="B55" s="13" t="n"/>
      <c r="C55" s="13" t="inlineStr">
        <is>
          <t>Ganesh Iyer and Latha Iyer( owner) Richa (Tenant)</t>
        </is>
      </c>
      <c r="D55" s="264" t="n">
        <v>0</v>
      </c>
      <c r="E55" s="171" t="n"/>
      <c r="F55" s="172" t="n"/>
      <c r="G55" s="172" t="n"/>
      <c r="H55" s="172">
        <f>E55-(F55+G55)</f>
        <v/>
      </c>
      <c r="I55" s="173" t="n"/>
      <c r="J55" s="174" t="n"/>
      <c r="K55" s="174" t="n"/>
      <c r="L55" s="174">
        <f>I55-(J55+K55)</f>
        <v/>
      </c>
      <c r="M55" s="172" t="n"/>
      <c r="N55" s="172" t="n"/>
      <c r="O55" s="172" t="n"/>
      <c r="P55" s="172">
        <f>M55-(N55+O55)</f>
        <v/>
      </c>
      <c r="Q55" s="41" t="n"/>
      <c r="R55" s="174" t="n"/>
      <c r="S55" s="174" t="n"/>
      <c r="T55" s="174">
        <f>Q55-(R55+S55)</f>
        <v/>
      </c>
      <c r="U55" s="167" t="n"/>
      <c r="V55" s="172" t="n"/>
      <c r="W55" s="172" t="n"/>
      <c r="X55" s="172">
        <f>U55-(V55+W55)</f>
        <v/>
      </c>
      <c r="Y55" s="41" t="n"/>
      <c r="Z55" s="174" t="n"/>
      <c r="AA55" s="174" t="n"/>
      <c r="AB55" s="174">
        <f>Y55-(Z55+AA55)</f>
        <v/>
      </c>
      <c r="AC55" s="41" t="n"/>
      <c r="AD55" s="174" t="n"/>
      <c r="AE55" s="174" t="n"/>
      <c r="AF55" s="174">
        <f>AC55-(AD55+AE55)</f>
        <v/>
      </c>
      <c r="AG55" s="41" t="n"/>
      <c r="AH55" s="174" t="n"/>
      <c r="AI55" s="174" t="n"/>
      <c r="AJ55" s="174">
        <f>AG55-(AH55+AI55)</f>
        <v/>
      </c>
      <c r="AK55" s="41" t="n"/>
      <c r="AL55" s="174" t="n"/>
      <c r="AM55" s="174" t="n"/>
      <c r="AN55" s="174">
        <f>AK55-(AL55+AM55)</f>
        <v/>
      </c>
      <c r="AO55" s="7" t="n"/>
      <c r="AP55" s="10" t="n"/>
      <c r="AQ55" s="10" t="n"/>
      <c r="AR55" s="174">
        <f>AO55-(AP55+AQ55)</f>
        <v/>
      </c>
      <c r="AS55" s="7" t="n"/>
      <c r="AT55" s="10" t="n"/>
      <c r="AU55" s="10" t="n"/>
      <c r="AV55" s="174">
        <f>AS55-(AT55+AU55)</f>
        <v/>
      </c>
      <c r="AW55" s="7" t="n"/>
      <c r="AX55" s="10" t="n"/>
      <c r="AY55" s="10" t="n"/>
      <c r="AZ55" s="174">
        <f>AW55-(AX55+AY55)</f>
        <v/>
      </c>
      <c r="BA55" s="172">
        <f>SUM(E55,I55,M55,Q55,U55,Y55,AC55,AG55,AK55,AO55,AS55,AW55)</f>
        <v/>
      </c>
      <c r="BB55" s="172">
        <f>SUM(F55,J55,N55,R55,V55,Z55,AD55,AH55,AL55,AP55,AT55,AX55)</f>
        <v/>
      </c>
      <c r="BC55" s="172">
        <f>SUM(G55,K55,O55,S55,W55,AA55,AE55,AI55,AM55,AQ55,AU55,AY55)</f>
        <v/>
      </c>
      <c r="BD55" s="231">
        <f>BA55-(BB55+BC55)</f>
        <v/>
      </c>
      <c r="BE55" s="234">
        <f>BD55+D55</f>
        <v/>
      </c>
    </row>
    <row r="56" ht="15.75" customHeight="1" s="251">
      <c r="A56" s="169" t="inlineStr">
        <is>
          <t>T6</t>
        </is>
      </c>
      <c r="B56" s="13" t="n"/>
      <c r="C56" s="13" t="inlineStr">
        <is>
          <t>Mythili Ramesh</t>
        </is>
      </c>
      <c r="D56" s="264" t="n">
        <v>0</v>
      </c>
      <c r="E56" s="171" t="n"/>
      <c r="F56" s="172" t="n"/>
      <c r="G56" s="172" t="n"/>
      <c r="H56" s="172">
        <f>E56-(F56+G56)</f>
        <v/>
      </c>
      <c r="I56" s="173" t="n"/>
      <c r="J56" s="174" t="n"/>
      <c r="K56" s="174" t="n"/>
      <c r="L56" s="174">
        <f>I56-(J56+K56)</f>
        <v/>
      </c>
      <c r="M56" s="172" t="n"/>
      <c r="N56" s="172" t="n"/>
      <c r="O56" s="172" t="n"/>
      <c r="P56" s="172">
        <f>M56-(N56+O56)</f>
        <v/>
      </c>
      <c r="Q56" s="41" t="n"/>
      <c r="R56" s="174" t="n"/>
      <c r="S56" s="174" t="n"/>
      <c r="T56" s="174">
        <f>Q56-(R56+S56)</f>
        <v/>
      </c>
      <c r="U56" s="167" t="n"/>
      <c r="V56" s="172" t="n"/>
      <c r="W56" s="172" t="n"/>
      <c r="X56" s="172">
        <f>U56-(V56+W56)</f>
        <v/>
      </c>
      <c r="Y56" s="41" t="n"/>
      <c r="Z56" s="174" t="n"/>
      <c r="AA56" s="174" t="n"/>
      <c r="AB56" s="174">
        <f>Y56-(Z56+AA56)</f>
        <v/>
      </c>
      <c r="AC56" s="41" t="n"/>
      <c r="AD56" s="174" t="n"/>
      <c r="AE56" s="174" t="n"/>
      <c r="AF56" s="174">
        <f>AC56-(AD56+AE56)</f>
        <v/>
      </c>
      <c r="AG56" s="41" t="n"/>
      <c r="AH56" s="174" t="n"/>
      <c r="AI56" s="174" t="n"/>
      <c r="AJ56" s="174">
        <f>AG56-(AH56+AI56)</f>
        <v/>
      </c>
      <c r="AK56" s="41" t="n"/>
      <c r="AL56" s="174" t="n"/>
      <c r="AM56" s="174" t="n"/>
      <c r="AN56" s="174">
        <f>AK56-(AL56+AM56)</f>
        <v/>
      </c>
      <c r="AO56" s="7" t="n"/>
      <c r="AP56" s="10" t="n"/>
      <c r="AQ56" s="10" t="n"/>
      <c r="AR56" s="174">
        <f>AO56-(AP56+AQ56)</f>
        <v/>
      </c>
      <c r="AS56" s="7" t="n"/>
      <c r="AT56" s="10" t="n"/>
      <c r="AU56" s="10" t="n"/>
      <c r="AV56" s="174">
        <f>AS56-(AT56+AU56)</f>
        <v/>
      </c>
      <c r="AW56" s="7" t="n"/>
      <c r="AX56" s="10" t="n"/>
      <c r="AY56" s="10" t="n"/>
      <c r="AZ56" s="174">
        <f>AW56-(AX56+AY56)</f>
        <v/>
      </c>
      <c r="BA56" s="172">
        <f>SUM(E56,I56,M56,Q56,U56,Y56,AC56,AG56,AK56,AO56,AS56,AW56)</f>
        <v/>
      </c>
      <c r="BB56" s="172">
        <f>SUM(F56,J56,N56,R56,V56,Z56,AD56,AH56,AL56,AP56,AT56,AX56)</f>
        <v/>
      </c>
      <c r="BC56" s="172">
        <f>SUM(G56,K56,O56,S56,W56,AA56,AE56,AI56,AM56,AQ56,AU56,AY56)</f>
        <v/>
      </c>
      <c r="BD56" s="231">
        <f>BA56-(BB56+BC56)</f>
        <v/>
      </c>
      <c r="BE56" s="234">
        <f>BD56+D56</f>
        <v/>
      </c>
    </row>
    <row r="57" ht="15.75" customHeight="1" s="251">
      <c r="A57" s="169" t="inlineStr">
        <is>
          <t>T7</t>
        </is>
      </c>
      <c r="B57" s="13" t="n"/>
      <c r="C57" s="13" t="inlineStr">
        <is>
          <t>Vinyas Ramachandra / Shwetha Marnamikatta / Katari Siva Rama Raju</t>
        </is>
      </c>
      <c r="D57" s="264" t="n">
        <v>0</v>
      </c>
      <c r="E57" s="171" t="n"/>
      <c r="F57" s="172" t="n"/>
      <c r="G57" s="172" t="n"/>
      <c r="H57" s="172">
        <f>E57-(F57+G57)</f>
        <v/>
      </c>
      <c r="I57" s="173" t="n"/>
      <c r="J57" s="174" t="n"/>
      <c r="K57" s="174" t="n"/>
      <c r="L57" s="174">
        <f>I57-(J57+K57)</f>
        <v/>
      </c>
      <c r="M57" s="172" t="n"/>
      <c r="N57" s="172" t="n"/>
      <c r="O57" s="172" t="n"/>
      <c r="P57" s="172">
        <f>M57-(N57+O57)</f>
        <v/>
      </c>
      <c r="Q57" s="41" t="n"/>
      <c r="R57" s="174" t="n"/>
      <c r="S57" s="174" t="n"/>
      <c r="T57" s="174">
        <f>Q57-(R57+S57)</f>
        <v/>
      </c>
      <c r="U57" s="167" t="n"/>
      <c r="V57" s="172" t="n"/>
      <c r="W57" s="172" t="n"/>
      <c r="X57" s="172">
        <f>U57-(V57+W57)</f>
        <v/>
      </c>
      <c r="Y57" s="41" t="n"/>
      <c r="Z57" s="174" t="n"/>
      <c r="AA57" s="174" t="n"/>
      <c r="AB57" s="174">
        <f>Y57-(Z57+AA57)</f>
        <v/>
      </c>
      <c r="AC57" s="41" t="n"/>
      <c r="AD57" s="174" t="n"/>
      <c r="AE57" s="174" t="n"/>
      <c r="AF57" s="174">
        <f>AC57-(AD57+AE57)</f>
        <v/>
      </c>
      <c r="AG57" s="41" t="n"/>
      <c r="AH57" s="174" t="n"/>
      <c r="AI57" s="174" t="n"/>
      <c r="AJ57" s="174">
        <f>AG57-(AH57+AI57)</f>
        <v/>
      </c>
      <c r="AK57" s="41" t="n"/>
      <c r="AL57" s="174" t="n"/>
      <c r="AM57" s="174" t="n"/>
      <c r="AN57" s="174">
        <f>AK57-(AL57+AM57)</f>
        <v/>
      </c>
      <c r="AO57" s="7" t="n"/>
      <c r="AP57" s="10" t="n"/>
      <c r="AQ57" s="10" t="n"/>
      <c r="AR57" s="174">
        <f>AO57-(AP57+AQ57)</f>
        <v/>
      </c>
      <c r="AS57" s="7" t="n"/>
      <c r="AT57" s="10" t="n"/>
      <c r="AU57" s="10" t="n"/>
      <c r="AV57" s="174">
        <f>AS57-(AT57+AU57)</f>
        <v/>
      </c>
      <c r="AW57" s="7" t="n"/>
      <c r="AX57" s="10" t="n"/>
      <c r="AY57" s="10" t="n"/>
      <c r="AZ57" s="174">
        <f>AW57-(AX57+AY57)</f>
        <v/>
      </c>
      <c r="BA57" s="172">
        <f>SUM(E57,I57,M57,Q57,U57,Y57,AC57,AG57,AK57,AO57,AS57,AW57)</f>
        <v/>
      </c>
      <c r="BB57" s="172">
        <f>SUM(F57,J57,N57,R57,V57,Z57,AD57,AH57,AL57,AP57,AT57,AX57)</f>
        <v/>
      </c>
      <c r="BC57" s="172">
        <f>SUM(G57,K57,O57,S57,W57,AA57,AE57,AI57,AM57,AQ57,AU57,AY57)</f>
        <v/>
      </c>
      <c r="BD57" s="231">
        <f>BA57-(BB57+BC57)</f>
        <v/>
      </c>
      <c r="BE57" s="234">
        <f>BD57+D57</f>
        <v/>
      </c>
    </row>
    <row r="58" ht="15.75" customHeight="1" s="251">
      <c r="A58" s="169" t="inlineStr">
        <is>
          <t>T8</t>
        </is>
      </c>
      <c r="B58" s="13" t="n"/>
      <c r="C58" s="13" t="inlineStr">
        <is>
          <t>Lalit Kumar Sharma</t>
        </is>
      </c>
      <c r="D58" s="264" t="n">
        <v>0</v>
      </c>
      <c r="E58" s="171" t="n"/>
      <c r="F58" s="172" t="n"/>
      <c r="G58" s="172" t="n"/>
      <c r="H58" s="172">
        <f>E58-(F58+G58)</f>
        <v/>
      </c>
      <c r="I58" s="173" t="n"/>
      <c r="J58" s="174" t="n"/>
      <c r="K58" s="174" t="n"/>
      <c r="L58" s="174">
        <f>I58-(J58+K58)</f>
        <v/>
      </c>
      <c r="M58" s="172" t="n"/>
      <c r="N58" s="172" t="n"/>
      <c r="O58" s="172" t="n"/>
      <c r="P58" s="172">
        <f>M58-(N58+O58)</f>
        <v/>
      </c>
      <c r="Q58" s="41" t="n"/>
      <c r="R58" s="174" t="n"/>
      <c r="S58" s="174" t="n"/>
      <c r="T58" s="174">
        <f>Q58-(R58+S58)</f>
        <v/>
      </c>
      <c r="U58" s="167" t="n"/>
      <c r="V58" s="172" t="n"/>
      <c r="W58" s="172" t="n"/>
      <c r="X58" s="172">
        <f>U58-(V58+W58)</f>
        <v/>
      </c>
      <c r="Y58" s="41" t="n"/>
      <c r="Z58" s="174" t="n"/>
      <c r="AA58" s="174" t="n"/>
      <c r="AB58" s="174">
        <f>Y58-(Z58+AA58)</f>
        <v/>
      </c>
      <c r="AC58" s="41" t="n"/>
      <c r="AD58" s="174" t="n"/>
      <c r="AE58" s="174" t="n"/>
      <c r="AF58" s="174">
        <f>AC58-(AD58+AE58)</f>
        <v/>
      </c>
      <c r="AG58" s="41" t="n"/>
      <c r="AH58" s="174" t="n"/>
      <c r="AI58" s="174" t="n"/>
      <c r="AJ58" s="174">
        <f>AG58-(AH58+AI58)</f>
        <v/>
      </c>
      <c r="AK58" s="41" t="n"/>
      <c r="AL58" s="174" t="n"/>
      <c r="AM58" s="174" t="n"/>
      <c r="AN58" s="174">
        <f>AK58-(AL58+AM58)</f>
        <v/>
      </c>
      <c r="AO58" s="7" t="n"/>
      <c r="AP58" s="10" t="n"/>
      <c r="AQ58" s="10" t="n"/>
      <c r="AR58" s="174">
        <f>AO58-(AP58+AQ58)</f>
        <v/>
      </c>
      <c r="AS58" s="7" t="n"/>
      <c r="AT58" s="10" t="n"/>
      <c r="AU58" s="10" t="n"/>
      <c r="AV58" s="174">
        <f>AS58-(AT58+AU58)</f>
        <v/>
      </c>
      <c r="AW58" s="7" t="n"/>
      <c r="AX58" s="10" t="n"/>
      <c r="AY58" s="10" t="n"/>
      <c r="AZ58" s="174">
        <f>AW58-(AX58+AY58)</f>
        <v/>
      </c>
      <c r="BA58" s="172">
        <f>SUM(E58,I58,M58,Q58,U58,Y58,AC58,AG58,AK58,AO58,AS58,AW58)</f>
        <v/>
      </c>
      <c r="BB58" s="172">
        <f>SUM(F58,J58,N58,R58,V58,Z58,AD58,AH58,AL58,AP58,AT58,AX58)</f>
        <v/>
      </c>
      <c r="BC58" s="172">
        <f>SUM(G58,K58,O58,S58,W58,AA58,AE58,AI58,AM58,AQ58,AU58,AY58)</f>
        <v/>
      </c>
      <c r="BD58" s="231">
        <f>BA58-(BB58+BC58)</f>
        <v/>
      </c>
      <c r="BE58" s="234">
        <f>BD58+D58</f>
        <v/>
      </c>
    </row>
    <row r="59" ht="15.75" customHeight="1" s="251">
      <c r="A59" s="169" t="inlineStr">
        <is>
          <t>T9</t>
        </is>
      </c>
      <c r="B59" s="13" t="n"/>
      <c r="C59" s="13" t="inlineStr">
        <is>
          <t>Nishith Sahu and Priyanka Rani (Owner)/ Anmol Verma (Tenant)</t>
        </is>
      </c>
      <c r="D59" s="264" t="n">
        <v>0</v>
      </c>
      <c r="E59" s="171" t="n"/>
      <c r="F59" s="172" t="n"/>
      <c r="G59" s="172" t="n"/>
      <c r="H59" s="172">
        <f>E59-(F59+G59)</f>
        <v/>
      </c>
      <c r="I59" s="173" t="n"/>
      <c r="J59" s="174" t="n"/>
      <c r="K59" s="174" t="n"/>
      <c r="L59" s="174">
        <f>I59-(J59+K59)</f>
        <v/>
      </c>
      <c r="M59" s="172" t="n"/>
      <c r="N59" s="172" t="n"/>
      <c r="O59" s="172" t="n"/>
      <c r="P59" s="172">
        <f>M59-(N59+O59)</f>
        <v/>
      </c>
      <c r="Q59" s="41" t="n"/>
      <c r="R59" s="174" t="n"/>
      <c r="S59" s="174" t="n"/>
      <c r="T59" s="174">
        <f>Q59-(R59+S59)</f>
        <v/>
      </c>
      <c r="U59" s="167" t="n"/>
      <c r="V59" s="172" t="n"/>
      <c r="W59" s="172" t="n"/>
      <c r="X59" s="172">
        <f>U59-(V59+W59)</f>
        <v/>
      </c>
      <c r="Y59" s="41" t="n"/>
      <c r="Z59" s="174" t="n"/>
      <c r="AA59" s="174" t="n"/>
      <c r="AB59" s="174">
        <f>Y59-(Z59+AA59)</f>
        <v/>
      </c>
      <c r="AC59" s="41" t="n"/>
      <c r="AD59" s="174" t="n"/>
      <c r="AE59" s="174" t="n"/>
      <c r="AF59" s="174">
        <f>AC59-(AD59+AE59)</f>
        <v/>
      </c>
      <c r="AG59" s="41" t="n"/>
      <c r="AH59" s="174" t="n"/>
      <c r="AI59" s="174" t="n"/>
      <c r="AJ59" s="174">
        <f>AG59-(AH59+AI59)</f>
        <v/>
      </c>
      <c r="AK59" s="41" t="n"/>
      <c r="AL59" s="174" t="n"/>
      <c r="AM59" s="174" t="n"/>
      <c r="AN59" s="174">
        <f>AK59-(AL59+AM59)</f>
        <v/>
      </c>
      <c r="AO59" s="7" t="n"/>
      <c r="AP59" s="10" t="n"/>
      <c r="AQ59" s="10" t="n"/>
      <c r="AR59" s="174">
        <f>AO59-(AP59+AQ59)</f>
        <v/>
      </c>
      <c r="AS59" s="7" t="n"/>
      <c r="AT59" s="10" t="n"/>
      <c r="AU59" s="10" t="n"/>
      <c r="AV59" s="174">
        <f>AS59-(AT59+AU59)</f>
        <v/>
      </c>
      <c r="AW59" s="7" t="n"/>
      <c r="AX59" s="10" t="n"/>
      <c r="AY59" s="10" t="n"/>
      <c r="AZ59" s="174">
        <f>AW59-(AX59+AY59)</f>
        <v/>
      </c>
      <c r="BA59" s="172">
        <f>SUM(E59,I59,M59,Q59,U59,Y59,AC59,AG59,AK59,AO59,AS59,AW59)</f>
        <v/>
      </c>
      <c r="BB59" s="172">
        <f>SUM(F59,J59,N59,R59,V59,Z59,AD59,AH59,AL59,AP59,AT59,AX59)</f>
        <v/>
      </c>
      <c r="BC59" s="172">
        <f>SUM(G59,K59,O59,S59,W59,AA59,AE59,AI59,AM59,AQ59,AU59,AY59)</f>
        <v/>
      </c>
      <c r="BD59" s="231">
        <f>BA59-(BB59+BC59)</f>
        <v/>
      </c>
      <c r="BE59" s="234">
        <f>BD59+D59</f>
        <v/>
      </c>
    </row>
    <row r="60" ht="15.75" customHeight="1" s="251">
      <c r="A60" s="169" t="inlineStr">
        <is>
          <t>T10</t>
        </is>
      </c>
      <c r="B60" s="13" t="n"/>
      <c r="C60" s="13" t="inlineStr">
        <is>
          <t>Vamsidhar Bethanabatla / Madhuri Anumula</t>
        </is>
      </c>
      <c r="D60" s="264" t="n">
        <v>0</v>
      </c>
      <c r="E60" s="171" t="n"/>
      <c r="F60" s="172" t="n"/>
      <c r="G60" s="172" t="n"/>
      <c r="H60" s="172">
        <f>E60-(F60+G60)</f>
        <v/>
      </c>
      <c r="I60" s="173" t="n"/>
      <c r="J60" s="174" t="n"/>
      <c r="K60" s="174" t="n"/>
      <c r="L60" s="174">
        <f>I60-(J60+K60)</f>
        <v/>
      </c>
      <c r="M60" s="172" t="n"/>
      <c r="N60" s="172" t="n"/>
      <c r="O60" s="172" t="n"/>
      <c r="P60" s="172">
        <f>M60-(N60+O60)</f>
        <v/>
      </c>
      <c r="Q60" s="41" t="n"/>
      <c r="R60" s="174" t="n"/>
      <c r="S60" s="174" t="n"/>
      <c r="T60" s="174">
        <f>Q60-(R60+S60)</f>
        <v/>
      </c>
      <c r="U60" s="167" t="n"/>
      <c r="V60" s="172" t="n"/>
      <c r="W60" s="172" t="n"/>
      <c r="X60" s="172">
        <f>U60-(V60+W60)</f>
        <v/>
      </c>
      <c r="Y60" s="41" t="n"/>
      <c r="Z60" s="174" t="n"/>
      <c r="AA60" s="174" t="n"/>
      <c r="AB60" s="174">
        <f>Y60-(Z60+AA60)</f>
        <v/>
      </c>
      <c r="AC60" s="41" t="n"/>
      <c r="AD60" s="174" t="n"/>
      <c r="AE60" s="174" t="n"/>
      <c r="AF60" s="174">
        <f>AC60-(AD60+AE60)</f>
        <v/>
      </c>
      <c r="AG60" s="41" t="n"/>
      <c r="AH60" s="174" t="n"/>
      <c r="AI60" s="174" t="n"/>
      <c r="AJ60" s="174">
        <f>AG60-(AH60+AI60)</f>
        <v/>
      </c>
      <c r="AK60" s="41" t="n"/>
      <c r="AL60" s="174" t="n"/>
      <c r="AM60" s="174" t="n"/>
      <c r="AN60" s="174">
        <f>AK60-(AL60+AM60)</f>
        <v/>
      </c>
      <c r="AO60" s="7" t="n"/>
      <c r="AP60" s="10" t="n"/>
      <c r="AQ60" s="10" t="n"/>
      <c r="AR60" s="174">
        <f>AO60-(AP60+AQ60)</f>
        <v/>
      </c>
      <c r="AS60" s="7" t="n"/>
      <c r="AT60" s="10" t="n"/>
      <c r="AU60" s="10" t="n"/>
      <c r="AV60" s="174">
        <f>AS60-(AT60+AU60)</f>
        <v/>
      </c>
      <c r="AW60" s="7" t="n"/>
      <c r="AX60" s="10" t="n"/>
      <c r="AY60" s="10" t="n"/>
      <c r="AZ60" s="174">
        <f>AW60-(AX60+AY60)</f>
        <v/>
      </c>
      <c r="BA60" s="172">
        <f>SUM(E60,I60,M60,Q60,U60,Y60,AC60,AG60,AK60,AO60,AS60,AW60)</f>
        <v/>
      </c>
      <c r="BB60" s="172">
        <f>SUM(F60,J60,N60,R60,V60,Z60,AD60,AH60,AL60,AP60,AT60,AX60)</f>
        <v/>
      </c>
      <c r="BC60" s="172">
        <f>SUM(G60,K60,O60,S60,W60,AA60,AE60,AI60,AM60,AQ60,AU60,AY60)</f>
        <v/>
      </c>
      <c r="BD60" s="231">
        <f>BA60-(BB60+BC60)</f>
        <v/>
      </c>
      <c r="BE60" s="234">
        <f>BD60+D60</f>
        <v/>
      </c>
    </row>
    <row r="61" ht="15.75" customHeight="1" s="251">
      <c r="A61" s="169" t="inlineStr">
        <is>
          <t>T11</t>
        </is>
      </c>
      <c r="B61" s="13" t="n"/>
      <c r="C61" s="13" t="inlineStr">
        <is>
          <t>Arvind Balasubramanian</t>
        </is>
      </c>
      <c r="D61" s="264" t="n">
        <v>0</v>
      </c>
      <c r="E61" s="171" t="n"/>
      <c r="F61" s="172" t="n"/>
      <c r="G61" s="172" t="n"/>
      <c r="H61" s="172">
        <f>E61-(F61+G61)</f>
        <v/>
      </c>
      <c r="I61" s="173" t="n"/>
      <c r="J61" s="174" t="n"/>
      <c r="K61" s="174" t="n"/>
      <c r="L61" s="174">
        <f>I61-(J61+K61)</f>
        <v/>
      </c>
      <c r="M61" s="172" t="n"/>
      <c r="N61" s="172" t="n"/>
      <c r="O61" s="172" t="n"/>
      <c r="P61" s="172">
        <f>M61-(N61+O61)</f>
        <v/>
      </c>
      <c r="Q61" s="41" t="n"/>
      <c r="R61" s="174" t="n"/>
      <c r="S61" s="174" t="n"/>
      <c r="T61" s="174">
        <f>Q61-(R61+S61)</f>
        <v/>
      </c>
      <c r="U61" s="167" t="n"/>
      <c r="V61" s="172" t="n"/>
      <c r="W61" s="172" t="n"/>
      <c r="X61" s="172">
        <f>U61-(V61+W61)</f>
        <v/>
      </c>
      <c r="Y61" s="41" t="n"/>
      <c r="Z61" s="174" t="n"/>
      <c r="AA61" s="174" t="n"/>
      <c r="AB61" s="174">
        <f>Y61-(Z61+AA61)</f>
        <v/>
      </c>
      <c r="AC61" s="41" t="n"/>
      <c r="AD61" s="174" t="n"/>
      <c r="AE61" s="174" t="n"/>
      <c r="AF61" s="174">
        <f>AC61-(AD61+AE61)</f>
        <v/>
      </c>
      <c r="AG61" s="41" t="n"/>
      <c r="AH61" s="174" t="n"/>
      <c r="AI61" s="174" t="n"/>
      <c r="AJ61" s="174">
        <f>AG61-(AH61+AI61)</f>
        <v/>
      </c>
      <c r="AK61" s="41" t="n"/>
      <c r="AL61" s="174" t="n"/>
      <c r="AM61" s="174" t="n"/>
      <c r="AN61" s="174">
        <f>AK61-(AL61+AM61)</f>
        <v/>
      </c>
      <c r="AO61" s="7" t="n"/>
      <c r="AP61" s="10" t="n"/>
      <c r="AQ61" s="10" t="n"/>
      <c r="AR61" s="174">
        <f>AO61-(AP61+AQ61)</f>
        <v/>
      </c>
      <c r="AS61" s="7" t="n"/>
      <c r="AT61" s="10" t="n"/>
      <c r="AU61" s="10" t="n"/>
      <c r="AV61" s="174">
        <f>AS61-(AT61+AU61)</f>
        <v/>
      </c>
      <c r="AW61" s="7" t="n"/>
      <c r="AX61" s="10" t="n"/>
      <c r="AY61" s="10" t="n"/>
      <c r="AZ61" s="174">
        <f>AW61-(AX61+AY61)</f>
        <v/>
      </c>
      <c r="BA61" s="172">
        <f>SUM(E61,I61,M61,Q61,U61,Y61,AC61,AG61,AK61,AO61,AS61,AW61)</f>
        <v/>
      </c>
      <c r="BB61" s="172">
        <f>SUM(F61,J61,N61,R61,V61,Z61,AD61,AH61,AL61,AP61,AT61,AX61)</f>
        <v/>
      </c>
      <c r="BC61" s="172">
        <f>SUM(G61,K61,O61,S61,W61,AA61,AE61,AI61,AM61,AQ61,AU61,AY61)</f>
        <v/>
      </c>
      <c r="BD61" s="231">
        <f>BA61-(BB61+BC61)</f>
        <v/>
      </c>
      <c r="BE61" s="234">
        <f>BD61+D61</f>
        <v/>
      </c>
    </row>
    <row r="62" ht="15.75" customHeight="1" s="251">
      <c r="A62" s="169" t="inlineStr">
        <is>
          <t>T12</t>
        </is>
      </c>
      <c r="B62" s="13" t="n"/>
      <c r="C62" s="13" t="inlineStr">
        <is>
          <t>Prasenjit</t>
        </is>
      </c>
      <c r="D62" s="264" t="n">
        <v>0</v>
      </c>
      <c r="E62" s="171" t="n"/>
      <c r="F62" s="172" t="n"/>
      <c r="G62" s="172" t="n"/>
      <c r="H62" s="172">
        <f>E62-(F62+G62)</f>
        <v/>
      </c>
      <c r="I62" s="173" t="n"/>
      <c r="J62" s="174" t="n"/>
      <c r="K62" s="174" t="n"/>
      <c r="L62" s="174">
        <f>I62-(J62+K62)</f>
        <v/>
      </c>
      <c r="M62" s="172" t="n"/>
      <c r="N62" s="172" t="n"/>
      <c r="O62" s="172" t="n"/>
      <c r="P62" s="172">
        <f>M62-(N62+O62)</f>
        <v/>
      </c>
      <c r="Q62" s="41" t="n"/>
      <c r="R62" s="174" t="n"/>
      <c r="S62" s="174" t="n"/>
      <c r="T62" s="174">
        <f>Q62-(R62+S62)</f>
        <v/>
      </c>
      <c r="U62" s="167" t="n"/>
      <c r="V62" s="172" t="n"/>
      <c r="W62" s="172" t="n"/>
      <c r="X62" s="172">
        <f>U62-(V62+W62)</f>
        <v/>
      </c>
      <c r="Y62" s="41" t="n"/>
      <c r="Z62" s="174" t="n"/>
      <c r="AA62" s="174" t="n"/>
      <c r="AB62" s="174">
        <f>Y62-(Z62+AA62)</f>
        <v/>
      </c>
      <c r="AC62" s="41" t="n"/>
      <c r="AD62" s="174" t="n"/>
      <c r="AE62" s="174" t="n"/>
      <c r="AF62" s="174">
        <f>AC62-(AD62+AE62)</f>
        <v/>
      </c>
      <c r="AG62" s="41" t="n"/>
      <c r="AH62" s="174" t="n"/>
      <c r="AI62" s="174" t="n"/>
      <c r="AJ62" s="174">
        <f>AG62-(AH62+AI62)</f>
        <v/>
      </c>
      <c r="AK62" s="41" t="n"/>
      <c r="AL62" s="174" t="n"/>
      <c r="AM62" s="174" t="n"/>
      <c r="AN62" s="174">
        <f>AK62-(AL62+AM62)</f>
        <v/>
      </c>
      <c r="AO62" s="7" t="n"/>
      <c r="AP62" s="10" t="n"/>
      <c r="AQ62" s="10" t="n"/>
      <c r="AR62" s="174">
        <f>AO62-(AP62+AQ62)</f>
        <v/>
      </c>
      <c r="AS62" s="7" t="n"/>
      <c r="AT62" s="10" t="n"/>
      <c r="AU62" s="10" t="n"/>
      <c r="AV62" s="174">
        <f>AS62-(AT62+AU62)</f>
        <v/>
      </c>
      <c r="AW62" s="7" t="n"/>
      <c r="AX62" s="10" t="n"/>
      <c r="AY62" s="10" t="n"/>
      <c r="AZ62" s="174">
        <f>AW62-(AX62+AY62)</f>
        <v/>
      </c>
      <c r="BA62" s="172">
        <f>SUM(E62,I62,M62,Q62,U62,Y62,AC62,AG62,AK62,AO62,AS62,AW62)</f>
        <v/>
      </c>
      <c r="BB62" s="172">
        <f>SUM(F62,J62,N62,R62,V62,Z62,AD62,AH62,AL62,AP62,AT62,AX62)</f>
        <v/>
      </c>
      <c r="BC62" s="172">
        <f>SUM(G62,K62,O62,S62,W62,AA62,AE62,AI62,AM62,AQ62,AU62,AY62)</f>
        <v/>
      </c>
      <c r="BD62" s="231">
        <f>BA62-(BB62+BC62)</f>
        <v/>
      </c>
      <c r="BE62" s="234">
        <f>BD62+D62</f>
        <v/>
      </c>
    </row>
    <row r="63" ht="15.75" customHeight="1" s="251">
      <c r="A63" s="169" t="inlineStr">
        <is>
          <t>T13</t>
        </is>
      </c>
      <c r="B63" s="13" t="n"/>
      <c r="C63" s="13" t="inlineStr">
        <is>
          <t>Rahul Kumar</t>
        </is>
      </c>
      <c r="D63" s="264" t="n">
        <v>0</v>
      </c>
      <c r="E63" s="171" t="n"/>
      <c r="F63" s="172" t="n"/>
      <c r="G63" s="172" t="n"/>
      <c r="H63" s="172">
        <f>E63-(F63+G63)</f>
        <v/>
      </c>
      <c r="I63" s="173" t="n"/>
      <c r="J63" s="174" t="n"/>
      <c r="K63" s="174" t="n"/>
      <c r="L63" s="174">
        <f>I63-(J63+K63)</f>
        <v/>
      </c>
      <c r="M63" s="172" t="n"/>
      <c r="N63" s="172" t="n"/>
      <c r="O63" s="172" t="n"/>
      <c r="P63" s="172">
        <f>M63-(N63+O63)</f>
        <v/>
      </c>
      <c r="Q63" s="41" t="n"/>
      <c r="R63" s="174" t="n"/>
      <c r="S63" s="174" t="n"/>
      <c r="T63" s="174">
        <f>Q63-(R63+S63)</f>
        <v/>
      </c>
      <c r="U63" s="167" t="n"/>
      <c r="V63" s="172" t="n"/>
      <c r="W63" s="172" t="n"/>
      <c r="X63" s="172">
        <f>U63-(V63+W63)</f>
        <v/>
      </c>
      <c r="Y63" s="41" t="n"/>
      <c r="Z63" s="174" t="n"/>
      <c r="AA63" s="174" t="n"/>
      <c r="AB63" s="174">
        <f>Y63-(Z63+AA63)</f>
        <v/>
      </c>
      <c r="AC63" s="41" t="n"/>
      <c r="AD63" s="174" t="n"/>
      <c r="AE63" s="174" t="n"/>
      <c r="AF63" s="174">
        <f>AC63-(AD63+AE63)</f>
        <v/>
      </c>
      <c r="AG63" s="41" t="n"/>
      <c r="AH63" s="174" t="n"/>
      <c r="AI63" s="174" t="n"/>
      <c r="AJ63" s="174">
        <f>AG63-(AH63+AI63)</f>
        <v/>
      </c>
      <c r="AK63" s="41" t="n"/>
      <c r="AL63" s="174" t="n"/>
      <c r="AM63" s="174" t="n"/>
      <c r="AN63" s="174">
        <f>AK63-(AL63+AM63)</f>
        <v/>
      </c>
      <c r="AO63" s="7" t="n"/>
      <c r="AP63" s="10" t="n"/>
      <c r="AQ63" s="10" t="n"/>
      <c r="AR63" s="174">
        <f>AO63-(AP63+AQ63)</f>
        <v/>
      </c>
      <c r="AS63" s="7" t="n"/>
      <c r="AT63" s="10" t="n"/>
      <c r="AU63" s="10" t="n"/>
      <c r="AV63" s="174">
        <f>AS63-(AT63+AU63)</f>
        <v/>
      </c>
      <c r="AW63" s="7" t="n"/>
      <c r="AX63" s="10" t="n"/>
      <c r="AY63" s="10" t="n"/>
      <c r="AZ63" s="174">
        <f>AW63-(AX63+AY63)</f>
        <v/>
      </c>
      <c r="BA63" s="172">
        <f>SUM(E63,I63,M63,Q63,U63,Y63,AC63,AG63,AK63,AO63,AS63,AW63)</f>
        <v/>
      </c>
      <c r="BB63" s="172">
        <f>SUM(F63,J63,N63,R63,V63,Z63,AD63,AH63,AL63,AP63,AT63,AX63)</f>
        <v/>
      </c>
      <c r="BC63" s="172">
        <f>SUM(G63,K63,O63,S63,W63,AA63,AE63,AI63,AM63,AQ63,AU63,AY63)</f>
        <v/>
      </c>
      <c r="BD63" s="231">
        <f>BA63-(BB63+BC63)</f>
        <v/>
      </c>
      <c r="BE63" s="234">
        <f>BD63+D63</f>
        <v/>
      </c>
    </row>
    <row r="64" ht="15.75" customHeight="1" s="251">
      <c r="A64" s="169" t="inlineStr">
        <is>
          <t>T14</t>
        </is>
      </c>
      <c r="B64" s="13" t="n"/>
      <c r="C64" s="13" t="inlineStr">
        <is>
          <t>Jeya / Kanda / Satya (tenant)/Vinuta (tenant)</t>
        </is>
      </c>
      <c r="D64" s="264" t="n">
        <v>0</v>
      </c>
      <c r="E64" s="171" t="n"/>
      <c r="F64" s="172" t="n"/>
      <c r="G64" s="172" t="n"/>
      <c r="H64" s="172">
        <f>E64-(F64+G64)</f>
        <v/>
      </c>
      <c r="I64" s="173" t="n"/>
      <c r="J64" s="174" t="n"/>
      <c r="K64" s="174" t="n"/>
      <c r="L64" s="174">
        <f>I64-(J64+K64)</f>
        <v/>
      </c>
      <c r="M64" s="172" t="n"/>
      <c r="N64" s="172" t="n"/>
      <c r="O64" s="172" t="n"/>
      <c r="P64" s="172">
        <f>M64-(N64+O64)</f>
        <v/>
      </c>
      <c r="Q64" s="41" t="n"/>
      <c r="R64" s="174" t="n"/>
      <c r="S64" s="174" t="n"/>
      <c r="T64" s="174">
        <f>Q64-(R64+S64)</f>
        <v/>
      </c>
      <c r="U64" s="167" t="n"/>
      <c r="V64" s="172" t="n"/>
      <c r="W64" s="172" t="n"/>
      <c r="X64" s="172">
        <f>U64-(V64+W64)</f>
        <v/>
      </c>
      <c r="Y64" s="41" t="n"/>
      <c r="Z64" s="174" t="n"/>
      <c r="AA64" s="174" t="n"/>
      <c r="AB64" s="174">
        <f>Y64-(Z64+AA64)</f>
        <v/>
      </c>
      <c r="AC64" s="41" t="n"/>
      <c r="AD64" s="174" t="n"/>
      <c r="AE64" s="174" t="n"/>
      <c r="AF64" s="174">
        <f>AC64-(AD64+AE64)</f>
        <v/>
      </c>
      <c r="AG64" s="41" t="n"/>
      <c r="AH64" s="174" t="n"/>
      <c r="AI64" s="174" t="n"/>
      <c r="AJ64" s="174">
        <f>AG64-(AH64+AI64)</f>
        <v/>
      </c>
      <c r="AK64" s="41" t="n"/>
      <c r="AL64" s="174" t="n"/>
      <c r="AM64" s="174" t="n"/>
      <c r="AN64" s="174">
        <f>AK64-(AL64+AM64)</f>
        <v/>
      </c>
      <c r="AO64" s="7" t="n"/>
      <c r="AP64" s="10" t="n"/>
      <c r="AQ64" s="10" t="n"/>
      <c r="AR64" s="174">
        <f>AO64-(AP64+AQ64)</f>
        <v/>
      </c>
      <c r="AS64" s="7" t="n"/>
      <c r="AT64" s="10" t="n"/>
      <c r="AU64" s="10" t="n"/>
      <c r="AV64" s="174">
        <f>AS64-(AT64+AU64)</f>
        <v/>
      </c>
      <c r="AW64" s="7" t="n"/>
      <c r="AX64" s="10" t="n"/>
      <c r="AY64" s="10" t="n"/>
      <c r="AZ64" s="174">
        <f>AW64-(AX64+AY64)</f>
        <v/>
      </c>
      <c r="BA64" s="172">
        <f>SUM(E64,I64,M64,Q64,U64,Y64,AC64,AG64,AK64,AO64,AS64,AW64)</f>
        <v/>
      </c>
      <c r="BB64" s="172">
        <f>SUM(F64,J64,N64,R64,V64,Z64,AD64,AH64,AL64,AP64,AT64,AX64)</f>
        <v/>
      </c>
      <c r="BC64" s="172">
        <f>SUM(G64,K64,O64,S64,W64,AA64,AE64,AI64,AM64,AQ64,AU64,AY64)</f>
        <v/>
      </c>
      <c r="BD64" s="231">
        <f>BA64-(BB64+BC64)</f>
        <v/>
      </c>
      <c r="BE64" s="234">
        <f>BD64+D64</f>
        <v/>
      </c>
    </row>
    <row r="65" ht="15.75" customHeight="1" s="251">
      <c r="A65" s="169" t="inlineStr">
        <is>
          <t>T15</t>
        </is>
      </c>
      <c r="B65" s="13" t="n"/>
      <c r="C65" s="13" t="inlineStr">
        <is>
          <t>Trevor</t>
        </is>
      </c>
      <c r="D65" s="264" t="n">
        <v>0</v>
      </c>
      <c r="E65" s="171" t="n"/>
      <c r="F65" s="172" t="n"/>
      <c r="G65" s="172" t="n"/>
      <c r="H65" s="172">
        <f>E65-(F65+G65)</f>
        <v/>
      </c>
      <c r="I65" s="173" t="n"/>
      <c r="J65" s="174" t="n"/>
      <c r="K65" s="174" t="n"/>
      <c r="L65" s="174">
        <f>I65-(J65+K65)</f>
        <v/>
      </c>
      <c r="M65" s="172" t="n"/>
      <c r="N65" s="172" t="n"/>
      <c r="O65" s="172" t="n"/>
      <c r="P65" s="172">
        <f>M65-(N65+O65)</f>
        <v/>
      </c>
      <c r="Q65" s="41" t="n"/>
      <c r="R65" s="174" t="n"/>
      <c r="S65" s="174" t="n"/>
      <c r="T65" s="174">
        <f>Q65-(R65+S65)</f>
        <v/>
      </c>
      <c r="U65" s="167" t="n"/>
      <c r="V65" s="172" t="n"/>
      <c r="W65" s="172" t="n"/>
      <c r="X65" s="172">
        <f>U65-(V65+W65)</f>
        <v/>
      </c>
      <c r="Y65" s="41" t="n"/>
      <c r="Z65" s="174" t="n"/>
      <c r="AA65" s="174" t="n"/>
      <c r="AB65" s="174">
        <f>Y65-(Z65+AA65)</f>
        <v/>
      </c>
      <c r="AC65" s="41" t="n"/>
      <c r="AD65" s="174" t="n"/>
      <c r="AE65" s="174" t="n"/>
      <c r="AF65" s="174">
        <f>AC65-(AD65+AE65)</f>
        <v/>
      </c>
      <c r="AG65" s="41" t="n"/>
      <c r="AH65" s="174" t="n"/>
      <c r="AI65" s="174" t="n"/>
      <c r="AJ65" s="174">
        <f>AG65-(AH65+AI65)</f>
        <v/>
      </c>
      <c r="AK65" s="41" t="n"/>
      <c r="AL65" s="174" t="n"/>
      <c r="AM65" s="174" t="n"/>
      <c r="AN65" s="174">
        <f>AK65-(AL65+AM65)</f>
        <v/>
      </c>
      <c r="AO65" s="7" t="n"/>
      <c r="AP65" s="10" t="n"/>
      <c r="AQ65" s="10" t="n"/>
      <c r="AR65" s="174">
        <f>AO65-(AP65+AQ65)</f>
        <v/>
      </c>
      <c r="AS65" s="7" t="n"/>
      <c r="AT65" s="10" t="n"/>
      <c r="AU65" s="10" t="n"/>
      <c r="AV65" s="174">
        <f>AS65-(AT65+AU65)</f>
        <v/>
      </c>
      <c r="AW65" s="7" t="n"/>
      <c r="AX65" s="10" t="n"/>
      <c r="AY65" s="10" t="n"/>
      <c r="AZ65" s="174">
        <f>AW65-(AX65+AY65)</f>
        <v/>
      </c>
      <c r="BA65" s="172">
        <f>SUM(E65,I65,M65,Q65,U65,Y65,AC65,AG65,AK65,AO65,AS65,AW65)</f>
        <v/>
      </c>
      <c r="BB65" s="172">
        <f>SUM(F65,J65,N65,R65,V65,Z65,AD65,AH65,AL65,AP65,AT65,AX65)</f>
        <v/>
      </c>
      <c r="BC65" s="172">
        <f>SUM(G65,K65,O65,S65,W65,AA65,AE65,AI65,AM65,AQ65,AU65,AY65)</f>
        <v/>
      </c>
      <c r="BD65" s="231">
        <f>BA65-(BB65+BC65)</f>
        <v/>
      </c>
      <c r="BE65" s="234">
        <f>BD65+D65</f>
        <v/>
      </c>
    </row>
    <row r="66" ht="15.75" customHeight="1" s="251">
      <c r="A66" s="169" t="inlineStr">
        <is>
          <t>T16</t>
        </is>
      </c>
      <c r="B66" s="13" t="n"/>
      <c r="C66" s="13" t="inlineStr">
        <is>
          <t>Madhusoodanan P.R.</t>
        </is>
      </c>
      <c r="D66" s="264" t="n">
        <v>0</v>
      </c>
      <c r="E66" s="171" t="n"/>
      <c r="F66" s="172" t="n"/>
      <c r="G66" s="172" t="n"/>
      <c r="H66" s="172">
        <f>E66-(F66+G66)</f>
        <v/>
      </c>
      <c r="I66" s="173" t="n"/>
      <c r="J66" s="174" t="n"/>
      <c r="K66" s="174" t="n"/>
      <c r="L66" s="174">
        <f>I66-(J66+K66)</f>
        <v/>
      </c>
      <c r="M66" s="172" t="n"/>
      <c r="N66" s="172" t="n"/>
      <c r="O66" s="172" t="n"/>
      <c r="P66" s="172">
        <f>M66-(N66+O66)</f>
        <v/>
      </c>
      <c r="Q66" s="41" t="n"/>
      <c r="R66" s="174" t="n"/>
      <c r="S66" s="174" t="n"/>
      <c r="T66" s="174">
        <f>Q66-(R66+S66)</f>
        <v/>
      </c>
      <c r="U66" s="167" t="n"/>
      <c r="V66" s="172" t="n"/>
      <c r="W66" s="172" t="n"/>
      <c r="X66" s="172">
        <f>U66-(V66+W66)</f>
        <v/>
      </c>
      <c r="Y66" s="41" t="n"/>
      <c r="Z66" s="174" t="n"/>
      <c r="AA66" s="174" t="n"/>
      <c r="AB66" s="174">
        <f>Y66-(Z66+AA66)</f>
        <v/>
      </c>
      <c r="AC66" s="41" t="n"/>
      <c r="AD66" s="174" t="n"/>
      <c r="AE66" s="174" t="n"/>
      <c r="AF66" s="174">
        <f>AC66-(AD66+AE66)</f>
        <v/>
      </c>
      <c r="AG66" s="41" t="n"/>
      <c r="AH66" s="174" t="n"/>
      <c r="AI66" s="174" t="n"/>
      <c r="AJ66" s="174">
        <f>AG66-(AH66+AI66)</f>
        <v/>
      </c>
      <c r="AK66" s="41" t="n"/>
      <c r="AL66" s="174" t="n"/>
      <c r="AM66" s="174" t="n"/>
      <c r="AN66" s="174">
        <f>AK66-(AL66+AM66)</f>
        <v/>
      </c>
      <c r="AO66" s="7" t="n"/>
      <c r="AP66" s="10" t="n"/>
      <c r="AQ66" s="10" t="n"/>
      <c r="AR66" s="174">
        <f>AO66-(AP66+AQ66)</f>
        <v/>
      </c>
      <c r="AS66" s="7" t="n"/>
      <c r="AT66" s="10" t="n"/>
      <c r="AU66" s="10" t="n"/>
      <c r="AV66" s="174">
        <f>AS66-(AT66+AU66)</f>
        <v/>
      </c>
      <c r="AW66" s="7" t="n"/>
      <c r="AX66" s="10" t="n"/>
      <c r="AY66" s="10" t="n"/>
      <c r="AZ66" s="174">
        <f>AW66-(AX66+AY66)</f>
        <v/>
      </c>
      <c r="BA66" s="172">
        <f>SUM(E66,I66,M66,Q66,U66,Y66,AC66,AG66,AK66,AO66,AS66,AW66)</f>
        <v/>
      </c>
      <c r="BB66" s="172">
        <f>SUM(F66,J66,N66,R66,V66,Z66,AD66,AH66,AL66,AP66,AT66,AX66)</f>
        <v/>
      </c>
      <c r="BC66" s="172">
        <f>SUM(G66,K66,O66,S66,W66,AA66,AE66,AI66,AM66,AQ66,AU66,AY66)</f>
        <v/>
      </c>
      <c r="BD66" s="231">
        <f>BA66-(BB66+BC66)</f>
        <v/>
      </c>
      <c r="BE66" s="234">
        <f>BD66+D66</f>
        <v/>
      </c>
    </row>
    <row r="67" ht="15.75" customHeight="1" s="251">
      <c r="A67" s="169" t="n"/>
      <c r="B67" s="156" t="n"/>
      <c r="C67" s="156" t="inlineStr">
        <is>
          <t>TOTAL</t>
        </is>
      </c>
      <c r="D67" s="143">
        <f>SUM(D3:D66)</f>
        <v/>
      </c>
      <c r="E67" s="178">
        <f>SUM(E3:E66)</f>
        <v/>
      </c>
      <c r="F67" s="174">
        <f>SUM(F3:F66)</f>
        <v/>
      </c>
      <c r="G67" s="174">
        <f>SUM(G3:G66)</f>
        <v/>
      </c>
      <c r="H67" s="174">
        <f>SUM(H3:H66)</f>
        <v/>
      </c>
      <c r="I67" s="174">
        <f>SUM(I3:I66)</f>
        <v/>
      </c>
      <c r="J67" s="174">
        <f>SUM(J3:J66)</f>
        <v/>
      </c>
      <c r="K67" s="174">
        <f>SUM(K3:K66)</f>
        <v/>
      </c>
      <c r="L67" s="174">
        <f>SUM(L3:L66)</f>
        <v/>
      </c>
      <c r="M67" s="174">
        <f>SUM(M3:M66)</f>
        <v/>
      </c>
      <c r="N67" s="174">
        <f>SUM(N3:N66)</f>
        <v/>
      </c>
      <c r="O67" s="174">
        <f>SUM(O3:O66)</f>
        <v/>
      </c>
      <c r="P67" s="174">
        <f>SUM(P3:P66)</f>
        <v/>
      </c>
      <c r="Q67" s="174">
        <f>SUM(Q3:Q66)</f>
        <v/>
      </c>
      <c r="R67" s="174">
        <f>SUM(R3:R66)</f>
        <v/>
      </c>
      <c r="S67" s="174">
        <f>SUM(S3:S66)</f>
        <v/>
      </c>
      <c r="T67" s="174">
        <f>SUM(T3:T66)</f>
        <v/>
      </c>
      <c r="U67" s="174">
        <f>SUM(U3:U66)</f>
        <v/>
      </c>
      <c r="V67" s="174">
        <f>SUM(V3:V66)</f>
        <v/>
      </c>
      <c r="W67" s="174">
        <f>SUM(W3:W66)</f>
        <v/>
      </c>
      <c r="X67" s="174">
        <f>SUM(X3:X66)</f>
        <v/>
      </c>
      <c r="Y67" s="174">
        <f>SUM(Y3:Y66)</f>
        <v/>
      </c>
      <c r="Z67" s="174">
        <f>SUM(Z3:Z66)</f>
        <v/>
      </c>
      <c r="AA67" s="174">
        <f>SUM(AA3:AA66)</f>
        <v/>
      </c>
      <c r="AB67" s="174">
        <f>SUM(AB3:AB66)</f>
        <v/>
      </c>
      <c r="AC67" s="174">
        <f>SUM(AC3:AC66)</f>
        <v/>
      </c>
      <c r="AD67" s="174">
        <f>SUM(AD3:AD66)</f>
        <v/>
      </c>
      <c r="AE67" s="174">
        <f>SUM(AE3:AE66)</f>
        <v/>
      </c>
      <c r="AF67" s="174">
        <f>SUM(AF3:AF66)</f>
        <v/>
      </c>
      <c r="AG67" s="174">
        <f>SUM(AG3:AG66)</f>
        <v/>
      </c>
      <c r="AH67" s="174">
        <f>SUM(AH3:AH66)</f>
        <v/>
      </c>
      <c r="AI67" s="174">
        <f>SUM(AI3:AI66)</f>
        <v/>
      </c>
      <c r="AJ67" s="174">
        <f>SUM(AJ3:AJ66)</f>
        <v/>
      </c>
      <c r="AK67" s="174">
        <f>SUM(AK3:AK66)</f>
        <v/>
      </c>
      <c r="AL67" s="174">
        <f>SUM(AL3:AL66)</f>
        <v/>
      </c>
      <c r="AM67" s="174">
        <f>SUM(AM3:AM66)</f>
        <v/>
      </c>
      <c r="AN67" s="174">
        <f>SUM(AN3:AN66)</f>
        <v/>
      </c>
      <c r="AO67" s="7">
        <f>SUM(AO3:AO66)</f>
        <v/>
      </c>
      <c r="AP67" s="10">
        <f>SUM(AP3:AP66)</f>
        <v/>
      </c>
      <c r="AQ67" s="10">
        <f>SUM(AQ3:AQ66)</f>
        <v/>
      </c>
      <c r="AR67" s="10">
        <f>SUM(AR3:AR66)</f>
        <v/>
      </c>
      <c r="AS67" s="7">
        <f>SUM(AS3:AS66)</f>
        <v/>
      </c>
      <c r="AT67" s="10">
        <f>SUM(AT3:AT66)</f>
        <v/>
      </c>
      <c r="AU67" s="10">
        <f>SUM(AU3:AU66)</f>
        <v/>
      </c>
      <c r="AV67" s="10">
        <f>SUM(AV3:AV66)</f>
        <v/>
      </c>
      <c r="AW67" s="7">
        <f>SUM(AW3:AW66)</f>
        <v/>
      </c>
      <c r="AX67" s="10">
        <f>SUM(AX3:AX66)</f>
        <v/>
      </c>
      <c r="AY67" s="10">
        <f>SUM(AY3:AY66)</f>
        <v/>
      </c>
      <c r="AZ67" s="10">
        <f>SUM(AZ3:AZ66)</f>
        <v/>
      </c>
      <c r="BA67" s="174">
        <f>SUM(BA3:BA66)</f>
        <v/>
      </c>
      <c r="BB67" s="174">
        <f>SUM(BB3:BB66)</f>
        <v/>
      </c>
      <c r="BC67" s="174">
        <f>SUM(BC3:BC66)</f>
        <v/>
      </c>
      <c r="BD67" s="232">
        <f>SUM(BD3:BD66)</f>
        <v/>
      </c>
      <c r="BE67" s="234">
        <f>BD67+D67</f>
        <v/>
      </c>
    </row>
  </sheetData>
  <autoFilter ref="A2:BF67"/>
  <mergeCells count="12">
    <mergeCell ref="AW1:AZ1"/>
    <mergeCell ref="U1:X1"/>
    <mergeCell ref="AG1:AJ1"/>
    <mergeCell ref="I1:L1"/>
    <mergeCell ref="M1:P1"/>
    <mergeCell ref="Q1:T1"/>
    <mergeCell ref="AO1:AR1"/>
    <mergeCell ref="E1:H1"/>
    <mergeCell ref="AK1:AN1"/>
    <mergeCell ref="AC1:AF1"/>
    <mergeCell ref="Y1:AB1"/>
    <mergeCell ref="AS1:AV1"/>
  </mergeCells>
  <conditionalFormatting sqref="G2:H66 K1:L66 O2:P66 S2:T66 W2:X66 AA2:AB66 AE2:AF66 AI2:AJ66 AM2:AN66 AO2:AQ2 AR2:AR66 AS2:AU2 AV2:AV66 AW2:AY2 AZ2:AZ66">
    <cfRule type="cellIs" priority="1" operator="lessThan" dxfId="2">
      <formula>0</formula>
    </cfRule>
  </conditionalFormatting>
  <conditionalFormatting sqref="AE2:AF66 AI2:AJ66 AM2:AN66 AO2:AQ2 AR2:AR66 AS2:AU2 AV2:AV66 AW2:AY2 AZ2:AZ66 BC1:BD66 BE1">
    <cfRule type="cellIs" priority="2" operator="lessThan" dxfId="5">
      <formula>0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width="12.5" customWidth="1" style="251" min="1" max="1"/>
    <col hidden="1" width="22.33203125" customWidth="1" style="251" min="2" max="2"/>
    <col width="26.83203125" customWidth="1" style="251" min="3" max="3"/>
    <col hidden="1" width="23.5" customWidth="1" style="251" min="4" max="4"/>
    <col width="23.5" customWidth="1" style="251" min="5" max="19"/>
    <col width="29" customWidth="1" style="251" min="20" max="21"/>
    <col width="23.5" customWidth="1" style="251" min="22" max="55"/>
    <col width="30.5" customWidth="1" style="251" min="56" max="59"/>
  </cols>
  <sheetData>
    <row r="1" ht="39" customHeight="1" s="251">
      <c r="A1" s="155" t="n"/>
      <c r="B1" s="156" t="n"/>
      <c r="C1" s="156" t="inlineStr">
        <is>
          <t>Tallied till 19 Sep'23</t>
        </is>
      </c>
      <c r="D1" s="157" t="inlineStr">
        <is>
          <t>COLLECTION CARRY OVER 
(Mar2013-Mar2022)</t>
        </is>
      </c>
      <c r="E1" s="158" t="inlineStr">
        <is>
          <t>2013-25 Pending Maintenance</t>
        </is>
      </c>
      <c r="F1" s="285" t="n">
        <v>46113</v>
      </c>
      <c r="G1" s="267" t="n"/>
      <c r="H1" s="267" t="n"/>
      <c r="I1" s="268" t="n"/>
      <c r="J1" s="286" t="n">
        <v>46143</v>
      </c>
      <c r="K1" s="267" t="n"/>
      <c r="L1" s="267" t="n"/>
      <c r="M1" s="268" t="n"/>
      <c r="N1" s="287" t="n">
        <v>46174</v>
      </c>
      <c r="O1" s="267" t="n"/>
      <c r="P1" s="267" t="n"/>
      <c r="Q1" s="268" t="n"/>
      <c r="R1" s="288" t="n">
        <v>46204</v>
      </c>
      <c r="S1" s="267" t="n"/>
      <c r="T1" s="267" t="n"/>
      <c r="U1" s="268" t="n"/>
      <c r="V1" s="287" t="n">
        <v>46235</v>
      </c>
      <c r="W1" s="267" t="n"/>
      <c r="X1" s="267" t="n"/>
      <c r="Y1" s="268" t="n"/>
      <c r="Z1" s="288" t="n">
        <v>46266</v>
      </c>
      <c r="AA1" s="267" t="n"/>
      <c r="AB1" s="267" t="n"/>
      <c r="AC1" s="268" t="n"/>
      <c r="AD1" s="288" t="n">
        <v>46296</v>
      </c>
      <c r="AE1" s="267" t="n"/>
      <c r="AF1" s="267" t="n"/>
      <c r="AG1" s="268" t="n"/>
      <c r="AH1" s="288" t="n">
        <v>46327</v>
      </c>
      <c r="AI1" s="267" t="n"/>
      <c r="AJ1" s="267" t="n"/>
      <c r="AK1" s="268" t="n"/>
      <c r="AL1" s="288" t="n">
        <v>46357</v>
      </c>
      <c r="AM1" s="267" t="n"/>
      <c r="AN1" s="267" t="n"/>
      <c r="AO1" s="268" t="n"/>
      <c r="AP1" s="288" t="n">
        <v>46388</v>
      </c>
      <c r="AQ1" s="267" t="n"/>
      <c r="AR1" s="267" t="n"/>
      <c r="AS1" s="268" t="n"/>
      <c r="AT1" s="288" t="n">
        <v>46419</v>
      </c>
      <c r="AU1" s="267" t="n"/>
      <c r="AV1" s="267" t="n"/>
      <c r="AW1" s="268" t="n"/>
      <c r="AX1" s="288" t="n">
        <v>46447</v>
      </c>
      <c r="AY1" s="267" t="n"/>
      <c r="AZ1" s="267" t="n"/>
      <c r="BA1" s="268" t="n"/>
      <c r="BB1" s="159" t="inlineStr">
        <is>
          <t>TOTAL COLLECTION
(Apr2026 to Mar2027)</t>
        </is>
      </c>
      <c r="BC1" s="159" t="inlineStr">
        <is>
          <t>TOTAL EXPENSE
(Apr2026 to Mar2027)</t>
        </is>
      </c>
      <c r="BD1" s="159" t="inlineStr">
        <is>
          <t>TOTAL LATE FEE
(Apr2026 to Mar2027)</t>
        </is>
      </c>
      <c r="BE1" s="159" t="inlineStr">
        <is>
          <t>TOTAL COLLECTION - EXPENSE
(Apr2026 to Mar2027)</t>
        </is>
      </c>
      <c r="BF1" s="159" t="inlineStr">
        <is>
          <t>Balance
(2013 till date)</t>
        </is>
      </c>
      <c r="BG1" s="160" t="n"/>
    </row>
    <row r="2">
      <c r="A2" s="161" t="inlineStr">
        <is>
          <t>FLAT#</t>
        </is>
      </c>
      <c r="B2" s="161" t="inlineStr">
        <is>
          <t>email id</t>
        </is>
      </c>
      <c r="C2" s="161" t="inlineStr">
        <is>
          <t>OCCUPANT</t>
        </is>
      </c>
      <c r="D2" s="162" t="n"/>
      <c r="E2" s="163" t="n"/>
      <c r="F2" s="164" t="inlineStr">
        <is>
          <t>COLLECTION</t>
        </is>
      </c>
      <c r="G2" s="165" t="inlineStr">
        <is>
          <t>EXPENSE</t>
        </is>
      </c>
      <c r="H2" s="165" t="inlineStr">
        <is>
          <t>LATE PAYMENT FEE</t>
        </is>
      </c>
      <c r="I2" s="165" t="inlineStr">
        <is>
          <t>COLLECTION - EXPENSE</t>
        </is>
      </c>
      <c r="J2" s="166" t="inlineStr">
        <is>
          <t>COLLECTION</t>
        </is>
      </c>
      <c r="K2" s="166" t="inlineStr">
        <is>
          <t>EXPENSE</t>
        </is>
      </c>
      <c r="L2" s="166" t="inlineStr">
        <is>
          <t>LATE PAYMENT FEE</t>
        </is>
      </c>
      <c r="M2" s="166" t="inlineStr">
        <is>
          <t>COLLECTION - EXPENSE</t>
        </is>
      </c>
      <c r="N2" s="165" t="inlineStr">
        <is>
          <t>COLLECTION</t>
        </is>
      </c>
      <c r="O2" s="165" t="inlineStr">
        <is>
          <t>EXPENSE</t>
        </is>
      </c>
      <c r="P2" s="165" t="inlineStr">
        <is>
          <t>LATE PAYMENT FEE</t>
        </is>
      </c>
      <c r="Q2" s="165" t="inlineStr">
        <is>
          <t>COLLECTION - EXPENSE</t>
        </is>
      </c>
      <c r="R2" s="166" t="inlineStr">
        <is>
          <t>COLLECTION</t>
        </is>
      </c>
      <c r="S2" s="166" t="inlineStr">
        <is>
          <t>EXPENSE</t>
        </is>
      </c>
      <c r="T2" s="166" t="inlineStr">
        <is>
          <t>LATE PAYMENT FEE</t>
        </is>
      </c>
      <c r="U2" s="166" t="inlineStr">
        <is>
          <t>COLLECTION - EXPENSE</t>
        </is>
      </c>
      <c r="V2" s="165" t="inlineStr">
        <is>
          <t>COLLECTION</t>
        </is>
      </c>
      <c r="W2" s="165" t="inlineStr">
        <is>
          <t>EXPENSE</t>
        </is>
      </c>
      <c r="X2" s="165" t="inlineStr">
        <is>
          <t>LATE PAYMENT FEE</t>
        </is>
      </c>
      <c r="Y2" s="165" t="inlineStr">
        <is>
          <t>COLLECTION - EXPENSE</t>
        </is>
      </c>
      <c r="Z2" s="166" t="inlineStr">
        <is>
          <t>COLLECTION</t>
        </is>
      </c>
      <c r="AA2" s="166" t="inlineStr">
        <is>
          <t>EXPENSE</t>
        </is>
      </c>
      <c r="AB2" s="166" t="inlineStr">
        <is>
          <t>LATE PAYMENT FEE</t>
        </is>
      </c>
      <c r="AC2" s="166" t="inlineStr">
        <is>
          <t>COLLECTION - EXPENSE</t>
        </is>
      </c>
      <c r="AD2" s="166" t="inlineStr">
        <is>
          <t>COLLECTION</t>
        </is>
      </c>
      <c r="AE2" s="166" t="inlineStr">
        <is>
          <t>EXPENSE</t>
        </is>
      </c>
      <c r="AF2" s="166" t="inlineStr">
        <is>
          <t>LATE PAYMENT FEE</t>
        </is>
      </c>
      <c r="AG2" s="166" t="inlineStr">
        <is>
          <t>COLLECTION - EXPENSE</t>
        </is>
      </c>
      <c r="AH2" s="166" t="inlineStr">
        <is>
          <t>COLLECTION</t>
        </is>
      </c>
      <c r="AI2" s="166" t="inlineStr">
        <is>
          <t>EXPENSE</t>
        </is>
      </c>
      <c r="AJ2" s="166" t="inlineStr">
        <is>
          <t>LATE PAYMENT FEE</t>
        </is>
      </c>
      <c r="AK2" s="166" t="inlineStr">
        <is>
          <t>COLLECTION - EXPENSE</t>
        </is>
      </c>
      <c r="AL2" s="166" t="inlineStr">
        <is>
          <t>COLLECTION</t>
        </is>
      </c>
      <c r="AM2" s="166" t="inlineStr">
        <is>
          <t>EXPENSE</t>
        </is>
      </c>
      <c r="AN2" s="166" t="inlineStr">
        <is>
          <t>LATE PAYMENT FEE</t>
        </is>
      </c>
      <c r="AO2" s="166" t="inlineStr">
        <is>
          <t>COLLECTION - EXPENSE</t>
        </is>
      </c>
      <c r="AP2" s="166" t="inlineStr">
        <is>
          <t>COLLECTION</t>
        </is>
      </c>
      <c r="AQ2" s="166" t="inlineStr">
        <is>
          <t>EXPENSE</t>
        </is>
      </c>
      <c r="AR2" s="166" t="inlineStr">
        <is>
          <t>LATE PAYMENT FEE</t>
        </is>
      </c>
      <c r="AS2" s="166" t="inlineStr">
        <is>
          <t>COLLECTION - EXPENSE</t>
        </is>
      </c>
      <c r="AT2" s="166" t="inlineStr">
        <is>
          <t>COLLECTION</t>
        </is>
      </c>
      <c r="AU2" s="166" t="inlineStr">
        <is>
          <t>EXPENSE</t>
        </is>
      </c>
      <c r="AV2" s="166" t="inlineStr">
        <is>
          <t>LATE PAYMENT FEE</t>
        </is>
      </c>
      <c r="AW2" s="166" t="inlineStr">
        <is>
          <t>COLLECTION - EXPENSE</t>
        </is>
      </c>
      <c r="AX2" s="166" t="inlineStr">
        <is>
          <t>COLLECTION</t>
        </is>
      </c>
      <c r="AY2" s="166" t="inlineStr">
        <is>
          <t>EXPENSE</t>
        </is>
      </c>
      <c r="AZ2" s="166" t="inlineStr">
        <is>
          <t>LATE PAYMENT FEE</t>
        </is>
      </c>
      <c r="BA2" s="166" t="inlineStr">
        <is>
          <t>COLLECTION - EXPENSE</t>
        </is>
      </c>
      <c r="BB2" s="167" t="n"/>
      <c r="BC2" s="167" t="n"/>
      <c r="BD2" s="167" t="n"/>
      <c r="BE2" s="167" t="n"/>
      <c r="BF2" s="167" t="n"/>
      <c r="BG2" s="168" t="n"/>
    </row>
    <row r="3" ht="32" customHeight="1" s="251">
      <c r="A3" s="169" t="inlineStr">
        <is>
          <t>F1</t>
        </is>
      </c>
      <c r="B3" s="13" t="n"/>
      <c r="C3" s="13" t="inlineStr">
        <is>
          <t>Shailesh Srivastava / Azeem Nawaz</t>
        </is>
      </c>
      <c r="D3" s="170" t="n">
        <v>0</v>
      </c>
      <c r="E3" s="136" t="n">
        <v>0</v>
      </c>
      <c r="F3" s="171">
        <f>'Apr2026-COLLECTION'!K2</f>
        <v/>
      </c>
      <c r="G3" s="172">
        <f>'Apr2026-EXPENSE'!R6</f>
        <v/>
      </c>
      <c r="H3" s="172" t="n"/>
      <c r="I3" s="172">
        <f>F3-(G3+H3)</f>
        <v/>
      </c>
      <c r="J3" s="173">
        <f>'May2026-COLLECTION'!K2</f>
        <v/>
      </c>
      <c r="K3" s="174">
        <f>'May2026-EXPENSE'!R6</f>
        <v/>
      </c>
      <c r="L3" s="174" t="n"/>
      <c r="M3" s="174">
        <f>J3-(K3+L3)</f>
        <v/>
      </c>
      <c r="N3" s="172">
        <f>'June2026-COLLECTION'!K2</f>
        <v/>
      </c>
      <c r="O3" s="172">
        <f>'June2026-EXPENSE'!R6</f>
        <v/>
      </c>
      <c r="P3" s="172" t="n"/>
      <c r="Q3" s="172">
        <f>N3-(O3+P3)</f>
        <v/>
      </c>
      <c r="R3" s="41">
        <f>'July2026-COLLECTION'!K2</f>
        <v/>
      </c>
      <c r="S3" s="174">
        <f>'July2026-EXPENSE'!R6</f>
        <v/>
      </c>
      <c r="T3" s="174" t="n"/>
      <c r="U3" s="174">
        <f>R3-(S3+T3)</f>
        <v/>
      </c>
      <c r="V3" s="167">
        <f>'Aug2026-COLLECTION'!K2</f>
        <v/>
      </c>
      <c r="W3" s="172">
        <f>'Aug2026-EXPENSE'!R6</f>
        <v/>
      </c>
      <c r="X3" s="172" t="n"/>
      <c r="Y3" s="172">
        <f>V3-(W3+X3)</f>
        <v/>
      </c>
      <c r="Z3" s="41">
        <f>'Sep2026-COLLECTION'!K2</f>
        <v/>
      </c>
      <c r="AA3" s="174">
        <f>'Sep2026-EXPENSE'!R6</f>
        <v/>
      </c>
      <c r="AB3" s="174" t="n"/>
      <c r="AC3" s="174">
        <f>Z3-(AA3+AB3)</f>
        <v/>
      </c>
      <c r="AD3" s="41">
        <f>'Oct2026-COLLECTION'!K2</f>
        <v/>
      </c>
      <c r="AE3" s="174">
        <f>'Oct2026-EXPENSE'!R6</f>
        <v/>
      </c>
      <c r="AF3" s="174" t="n"/>
      <c r="AG3" s="174">
        <f>AD3-(AE3+AF3)</f>
        <v/>
      </c>
      <c r="AH3" s="41">
        <f>'Nov2026-COLLECTION'!K2</f>
        <v/>
      </c>
      <c r="AI3" s="174">
        <f>'Nov2026-EXPENSE'!R6</f>
        <v/>
      </c>
      <c r="AJ3" s="174" t="n"/>
      <c r="AK3" s="174">
        <f>AH3-(AI3+AJ3)</f>
        <v/>
      </c>
      <c r="AL3" s="41">
        <f>'Dec2026-COLLECTION'!K2</f>
        <v/>
      </c>
      <c r="AM3" s="174">
        <f>'Dec2026-EXPENSE'!R6</f>
        <v/>
      </c>
      <c r="AN3" s="174" t="n"/>
      <c r="AO3" s="174">
        <f>AL3-(AM3+AN3)</f>
        <v/>
      </c>
      <c r="AP3" s="7">
        <f>'Jan2027-COLLECTION'!K2</f>
        <v/>
      </c>
      <c r="AQ3" s="10">
        <f>'Jan2027-EXPENSE'!R6</f>
        <v/>
      </c>
      <c r="AR3" s="10" t="n"/>
      <c r="AS3" s="174">
        <f>AP3-(AQ3+AR3)</f>
        <v/>
      </c>
      <c r="AT3" s="7">
        <f>'Feb2027-COLLECTION'!K2</f>
        <v/>
      </c>
      <c r="AU3" s="10">
        <f>'Feb2027-EXPENSE'!R6</f>
        <v/>
      </c>
      <c r="AV3" s="10" t="n"/>
      <c r="AW3" s="174">
        <f>AT3-(AU3+AV3)</f>
        <v/>
      </c>
      <c r="AX3" s="7">
        <f>'Mar2027-COLLECTION'!K2</f>
        <v/>
      </c>
      <c r="AY3" s="10">
        <f>'Mar2027-EXPENSE'!R6</f>
        <v/>
      </c>
      <c r="AZ3" s="10" t="n"/>
      <c r="BA3" s="174">
        <f>AX3-(AY3+AZ3)</f>
        <v/>
      </c>
      <c r="BB3" s="172">
        <f>SUM(F3,J3,N3,R3,V3,Z3,AD3,AH3,AL3,AP3,AT3,AX3)</f>
        <v/>
      </c>
      <c r="BC3" s="172">
        <f>SUM(G3,K3,O3,S3,W3,AA3,AE3,AI3,AM3,AQ3,AU3,AY3)</f>
        <v/>
      </c>
      <c r="BD3" s="172">
        <f>SUM(H3,L3,P3,T3,X3,AB3,AF3,AJ3,AN3,AR3,AV3,AZ3)</f>
        <v/>
      </c>
      <c r="BE3" s="172">
        <f>BB3-(BC3+BD3)</f>
        <v/>
      </c>
      <c r="BF3" s="172">
        <f>E3+BE3</f>
        <v/>
      </c>
      <c r="BG3" s="175" t="n">
        <v>0</v>
      </c>
    </row>
    <row r="4" ht="16" customHeight="1" s="251">
      <c r="A4" s="169" t="inlineStr">
        <is>
          <t>F2</t>
        </is>
      </c>
      <c r="B4" s="13" t="inlineStr">
        <is>
          <t>ramazen1@gmail.com</t>
        </is>
      </c>
      <c r="C4" s="13" t="inlineStr">
        <is>
          <t>Ramamurthy Pachaiyappan</t>
        </is>
      </c>
      <c r="D4" s="170" t="n">
        <v>0</v>
      </c>
      <c r="E4" s="176">
        <f>-43932</f>
        <v/>
      </c>
      <c r="F4" s="171">
        <f>'Apr2026-COLLECTION'!K3</f>
        <v/>
      </c>
      <c r="G4" s="172">
        <f>'Apr2026-EXPENSE'!R7</f>
        <v/>
      </c>
      <c r="H4" s="172" t="n"/>
      <c r="I4" s="172">
        <f>F4-(G4+H4)</f>
        <v/>
      </c>
      <c r="J4" s="173">
        <f>'May2026-COLLECTION'!K3</f>
        <v/>
      </c>
      <c r="K4" s="174">
        <f>'May2026-EXPENSE'!R7</f>
        <v/>
      </c>
      <c r="L4" s="174" t="n">
        <v>0</v>
      </c>
      <c r="M4" s="174">
        <f>J4-(K4+L4)</f>
        <v/>
      </c>
      <c r="N4" s="172">
        <f>'June2026-COLLECTION'!K3</f>
        <v/>
      </c>
      <c r="O4" s="172">
        <f>'June2026-EXPENSE'!R7</f>
        <v/>
      </c>
      <c r="P4" s="172" t="n"/>
      <c r="Q4" s="172">
        <f>N4-(O4+P4)</f>
        <v/>
      </c>
      <c r="R4" s="41">
        <f>'July2026-COLLECTION'!K3</f>
        <v/>
      </c>
      <c r="S4" s="174">
        <f>'July2026-EXPENSE'!R7</f>
        <v/>
      </c>
      <c r="T4" s="174" t="n">
        <v>0</v>
      </c>
      <c r="U4" s="174">
        <f>R4-(S4+T4)</f>
        <v/>
      </c>
      <c r="V4" s="167">
        <f>'Aug2026-COLLECTION'!K3</f>
        <v/>
      </c>
      <c r="W4" s="172">
        <f>'Aug2026-EXPENSE'!R7</f>
        <v/>
      </c>
      <c r="X4" s="172" t="n"/>
      <c r="Y4" s="172">
        <f>V4-(W4+X4)</f>
        <v/>
      </c>
      <c r="Z4" s="41">
        <f>'Sep2026-COLLECTION'!K3</f>
        <v/>
      </c>
      <c r="AA4" s="174">
        <f>'Sep2026-EXPENSE'!R7</f>
        <v/>
      </c>
      <c r="AB4" s="174" t="n"/>
      <c r="AC4" s="174">
        <f>Z4-(AA4+AB4)</f>
        <v/>
      </c>
      <c r="AD4" s="41">
        <f>'Oct2026-COLLECTION'!K3</f>
        <v/>
      </c>
      <c r="AE4" s="174">
        <f>'Oct2026-EXPENSE'!R7</f>
        <v/>
      </c>
      <c r="AF4" s="174" t="n"/>
      <c r="AG4" s="174">
        <f>AD4-(AE4+AF4)</f>
        <v/>
      </c>
      <c r="AH4" s="41">
        <f>'Nov2026-COLLECTION'!K3</f>
        <v/>
      </c>
      <c r="AI4" s="174">
        <f>'Nov2026-EXPENSE'!R7</f>
        <v/>
      </c>
      <c r="AJ4" s="174" t="n"/>
      <c r="AK4" s="174">
        <f>AH4-(AI4+AJ4)</f>
        <v/>
      </c>
      <c r="AL4" s="41">
        <f>'Dec2026-COLLECTION'!K3</f>
        <v/>
      </c>
      <c r="AM4" s="174">
        <f>'Dec2026-EXPENSE'!R7</f>
        <v/>
      </c>
      <c r="AN4" s="174" t="n"/>
      <c r="AO4" s="174">
        <f>AL4-(AM4+AN4)</f>
        <v/>
      </c>
      <c r="AP4" s="7">
        <f>'Jan2027-COLLECTION'!K3</f>
        <v/>
      </c>
      <c r="AQ4" s="10">
        <f>'Jan2027-EXPENSE'!R7</f>
        <v/>
      </c>
      <c r="AR4" s="10" t="n"/>
      <c r="AS4" s="174">
        <f>AP4-(AQ4+AR4)</f>
        <v/>
      </c>
      <c r="AT4" s="7">
        <f>'Feb2027-COLLECTION'!K3</f>
        <v/>
      </c>
      <c r="AU4" s="10">
        <f>'Feb2027-EXPENSE'!R7</f>
        <v/>
      </c>
      <c r="AV4" s="10" t="n"/>
      <c r="AW4" s="174">
        <f>AT4-(AU4+AV4)</f>
        <v/>
      </c>
      <c r="AX4" s="7">
        <f>'Mar2027-COLLECTION'!K3</f>
        <v/>
      </c>
      <c r="AY4" s="10">
        <f>'Mar2027-EXPENSE'!R7</f>
        <v/>
      </c>
      <c r="AZ4" s="10" t="n"/>
      <c r="BA4" s="174">
        <f>AX4-(AY4+AZ4)</f>
        <v/>
      </c>
      <c r="BB4" s="172">
        <f>SUM(F4,J4,N4,R4,V4,Z4,AD4,AH4,AL4,AP4,AT4,AX4)</f>
        <v/>
      </c>
      <c r="BC4" s="172">
        <f>SUM(G4,K4,O4,S4,W4,AA4,AE4,AI4,AM4,AQ4,AU4,AY4)</f>
        <v/>
      </c>
      <c r="BD4" s="172">
        <f>SUM(H4,L4,P4,T4,X4,AB4,AF4,AJ4,AN4,AR4,AV4,AZ4)</f>
        <v/>
      </c>
      <c r="BE4" s="172">
        <f>BB4-(BC4+BD4)</f>
        <v/>
      </c>
      <c r="BF4" s="172">
        <f>E4+BE4</f>
        <v/>
      </c>
      <c r="BG4" s="175" t="n">
        <v>0</v>
      </c>
    </row>
    <row r="5" ht="16" customHeight="1" s="251">
      <c r="A5" s="169" t="inlineStr">
        <is>
          <t>F3</t>
        </is>
      </c>
      <c r="B5" s="13" t="n"/>
      <c r="C5" s="13" t="inlineStr">
        <is>
          <t>Samrat Kar</t>
        </is>
      </c>
      <c r="D5" s="170" t="n">
        <v>0</v>
      </c>
      <c r="E5" s="176" t="n">
        <v>0</v>
      </c>
      <c r="F5" s="171">
        <f>'Apr2026-COLLECTION'!K4</f>
        <v/>
      </c>
      <c r="G5" s="172">
        <f>'Apr2026-EXPENSE'!R8</f>
        <v/>
      </c>
      <c r="H5" s="172" t="n"/>
      <c r="I5" s="172">
        <f>F5-(G5+H5)</f>
        <v/>
      </c>
      <c r="J5" s="173">
        <f>'May2026-COLLECTION'!K4</f>
        <v/>
      </c>
      <c r="K5" s="174">
        <f>'May2026-EXPENSE'!R8</f>
        <v/>
      </c>
      <c r="L5" s="174" t="n"/>
      <c r="M5" s="174">
        <f>J5-(K5+L5)</f>
        <v/>
      </c>
      <c r="N5" s="172">
        <f>'June2026-COLLECTION'!K4</f>
        <v/>
      </c>
      <c r="O5" s="172">
        <f>'June2026-EXPENSE'!R8</f>
        <v/>
      </c>
      <c r="P5" s="172" t="n"/>
      <c r="Q5" s="172">
        <f>N5-(O5+P5)</f>
        <v/>
      </c>
      <c r="R5" s="41">
        <f>'July2026-COLLECTION'!K4</f>
        <v/>
      </c>
      <c r="S5" s="174">
        <f>'July2026-EXPENSE'!R8</f>
        <v/>
      </c>
      <c r="T5" s="174" t="n"/>
      <c r="U5" s="174">
        <f>R5-(S5+T5)</f>
        <v/>
      </c>
      <c r="V5" s="167">
        <f>'Aug2026-COLLECTION'!K4</f>
        <v/>
      </c>
      <c r="W5" s="172">
        <f>'Aug2026-EXPENSE'!R8</f>
        <v/>
      </c>
      <c r="X5" s="172" t="n"/>
      <c r="Y5" s="172">
        <f>V5-(W5+X5)</f>
        <v/>
      </c>
      <c r="Z5" s="41">
        <f>'Sep2026-COLLECTION'!K4</f>
        <v/>
      </c>
      <c r="AA5" s="174">
        <f>'Sep2026-EXPENSE'!R8</f>
        <v/>
      </c>
      <c r="AB5" s="174" t="n"/>
      <c r="AC5" s="174">
        <f>Z5-(AA5+AB5)</f>
        <v/>
      </c>
      <c r="AD5" s="41">
        <f>'Oct2026-COLLECTION'!K4</f>
        <v/>
      </c>
      <c r="AE5" s="174">
        <f>'Oct2026-EXPENSE'!R8</f>
        <v/>
      </c>
      <c r="AF5" s="174" t="n"/>
      <c r="AG5" s="174">
        <f>AD5-(AE5+AF5)</f>
        <v/>
      </c>
      <c r="AH5" s="41">
        <f>'Nov2026-COLLECTION'!K4</f>
        <v/>
      </c>
      <c r="AI5" s="174">
        <f>'Nov2026-EXPENSE'!R8</f>
        <v/>
      </c>
      <c r="AJ5" s="174" t="n"/>
      <c r="AK5" s="174">
        <f>AH5-(AI5+AJ5)</f>
        <v/>
      </c>
      <c r="AL5" s="41">
        <f>'Dec2026-COLLECTION'!K4</f>
        <v/>
      </c>
      <c r="AM5" s="174">
        <f>'Dec2026-EXPENSE'!R8</f>
        <v/>
      </c>
      <c r="AN5" s="174" t="n"/>
      <c r="AO5" s="174">
        <f>AL5-(AM5+AN5)</f>
        <v/>
      </c>
      <c r="AP5" s="7">
        <f>'Jan2027-COLLECTION'!K4</f>
        <v/>
      </c>
      <c r="AQ5" s="10">
        <f>'Jan2027-EXPENSE'!R8</f>
        <v/>
      </c>
      <c r="AR5" s="10" t="n"/>
      <c r="AS5" s="174">
        <f>AP5-(AQ5+AR5)</f>
        <v/>
      </c>
      <c r="AT5" s="7">
        <f>'Feb2027-COLLECTION'!K4</f>
        <v/>
      </c>
      <c r="AU5" s="10">
        <f>'Feb2027-EXPENSE'!R8</f>
        <v/>
      </c>
      <c r="AV5" s="10" t="n"/>
      <c r="AW5" s="174">
        <f>AT5-(AU5+AV5)</f>
        <v/>
      </c>
      <c r="AX5" s="7">
        <f>'Mar2027-COLLECTION'!K4</f>
        <v/>
      </c>
      <c r="AY5" s="10">
        <f>'Mar2027-EXPENSE'!R8</f>
        <v/>
      </c>
      <c r="AZ5" s="10" t="n"/>
      <c r="BA5" s="174">
        <f>AX5-(AY5+AZ5)</f>
        <v/>
      </c>
      <c r="BB5" s="172">
        <f>SUM(F5,J5,N5,R5,V5,Z5,AD5,AH5,AL5,AP5,AT5,AX5)</f>
        <v/>
      </c>
      <c r="BC5" s="172">
        <f>SUM(G5,K5,O5,S5,W5,AA5,AE5,AI5,AM5,AQ5,AU5,AY5)</f>
        <v/>
      </c>
      <c r="BD5" s="172">
        <f>SUM(H5,L5,P5,T5,X5,AB5,AF5,AJ5,AN5,AR5,AV5,AZ5)</f>
        <v/>
      </c>
      <c r="BE5" s="172">
        <f>BB5-(BC5+BD5)</f>
        <v/>
      </c>
      <c r="BF5" s="172">
        <f>E5+BE5</f>
        <v/>
      </c>
      <c r="BG5" s="175" t="n">
        <v>0</v>
      </c>
    </row>
    <row r="6" ht="16" customHeight="1" s="251">
      <c r="A6" s="169" t="inlineStr">
        <is>
          <t>F4</t>
        </is>
      </c>
      <c r="B6" s="13" t="n"/>
      <c r="C6" s="13" t="inlineStr">
        <is>
          <t>Renu R</t>
        </is>
      </c>
      <c r="D6" s="170" t="n">
        <v>0</v>
      </c>
      <c r="E6" s="176" t="n">
        <v>0</v>
      </c>
      <c r="F6" s="171">
        <f>'Apr2026-COLLECTION'!K5</f>
        <v/>
      </c>
      <c r="G6" s="172">
        <f>'Apr2026-EXPENSE'!R9</f>
        <v/>
      </c>
      <c r="H6" s="172" t="n"/>
      <c r="I6" s="172">
        <f>F6-(G6+H6)</f>
        <v/>
      </c>
      <c r="J6" s="173">
        <f>'May2026-COLLECTION'!K5</f>
        <v/>
      </c>
      <c r="K6" s="174">
        <f>'May2026-EXPENSE'!R9</f>
        <v/>
      </c>
      <c r="L6" s="174" t="n"/>
      <c r="M6" s="174">
        <f>J6-(K6+L6)</f>
        <v/>
      </c>
      <c r="N6" s="172">
        <f>'June2026-COLLECTION'!K5</f>
        <v/>
      </c>
      <c r="O6" s="172">
        <f>'June2026-EXPENSE'!R9</f>
        <v/>
      </c>
      <c r="P6" s="172" t="n"/>
      <c r="Q6" s="172">
        <f>N6-(O6+P6)</f>
        <v/>
      </c>
      <c r="R6" s="41">
        <f>'July2026-COLLECTION'!K5</f>
        <v/>
      </c>
      <c r="S6" s="174">
        <f>'July2026-EXPENSE'!R9</f>
        <v/>
      </c>
      <c r="T6" s="174" t="n"/>
      <c r="U6" s="174">
        <f>R6-(S6+T6)</f>
        <v/>
      </c>
      <c r="V6" s="167">
        <f>'Aug2026-COLLECTION'!K5</f>
        <v/>
      </c>
      <c r="W6" s="172">
        <f>'Aug2026-EXPENSE'!R9</f>
        <v/>
      </c>
      <c r="X6" s="172" t="n"/>
      <c r="Y6" s="172">
        <f>V6-(W6+X6)</f>
        <v/>
      </c>
      <c r="Z6" s="41">
        <f>'Sep2026-COLLECTION'!K5</f>
        <v/>
      </c>
      <c r="AA6" s="174">
        <f>'Sep2026-EXPENSE'!R9</f>
        <v/>
      </c>
      <c r="AB6" s="174" t="n"/>
      <c r="AC6" s="174">
        <f>Z6-(AA6+AB6)</f>
        <v/>
      </c>
      <c r="AD6" s="41">
        <f>'Oct2026-COLLECTION'!K5</f>
        <v/>
      </c>
      <c r="AE6" s="174">
        <f>'Oct2026-EXPENSE'!R9</f>
        <v/>
      </c>
      <c r="AF6" s="174" t="n"/>
      <c r="AG6" s="174">
        <f>AD6-(AE6+AF6)</f>
        <v/>
      </c>
      <c r="AH6" s="41">
        <f>'Nov2026-COLLECTION'!K5</f>
        <v/>
      </c>
      <c r="AI6" s="174">
        <f>'Nov2026-EXPENSE'!R9</f>
        <v/>
      </c>
      <c r="AJ6" s="174" t="n"/>
      <c r="AK6" s="174">
        <f>AH6-(AI6+AJ6)</f>
        <v/>
      </c>
      <c r="AL6" s="41">
        <f>'Dec2026-COLLECTION'!K5</f>
        <v/>
      </c>
      <c r="AM6" s="174">
        <f>'Dec2026-EXPENSE'!R9</f>
        <v/>
      </c>
      <c r="AN6" s="174" t="n"/>
      <c r="AO6" s="174">
        <f>AL6-(AM6+AN6)</f>
        <v/>
      </c>
      <c r="AP6" s="7">
        <f>'Jan2027-COLLECTION'!K5</f>
        <v/>
      </c>
      <c r="AQ6" s="10">
        <f>'Jan2027-EXPENSE'!R9</f>
        <v/>
      </c>
      <c r="AR6" s="10" t="n"/>
      <c r="AS6" s="174">
        <f>AP6-(AQ6+AR6)</f>
        <v/>
      </c>
      <c r="AT6" s="7">
        <f>'Feb2027-COLLECTION'!K5</f>
        <v/>
      </c>
      <c r="AU6" s="10">
        <f>'Feb2027-EXPENSE'!R9</f>
        <v/>
      </c>
      <c r="AV6" s="10" t="n"/>
      <c r="AW6" s="174">
        <f>AT6-(AU6+AV6)</f>
        <v/>
      </c>
      <c r="AX6" s="7">
        <f>'Mar2027-COLLECTION'!K5</f>
        <v/>
      </c>
      <c r="AY6" s="10">
        <f>'Mar2027-EXPENSE'!R9</f>
        <v/>
      </c>
      <c r="AZ6" s="10" t="n"/>
      <c r="BA6" s="174">
        <f>AX6-(AY6+AZ6)</f>
        <v/>
      </c>
      <c r="BB6" s="172">
        <f>SUM(F6,J6,N6,R6,V6,Z6,AD6,AH6,AL6,AP6,AT6,AX6)</f>
        <v/>
      </c>
      <c r="BC6" s="172">
        <f>SUM(G6,K6,O6,S6,W6,AA6,AE6,AI6,AM6,AQ6,AU6,AY6)</f>
        <v/>
      </c>
      <c r="BD6" s="172">
        <f>SUM(H6,L6,P6,T6,X6,AB6,AF6,AJ6,AN6,AR6,AV6,AZ6)</f>
        <v/>
      </c>
      <c r="BE6" s="172">
        <f>BB6-(BC6+BD6)</f>
        <v/>
      </c>
      <c r="BF6" s="172">
        <f>E6+BE6</f>
        <v/>
      </c>
      <c r="BG6" s="175" t="n">
        <v>0</v>
      </c>
    </row>
    <row r="7" ht="32" customHeight="1" s="251">
      <c r="A7" s="169" t="inlineStr">
        <is>
          <t>F5</t>
        </is>
      </c>
      <c r="B7" s="13" t="n"/>
      <c r="C7" s="13" t="inlineStr">
        <is>
          <t>Vamsidhar Bethanabatla / Madhuri Anumula</t>
        </is>
      </c>
      <c r="D7" s="170" t="n">
        <v>0</v>
      </c>
      <c r="E7" s="176">
        <f>-1876.43+(-7566)</f>
        <v/>
      </c>
      <c r="F7" s="171">
        <f>'Apr2026-COLLECTION'!K6</f>
        <v/>
      </c>
      <c r="G7" s="172">
        <f>'Apr2026-EXPENSE'!R10</f>
        <v/>
      </c>
      <c r="H7" s="172" t="n"/>
      <c r="I7" s="172">
        <f>F7-(G7+H7)</f>
        <v/>
      </c>
      <c r="J7" s="173">
        <f>'May2026-COLLECTION'!K6</f>
        <v/>
      </c>
      <c r="K7" s="174">
        <f>'May2026-EXPENSE'!R10</f>
        <v/>
      </c>
      <c r="L7" s="174" t="n"/>
      <c r="M7" s="174">
        <f>J7-(K7+L7)</f>
        <v/>
      </c>
      <c r="N7" s="172">
        <f>'June2026-COLLECTION'!K6</f>
        <v/>
      </c>
      <c r="O7" s="172">
        <f>'June2026-EXPENSE'!R10</f>
        <v/>
      </c>
      <c r="P7" s="172" t="n"/>
      <c r="Q7" s="172">
        <f>N7-(O7+P7)</f>
        <v/>
      </c>
      <c r="R7" s="41">
        <f>'July2026-COLLECTION'!K6</f>
        <v/>
      </c>
      <c r="S7" s="174">
        <f>'July2026-EXPENSE'!R10</f>
        <v/>
      </c>
      <c r="T7" s="174" t="n"/>
      <c r="U7" s="174">
        <f>R7-(S7+T7)</f>
        <v/>
      </c>
      <c r="V7" s="167">
        <f>'Aug2026-COLLECTION'!K6</f>
        <v/>
      </c>
      <c r="W7" s="172">
        <f>'Aug2026-EXPENSE'!R10</f>
        <v/>
      </c>
      <c r="X7" s="172" t="n"/>
      <c r="Y7" s="172">
        <f>V7-(W7+X7)</f>
        <v/>
      </c>
      <c r="Z7" s="41">
        <f>'Sep2026-COLLECTION'!K6</f>
        <v/>
      </c>
      <c r="AA7" s="174">
        <f>'Sep2026-EXPENSE'!R10</f>
        <v/>
      </c>
      <c r="AB7" s="174" t="n"/>
      <c r="AC7" s="174">
        <f>Z7-(AA7+AB7)</f>
        <v/>
      </c>
      <c r="AD7" s="41">
        <f>'Oct2026-COLLECTION'!K6</f>
        <v/>
      </c>
      <c r="AE7" s="174">
        <f>'Oct2026-EXPENSE'!R10</f>
        <v/>
      </c>
      <c r="AF7" s="174" t="n"/>
      <c r="AG7" s="174">
        <f>AD7-(AE7+AF7)</f>
        <v/>
      </c>
      <c r="AH7" s="41">
        <f>'Nov2026-COLLECTION'!K6</f>
        <v/>
      </c>
      <c r="AI7" s="174">
        <f>'Nov2026-EXPENSE'!R10</f>
        <v/>
      </c>
      <c r="AJ7" s="174" t="n"/>
      <c r="AK7" s="174">
        <f>AH7-(AI7+AJ7)</f>
        <v/>
      </c>
      <c r="AL7" s="41">
        <f>'Dec2026-COLLECTION'!K6</f>
        <v/>
      </c>
      <c r="AM7" s="174">
        <f>'Dec2026-EXPENSE'!R10</f>
        <v/>
      </c>
      <c r="AN7" s="174" t="n"/>
      <c r="AO7" s="174">
        <f>AL7-(AM7+AN7)</f>
        <v/>
      </c>
      <c r="AP7" s="7">
        <f>'Jan2027-COLLECTION'!K6</f>
        <v/>
      </c>
      <c r="AQ7" s="10">
        <f>'Jan2027-EXPENSE'!R10</f>
        <v/>
      </c>
      <c r="AR7" s="10" t="n"/>
      <c r="AS7" s="174">
        <f>AP7-(AQ7+AR7)</f>
        <v/>
      </c>
      <c r="AT7" s="7">
        <f>'Feb2027-COLLECTION'!K6</f>
        <v/>
      </c>
      <c r="AU7" s="10">
        <f>'Feb2027-EXPENSE'!R10</f>
        <v/>
      </c>
      <c r="AV7" s="10" t="n"/>
      <c r="AW7" s="174">
        <f>AT7-(AU7+AV7)</f>
        <v/>
      </c>
      <c r="AX7" s="7">
        <f>'Mar2027-COLLECTION'!K6</f>
        <v/>
      </c>
      <c r="AY7" s="10">
        <f>'Mar2027-EXPENSE'!R10</f>
        <v/>
      </c>
      <c r="AZ7" s="10" t="n"/>
      <c r="BA7" s="174">
        <f>AX7-(AY7+AZ7)</f>
        <v/>
      </c>
      <c r="BB7" s="172">
        <f>SUM(F7,J7,N7,R7,V7,Z7,AD7,AH7,AL7,AP7,AT7,AX7)</f>
        <v/>
      </c>
      <c r="BC7" s="172">
        <f>SUM(G7,K7,O7,S7,W7,AA7,AE7,AI7,AM7,AQ7,AU7,AY7)</f>
        <v/>
      </c>
      <c r="BD7" s="172">
        <f>SUM(H7,L7,P7,T7,X7,AB7,AF7,AJ7,AN7,AR7,AV7,AZ7)</f>
        <v/>
      </c>
      <c r="BE7" s="172">
        <f>BB7-(BC7+BD7)</f>
        <v/>
      </c>
      <c r="BF7" s="172">
        <f>E7+BE7</f>
        <v/>
      </c>
      <c r="BG7" s="175" t="n">
        <v>0</v>
      </c>
    </row>
    <row r="8" ht="48" customHeight="1" s="251">
      <c r="A8" s="169" t="inlineStr">
        <is>
          <t>F6</t>
        </is>
      </c>
      <c r="B8" s="13" t="n"/>
      <c r="C8" s="13" t="inlineStr">
        <is>
          <t>Meghana Viral Shah and Vviral Shah (Owner) / Sangeet and Swagat (Tenent)</t>
        </is>
      </c>
      <c r="D8" s="170" t="n">
        <v>0</v>
      </c>
      <c r="E8" s="176" t="n">
        <v>0</v>
      </c>
      <c r="F8" s="171">
        <f>'Apr2026-COLLECTION'!K7</f>
        <v/>
      </c>
      <c r="G8" s="172">
        <f>'Apr2026-EXPENSE'!R11</f>
        <v/>
      </c>
      <c r="H8" s="172" t="n"/>
      <c r="I8" s="172">
        <f>F8-(G8+H8)</f>
        <v/>
      </c>
      <c r="J8" s="173">
        <f>'May2026-COLLECTION'!K7</f>
        <v/>
      </c>
      <c r="K8" s="174">
        <f>'May2026-EXPENSE'!R11</f>
        <v/>
      </c>
      <c r="L8" s="174" t="n"/>
      <c r="M8" s="174">
        <f>J8-(K8+L8)</f>
        <v/>
      </c>
      <c r="N8" s="172">
        <f>'June2026-COLLECTION'!K7</f>
        <v/>
      </c>
      <c r="O8" s="172">
        <f>'June2026-EXPENSE'!R11</f>
        <v/>
      </c>
      <c r="P8" s="172" t="n"/>
      <c r="Q8" s="172">
        <f>N8-(O8+P8)</f>
        <v/>
      </c>
      <c r="R8" s="41">
        <f>'July2026-COLLECTION'!K7</f>
        <v/>
      </c>
      <c r="S8" s="174">
        <f>'July2026-EXPENSE'!R11</f>
        <v/>
      </c>
      <c r="T8" s="174" t="n"/>
      <c r="U8" s="174">
        <f>R8-(S8+T8)</f>
        <v/>
      </c>
      <c r="V8" s="167">
        <f>'Aug2026-COLLECTION'!K7</f>
        <v/>
      </c>
      <c r="W8" s="172">
        <f>'Aug2026-EXPENSE'!R11</f>
        <v/>
      </c>
      <c r="X8" s="172" t="n"/>
      <c r="Y8" s="172">
        <f>V8-(W8+X8)</f>
        <v/>
      </c>
      <c r="Z8" s="41">
        <f>'Sep2026-COLLECTION'!K7</f>
        <v/>
      </c>
      <c r="AA8" s="174">
        <f>'Sep2026-EXPENSE'!R11</f>
        <v/>
      </c>
      <c r="AB8" s="174" t="n"/>
      <c r="AC8" s="174">
        <f>Z8-(AA8+AB8)</f>
        <v/>
      </c>
      <c r="AD8" s="41">
        <f>'Oct2026-COLLECTION'!K7</f>
        <v/>
      </c>
      <c r="AE8" s="174">
        <f>'Oct2026-EXPENSE'!R11</f>
        <v/>
      </c>
      <c r="AF8" s="174" t="n"/>
      <c r="AG8" s="174">
        <f>AD8-(AE8+AF8)</f>
        <v/>
      </c>
      <c r="AH8" s="41">
        <f>'Nov2026-COLLECTION'!K7</f>
        <v/>
      </c>
      <c r="AI8" s="174">
        <f>'Nov2026-EXPENSE'!R11</f>
        <v/>
      </c>
      <c r="AJ8" s="174" t="n"/>
      <c r="AK8" s="174">
        <f>AH8-(AI8+AJ8)</f>
        <v/>
      </c>
      <c r="AL8" s="41">
        <f>'Dec2026-COLLECTION'!K7</f>
        <v/>
      </c>
      <c r="AM8" s="174">
        <f>'Dec2026-EXPENSE'!R11</f>
        <v/>
      </c>
      <c r="AN8" s="174" t="n"/>
      <c r="AO8" s="174">
        <f>AL8-(AM8+AN8)</f>
        <v/>
      </c>
      <c r="AP8" s="7">
        <f>'Jan2027-COLLECTION'!K7</f>
        <v/>
      </c>
      <c r="AQ8" s="10">
        <f>'Jan2027-EXPENSE'!R11</f>
        <v/>
      </c>
      <c r="AR8" s="10" t="n"/>
      <c r="AS8" s="174">
        <f>AP8-(AQ8+AR8)</f>
        <v/>
      </c>
      <c r="AT8" s="7">
        <f>'Feb2027-COLLECTION'!K7</f>
        <v/>
      </c>
      <c r="AU8" s="10">
        <f>'Feb2027-EXPENSE'!R11</f>
        <v/>
      </c>
      <c r="AV8" s="10" t="n"/>
      <c r="AW8" s="174">
        <f>AT8-(AU8+AV8)</f>
        <v/>
      </c>
      <c r="AX8" s="7">
        <f>'Mar2027-COLLECTION'!K7</f>
        <v/>
      </c>
      <c r="AY8" s="10">
        <f>'Mar2027-EXPENSE'!R11</f>
        <v/>
      </c>
      <c r="AZ8" s="10" t="n"/>
      <c r="BA8" s="174">
        <f>AX8-(AY8+AZ8)</f>
        <v/>
      </c>
      <c r="BB8" s="172">
        <f>SUM(F8,J8,N8,R8,V8,Z8,AD8,AH8,AL8,AP8,AT8,AX8)</f>
        <v/>
      </c>
      <c r="BC8" s="172">
        <f>SUM(G8,K8,O8,S8,W8,AA8,AE8,AI8,AM8,AQ8,AU8,AY8)</f>
        <v/>
      </c>
      <c r="BD8" s="172">
        <f>SUM(H8,L8,P8,T8,X8,AB8,AF8,AJ8,AN8,AR8,AV8,AZ8)</f>
        <v/>
      </c>
      <c r="BE8" s="172">
        <f>BB8-(BC8+BD8)</f>
        <v/>
      </c>
      <c r="BF8" s="172">
        <f>E8+BE8</f>
        <v/>
      </c>
      <c r="BG8" s="175" t="n">
        <v>0</v>
      </c>
    </row>
    <row r="9" ht="16" customHeight="1" s="251">
      <c r="A9" s="169" t="inlineStr">
        <is>
          <t>F7</t>
        </is>
      </c>
      <c r="B9" s="13" t="n"/>
      <c r="C9" s="13" t="inlineStr">
        <is>
          <t>Vimal NK</t>
        </is>
      </c>
      <c r="D9" s="170" t="n">
        <v>0</v>
      </c>
      <c r="E9" s="176" t="n">
        <v>0</v>
      </c>
      <c r="F9" s="171">
        <f>'Apr2026-COLLECTION'!K8</f>
        <v/>
      </c>
      <c r="G9" s="172">
        <f>'Apr2026-EXPENSE'!R12</f>
        <v/>
      </c>
      <c r="H9" s="172" t="n"/>
      <c r="I9" s="172">
        <f>F9-(G9+H9)</f>
        <v/>
      </c>
      <c r="J9" s="173">
        <f>'May2026-COLLECTION'!K8</f>
        <v/>
      </c>
      <c r="K9" s="174">
        <f>'May2026-EXPENSE'!R12</f>
        <v/>
      </c>
      <c r="L9" s="174" t="n"/>
      <c r="M9" s="174">
        <f>J9-(K9+L9)</f>
        <v/>
      </c>
      <c r="N9" s="172">
        <f>'June2026-COLLECTION'!K8</f>
        <v/>
      </c>
      <c r="O9" s="172">
        <f>'June2026-EXPENSE'!R12</f>
        <v/>
      </c>
      <c r="P9" s="172" t="n"/>
      <c r="Q9" s="172">
        <f>N9-(O9+P9)</f>
        <v/>
      </c>
      <c r="R9" s="41">
        <f>'July2026-COLLECTION'!K8</f>
        <v/>
      </c>
      <c r="S9" s="174">
        <f>'July2026-EXPENSE'!R12</f>
        <v/>
      </c>
      <c r="T9" s="174" t="n"/>
      <c r="U9" s="174">
        <f>R9-(S9+T9)</f>
        <v/>
      </c>
      <c r="V9" s="167">
        <f>'Aug2026-COLLECTION'!K8</f>
        <v/>
      </c>
      <c r="W9" s="172">
        <f>'Aug2026-EXPENSE'!R12</f>
        <v/>
      </c>
      <c r="X9" s="172" t="n"/>
      <c r="Y9" s="172">
        <f>V9-(W9+X9)</f>
        <v/>
      </c>
      <c r="Z9" s="41">
        <f>'Sep2026-COLLECTION'!K8</f>
        <v/>
      </c>
      <c r="AA9" s="174">
        <f>'Sep2026-EXPENSE'!R12</f>
        <v/>
      </c>
      <c r="AB9" s="174" t="n"/>
      <c r="AC9" s="174">
        <f>Z9-(AA9+AB9)</f>
        <v/>
      </c>
      <c r="AD9" s="41">
        <f>'Oct2026-COLLECTION'!K8</f>
        <v/>
      </c>
      <c r="AE9" s="174">
        <f>'Oct2026-EXPENSE'!R12</f>
        <v/>
      </c>
      <c r="AF9" s="174" t="n"/>
      <c r="AG9" s="174">
        <f>AD9-(AE9+AF9)</f>
        <v/>
      </c>
      <c r="AH9" s="41">
        <f>'Nov2026-COLLECTION'!K8</f>
        <v/>
      </c>
      <c r="AI9" s="174">
        <f>'Nov2026-EXPENSE'!R12</f>
        <v/>
      </c>
      <c r="AJ9" s="174" t="n"/>
      <c r="AK9" s="174">
        <f>AH9-(AI9+AJ9)</f>
        <v/>
      </c>
      <c r="AL9" s="41">
        <f>'Dec2026-COLLECTION'!K8</f>
        <v/>
      </c>
      <c r="AM9" s="174">
        <f>'Dec2026-EXPENSE'!R12</f>
        <v/>
      </c>
      <c r="AN9" s="174" t="n"/>
      <c r="AO9" s="174">
        <f>AL9-(AM9+AN9)</f>
        <v/>
      </c>
      <c r="AP9" s="7">
        <f>'Jan2027-COLLECTION'!K8</f>
        <v/>
      </c>
      <c r="AQ9" s="10">
        <f>'Jan2027-EXPENSE'!R12</f>
        <v/>
      </c>
      <c r="AR9" s="10" t="n"/>
      <c r="AS9" s="174">
        <f>AP9-(AQ9+AR9)</f>
        <v/>
      </c>
      <c r="AT9" s="7">
        <f>'Feb2027-COLLECTION'!K8</f>
        <v/>
      </c>
      <c r="AU9" s="10">
        <f>'Feb2027-EXPENSE'!R12</f>
        <v/>
      </c>
      <c r="AV9" s="10" t="n"/>
      <c r="AW9" s="174">
        <f>AT9-(AU9+AV9)</f>
        <v/>
      </c>
      <c r="AX9" s="7">
        <f>'Mar2027-COLLECTION'!K8</f>
        <v/>
      </c>
      <c r="AY9" s="10">
        <f>'Mar2027-EXPENSE'!R12</f>
        <v/>
      </c>
      <c r="AZ9" s="10" t="n"/>
      <c r="BA9" s="174">
        <f>AX9-(AY9+AZ9)</f>
        <v/>
      </c>
      <c r="BB9" s="172">
        <f>SUM(F9,J9,N9,R9,V9,Z9,AD9,AH9,AL9,AP9,AT9,AX9)</f>
        <v/>
      </c>
      <c r="BC9" s="172">
        <f>SUM(G9,K9,O9,S9,W9,AA9,AE9,AI9,AM9,AQ9,AU9,AY9)</f>
        <v/>
      </c>
      <c r="BD9" s="172">
        <f>SUM(H9,L9,P9,T9,X9,AB9,AF9,AJ9,AN9,AR9,AV9,AZ9)</f>
        <v/>
      </c>
      <c r="BE9" s="172">
        <f>BB9-(BC9+BD9)</f>
        <v/>
      </c>
      <c r="BF9" s="172">
        <f>E9+BE9</f>
        <v/>
      </c>
      <c r="BG9" s="175" t="n">
        <v>0</v>
      </c>
    </row>
    <row r="10" ht="48" customHeight="1" s="251">
      <c r="A10" s="169" t="inlineStr">
        <is>
          <t>F8</t>
        </is>
      </c>
      <c r="B10" s="13" t="n"/>
      <c r="C10" s="13" t="inlineStr">
        <is>
          <t>Sujeet Kumar (Tenant)/Sreejith Menon (Owner)</t>
        </is>
      </c>
      <c r="D10" s="170" t="n">
        <v>0</v>
      </c>
      <c r="E10" s="176" t="n">
        <v>0</v>
      </c>
      <c r="F10" s="171">
        <f>'Apr2026-COLLECTION'!K9</f>
        <v/>
      </c>
      <c r="G10" s="172">
        <f>'Apr2026-EXPENSE'!R13</f>
        <v/>
      </c>
      <c r="H10" s="172" t="n"/>
      <c r="I10" s="172">
        <f>F10-(G10+H10)</f>
        <v/>
      </c>
      <c r="J10" s="173">
        <f>'May2026-COLLECTION'!K9</f>
        <v/>
      </c>
      <c r="K10" s="174">
        <f>'May2026-EXPENSE'!R13</f>
        <v/>
      </c>
      <c r="L10" s="174" t="n"/>
      <c r="M10" s="174">
        <f>J10-(K10+L10)</f>
        <v/>
      </c>
      <c r="N10" s="172">
        <f>'June2026-COLLECTION'!K9</f>
        <v/>
      </c>
      <c r="O10" s="172">
        <f>'June2026-EXPENSE'!R13</f>
        <v/>
      </c>
      <c r="P10" s="172" t="n"/>
      <c r="Q10" s="172">
        <f>N10-(O10+P10)</f>
        <v/>
      </c>
      <c r="R10" s="41">
        <f>'July2026-COLLECTION'!K9</f>
        <v/>
      </c>
      <c r="S10" s="174">
        <f>'July2026-EXPENSE'!R13</f>
        <v/>
      </c>
      <c r="T10" s="174" t="n"/>
      <c r="U10" s="174">
        <f>R10-(S10+T10)</f>
        <v/>
      </c>
      <c r="V10" s="167">
        <f>'Aug2026-COLLECTION'!K9</f>
        <v/>
      </c>
      <c r="W10" s="172">
        <f>'Aug2026-EXPENSE'!R13</f>
        <v/>
      </c>
      <c r="X10" s="172" t="n"/>
      <c r="Y10" s="172">
        <f>V10-(W10+X10)</f>
        <v/>
      </c>
      <c r="Z10" s="41">
        <f>'Sep2026-COLLECTION'!K9</f>
        <v/>
      </c>
      <c r="AA10" s="174">
        <f>'Sep2026-EXPENSE'!R13</f>
        <v/>
      </c>
      <c r="AB10" s="174" t="n"/>
      <c r="AC10" s="174">
        <f>Z10-(AA10+AB10)</f>
        <v/>
      </c>
      <c r="AD10" s="41">
        <f>'Oct2026-COLLECTION'!K9</f>
        <v/>
      </c>
      <c r="AE10" s="174">
        <f>'Oct2026-EXPENSE'!R13</f>
        <v/>
      </c>
      <c r="AF10" s="174" t="n"/>
      <c r="AG10" s="174">
        <f>AD10-(AE10+AF10)</f>
        <v/>
      </c>
      <c r="AH10" s="41">
        <f>'Nov2026-COLLECTION'!K9</f>
        <v/>
      </c>
      <c r="AI10" s="174">
        <f>'Nov2026-EXPENSE'!R13</f>
        <v/>
      </c>
      <c r="AJ10" s="174" t="n"/>
      <c r="AK10" s="174">
        <f>AH10-(AI10+AJ10)</f>
        <v/>
      </c>
      <c r="AL10" s="41">
        <f>'Dec2026-COLLECTION'!K9</f>
        <v/>
      </c>
      <c r="AM10" s="174">
        <f>'Dec2026-EXPENSE'!R13</f>
        <v/>
      </c>
      <c r="AN10" s="174" t="n"/>
      <c r="AO10" s="174">
        <f>AL10-(AM10+AN10)</f>
        <v/>
      </c>
      <c r="AP10" s="7">
        <f>'Jan2027-COLLECTION'!K9</f>
        <v/>
      </c>
      <c r="AQ10" s="10">
        <f>'Jan2027-EXPENSE'!R13</f>
        <v/>
      </c>
      <c r="AR10" s="10" t="n"/>
      <c r="AS10" s="174">
        <f>AP10-(AQ10+AR10)</f>
        <v/>
      </c>
      <c r="AT10" s="7">
        <f>'Feb2027-COLLECTION'!K9</f>
        <v/>
      </c>
      <c r="AU10" s="10">
        <f>'Feb2027-EXPENSE'!R13</f>
        <v/>
      </c>
      <c r="AV10" s="10" t="n"/>
      <c r="AW10" s="174">
        <f>AT10-(AU10+AV10)</f>
        <v/>
      </c>
      <c r="AX10" s="7">
        <f>'Mar2027-COLLECTION'!K9</f>
        <v/>
      </c>
      <c r="AY10" s="10">
        <f>'Mar2027-EXPENSE'!R13</f>
        <v/>
      </c>
      <c r="AZ10" s="10" t="n"/>
      <c r="BA10" s="174">
        <f>AX10-(AY10+AZ10)</f>
        <v/>
      </c>
      <c r="BB10" s="172">
        <f>SUM(F10,J10,N10,R10,V10,Z10,AD10,AH10,AL10,AP10,AT10,AX10)</f>
        <v/>
      </c>
      <c r="BC10" s="172">
        <f>SUM(G10,K10,O10,S10,W10,AA10,AE10,AI10,AM10,AQ10,AU10,AY10)</f>
        <v/>
      </c>
      <c r="BD10" s="172">
        <f>SUM(H10,L10,P10,T10,X10,AB10,AF10,AJ10,AN10,AR10,AV10,AZ10)</f>
        <v/>
      </c>
      <c r="BE10" s="172">
        <f>BB10-(BC10+BD10)</f>
        <v/>
      </c>
      <c r="BF10" s="172">
        <f>E10+BE10</f>
        <v/>
      </c>
      <c r="BG10" s="175" t="n">
        <v>0</v>
      </c>
    </row>
    <row r="11" ht="32" customHeight="1" s="251">
      <c r="A11" s="169" t="inlineStr">
        <is>
          <t>F9</t>
        </is>
      </c>
      <c r="B11" s="13" t="n"/>
      <c r="C11" s="13" t="inlineStr">
        <is>
          <t>Vijay Suswaram (Owner)  /   Divya Shikha (Tenant)</t>
        </is>
      </c>
      <c r="D11" s="170" t="n">
        <v>0</v>
      </c>
      <c r="E11" s="176" t="n">
        <v>0</v>
      </c>
      <c r="F11" s="171">
        <f>'Apr2026-COLLECTION'!K10</f>
        <v/>
      </c>
      <c r="G11" s="172">
        <f>'Apr2026-EXPENSE'!R14</f>
        <v/>
      </c>
      <c r="H11" s="172" t="n"/>
      <c r="I11" s="172">
        <f>F11-(G11+H11)</f>
        <v/>
      </c>
      <c r="J11" s="173">
        <f>'May2026-COLLECTION'!K10</f>
        <v/>
      </c>
      <c r="K11" s="174">
        <f>'May2026-EXPENSE'!R14</f>
        <v/>
      </c>
      <c r="L11" s="174" t="n"/>
      <c r="M11" s="174">
        <f>J11-(K11+L11)</f>
        <v/>
      </c>
      <c r="N11" s="172">
        <f>'June2026-COLLECTION'!K10</f>
        <v/>
      </c>
      <c r="O11" s="172">
        <f>'June2026-EXPENSE'!R14</f>
        <v/>
      </c>
      <c r="P11" s="172" t="n"/>
      <c r="Q11" s="172">
        <f>N11-(O11+P11)</f>
        <v/>
      </c>
      <c r="R11" s="41">
        <f>'July2026-COLLECTION'!K10</f>
        <v/>
      </c>
      <c r="S11" s="174">
        <f>'July2026-EXPENSE'!R14</f>
        <v/>
      </c>
      <c r="T11" s="174" t="n"/>
      <c r="U11" s="174">
        <f>R11-(S11+T11)</f>
        <v/>
      </c>
      <c r="V11" s="167">
        <f>'Aug2026-COLLECTION'!K10</f>
        <v/>
      </c>
      <c r="W11" s="172">
        <f>'Aug2026-EXPENSE'!R14</f>
        <v/>
      </c>
      <c r="X11" s="172" t="n"/>
      <c r="Y11" s="172">
        <f>V11-(W11+X11)</f>
        <v/>
      </c>
      <c r="Z11" s="41">
        <f>'Sep2026-COLLECTION'!K10</f>
        <v/>
      </c>
      <c r="AA11" s="174">
        <f>'Sep2026-EXPENSE'!R14</f>
        <v/>
      </c>
      <c r="AB11" s="174" t="n"/>
      <c r="AC11" s="174">
        <f>Z11-(AA11+AB11)</f>
        <v/>
      </c>
      <c r="AD11" s="41">
        <f>'Oct2026-COLLECTION'!K10</f>
        <v/>
      </c>
      <c r="AE11" s="174">
        <f>'Oct2026-EXPENSE'!R14</f>
        <v/>
      </c>
      <c r="AF11" s="174" t="n"/>
      <c r="AG11" s="174">
        <f>AD11-(AE11+AF11)</f>
        <v/>
      </c>
      <c r="AH11" s="41">
        <f>'Nov2026-COLLECTION'!K10</f>
        <v/>
      </c>
      <c r="AI11" s="174">
        <f>'Nov2026-EXPENSE'!R14</f>
        <v/>
      </c>
      <c r="AJ11" s="174" t="n"/>
      <c r="AK11" s="174">
        <f>AH11-(AI11+AJ11)</f>
        <v/>
      </c>
      <c r="AL11" s="41">
        <f>'Dec2026-COLLECTION'!K10</f>
        <v/>
      </c>
      <c r="AM11" s="174">
        <f>'Dec2026-EXPENSE'!R14</f>
        <v/>
      </c>
      <c r="AN11" s="174" t="n"/>
      <c r="AO11" s="174">
        <f>AL11-(AM11+AN11)</f>
        <v/>
      </c>
      <c r="AP11" s="7">
        <f>'Jan2027-COLLECTION'!K10</f>
        <v/>
      </c>
      <c r="AQ11" s="10">
        <f>'Jan2027-EXPENSE'!R14</f>
        <v/>
      </c>
      <c r="AR11" s="10" t="n"/>
      <c r="AS11" s="174">
        <f>AP11-(AQ11+AR11)</f>
        <v/>
      </c>
      <c r="AT11" s="7">
        <f>'Feb2027-COLLECTION'!K10</f>
        <v/>
      </c>
      <c r="AU11" s="10">
        <f>'Feb2027-EXPENSE'!R14</f>
        <v/>
      </c>
      <c r="AV11" s="10" t="n"/>
      <c r="AW11" s="174">
        <f>AT11-(AU11+AV11)</f>
        <v/>
      </c>
      <c r="AX11" s="7">
        <f>'Mar2027-COLLECTION'!K10</f>
        <v/>
      </c>
      <c r="AY11" s="10">
        <f>'Mar2027-EXPENSE'!R14</f>
        <v/>
      </c>
      <c r="AZ11" s="10" t="n"/>
      <c r="BA11" s="174">
        <f>AX11-(AY11+AZ11)</f>
        <v/>
      </c>
      <c r="BB11" s="172">
        <f>SUM(F11,J11,N11,R11,V11,Z11,AD11,AH11,AL11,AP11,AT11,AX11)</f>
        <v/>
      </c>
      <c r="BC11" s="172">
        <f>SUM(G11,K11,O11,S11,W11,AA11,AE11,AI11,AM11,AQ11,AU11,AY11)</f>
        <v/>
      </c>
      <c r="BD11" s="172">
        <f>SUM(H11,L11,P11,T11,X11,AB11,AF11,AJ11,AN11,AR11,AV11,AZ11)</f>
        <v/>
      </c>
      <c r="BE11" s="172">
        <f>BB11-(BC11+BD11)</f>
        <v/>
      </c>
      <c r="BF11" s="172">
        <f>E11+BE11</f>
        <v/>
      </c>
      <c r="BG11" s="175" t="n">
        <v>0</v>
      </c>
    </row>
    <row r="12" ht="16" customHeight="1" s="251">
      <c r="A12" s="169" t="inlineStr">
        <is>
          <t>F10</t>
        </is>
      </c>
      <c r="B12" s="13" t="n"/>
      <c r="C12" s="13" t="inlineStr">
        <is>
          <t>Aby Thomas</t>
        </is>
      </c>
      <c r="D12" s="170" t="n">
        <v>0</v>
      </c>
      <c r="E12" s="176" t="n">
        <v>0</v>
      </c>
      <c r="F12" s="171">
        <f>'Apr2026-COLLECTION'!K11</f>
        <v/>
      </c>
      <c r="G12" s="172">
        <f>'Apr2026-EXPENSE'!R15</f>
        <v/>
      </c>
      <c r="H12" s="172" t="n"/>
      <c r="I12" s="172">
        <f>F12-(G12+H12)</f>
        <v/>
      </c>
      <c r="J12" s="173">
        <f>'May2026-COLLECTION'!K11</f>
        <v/>
      </c>
      <c r="K12" s="174">
        <f>'May2026-EXPENSE'!R15</f>
        <v/>
      </c>
      <c r="L12" s="174" t="n"/>
      <c r="M12" s="174">
        <f>J12-(K12+L12)</f>
        <v/>
      </c>
      <c r="N12" s="172">
        <f>'June2026-COLLECTION'!K11</f>
        <v/>
      </c>
      <c r="O12" s="172">
        <f>'June2026-EXPENSE'!R15</f>
        <v/>
      </c>
      <c r="P12" s="172" t="n"/>
      <c r="Q12" s="172">
        <f>N12-(O12+P12)</f>
        <v/>
      </c>
      <c r="R12" s="41">
        <f>'July2026-COLLECTION'!K11</f>
        <v/>
      </c>
      <c r="S12" s="174">
        <f>'July2026-EXPENSE'!R15</f>
        <v/>
      </c>
      <c r="T12" s="174" t="n"/>
      <c r="U12" s="174">
        <f>R12-(S12+T12)</f>
        <v/>
      </c>
      <c r="V12" s="167">
        <f>'Aug2026-COLLECTION'!K11</f>
        <v/>
      </c>
      <c r="W12" s="172">
        <f>'Aug2026-EXPENSE'!R15</f>
        <v/>
      </c>
      <c r="X12" s="172" t="n"/>
      <c r="Y12" s="172">
        <f>V12-(W12+X12)</f>
        <v/>
      </c>
      <c r="Z12" s="41">
        <f>'Sep2026-COLLECTION'!K11</f>
        <v/>
      </c>
      <c r="AA12" s="174">
        <f>'Sep2026-EXPENSE'!R15</f>
        <v/>
      </c>
      <c r="AB12" s="174" t="n"/>
      <c r="AC12" s="174">
        <f>Z12-(AA12+AB12)</f>
        <v/>
      </c>
      <c r="AD12" s="41">
        <f>'Oct2026-COLLECTION'!K11</f>
        <v/>
      </c>
      <c r="AE12" s="174">
        <f>'Oct2026-EXPENSE'!R15</f>
        <v/>
      </c>
      <c r="AF12" s="174" t="n"/>
      <c r="AG12" s="174">
        <f>AD12-(AE12+AF12)</f>
        <v/>
      </c>
      <c r="AH12" s="41">
        <f>'Nov2026-COLLECTION'!K11</f>
        <v/>
      </c>
      <c r="AI12" s="174">
        <f>'Nov2026-EXPENSE'!R15</f>
        <v/>
      </c>
      <c r="AJ12" s="174" t="n"/>
      <c r="AK12" s="174">
        <f>AH12-(AI12+AJ12)</f>
        <v/>
      </c>
      <c r="AL12" s="41">
        <f>'Dec2026-COLLECTION'!K11</f>
        <v/>
      </c>
      <c r="AM12" s="174">
        <f>'Dec2026-EXPENSE'!R15</f>
        <v/>
      </c>
      <c r="AN12" s="174" t="n"/>
      <c r="AO12" s="174">
        <f>AL12-(AM12+AN12)</f>
        <v/>
      </c>
      <c r="AP12" s="7">
        <f>'Jan2027-COLLECTION'!K11</f>
        <v/>
      </c>
      <c r="AQ12" s="10">
        <f>'Jan2027-EXPENSE'!R15</f>
        <v/>
      </c>
      <c r="AR12" s="10" t="n"/>
      <c r="AS12" s="174">
        <f>AP12-(AQ12+AR12)</f>
        <v/>
      </c>
      <c r="AT12" s="7">
        <f>'Feb2027-COLLECTION'!K11</f>
        <v/>
      </c>
      <c r="AU12" s="10">
        <f>'Feb2027-EXPENSE'!R15</f>
        <v/>
      </c>
      <c r="AV12" s="10" t="n"/>
      <c r="AW12" s="174">
        <f>AT12-(AU12+AV12)</f>
        <v/>
      </c>
      <c r="AX12" s="7">
        <f>'Mar2027-COLLECTION'!K11</f>
        <v/>
      </c>
      <c r="AY12" s="10">
        <f>'Mar2027-EXPENSE'!R15</f>
        <v/>
      </c>
      <c r="AZ12" s="10" t="n"/>
      <c r="BA12" s="174">
        <f>AX12-(AY12+AZ12)</f>
        <v/>
      </c>
      <c r="BB12" s="172">
        <f>SUM(F12,J12,N12,R12,V12,Z12,AD12,AH12,AL12,AP12,AT12,AX12)</f>
        <v/>
      </c>
      <c r="BC12" s="172">
        <f>SUM(G12,K12,O12,S12,W12,AA12,AE12,AI12,AM12,AQ12,AU12,AY12)</f>
        <v/>
      </c>
      <c r="BD12" s="172">
        <f>SUM(H12,L12,P12,T12,X12,AB12,AF12,AJ12,AN12,AR12,AV12,AZ12)</f>
        <v/>
      </c>
      <c r="BE12" s="172">
        <f>BB12-(BC12+BD12)</f>
        <v/>
      </c>
      <c r="BF12" s="172">
        <f>E12+BE12</f>
        <v/>
      </c>
      <c r="BG12" s="175" t="n">
        <v>0</v>
      </c>
    </row>
    <row r="13" ht="16" customHeight="1" s="251">
      <c r="A13" s="169" t="inlineStr">
        <is>
          <t>F11</t>
        </is>
      </c>
      <c r="B13" s="13" t="n"/>
      <c r="C13" s="13" t="inlineStr">
        <is>
          <t>Niwin Anto</t>
        </is>
      </c>
      <c r="D13" s="170" t="n">
        <v>0</v>
      </c>
      <c r="E13" s="176" t="n">
        <v>0</v>
      </c>
      <c r="F13" s="171">
        <f>'Apr2026-COLLECTION'!K12</f>
        <v/>
      </c>
      <c r="G13" s="172">
        <f>'Apr2026-EXPENSE'!R16</f>
        <v/>
      </c>
      <c r="H13" s="172" t="n"/>
      <c r="I13" s="172">
        <f>F13-(G13+H13)</f>
        <v/>
      </c>
      <c r="J13" s="173">
        <f>'May2026-COLLECTION'!K12</f>
        <v/>
      </c>
      <c r="K13" s="174">
        <f>'May2026-EXPENSE'!R16</f>
        <v/>
      </c>
      <c r="L13" s="174" t="n"/>
      <c r="M13" s="174">
        <f>J13-(K13+L13)</f>
        <v/>
      </c>
      <c r="N13" s="172">
        <f>'June2026-COLLECTION'!K12</f>
        <v/>
      </c>
      <c r="O13" s="172">
        <f>'June2026-EXPENSE'!R16</f>
        <v/>
      </c>
      <c r="P13" s="172" t="n"/>
      <c r="Q13" s="172">
        <f>N13-(O13+P13)</f>
        <v/>
      </c>
      <c r="R13" s="41">
        <f>'July2026-COLLECTION'!K12</f>
        <v/>
      </c>
      <c r="S13" s="174">
        <f>'July2026-EXPENSE'!R16</f>
        <v/>
      </c>
      <c r="T13" s="174" t="n"/>
      <c r="U13" s="174">
        <f>R13-(S13+T13)</f>
        <v/>
      </c>
      <c r="V13" s="167">
        <f>'Aug2026-COLLECTION'!K12</f>
        <v/>
      </c>
      <c r="W13" s="172">
        <f>'Aug2026-EXPENSE'!R16</f>
        <v/>
      </c>
      <c r="X13" s="172" t="n"/>
      <c r="Y13" s="172">
        <f>V13-(W13+X13)</f>
        <v/>
      </c>
      <c r="Z13" s="41">
        <f>'Sep2026-COLLECTION'!K12</f>
        <v/>
      </c>
      <c r="AA13" s="174">
        <f>'Sep2026-EXPENSE'!R16</f>
        <v/>
      </c>
      <c r="AB13" s="174" t="n"/>
      <c r="AC13" s="174">
        <f>Z13-(AA13+AB13)</f>
        <v/>
      </c>
      <c r="AD13" s="41">
        <f>'Oct2026-COLLECTION'!K12</f>
        <v/>
      </c>
      <c r="AE13" s="174">
        <f>'Oct2026-EXPENSE'!R16</f>
        <v/>
      </c>
      <c r="AF13" s="174" t="n"/>
      <c r="AG13" s="174">
        <f>AD13-(AE13+AF13)</f>
        <v/>
      </c>
      <c r="AH13" s="41">
        <f>'Nov2026-COLLECTION'!K12</f>
        <v/>
      </c>
      <c r="AI13" s="174">
        <f>'Nov2026-EXPENSE'!R16</f>
        <v/>
      </c>
      <c r="AJ13" s="174" t="n"/>
      <c r="AK13" s="174">
        <f>AH13-(AI13+AJ13)</f>
        <v/>
      </c>
      <c r="AL13" s="41">
        <f>'Dec2026-COLLECTION'!K12</f>
        <v/>
      </c>
      <c r="AM13" s="174">
        <f>'Dec2026-EXPENSE'!R16</f>
        <v/>
      </c>
      <c r="AN13" s="174" t="n"/>
      <c r="AO13" s="174">
        <f>AL13-(AM13+AN13)</f>
        <v/>
      </c>
      <c r="AP13" s="7">
        <f>'Jan2027-COLLECTION'!K12</f>
        <v/>
      </c>
      <c r="AQ13" s="10">
        <f>'Jan2027-EXPENSE'!R16</f>
        <v/>
      </c>
      <c r="AR13" s="10" t="n"/>
      <c r="AS13" s="174">
        <f>AP13-(AQ13+AR13)</f>
        <v/>
      </c>
      <c r="AT13" s="7">
        <f>'Feb2027-COLLECTION'!K12</f>
        <v/>
      </c>
      <c r="AU13" s="10">
        <f>'Feb2027-EXPENSE'!R16</f>
        <v/>
      </c>
      <c r="AV13" s="10" t="n"/>
      <c r="AW13" s="174">
        <f>AT13-(AU13+AV13)</f>
        <v/>
      </c>
      <c r="AX13" s="7">
        <f>'Mar2027-COLLECTION'!K12</f>
        <v/>
      </c>
      <c r="AY13" s="10">
        <f>'Mar2027-EXPENSE'!R16</f>
        <v/>
      </c>
      <c r="AZ13" s="10" t="n"/>
      <c r="BA13" s="174">
        <f>AX13-(AY13+AZ13)</f>
        <v/>
      </c>
      <c r="BB13" s="172">
        <f>SUM(F13,J13,N13,R13,V13,Z13,AD13,AH13,AL13,AP13,AT13,AX13)</f>
        <v/>
      </c>
      <c r="BC13" s="172">
        <f>SUM(G13,K13,O13,S13,W13,AA13,AE13,AI13,AM13,AQ13,AU13,AY13)</f>
        <v/>
      </c>
      <c r="BD13" s="172">
        <f>SUM(H13,L13,P13,T13,X13,AB13,AF13,AJ13,AN13,AR13,AV13,AZ13)</f>
        <v/>
      </c>
      <c r="BE13" s="172">
        <f>BB13-(BC13+BD13)</f>
        <v/>
      </c>
      <c r="BF13" s="172">
        <f>E13+BE13</f>
        <v/>
      </c>
      <c r="BG13" s="175" t="n">
        <v>0</v>
      </c>
    </row>
    <row r="14" ht="16" customHeight="1" s="251">
      <c r="A14" s="169" t="inlineStr">
        <is>
          <t>F12</t>
        </is>
      </c>
      <c r="B14" s="13" t="n"/>
      <c r="C14" s="13" t="inlineStr">
        <is>
          <t>Anirudh Singh</t>
        </is>
      </c>
      <c r="D14" s="170" t="n">
        <v>0</v>
      </c>
      <c r="E14" s="176" t="n">
        <v>0</v>
      </c>
      <c r="F14" s="171">
        <f>'Apr2026-COLLECTION'!K13</f>
        <v/>
      </c>
      <c r="G14" s="172">
        <f>'Apr2026-EXPENSE'!R17</f>
        <v/>
      </c>
      <c r="H14" s="172" t="n"/>
      <c r="I14" s="172">
        <f>F14-(G14+H14)</f>
        <v/>
      </c>
      <c r="J14" s="173">
        <f>'May2026-COLLECTION'!K13</f>
        <v/>
      </c>
      <c r="K14" s="174">
        <f>'May2026-EXPENSE'!R17</f>
        <v/>
      </c>
      <c r="L14" s="174" t="n"/>
      <c r="M14" s="174">
        <f>J14-(K14+L14)</f>
        <v/>
      </c>
      <c r="N14" s="172">
        <f>'June2026-COLLECTION'!K13</f>
        <v/>
      </c>
      <c r="O14" s="172">
        <f>'June2026-EXPENSE'!R17</f>
        <v/>
      </c>
      <c r="P14" s="172" t="n"/>
      <c r="Q14" s="172">
        <f>N14-(O14+P14)</f>
        <v/>
      </c>
      <c r="R14" s="41">
        <f>'July2026-COLLECTION'!K13</f>
        <v/>
      </c>
      <c r="S14" s="174">
        <f>'July2026-EXPENSE'!R17</f>
        <v/>
      </c>
      <c r="T14" s="174" t="n"/>
      <c r="U14" s="174">
        <f>R14-(S14+T14)</f>
        <v/>
      </c>
      <c r="V14" s="167">
        <f>'Aug2026-COLLECTION'!K13</f>
        <v/>
      </c>
      <c r="W14" s="172">
        <f>'Aug2026-EXPENSE'!R17</f>
        <v/>
      </c>
      <c r="X14" s="172" t="n"/>
      <c r="Y14" s="172">
        <f>V14-(W14+X14)</f>
        <v/>
      </c>
      <c r="Z14" s="41">
        <f>'Sep2026-COLLECTION'!K13</f>
        <v/>
      </c>
      <c r="AA14" s="174">
        <f>'Sep2026-EXPENSE'!R17</f>
        <v/>
      </c>
      <c r="AB14" s="174" t="n"/>
      <c r="AC14" s="174">
        <f>Z14-(AA14+AB14)</f>
        <v/>
      </c>
      <c r="AD14" s="41">
        <f>'Oct2026-COLLECTION'!K13</f>
        <v/>
      </c>
      <c r="AE14" s="174">
        <f>'Oct2026-EXPENSE'!R17</f>
        <v/>
      </c>
      <c r="AF14" s="174" t="n"/>
      <c r="AG14" s="174">
        <f>AD14-(AE14+AF14)</f>
        <v/>
      </c>
      <c r="AH14" s="41">
        <f>'Nov2026-COLLECTION'!K13</f>
        <v/>
      </c>
      <c r="AI14" s="174">
        <f>'Nov2026-EXPENSE'!R17</f>
        <v/>
      </c>
      <c r="AJ14" s="174" t="n"/>
      <c r="AK14" s="174">
        <f>AH14-(AI14+AJ14)</f>
        <v/>
      </c>
      <c r="AL14" s="41">
        <f>'Dec2026-COLLECTION'!K13</f>
        <v/>
      </c>
      <c r="AM14" s="174">
        <f>'Dec2026-EXPENSE'!R17</f>
        <v/>
      </c>
      <c r="AN14" s="174" t="n"/>
      <c r="AO14" s="174">
        <f>AL14-(AM14+AN14)</f>
        <v/>
      </c>
      <c r="AP14" s="7">
        <f>'Jan2027-COLLECTION'!K13</f>
        <v/>
      </c>
      <c r="AQ14" s="10">
        <f>'Jan2027-EXPENSE'!R17</f>
        <v/>
      </c>
      <c r="AR14" s="10" t="n"/>
      <c r="AS14" s="174">
        <f>AP14-(AQ14+AR14)</f>
        <v/>
      </c>
      <c r="AT14" s="7">
        <f>'Feb2027-COLLECTION'!K13</f>
        <v/>
      </c>
      <c r="AU14" s="10">
        <f>'Feb2027-EXPENSE'!R17</f>
        <v/>
      </c>
      <c r="AV14" s="10" t="n"/>
      <c r="AW14" s="174">
        <f>AT14-(AU14+AV14)</f>
        <v/>
      </c>
      <c r="AX14" s="7">
        <f>'Mar2027-COLLECTION'!K13</f>
        <v/>
      </c>
      <c r="AY14" s="10">
        <f>'Mar2027-EXPENSE'!R17</f>
        <v/>
      </c>
      <c r="AZ14" s="10" t="n"/>
      <c r="BA14" s="174">
        <f>AX14-(AY14+AZ14)</f>
        <v/>
      </c>
      <c r="BB14" s="172">
        <f>SUM(F14,J14,N14,R14,V14,Z14,AD14,AH14,AL14,AP14,AT14,AX14)</f>
        <v/>
      </c>
      <c r="BC14" s="172">
        <f>SUM(G14,K14,O14,S14,W14,AA14,AE14,AI14,AM14,AQ14,AU14,AY14)</f>
        <v/>
      </c>
      <c r="BD14" s="172">
        <f>SUM(H14,L14,P14,T14,X14,AB14,AF14,AJ14,AN14,AR14,AV14,AZ14)</f>
        <v/>
      </c>
      <c r="BE14" s="172">
        <f>BB14-(BC14+BD14)</f>
        <v/>
      </c>
      <c r="BF14" s="172">
        <f>E14+BE14</f>
        <v/>
      </c>
      <c r="BG14" s="175" t="n">
        <v>0</v>
      </c>
    </row>
    <row r="15" ht="16" customHeight="1" s="251">
      <c r="A15" s="169" t="inlineStr">
        <is>
          <t>F13</t>
        </is>
      </c>
      <c r="B15" s="13" t="n"/>
      <c r="C15" s="13" t="inlineStr">
        <is>
          <t>Sanchay Saxena</t>
        </is>
      </c>
      <c r="D15" s="170" t="n">
        <v>0</v>
      </c>
      <c r="E15" s="176" t="n">
        <v>0</v>
      </c>
      <c r="F15" s="171">
        <f>'Apr2026-COLLECTION'!K14</f>
        <v/>
      </c>
      <c r="G15" s="172">
        <f>'Apr2026-EXPENSE'!R18</f>
        <v/>
      </c>
      <c r="H15" s="172" t="n"/>
      <c r="I15" s="172">
        <f>F15-(G15+H15)</f>
        <v/>
      </c>
      <c r="J15" s="173">
        <f>'May2026-COLLECTION'!K14</f>
        <v/>
      </c>
      <c r="K15" s="174">
        <f>'May2026-EXPENSE'!R18</f>
        <v/>
      </c>
      <c r="L15" s="174" t="n">
        <v>0</v>
      </c>
      <c r="M15" s="174">
        <f>J15-(K15+L15)</f>
        <v/>
      </c>
      <c r="N15" s="172">
        <f>'June2026-COLLECTION'!K14</f>
        <v/>
      </c>
      <c r="O15" s="172">
        <f>'June2026-EXPENSE'!R18</f>
        <v/>
      </c>
      <c r="P15" s="172" t="n"/>
      <c r="Q15" s="172">
        <f>N15-(O15+P15)</f>
        <v/>
      </c>
      <c r="R15" s="41">
        <f>'July2026-COLLECTION'!K14</f>
        <v/>
      </c>
      <c r="S15" s="174">
        <f>'July2026-EXPENSE'!R18</f>
        <v/>
      </c>
      <c r="T15" s="174" t="n"/>
      <c r="U15" s="174">
        <f>R15-(S15+T15)</f>
        <v/>
      </c>
      <c r="V15" s="167">
        <f>'Aug2026-COLLECTION'!K14</f>
        <v/>
      </c>
      <c r="W15" s="172">
        <f>'Aug2026-EXPENSE'!R18</f>
        <v/>
      </c>
      <c r="X15" s="172" t="n"/>
      <c r="Y15" s="172">
        <f>V15-(W15+X15)</f>
        <v/>
      </c>
      <c r="Z15" s="41">
        <f>'Sep2026-COLLECTION'!K14</f>
        <v/>
      </c>
      <c r="AA15" s="174">
        <f>'Sep2026-EXPENSE'!R18</f>
        <v/>
      </c>
      <c r="AB15" s="174" t="n"/>
      <c r="AC15" s="174">
        <f>Z15-(AA15+AB15)</f>
        <v/>
      </c>
      <c r="AD15" s="41">
        <f>'Oct2026-COLLECTION'!K14</f>
        <v/>
      </c>
      <c r="AE15" s="174">
        <f>'Oct2026-EXPENSE'!R18</f>
        <v/>
      </c>
      <c r="AF15" s="174" t="n"/>
      <c r="AG15" s="174">
        <f>AD15-(AE15+AF15)</f>
        <v/>
      </c>
      <c r="AH15" s="41">
        <f>'Nov2026-COLLECTION'!K14</f>
        <v/>
      </c>
      <c r="AI15" s="174">
        <f>'Nov2026-EXPENSE'!R18</f>
        <v/>
      </c>
      <c r="AJ15" s="174" t="n"/>
      <c r="AK15" s="174">
        <f>AH15-(AI15+AJ15)</f>
        <v/>
      </c>
      <c r="AL15" s="41">
        <f>'Dec2026-COLLECTION'!K14</f>
        <v/>
      </c>
      <c r="AM15" s="174">
        <f>'Dec2026-EXPENSE'!R18</f>
        <v/>
      </c>
      <c r="AN15" s="174" t="n"/>
      <c r="AO15" s="174">
        <f>AL15-(AM15+AN15)</f>
        <v/>
      </c>
      <c r="AP15" s="7">
        <f>'Jan2027-COLLECTION'!K14</f>
        <v/>
      </c>
      <c r="AQ15" s="10">
        <f>'Jan2027-EXPENSE'!R18</f>
        <v/>
      </c>
      <c r="AR15" s="10" t="n"/>
      <c r="AS15" s="174">
        <f>AP15-(AQ15+AR15)</f>
        <v/>
      </c>
      <c r="AT15" s="7">
        <f>'Feb2027-COLLECTION'!K14</f>
        <v/>
      </c>
      <c r="AU15" s="10">
        <f>'Feb2027-EXPENSE'!R18</f>
        <v/>
      </c>
      <c r="AV15" s="10" t="n"/>
      <c r="AW15" s="174">
        <f>AT15-(AU15+AV15)</f>
        <v/>
      </c>
      <c r="AX15" s="7">
        <f>'Mar2027-COLLECTION'!K14</f>
        <v/>
      </c>
      <c r="AY15" s="10">
        <f>'Mar2027-EXPENSE'!R18</f>
        <v/>
      </c>
      <c r="AZ15" s="10" t="n"/>
      <c r="BA15" s="174">
        <f>AX15-(AY15+AZ15)</f>
        <v/>
      </c>
      <c r="BB15" s="172">
        <f>SUM(F15,J15,N15,R15,V15,Z15,AD15,AH15,AL15,AP15,AT15,AX15)</f>
        <v/>
      </c>
      <c r="BC15" s="172">
        <f>SUM(G15,K15,O15,S15,W15,AA15,AE15,AI15,AM15,AQ15,AU15,AY15)</f>
        <v/>
      </c>
      <c r="BD15" s="172">
        <f>SUM(H15,L15,P15,T15,X15,AB15,AF15,AJ15,AN15,AR15,AV15,AZ15)</f>
        <v/>
      </c>
      <c r="BE15" s="172">
        <f>BB15-(BC15+BD15)</f>
        <v/>
      </c>
      <c r="BF15" s="172">
        <f>E15+BE15</f>
        <v/>
      </c>
      <c r="BG15" s="175" t="n">
        <v>0</v>
      </c>
    </row>
    <row r="16" ht="16" customHeight="1" s="251">
      <c r="A16" s="169" t="inlineStr">
        <is>
          <t>F14</t>
        </is>
      </c>
      <c r="B16" s="13" t="n"/>
      <c r="C16" s="13" t="inlineStr">
        <is>
          <t>Hemant Patel</t>
        </is>
      </c>
      <c r="D16" s="170" t="n">
        <v>0</v>
      </c>
      <c r="E16" s="176" t="n">
        <v>0</v>
      </c>
      <c r="F16" s="171">
        <f>'Apr2026-COLLECTION'!K15</f>
        <v/>
      </c>
      <c r="G16" s="172">
        <f>'Apr2026-EXPENSE'!R19</f>
        <v/>
      </c>
      <c r="H16" s="172" t="n"/>
      <c r="I16" s="172">
        <f>F16-(G16+H16)</f>
        <v/>
      </c>
      <c r="J16" s="173">
        <f>'May2026-COLLECTION'!K15</f>
        <v/>
      </c>
      <c r="K16" s="174">
        <f>'May2026-EXPENSE'!R19</f>
        <v/>
      </c>
      <c r="L16" s="174" t="n"/>
      <c r="M16" s="174">
        <f>J16-(K16+L16)</f>
        <v/>
      </c>
      <c r="N16" s="172">
        <f>'June2026-COLLECTION'!K15</f>
        <v/>
      </c>
      <c r="O16" s="172">
        <f>'June2026-EXPENSE'!R19</f>
        <v/>
      </c>
      <c r="P16" s="172" t="n"/>
      <c r="Q16" s="172">
        <f>N16-(O16+P16)</f>
        <v/>
      </c>
      <c r="R16" s="41">
        <f>'July2026-COLLECTION'!K15</f>
        <v/>
      </c>
      <c r="S16" s="174">
        <f>'July2026-EXPENSE'!R19</f>
        <v/>
      </c>
      <c r="T16" s="174" t="n"/>
      <c r="U16" s="174">
        <f>R16-(S16+T16)</f>
        <v/>
      </c>
      <c r="V16" s="167">
        <f>'Aug2026-COLLECTION'!K15</f>
        <v/>
      </c>
      <c r="W16" s="172">
        <f>'Aug2026-EXPENSE'!R19</f>
        <v/>
      </c>
      <c r="X16" s="172" t="n"/>
      <c r="Y16" s="172">
        <f>V16-(W16+X16)</f>
        <v/>
      </c>
      <c r="Z16" s="41">
        <f>'Sep2026-COLLECTION'!K15</f>
        <v/>
      </c>
      <c r="AA16" s="174">
        <f>'Sep2026-EXPENSE'!R19</f>
        <v/>
      </c>
      <c r="AB16" s="174" t="n"/>
      <c r="AC16" s="174">
        <f>Z16-(AA16+AB16)</f>
        <v/>
      </c>
      <c r="AD16" s="41">
        <f>'Oct2026-COLLECTION'!K15</f>
        <v/>
      </c>
      <c r="AE16" s="174">
        <f>'Oct2026-EXPENSE'!R19</f>
        <v/>
      </c>
      <c r="AF16" s="174" t="n"/>
      <c r="AG16" s="174">
        <f>AD16-(AE16+AF16)</f>
        <v/>
      </c>
      <c r="AH16" s="41">
        <f>'Nov2026-COLLECTION'!K15</f>
        <v/>
      </c>
      <c r="AI16" s="174">
        <f>'Nov2026-EXPENSE'!R19</f>
        <v/>
      </c>
      <c r="AJ16" s="174" t="n"/>
      <c r="AK16" s="174">
        <f>AH16-(AI16+AJ16)</f>
        <v/>
      </c>
      <c r="AL16" s="41">
        <f>'Dec2026-COLLECTION'!K15</f>
        <v/>
      </c>
      <c r="AM16" s="174">
        <f>'Dec2026-EXPENSE'!R19</f>
        <v/>
      </c>
      <c r="AN16" s="174" t="n"/>
      <c r="AO16" s="174">
        <f>AL16-(AM16+AN16)</f>
        <v/>
      </c>
      <c r="AP16" s="7">
        <f>'Jan2027-COLLECTION'!K15</f>
        <v/>
      </c>
      <c r="AQ16" s="10">
        <f>'Jan2027-EXPENSE'!R19</f>
        <v/>
      </c>
      <c r="AR16" s="10" t="n"/>
      <c r="AS16" s="174">
        <f>AP16-(AQ16+AR16)</f>
        <v/>
      </c>
      <c r="AT16" s="7">
        <f>'Feb2027-COLLECTION'!K15</f>
        <v/>
      </c>
      <c r="AU16" s="10">
        <f>'Feb2027-EXPENSE'!R19</f>
        <v/>
      </c>
      <c r="AV16" s="10" t="n"/>
      <c r="AW16" s="174">
        <f>AT16-(AU16+AV16)</f>
        <v/>
      </c>
      <c r="AX16" s="7">
        <f>'Mar2027-COLLECTION'!K15</f>
        <v/>
      </c>
      <c r="AY16" s="10">
        <f>'Mar2027-EXPENSE'!R19</f>
        <v/>
      </c>
      <c r="AZ16" s="10" t="n"/>
      <c r="BA16" s="174">
        <f>AX16-(AY16+AZ16)</f>
        <v/>
      </c>
      <c r="BB16" s="172">
        <f>SUM(F16,J16,N16,R16,V16,Z16,AD16,AH16,AL16,AP16,AT16,AX16)</f>
        <v/>
      </c>
      <c r="BC16" s="172">
        <f>SUM(G16,K16,O16,S16,W16,AA16,AE16,AI16,AM16,AQ16,AU16,AY16)</f>
        <v/>
      </c>
      <c r="BD16" s="172">
        <f>SUM(H16,L16,P16,T16,X16,AB16,AF16,AJ16,AN16,AR16,AV16,AZ16)</f>
        <v/>
      </c>
      <c r="BE16" s="172">
        <f>BB16-(BC16+BD16)</f>
        <v/>
      </c>
      <c r="BF16" s="172">
        <f>E16+BE16</f>
        <v/>
      </c>
      <c r="BG16" s="175" t="n">
        <v>0</v>
      </c>
    </row>
    <row r="17" ht="16" customHeight="1" s="251">
      <c r="A17" s="169" t="inlineStr">
        <is>
          <t>F15</t>
        </is>
      </c>
      <c r="B17" s="13" t="n"/>
      <c r="C17" s="13" t="inlineStr">
        <is>
          <t>Senthil.Vijayaragavan</t>
        </is>
      </c>
      <c r="D17" s="170" t="n">
        <v>0</v>
      </c>
      <c r="E17" s="176" t="n">
        <v>0</v>
      </c>
      <c r="F17" s="171">
        <f>'Apr2026-COLLECTION'!K16</f>
        <v/>
      </c>
      <c r="G17" s="172">
        <f>'Apr2026-EXPENSE'!R20</f>
        <v/>
      </c>
      <c r="H17" s="172" t="n"/>
      <c r="I17" s="172">
        <f>F17-(G17+H17)</f>
        <v/>
      </c>
      <c r="J17" s="173">
        <f>'May2026-COLLECTION'!K16</f>
        <v/>
      </c>
      <c r="K17" s="174">
        <f>'May2026-EXPENSE'!R20</f>
        <v/>
      </c>
      <c r="L17" s="174" t="n"/>
      <c r="M17" s="174">
        <f>J17-(K17+L17)</f>
        <v/>
      </c>
      <c r="N17" s="172">
        <f>'June2026-COLLECTION'!K16</f>
        <v/>
      </c>
      <c r="O17" s="172">
        <f>'June2026-EXPENSE'!R20</f>
        <v/>
      </c>
      <c r="P17" s="172" t="n"/>
      <c r="Q17" s="172">
        <f>N17-(O17+P17)</f>
        <v/>
      </c>
      <c r="R17" s="41">
        <f>'July2026-COLLECTION'!K16</f>
        <v/>
      </c>
      <c r="S17" s="174">
        <f>'July2026-EXPENSE'!R20</f>
        <v/>
      </c>
      <c r="T17" s="174" t="n"/>
      <c r="U17" s="174">
        <f>R17-(S17+T17)</f>
        <v/>
      </c>
      <c r="V17" s="167">
        <f>'Aug2026-COLLECTION'!K16</f>
        <v/>
      </c>
      <c r="W17" s="172">
        <f>'Aug2026-EXPENSE'!R20</f>
        <v/>
      </c>
      <c r="X17" s="172" t="n"/>
      <c r="Y17" s="172">
        <f>V17-(W17+X17)</f>
        <v/>
      </c>
      <c r="Z17" s="41">
        <f>'Sep2026-COLLECTION'!K16</f>
        <v/>
      </c>
      <c r="AA17" s="174">
        <f>'Sep2026-EXPENSE'!R20</f>
        <v/>
      </c>
      <c r="AB17" s="174" t="n"/>
      <c r="AC17" s="174">
        <f>Z17-(AA17+AB17)</f>
        <v/>
      </c>
      <c r="AD17" s="41">
        <f>'Oct2026-COLLECTION'!K16</f>
        <v/>
      </c>
      <c r="AE17" s="174">
        <f>'Oct2026-EXPENSE'!R20</f>
        <v/>
      </c>
      <c r="AF17" s="174" t="n"/>
      <c r="AG17" s="174">
        <f>AD17-(AE17+AF17)</f>
        <v/>
      </c>
      <c r="AH17" s="41">
        <f>'Nov2026-COLLECTION'!K16</f>
        <v/>
      </c>
      <c r="AI17" s="174">
        <f>'Nov2026-EXPENSE'!R20</f>
        <v/>
      </c>
      <c r="AJ17" s="174" t="n"/>
      <c r="AK17" s="174">
        <f>AH17-(AI17+AJ17)</f>
        <v/>
      </c>
      <c r="AL17" s="41">
        <f>'Dec2026-COLLECTION'!K16</f>
        <v/>
      </c>
      <c r="AM17" s="174">
        <f>'Dec2026-EXPENSE'!R20</f>
        <v/>
      </c>
      <c r="AN17" s="174" t="n"/>
      <c r="AO17" s="174">
        <f>AL17-(AM17+AN17)</f>
        <v/>
      </c>
      <c r="AP17" s="7">
        <f>'Jan2027-COLLECTION'!K16</f>
        <v/>
      </c>
      <c r="AQ17" s="10">
        <f>'Jan2027-EXPENSE'!R20</f>
        <v/>
      </c>
      <c r="AR17" s="10" t="n"/>
      <c r="AS17" s="174">
        <f>AP17-(AQ17+AR17)</f>
        <v/>
      </c>
      <c r="AT17" s="7">
        <f>'Feb2027-COLLECTION'!K16</f>
        <v/>
      </c>
      <c r="AU17" s="10">
        <f>'Feb2027-EXPENSE'!R20</f>
        <v/>
      </c>
      <c r="AV17" s="10" t="n"/>
      <c r="AW17" s="174">
        <f>AT17-(AU17+AV17)</f>
        <v/>
      </c>
      <c r="AX17" s="7">
        <f>'Mar2027-COLLECTION'!K16</f>
        <v/>
      </c>
      <c r="AY17" s="10">
        <f>'Mar2027-EXPENSE'!R20</f>
        <v/>
      </c>
      <c r="AZ17" s="10" t="n"/>
      <c r="BA17" s="174">
        <f>AX17-(AY17+AZ17)</f>
        <v/>
      </c>
      <c r="BB17" s="172">
        <f>SUM(F17,J17,N17,R17,V17,Z17,AD17,AH17,AL17,AP17,AT17,AX17)</f>
        <v/>
      </c>
      <c r="BC17" s="172">
        <f>SUM(G17,K17,O17,S17,W17,AA17,AE17,AI17,AM17,AQ17,AU17,AY17)</f>
        <v/>
      </c>
      <c r="BD17" s="172">
        <f>SUM(H17,L17,P17,T17,X17,AB17,AF17,AJ17,AN17,AR17,AV17,AZ17)</f>
        <v/>
      </c>
      <c r="BE17" s="172">
        <f>BB17-(BC17+BD17)</f>
        <v/>
      </c>
      <c r="BF17" s="172">
        <f>E17+BE17</f>
        <v/>
      </c>
      <c r="BG17" s="175" t="n">
        <v>0</v>
      </c>
    </row>
    <row r="18" ht="16" customHeight="1" s="251">
      <c r="A18" s="169" t="inlineStr">
        <is>
          <t>F16</t>
        </is>
      </c>
      <c r="B18" s="13" t="n"/>
      <c r="C18" s="13" t="inlineStr">
        <is>
          <t>Sreeja Sudharma</t>
        </is>
      </c>
      <c r="D18" s="170" t="n">
        <v>0</v>
      </c>
      <c r="E18" s="176" t="n">
        <v>0</v>
      </c>
      <c r="F18" s="171">
        <f>'Apr2026-COLLECTION'!K17</f>
        <v/>
      </c>
      <c r="G18" s="172">
        <f>'Apr2026-EXPENSE'!R21</f>
        <v/>
      </c>
      <c r="H18" s="172" t="n"/>
      <c r="I18" s="172">
        <f>F18-(G18+H18)</f>
        <v/>
      </c>
      <c r="J18" s="173">
        <f>'May2026-COLLECTION'!K17</f>
        <v/>
      </c>
      <c r="K18" s="174">
        <f>'May2026-EXPENSE'!R21</f>
        <v/>
      </c>
      <c r="L18" s="174" t="n"/>
      <c r="M18" s="174">
        <f>J18-(K18+L18)</f>
        <v/>
      </c>
      <c r="N18" s="172">
        <f>'June2026-COLLECTION'!K17</f>
        <v/>
      </c>
      <c r="O18" s="172">
        <f>'June2026-EXPENSE'!R21</f>
        <v/>
      </c>
      <c r="P18" s="172" t="n"/>
      <c r="Q18" s="172">
        <f>N18-(O18+P18)</f>
        <v/>
      </c>
      <c r="R18" s="41">
        <f>'July2026-COLLECTION'!K17</f>
        <v/>
      </c>
      <c r="S18" s="174">
        <f>'July2026-EXPENSE'!R21</f>
        <v/>
      </c>
      <c r="T18" s="174" t="n"/>
      <c r="U18" s="174">
        <f>R18-(S18+T18)</f>
        <v/>
      </c>
      <c r="V18" s="167">
        <f>'Aug2026-COLLECTION'!K17</f>
        <v/>
      </c>
      <c r="W18" s="172">
        <f>'Aug2026-EXPENSE'!R21</f>
        <v/>
      </c>
      <c r="X18" s="172" t="n"/>
      <c r="Y18" s="172">
        <f>V18-(W18+X18)</f>
        <v/>
      </c>
      <c r="Z18" s="41">
        <f>'Sep2026-COLLECTION'!K17</f>
        <v/>
      </c>
      <c r="AA18" s="174">
        <f>'Sep2026-EXPENSE'!R21</f>
        <v/>
      </c>
      <c r="AB18" s="174" t="n"/>
      <c r="AC18" s="174">
        <f>Z18-(AA18+AB18)</f>
        <v/>
      </c>
      <c r="AD18" s="41">
        <f>'Oct2026-COLLECTION'!K17</f>
        <v/>
      </c>
      <c r="AE18" s="174">
        <f>'Oct2026-EXPENSE'!R21</f>
        <v/>
      </c>
      <c r="AF18" s="174" t="n"/>
      <c r="AG18" s="174">
        <f>AD18-(AE18+AF18)</f>
        <v/>
      </c>
      <c r="AH18" s="41">
        <f>'Nov2026-COLLECTION'!K17</f>
        <v/>
      </c>
      <c r="AI18" s="174">
        <f>'Nov2026-EXPENSE'!R21</f>
        <v/>
      </c>
      <c r="AJ18" s="174" t="n"/>
      <c r="AK18" s="174">
        <f>AH18-(AI18+AJ18)</f>
        <v/>
      </c>
      <c r="AL18" s="41">
        <f>'Dec2026-COLLECTION'!K17</f>
        <v/>
      </c>
      <c r="AM18" s="174">
        <f>'Dec2026-EXPENSE'!R21</f>
        <v/>
      </c>
      <c r="AN18" s="174" t="n"/>
      <c r="AO18" s="174">
        <f>AL18-(AM18+AN18)</f>
        <v/>
      </c>
      <c r="AP18" s="7">
        <f>'Jan2027-COLLECTION'!K17</f>
        <v/>
      </c>
      <c r="AQ18" s="10">
        <f>'Jan2027-EXPENSE'!R21</f>
        <v/>
      </c>
      <c r="AR18" s="10" t="n"/>
      <c r="AS18" s="174">
        <f>AP18-(AQ18+AR18)</f>
        <v/>
      </c>
      <c r="AT18" s="7">
        <f>'Feb2027-COLLECTION'!K17</f>
        <v/>
      </c>
      <c r="AU18" s="10">
        <f>'Feb2027-EXPENSE'!R21</f>
        <v/>
      </c>
      <c r="AV18" s="10" t="n"/>
      <c r="AW18" s="174">
        <f>AT18-(AU18+AV18)</f>
        <v/>
      </c>
      <c r="AX18" s="7">
        <f>'Mar2027-COLLECTION'!K17</f>
        <v/>
      </c>
      <c r="AY18" s="10">
        <f>'Mar2027-EXPENSE'!R21</f>
        <v/>
      </c>
      <c r="AZ18" s="10" t="n"/>
      <c r="BA18" s="174">
        <f>AX18-(AY18+AZ18)</f>
        <v/>
      </c>
      <c r="BB18" s="172">
        <f>SUM(F18,J18,N18,R18,V18,Z18,AD18,AH18,AL18,AP18,AT18,AX18)</f>
        <v/>
      </c>
      <c r="BC18" s="172">
        <f>SUM(G18,K18,O18,S18,W18,AA18,AE18,AI18,AM18,AQ18,AU18,AY18)</f>
        <v/>
      </c>
      <c r="BD18" s="172">
        <f>SUM(H18,L18,P18,T18,X18,AB18,AF18,AJ18,AN18,AR18,AV18,AZ18)</f>
        <v/>
      </c>
      <c r="BE18" s="172">
        <f>BB18-(BC18+BD18)</f>
        <v/>
      </c>
      <c r="BF18" s="172">
        <f>E18+BE18</f>
        <v/>
      </c>
      <c r="BG18" s="175" t="n">
        <v>0</v>
      </c>
    </row>
    <row r="19" ht="16" customHeight="1" s="251">
      <c r="A19" s="169" t="inlineStr">
        <is>
          <t>G1</t>
        </is>
      </c>
      <c r="B19" s="13" t="inlineStr">
        <is>
          <t>jyothij1979@gmail.com</t>
        </is>
      </c>
      <c r="C19" s="13" t="inlineStr">
        <is>
          <t>Venkataramanan C</t>
        </is>
      </c>
      <c r="D19" s="170" t="n">
        <v>0</v>
      </c>
      <c r="E19" s="176" t="n">
        <v>0</v>
      </c>
      <c r="F19" s="171">
        <f>'Apr2026-COLLECTION'!K18</f>
        <v/>
      </c>
      <c r="G19" s="172">
        <f>'Apr2026-EXPENSE'!R22</f>
        <v/>
      </c>
      <c r="H19" s="172" t="n"/>
      <c r="I19" s="172">
        <f>F19-(G19+H19)</f>
        <v/>
      </c>
      <c r="J19" s="173">
        <f>'May2026-COLLECTION'!K18</f>
        <v/>
      </c>
      <c r="K19" s="174">
        <f>'May2026-EXPENSE'!R22</f>
        <v/>
      </c>
      <c r="L19" s="174" t="n"/>
      <c r="M19" s="174">
        <f>J19-(K19+L19)</f>
        <v/>
      </c>
      <c r="N19" s="172">
        <f>'June2026-COLLECTION'!K18</f>
        <v/>
      </c>
      <c r="O19" s="172">
        <f>'June2026-EXPENSE'!R22</f>
        <v/>
      </c>
      <c r="P19" s="172" t="n"/>
      <c r="Q19" s="172">
        <f>N19-(O19+P19)</f>
        <v/>
      </c>
      <c r="R19" s="41">
        <f>'July2026-COLLECTION'!K18</f>
        <v/>
      </c>
      <c r="S19" s="174">
        <f>'July2026-EXPENSE'!R22</f>
        <v/>
      </c>
      <c r="T19" s="174" t="n"/>
      <c r="U19" s="174">
        <f>R19-(S19+T19)</f>
        <v/>
      </c>
      <c r="V19" s="167">
        <f>'Aug2026-COLLECTION'!K18</f>
        <v/>
      </c>
      <c r="W19" s="172">
        <f>'Aug2026-EXPENSE'!R22</f>
        <v/>
      </c>
      <c r="X19" s="172" t="n"/>
      <c r="Y19" s="172">
        <f>V19-(W19+X19)</f>
        <v/>
      </c>
      <c r="Z19" s="41">
        <f>'Sep2026-COLLECTION'!K18</f>
        <v/>
      </c>
      <c r="AA19" s="174">
        <f>'Sep2026-EXPENSE'!R22</f>
        <v/>
      </c>
      <c r="AB19" s="174" t="n"/>
      <c r="AC19" s="174">
        <f>Z19-(AA19+AB19)</f>
        <v/>
      </c>
      <c r="AD19" s="41">
        <f>'Oct2026-COLLECTION'!K18</f>
        <v/>
      </c>
      <c r="AE19" s="174">
        <f>'Oct2026-EXPENSE'!R22</f>
        <v/>
      </c>
      <c r="AF19" s="174" t="n"/>
      <c r="AG19" s="174">
        <f>AD19-(AE19+AF19)</f>
        <v/>
      </c>
      <c r="AH19" s="41">
        <f>'Nov2026-COLLECTION'!K18</f>
        <v/>
      </c>
      <c r="AI19" s="174">
        <f>'Nov2026-EXPENSE'!R22</f>
        <v/>
      </c>
      <c r="AJ19" s="174" t="n"/>
      <c r="AK19" s="174">
        <f>AH19-(AI19+AJ19)</f>
        <v/>
      </c>
      <c r="AL19" s="41">
        <f>'Dec2026-COLLECTION'!K18</f>
        <v/>
      </c>
      <c r="AM19" s="174">
        <f>'Dec2026-EXPENSE'!R22</f>
        <v/>
      </c>
      <c r="AN19" s="174" t="n"/>
      <c r="AO19" s="174">
        <f>AL19-(AM19+AN19)</f>
        <v/>
      </c>
      <c r="AP19" s="7">
        <f>'Jan2027-COLLECTION'!K18</f>
        <v/>
      </c>
      <c r="AQ19" s="10">
        <f>'Jan2027-EXPENSE'!R22</f>
        <v/>
      </c>
      <c r="AR19" s="10" t="n"/>
      <c r="AS19" s="174">
        <f>AP19-(AQ19+AR19)</f>
        <v/>
      </c>
      <c r="AT19" s="7">
        <f>'Feb2027-COLLECTION'!K18</f>
        <v/>
      </c>
      <c r="AU19" s="10">
        <f>'Feb2027-EXPENSE'!R22</f>
        <v/>
      </c>
      <c r="AV19" s="10" t="n"/>
      <c r="AW19" s="174">
        <f>AT19-(AU19+AV19)</f>
        <v/>
      </c>
      <c r="AX19" s="7">
        <f>'Mar2027-COLLECTION'!K18</f>
        <v/>
      </c>
      <c r="AY19" s="10">
        <f>'Mar2027-EXPENSE'!R22</f>
        <v/>
      </c>
      <c r="AZ19" s="10" t="n"/>
      <c r="BA19" s="174">
        <f>AX19-(AY19+AZ19)</f>
        <v/>
      </c>
      <c r="BB19" s="172">
        <f>SUM(F19,J19,N19,R19,V19,Z19,AD19,AH19,AL19,AP19,AT19,AX19)</f>
        <v/>
      </c>
      <c r="BC19" s="172">
        <f>SUM(G19,K19,O19,S19,W19,AA19,AE19,AI19,AM19,AQ19,AU19,AY19)</f>
        <v/>
      </c>
      <c r="BD19" s="172">
        <f>SUM(H19,L19,P19,T19,X19,AB19,AF19,AJ19,AN19,AR19,AV19,AZ19)</f>
        <v/>
      </c>
      <c r="BE19" s="172">
        <f>BB19-(BC19+BD19)</f>
        <v/>
      </c>
      <c r="BF19" s="172">
        <f>E19+BE19</f>
        <v/>
      </c>
      <c r="BG19" s="175" t="n">
        <v>0</v>
      </c>
    </row>
    <row r="20" ht="16" customHeight="1" s="251">
      <c r="A20" s="169" t="inlineStr">
        <is>
          <t>G2</t>
        </is>
      </c>
      <c r="B20" s="13" t="n"/>
      <c r="C20" s="13" t="inlineStr">
        <is>
          <t>Kaushik Kasibhatla</t>
        </is>
      </c>
      <c r="D20" s="170" t="n">
        <v>0</v>
      </c>
      <c r="E20" s="176" t="n">
        <v>0</v>
      </c>
      <c r="F20" s="171">
        <f>'Apr2026-COLLECTION'!K19</f>
        <v/>
      </c>
      <c r="G20" s="172">
        <f>'Apr2026-EXPENSE'!R23</f>
        <v/>
      </c>
      <c r="H20" s="172" t="n"/>
      <c r="I20" s="172">
        <f>F20-(G20+H20)</f>
        <v/>
      </c>
      <c r="J20" s="173">
        <f>'May2026-COLLECTION'!K19</f>
        <v/>
      </c>
      <c r="K20" s="174">
        <f>'May2026-EXPENSE'!R23</f>
        <v/>
      </c>
      <c r="L20" s="174" t="n"/>
      <c r="M20" s="174">
        <f>J20-(K20+L20)</f>
        <v/>
      </c>
      <c r="N20" s="172">
        <f>'June2026-COLLECTION'!K19</f>
        <v/>
      </c>
      <c r="O20" s="172">
        <f>'June2026-EXPENSE'!R23</f>
        <v/>
      </c>
      <c r="P20" s="172" t="n"/>
      <c r="Q20" s="172">
        <f>N20-(O20+P20)</f>
        <v/>
      </c>
      <c r="R20" s="41">
        <f>'July2026-COLLECTION'!K19</f>
        <v/>
      </c>
      <c r="S20" s="174">
        <f>'July2026-EXPENSE'!R23</f>
        <v/>
      </c>
      <c r="T20" s="174" t="n"/>
      <c r="U20" s="174">
        <f>R20-(S20+T20)</f>
        <v/>
      </c>
      <c r="V20" s="167">
        <f>'Aug2026-COLLECTION'!K19</f>
        <v/>
      </c>
      <c r="W20" s="172">
        <f>'Aug2026-EXPENSE'!R23</f>
        <v/>
      </c>
      <c r="X20" s="172" t="n"/>
      <c r="Y20" s="172">
        <f>V20-(W20+X20)</f>
        <v/>
      </c>
      <c r="Z20" s="41">
        <f>'Sep2026-COLLECTION'!K19</f>
        <v/>
      </c>
      <c r="AA20" s="174">
        <f>'Sep2026-EXPENSE'!R23</f>
        <v/>
      </c>
      <c r="AB20" s="174" t="n"/>
      <c r="AC20" s="174">
        <f>Z20-(AA20+AB20)</f>
        <v/>
      </c>
      <c r="AD20" s="41">
        <f>'Oct2026-COLLECTION'!K19</f>
        <v/>
      </c>
      <c r="AE20" s="174">
        <f>'Oct2026-EXPENSE'!R23</f>
        <v/>
      </c>
      <c r="AF20" s="174" t="n"/>
      <c r="AG20" s="174">
        <f>AD20-(AE20+AF20)</f>
        <v/>
      </c>
      <c r="AH20" s="41">
        <f>'Nov2026-COLLECTION'!K19</f>
        <v/>
      </c>
      <c r="AI20" s="174">
        <f>'Nov2026-EXPENSE'!R23</f>
        <v/>
      </c>
      <c r="AJ20" s="174" t="n"/>
      <c r="AK20" s="174">
        <f>AH20-(AI20+AJ20)</f>
        <v/>
      </c>
      <c r="AL20" s="41">
        <f>'Dec2026-COLLECTION'!K19</f>
        <v/>
      </c>
      <c r="AM20" s="174">
        <f>'Dec2026-EXPENSE'!R23</f>
        <v/>
      </c>
      <c r="AN20" s="174" t="n"/>
      <c r="AO20" s="174">
        <f>AL20-(AM20+AN20)</f>
        <v/>
      </c>
      <c r="AP20" s="7">
        <f>'Jan2027-COLLECTION'!K19</f>
        <v/>
      </c>
      <c r="AQ20" s="10">
        <f>'Jan2027-EXPENSE'!R23</f>
        <v/>
      </c>
      <c r="AR20" s="10" t="n"/>
      <c r="AS20" s="174">
        <f>AP20-(AQ20+AR20)</f>
        <v/>
      </c>
      <c r="AT20" s="7">
        <f>'Feb2027-COLLECTION'!K19</f>
        <v/>
      </c>
      <c r="AU20" s="10">
        <f>'Feb2027-EXPENSE'!R23</f>
        <v/>
      </c>
      <c r="AV20" s="10" t="n"/>
      <c r="AW20" s="174">
        <f>AT20-(AU20+AV20)</f>
        <v/>
      </c>
      <c r="AX20" s="7">
        <f>'Mar2027-COLLECTION'!K19</f>
        <v/>
      </c>
      <c r="AY20" s="10">
        <f>'Mar2027-EXPENSE'!R23</f>
        <v/>
      </c>
      <c r="AZ20" s="10" t="n"/>
      <c r="BA20" s="174">
        <f>AX20-(AY20+AZ20)</f>
        <v/>
      </c>
      <c r="BB20" s="172">
        <f>SUM(F20,J20,N20,R20,V20,Z20,AD20,AH20,AL20,AP20,AT20,AX20)</f>
        <v/>
      </c>
      <c r="BC20" s="172">
        <f>SUM(G20,K20,O20,S20,W20,AA20,AE20,AI20,AM20,AQ20,AU20,AY20)</f>
        <v/>
      </c>
      <c r="BD20" s="172">
        <f>SUM(H20,L20,P20,T20,X20,AB20,AF20,AJ20,AN20,AR20,AV20,AZ20)</f>
        <v/>
      </c>
      <c r="BE20" s="172">
        <f>BB20-(BC20+BD20)</f>
        <v/>
      </c>
      <c r="BF20" s="172">
        <f>E20+BE20</f>
        <v/>
      </c>
      <c r="BG20" s="175" t="n">
        <v>0</v>
      </c>
    </row>
    <row r="21" ht="15.75" customHeight="1" s="251">
      <c r="A21" s="169" t="inlineStr">
        <is>
          <t>G3</t>
        </is>
      </c>
      <c r="B21" s="13" t="n"/>
      <c r="C21" s="13" t="inlineStr">
        <is>
          <t>Balakrishnan</t>
        </is>
      </c>
      <c r="D21" s="170" t="n">
        <v>0</v>
      </c>
      <c r="E21" s="176" t="n">
        <v>0</v>
      </c>
      <c r="F21" s="171">
        <f>'Apr2026-COLLECTION'!K20</f>
        <v/>
      </c>
      <c r="G21" s="172">
        <f>'Apr2026-EXPENSE'!R24</f>
        <v/>
      </c>
      <c r="H21" s="172" t="n"/>
      <c r="I21" s="172">
        <f>F21-(G21+H21)</f>
        <v/>
      </c>
      <c r="J21" s="173">
        <f>'May2026-COLLECTION'!K20</f>
        <v/>
      </c>
      <c r="K21" s="174">
        <f>'May2026-EXPENSE'!R24</f>
        <v/>
      </c>
      <c r="L21" s="174" t="n"/>
      <c r="M21" s="174">
        <f>J21-(K21+L21)</f>
        <v/>
      </c>
      <c r="N21" s="172">
        <f>'June2026-COLLECTION'!K20</f>
        <v/>
      </c>
      <c r="O21" s="172">
        <f>'June2026-EXPENSE'!R24</f>
        <v/>
      </c>
      <c r="P21" s="172" t="n"/>
      <c r="Q21" s="172">
        <f>N21-(O21+P21)</f>
        <v/>
      </c>
      <c r="R21" s="41">
        <f>'July2026-COLLECTION'!K20</f>
        <v/>
      </c>
      <c r="S21" s="174">
        <f>'July2026-EXPENSE'!R24</f>
        <v/>
      </c>
      <c r="T21" s="174" t="n"/>
      <c r="U21" s="174">
        <f>R21-(S21+T21)</f>
        <v/>
      </c>
      <c r="V21" s="167">
        <f>'Aug2026-COLLECTION'!K20</f>
        <v/>
      </c>
      <c r="W21" s="172">
        <f>'Aug2026-EXPENSE'!R24</f>
        <v/>
      </c>
      <c r="X21" s="172" t="n"/>
      <c r="Y21" s="172">
        <f>V21-(W21+X21)</f>
        <v/>
      </c>
      <c r="Z21" s="41">
        <f>'Sep2026-COLLECTION'!K20</f>
        <v/>
      </c>
      <c r="AA21" s="174">
        <f>'Sep2026-EXPENSE'!R24</f>
        <v/>
      </c>
      <c r="AB21" s="174" t="n"/>
      <c r="AC21" s="174">
        <f>Z21-(AA21+AB21)</f>
        <v/>
      </c>
      <c r="AD21" s="41">
        <f>'Oct2026-COLLECTION'!K20</f>
        <v/>
      </c>
      <c r="AE21" s="174">
        <f>'Oct2026-EXPENSE'!R24</f>
        <v/>
      </c>
      <c r="AF21" s="174" t="n"/>
      <c r="AG21" s="174">
        <f>AD21-(AE21+AF21)</f>
        <v/>
      </c>
      <c r="AH21" s="41">
        <f>'Nov2026-COLLECTION'!K20</f>
        <v/>
      </c>
      <c r="AI21" s="174">
        <f>'Nov2026-EXPENSE'!R24</f>
        <v/>
      </c>
      <c r="AJ21" s="174" t="n"/>
      <c r="AK21" s="174">
        <f>AH21-(AI21+AJ21)</f>
        <v/>
      </c>
      <c r="AL21" s="41">
        <f>'Dec2026-COLLECTION'!K20</f>
        <v/>
      </c>
      <c r="AM21" s="174">
        <f>'Dec2026-EXPENSE'!R24</f>
        <v/>
      </c>
      <c r="AN21" s="174" t="n"/>
      <c r="AO21" s="174">
        <f>AL21-(AM21+AN21)</f>
        <v/>
      </c>
      <c r="AP21" s="7">
        <f>'Jan2027-COLLECTION'!K20</f>
        <v/>
      </c>
      <c r="AQ21" s="10">
        <f>'Jan2027-EXPENSE'!R24</f>
        <v/>
      </c>
      <c r="AR21" s="10" t="n"/>
      <c r="AS21" s="174">
        <f>AP21-(AQ21+AR21)</f>
        <v/>
      </c>
      <c r="AT21" s="7">
        <f>'Feb2027-COLLECTION'!K20</f>
        <v/>
      </c>
      <c r="AU21" s="10">
        <f>'Feb2027-EXPENSE'!R24</f>
        <v/>
      </c>
      <c r="AV21" s="10" t="n"/>
      <c r="AW21" s="174">
        <f>AT21-(AU21+AV21)</f>
        <v/>
      </c>
      <c r="AX21" s="7">
        <f>'Mar2027-COLLECTION'!K20</f>
        <v/>
      </c>
      <c r="AY21" s="10">
        <f>'Mar2027-EXPENSE'!R24</f>
        <v/>
      </c>
      <c r="AZ21" s="10" t="n"/>
      <c r="BA21" s="174">
        <f>AX21-(AY21+AZ21)</f>
        <v/>
      </c>
      <c r="BB21" s="172">
        <f>SUM(F21,J21,N21,R21,V21,Z21,AD21,AH21,AL21,AP21,AT21,AX21)</f>
        <v/>
      </c>
      <c r="BC21" s="172">
        <f>SUM(G21,K21,O21,S21,W21,AA21,AE21,AI21,AM21,AQ21,AU21,AY21)</f>
        <v/>
      </c>
      <c r="BD21" s="172">
        <f>SUM(H21,L21,P21,T21,X21,AB21,AF21,AJ21,AN21,AR21,AV21,AZ21)</f>
        <v/>
      </c>
      <c r="BE21" s="172">
        <f>BB21-(BC21+BD21)</f>
        <v/>
      </c>
      <c r="BF21" s="172">
        <f>E21+BE21</f>
        <v/>
      </c>
      <c r="BG21" s="175" t="n">
        <v>0</v>
      </c>
    </row>
    <row r="22" ht="15.75" customHeight="1" s="251">
      <c r="A22" s="169" t="inlineStr">
        <is>
          <t>G4</t>
        </is>
      </c>
      <c r="B22" s="13" t="n"/>
      <c r="C22" s="13" t="inlineStr">
        <is>
          <t>Ashwin Pandith</t>
        </is>
      </c>
      <c r="D22" s="170" t="n">
        <v>0</v>
      </c>
      <c r="E22" s="176" t="n">
        <v>0</v>
      </c>
      <c r="F22" s="171">
        <f>'Apr2026-COLLECTION'!K21</f>
        <v/>
      </c>
      <c r="G22" s="172">
        <f>'Apr2026-EXPENSE'!R25</f>
        <v/>
      </c>
      <c r="H22" s="172" t="n"/>
      <c r="I22" s="172">
        <f>F22-(G22+H22)</f>
        <v/>
      </c>
      <c r="J22" s="173">
        <f>'May2026-COLLECTION'!K21</f>
        <v/>
      </c>
      <c r="K22" s="174">
        <f>'May2026-EXPENSE'!R25</f>
        <v/>
      </c>
      <c r="L22" s="174" t="n"/>
      <c r="M22" s="174">
        <f>J22-(K22+L22)</f>
        <v/>
      </c>
      <c r="N22" s="172">
        <f>'June2026-COLLECTION'!K21</f>
        <v/>
      </c>
      <c r="O22" s="172">
        <f>'June2026-EXPENSE'!R25</f>
        <v/>
      </c>
      <c r="P22" s="172" t="n"/>
      <c r="Q22" s="172">
        <f>N22-(O22+P22)</f>
        <v/>
      </c>
      <c r="R22" s="41">
        <f>'July2026-COLLECTION'!K21</f>
        <v/>
      </c>
      <c r="S22" s="174">
        <f>'July2026-EXPENSE'!R25</f>
        <v/>
      </c>
      <c r="T22" s="174" t="n"/>
      <c r="U22" s="174">
        <f>R22-(S22+T22)</f>
        <v/>
      </c>
      <c r="V22" s="167">
        <f>'Aug2026-COLLECTION'!K21</f>
        <v/>
      </c>
      <c r="W22" s="172">
        <f>'Aug2026-EXPENSE'!R25</f>
        <v/>
      </c>
      <c r="X22" s="172" t="n"/>
      <c r="Y22" s="172">
        <f>V22-(W22+X22)</f>
        <v/>
      </c>
      <c r="Z22" s="41">
        <f>'Sep2026-COLLECTION'!K21</f>
        <v/>
      </c>
      <c r="AA22" s="174">
        <f>'Sep2026-EXPENSE'!R25</f>
        <v/>
      </c>
      <c r="AB22" s="174" t="n"/>
      <c r="AC22" s="174">
        <f>Z22-(AA22+AB22)</f>
        <v/>
      </c>
      <c r="AD22" s="41">
        <f>'Oct2026-COLLECTION'!K21</f>
        <v/>
      </c>
      <c r="AE22" s="174">
        <f>'Oct2026-EXPENSE'!R25</f>
        <v/>
      </c>
      <c r="AF22" s="174" t="n"/>
      <c r="AG22" s="174">
        <f>AD22-(AE22+AF22)</f>
        <v/>
      </c>
      <c r="AH22" s="41">
        <f>'Nov2026-COLLECTION'!K21</f>
        <v/>
      </c>
      <c r="AI22" s="174">
        <f>'Nov2026-EXPENSE'!R25</f>
        <v/>
      </c>
      <c r="AJ22" s="174" t="n"/>
      <c r="AK22" s="174">
        <f>AH22-(AI22+AJ22)</f>
        <v/>
      </c>
      <c r="AL22" s="41">
        <f>'Dec2026-COLLECTION'!K21</f>
        <v/>
      </c>
      <c r="AM22" s="174">
        <f>'Dec2026-EXPENSE'!R25</f>
        <v/>
      </c>
      <c r="AN22" s="174" t="n"/>
      <c r="AO22" s="174">
        <f>AL22-(AM22+AN22)</f>
        <v/>
      </c>
      <c r="AP22" s="7">
        <f>'Jan2027-COLLECTION'!K21</f>
        <v/>
      </c>
      <c r="AQ22" s="10">
        <f>'Jan2027-EXPENSE'!R25</f>
        <v/>
      </c>
      <c r="AR22" s="10" t="n"/>
      <c r="AS22" s="174">
        <f>AP22-(AQ22+AR22)</f>
        <v/>
      </c>
      <c r="AT22" s="7">
        <f>'Feb2027-COLLECTION'!K21</f>
        <v/>
      </c>
      <c r="AU22" s="10">
        <f>'Feb2027-EXPENSE'!R25</f>
        <v/>
      </c>
      <c r="AV22" s="10" t="n"/>
      <c r="AW22" s="174">
        <f>AT22-(AU22+AV22)</f>
        <v/>
      </c>
      <c r="AX22" s="7">
        <f>'Mar2027-COLLECTION'!K21</f>
        <v/>
      </c>
      <c r="AY22" s="10">
        <f>'Mar2027-EXPENSE'!R25</f>
        <v/>
      </c>
      <c r="AZ22" s="10" t="n"/>
      <c r="BA22" s="174">
        <f>AX22-(AY22+AZ22)</f>
        <v/>
      </c>
      <c r="BB22" s="172">
        <f>SUM(F22,J22,N22,R22,V22,Z22,AD22,AH22,AL22,AP22,AT22,AX22)</f>
        <v/>
      </c>
      <c r="BC22" s="172">
        <f>SUM(G22,K22,O22,S22,W22,AA22,AE22,AI22,AM22,AQ22,AU22,AY22)</f>
        <v/>
      </c>
      <c r="BD22" s="172">
        <f>SUM(H22,L22,P22,T22,X22,AB22,AF22,AJ22,AN22,AR22,AV22,AZ22)</f>
        <v/>
      </c>
      <c r="BE22" s="172">
        <f>BB22-(BC22+BD22)</f>
        <v/>
      </c>
      <c r="BF22" s="172">
        <f>E22+BE22</f>
        <v/>
      </c>
      <c r="BG22" s="175" t="n">
        <v>0</v>
      </c>
    </row>
    <row r="23" ht="15.75" customHeight="1" s="251">
      <c r="A23" s="169" t="inlineStr">
        <is>
          <t>G5</t>
        </is>
      </c>
      <c r="B23" s="13" t="n"/>
      <c r="C23" s="13" t="inlineStr">
        <is>
          <t>Mayank Phophaliya</t>
        </is>
      </c>
      <c r="D23" s="170" t="n">
        <v>0</v>
      </c>
      <c r="E23" s="176" t="n">
        <v>0</v>
      </c>
      <c r="F23" s="171">
        <f>'Apr2026-COLLECTION'!K22</f>
        <v/>
      </c>
      <c r="G23" s="172">
        <f>'Apr2026-EXPENSE'!R26</f>
        <v/>
      </c>
      <c r="H23" s="172" t="n"/>
      <c r="I23" s="172">
        <f>F23-(G23+H23)</f>
        <v/>
      </c>
      <c r="J23" s="173">
        <f>'May2026-COLLECTION'!K22</f>
        <v/>
      </c>
      <c r="K23" s="174">
        <f>'May2026-EXPENSE'!R26</f>
        <v/>
      </c>
      <c r="L23" s="174" t="n"/>
      <c r="M23" s="174">
        <f>J23-(K23+L23)</f>
        <v/>
      </c>
      <c r="N23" s="172">
        <f>'June2026-COLLECTION'!K22</f>
        <v/>
      </c>
      <c r="O23" s="172">
        <f>'June2026-EXPENSE'!R26</f>
        <v/>
      </c>
      <c r="P23" s="172" t="n"/>
      <c r="Q23" s="172">
        <f>N23-(O23+P23)</f>
        <v/>
      </c>
      <c r="R23" s="41">
        <f>'July2026-COLLECTION'!K22</f>
        <v/>
      </c>
      <c r="S23" s="174">
        <f>'July2026-EXPENSE'!R26</f>
        <v/>
      </c>
      <c r="T23" s="174" t="n"/>
      <c r="U23" s="174">
        <f>R23-(S23+T23)</f>
        <v/>
      </c>
      <c r="V23" s="167">
        <f>'Aug2026-COLLECTION'!K22</f>
        <v/>
      </c>
      <c r="W23" s="172">
        <f>'Aug2026-EXPENSE'!R26</f>
        <v/>
      </c>
      <c r="X23" s="172" t="n"/>
      <c r="Y23" s="172">
        <f>V23-(W23+X23)</f>
        <v/>
      </c>
      <c r="Z23" s="41">
        <f>'Sep2026-COLLECTION'!K22</f>
        <v/>
      </c>
      <c r="AA23" s="174">
        <f>'Sep2026-EXPENSE'!R26</f>
        <v/>
      </c>
      <c r="AB23" s="174" t="n"/>
      <c r="AC23" s="174">
        <f>Z23-(AA23+AB23)</f>
        <v/>
      </c>
      <c r="AD23" s="41">
        <f>'Oct2026-COLLECTION'!K22</f>
        <v/>
      </c>
      <c r="AE23" s="174">
        <f>'Oct2026-EXPENSE'!R26</f>
        <v/>
      </c>
      <c r="AF23" s="174" t="n"/>
      <c r="AG23" s="174">
        <f>AD23-(AE23+AF23)</f>
        <v/>
      </c>
      <c r="AH23" s="41">
        <f>'Nov2026-COLLECTION'!K22</f>
        <v/>
      </c>
      <c r="AI23" s="174">
        <f>'Nov2026-EXPENSE'!R26</f>
        <v/>
      </c>
      <c r="AJ23" s="174" t="n"/>
      <c r="AK23" s="174">
        <f>AH23-(AI23+AJ23)</f>
        <v/>
      </c>
      <c r="AL23" s="41">
        <f>'Dec2026-COLLECTION'!K22</f>
        <v/>
      </c>
      <c r="AM23" s="174">
        <f>'Dec2026-EXPENSE'!R26</f>
        <v/>
      </c>
      <c r="AN23" s="174" t="n"/>
      <c r="AO23" s="174">
        <f>AL23-(AM23+AN23)</f>
        <v/>
      </c>
      <c r="AP23" s="7">
        <f>'Jan2027-COLLECTION'!K22</f>
        <v/>
      </c>
      <c r="AQ23" s="10">
        <f>'Jan2027-EXPENSE'!R26</f>
        <v/>
      </c>
      <c r="AR23" s="10" t="n"/>
      <c r="AS23" s="174">
        <f>AP23-(AQ23+AR23)</f>
        <v/>
      </c>
      <c r="AT23" s="7">
        <f>'Feb2027-COLLECTION'!K22</f>
        <v/>
      </c>
      <c r="AU23" s="10">
        <f>'Feb2027-EXPENSE'!R26</f>
        <v/>
      </c>
      <c r="AV23" s="10" t="n"/>
      <c r="AW23" s="174">
        <f>AT23-(AU23+AV23)</f>
        <v/>
      </c>
      <c r="AX23" s="7">
        <f>'Mar2027-COLLECTION'!K22</f>
        <v/>
      </c>
      <c r="AY23" s="10">
        <f>'Mar2027-EXPENSE'!R26</f>
        <v/>
      </c>
      <c r="AZ23" s="10" t="n"/>
      <c r="BA23" s="174">
        <f>AX23-(AY23+AZ23)</f>
        <v/>
      </c>
      <c r="BB23" s="172">
        <f>SUM(F23,J23,N23,R23,V23,Z23,AD23,AH23,AL23,AP23,AT23,AX23)</f>
        <v/>
      </c>
      <c r="BC23" s="172">
        <f>SUM(G23,K23,O23,S23,W23,AA23,AE23,AI23,AM23,AQ23,AU23,AY23)</f>
        <v/>
      </c>
      <c r="BD23" s="172">
        <f>SUM(H23,L23,P23,T23,X23,AB23,AF23,AJ23,AN23,AR23,AV23,AZ23)</f>
        <v/>
      </c>
      <c r="BE23" s="172">
        <f>BB23-(BC23+BD23)</f>
        <v/>
      </c>
      <c r="BF23" s="172">
        <f>E23+BE23</f>
        <v/>
      </c>
      <c r="BG23" s="175" t="n">
        <v>0</v>
      </c>
    </row>
    <row r="24" ht="15.75" customHeight="1" s="251">
      <c r="A24" s="169" t="inlineStr">
        <is>
          <t>G6</t>
        </is>
      </c>
      <c r="B24" s="13" t="n"/>
      <c r="C24" s="13" t="inlineStr">
        <is>
          <t>Srinath / Tenant - Mohit Daga</t>
        </is>
      </c>
      <c r="D24" s="170" t="n">
        <v>0</v>
      </c>
      <c r="E24" s="176">
        <f>-87741.03+10034+15000-9500-9500</f>
        <v/>
      </c>
      <c r="F24" s="171">
        <f>'Apr2026-COLLECTION'!K23</f>
        <v/>
      </c>
      <c r="G24" s="172">
        <f>'Apr2026-EXPENSE'!R27</f>
        <v/>
      </c>
      <c r="H24" s="172" t="n"/>
      <c r="I24" s="172">
        <f>F24-(G24+H24)</f>
        <v/>
      </c>
      <c r="J24" s="173">
        <f>'May2026-COLLECTION'!K23</f>
        <v/>
      </c>
      <c r="K24" s="174">
        <f>'May2026-EXPENSE'!R27</f>
        <v/>
      </c>
      <c r="L24" s="174" t="n">
        <v>0</v>
      </c>
      <c r="M24" s="174">
        <f>J24-(K24+L24)</f>
        <v/>
      </c>
      <c r="N24" s="172">
        <f>'June2026-COLLECTION'!K23</f>
        <v/>
      </c>
      <c r="O24" s="172">
        <f>'June2026-EXPENSE'!R27</f>
        <v/>
      </c>
      <c r="P24" s="172" t="n"/>
      <c r="Q24" s="172">
        <f>N24-(O24+P24)</f>
        <v/>
      </c>
      <c r="R24" s="41">
        <f>'July2026-COLLECTION'!K23</f>
        <v/>
      </c>
      <c r="S24" s="174">
        <f>'July2026-EXPENSE'!R27</f>
        <v/>
      </c>
      <c r="T24" s="174" t="n"/>
      <c r="U24" s="174">
        <f>R24-(S24+T24)</f>
        <v/>
      </c>
      <c r="V24" s="167">
        <f>'Aug2026-COLLECTION'!K23</f>
        <v/>
      </c>
      <c r="W24" s="172">
        <f>'Aug2026-EXPENSE'!R27</f>
        <v/>
      </c>
      <c r="X24" s="172" t="n"/>
      <c r="Y24" s="172">
        <f>V24-(W24+X24)</f>
        <v/>
      </c>
      <c r="Z24" s="41">
        <f>'Sep2026-COLLECTION'!K23</f>
        <v/>
      </c>
      <c r="AA24" s="174">
        <f>'Sep2026-EXPENSE'!R27</f>
        <v/>
      </c>
      <c r="AB24" s="174" t="n"/>
      <c r="AC24" s="174">
        <f>Z24-(AA24+AB24)</f>
        <v/>
      </c>
      <c r="AD24" s="41">
        <f>'Oct2026-COLLECTION'!K23</f>
        <v/>
      </c>
      <c r="AE24" s="174">
        <f>'Oct2026-EXPENSE'!R27</f>
        <v/>
      </c>
      <c r="AF24" s="174" t="n"/>
      <c r="AG24" s="174">
        <f>AD24-(AE24+AF24)</f>
        <v/>
      </c>
      <c r="AH24" s="41">
        <f>'Nov2026-COLLECTION'!K23</f>
        <v/>
      </c>
      <c r="AI24" s="174">
        <f>'Nov2026-EXPENSE'!R27</f>
        <v/>
      </c>
      <c r="AJ24" s="174" t="n"/>
      <c r="AK24" s="174">
        <f>AH24-(AI24+AJ24)</f>
        <v/>
      </c>
      <c r="AL24" s="41">
        <f>'Dec2026-COLLECTION'!K23</f>
        <v/>
      </c>
      <c r="AM24" s="174">
        <f>'Dec2026-EXPENSE'!R27</f>
        <v/>
      </c>
      <c r="AN24" s="174" t="n"/>
      <c r="AO24" s="174">
        <f>AL24-(AM24+AN24)</f>
        <v/>
      </c>
      <c r="AP24" s="7">
        <f>'Jan2027-COLLECTION'!K23</f>
        <v/>
      </c>
      <c r="AQ24" s="10">
        <f>'Jan2027-EXPENSE'!R27</f>
        <v/>
      </c>
      <c r="AR24" s="10" t="n"/>
      <c r="AS24" s="174">
        <f>AP24-(AQ24+AR24)</f>
        <v/>
      </c>
      <c r="AT24" s="7">
        <f>'Feb2027-COLLECTION'!K23</f>
        <v/>
      </c>
      <c r="AU24" s="10">
        <f>'Feb2027-EXPENSE'!R27</f>
        <v/>
      </c>
      <c r="AV24" s="10" t="n"/>
      <c r="AW24" s="174">
        <f>AT24-(AU24+AV24)</f>
        <v/>
      </c>
      <c r="AX24" s="7">
        <f>'Mar2027-COLLECTION'!K23</f>
        <v/>
      </c>
      <c r="AY24" s="10">
        <f>'Mar2027-EXPENSE'!R27</f>
        <v/>
      </c>
      <c r="AZ24" s="10" t="n"/>
      <c r="BA24" s="174">
        <f>AX24-(AY24+AZ24)</f>
        <v/>
      </c>
      <c r="BB24" s="172">
        <f>SUM(F24,J24,N24,R24,V24,Z24,AD24,AH24,AL24,AP24,AT24,AX24)</f>
        <v/>
      </c>
      <c r="BC24" s="172">
        <f>SUM(G24,K24,O24,S24,W24,AA24,AE24,AI24,AM24,AQ24,AU24,AY24)</f>
        <v/>
      </c>
      <c r="BD24" s="172">
        <f>SUM(H24,L24,P24,T24,X24,AB24,AF24,AJ24,AN24,AR24,AV24,AZ24)</f>
        <v/>
      </c>
      <c r="BE24" s="172">
        <f>BB24-(BC24+BD24)</f>
        <v/>
      </c>
      <c r="BF24" s="172">
        <f>E24+BE24</f>
        <v/>
      </c>
      <c r="BG24" s="175" t="n">
        <v>0</v>
      </c>
    </row>
    <row r="25" ht="15.75" customHeight="1" s="251">
      <c r="A25" s="169" t="inlineStr">
        <is>
          <t>G7</t>
        </is>
      </c>
      <c r="B25" s="13" t="n"/>
      <c r="C25" s="13" t="inlineStr">
        <is>
          <t>Prince Richfield</t>
        </is>
      </c>
      <c r="D25" s="170" t="n">
        <v>0</v>
      </c>
      <c r="E25" s="176" t="n">
        <v>0</v>
      </c>
      <c r="F25" s="171">
        <f>'Apr2026-COLLECTION'!K24</f>
        <v/>
      </c>
      <c r="G25" s="172">
        <f>'Apr2026-EXPENSE'!R28</f>
        <v/>
      </c>
      <c r="H25" s="172" t="n"/>
      <c r="I25" s="172">
        <f>F25-(G25+H25)</f>
        <v/>
      </c>
      <c r="J25" s="173">
        <f>'May2026-COLLECTION'!K24</f>
        <v/>
      </c>
      <c r="K25" s="174">
        <f>'May2026-EXPENSE'!R28</f>
        <v/>
      </c>
      <c r="L25" s="174" t="n"/>
      <c r="M25" s="174">
        <f>J25-(K25+L25)</f>
        <v/>
      </c>
      <c r="N25" s="172">
        <f>'June2026-COLLECTION'!K24</f>
        <v/>
      </c>
      <c r="O25" s="172">
        <f>'June2026-EXPENSE'!R28</f>
        <v/>
      </c>
      <c r="P25" s="172" t="n"/>
      <c r="Q25" s="172">
        <f>N25-(O25+P25)</f>
        <v/>
      </c>
      <c r="R25" s="41">
        <f>'July2026-COLLECTION'!K24</f>
        <v/>
      </c>
      <c r="S25" s="174">
        <f>'July2026-EXPENSE'!R28</f>
        <v/>
      </c>
      <c r="T25" s="174" t="n"/>
      <c r="U25" s="174">
        <f>R25-(S25+T25)</f>
        <v/>
      </c>
      <c r="V25" s="167">
        <f>'Aug2026-COLLECTION'!K24</f>
        <v/>
      </c>
      <c r="W25" s="172">
        <f>'Aug2026-EXPENSE'!R28</f>
        <v/>
      </c>
      <c r="X25" s="172" t="n"/>
      <c r="Y25" s="172">
        <f>V25-(W25+X25)</f>
        <v/>
      </c>
      <c r="Z25" s="41">
        <f>'Sep2026-COLLECTION'!K24</f>
        <v/>
      </c>
      <c r="AA25" s="174">
        <f>'Sep2026-EXPENSE'!R28</f>
        <v/>
      </c>
      <c r="AB25" s="174" t="n"/>
      <c r="AC25" s="174">
        <f>Z25-(AA25+AB25)</f>
        <v/>
      </c>
      <c r="AD25" s="41">
        <f>'Oct2026-COLLECTION'!K24</f>
        <v/>
      </c>
      <c r="AE25" s="174">
        <f>'Oct2026-EXPENSE'!R28</f>
        <v/>
      </c>
      <c r="AF25" s="174" t="n"/>
      <c r="AG25" s="174">
        <f>AD25-(AE25+AF25)</f>
        <v/>
      </c>
      <c r="AH25" s="41">
        <f>'Nov2026-COLLECTION'!K24</f>
        <v/>
      </c>
      <c r="AI25" s="174">
        <f>'Nov2026-EXPENSE'!R28</f>
        <v/>
      </c>
      <c r="AJ25" s="174" t="n"/>
      <c r="AK25" s="174">
        <f>AH25-(AI25+AJ25)</f>
        <v/>
      </c>
      <c r="AL25" s="41">
        <f>'Dec2026-COLLECTION'!K24</f>
        <v/>
      </c>
      <c r="AM25" s="174">
        <f>'Dec2026-EXPENSE'!R28</f>
        <v/>
      </c>
      <c r="AN25" s="174" t="n"/>
      <c r="AO25" s="174">
        <f>AL25-(AM25+AN25)</f>
        <v/>
      </c>
      <c r="AP25" s="7">
        <f>'Jan2027-COLLECTION'!K24</f>
        <v/>
      </c>
      <c r="AQ25" s="10">
        <f>'Jan2027-EXPENSE'!R28</f>
        <v/>
      </c>
      <c r="AR25" s="10" t="n"/>
      <c r="AS25" s="174">
        <f>AP25-(AQ25+AR25)</f>
        <v/>
      </c>
      <c r="AT25" s="7">
        <f>'Feb2027-COLLECTION'!K24</f>
        <v/>
      </c>
      <c r="AU25" s="10">
        <f>'Feb2027-EXPENSE'!R28</f>
        <v/>
      </c>
      <c r="AV25" s="10" t="n"/>
      <c r="AW25" s="174">
        <f>AT25-(AU25+AV25)</f>
        <v/>
      </c>
      <c r="AX25" s="7">
        <f>'Mar2027-COLLECTION'!K24</f>
        <v/>
      </c>
      <c r="AY25" s="10">
        <f>'Mar2027-EXPENSE'!R28</f>
        <v/>
      </c>
      <c r="AZ25" s="10" t="n"/>
      <c r="BA25" s="174">
        <f>AX25-(AY25+AZ25)</f>
        <v/>
      </c>
      <c r="BB25" s="172">
        <f>SUM(F25,J25,N25,R25,V25,Z25,AD25,AH25,AL25,AP25,AT25,AX25)</f>
        <v/>
      </c>
      <c r="BC25" s="172">
        <f>SUM(G25,K25,O25,S25,W25,AA25,AE25,AI25,AM25,AQ25,AU25,AY25)</f>
        <v/>
      </c>
      <c r="BD25" s="172">
        <f>SUM(H25,L25,P25,T25,X25,AB25,AF25,AJ25,AN25,AR25,AV25,AZ25)</f>
        <v/>
      </c>
      <c r="BE25" s="172">
        <f>BB25-(BC25+BD25)</f>
        <v/>
      </c>
      <c r="BF25" s="172">
        <f>E25+BE25</f>
        <v/>
      </c>
      <c r="BG25" s="175" t="n">
        <v>0</v>
      </c>
    </row>
    <row r="26" ht="15.75" customHeight="1" s="251">
      <c r="A26" s="169" t="inlineStr">
        <is>
          <t>G8</t>
        </is>
      </c>
      <c r="B26" s="13" t="n"/>
      <c r="C26" s="13" t="inlineStr">
        <is>
          <t>Ranjithkumar R / Sameer (tenant) / Princy (tenant)</t>
        </is>
      </c>
      <c r="D26" s="170" t="n">
        <v>0</v>
      </c>
      <c r="E26" s="176" t="n">
        <v>0</v>
      </c>
      <c r="F26" s="171">
        <f>'Apr2026-COLLECTION'!K25</f>
        <v/>
      </c>
      <c r="G26" s="172">
        <f>'Apr2026-EXPENSE'!R29</f>
        <v/>
      </c>
      <c r="H26" s="172" t="n"/>
      <c r="I26" s="172">
        <f>F26-(G26+H26)</f>
        <v/>
      </c>
      <c r="J26" s="173">
        <f>'May2026-COLLECTION'!K25</f>
        <v/>
      </c>
      <c r="K26" s="174">
        <f>'May2026-EXPENSE'!R29</f>
        <v/>
      </c>
      <c r="L26" s="174" t="n"/>
      <c r="M26" s="174">
        <f>J26-(K26+L26)</f>
        <v/>
      </c>
      <c r="N26" s="172">
        <f>'June2026-COLLECTION'!K25</f>
        <v/>
      </c>
      <c r="O26" s="172">
        <f>'June2026-EXPENSE'!R29</f>
        <v/>
      </c>
      <c r="P26" s="172" t="n"/>
      <c r="Q26" s="172">
        <f>N26-(O26+P26)</f>
        <v/>
      </c>
      <c r="R26" s="41">
        <f>'July2026-COLLECTION'!K25</f>
        <v/>
      </c>
      <c r="S26" s="174">
        <f>'July2026-EXPENSE'!R29</f>
        <v/>
      </c>
      <c r="T26" s="174" t="n"/>
      <c r="U26" s="174">
        <f>R26-(S26+T26)</f>
        <v/>
      </c>
      <c r="V26" s="167">
        <f>'Aug2026-COLLECTION'!K25</f>
        <v/>
      </c>
      <c r="W26" s="172">
        <f>'Aug2026-EXPENSE'!R29</f>
        <v/>
      </c>
      <c r="X26" s="172" t="n"/>
      <c r="Y26" s="172">
        <f>V26-(W26+X26)</f>
        <v/>
      </c>
      <c r="Z26" s="41">
        <f>'Sep2026-COLLECTION'!K25</f>
        <v/>
      </c>
      <c r="AA26" s="174">
        <f>'Sep2026-EXPENSE'!R29</f>
        <v/>
      </c>
      <c r="AB26" s="174" t="n"/>
      <c r="AC26" s="174">
        <f>Z26-(AA26+AB26)</f>
        <v/>
      </c>
      <c r="AD26" s="41">
        <f>'Oct2026-COLLECTION'!K25</f>
        <v/>
      </c>
      <c r="AE26" s="174">
        <f>'Oct2026-EXPENSE'!R29</f>
        <v/>
      </c>
      <c r="AF26" s="174" t="n"/>
      <c r="AG26" s="174">
        <f>AD26-(AE26+AF26)</f>
        <v/>
      </c>
      <c r="AH26" s="41">
        <f>'Nov2026-COLLECTION'!K25</f>
        <v/>
      </c>
      <c r="AI26" s="174">
        <f>'Nov2026-EXPENSE'!R29</f>
        <v/>
      </c>
      <c r="AJ26" s="174" t="n"/>
      <c r="AK26" s="174">
        <f>AH26-(AI26+AJ26)</f>
        <v/>
      </c>
      <c r="AL26" s="41">
        <f>'Dec2026-COLLECTION'!K25</f>
        <v/>
      </c>
      <c r="AM26" s="174">
        <f>'Dec2026-EXPENSE'!R29</f>
        <v/>
      </c>
      <c r="AN26" s="174" t="n"/>
      <c r="AO26" s="174">
        <f>AL26-(AM26+AN26)</f>
        <v/>
      </c>
      <c r="AP26" s="7">
        <f>'Jan2027-COLLECTION'!K25</f>
        <v/>
      </c>
      <c r="AQ26" s="10">
        <f>'Jan2027-EXPENSE'!R29</f>
        <v/>
      </c>
      <c r="AR26" s="10" t="n"/>
      <c r="AS26" s="174">
        <f>AP26-(AQ26+AR26)</f>
        <v/>
      </c>
      <c r="AT26" s="7">
        <f>'Feb2027-COLLECTION'!K25</f>
        <v/>
      </c>
      <c r="AU26" s="10">
        <f>'Feb2027-EXPENSE'!R29</f>
        <v/>
      </c>
      <c r="AV26" s="10" t="n"/>
      <c r="AW26" s="174">
        <f>AT26-(AU26+AV26)</f>
        <v/>
      </c>
      <c r="AX26" s="7">
        <f>'Mar2027-COLLECTION'!K25</f>
        <v/>
      </c>
      <c r="AY26" s="10">
        <f>'Mar2027-EXPENSE'!R29</f>
        <v/>
      </c>
      <c r="AZ26" s="10" t="n"/>
      <c r="BA26" s="174">
        <f>AX26-(AY26+AZ26)</f>
        <v/>
      </c>
      <c r="BB26" s="172">
        <f>SUM(F26,J26,N26,R26,V26,Z26,AD26,AH26,AL26,AP26,AT26,AX26)</f>
        <v/>
      </c>
      <c r="BC26" s="172">
        <f>SUM(G26,K26,O26,S26,W26,AA26,AE26,AI26,AM26,AQ26,AU26,AY26)</f>
        <v/>
      </c>
      <c r="BD26" s="172">
        <f>SUM(H26,L26,P26,T26,X26,AB26,AF26,AJ26,AN26,AR26,AV26,AZ26)</f>
        <v/>
      </c>
      <c r="BE26" s="172">
        <f>BB26-(BC26+BD26)</f>
        <v/>
      </c>
      <c r="BF26" s="172">
        <f>E26+BE26</f>
        <v/>
      </c>
      <c r="BG26" s="175" t="n">
        <v>0</v>
      </c>
    </row>
    <row r="27" ht="15.75" customHeight="1" s="251">
      <c r="A27" s="169" t="inlineStr">
        <is>
          <t>G9</t>
        </is>
      </c>
      <c r="B27" s="13" t="n"/>
      <c r="C27" s="13" t="inlineStr">
        <is>
          <t>Chandramouli</t>
        </is>
      </c>
      <c r="D27" s="170" t="n">
        <v>0</v>
      </c>
      <c r="E27" s="176" t="n">
        <v>0</v>
      </c>
      <c r="F27" s="171">
        <f>'Apr2026-COLLECTION'!K26</f>
        <v/>
      </c>
      <c r="G27" s="172">
        <f>'Apr2026-EXPENSE'!R30</f>
        <v/>
      </c>
      <c r="H27" s="172" t="n"/>
      <c r="I27" s="172">
        <f>F27-(G27+H27)</f>
        <v/>
      </c>
      <c r="J27" s="173">
        <f>'May2026-COLLECTION'!K26</f>
        <v/>
      </c>
      <c r="K27" s="174">
        <f>'May2026-EXPENSE'!R30</f>
        <v/>
      </c>
      <c r="L27" s="174" t="n"/>
      <c r="M27" s="174">
        <f>J27-(K27+L27)</f>
        <v/>
      </c>
      <c r="N27" s="172">
        <f>'June2026-COLLECTION'!K26</f>
        <v/>
      </c>
      <c r="O27" s="172">
        <f>'June2026-EXPENSE'!R30</f>
        <v/>
      </c>
      <c r="P27" s="172" t="n"/>
      <c r="Q27" s="172">
        <f>N27-(O27+P27)</f>
        <v/>
      </c>
      <c r="R27" s="41">
        <f>'July2026-COLLECTION'!K26</f>
        <v/>
      </c>
      <c r="S27" s="174">
        <f>'July2026-EXPENSE'!R30</f>
        <v/>
      </c>
      <c r="T27" s="174" t="n"/>
      <c r="U27" s="174">
        <f>R27-(S27+T27)</f>
        <v/>
      </c>
      <c r="V27" s="167">
        <f>'Aug2026-COLLECTION'!K26</f>
        <v/>
      </c>
      <c r="W27" s="172">
        <f>'Aug2026-EXPENSE'!R30</f>
        <v/>
      </c>
      <c r="X27" s="172" t="n"/>
      <c r="Y27" s="172">
        <f>V27-(W27+X27)</f>
        <v/>
      </c>
      <c r="Z27" s="41">
        <f>'Sep2026-COLLECTION'!K26</f>
        <v/>
      </c>
      <c r="AA27" s="174">
        <f>'Sep2026-EXPENSE'!R30</f>
        <v/>
      </c>
      <c r="AB27" s="174" t="n"/>
      <c r="AC27" s="174">
        <f>Z27-(AA27+AB27)</f>
        <v/>
      </c>
      <c r="AD27" s="41">
        <f>'Oct2026-COLLECTION'!K26</f>
        <v/>
      </c>
      <c r="AE27" s="174">
        <f>'Oct2026-EXPENSE'!R30</f>
        <v/>
      </c>
      <c r="AF27" s="174" t="n"/>
      <c r="AG27" s="174">
        <f>AD27-(AE27+AF27)</f>
        <v/>
      </c>
      <c r="AH27" s="41">
        <f>'Nov2026-COLLECTION'!K26</f>
        <v/>
      </c>
      <c r="AI27" s="174">
        <f>'Nov2026-EXPENSE'!R30</f>
        <v/>
      </c>
      <c r="AJ27" s="174" t="n"/>
      <c r="AK27" s="174">
        <f>AH27-(AI27+AJ27)</f>
        <v/>
      </c>
      <c r="AL27" s="41">
        <f>'Dec2026-COLLECTION'!K26</f>
        <v/>
      </c>
      <c r="AM27" s="174">
        <f>'Dec2026-EXPENSE'!R30</f>
        <v/>
      </c>
      <c r="AN27" s="174" t="n"/>
      <c r="AO27" s="174">
        <f>AL27-(AM27+AN27)</f>
        <v/>
      </c>
      <c r="AP27" s="7">
        <f>'Jan2027-COLLECTION'!K26</f>
        <v/>
      </c>
      <c r="AQ27" s="10">
        <f>'Jan2027-EXPENSE'!R30</f>
        <v/>
      </c>
      <c r="AR27" s="10" t="n"/>
      <c r="AS27" s="174">
        <f>AP27-(AQ27+AR27)</f>
        <v/>
      </c>
      <c r="AT27" s="7">
        <f>'Feb2027-COLLECTION'!K26</f>
        <v/>
      </c>
      <c r="AU27" s="10">
        <f>'Feb2027-EXPENSE'!R30</f>
        <v/>
      </c>
      <c r="AV27" s="10" t="n"/>
      <c r="AW27" s="174">
        <f>AT27-(AU27+AV27)</f>
        <v/>
      </c>
      <c r="AX27" s="7">
        <f>'Mar2027-COLLECTION'!K26</f>
        <v/>
      </c>
      <c r="AY27" s="10">
        <f>'Mar2027-EXPENSE'!R30</f>
        <v/>
      </c>
      <c r="AZ27" s="10" t="n"/>
      <c r="BA27" s="174">
        <f>AX27-(AY27+AZ27)</f>
        <v/>
      </c>
      <c r="BB27" s="172">
        <f>SUM(F27,J27,N27,R27,V27,Z27,AD27,AH27,AL27,AP27,AT27,AX27)</f>
        <v/>
      </c>
      <c r="BC27" s="172">
        <f>SUM(G27,K27,O27,S27,W27,AA27,AE27,AI27,AM27,AQ27,AU27,AY27)</f>
        <v/>
      </c>
      <c r="BD27" s="172">
        <f>SUM(H27,L27,P27,T27,X27,AB27,AF27,AJ27,AN27,AR27,AV27,AZ27)</f>
        <v/>
      </c>
      <c r="BE27" s="172">
        <f>BB27-(BC27+BD27)</f>
        <v/>
      </c>
      <c r="BF27" s="172">
        <f>E27+BE27</f>
        <v/>
      </c>
      <c r="BG27" s="175" t="n">
        <v>0</v>
      </c>
    </row>
    <row r="28" ht="15.75" customHeight="1" s="251">
      <c r="A28" s="169" t="inlineStr">
        <is>
          <t>G10</t>
        </is>
      </c>
      <c r="B28" s="13" t="n"/>
      <c r="C28" s="13" t="inlineStr">
        <is>
          <t xml:space="preserve">Cijo Jacob / Thara Joy </t>
        </is>
      </c>
      <c r="D28" s="170" t="n">
        <v>0</v>
      </c>
      <c r="E28" s="176" t="n">
        <v>0</v>
      </c>
      <c r="F28" s="171">
        <f>'Apr2026-COLLECTION'!K27</f>
        <v/>
      </c>
      <c r="G28" s="172">
        <f>'Apr2026-EXPENSE'!R31</f>
        <v/>
      </c>
      <c r="H28" s="172" t="n"/>
      <c r="I28" s="172">
        <f>F28-(G28+H28)</f>
        <v/>
      </c>
      <c r="J28" s="173">
        <f>'May2026-COLLECTION'!K27</f>
        <v/>
      </c>
      <c r="K28" s="174">
        <f>'May2026-EXPENSE'!R31</f>
        <v/>
      </c>
      <c r="L28" s="174" t="n"/>
      <c r="M28" s="174">
        <f>J28-(K28+L28)</f>
        <v/>
      </c>
      <c r="N28" s="172">
        <f>'June2026-COLLECTION'!K27</f>
        <v/>
      </c>
      <c r="O28" s="172">
        <f>'June2026-EXPENSE'!R31</f>
        <v/>
      </c>
      <c r="P28" s="172" t="n"/>
      <c r="Q28" s="172">
        <f>N28-(O28+P28)</f>
        <v/>
      </c>
      <c r="R28" s="41">
        <f>'July2026-COLLECTION'!K27</f>
        <v/>
      </c>
      <c r="S28" s="174">
        <f>'July2026-EXPENSE'!R31</f>
        <v/>
      </c>
      <c r="T28" s="174" t="n"/>
      <c r="U28" s="174">
        <f>R28-(S28+T28)</f>
        <v/>
      </c>
      <c r="V28" s="167">
        <f>'Aug2026-COLLECTION'!K27</f>
        <v/>
      </c>
      <c r="W28" s="172">
        <f>'Aug2026-EXPENSE'!R31</f>
        <v/>
      </c>
      <c r="X28" s="172" t="n"/>
      <c r="Y28" s="172">
        <f>V28-(W28+X28)</f>
        <v/>
      </c>
      <c r="Z28" s="41">
        <f>'Sep2026-COLLECTION'!K27</f>
        <v/>
      </c>
      <c r="AA28" s="174">
        <f>'Sep2026-EXPENSE'!R31</f>
        <v/>
      </c>
      <c r="AB28" s="174" t="n"/>
      <c r="AC28" s="174">
        <f>Z28-(AA28+AB28)</f>
        <v/>
      </c>
      <c r="AD28" s="41">
        <f>'Oct2026-COLLECTION'!K27</f>
        <v/>
      </c>
      <c r="AE28" s="174">
        <f>'Oct2026-EXPENSE'!R31</f>
        <v/>
      </c>
      <c r="AF28" s="174" t="n"/>
      <c r="AG28" s="174">
        <f>AD28-(AE28+AF28)</f>
        <v/>
      </c>
      <c r="AH28" s="41">
        <f>'Nov2026-COLLECTION'!K27</f>
        <v/>
      </c>
      <c r="AI28" s="174">
        <f>'Nov2026-EXPENSE'!R31</f>
        <v/>
      </c>
      <c r="AJ28" s="174" t="n"/>
      <c r="AK28" s="174">
        <f>AH28-(AI28+AJ28)</f>
        <v/>
      </c>
      <c r="AL28" s="41">
        <f>'Dec2026-COLLECTION'!K27</f>
        <v/>
      </c>
      <c r="AM28" s="174">
        <f>'Dec2026-EXPENSE'!R31</f>
        <v/>
      </c>
      <c r="AN28" s="174" t="n"/>
      <c r="AO28" s="174">
        <f>AL28-(AM28+AN28)</f>
        <v/>
      </c>
      <c r="AP28" s="7">
        <f>'Jan2027-COLLECTION'!K27</f>
        <v/>
      </c>
      <c r="AQ28" s="10">
        <f>'Jan2027-EXPENSE'!R31</f>
        <v/>
      </c>
      <c r="AR28" s="10" t="n"/>
      <c r="AS28" s="174">
        <f>AP28-(AQ28+AR28)</f>
        <v/>
      </c>
      <c r="AT28" s="7">
        <f>'Feb2027-COLLECTION'!K27</f>
        <v/>
      </c>
      <c r="AU28" s="10">
        <f>'Feb2027-EXPENSE'!R31</f>
        <v/>
      </c>
      <c r="AV28" s="10" t="n"/>
      <c r="AW28" s="174">
        <f>AT28-(AU28+AV28)</f>
        <v/>
      </c>
      <c r="AX28" s="7">
        <f>'Mar2027-COLLECTION'!K27</f>
        <v/>
      </c>
      <c r="AY28" s="10">
        <f>'Mar2027-EXPENSE'!R31</f>
        <v/>
      </c>
      <c r="AZ28" s="10" t="n"/>
      <c r="BA28" s="174">
        <f>AX28-(AY28+AZ28)</f>
        <v/>
      </c>
      <c r="BB28" s="172">
        <f>SUM(F28,J28,N28,R28,V28,Z28,AD28,AH28,AL28,AP28,AT28,AX28)</f>
        <v/>
      </c>
      <c r="BC28" s="172">
        <f>SUM(G28,K28,O28,S28,W28,AA28,AE28,AI28,AM28,AQ28,AU28,AY28)</f>
        <v/>
      </c>
      <c r="BD28" s="172">
        <f>SUM(H28,L28,P28,T28,X28,AB28,AF28,AJ28,AN28,AR28,AV28,AZ28)</f>
        <v/>
      </c>
      <c r="BE28" s="172">
        <f>BB28-(BC28+BD28)</f>
        <v/>
      </c>
      <c r="BF28" s="172">
        <f>E28+BE28</f>
        <v/>
      </c>
      <c r="BG28" s="175" t="n">
        <v>0</v>
      </c>
    </row>
    <row r="29" ht="15.75" customHeight="1" s="251">
      <c r="A29" s="169" t="inlineStr">
        <is>
          <t>G11</t>
        </is>
      </c>
      <c r="B29" s="13" t="n"/>
      <c r="C29" s="13" t="inlineStr">
        <is>
          <t>Ketan Verlekar</t>
        </is>
      </c>
      <c r="D29" s="170" t="n">
        <v>0</v>
      </c>
      <c r="E29" s="176" t="n">
        <v>0</v>
      </c>
      <c r="F29" s="171">
        <f>'Apr2026-COLLECTION'!K28</f>
        <v/>
      </c>
      <c r="G29" s="172">
        <f>'Apr2026-EXPENSE'!R32</f>
        <v/>
      </c>
      <c r="H29" s="172" t="n"/>
      <c r="I29" s="172">
        <f>F29-(G29+H29)</f>
        <v/>
      </c>
      <c r="J29" s="173">
        <f>'May2026-COLLECTION'!K28</f>
        <v/>
      </c>
      <c r="K29" s="174">
        <f>'May2026-EXPENSE'!R32</f>
        <v/>
      </c>
      <c r="L29" s="174" t="n"/>
      <c r="M29" s="174">
        <f>J29-(K29+L29)</f>
        <v/>
      </c>
      <c r="N29" s="172">
        <f>'June2026-COLLECTION'!K28</f>
        <v/>
      </c>
      <c r="O29" s="172">
        <f>'June2026-EXPENSE'!R32</f>
        <v/>
      </c>
      <c r="P29" s="172" t="n"/>
      <c r="Q29" s="172">
        <f>N29-(O29+P29)</f>
        <v/>
      </c>
      <c r="R29" s="41">
        <f>'July2026-COLLECTION'!K28</f>
        <v/>
      </c>
      <c r="S29" s="174">
        <f>'July2026-EXPENSE'!R32</f>
        <v/>
      </c>
      <c r="T29" s="174" t="n"/>
      <c r="U29" s="174">
        <f>R29-(S29+T29)</f>
        <v/>
      </c>
      <c r="V29" s="167">
        <f>'Aug2026-COLLECTION'!K28</f>
        <v/>
      </c>
      <c r="W29" s="172">
        <f>'Aug2026-EXPENSE'!R32</f>
        <v/>
      </c>
      <c r="X29" s="172" t="n"/>
      <c r="Y29" s="172">
        <f>V29-(W29+X29)</f>
        <v/>
      </c>
      <c r="Z29" s="41">
        <f>'Sep2026-COLLECTION'!K28</f>
        <v/>
      </c>
      <c r="AA29" s="174">
        <f>'Sep2026-EXPENSE'!R32</f>
        <v/>
      </c>
      <c r="AB29" s="174" t="n"/>
      <c r="AC29" s="174">
        <f>Z29-(AA29+AB29)</f>
        <v/>
      </c>
      <c r="AD29" s="41">
        <f>'Oct2026-COLLECTION'!K28</f>
        <v/>
      </c>
      <c r="AE29" s="174">
        <f>'Oct2026-EXPENSE'!R32</f>
        <v/>
      </c>
      <c r="AF29" s="174" t="n"/>
      <c r="AG29" s="174">
        <f>AD29-(AE29+AF29)</f>
        <v/>
      </c>
      <c r="AH29" s="41">
        <f>'Nov2026-COLLECTION'!K28</f>
        <v/>
      </c>
      <c r="AI29" s="174">
        <f>'Nov2026-EXPENSE'!R32</f>
        <v/>
      </c>
      <c r="AJ29" s="174" t="n"/>
      <c r="AK29" s="174">
        <f>AH29-(AI29+AJ29)</f>
        <v/>
      </c>
      <c r="AL29" s="41">
        <f>'Dec2026-COLLECTION'!K28</f>
        <v/>
      </c>
      <c r="AM29" s="174">
        <f>'Dec2026-EXPENSE'!R32</f>
        <v/>
      </c>
      <c r="AN29" s="174" t="n"/>
      <c r="AO29" s="174">
        <f>AL29-(AM29+AN29)</f>
        <v/>
      </c>
      <c r="AP29" s="7">
        <f>'Jan2027-COLLECTION'!K28</f>
        <v/>
      </c>
      <c r="AQ29" s="10">
        <f>'Jan2027-EXPENSE'!R32</f>
        <v/>
      </c>
      <c r="AR29" s="10" t="n"/>
      <c r="AS29" s="174">
        <f>AP29-(AQ29+AR29)</f>
        <v/>
      </c>
      <c r="AT29" s="7">
        <f>'Feb2027-COLLECTION'!K28</f>
        <v/>
      </c>
      <c r="AU29" s="10">
        <f>'Feb2027-EXPENSE'!R32</f>
        <v/>
      </c>
      <c r="AV29" s="10" t="n"/>
      <c r="AW29" s="174">
        <f>AT29-(AU29+AV29)</f>
        <v/>
      </c>
      <c r="AX29" s="7">
        <f>'Mar2027-COLLECTION'!K28</f>
        <v/>
      </c>
      <c r="AY29" s="10">
        <f>'Mar2027-EXPENSE'!R32</f>
        <v/>
      </c>
      <c r="AZ29" s="10" t="n"/>
      <c r="BA29" s="174">
        <f>AX29-(AY29+AZ29)</f>
        <v/>
      </c>
      <c r="BB29" s="172">
        <f>SUM(F29,J29,N29,R29,V29,Z29,AD29,AH29,AL29,AP29,AT29,AX29)</f>
        <v/>
      </c>
      <c r="BC29" s="172">
        <f>SUM(G29,K29,O29,S29,W29,AA29,AE29,AI29,AM29,AQ29,AU29,AY29)</f>
        <v/>
      </c>
      <c r="BD29" s="172">
        <f>SUM(H29,L29,P29,T29,X29,AB29,AF29,AJ29,AN29,AR29,AV29,AZ29)</f>
        <v/>
      </c>
      <c r="BE29" s="172">
        <f>BB29-(BC29+BD29)</f>
        <v/>
      </c>
      <c r="BF29" s="172">
        <f>E29+BE29</f>
        <v/>
      </c>
      <c r="BG29" s="175" t="n">
        <v>0</v>
      </c>
    </row>
    <row r="30" ht="15.75" customHeight="1" s="251">
      <c r="A30" s="169" t="inlineStr">
        <is>
          <t>G12</t>
        </is>
      </c>
      <c r="B30" s="13" t="n"/>
      <c r="C30" s="13" t="inlineStr">
        <is>
          <t>Shyam Nair</t>
        </is>
      </c>
      <c r="D30" s="170" t="n">
        <v>0</v>
      </c>
      <c r="E30" s="176" t="n">
        <v>0</v>
      </c>
      <c r="F30" s="171">
        <f>'Apr2026-COLLECTION'!K29</f>
        <v/>
      </c>
      <c r="G30" s="172">
        <f>'Apr2026-EXPENSE'!R33</f>
        <v/>
      </c>
      <c r="H30" s="172" t="n"/>
      <c r="I30" s="172">
        <f>F30-(G30+H30)</f>
        <v/>
      </c>
      <c r="J30" s="173">
        <f>'May2026-COLLECTION'!K29</f>
        <v/>
      </c>
      <c r="K30" s="174">
        <f>'May2026-EXPENSE'!R33</f>
        <v/>
      </c>
      <c r="L30" s="174" t="n"/>
      <c r="M30" s="174">
        <f>J30-(K30+L30)</f>
        <v/>
      </c>
      <c r="N30" s="172">
        <f>'June2026-COLLECTION'!K29</f>
        <v/>
      </c>
      <c r="O30" s="172">
        <f>'June2026-EXPENSE'!R33</f>
        <v/>
      </c>
      <c r="P30" s="172" t="n"/>
      <c r="Q30" s="172">
        <f>N30-(O30+P30)</f>
        <v/>
      </c>
      <c r="R30" s="41">
        <f>'July2026-COLLECTION'!K29</f>
        <v/>
      </c>
      <c r="S30" s="174">
        <f>'July2026-EXPENSE'!R33</f>
        <v/>
      </c>
      <c r="T30" s="174" t="n"/>
      <c r="U30" s="174">
        <f>R30-(S30+T30)</f>
        <v/>
      </c>
      <c r="V30" s="167">
        <f>'Aug2026-COLLECTION'!K29</f>
        <v/>
      </c>
      <c r="W30" s="172">
        <f>'Aug2026-EXPENSE'!R33</f>
        <v/>
      </c>
      <c r="X30" s="172" t="n"/>
      <c r="Y30" s="172">
        <f>V30-(W30+X30)</f>
        <v/>
      </c>
      <c r="Z30" s="41">
        <f>'Sep2026-COLLECTION'!K29</f>
        <v/>
      </c>
      <c r="AA30" s="174">
        <f>'Sep2026-EXPENSE'!R33</f>
        <v/>
      </c>
      <c r="AB30" s="174" t="n"/>
      <c r="AC30" s="174">
        <f>Z30-(AA30+AB30)</f>
        <v/>
      </c>
      <c r="AD30" s="41">
        <f>'Oct2026-COLLECTION'!K29</f>
        <v/>
      </c>
      <c r="AE30" s="174">
        <f>'Oct2026-EXPENSE'!R33</f>
        <v/>
      </c>
      <c r="AF30" s="174" t="n"/>
      <c r="AG30" s="174">
        <f>AD30-(AE30+AF30)</f>
        <v/>
      </c>
      <c r="AH30" s="41">
        <f>'Nov2026-COLLECTION'!K29</f>
        <v/>
      </c>
      <c r="AI30" s="174">
        <f>'Nov2026-EXPENSE'!R33</f>
        <v/>
      </c>
      <c r="AJ30" s="174" t="n"/>
      <c r="AK30" s="174">
        <f>AH30-(AI30+AJ30)</f>
        <v/>
      </c>
      <c r="AL30" s="41">
        <f>'Dec2026-COLLECTION'!K29</f>
        <v/>
      </c>
      <c r="AM30" s="174">
        <f>'Dec2026-EXPENSE'!R33</f>
        <v/>
      </c>
      <c r="AN30" s="174" t="n"/>
      <c r="AO30" s="174">
        <f>AL30-(AM30+AN30)</f>
        <v/>
      </c>
      <c r="AP30" s="7">
        <f>'Jan2027-COLLECTION'!K29</f>
        <v/>
      </c>
      <c r="AQ30" s="10">
        <f>'Jan2027-EXPENSE'!R33</f>
        <v/>
      </c>
      <c r="AR30" s="10" t="n"/>
      <c r="AS30" s="174">
        <f>AP30-(AQ30+AR30)</f>
        <v/>
      </c>
      <c r="AT30" s="7">
        <f>'Feb2027-COLLECTION'!K29</f>
        <v/>
      </c>
      <c r="AU30" s="10">
        <f>'Feb2027-EXPENSE'!R33</f>
        <v/>
      </c>
      <c r="AV30" s="10" t="n"/>
      <c r="AW30" s="174">
        <f>AT30-(AU30+AV30)</f>
        <v/>
      </c>
      <c r="AX30" s="7">
        <f>'Mar2027-COLLECTION'!K29</f>
        <v/>
      </c>
      <c r="AY30" s="10">
        <f>'Mar2027-EXPENSE'!R33</f>
        <v/>
      </c>
      <c r="AZ30" s="10" t="n"/>
      <c r="BA30" s="174">
        <f>AX30-(AY30+AZ30)</f>
        <v/>
      </c>
      <c r="BB30" s="172">
        <f>SUM(F30,J30,N30,R30,V30,Z30,AD30,AH30,AL30,AP30,AT30,AX30)</f>
        <v/>
      </c>
      <c r="BC30" s="172">
        <f>SUM(G30,K30,O30,S30,W30,AA30,AE30,AI30,AM30,AQ30,AU30,AY30)</f>
        <v/>
      </c>
      <c r="BD30" s="172">
        <f>SUM(H30,L30,P30,T30,X30,AB30,AF30,AJ30,AN30,AR30,AV30,AZ30)</f>
        <v/>
      </c>
      <c r="BE30" s="172">
        <f>BB30-(BC30+BD30)</f>
        <v/>
      </c>
      <c r="BF30" s="172">
        <f>E30+BE30</f>
        <v/>
      </c>
      <c r="BG30" s="175" t="n">
        <v>0</v>
      </c>
    </row>
    <row r="31" ht="15.75" customHeight="1" s="251">
      <c r="A31" s="169" t="inlineStr">
        <is>
          <t>G13</t>
        </is>
      </c>
      <c r="B31" s="13" t="n"/>
      <c r="C31" s="13" t="inlineStr">
        <is>
          <t>Ajai.B</t>
        </is>
      </c>
      <c r="D31" s="170" t="n">
        <v>0</v>
      </c>
      <c r="E31" s="176" t="n">
        <v>0</v>
      </c>
      <c r="F31" s="171">
        <f>'Apr2026-COLLECTION'!K30</f>
        <v/>
      </c>
      <c r="G31" s="172">
        <f>'Apr2026-EXPENSE'!R34</f>
        <v/>
      </c>
      <c r="H31" s="172" t="n"/>
      <c r="I31" s="172">
        <f>F31-(G31+H31)</f>
        <v/>
      </c>
      <c r="J31" s="173">
        <f>'May2026-COLLECTION'!K30</f>
        <v/>
      </c>
      <c r="K31" s="174">
        <f>'May2026-EXPENSE'!R34</f>
        <v/>
      </c>
      <c r="L31" s="174" t="n">
        <v>0</v>
      </c>
      <c r="M31" s="174">
        <f>J31-(K31+L31)</f>
        <v/>
      </c>
      <c r="N31" s="172">
        <f>'June2026-COLLECTION'!K30</f>
        <v/>
      </c>
      <c r="O31" s="172">
        <f>'June2026-EXPENSE'!R34</f>
        <v/>
      </c>
      <c r="P31" s="172" t="n"/>
      <c r="Q31" s="172">
        <f>N31-(O31+P31)</f>
        <v/>
      </c>
      <c r="R31" s="41">
        <f>'July2026-COLLECTION'!K30</f>
        <v/>
      </c>
      <c r="S31" s="174">
        <f>'July2026-EXPENSE'!R34</f>
        <v/>
      </c>
      <c r="T31" s="174" t="n"/>
      <c r="U31" s="174">
        <f>R31-(S31+T31)</f>
        <v/>
      </c>
      <c r="V31" s="167">
        <f>'Aug2026-COLLECTION'!K30</f>
        <v/>
      </c>
      <c r="W31" s="172">
        <f>'Aug2026-EXPENSE'!R34</f>
        <v/>
      </c>
      <c r="X31" s="172" t="n"/>
      <c r="Y31" s="172">
        <f>V31-(W31+X31)</f>
        <v/>
      </c>
      <c r="Z31" s="41">
        <f>'Sep2026-COLLECTION'!K30</f>
        <v/>
      </c>
      <c r="AA31" s="174">
        <f>'Sep2026-EXPENSE'!R34</f>
        <v/>
      </c>
      <c r="AB31" s="174" t="n"/>
      <c r="AC31" s="174">
        <f>Z31-(AA31+AB31)</f>
        <v/>
      </c>
      <c r="AD31" s="41">
        <f>'Oct2026-COLLECTION'!K30</f>
        <v/>
      </c>
      <c r="AE31" s="174">
        <f>'Oct2026-EXPENSE'!R34</f>
        <v/>
      </c>
      <c r="AF31" s="174" t="n"/>
      <c r="AG31" s="174">
        <f>AD31-(AE31+AF31)</f>
        <v/>
      </c>
      <c r="AH31" s="41">
        <f>'Nov2026-COLLECTION'!K30</f>
        <v/>
      </c>
      <c r="AI31" s="174">
        <f>'Nov2026-EXPENSE'!R34</f>
        <v/>
      </c>
      <c r="AJ31" s="174" t="n"/>
      <c r="AK31" s="174">
        <f>AH31-(AI31+AJ31)</f>
        <v/>
      </c>
      <c r="AL31" s="41">
        <f>'Dec2026-COLLECTION'!K30</f>
        <v/>
      </c>
      <c r="AM31" s="174">
        <f>'Dec2026-EXPENSE'!R34</f>
        <v/>
      </c>
      <c r="AN31" s="174" t="n"/>
      <c r="AO31" s="174">
        <f>AL31-(AM31+AN31)</f>
        <v/>
      </c>
      <c r="AP31" s="7">
        <f>'Jan2027-COLLECTION'!K30</f>
        <v/>
      </c>
      <c r="AQ31" s="10">
        <f>'Jan2027-EXPENSE'!R34</f>
        <v/>
      </c>
      <c r="AR31" s="10" t="n"/>
      <c r="AS31" s="174">
        <f>AP31-(AQ31+AR31)</f>
        <v/>
      </c>
      <c r="AT31" s="7">
        <f>'Feb2027-COLLECTION'!K30</f>
        <v/>
      </c>
      <c r="AU31" s="10">
        <f>'Feb2027-EXPENSE'!R34</f>
        <v/>
      </c>
      <c r="AV31" s="10" t="n"/>
      <c r="AW31" s="174">
        <f>AT31-(AU31+AV31)</f>
        <v/>
      </c>
      <c r="AX31" s="7">
        <f>'Mar2027-COLLECTION'!K30</f>
        <v/>
      </c>
      <c r="AY31" s="10">
        <f>'Mar2027-EXPENSE'!R34</f>
        <v/>
      </c>
      <c r="AZ31" s="10" t="n"/>
      <c r="BA31" s="174">
        <f>AX31-(AY31+AZ31)</f>
        <v/>
      </c>
      <c r="BB31" s="172">
        <f>SUM(F31,J31,N31,R31,V31,Z31,AD31,AH31,AL31,AP31,AT31,AX31)</f>
        <v/>
      </c>
      <c r="BC31" s="172">
        <f>SUM(G31,K31,O31,S31,W31,AA31,AE31,AI31,AM31,AQ31,AU31,AY31)</f>
        <v/>
      </c>
      <c r="BD31" s="172">
        <f>SUM(H31,L31,P31,T31,X31,AB31,AF31,AJ31,AN31,AR31,AV31,AZ31)</f>
        <v/>
      </c>
      <c r="BE31" s="172">
        <f>BB31-(BC31+BD31)</f>
        <v/>
      </c>
      <c r="BF31" s="172">
        <f>E31+BE31</f>
        <v/>
      </c>
      <c r="BG31" s="175" t="n">
        <v>0</v>
      </c>
    </row>
    <row r="32" ht="15.75" customHeight="1" s="251">
      <c r="A32" s="169" t="inlineStr">
        <is>
          <t>G14</t>
        </is>
      </c>
      <c r="B32" s="13" t="n"/>
      <c r="C32" s="13" t="inlineStr">
        <is>
          <t>Surajit Borah</t>
        </is>
      </c>
      <c r="D32" s="170" t="n">
        <v>0</v>
      </c>
      <c r="E32" s="176" t="n">
        <v>0</v>
      </c>
      <c r="F32" s="171">
        <f>'Apr2026-COLLECTION'!K31</f>
        <v/>
      </c>
      <c r="G32" s="172">
        <f>'Apr2026-EXPENSE'!R35</f>
        <v/>
      </c>
      <c r="H32" s="172" t="n"/>
      <c r="I32" s="172">
        <f>F32-(G32+H32)</f>
        <v/>
      </c>
      <c r="J32" s="173">
        <f>'May2026-COLLECTION'!K31</f>
        <v/>
      </c>
      <c r="K32" s="174">
        <f>'May2026-EXPENSE'!R35</f>
        <v/>
      </c>
      <c r="L32" s="174" t="n"/>
      <c r="M32" s="174">
        <f>J32-(K32+L32)</f>
        <v/>
      </c>
      <c r="N32" s="172">
        <f>'June2026-COLLECTION'!K31</f>
        <v/>
      </c>
      <c r="O32" s="172">
        <f>'June2026-EXPENSE'!R35</f>
        <v/>
      </c>
      <c r="P32" s="172" t="n"/>
      <c r="Q32" s="172">
        <f>N32-(O32+P32)</f>
        <v/>
      </c>
      <c r="R32" s="41">
        <f>'July2026-COLLECTION'!K31</f>
        <v/>
      </c>
      <c r="S32" s="174">
        <f>'July2026-EXPENSE'!R35</f>
        <v/>
      </c>
      <c r="T32" s="174" t="n"/>
      <c r="U32" s="174">
        <f>R32-(S32+T32)</f>
        <v/>
      </c>
      <c r="V32" s="167">
        <f>'Aug2026-COLLECTION'!K31</f>
        <v/>
      </c>
      <c r="W32" s="172">
        <f>'Aug2026-EXPENSE'!R35</f>
        <v/>
      </c>
      <c r="X32" s="172" t="n"/>
      <c r="Y32" s="172">
        <f>V32-(W32+X32)</f>
        <v/>
      </c>
      <c r="Z32" s="41">
        <f>'Sep2026-COLLECTION'!K31</f>
        <v/>
      </c>
      <c r="AA32" s="174">
        <f>'Sep2026-EXPENSE'!R35</f>
        <v/>
      </c>
      <c r="AB32" s="174" t="n"/>
      <c r="AC32" s="174">
        <f>Z32-(AA32+AB32)</f>
        <v/>
      </c>
      <c r="AD32" s="41">
        <f>'Oct2026-COLLECTION'!K31</f>
        <v/>
      </c>
      <c r="AE32" s="174">
        <f>'Oct2026-EXPENSE'!R35</f>
        <v/>
      </c>
      <c r="AF32" s="174" t="n"/>
      <c r="AG32" s="174">
        <f>AD32-(AE32+AF32)</f>
        <v/>
      </c>
      <c r="AH32" s="41">
        <f>'Nov2026-COLLECTION'!K31</f>
        <v/>
      </c>
      <c r="AI32" s="174">
        <f>'Nov2026-EXPENSE'!R35</f>
        <v/>
      </c>
      <c r="AJ32" s="174" t="n"/>
      <c r="AK32" s="174">
        <f>AH32-(AI32+AJ32)</f>
        <v/>
      </c>
      <c r="AL32" s="41">
        <f>'Dec2026-COLLECTION'!K31</f>
        <v/>
      </c>
      <c r="AM32" s="174">
        <f>'Dec2026-EXPENSE'!R35</f>
        <v/>
      </c>
      <c r="AN32" s="174" t="n"/>
      <c r="AO32" s="174">
        <f>AL32-(AM32+AN32)</f>
        <v/>
      </c>
      <c r="AP32" s="7">
        <f>'Jan2027-COLLECTION'!K31</f>
        <v/>
      </c>
      <c r="AQ32" s="10">
        <f>'Jan2027-EXPENSE'!R35</f>
        <v/>
      </c>
      <c r="AR32" s="10" t="n"/>
      <c r="AS32" s="174">
        <f>AP32-(AQ32+AR32)</f>
        <v/>
      </c>
      <c r="AT32" s="7">
        <f>'Feb2027-COLLECTION'!K31</f>
        <v/>
      </c>
      <c r="AU32" s="10">
        <f>'Feb2027-EXPENSE'!R35</f>
        <v/>
      </c>
      <c r="AV32" s="10" t="n"/>
      <c r="AW32" s="174">
        <f>AT32-(AU32+AV32)</f>
        <v/>
      </c>
      <c r="AX32" s="7">
        <f>'Mar2027-COLLECTION'!K31</f>
        <v/>
      </c>
      <c r="AY32" s="10">
        <f>'Mar2027-EXPENSE'!R35</f>
        <v/>
      </c>
      <c r="AZ32" s="10" t="n"/>
      <c r="BA32" s="174">
        <f>AX32-(AY32+AZ32)</f>
        <v/>
      </c>
      <c r="BB32" s="172">
        <f>SUM(F32,J32,N32,R32,V32,Z32,AD32,AH32,AL32,AP32,AT32,AX32)</f>
        <v/>
      </c>
      <c r="BC32" s="172">
        <f>SUM(G32,K32,O32,S32,W32,AA32,AE32,AI32,AM32,AQ32,AU32,AY32)</f>
        <v/>
      </c>
      <c r="BD32" s="172">
        <f>SUM(H32,L32,P32,T32,X32,AB32,AF32,AJ32,AN32,AR32,AV32,AZ32)</f>
        <v/>
      </c>
      <c r="BE32" s="172">
        <f>BB32-(BC32+BD32)</f>
        <v/>
      </c>
      <c r="BF32" s="172">
        <f>E32+BE32</f>
        <v/>
      </c>
      <c r="BG32" s="175" t="n">
        <v>0</v>
      </c>
    </row>
    <row r="33" ht="15.75" customHeight="1" s="251">
      <c r="A33" s="169" t="inlineStr">
        <is>
          <t>G15</t>
        </is>
      </c>
      <c r="B33" s="13" t="n"/>
      <c r="C33" s="13" t="inlineStr">
        <is>
          <t>Suresh Nallusamy / Antriksh (tenant)</t>
        </is>
      </c>
      <c r="D33" s="170" t="n">
        <v>0</v>
      </c>
      <c r="E33" s="176" t="n">
        <v>0</v>
      </c>
      <c r="F33" s="171">
        <f>'Apr2026-COLLECTION'!K32</f>
        <v/>
      </c>
      <c r="G33" s="172">
        <f>'Apr2026-EXPENSE'!R36</f>
        <v/>
      </c>
      <c r="H33" s="172" t="n"/>
      <c r="I33" s="172">
        <f>F33-(G33+H33)</f>
        <v/>
      </c>
      <c r="J33" s="173">
        <f>'May2026-COLLECTION'!K32</f>
        <v/>
      </c>
      <c r="K33" s="174">
        <f>'May2026-EXPENSE'!R36</f>
        <v/>
      </c>
      <c r="L33" s="174" t="n"/>
      <c r="M33" s="174">
        <f>J33-(K33+L33)</f>
        <v/>
      </c>
      <c r="N33" s="172">
        <f>'June2026-COLLECTION'!K32</f>
        <v/>
      </c>
      <c r="O33" s="172">
        <f>'June2026-EXPENSE'!R36</f>
        <v/>
      </c>
      <c r="P33" s="172" t="n"/>
      <c r="Q33" s="172">
        <f>N33-(O33+P33)</f>
        <v/>
      </c>
      <c r="R33" s="41">
        <f>'July2026-COLLECTION'!K32</f>
        <v/>
      </c>
      <c r="S33" s="174">
        <f>'July2026-EXPENSE'!R36</f>
        <v/>
      </c>
      <c r="T33" s="174" t="n"/>
      <c r="U33" s="174">
        <f>R33-(S33+T33)</f>
        <v/>
      </c>
      <c r="V33" s="167">
        <f>'Aug2026-COLLECTION'!K32</f>
        <v/>
      </c>
      <c r="W33" s="172">
        <f>'Aug2026-EXPENSE'!R36</f>
        <v/>
      </c>
      <c r="X33" s="172" t="n"/>
      <c r="Y33" s="172">
        <f>V33-(W33+X33)</f>
        <v/>
      </c>
      <c r="Z33" s="41">
        <f>'Sep2026-COLLECTION'!K32</f>
        <v/>
      </c>
      <c r="AA33" s="174">
        <f>'Sep2026-EXPENSE'!R36</f>
        <v/>
      </c>
      <c r="AB33" s="174" t="n"/>
      <c r="AC33" s="174">
        <f>Z33-(AA33+AB33)</f>
        <v/>
      </c>
      <c r="AD33" s="41">
        <f>'Oct2026-COLLECTION'!K32</f>
        <v/>
      </c>
      <c r="AE33" s="174">
        <f>'Oct2026-EXPENSE'!R36</f>
        <v/>
      </c>
      <c r="AF33" s="174" t="n"/>
      <c r="AG33" s="174">
        <f>AD33-(AE33+AF33)</f>
        <v/>
      </c>
      <c r="AH33" s="41">
        <f>'Nov2026-COLLECTION'!K32</f>
        <v/>
      </c>
      <c r="AI33" s="174">
        <f>'Nov2026-EXPENSE'!R36</f>
        <v/>
      </c>
      <c r="AJ33" s="174" t="n"/>
      <c r="AK33" s="174">
        <f>AH33-(AI33+AJ33)</f>
        <v/>
      </c>
      <c r="AL33" s="41">
        <f>'Dec2026-COLLECTION'!K32</f>
        <v/>
      </c>
      <c r="AM33" s="174">
        <f>'Dec2026-EXPENSE'!R36</f>
        <v/>
      </c>
      <c r="AN33" s="174" t="n"/>
      <c r="AO33" s="174">
        <f>AL33-(AM33+AN33)</f>
        <v/>
      </c>
      <c r="AP33" s="7">
        <f>'Jan2027-COLLECTION'!K32</f>
        <v/>
      </c>
      <c r="AQ33" s="10">
        <f>'Jan2027-EXPENSE'!R36</f>
        <v/>
      </c>
      <c r="AR33" s="10" t="n"/>
      <c r="AS33" s="174">
        <f>AP33-(AQ33+AR33)</f>
        <v/>
      </c>
      <c r="AT33" s="7">
        <f>'Feb2027-COLLECTION'!K32</f>
        <v/>
      </c>
      <c r="AU33" s="10">
        <f>'Feb2027-EXPENSE'!R36</f>
        <v/>
      </c>
      <c r="AV33" s="10" t="n"/>
      <c r="AW33" s="174">
        <f>AT33-(AU33+AV33)</f>
        <v/>
      </c>
      <c r="AX33" s="7">
        <f>'Mar2027-COLLECTION'!K32</f>
        <v/>
      </c>
      <c r="AY33" s="10">
        <f>'Mar2027-EXPENSE'!R36</f>
        <v/>
      </c>
      <c r="AZ33" s="10" t="n"/>
      <c r="BA33" s="174">
        <f>AX33-(AY33+AZ33)</f>
        <v/>
      </c>
      <c r="BB33" s="172">
        <f>SUM(F33,J33,N33,R33,V33,Z33,AD33,AH33,AL33,AP33,AT33,AX33)</f>
        <v/>
      </c>
      <c r="BC33" s="172">
        <f>SUM(G33,K33,O33,S33,W33,AA33,AE33,AI33,AM33,AQ33,AU33,AY33)</f>
        <v/>
      </c>
      <c r="BD33" s="172">
        <f>SUM(H33,L33,P33,T33,X33,AB33,AF33,AJ33,AN33,AR33,AV33,AZ33)</f>
        <v/>
      </c>
      <c r="BE33" s="172">
        <f>BB33-(BC33+BD33)</f>
        <v/>
      </c>
      <c r="BF33" s="172">
        <f>E33+BE33</f>
        <v/>
      </c>
      <c r="BG33" s="175" t="n">
        <v>0</v>
      </c>
    </row>
    <row r="34" ht="15.75" customHeight="1" s="251">
      <c r="A34" s="169" t="inlineStr">
        <is>
          <t>G16</t>
        </is>
      </c>
      <c r="B34" s="13" t="n"/>
      <c r="C34" s="13" t="inlineStr">
        <is>
          <t>Praveen Ganesan</t>
        </is>
      </c>
      <c r="D34" s="170" t="n">
        <v>0</v>
      </c>
      <c r="E34" s="179" t="n">
        <v>0</v>
      </c>
      <c r="F34" s="171">
        <f>'Apr2026-COLLECTION'!K33</f>
        <v/>
      </c>
      <c r="G34" s="172">
        <f>'Apr2026-EXPENSE'!R37</f>
        <v/>
      </c>
      <c r="H34" s="172" t="n"/>
      <c r="I34" s="172">
        <f>F34-(G34+H34)</f>
        <v/>
      </c>
      <c r="J34" s="173">
        <f>'May2026-COLLECTION'!K33</f>
        <v/>
      </c>
      <c r="K34" s="174">
        <f>'May2026-EXPENSE'!R37</f>
        <v/>
      </c>
      <c r="L34" s="174" t="n">
        <v>0</v>
      </c>
      <c r="M34" s="174">
        <f>J34-(K34+L34)</f>
        <v/>
      </c>
      <c r="N34" s="172">
        <f>'June2026-COLLECTION'!K33</f>
        <v/>
      </c>
      <c r="O34" s="172">
        <f>'June2026-EXPENSE'!R37</f>
        <v/>
      </c>
      <c r="P34" s="172" t="n"/>
      <c r="Q34" s="172">
        <f>N34-(O34+P34)</f>
        <v/>
      </c>
      <c r="R34" s="41">
        <f>'July2026-COLLECTION'!K33</f>
        <v/>
      </c>
      <c r="S34" s="174">
        <f>'July2026-EXPENSE'!R37</f>
        <v/>
      </c>
      <c r="T34" s="174" t="n"/>
      <c r="U34" s="174">
        <f>R34-(S34+T34)</f>
        <v/>
      </c>
      <c r="V34" s="167">
        <f>'Aug2026-COLLECTION'!K33</f>
        <v/>
      </c>
      <c r="W34" s="172">
        <f>'Aug2026-EXPENSE'!R37</f>
        <v/>
      </c>
      <c r="X34" s="172" t="n"/>
      <c r="Y34" s="172">
        <f>V34-(W34+X34)</f>
        <v/>
      </c>
      <c r="Z34" s="41">
        <f>'Sep2026-COLLECTION'!K33</f>
        <v/>
      </c>
      <c r="AA34" s="174">
        <f>'Sep2026-EXPENSE'!R37</f>
        <v/>
      </c>
      <c r="AB34" s="174" t="n"/>
      <c r="AC34" s="174">
        <f>Z34-(AA34+AB34)</f>
        <v/>
      </c>
      <c r="AD34" s="41">
        <f>'Oct2026-COLLECTION'!K33</f>
        <v/>
      </c>
      <c r="AE34" s="174">
        <f>'Oct2026-EXPENSE'!R37</f>
        <v/>
      </c>
      <c r="AF34" s="174" t="n"/>
      <c r="AG34" s="174">
        <f>AD34-(AE34+AF34)</f>
        <v/>
      </c>
      <c r="AH34" s="41">
        <f>'Nov2026-COLLECTION'!K33</f>
        <v/>
      </c>
      <c r="AI34" s="174">
        <f>'Nov2026-EXPENSE'!R37</f>
        <v/>
      </c>
      <c r="AJ34" s="174" t="n"/>
      <c r="AK34" s="174">
        <f>AH34-(AI34+AJ34)</f>
        <v/>
      </c>
      <c r="AL34" s="41">
        <f>'Dec2026-COLLECTION'!K33</f>
        <v/>
      </c>
      <c r="AM34" s="174">
        <f>'Dec2026-EXPENSE'!R37</f>
        <v/>
      </c>
      <c r="AN34" s="174" t="n"/>
      <c r="AO34" s="174">
        <f>AL34-(AM34+AN34)</f>
        <v/>
      </c>
      <c r="AP34" s="7">
        <f>'Jan2027-COLLECTION'!K33</f>
        <v/>
      </c>
      <c r="AQ34" s="10">
        <f>'Jan2027-EXPENSE'!R37</f>
        <v/>
      </c>
      <c r="AR34" s="10" t="n"/>
      <c r="AS34" s="174">
        <f>AP34-(AQ34+AR34)</f>
        <v/>
      </c>
      <c r="AT34" s="7">
        <f>'Feb2027-COLLECTION'!K33</f>
        <v/>
      </c>
      <c r="AU34" s="10">
        <f>'Feb2027-EXPENSE'!R37</f>
        <v/>
      </c>
      <c r="AV34" s="10" t="n"/>
      <c r="AW34" s="174">
        <f>AT34-(AU34+AV34)</f>
        <v/>
      </c>
      <c r="AX34" s="7">
        <f>'Mar2027-COLLECTION'!K33</f>
        <v/>
      </c>
      <c r="AY34" s="10">
        <f>'Mar2027-EXPENSE'!R37</f>
        <v/>
      </c>
      <c r="AZ34" s="10" t="n"/>
      <c r="BA34" s="174">
        <f>AX34-(AY34+AZ34)</f>
        <v/>
      </c>
      <c r="BB34" s="172">
        <f>SUM(F34,J34,N34,R34,V34,Z34,AD34,AH34,AL34,AP34,AT34,AX34)</f>
        <v/>
      </c>
      <c r="BC34" s="172">
        <f>SUM(G34,K34,O34,S34,W34,AA34,AE34,AI34,AM34,AQ34,AU34,AY34)</f>
        <v/>
      </c>
      <c r="BD34" s="172">
        <f>SUM(H34,L34,P34,T34,X34,AB34,AF34,AJ34,AN34,AR34,AV34,AZ34)</f>
        <v/>
      </c>
      <c r="BE34" s="172">
        <f>BB34-(BC34+BD34)</f>
        <v/>
      </c>
      <c r="BF34" s="172">
        <f>E34+BE34</f>
        <v/>
      </c>
      <c r="BG34" s="175" t="n">
        <v>0</v>
      </c>
    </row>
    <row r="35" ht="15.75" customHeight="1" s="251">
      <c r="A35" s="169" t="inlineStr">
        <is>
          <t>S1</t>
        </is>
      </c>
      <c r="B35" s="13" t="n"/>
      <c r="C35" s="13" t="inlineStr">
        <is>
          <t>S.N.Behera</t>
        </is>
      </c>
      <c r="D35" s="170" t="n">
        <v>0</v>
      </c>
      <c r="E35" s="176" t="n">
        <v>0</v>
      </c>
      <c r="F35" s="171">
        <f>'Apr2026-COLLECTION'!K34</f>
        <v/>
      </c>
      <c r="G35" s="172">
        <f>'Apr2026-EXPENSE'!R38</f>
        <v/>
      </c>
      <c r="H35" s="172" t="n"/>
      <c r="I35" s="172">
        <f>F35-(G35+H35)</f>
        <v/>
      </c>
      <c r="J35" s="173">
        <f>'May2026-COLLECTION'!K34</f>
        <v/>
      </c>
      <c r="K35" s="174">
        <f>'May2026-EXPENSE'!R38</f>
        <v/>
      </c>
      <c r="L35" s="174" t="n">
        <v>0</v>
      </c>
      <c r="M35" s="174">
        <f>J35-(K35+L35)</f>
        <v/>
      </c>
      <c r="N35" s="172">
        <f>'June2026-COLLECTION'!K34</f>
        <v/>
      </c>
      <c r="O35" s="172">
        <f>'June2026-EXPENSE'!R38</f>
        <v/>
      </c>
      <c r="P35" s="172" t="n"/>
      <c r="Q35" s="172">
        <f>N35-(O35+P35)</f>
        <v/>
      </c>
      <c r="R35" s="41">
        <f>'July2026-COLLECTION'!K34</f>
        <v/>
      </c>
      <c r="S35" s="174">
        <f>'July2026-EXPENSE'!R38</f>
        <v/>
      </c>
      <c r="T35" s="174" t="n"/>
      <c r="U35" s="174">
        <f>R35-(S35+T35)</f>
        <v/>
      </c>
      <c r="V35" s="167">
        <f>'Aug2026-COLLECTION'!K34</f>
        <v/>
      </c>
      <c r="W35" s="172">
        <f>'Aug2026-EXPENSE'!R38</f>
        <v/>
      </c>
      <c r="X35" s="172" t="n"/>
      <c r="Y35" s="172">
        <f>V35-(W35+X35)</f>
        <v/>
      </c>
      <c r="Z35" s="41">
        <f>'Sep2026-COLLECTION'!K34</f>
        <v/>
      </c>
      <c r="AA35" s="174">
        <f>'Sep2026-EXPENSE'!R38</f>
        <v/>
      </c>
      <c r="AB35" s="174" t="n"/>
      <c r="AC35" s="174">
        <f>Z35-(AA35+AB35)</f>
        <v/>
      </c>
      <c r="AD35" s="41">
        <f>'Oct2026-COLLECTION'!K34</f>
        <v/>
      </c>
      <c r="AE35" s="174">
        <f>'Oct2026-EXPENSE'!R38</f>
        <v/>
      </c>
      <c r="AF35" s="174" t="n"/>
      <c r="AG35" s="174">
        <f>AD35-(AE35+AF35)</f>
        <v/>
      </c>
      <c r="AH35" s="41">
        <f>'Nov2026-COLLECTION'!K34</f>
        <v/>
      </c>
      <c r="AI35" s="174">
        <f>'Nov2026-EXPENSE'!R38</f>
        <v/>
      </c>
      <c r="AJ35" s="174" t="n"/>
      <c r="AK35" s="174">
        <f>AH35-(AI35+AJ35)</f>
        <v/>
      </c>
      <c r="AL35" s="41">
        <f>'Dec2026-COLLECTION'!K34</f>
        <v/>
      </c>
      <c r="AM35" s="174">
        <f>'Dec2026-EXPENSE'!R38</f>
        <v/>
      </c>
      <c r="AN35" s="174" t="n"/>
      <c r="AO35" s="174">
        <f>AL35-(AM35+AN35)</f>
        <v/>
      </c>
      <c r="AP35" s="7">
        <f>'Jan2027-COLLECTION'!K34</f>
        <v/>
      </c>
      <c r="AQ35" s="10">
        <f>'Jan2027-EXPENSE'!R38</f>
        <v/>
      </c>
      <c r="AR35" s="10" t="n"/>
      <c r="AS35" s="174">
        <f>AP35-(AQ35+AR35)</f>
        <v/>
      </c>
      <c r="AT35" s="7">
        <f>'Feb2027-COLLECTION'!K34</f>
        <v/>
      </c>
      <c r="AU35" s="10">
        <f>'Feb2027-EXPENSE'!R38</f>
        <v/>
      </c>
      <c r="AV35" s="10" t="n"/>
      <c r="AW35" s="174">
        <f>AT35-(AU35+AV35)</f>
        <v/>
      </c>
      <c r="AX35" s="7">
        <f>'Mar2027-COLLECTION'!K34</f>
        <v/>
      </c>
      <c r="AY35" s="10">
        <f>'Mar2027-EXPENSE'!R38</f>
        <v/>
      </c>
      <c r="AZ35" s="10" t="n"/>
      <c r="BA35" s="174">
        <f>AX35-(AY35+AZ35)</f>
        <v/>
      </c>
      <c r="BB35" s="172">
        <f>SUM(F35,J35,N35,R35,V35,Z35,AD35,AH35,AL35,AP35,AT35,AX35)</f>
        <v/>
      </c>
      <c r="BC35" s="172">
        <f>SUM(G35,K35,O35,S35,W35,AA35,AE35,AI35,AM35,AQ35,AU35,AY35)</f>
        <v/>
      </c>
      <c r="BD35" s="172">
        <f>SUM(H35,L35,P35,T35,X35,AB35,AF35,AJ35,AN35,AR35,AV35,AZ35)</f>
        <v/>
      </c>
      <c r="BE35" s="172">
        <f>BB35-(BC35+BD35)</f>
        <v/>
      </c>
      <c r="BF35" s="172">
        <f>E35+BE35</f>
        <v/>
      </c>
      <c r="BG35" s="175" t="n">
        <v>0</v>
      </c>
    </row>
    <row r="36" ht="15.75" customHeight="1" s="251">
      <c r="A36" s="169" t="inlineStr">
        <is>
          <t>S2</t>
        </is>
      </c>
      <c r="B36" s="13" t="n"/>
      <c r="C36" s="13" t="inlineStr">
        <is>
          <t>Sonal Singhal</t>
        </is>
      </c>
      <c r="D36" s="170" t="n">
        <v>0</v>
      </c>
      <c r="E36" s="176" t="n">
        <v>0</v>
      </c>
      <c r="F36" s="171">
        <f>'Apr2026-COLLECTION'!K35</f>
        <v/>
      </c>
      <c r="G36" s="172">
        <f>'Apr2026-EXPENSE'!R39</f>
        <v/>
      </c>
      <c r="H36" s="172" t="n"/>
      <c r="I36" s="172">
        <f>F36-(G36+H36)</f>
        <v/>
      </c>
      <c r="J36" s="173">
        <f>'May2026-COLLECTION'!K35</f>
        <v/>
      </c>
      <c r="K36" s="174">
        <f>'May2026-EXPENSE'!R39</f>
        <v/>
      </c>
      <c r="L36" s="174" t="n">
        <v>0</v>
      </c>
      <c r="M36" s="174">
        <f>J36-(K36+L36)</f>
        <v/>
      </c>
      <c r="N36" s="172">
        <f>'June2026-COLLECTION'!K35</f>
        <v/>
      </c>
      <c r="O36" s="172">
        <f>'June2026-EXPENSE'!R39</f>
        <v/>
      </c>
      <c r="P36" s="172" t="n"/>
      <c r="Q36" s="172">
        <f>N36-(O36+P36)</f>
        <v/>
      </c>
      <c r="R36" s="41">
        <f>'July2026-COLLECTION'!K35</f>
        <v/>
      </c>
      <c r="S36" s="174">
        <f>'July2026-EXPENSE'!R39</f>
        <v/>
      </c>
      <c r="T36" s="174" t="n">
        <v>0</v>
      </c>
      <c r="U36" s="174">
        <f>R36-(S36+T36)</f>
        <v/>
      </c>
      <c r="V36" s="167">
        <f>'Aug2026-COLLECTION'!K35</f>
        <v/>
      </c>
      <c r="W36" s="172">
        <f>'Aug2026-EXPENSE'!R39</f>
        <v/>
      </c>
      <c r="X36" s="172" t="n"/>
      <c r="Y36" s="172">
        <f>V36-(W36+X36)</f>
        <v/>
      </c>
      <c r="Z36" s="41">
        <f>'Sep2026-COLLECTION'!K35</f>
        <v/>
      </c>
      <c r="AA36" s="174">
        <f>'Sep2026-EXPENSE'!R39</f>
        <v/>
      </c>
      <c r="AB36" s="174" t="n"/>
      <c r="AC36" s="174">
        <f>Z36-(AA36+AB36)</f>
        <v/>
      </c>
      <c r="AD36" s="41">
        <f>'Oct2026-COLLECTION'!K35</f>
        <v/>
      </c>
      <c r="AE36" s="174">
        <f>'Oct2026-EXPENSE'!R39</f>
        <v/>
      </c>
      <c r="AF36" s="174" t="n"/>
      <c r="AG36" s="174">
        <f>AD36-(AE36+AF36)</f>
        <v/>
      </c>
      <c r="AH36" s="41">
        <f>'Nov2026-COLLECTION'!K35</f>
        <v/>
      </c>
      <c r="AI36" s="174">
        <f>'Nov2026-EXPENSE'!R39</f>
        <v/>
      </c>
      <c r="AJ36" s="174" t="n"/>
      <c r="AK36" s="174">
        <f>AH36-(AI36+AJ36)</f>
        <v/>
      </c>
      <c r="AL36" s="41">
        <f>'Dec2026-COLLECTION'!K35</f>
        <v/>
      </c>
      <c r="AM36" s="174">
        <f>'Dec2026-EXPENSE'!R39</f>
        <v/>
      </c>
      <c r="AN36" s="174" t="n"/>
      <c r="AO36" s="174">
        <f>AL36-(AM36+AN36)</f>
        <v/>
      </c>
      <c r="AP36" s="7">
        <f>'Jan2027-COLLECTION'!K35</f>
        <v/>
      </c>
      <c r="AQ36" s="10">
        <f>'Jan2027-EXPENSE'!R39</f>
        <v/>
      </c>
      <c r="AR36" s="10" t="n"/>
      <c r="AS36" s="174">
        <f>AP36-(AQ36+AR36)</f>
        <v/>
      </c>
      <c r="AT36" s="7">
        <f>'Feb2027-COLLECTION'!K35</f>
        <v/>
      </c>
      <c r="AU36" s="10">
        <f>'Feb2027-EXPENSE'!R39</f>
        <v/>
      </c>
      <c r="AV36" s="10" t="n"/>
      <c r="AW36" s="174">
        <f>AT36-(AU36+AV36)</f>
        <v/>
      </c>
      <c r="AX36" s="7">
        <f>'Mar2027-COLLECTION'!K35</f>
        <v/>
      </c>
      <c r="AY36" s="10">
        <f>'Mar2027-EXPENSE'!R39</f>
        <v/>
      </c>
      <c r="AZ36" s="10" t="n"/>
      <c r="BA36" s="174">
        <f>AX36-(AY36+AZ36)</f>
        <v/>
      </c>
      <c r="BB36" s="172">
        <f>SUM(F36,J36,N36,R36,V36,Z36,AD36,AH36,AL36,AP36,AT36,AX36)</f>
        <v/>
      </c>
      <c r="BC36" s="172">
        <f>SUM(G36,K36,O36,S36,W36,AA36,AE36,AI36,AM36,AQ36,AU36,AY36)</f>
        <v/>
      </c>
      <c r="BD36" s="172">
        <f>SUM(H36,L36,P36,T36,X36,AB36,AF36,AJ36,AN36,AR36,AV36,AZ36)</f>
        <v/>
      </c>
      <c r="BE36" s="172">
        <f>BB36-(BC36+BD36)</f>
        <v/>
      </c>
      <c r="BF36" s="172">
        <f>E36+BE36</f>
        <v/>
      </c>
      <c r="BG36" s="175" t="n">
        <v>0</v>
      </c>
    </row>
    <row r="37" ht="15.75" customHeight="1" s="251">
      <c r="A37" s="169" t="inlineStr">
        <is>
          <t>S3</t>
        </is>
      </c>
      <c r="B37" s="13" t="inlineStr">
        <is>
          <t>manikandan.nj@gmail.com</t>
        </is>
      </c>
      <c r="C37" s="13" t="inlineStr">
        <is>
          <t>Manikandan NG</t>
        </is>
      </c>
      <c r="D37" s="170" t="n">
        <v>0</v>
      </c>
      <c r="E37" s="176">
        <f>-45044.64+0.23+10000</f>
        <v/>
      </c>
      <c r="F37" s="171">
        <f>'Apr2026-COLLECTION'!K36</f>
        <v/>
      </c>
      <c r="G37" s="172">
        <f>'Apr2026-EXPENSE'!R40</f>
        <v/>
      </c>
      <c r="H37" s="172" t="n"/>
      <c r="I37" s="172">
        <f>F37-(G37+H37)</f>
        <v/>
      </c>
      <c r="J37" s="173">
        <f>'May2026-COLLECTION'!K36</f>
        <v/>
      </c>
      <c r="K37" s="174">
        <f>'May2026-EXPENSE'!R40</f>
        <v/>
      </c>
      <c r="L37" s="174" t="n"/>
      <c r="M37" s="174">
        <f>J37-(K37+L37)</f>
        <v/>
      </c>
      <c r="N37" s="172">
        <f>'June2026-COLLECTION'!K36</f>
        <v/>
      </c>
      <c r="O37" s="172">
        <f>'June2026-EXPENSE'!R40</f>
        <v/>
      </c>
      <c r="P37" s="172" t="n"/>
      <c r="Q37" s="172">
        <f>N37-(O37+P37)</f>
        <v/>
      </c>
      <c r="R37" s="41">
        <f>'July2026-COLLECTION'!K36</f>
        <v/>
      </c>
      <c r="S37" s="174">
        <f>'July2026-EXPENSE'!R40</f>
        <v/>
      </c>
      <c r="T37" s="174" t="n"/>
      <c r="U37" s="174">
        <f>R37-(S37+T37)</f>
        <v/>
      </c>
      <c r="V37" s="167">
        <f>'Aug2026-COLLECTION'!K36</f>
        <v/>
      </c>
      <c r="W37" s="172">
        <f>'Aug2026-EXPENSE'!R40</f>
        <v/>
      </c>
      <c r="X37" s="172" t="n"/>
      <c r="Y37" s="172">
        <f>V37-(W37+X37)</f>
        <v/>
      </c>
      <c r="Z37" s="41">
        <f>'Sep2026-COLLECTION'!K36</f>
        <v/>
      </c>
      <c r="AA37" s="174">
        <f>'Sep2026-EXPENSE'!R40</f>
        <v/>
      </c>
      <c r="AB37" s="174" t="n"/>
      <c r="AC37" s="174">
        <f>Z37-(AA37+AB37)</f>
        <v/>
      </c>
      <c r="AD37" s="41">
        <f>'Oct2026-COLLECTION'!K36</f>
        <v/>
      </c>
      <c r="AE37" s="174">
        <f>'Oct2026-EXPENSE'!R40</f>
        <v/>
      </c>
      <c r="AF37" s="174" t="n"/>
      <c r="AG37" s="174">
        <f>AD37-(AE37+AF37)</f>
        <v/>
      </c>
      <c r="AH37" s="41">
        <f>'Nov2026-COLLECTION'!K36</f>
        <v/>
      </c>
      <c r="AI37" s="174">
        <f>'Nov2026-EXPENSE'!R40</f>
        <v/>
      </c>
      <c r="AJ37" s="174" t="n"/>
      <c r="AK37" s="174">
        <f>AH37-(AI37+AJ37)</f>
        <v/>
      </c>
      <c r="AL37" s="41">
        <f>'Dec2026-COLLECTION'!K36</f>
        <v/>
      </c>
      <c r="AM37" s="174">
        <f>'Dec2026-EXPENSE'!R40</f>
        <v/>
      </c>
      <c r="AN37" s="174" t="n"/>
      <c r="AO37" s="174">
        <f>AL37-(AM37+AN37)</f>
        <v/>
      </c>
      <c r="AP37" s="7">
        <f>'Jan2027-COLLECTION'!K36</f>
        <v/>
      </c>
      <c r="AQ37" s="10">
        <f>'Jan2027-EXPENSE'!R40</f>
        <v/>
      </c>
      <c r="AR37" s="10" t="n"/>
      <c r="AS37" s="174">
        <f>AP37-(AQ37+AR37)</f>
        <v/>
      </c>
      <c r="AT37" s="7">
        <f>'Feb2027-COLLECTION'!K36</f>
        <v/>
      </c>
      <c r="AU37" s="10">
        <f>'Feb2027-EXPENSE'!R40</f>
        <v/>
      </c>
      <c r="AV37" s="10" t="n"/>
      <c r="AW37" s="174">
        <f>AT37-(AU37+AV37)</f>
        <v/>
      </c>
      <c r="AX37" s="7">
        <f>'Mar2027-COLLECTION'!K36</f>
        <v/>
      </c>
      <c r="AY37" s="10">
        <f>'Mar2027-EXPENSE'!R40</f>
        <v/>
      </c>
      <c r="AZ37" s="10" t="n"/>
      <c r="BA37" s="174">
        <f>AX37-(AY37+AZ37)</f>
        <v/>
      </c>
      <c r="BB37" s="172">
        <f>SUM(F37,J37,N37,R37,V37,Z37,AD37,AH37,AL37,AP37,AT37,AX37)</f>
        <v/>
      </c>
      <c r="BC37" s="172">
        <f>SUM(G37,K37,O37,S37,W37,AA37,AE37,AI37,AM37,AQ37,AU37,AY37)</f>
        <v/>
      </c>
      <c r="BD37" s="172">
        <f>SUM(H37,L37,P37,T37,X37,AB37,AF37,AJ37,AN37,AR37,AV37,AZ37)</f>
        <v/>
      </c>
      <c r="BE37" s="172">
        <f>BB37-(BC37+BD37)</f>
        <v/>
      </c>
      <c r="BF37" s="172">
        <f>E37+BE37</f>
        <v/>
      </c>
      <c r="BG37" s="175" t="n">
        <v>0</v>
      </c>
    </row>
    <row r="38" ht="15.75" customHeight="1" s="251">
      <c r="A38" s="169" t="inlineStr">
        <is>
          <t>S4</t>
        </is>
      </c>
      <c r="B38" s="13" t="n"/>
      <c r="C38" s="13" t="inlineStr">
        <is>
          <t xml:space="preserve">Swaminathan </t>
        </is>
      </c>
      <c r="D38" s="170" t="n">
        <v>0</v>
      </c>
      <c r="E38" s="176" t="n">
        <v>0</v>
      </c>
      <c r="F38" s="171">
        <f>'Apr2026-COLLECTION'!K37</f>
        <v/>
      </c>
      <c r="G38" s="172">
        <f>'Apr2026-EXPENSE'!R41</f>
        <v/>
      </c>
      <c r="H38" s="172" t="n"/>
      <c r="I38" s="172">
        <f>F38-(G38+H38)</f>
        <v/>
      </c>
      <c r="J38" s="173">
        <f>'May2026-COLLECTION'!K37</f>
        <v/>
      </c>
      <c r="K38" s="174">
        <f>'May2026-EXPENSE'!R41</f>
        <v/>
      </c>
      <c r="L38" s="174" t="n"/>
      <c r="M38" s="174">
        <f>J38-(K38+L38)</f>
        <v/>
      </c>
      <c r="N38" s="172">
        <f>'June2026-COLLECTION'!K37</f>
        <v/>
      </c>
      <c r="O38" s="172">
        <f>'June2026-EXPENSE'!R41</f>
        <v/>
      </c>
      <c r="P38" s="172" t="n"/>
      <c r="Q38" s="172">
        <f>N38-(O38+P38)</f>
        <v/>
      </c>
      <c r="R38" s="41">
        <f>'July2026-COLLECTION'!K37</f>
        <v/>
      </c>
      <c r="S38" s="174">
        <f>'July2026-EXPENSE'!R41</f>
        <v/>
      </c>
      <c r="T38" s="174" t="n"/>
      <c r="U38" s="174">
        <f>R38-(S38+T38)</f>
        <v/>
      </c>
      <c r="V38" s="167">
        <f>'Aug2026-COLLECTION'!K37</f>
        <v/>
      </c>
      <c r="W38" s="172">
        <f>'Aug2026-EXPENSE'!R41</f>
        <v/>
      </c>
      <c r="X38" s="172" t="n"/>
      <c r="Y38" s="172">
        <f>V38-(W38+X38)</f>
        <v/>
      </c>
      <c r="Z38" s="41">
        <f>'Sep2026-COLLECTION'!K37</f>
        <v/>
      </c>
      <c r="AA38" s="174">
        <f>'Sep2026-EXPENSE'!R41</f>
        <v/>
      </c>
      <c r="AB38" s="174" t="n"/>
      <c r="AC38" s="174">
        <f>Z38-(AA38+AB38)</f>
        <v/>
      </c>
      <c r="AD38" s="41">
        <f>'Oct2026-COLLECTION'!K37</f>
        <v/>
      </c>
      <c r="AE38" s="174">
        <f>'Oct2026-EXPENSE'!R41</f>
        <v/>
      </c>
      <c r="AF38" s="174" t="n"/>
      <c r="AG38" s="174">
        <f>AD38-(AE38+AF38)</f>
        <v/>
      </c>
      <c r="AH38" s="41">
        <f>'Nov2026-COLLECTION'!K37</f>
        <v/>
      </c>
      <c r="AI38" s="174">
        <f>'Nov2026-EXPENSE'!R41</f>
        <v/>
      </c>
      <c r="AJ38" s="174" t="n"/>
      <c r="AK38" s="174">
        <f>AH38-(AI38+AJ38)</f>
        <v/>
      </c>
      <c r="AL38" s="41">
        <f>'Dec2026-COLLECTION'!K37</f>
        <v/>
      </c>
      <c r="AM38" s="174">
        <f>'Dec2026-EXPENSE'!R41</f>
        <v/>
      </c>
      <c r="AN38" s="174" t="n"/>
      <c r="AO38" s="174">
        <f>AL38-(AM38+AN38)</f>
        <v/>
      </c>
      <c r="AP38" s="7">
        <f>'Jan2027-COLLECTION'!K37</f>
        <v/>
      </c>
      <c r="AQ38" s="10">
        <f>'Jan2027-EXPENSE'!R41</f>
        <v/>
      </c>
      <c r="AR38" s="10" t="n"/>
      <c r="AS38" s="174">
        <f>AP38-(AQ38+AR38)</f>
        <v/>
      </c>
      <c r="AT38" s="7">
        <f>'Feb2027-COLLECTION'!K37</f>
        <v/>
      </c>
      <c r="AU38" s="10">
        <f>'Feb2027-EXPENSE'!R41</f>
        <v/>
      </c>
      <c r="AV38" s="10" t="n"/>
      <c r="AW38" s="174">
        <f>AT38-(AU38+AV38)</f>
        <v/>
      </c>
      <c r="AX38" s="7">
        <f>'Mar2027-COLLECTION'!K37</f>
        <v/>
      </c>
      <c r="AY38" s="10">
        <f>'Mar2027-EXPENSE'!R41</f>
        <v/>
      </c>
      <c r="AZ38" s="10" t="n"/>
      <c r="BA38" s="174">
        <f>AX38-(AY38+AZ38)</f>
        <v/>
      </c>
      <c r="BB38" s="172">
        <f>SUM(F38,J38,N38,R38,V38,Z38,AD38,AH38,AL38,AP38,AT38,AX38)</f>
        <v/>
      </c>
      <c r="BC38" s="172">
        <f>SUM(G38,K38,O38,S38,W38,AA38,AE38,AI38,AM38,AQ38,AU38,AY38)</f>
        <v/>
      </c>
      <c r="BD38" s="172">
        <f>SUM(H38,L38,P38,T38,X38,AB38,AF38,AJ38,AN38,AR38,AV38,AZ38)</f>
        <v/>
      </c>
      <c r="BE38" s="172">
        <f>BB38-(BC38+BD38)</f>
        <v/>
      </c>
      <c r="BF38" s="172">
        <f>E38+BE38</f>
        <v/>
      </c>
      <c r="BG38" s="175" t="n">
        <v>0</v>
      </c>
    </row>
    <row r="39" ht="15.75" customHeight="1" s="251">
      <c r="A39" s="169" t="inlineStr">
        <is>
          <t>S5</t>
        </is>
      </c>
      <c r="B39" s="13" t="n"/>
      <c r="C39" s="13" t="inlineStr">
        <is>
          <t>Abhishek Gopalakrishnan</t>
        </is>
      </c>
      <c r="D39" s="170" t="n">
        <v>0</v>
      </c>
      <c r="E39" s="176" t="n">
        <v>0</v>
      </c>
      <c r="F39" s="171">
        <f>'Apr2026-COLLECTION'!K38</f>
        <v/>
      </c>
      <c r="G39" s="172">
        <f>'Apr2026-EXPENSE'!R42</f>
        <v/>
      </c>
      <c r="H39" s="172" t="n"/>
      <c r="I39" s="172">
        <f>F39-(G39+H39)</f>
        <v/>
      </c>
      <c r="J39" s="173">
        <f>'May2026-COLLECTION'!K38</f>
        <v/>
      </c>
      <c r="K39" s="174">
        <f>'May2026-EXPENSE'!R42</f>
        <v/>
      </c>
      <c r="L39" s="174" t="n"/>
      <c r="M39" s="174">
        <f>J39-(K39+L39)</f>
        <v/>
      </c>
      <c r="N39" s="172">
        <f>'June2026-COLLECTION'!K38</f>
        <v/>
      </c>
      <c r="O39" s="172">
        <f>'June2026-EXPENSE'!R42</f>
        <v/>
      </c>
      <c r="P39" s="172" t="n"/>
      <c r="Q39" s="172">
        <f>N39-(O39+P39)</f>
        <v/>
      </c>
      <c r="R39" s="41">
        <f>'July2026-COLLECTION'!K38</f>
        <v/>
      </c>
      <c r="S39" s="174">
        <f>'July2026-EXPENSE'!R42</f>
        <v/>
      </c>
      <c r="T39" s="174" t="n"/>
      <c r="U39" s="174">
        <f>R39-(S39+T39)</f>
        <v/>
      </c>
      <c r="V39" s="167">
        <f>'Aug2026-COLLECTION'!K38</f>
        <v/>
      </c>
      <c r="W39" s="172">
        <f>'Aug2026-EXPENSE'!R42</f>
        <v/>
      </c>
      <c r="X39" s="172" t="n"/>
      <c r="Y39" s="172">
        <f>V39-(W39+X39)</f>
        <v/>
      </c>
      <c r="Z39" s="41">
        <f>'Sep2026-COLLECTION'!K38</f>
        <v/>
      </c>
      <c r="AA39" s="174">
        <f>'Sep2026-EXPENSE'!R42</f>
        <v/>
      </c>
      <c r="AB39" s="174" t="n"/>
      <c r="AC39" s="174">
        <f>Z39-(AA39+AB39)</f>
        <v/>
      </c>
      <c r="AD39" s="41">
        <f>'Oct2026-COLLECTION'!K38</f>
        <v/>
      </c>
      <c r="AE39" s="174">
        <f>'Oct2026-EXPENSE'!R42</f>
        <v/>
      </c>
      <c r="AF39" s="174" t="n"/>
      <c r="AG39" s="174">
        <f>AD39-(AE39+AF39)</f>
        <v/>
      </c>
      <c r="AH39" s="41">
        <f>'Nov2026-COLLECTION'!K38</f>
        <v/>
      </c>
      <c r="AI39" s="174">
        <f>'Nov2026-EXPENSE'!R42</f>
        <v/>
      </c>
      <c r="AJ39" s="174" t="n"/>
      <c r="AK39" s="174">
        <f>AH39-(AI39+AJ39)</f>
        <v/>
      </c>
      <c r="AL39" s="41">
        <f>'Dec2026-COLLECTION'!K38</f>
        <v/>
      </c>
      <c r="AM39" s="174">
        <f>'Dec2026-EXPENSE'!R42</f>
        <v/>
      </c>
      <c r="AN39" s="174" t="n"/>
      <c r="AO39" s="174">
        <f>AL39-(AM39+AN39)</f>
        <v/>
      </c>
      <c r="AP39" s="7">
        <f>'Jan2027-COLLECTION'!K38</f>
        <v/>
      </c>
      <c r="AQ39" s="10">
        <f>'Jan2027-EXPENSE'!R42</f>
        <v/>
      </c>
      <c r="AR39" s="10" t="n"/>
      <c r="AS39" s="174">
        <f>AP39-(AQ39+AR39)</f>
        <v/>
      </c>
      <c r="AT39" s="7">
        <f>'Feb2027-COLLECTION'!K38</f>
        <v/>
      </c>
      <c r="AU39" s="10">
        <f>'Feb2027-EXPENSE'!R42</f>
        <v/>
      </c>
      <c r="AV39" s="10" t="n"/>
      <c r="AW39" s="174">
        <f>AT39-(AU39+AV39)</f>
        <v/>
      </c>
      <c r="AX39" s="7">
        <f>'Mar2027-COLLECTION'!K38</f>
        <v/>
      </c>
      <c r="AY39" s="10">
        <f>'Mar2027-EXPENSE'!R42</f>
        <v/>
      </c>
      <c r="AZ39" s="10" t="n"/>
      <c r="BA39" s="174">
        <f>AX39-(AY39+AZ39)</f>
        <v/>
      </c>
      <c r="BB39" s="172">
        <f>SUM(F39,J39,N39,R39,V39,Z39,AD39,AH39,AL39,AP39,AT39,AX39)</f>
        <v/>
      </c>
      <c r="BC39" s="172">
        <f>SUM(G39,K39,O39,S39,W39,AA39,AE39,AI39,AM39,AQ39,AU39,AY39)</f>
        <v/>
      </c>
      <c r="BD39" s="172">
        <f>SUM(H39,L39,P39,T39,X39,AB39,AF39,AJ39,AN39,AR39,AV39,AZ39)</f>
        <v/>
      </c>
      <c r="BE39" s="172">
        <f>BB39-(BC39+BD39)</f>
        <v/>
      </c>
      <c r="BF39" s="172">
        <f>E39+BE39</f>
        <v/>
      </c>
      <c r="BG39" s="175" t="n">
        <v>0</v>
      </c>
    </row>
    <row r="40" ht="15.75" customHeight="1" s="251">
      <c r="A40" s="169" t="inlineStr">
        <is>
          <t>S6</t>
        </is>
      </c>
      <c r="B40" s="30" t="n"/>
      <c r="C40" s="30" t="inlineStr">
        <is>
          <t>Vivek Dhingra / Pratyush Das</t>
        </is>
      </c>
      <c r="D40" s="170" t="n">
        <v>0</v>
      </c>
      <c r="E40" s="176" t="n">
        <v>0</v>
      </c>
      <c r="F40" s="171">
        <f>'Apr2026-COLLECTION'!K39</f>
        <v/>
      </c>
      <c r="G40" s="172">
        <f>'Apr2026-EXPENSE'!R43</f>
        <v/>
      </c>
      <c r="H40" s="172" t="n"/>
      <c r="I40" s="172">
        <f>F40-(G40+H40)</f>
        <v/>
      </c>
      <c r="J40" s="173">
        <f>'May2026-COLLECTION'!K39</f>
        <v/>
      </c>
      <c r="K40" s="174">
        <f>'May2026-EXPENSE'!R43</f>
        <v/>
      </c>
      <c r="L40" s="174" t="n"/>
      <c r="M40" s="174">
        <f>J40-(K40+L40)</f>
        <v/>
      </c>
      <c r="N40" s="172">
        <f>'June2026-COLLECTION'!K39</f>
        <v/>
      </c>
      <c r="O40" s="172">
        <f>'June2026-EXPENSE'!R43</f>
        <v/>
      </c>
      <c r="P40" s="172" t="n"/>
      <c r="Q40" s="172">
        <f>N40-(O40+P40)</f>
        <v/>
      </c>
      <c r="R40" s="41">
        <f>'July2026-COLLECTION'!K39</f>
        <v/>
      </c>
      <c r="S40" s="174">
        <f>'July2026-EXPENSE'!R43</f>
        <v/>
      </c>
      <c r="T40" s="174" t="n"/>
      <c r="U40" s="174">
        <f>R40-(S40+T40)</f>
        <v/>
      </c>
      <c r="V40" s="167">
        <f>'Aug2026-COLLECTION'!K39</f>
        <v/>
      </c>
      <c r="W40" s="172">
        <f>'Aug2026-EXPENSE'!R43</f>
        <v/>
      </c>
      <c r="X40" s="172" t="n"/>
      <c r="Y40" s="172">
        <f>V40-(W40+X40)</f>
        <v/>
      </c>
      <c r="Z40" s="41">
        <f>'Sep2026-COLLECTION'!K39</f>
        <v/>
      </c>
      <c r="AA40" s="174">
        <f>'Sep2026-EXPENSE'!R43</f>
        <v/>
      </c>
      <c r="AB40" s="174" t="n"/>
      <c r="AC40" s="174">
        <f>Z40-(AA40+AB40)</f>
        <v/>
      </c>
      <c r="AD40" s="41">
        <f>'Oct2026-COLLECTION'!K39</f>
        <v/>
      </c>
      <c r="AE40" s="174">
        <f>'Oct2026-EXPENSE'!R43</f>
        <v/>
      </c>
      <c r="AF40" s="174" t="n"/>
      <c r="AG40" s="174">
        <f>AD40-(AE40+AF40)</f>
        <v/>
      </c>
      <c r="AH40" s="41">
        <f>'Nov2026-COLLECTION'!K39</f>
        <v/>
      </c>
      <c r="AI40" s="174">
        <f>'Nov2026-EXPENSE'!R43</f>
        <v/>
      </c>
      <c r="AJ40" s="174" t="n"/>
      <c r="AK40" s="174">
        <f>AH40-(AI40+AJ40)</f>
        <v/>
      </c>
      <c r="AL40" s="41">
        <f>'Dec2026-COLLECTION'!K39</f>
        <v/>
      </c>
      <c r="AM40" s="174">
        <f>'Dec2026-EXPENSE'!R43</f>
        <v/>
      </c>
      <c r="AN40" s="174" t="n"/>
      <c r="AO40" s="174">
        <f>AL40-(AM40+AN40)</f>
        <v/>
      </c>
      <c r="AP40" s="7">
        <f>'Jan2027-COLLECTION'!K39</f>
        <v/>
      </c>
      <c r="AQ40" s="10">
        <f>'Jan2027-EXPENSE'!R43</f>
        <v/>
      </c>
      <c r="AR40" s="10" t="n"/>
      <c r="AS40" s="174">
        <f>AP40-(AQ40+AR40)</f>
        <v/>
      </c>
      <c r="AT40" s="7">
        <f>'Feb2027-COLLECTION'!K39</f>
        <v/>
      </c>
      <c r="AU40" s="10">
        <f>'Feb2027-EXPENSE'!R43</f>
        <v/>
      </c>
      <c r="AV40" s="10" t="n"/>
      <c r="AW40" s="174">
        <f>AT40-(AU40+AV40)</f>
        <v/>
      </c>
      <c r="AX40" s="7">
        <f>'Mar2027-COLLECTION'!K39</f>
        <v/>
      </c>
      <c r="AY40" s="10">
        <f>'Mar2027-EXPENSE'!R43</f>
        <v/>
      </c>
      <c r="AZ40" s="10" t="n"/>
      <c r="BA40" s="174">
        <f>AX40-(AY40+AZ40)</f>
        <v/>
      </c>
      <c r="BB40" s="172">
        <f>SUM(F40,J40,N40,R40,V40,Z40,AD40,AH40,AL40,AP40,AT40,AX40)</f>
        <v/>
      </c>
      <c r="BC40" s="172">
        <f>SUM(G40,K40,O40,S40,W40,AA40,AE40,AI40,AM40,AQ40,AU40,AY40)</f>
        <v/>
      </c>
      <c r="BD40" s="172">
        <f>SUM(H40,L40,P40,T40,X40,AB40,AF40,AJ40,AN40,AR40,AV40,AZ40)</f>
        <v/>
      </c>
      <c r="BE40" s="172">
        <f>BB40-(BC40+BD40)</f>
        <v/>
      </c>
      <c r="BF40" s="172">
        <f>E40+BE40</f>
        <v/>
      </c>
      <c r="BG40" s="175" t="n">
        <v>0</v>
      </c>
    </row>
    <row r="41" ht="15.75" customHeight="1" s="251">
      <c r="A41" s="169" t="inlineStr">
        <is>
          <t>S7</t>
        </is>
      </c>
      <c r="B41" s="13" t="n"/>
      <c r="C41" s="13" t="inlineStr">
        <is>
          <t>Harish B</t>
        </is>
      </c>
      <c r="D41" s="170" t="n">
        <v>0</v>
      </c>
      <c r="E41" s="176" t="n">
        <v>0</v>
      </c>
      <c r="F41" s="171">
        <f>'Apr2026-COLLECTION'!K40</f>
        <v/>
      </c>
      <c r="G41" s="172">
        <f>'Apr2026-EXPENSE'!R44</f>
        <v/>
      </c>
      <c r="H41" s="172" t="n"/>
      <c r="I41" s="172">
        <f>F41-(G41+H41)</f>
        <v/>
      </c>
      <c r="J41" s="173">
        <f>'May2026-COLLECTION'!K40</f>
        <v/>
      </c>
      <c r="K41" s="174">
        <f>'May2026-EXPENSE'!R44</f>
        <v/>
      </c>
      <c r="L41" s="174" t="n"/>
      <c r="M41" s="174">
        <f>J41-(K41+L41)</f>
        <v/>
      </c>
      <c r="N41" s="172">
        <f>'June2026-COLLECTION'!K40</f>
        <v/>
      </c>
      <c r="O41" s="172">
        <f>'June2026-EXPENSE'!R44</f>
        <v/>
      </c>
      <c r="P41" s="172" t="n"/>
      <c r="Q41" s="172">
        <f>N41-(O41+P41)</f>
        <v/>
      </c>
      <c r="R41" s="41">
        <f>'July2026-COLLECTION'!K40</f>
        <v/>
      </c>
      <c r="S41" s="174">
        <f>'July2026-EXPENSE'!R44</f>
        <v/>
      </c>
      <c r="T41" s="174" t="n"/>
      <c r="U41" s="174">
        <f>R41-(S41+T41)</f>
        <v/>
      </c>
      <c r="V41" s="167">
        <f>'Aug2026-COLLECTION'!K40</f>
        <v/>
      </c>
      <c r="W41" s="172">
        <f>'Aug2026-EXPENSE'!R44</f>
        <v/>
      </c>
      <c r="X41" s="172" t="n"/>
      <c r="Y41" s="172">
        <f>V41-(W41+X41)</f>
        <v/>
      </c>
      <c r="Z41" s="41">
        <f>'Sep2026-COLLECTION'!K40</f>
        <v/>
      </c>
      <c r="AA41" s="174">
        <f>'Sep2026-EXPENSE'!R44</f>
        <v/>
      </c>
      <c r="AB41" s="174" t="n"/>
      <c r="AC41" s="174">
        <f>Z41-(AA41+AB41)</f>
        <v/>
      </c>
      <c r="AD41" s="41">
        <f>'Oct2026-COLLECTION'!K40</f>
        <v/>
      </c>
      <c r="AE41" s="174">
        <f>'Oct2026-EXPENSE'!R44</f>
        <v/>
      </c>
      <c r="AF41" s="174" t="n"/>
      <c r="AG41" s="174">
        <f>AD41-(AE41+AF41)</f>
        <v/>
      </c>
      <c r="AH41" s="41">
        <f>'Nov2026-COLLECTION'!K40</f>
        <v/>
      </c>
      <c r="AI41" s="174">
        <f>'Nov2026-EXPENSE'!R44</f>
        <v/>
      </c>
      <c r="AJ41" s="174" t="n"/>
      <c r="AK41" s="174">
        <f>AH41-(AI41+AJ41)</f>
        <v/>
      </c>
      <c r="AL41" s="41">
        <f>'Dec2026-COLLECTION'!K40</f>
        <v/>
      </c>
      <c r="AM41" s="174">
        <f>'Dec2026-EXPENSE'!R44</f>
        <v/>
      </c>
      <c r="AN41" s="174" t="n"/>
      <c r="AO41" s="174">
        <f>AL41-(AM41+AN41)</f>
        <v/>
      </c>
      <c r="AP41" s="7">
        <f>'Jan2027-COLLECTION'!K40</f>
        <v/>
      </c>
      <c r="AQ41" s="10">
        <f>'Jan2027-EXPENSE'!R44</f>
        <v/>
      </c>
      <c r="AR41" s="10" t="n"/>
      <c r="AS41" s="174">
        <f>AP41-(AQ41+AR41)</f>
        <v/>
      </c>
      <c r="AT41" s="7">
        <f>'Feb2027-COLLECTION'!K40</f>
        <v/>
      </c>
      <c r="AU41" s="10">
        <f>'Feb2027-EXPENSE'!R44</f>
        <v/>
      </c>
      <c r="AV41" s="10" t="n"/>
      <c r="AW41" s="174">
        <f>AT41-(AU41+AV41)</f>
        <v/>
      </c>
      <c r="AX41" s="7">
        <f>'Mar2027-COLLECTION'!K40</f>
        <v/>
      </c>
      <c r="AY41" s="10">
        <f>'Mar2027-EXPENSE'!R44</f>
        <v/>
      </c>
      <c r="AZ41" s="10" t="n"/>
      <c r="BA41" s="174">
        <f>AX41-(AY41+AZ41)</f>
        <v/>
      </c>
      <c r="BB41" s="172">
        <f>SUM(F41,J41,N41,R41,V41,Z41,AD41,AH41,AL41,AP41,AT41,AX41)</f>
        <v/>
      </c>
      <c r="BC41" s="172">
        <f>SUM(G41,K41,O41,S41,W41,AA41,AE41,AI41,AM41,AQ41,AU41,AY41)</f>
        <v/>
      </c>
      <c r="BD41" s="172">
        <f>SUM(H41,L41,P41,T41,X41,AB41,AF41,AJ41,AN41,AR41,AV41,AZ41)</f>
        <v/>
      </c>
      <c r="BE41" s="172">
        <f>BB41-(BC41+BD41)</f>
        <v/>
      </c>
      <c r="BF41" s="172">
        <f>E41+BE41</f>
        <v/>
      </c>
      <c r="BG41" s="175" t="n">
        <v>0</v>
      </c>
    </row>
    <row r="42" ht="15.75" customHeight="1" s="251">
      <c r="A42" s="169" t="inlineStr">
        <is>
          <t>S8</t>
        </is>
      </c>
      <c r="B42" s="13" t="n"/>
      <c r="C42" s="13" t="inlineStr">
        <is>
          <t>Irudayaraj Alwin</t>
        </is>
      </c>
      <c r="D42" s="170" t="n">
        <v>0</v>
      </c>
      <c r="E42" s="176" t="n">
        <v>0</v>
      </c>
      <c r="F42" s="171">
        <f>'Apr2026-COLLECTION'!K41</f>
        <v/>
      </c>
      <c r="G42" s="172">
        <f>'Apr2026-EXPENSE'!R45</f>
        <v/>
      </c>
      <c r="H42" s="172" t="n"/>
      <c r="I42" s="172">
        <f>F42-(G42+H42)</f>
        <v/>
      </c>
      <c r="J42" s="173">
        <f>'May2026-COLLECTION'!K41</f>
        <v/>
      </c>
      <c r="K42" s="174">
        <f>'May2026-EXPENSE'!R45</f>
        <v/>
      </c>
      <c r="L42" s="174" t="n"/>
      <c r="M42" s="174">
        <f>J42-(K42+L42)</f>
        <v/>
      </c>
      <c r="N42" s="172">
        <f>'June2026-COLLECTION'!K41</f>
        <v/>
      </c>
      <c r="O42" s="172">
        <f>'June2026-EXPENSE'!R45</f>
        <v/>
      </c>
      <c r="P42" s="172" t="n"/>
      <c r="Q42" s="172">
        <f>N42-(O42+P42)</f>
        <v/>
      </c>
      <c r="R42" s="41">
        <f>'July2026-COLLECTION'!K41</f>
        <v/>
      </c>
      <c r="S42" s="174">
        <f>'July2026-EXPENSE'!R45</f>
        <v/>
      </c>
      <c r="T42" s="174" t="n"/>
      <c r="U42" s="174">
        <f>R42-(S42+T42)</f>
        <v/>
      </c>
      <c r="V42" s="167">
        <f>'Aug2026-COLLECTION'!K41</f>
        <v/>
      </c>
      <c r="W42" s="172">
        <f>'Aug2026-EXPENSE'!R45</f>
        <v/>
      </c>
      <c r="X42" s="172" t="n"/>
      <c r="Y42" s="172">
        <f>V42-(W42+X42)</f>
        <v/>
      </c>
      <c r="Z42" s="41">
        <f>'Sep2026-COLLECTION'!K41</f>
        <v/>
      </c>
      <c r="AA42" s="174">
        <f>'Sep2026-EXPENSE'!R45</f>
        <v/>
      </c>
      <c r="AB42" s="174" t="n"/>
      <c r="AC42" s="174">
        <f>Z42-(AA42+AB42)</f>
        <v/>
      </c>
      <c r="AD42" s="41">
        <f>'Oct2026-COLLECTION'!K41</f>
        <v/>
      </c>
      <c r="AE42" s="174">
        <f>'Oct2026-EXPENSE'!R45</f>
        <v/>
      </c>
      <c r="AF42" s="174" t="n"/>
      <c r="AG42" s="174">
        <f>AD42-(AE42+AF42)</f>
        <v/>
      </c>
      <c r="AH42" s="41">
        <f>'Nov2026-COLLECTION'!K41</f>
        <v/>
      </c>
      <c r="AI42" s="174">
        <f>'Nov2026-EXPENSE'!R45</f>
        <v/>
      </c>
      <c r="AJ42" s="174" t="n"/>
      <c r="AK42" s="174">
        <f>AH42-(AI42+AJ42)</f>
        <v/>
      </c>
      <c r="AL42" s="41">
        <f>'Dec2026-COLLECTION'!K41</f>
        <v/>
      </c>
      <c r="AM42" s="174">
        <f>'Dec2026-EXPENSE'!R45</f>
        <v/>
      </c>
      <c r="AN42" s="174" t="n"/>
      <c r="AO42" s="174">
        <f>AL42-(AM42+AN42)</f>
        <v/>
      </c>
      <c r="AP42" s="7">
        <f>'Jan2027-COLLECTION'!K41</f>
        <v/>
      </c>
      <c r="AQ42" s="10">
        <f>'Jan2027-EXPENSE'!R45</f>
        <v/>
      </c>
      <c r="AR42" s="10" t="n"/>
      <c r="AS42" s="174">
        <f>AP42-(AQ42+AR42)</f>
        <v/>
      </c>
      <c r="AT42" s="7">
        <f>'Feb2027-COLLECTION'!K41</f>
        <v/>
      </c>
      <c r="AU42" s="10">
        <f>'Feb2027-EXPENSE'!R45</f>
        <v/>
      </c>
      <c r="AV42" s="10" t="n"/>
      <c r="AW42" s="174">
        <f>AT42-(AU42+AV42)</f>
        <v/>
      </c>
      <c r="AX42" s="7">
        <f>'Mar2027-COLLECTION'!K41</f>
        <v/>
      </c>
      <c r="AY42" s="10">
        <f>'Mar2027-EXPENSE'!R45</f>
        <v/>
      </c>
      <c r="AZ42" s="10" t="n"/>
      <c r="BA42" s="174">
        <f>AX42-(AY42+AZ42)</f>
        <v/>
      </c>
      <c r="BB42" s="172">
        <f>SUM(F42,J42,N42,R42,V42,Z42,AD42,AH42,AL42,AP42,AT42,AX42)</f>
        <v/>
      </c>
      <c r="BC42" s="172">
        <f>SUM(G42,K42,O42,S42,W42,AA42,AE42,AI42,AM42,AQ42,AU42,AY42)</f>
        <v/>
      </c>
      <c r="BD42" s="172">
        <f>SUM(H42,L42,P42,T42,X42,AB42,AF42,AJ42,AN42,AR42,AV42,AZ42)</f>
        <v/>
      </c>
      <c r="BE42" s="172">
        <f>BB42-(BC42+BD42)</f>
        <v/>
      </c>
      <c r="BF42" s="172">
        <f>E42+BE42</f>
        <v/>
      </c>
      <c r="BG42" s="175" t="n">
        <v>0</v>
      </c>
    </row>
    <row r="43" ht="15.75" customHeight="1" s="251">
      <c r="A43" s="169" t="inlineStr">
        <is>
          <t>S9</t>
        </is>
      </c>
      <c r="B43" s="13" t="n"/>
      <c r="C43" s="13" t="inlineStr">
        <is>
          <t>Pawan GS</t>
        </is>
      </c>
      <c r="D43" s="170" t="n">
        <v>0</v>
      </c>
      <c r="E43" s="176" t="n">
        <v>0</v>
      </c>
      <c r="F43" s="171">
        <f>'Apr2026-COLLECTION'!K42</f>
        <v/>
      </c>
      <c r="G43" s="172">
        <f>'Apr2026-EXPENSE'!R46</f>
        <v/>
      </c>
      <c r="H43" s="172" t="n"/>
      <c r="I43" s="172">
        <f>F43-(G43+H43)</f>
        <v/>
      </c>
      <c r="J43" s="173">
        <f>'May2026-COLLECTION'!K42</f>
        <v/>
      </c>
      <c r="K43" s="174">
        <f>'May2026-EXPENSE'!R46</f>
        <v/>
      </c>
      <c r="L43" s="174" t="n"/>
      <c r="M43" s="174">
        <f>J43-(K43+L43)</f>
        <v/>
      </c>
      <c r="N43" s="172">
        <f>'June2026-COLLECTION'!K42</f>
        <v/>
      </c>
      <c r="O43" s="172">
        <f>'June2026-EXPENSE'!R46</f>
        <v/>
      </c>
      <c r="P43" s="172" t="n"/>
      <c r="Q43" s="172">
        <f>N43-(O43+P43)</f>
        <v/>
      </c>
      <c r="R43" s="41">
        <f>'July2026-COLLECTION'!K42</f>
        <v/>
      </c>
      <c r="S43" s="174">
        <f>'July2026-EXPENSE'!R46</f>
        <v/>
      </c>
      <c r="T43" s="174" t="n"/>
      <c r="U43" s="174">
        <f>R43-(S43+T43)</f>
        <v/>
      </c>
      <c r="V43" s="167">
        <f>'Aug2026-COLLECTION'!K42</f>
        <v/>
      </c>
      <c r="W43" s="172">
        <f>'Aug2026-EXPENSE'!R46</f>
        <v/>
      </c>
      <c r="X43" s="172" t="n"/>
      <c r="Y43" s="172">
        <f>V43-(W43+X43)</f>
        <v/>
      </c>
      <c r="Z43" s="41">
        <f>'Sep2026-COLLECTION'!K42</f>
        <v/>
      </c>
      <c r="AA43" s="174">
        <f>'Sep2026-EXPENSE'!R46</f>
        <v/>
      </c>
      <c r="AB43" s="174" t="n"/>
      <c r="AC43" s="174">
        <f>Z43-(AA43+AB43)</f>
        <v/>
      </c>
      <c r="AD43" s="41">
        <f>'Oct2026-COLLECTION'!K42</f>
        <v/>
      </c>
      <c r="AE43" s="174">
        <f>'Oct2026-EXPENSE'!R46</f>
        <v/>
      </c>
      <c r="AF43" s="174" t="n"/>
      <c r="AG43" s="174">
        <f>AD43-(AE43+AF43)</f>
        <v/>
      </c>
      <c r="AH43" s="41">
        <f>'Nov2026-COLLECTION'!K42</f>
        <v/>
      </c>
      <c r="AI43" s="174">
        <f>'Nov2026-EXPENSE'!R46</f>
        <v/>
      </c>
      <c r="AJ43" s="174" t="n"/>
      <c r="AK43" s="174">
        <f>AH43-(AI43+AJ43)</f>
        <v/>
      </c>
      <c r="AL43" s="41">
        <f>'Dec2026-COLLECTION'!K42</f>
        <v/>
      </c>
      <c r="AM43" s="174">
        <f>'Dec2026-EXPENSE'!R46</f>
        <v/>
      </c>
      <c r="AN43" s="174" t="n"/>
      <c r="AO43" s="174">
        <f>AL43-(AM43+AN43)</f>
        <v/>
      </c>
      <c r="AP43" s="7">
        <f>'Jan2027-COLLECTION'!K42</f>
        <v/>
      </c>
      <c r="AQ43" s="10">
        <f>'Jan2027-EXPENSE'!R46</f>
        <v/>
      </c>
      <c r="AR43" s="10" t="n"/>
      <c r="AS43" s="174">
        <f>AP43-(AQ43+AR43)</f>
        <v/>
      </c>
      <c r="AT43" s="7">
        <f>'Feb2027-COLLECTION'!K42</f>
        <v/>
      </c>
      <c r="AU43" s="10">
        <f>'Feb2027-EXPENSE'!R46</f>
        <v/>
      </c>
      <c r="AV43" s="10" t="n"/>
      <c r="AW43" s="174">
        <f>AT43-(AU43+AV43)</f>
        <v/>
      </c>
      <c r="AX43" s="7">
        <f>'Mar2027-COLLECTION'!K42</f>
        <v/>
      </c>
      <c r="AY43" s="10">
        <f>'Mar2027-EXPENSE'!R46</f>
        <v/>
      </c>
      <c r="AZ43" s="10" t="n"/>
      <c r="BA43" s="174">
        <f>AX43-(AY43+AZ43)</f>
        <v/>
      </c>
      <c r="BB43" s="172">
        <f>SUM(F43,J43,N43,R43,V43,Z43,AD43,AH43,AL43,AP43,AT43,AX43)</f>
        <v/>
      </c>
      <c r="BC43" s="172">
        <f>SUM(G43,K43,O43,S43,W43,AA43,AE43,AI43,AM43,AQ43,AU43,AY43)</f>
        <v/>
      </c>
      <c r="BD43" s="172">
        <f>SUM(H43,L43,P43,T43,X43,AB43,AF43,AJ43,AN43,AR43,AV43,AZ43)</f>
        <v/>
      </c>
      <c r="BE43" s="172">
        <f>BB43-(BC43+BD43)</f>
        <v/>
      </c>
      <c r="BF43" s="172">
        <f>E43+BE43</f>
        <v/>
      </c>
      <c r="BG43" s="175" t="n">
        <v>0</v>
      </c>
    </row>
    <row r="44" ht="15.75" customHeight="1" s="251">
      <c r="A44" s="169" t="inlineStr">
        <is>
          <t>S10</t>
        </is>
      </c>
      <c r="B44" s="13" t="inlineStr">
        <is>
          <t>esky2524@gmail.com</t>
        </is>
      </c>
      <c r="C44" s="13" t="inlineStr">
        <is>
          <t>Previous owner - Rohith. New owner name not known</t>
        </is>
      </c>
      <c r="D44" s="170" t="n">
        <v>0</v>
      </c>
      <c r="E44" s="176" t="n">
        <v>0</v>
      </c>
      <c r="F44" s="171">
        <f>'Apr2026-COLLECTION'!K43</f>
        <v/>
      </c>
      <c r="G44" s="172">
        <f>'Apr2026-EXPENSE'!R47</f>
        <v/>
      </c>
      <c r="H44" s="172" t="n"/>
      <c r="I44" s="172">
        <f>F44-(G44+H44)</f>
        <v/>
      </c>
      <c r="J44" s="173">
        <f>'May2026-COLLECTION'!K43</f>
        <v/>
      </c>
      <c r="K44" s="174">
        <f>'May2026-EXPENSE'!R47</f>
        <v/>
      </c>
      <c r="L44" s="174" t="n">
        <v>0</v>
      </c>
      <c r="M44" s="174">
        <f>J44-(K44+L44)</f>
        <v/>
      </c>
      <c r="N44" s="172">
        <f>'June2026-COLLECTION'!K43</f>
        <v/>
      </c>
      <c r="O44" s="172">
        <f>'June2026-EXPENSE'!R47</f>
        <v/>
      </c>
      <c r="P44" s="172" t="n"/>
      <c r="Q44" s="172">
        <f>N44-(O44+P44)</f>
        <v/>
      </c>
      <c r="R44" s="41">
        <f>'July2026-COLLECTION'!K43</f>
        <v/>
      </c>
      <c r="S44" s="174">
        <f>'July2026-EXPENSE'!R47</f>
        <v/>
      </c>
      <c r="T44" s="174" t="n">
        <v>0</v>
      </c>
      <c r="U44" s="174">
        <f>R44-(S44+T44)</f>
        <v/>
      </c>
      <c r="V44" s="167">
        <f>'Aug2026-COLLECTION'!K43</f>
        <v/>
      </c>
      <c r="W44" s="172">
        <f>'Aug2026-EXPENSE'!R47</f>
        <v/>
      </c>
      <c r="X44" s="172" t="n"/>
      <c r="Y44" s="172">
        <f>V44-(W44+X44)</f>
        <v/>
      </c>
      <c r="Z44" s="41">
        <f>'Sep2026-COLLECTION'!K43</f>
        <v/>
      </c>
      <c r="AA44" s="174">
        <f>'Sep2026-EXPENSE'!R47</f>
        <v/>
      </c>
      <c r="AB44" s="174" t="n"/>
      <c r="AC44" s="174">
        <f>Z44-(AA44+AB44)</f>
        <v/>
      </c>
      <c r="AD44" s="41">
        <f>'Oct2026-COLLECTION'!K43</f>
        <v/>
      </c>
      <c r="AE44" s="174">
        <f>'Oct2026-EXPENSE'!R47</f>
        <v/>
      </c>
      <c r="AF44" s="174" t="n"/>
      <c r="AG44" s="174">
        <f>AD44-(AE44+AF44)</f>
        <v/>
      </c>
      <c r="AH44" s="41">
        <f>'Nov2026-COLLECTION'!K43</f>
        <v/>
      </c>
      <c r="AI44" s="174">
        <f>'Nov2026-EXPENSE'!R47</f>
        <v/>
      </c>
      <c r="AJ44" s="174" t="n"/>
      <c r="AK44" s="174">
        <f>AH44-(AI44+AJ44)</f>
        <v/>
      </c>
      <c r="AL44" s="41">
        <f>'Dec2026-COLLECTION'!K43</f>
        <v/>
      </c>
      <c r="AM44" s="174">
        <f>'Dec2026-EXPENSE'!R47</f>
        <v/>
      </c>
      <c r="AN44" s="174" t="n"/>
      <c r="AO44" s="174">
        <f>AL44-(AM44+AN44)</f>
        <v/>
      </c>
      <c r="AP44" s="7">
        <f>'Jan2027-COLLECTION'!K43</f>
        <v/>
      </c>
      <c r="AQ44" s="10">
        <f>'Jan2027-EXPENSE'!R47</f>
        <v/>
      </c>
      <c r="AR44" s="10" t="n"/>
      <c r="AS44" s="174">
        <f>AP44-(AQ44+AR44)</f>
        <v/>
      </c>
      <c r="AT44" s="7">
        <f>'Feb2027-COLLECTION'!K43</f>
        <v/>
      </c>
      <c r="AU44" s="10">
        <f>'Feb2027-EXPENSE'!R47</f>
        <v/>
      </c>
      <c r="AV44" s="10" t="n"/>
      <c r="AW44" s="174">
        <f>AT44-(AU44+AV44)</f>
        <v/>
      </c>
      <c r="AX44" s="7">
        <f>'Mar2027-COLLECTION'!K43</f>
        <v/>
      </c>
      <c r="AY44" s="10">
        <f>'Mar2027-EXPENSE'!R47</f>
        <v/>
      </c>
      <c r="AZ44" s="10" t="n"/>
      <c r="BA44" s="174">
        <f>AX44-(AY44+AZ44)</f>
        <v/>
      </c>
      <c r="BB44" s="172">
        <f>SUM(F44,J44,N44,R44,V44,Z44,AD44,AH44,AL44,AP44,AT44,AX44)</f>
        <v/>
      </c>
      <c r="BC44" s="172">
        <f>SUM(G44,K44,O44,S44,W44,AA44,AE44,AI44,AM44,AQ44,AU44,AY44)</f>
        <v/>
      </c>
      <c r="BD44" s="172">
        <f>SUM(H44,L44,P44,T44,X44,AB44,AF44,AJ44,AN44,AR44,AV44,AZ44)</f>
        <v/>
      </c>
      <c r="BE44" s="172">
        <f>BB44-(BC44+BD44)</f>
        <v/>
      </c>
      <c r="BF44" s="172">
        <f>E44+BE44</f>
        <v/>
      </c>
      <c r="BG44" s="175" t="n">
        <v>0</v>
      </c>
    </row>
    <row r="45" ht="15.75" customHeight="1" s="251">
      <c r="A45" s="169" t="inlineStr">
        <is>
          <t>S11</t>
        </is>
      </c>
      <c r="B45" s="13" t="n"/>
      <c r="C45" s="13" t="inlineStr">
        <is>
          <t>Gowrish Patnaik / Somananth GM</t>
        </is>
      </c>
      <c r="D45" s="170" t="n">
        <v>0</v>
      </c>
      <c r="E45" s="176" t="n">
        <v>0</v>
      </c>
      <c r="F45" s="171">
        <f>'Apr2026-COLLECTION'!K44</f>
        <v/>
      </c>
      <c r="G45" s="172">
        <f>'Apr2026-EXPENSE'!R48</f>
        <v/>
      </c>
      <c r="H45" s="172" t="n"/>
      <c r="I45" s="172">
        <f>F45-(G45+H45)</f>
        <v/>
      </c>
      <c r="J45" s="173">
        <f>'May2026-COLLECTION'!K44</f>
        <v/>
      </c>
      <c r="K45" s="174">
        <f>'May2026-EXPENSE'!R48</f>
        <v/>
      </c>
      <c r="L45" s="174" t="n">
        <v>0</v>
      </c>
      <c r="M45" s="174">
        <f>J45-(K45+L45)</f>
        <v/>
      </c>
      <c r="N45" s="172">
        <f>'June2026-COLLECTION'!K44</f>
        <v/>
      </c>
      <c r="O45" s="172">
        <f>'June2026-EXPENSE'!R48</f>
        <v/>
      </c>
      <c r="P45" s="172" t="n"/>
      <c r="Q45" s="172">
        <f>N45-(O45+P45)</f>
        <v/>
      </c>
      <c r="R45" s="41">
        <f>'July2026-COLLECTION'!K44</f>
        <v/>
      </c>
      <c r="S45" s="174">
        <f>'July2026-EXPENSE'!R48</f>
        <v/>
      </c>
      <c r="T45" s="174" t="n"/>
      <c r="U45" s="174">
        <f>R45-(S45+T45)</f>
        <v/>
      </c>
      <c r="V45" s="167">
        <f>'Aug2026-COLLECTION'!K44</f>
        <v/>
      </c>
      <c r="W45" s="172">
        <f>'Aug2026-EXPENSE'!R48</f>
        <v/>
      </c>
      <c r="X45" s="172" t="n"/>
      <c r="Y45" s="172">
        <f>V45-(W45+X45)</f>
        <v/>
      </c>
      <c r="Z45" s="41">
        <f>'Sep2026-COLLECTION'!K44</f>
        <v/>
      </c>
      <c r="AA45" s="174">
        <f>'Sep2026-EXPENSE'!R48</f>
        <v/>
      </c>
      <c r="AB45" s="174" t="n"/>
      <c r="AC45" s="174">
        <f>Z45-(AA45+AB45)</f>
        <v/>
      </c>
      <c r="AD45" s="41">
        <f>'Oct2026-COLLECTION'!K44</f>
        <v/>
      </c>
      <c r="AE45" s="174">
        <f>'Oct2026-EXPENSE'!R48</f>
        <v/>
      </c>
      <c r="AF45" s="174" t="n"/>
      <c r="AG45" s="174">
        <f>AD45-(AE45+AF45)</f>
        <v/>
      </c>
      <c r="AH45" s="41">
        <f>'Nov2026-COLLECTION'!K44</f>
        <v/>
      </c>
      <c r="AI45" s="174">
        <f>'Nov2026-EXPENSE'!R48</f>
        <v/>
      </c>
      <c r="AJ45" s="174" t="n"/>
      <c r="AK45" s="174">
        <f>AH45-(AI45+AJ45)</f>
        <v/>
      </c>
      <c r="AL45" s="41">
        <f>'Dec2026-COLLECTION'!K44</f>
        <v/>
      </c>
      <c r="AM45" s="174">
        <f>'Dec2026-EXPENSE'!R48</f>
        <v/>
      </c>
      <c r="AN45" s="174" t="n"/>
      <c r="AO45" s="174">
        <f>AL45-(AM45+AN45)</f>
        <v/>
      </c>
      <c r="AP45" s="7">
        <f>'Jan2027-COLLECTION'!K44</f>
        <v/>
      </c>
      <c r="AQ45" s="10">
        <f>'Jan2027-EXPENSE'!R48</f>
        <v/>
      </c>
      <c r="AR45" s="10" t="n"/>
      <c r="AS45" s="174">
        <f>AP45-(AQ45+AR45)</f>
        <v/>
      </c>
      <c r="AT45" s="7">
        <f>'Feb2027-COLLECTION'!K44</f>
        <v/>
      </c>
      <c r="AU45" s="10">
        <f>'Feb2027-EXPENSE'!R48</f>
        <v/>
      </c>
      <c r="AV45" s="10" t="n"/>
      <c r="AW45" s="174">
        <f>AT45-(AU45+AV45)</f>
        <v/>
      </c>
      <c r="AX45" s="7">
        <f>'Mar2027-COLLECTION'!K44</f>
        <v/>
      </c>
      <c r="AY45" s="10">
        <f>'Mar2027-EXPENSE'!R48</f>
        <v/>
      </c>
      <c r="AZ45" s="10" t="n"/>
      <c r="BA45" s="174">
        <f>AX45-(AY45+AZ45)</f>
        <v/>
      </c>
      <c r="BB45" s="172">
        <f>SUM(F45,J45,N45,R45,V45,Z45,AD45,AH45,AL45,AP45,AT45,AX45)</f>
        <v/>
      </c>
      <c r="BC45" s="172">
        <f>SUM(G45,K45,O45,S45,W45,AA45,AE45,AI45,AM45,AQ45,AU45,AY45)</f>
        <v/>
      </c>
      <c r="BD45" s="172">
        <f>SUM(H45,L45,P45,T45,X45,AB45,AF45,AJ45,AN45,AR45,AV45,AZ45)</f>
        <v/>
      </c>
      <c r="BE45" s="172">
        <f>BB45-(BC45+BD45)</f>
        <v/>
      </c>
      <c r="BF45" s="172">
        <f>E45+BE45</f>
        <v/>
      </c>
      <c r="BG45" s="175" t="n">
        <v>0</v>
      </c>
    </row>
    <row r="46" ht="15.75" customHeight="1" s="251">
      <c r="A46" s="169" t="inlineStr">
        <is>
          <t>S12</t>
        </is>
      </c>
      <c r="B46" s="13" t="n"/>
      <c r="C46" s="13" t="inlineStr">
        <is>
          <t>Saovik Mondal</t>
        </is>
      </c>
      <c r="D46" s="170" t="n">
        <v>0</v>
      </c>
      <c r="E46" s="176" t="n">
        <v>0</v>
      </c>
      <c r="F46" s="171">
        <f>'Apr2026-COLLECTION'!K45</f>
        <v/>
      </c>
      <c r="G46" s="172">
        <f>'Apr2026-EXPENSE'!R49</f>
        <v/>
      </c>
      <c r="H46" s="172" t="n"/>
      <c r="I46" s="172">
        <f>F46-(G46+H46)</f>
        <v/>
      </c>
      <c r="J46" s="173">
        <f>'May2026-COLLECTION'!K45</f>
        <v/>
      </c>
      <c r="K46" s="174">
        <f>'May2026-EXPENSE'!R49</f>
        <v/>
      </c>
      <c r="L46" s="174" t="n"/>
      <c r="M46" s="174">
        <f>J46-(K46+L46)</f>
        <v/>
      </c>
      <c r="N46" s="172">
        <f>'June2026-COLLECTION'!K45</f>
        <v/>
      </c>
      <c r="O46" s="172">
        <f>'June2026-EXPENSE'!R49</f>
        <v/>
      </c>
      <c r="P46" s="172" t="n"/>
      <c r="Q46" s="172">
        <f>N46-(O46+P46)</f>
        <v/>
      </c>
      <c r="R46" s="41">
        <f>'July2026-COLLECTION'!K45</f>
        <v/>
      </c>
      <c r="S46" s="174">
        <f>'July2026-EXPENSE'!R49</f>
        <v/>
      </c>
      <c r="T46" s="174" t="n"/>
      <c r="U46" s="174">
        <f>R46-(S46+T46)</f>
        <v/>
      </c>
      <c r="V46" s="167">
        <f>'Aug2026-COLLECTION'!K45</f>
        <v/>
      </c>
      <c r="W46" s="172">
        <f>'Aug2026-EXPENSE'!R49</f>
        <v/>
      </c>
      <c r="X46" s="172" t="n"/>
      <c r="Y46" s="172">
        <f>V46-(W46+X46)</f>
        <v/>
      </c>
      <c r="Z46" s="41">
        <f>'Sep2026-COLLECTION'!K45</f>
        <v/>
      </c>
      <c r="AA46" s="174">
        <f>'Sep2026-EXPENSE'!R49</f>
        <v/>
      </c>
      <c r="AB46" s="174" t="n"/>
      <c r="AC46" s="174">
        <f>Z46-(AA46+AB46)</f>
        <v/>
      </c>
      <c r="AD46" s="41">
        <f>'Oct2026-COLLECTION'!K45</f>
        <v/>
      </c>
      <c r="AE46" s="174">
        <f>'Oct2026-EXPENSE'!R49</f>
        <v/>
      </c>
      <c r="AF46" s="174" t="n"/>
      <c r="AG46" s="174">
        <f>AD46-(AE46+AF46)</f>
        <v/>
      </c>
      <c r="AH46" s="41">
        <f>'Nov2026-COLLECTION'!K45</f>
        <v/>
      </c>
      <c r="AI46" s="174">
        <f>'Nov2026-EXPENSE'!R49</f>
        <v/>
      </c>
      <c r="AJ46" s="174" t="n"/>
      <c r="AK46" s="174">
        <f>AH46-(AI46+AJ46)</f>
        <v/>
      </c>
      <c r="AL46" s="41">
        <f>'Dec2026-COLLECTION'!K45</f>
        <v/>
      </c>
      <c r="AM46" s="174">
        <f>'Dec2026-EXPENSE'!R49</f>
        <v/>
      </c>
      <c r="AN46" s="174" t="n"/>
      <c r="AO46" s="174">
        <f>AL46-(AM46+AN46)</f>
        <v/>
      </c>
      <c r="AP46" s="7">
        <f>'Jan2027-COLLECTION'!K45</f>
        <v/>
      </c>
      <c r="AQ46" s="10">
        <f>'Jan2027-EXPENSE'!R49</f>
        <v/>
      </c>
      <c r="AR46" s="10" t="n"/>
      <c r="AS46" s="174">
        <f>AP46-(AQ46+AR46)</f>
        <v/>
      </c>
      <c r="AT46" s="7">
        <f>'Feb2027-COLLECTION'!K45</f>
        <v/>
      </c>
      <c r="AU46" s="10">
        <f>'Feb2027-EXPENSE'!R49</f>
        <v/>
      </c>
      <c r="AV46" s="10" t="n"/>
      <c r="AW46" s="174">
        <f>AT46-(AU46+AV46)</f>
        <v/>
      </c>
      <c r="AX46" s="7">
        <f>'Mar2027-COLLECTION'!K45</f>
        <v/>
      </c>
      <c r="AY46" s="10">
        <f>'Mar2027-EXPENSE'!R49</f>
        <v/>
      </c>
      <c r="AZ46" s="10" t="n"/>
      <c r="BA46" s="174">
        <f>AX46-(AY46+AZ46)</f>
        <v/>
      </c>
      <c r="BB46" s="172">
        <f>SUM(F46,J46,N46,R46,V46,Z46,AD46,AH46,AL46,AP46,AT46,AX46)</f>
        <v/>
      </c>
      <c r="BC46" s="172">
        <f>SUM(G46,K46,O46,S46,W46,AA46,AE46,AI46,AM46,AQ46,AU46,AY46)</f>
        <v/>
      </c>
      <c r="BD46" s="172">
        <f>SUM(H46,L46,P46,T46,X46,AB46,AF46,AJ46,AN46,AR46,AV46,AZ46)</f>
        <v/>
      </c>
      <c r="BE46" s="172">
        <f>BB46-(BC46+BD46)</f>
        <v/>
      </c>
      <c r="BF46" s="172">
        <f>E46+BE46</f>
        <v/>
      </c>
      <c r="BG46" s="175" t="n">
        <v>0</v>
      </c>
    </row>
    <row r="47" ht="15.75" customHeight="1" s="251">
      <c r="A47" s="169" t="inlineStr">
        <is>
          <t>S13</t>
        </is>
      </c>
      <c r="B47" s="13" t="n"/>
      <c r="C47" s="13" t="inlineStr">
        <is>
          <t>Ramadevi S.</t>
        </is>
      </c>
      <c r="D47" s="170" t="n">
        <v>0</v>
      </c>
      <c r="E47" s="176" t="n">
        <v>0</v>
      </c>
      <c r="F47" s="171">
        <f>'Apr2026-COLLECTION'!K46</f>
        <v/>
      </c>
      <c r="G47" s="172">
        <f>'Apr2026-EXPENSE'!R50</f>
        <v/>
      </c>
      <c r="H47" s="172" t="n"/>
      <c r="I47" s="172">
        <f>F47-(G47+H47)</f>
        <v/>
      </c>
      <c r="J47" s="173">
        <f>'May2026-COLLECTION'!K46</f>
        <v/>
      </c>
      <c r="K47" s="174">
        <f>'May2026-EXPENSE'!R50</f>
        <v/>
      </c>
      <c r="L47" s="174" t="n">
        <v>0</v>
      </c>
      <c r="M47" s="174">
        <f>J47-(K47+L47)</f>
        <v/>
      </c>
      <c r="N47" s="172">
        <f>'June2026-COLLECTION'!K46</f>
        <v/>
      </c>
      <c r="O47" s="172">
        <f>'June2026-EXPENSE'!R50</f>
        <v/>
      </c>
      <c r="P47" s="172" t="n"/>
      <c r="Q47" s="172">
        <f>N47-(O47+P47)</f>
        <v/>
      </c>
      <c r="R47" s="41">
        <f>'July2026-COLLECTION'!K46</f>
        <v/>
      </c>
      <c r="S47" s="174">
        <f>'July2026-EXPENSE'!R50</f>
        <v/>
      </c>
      <c r="T47" s="174" t="n"/>
      <c r="U47" s="174">
        <f>R47-(S47+T47)</f>
        <v/>
      </c>
      <c r="V47" s="167">
        <f>'Aug2026-COLLECTION'!K46</f>
        <v/>
      </c>
      <c r="W47" s="172">
        <f>'Aug2026-EXPENSE'!R50</f>
        <v/>
      </c>
      <c r="X47" s="172" t="n"/>
      <c r="Y47" s="172">
        <f>V47-(W47+X47)</f>
        <v/>
      </c>
      <c r="Z47" s="41">
        <f>'Sep2026-COLLECTION'!K46</f>
        <v/>
      </c>
      <c r="AA47" s="174">
        <f>'Sep2026-EXPENSE'!R50</f>
        <v/>
      </c>
      <c r="AB47" s="174" t="n"/>
      <c r="AC47" s="174">
        <f>Z47-(AA47+AB47)</f>
        <v/>
      </c>
      <c r="AD47" s="41">
        <f>'Oct2026-COLLECTION'!K46</f>
        <v/>
      </c>
      <c r="AE47" s="174">
        <f>'Oct2026-EXPENSE'!R50</f>
        <v/>
      </c>
      <c r="AF47" s="174" t="n"/>
      <c r="AG47" s="174">
        <f>AD47-(AE47+AF47)</f>
        <v/>
      </c>
      <c r="AH47" s="41">
        <f>'Nov2026-COLLECTION'!K46</f>
        <v/>
      </c>
      <c r="AI47" s="174">
        <f>'Nov2026-EXPENSE'!R50</f>
        <v/>
      </c>
      <c r="AJ47" s="174" t="n"/>
      <c r="AK47" s="174">
        <f>AH47-(AI47+AJ47)</f>
        <v/>
      </c>
      <c r="AL47" s="41">
        <f>'Dec2026-COLLECTION'!K46</f>
        <v/>
      </c>
      <c r="AM47" s="174">
        <f>'Dec2026-EXPENSE'!R50</f>
        <v/>
      </c>
      <c r="AN47" s="174" t="n"/>
      <c r="AO47" s="174">
        <f>AL47-(AM47+AN47)</f>
        <v/>
      </c>
      <c r="AP47" s="7">
        <f>'Jan2027-COLLECTION'!K46</f>
        <v/>
      </c>
      <c r="AQ47" s="10">
        <f>'Jan2027-EXPENSE'!R50</f>
        <v/>
      </c>
      <c r="AR47" s="10" t="n"/>
      <c r="AS47" s="174">
        <f>AP47-(AQ47+AR47)</f>
        <v/>
      </c>
      <c r="AT47" s="7">
        <f>'Feb2027-COLLECTION'!K46</f>
        <v/>
      </c>
      <c r="AU47" s="10">
        <f>'Feb2027-EXPENSE'!R50</f>
        <v/>
      </c>
      <c r="AV47" s="10" t="n"/>
      <c r="AW47" s="174">
        <f>AT47-(AU47+AV47)</f>
        <v/>
      </c>
      <c r="AX47" s="7">
        <f>'Mar2027-COLLECTION'!K46</f>
        <v/>
      </c>
      <c r="AY47" s="10">
        <f>'Mar2027-EXPENSE'!R50</f>
        <v/>
      </c>
      <c r="AZ47" s="10" t="n"/>
      <c r="BA47" s="174">
        <f>AX47-(AY47+AZ47)</f>
        <v/>
      </c>
      <c r="BB47" s="172">
        <f>SUM(F47,J47,N47,R47,V47,Z47,AD47,AH47,AL47,AP47,AT47,AX47)</f>
        <v/>
      </c>
      <c r="BC47" s="172">
        <f>SUM(G47,K47,O47,S47,W47,AA47,AE47,AI47,AM47,AQ47,AU47,AY47)</f>
        <v/>
      </c>
      <c r="BD47" s="172">
        <f>SUM(H47,L47,P47,T47,X47,AB47,AF47,AJ47,AN47,AR47,AV47,AZ47)</f>
        <v/>
      </c>
      <c r="BE47" s="172">
        <f>BB47-(BC47+BD47)</f>
        <v/>
      </c>
      <c r="BF47" s="172">
        <f>E47+BE47</f>
        <v/>
      </c>
      <c r="BG47" s="175" t="n">
        <v>0</v>
      </c>
    </row>
    <row r="48" ht="15.75" customHeight="1" s="251">
      <c r="A48" s="169" t="inlineStr">
        <is>
          <t>S14</t>
        </is>
      </c>
      <c r="B48" s="13" t="n"/>
      <c r="C48" s="13" t="inlineStr">
        <is>
          <t>Nishant Upadhyay(Owner)/ Fabian (Tenant)</t>
        </is>
      </c>
      <c r="D48" s="170" t="n">
        <v>0</v>
      </c>
      <c r="E48" s="176" t="n">
        <v>0</v>
      </c>
      <c r="F48" s="171">
        <f>'Apr2026-COLLECTION'!K47</f>
        <v/>
      </c>
      <c r="G48" s="172">
        <f>'Apr2026-EXPENSE'!R51</f>
        <v/>
      </c>
      <c r="H48" s="172" t="n"/>
      <c r="I48" s="172">
        <f>F48-(G48+H48)</f>
        <v/>
      </c>
      <c r="J48" s="173">
        <f>'May2026-COLLECTION'!K47</f>
        <v/>
      </c>
      <c r="K48" s="174">
        <f>'May2026-EXPENSE'!R51</f>
        <v/>
      </c>
      <c r="L48" s="174" t="n">
        <v>0</v>
      </c>
      <c r="M48" s="174">
        <f>J48-(K48+L48)</f>
        <v/>
      </c>
      <c r="N48" s="172">
        <f>'June2026-COLLECTION'!K47</f>
        <v/>
      </c>
      <c r="O48" s="172">
        <f>'June2026-EXPENSE'!R51</f>
        <v/>
      </c>
      <c r="P48" s="172" t="n"/>
      <c r="Q48" s="172">
        <f>N48-(O48+P48)</f>
        <v/>
      </c>
      <c r="R48" s="41">
        <f>'July2026-COLLECTION'!K47</f>
        <v/>
      </c>
      <c r="S48" s="174">
        <f>'July2026-EXPENSE'!R51</f>
        <v/>
      </c>
      <c r="T48" s="174" t="n">
        <v>0</v>
      </c>
      <c r="U48" s="174">
        <f>R48-(S48+T48)</f>
        <v/>
      </c>
      <c r="V48" s="167">
        <f>'Aug2026-COLLECTION'!K47</f>
        <v/>
      </c>
      <c r="W48" s="172">
        <f>'Aug2026-EXPENSE'!R51</f>
        <v/>
      </c>
      <c r="X48" s="172" t="n"/>
      <c r="Y48" s="172">
        <f>V48-(W48+X48)</f>
        <v/>
      </c>
      <c r="Z48" s="41">
        <f>'Sep2026-COLLECTION'!K47</f>
        <v/>
      </c>
      <c r="AA48" s="174">
        <f>'Sep2026-EXPENSE'!R51</f>
        <v/>
      </c>
      <c r="AB48" s="174" t="n"/>
      <c r="AC48" s="174">
        <f>Z48-(AA48+AB48)</f>
        <v/>
      </c>
      <c r="AD48" s="41">
        <f>'Oct2026-COLLECTION'!K47</f>
        <v/>
      </c>
      <c r="AE48" s="174">
        <f>'Oct2026-EXPENSE'!R51</f>
        <v/>
      </c>
      <c r="AF48" s="174" t="n"/>
      <c r="AG48" s="174">
        <f>AD48-(AE48+AF48)</f>
        <v/>
      </c>
      <c r="AH48" s="41">
        <f>'Nov2026-COLLECTION'!K47</f>
        <v/>
      </c>
      <c r="AI48" s="174">
        <f>'Nov2026-EXPENSE'!R51</f>
        <v/>
      </c>
      <c r="AJ48" s="174" t="n"/>
      <c r="AK48" s="174">
        <f>AH48-(AI48+AJ48)</f>
        <v/>
      </c>
      <c r="AL48" s="41">
        <f>'Dec2026-COLLECTION'!K47</f>
        <v/>
      </c>
      <c r="AM48" s="174">
        <f>'Dec2026-EXPENSE'!R51</f>
        <v/>
      </c>
      <c r="AN48" s="174" t="n"/>
      <c r="AO48" s="174">
        <f>AL48-(AM48+AN48)</f>
        <v/>
      </c>
      <c r="AP48" s="7">
        <f>'Jan2027-COLLECTION'!K47</f>
        <v/>
      </c>
      <c r="AQ48" s="10">
        <f>'Jan2027-EXPENSE'!R51</f>
        <v/>
      </c>
      <c r="AR48" s="10" t="n"/>
      <c r="AS48" s="174">
        <f>AP48-(AQ48+AR48)</f>
        <v/>
      </c>
      <c r="AT48" s="7">
        <f>'Feb2027-COLLECTION'!K47</f>
        <v/>
      </c>
      <c r="AU48" s="10">
        <f>'Feb2027-EXPENSE'!R51</f>
        <v/>
      </c>
      <c r="AV48" s="10" t="n"/>
      <c r="AW48" s="174">
        <f>AT48-(AU48+AV48)</f>
        <v/>
      </c>
      <c r="AX48" s="7">
        <f>'Mar2027-COLLECTION'!K47</f>
        <v/>
      </c>
      <c r="AY48" s="10">
        <f>'Mar2027-EXPENSE'!R51</f>
        <v/>
      </c>
      <c r="AZ48" s="10" t="n"/>
      <c r="BA48" s="174">
        <f>AX48-(AY48+AZ48)</f>
        <v/>
      </c>
      <c r="BB48" s="172">
        <f>SUM(F48,J48,N48,R48,V48,Z48,AD48,AH48,AL48,AP48,AT48,AX48)</f>
        <v/>
      </c>
      <c r="BC48" s="172">
        <f>SUM(G48,K48,O48,S48,W48,AA48,AE48,AI48,AM48,AQ48,AU48,AY48)</f>
        <v/>
      </c>
      <c r="BD48" s="172">
        <f>SUM(H48,L48,P48,T48,X48,AB48,AF48,AJ48,AN48,AR48,AV48,AZ48)</f>
        <v/>
      </c>
      <c r="BE48" s="172">
        <f>BB48-(BC48+BD48)</f>
        <v/>
      </c>
      <c r="BF48" s="172">
        <f>E48+BE48</f>
        <v/>
      </c>
      <c r="BG48" s="175" t="n">
        <v>0</v>
      </c>
    </row>
    <row r="49" ht="15.75" customHeight="1" s="251">
      <c r="A49" s="169" t="inlineStr">
        <is>
          <t>S15</t>
        </is>
      </c>
      <c r="B49" s="13" t="n"/>
      <c r="C49" s="13" t="inlineStr">
        <is>
          <t>Manas Dasgupta</t>
        </is>
      </c>
      <c r="D49" s="170" t="n">
        <v>0</v>
      </c>
      <c r="E49" s="176" t="n">
        <v>0</v>
      </c>
      <c r="F49" s="171">
        <f>'Apr2026-COLLECTION'!K48</f>
        <v/>
      </c>
      <c r="G49" s="172">
        <f>'Apr2026-EXPENSE'!R52</f>
        <v/>
      </c>
      <c r="H49" s="172" t="n"/>
      <c r="I49" s="172">
        <f>F49-(G49+H49)</f>
        <v/>
      </c>
      <c r="J49" s="173">
        <f>'May2026-COLLECTION'!K48</f>
        <v/>
      </c>
      <c r="K49" s="174">
        <f>'May2026-EXPENSE'!R52</f>
        <v/>
      </c>
      <c r="L49" s="174" t="n">
        <v>0</v>
      </c>
      <c r="M49" s="174">
        <f>J49-(K49+L49)</f>
        <v/>
      </c>
      <c r="N49" s="172">
        <f>'June2026-COLLECTION'!K48</f>
        <v/>
      </c>
      <c r="O49" s="172">
        <f>'June2026-EXPENSE'!R52</f>
        <v/>
      </c>
      <c r="P49" s="172" t="n"/>
      <c r="Q49" s="172">
        <f>N49-(O49+P49)</f>
        <v/>
      </c>
      <c r="R49" s="41">
        <f>'July2026-COLLECTION'!K48</f>
        <v/>
      </c>
      <c r="S49" s="174">
        <f>'July2026-EXPENSE'!R52</f>
        <v/>
      </c>
      <c r="T49" s="174" t="n"/>
      <c r="U49" s="174">
        <f>R49-(S49+T49)</f>
        <v/>
      </c>
      <c r="V49" s="167">
        <f>'Aug2026-COLLECTION'!K48</f>
        <v/>
      </c>
      <c r="W49" s="172">
        <f>'Aug2026-EXPENSE'!R52</f>
        <v/>
      </c>
      <c r="X49" s="172" t="n"/>
      <c r="Y49" s="172">
        <f>V49-(W49+X49)</f>
        <v/>
      </c>
      <c r="Z49" s="41">
        <f>'Sep2026-COLLECTION'!K48</f>
        <v/>
      </c>
      <c r="AA49" s="174">
        <f>'Sep2026-EXPENSE'!R52</f>
        <v/>
      </c>
      <c r="AB49" s="174" t="n"/>
      <c r="AC49" s="174">
        <f>Z49-(AA49+AB49)</f>
        <v/>
      </c>
      <c r="AD49" s="41">
        <f>'Oct2026-COLLECTION'!K48</f>
        <v/>
      </c>
      <c r="AE49" s="174">
        <f>'Oct2026-EXPENSE'!R52</f>
        <v/>
      </c>
      <c r="AF49" s="174" t="n"/>
      <c r="AG49" s="174">
        <f>AD49-(AE49+AF49)</f>
        <v/>
      </c>
      <c r="AH49" s="41">
        <f>'Nov2026-COLLECTION'!K48</f>
        <v/>
      </c>
      <c r="AI49" s="174">
        <f>'Nov2026-EXPENSE'!R52</f>
        <v/>
      </c>
      <c r="AJ49" s="174" t="n"/>
      <c r="AK49" s="174">
        <f>AH49-(AI49+AJ49)</f>
        <v/>
      </c>
      <c r="AL49" s="41">
        <f>'Dec2026-COLLECTION'!K48</f>
        <v/>
      </c>
      <c r="AM49" s="174">
        <f>'Dec2026-EXPENSE'!R52</f>
        <v/>
      </c>
      <c r="AN49" s="174" t="n"/>
      <c r="AO49" s="174">
        <f>AL49-(AM49+AN49)</f>
        <v/>
      </c>
      <c r="AP49" s="7">
        <f>'Jan2027-COLLECTION'!K48</f>
        <v/>
      </c>
      <c r="AQ49" s="10">
        <f>'Jan2027-EXPENSE'!R52</f>
        <v/>
      </c>
      <c r="AR49" s="10" t="n"/>
      <c r="AS49" s="174">
        <f>AP49-(AQ49+AR49)</f>
        <v/>
      </c>
      <c r="AT49" s="7">
        <f>'Feb2027-COLLECTION'!K48</f>
        <v/>
      </c>
      <c r="AU49" s="10">
        <f>'Feb2027-EXPENSE'!R52</f>
        <v/>
      </c>
      <c r="AV49" s="10" t="n"/>
      <c r="AW49" s="174">
        <f>AT49-(AU49+AV49)</f>
        <v/>
      </c>
      <c r="AX49" s="7">
        <f>'Mar2027-COLLECTION'!K48</f>
        <v/>
      </c>
      <c r="AY49" s="10">
        <f>'Mar2027-EXPENSE'!R52</f>
        <v/>
      </c>
      <c r="AZ49" s="10" t="n"/>
      <c r="BA49" s="174">
        <f>AX49-(AY49+AZ49)</f>
        <v/>
      </c>
      <c r="BB49" s="172">
        <f>SUM(F49,J49,N49,R49,V49,Z49,AD49,AH49,AL49,AP49,AT49,AX49)</f>
        <v/>
      </c>
      <c r="BC49" s="172">
        <f>SUM(G49,K49,O49,S49,W49,AA49,AE49,AI49,AM49,AQ49,AU49,AY49)</f>
        <v/>
      </c>
      <c r="BD49" s="172">
        <f>SUM(H49,L49,P49,T49,X49,AB49,AF49,AJ49,AN49,AR49,AV49,AZ49)</f>
        <v/>
      </c>
      <c r="BE49" s="172">
        <f>BB49-(BC49+BD49)</f>
        <v/>
      </c>
      <c r="BF49" s="172">
        <f>E49+BE49</f>
        <v/>
      </c>
      <c r="BG49" s="175" t="n">
        <v>0</v>
      </c>
    </row>
    <row r="50" ht="15.75" customHeight="1" s="251">
      <c r="A50" s="169" t="inlineStr">
        <is>
          <t>S16</t>
        </is>
      </c>
      <c r="B50" s="13" t="n"/>
      <c r="C50" s="13" t="inlineStr">
        <is>
          <t>Devendra Singh Rawat / Nancy</t>
        </is>
      </c>
      <c r="D50" s="170" t="n">
        <v>0</v>
      </c>
      <c r="E50" s="176" t="n">
        <v>0</v>
      </c>
      <c r="F50" s="171">
        <f>'Apr2026-COLLECTION'!K49</f>
        <v/>
      </c>
      <c r="G50" s="172">
        <f>'Apr2026-EXPENSE'!R53</f>
        <v/>
      </c>
      <c r="H50" s="172" t="n"/>
      <c r="I50" s="172">
        <f>F50-(G50+H50)</f>
        <v/>
      </c>
      <c r="J50" s="173">
        <f>'May2026-COLLECTION'!K49</f>
        <v/>
      </c>
      <c r="K50" s="174">
        <f>'May2026-EXPENSE'!R53</f>
        <v/>
      </c>
      <c r="L50" s="174" t="n"/>
      <c r="M50" s="174">
        <f>J50-(K50+L50)</f>
        <v/>
      </c>
      <c r="N50" s="172">
        <f>'June2026-COLLECTION'!K49</f>
        <v/>
      </c>
      <c r="O50" s="172">
        <f>'June2026-EXPENSE'!R53</f>
        <v/>
      </c>
      <c r="P50" s="172" t="n"/>
      <c r="Q50" s="172">
        <f>N50-(O50+P50)</f>
        <v/>
      </c>
      <c r="R50" s="41">
        <f>'July2026-COLLECTION'!K49</f>
        <v/>
      </c>
      <c r="S50" s="174">
        <f>'July2026-EXPENSE'!R53</f>
        <v/>
      </c>
      <c r="T50" s="174" t="n"/>
      <c r="U50" s="174">
        <f>R50-(S50+T50)</f>
        <v/>
      </c>
      <c r="V50" s="167">
        <f>'Aug2026-COLLECTION'!K49</f>
        <v/>
      </c>
      <c r="W50" s="172">
        <f>'Aug2026-EXPENSE'!R53</f>
        <v/>
      </c>
      <c r="X50" s="172" t="n"/>
      <c r="Y50" s="172">
        <f>V50-(W50+X50)</f>
        <v/>
      </c>
      <c r="Z50" s="41">
        <f>'Sep2026-COLLECTION'!K49</f>
        <v/>
      </c>
      <c r="AA50" s="174">
        <f>'Sep2026-EXPENSE'!R53</f>
        <v/>
      </c>
      <c r="AB50" s="174" t="n"/>
      <c r="AC50" s="174">
        <f>Z50-(AA50+AB50)</f>
        <v/>
      </c>
      <c r="AD50" s="41">
        <f>'Oct2026-COLLECTION'!K49</f>
        <v/>
      </c>
      <c r="AE50" s="174">
        <f>'Oct2026-EXPENSE'!R53</f>
        <v/>
      </c>
      <c r="AF50" s="174" t="n"/>
      <c r="AG50" s="174">
        <f>AD50-(AE50+AF50)</f>
        <v/>
      </c>
      <c r="AH50" s="41">
        <f>'Nov2026-COLLECTION'!K49</f>
        <v/>
      </c>
      <c r="AI50" s="174">
        <f>'Nov2026-EXPENSE'!R53</f>
        <v/>
      </c>
      <c r="AJ50" s="174" t="n"/>
      <c r="AK50" s="174">
        <f>AH50-(AI50+AJ50)</f>
        <v/>
      </c>
      <c r="AL50" s="41">
        <f>'Dec2026-COLLECTION'!K49</f>
        <v/>
      </c>
      <c r="AM50" s="174">
        <f>'Dec2026-EXPENSE'!R53</f>
        <v/>
      </c>
      <c r="AN50" s="174" t="n"/>
      <c r="AO50" s="174">
        <f>AL50-(AM50+AN50)</f>
        <v/>
      </c>
      <c r="AP50" s="7">
        <f>'Jan2027-COLLECTION'!K49</f>
        <v/>
      </c>
      <c r="AQ50" s="10">
        <f>'Jan2027-EXPENSE'!R53</f>
        <v/>
      </c>
      <c r="AR50" s="10" t="n"/>
      <c r="AS50" s="174">
        <f>AP50-(AQ50+AR50)</f>
        <v/>
      </c>
      <c r="AT50" s="7">
        <f>'Feb2027-COLLECTION'!K49</f>
        <v/>
      </c>
      <c r="AU50" s="10">
        <f>'Feb2027-EXPENSE'!R53</f>
        <v/>
      </c>
      <c r="AV50" s="10" t="n"/>
      <c r="AW50" s="174">
        <f>AT50-(AU50+AV50)</f>
        <v/>
      </c>
      <c r="AX50" s="7">
        <f>'Mar2027-COLLECTION'!K49</f>
        <v/>
      </c>
      <c r="AY50" s="10">
        <f>'Mar2027-EXPENSE'!R53</f>
        <v/>
      </c>
      <c r="AZ50" s="10" t="n"/>
      <c r="BA50" s="174">
        <f>AX50-(AY50+AZ50)</f>
        <v/>
      </c>
      <c r="BB50" s="172">
        <f>SUM(F50,J50,N50,R50,V50,Z50,AD50,AH50,AL50,AP50,AT50,AX50)</f>
        <v/>
      </c>
      <c r="BC50" s="172">
        <f>SUM(G50,K50,O50,S50,W50,AA50,AE50,AI50,AM50,AQ50,AU50,AY50)</f>
        <v/>
      </c>
      <c r="BD50" s="172">
        <f>SUM(H50,L50,P50,T50,X50,AB50,AF50,AJ50,AN50,AR50,AV50,AZ50)</f>
        <v/>
      </c>
      <c r="BE50" s="172">
        <f>BB50-(BC50+BD50)</f>
        <v/>
      </c>
      <c r="BF50" s="172">
        <f>E50+BE50</f>
        <v/>
      </c>
      <c r="BG50" s="175" t="n">
        <v>0</v>
      </c>
    </row>
    <row r="51" ht="15.75" customHeight="1" s="251">
      <c r="A51" s="169" t="inlineStr">
        <is>
          <t>T1</t>
        </is>
      </c>
      <c r="B51" s="13" t="n"/>
      <c r="C51" s="13" t="inlineStr">
        <is>
          <t>Prashant Sikdar</t>
        </is>
      </c>
      <c r="D51" s="170" t="n">
        <v>0</v>
      </c>
      <c r="E51" s="176" t="n">
        <v>0</v>
      </c>
      <c r="F51" s="171">
        <f>'Apr2026-COLLECTION'!K50</f>
        <v/>
      </c>
      <c r="G51" s="172">
        <f>'Apr2026-EXPENSE'!R54</f>
        <v/>
      </c>
      <c r="H51" s="172" t="n"/>
      <c r="I51" s="172">
        <f>F51-(G51+H51)</f>
        <v/>
      </c>
      <c r="J51" s="173">
        <f>'May2026-COLLECTION'!K50</f>
        <v/>
      </c>
      <c r="K51" s="174">
        <f>'May2026-EXPENSE'!R54</f>
        <v/>
      </c>
      <c r="L51" s="174" t="n"/>
      <c r="M51" s="174">
        <f>J51-(K51+L51)</f>
        <v/>
      </c>
      <c r="N51" s="172">
        <f>'June2026-COLLECTION'!K50</f>
        <v/>
      </c>
      <c r="O51" s="172">
        <f>'June2026-EXPENSE'!R54</f>
        <v/>
      </c>
      <c r="P51" s="172" t="n"/>
      <c r="Q51" s="172">
        <f>N51-(O51+P51)</f>
        <v/>
      </c>
      <c r="R51" s="41">
        <f>'July2026-COLLECTION'!K50</f>
        <v/>
      </c>
      <c r="S51" s="174">
        <f>'July2026-EXPENSE'!R54</f>
        <v/>
      </c>
      <c r="T51" s="174" t="n"/>
      <c r="U51" s="174">
        <f>R51-(S51+T51)</f>
        <v/>
      </c>
      <c r="V51" s="167">
        <f>'Aug2026-COLLECTION'!K50</f>
        <v/>
      </c>
      <c r="W51" s="172">
        <f>'Aug2026-EXPENSE'!R54</f>
        <v/>
      </c>
      <c r="X51" s="172" t="n"/>
      <c r="Y51" s="172">
        <f>V51-(W51+X51)</f>
        <v/>
      </c>
      <c r="Z51" s="41">
        <f>'Sep2026-COLLECTION'!K50</f>
        <v/>
      </c>
      <c r="AA51" s="174">
        <f>'Sep2026-EXPENSE'!R54</f>
        <v/>
      </c>
      <c r="AB51" s="174" t="n"/>
      <c r="AC51" s="174">
        <f>Z51-(AA51+AB51)</f>
        <v/>
      </c>
      <c r="AD51" s="41">
        <f>'Oct2026-COLLECTION'!K50</f>
        <v/>
      </c>
      <c r="AE51" s="174">
        <f>'Oct2026-EXPENSE'!R54</f>
        <v/>
      </c>
      <c r="AF51" s="174" t="n"/>
      <c r="AG51" s="174">
        <f>AD51-(AE51+AF51)</f>
        <v/>
      </c>
      <c r="AH51" s="41">
        <f>'Nov2026-COLLECTION'!K50</f>
        <v/>
      </c>
      <c r="AI51" s="174">
        <f>'Nov2026-EXPENSE'!R54</f>
        <v/>
      </c>
      <c r="AJ51" s="174" t="n"/>
      <c r="AK51" s="174">
        <f>AH51-(AI51+AJ51)</f>
        <v/>
      </c>
      <c r="AL51" s="41">
        <f>'Dec2026-COLLECTION'!K50</f>
        <v/>
      </c>
      <c r="AM51" s="174">
        <f>'Dec2026-EXPENSE'!R54</f>
        <v/>
      </c>
      <c r="AN51" s="174" t="n"/>
      <c r="AO51" s="174">
        <f>AL51-(AM51+AN51)</f>
        <v/>
      </c>
      <c r="AP51" s="7">
        <f>'Jan2027-COLLECTION'!K50</f>
        <v/>
      </c>
      <c r="AQ51" s="10">
        <f>'Jan2027-EXPENSE'!R54</f>
        <v/>
      </c>
      <c r="AR51" s="10" t="n"/>
      <c r="AS51" s="174">
        <f>AP51-(AQ51+AR51)</f>
        <v/>
      </c>
      <c r="AT51" s="7">
        <f>'Feb2027-COLLECTION'!K50</f>
        <v/>
      </c>
      <c r="AU51" s="10">
        <f>'Feb2027-EXPENSE'!R54</f>
        <v/>
      </c>
      <c r="AV51" s="10" t="n"/>
      <c r="AW51" s="174">
        <f>AT51-(AU51+AV51)</f>
        <v/>
      </c>
      <c r="AX51" s="7">
        <f>'Mar2027-COLLECTION'!K50</f>
        <v/>
      </c>
      <c r="AY51" s="10">
        <f>'Mar2027-EXPENSE'!R54</f>
        <v/>
      </c>
      <c r="AZ51" s="10" t="n"/>
      <c r="BA51" s="174">
        <f>AX51-(AY51+AZ51)</f>
        <v/>
      </c>
      <c r="BB51" s="172">
        <f>SUM(F51,J51,N51,R51,V51,Z51,AD51,AH51,AL51,AP51,AT51,AX51)</f>
        <v/>
      </c>
      <c r="BC51" s="172">
        <f>SUM(G51,K51,O51,S51,W51,AA51,AE51,AI51,AM51,AQ51,AU51,AY51)</f>
        <v/>
      </c>
      <c r="BD51" s="172">
        <f>SUM(H51,L51,P51,T51,X51,AB51,AF51,AJ51,AN51,AR51,AV51,AZ51)</f>
        <v/>
      </c>
      <c r="BE51" s="172">
        <f>BB51-(BC51+BD51)</f>
        <v/>
      </c>
      <c r="BF51" s="172">
        <f>E51+BE51</f>
        <v/>
      </c>
      <c r="BG51" s="175" t="n">
        <v>0</v>
      </c>
    </row>
    <row r="52" ht="15.75" customHeight="1" s="251">
      <c r="A52" s="169" t="inlineStr">
        <is>
          <t>T2</t>
        </is>
      </c>
      <c r="B52" s="13" t="n"/>
      <c r="C52" s="13" t="inlineStr">
        <is>
          <t>Kunal Mehta</t>
        </is>
      </c>
      <c r="D52" s="170" t="n">
        <v>0</v>
      </c>
      <c r="E52" s="176">
        <f>-77968.56+10034</f>
        <v/>
      </c>
      <c r="F52" s="171">
        <f>'Apr2026-COLLECTION'!K51</f>
        <v/>
      </c>
      <c r="G52" s="172">
        <f>'Apr2026-EXPENSE'!R55</f>
        <v/>
      </c>
      <c r="H52" s="172" t="n"/>
      <c r="I52" s="172">
        <f>F52-(G52+H52)</f>
        <v/>
      </c>
      <c r="J52" s="173">
        <f>'May2026-COLLECTION'!K51</f>
        <v/>
      </c>
      <c r="K52" s="174">
        <f>'May2026-EXPENSE'!R55</f>
        <v/>
      </c>
      <c r="L52" s="174" t="n">
        <v>0</v>
      </c>
      <c r="M52" s="174">
        <f>J52-(K52+L52)</f>
        <v/>
      </c>
      <c r="N52" s="172">
        <f>'June2026-COLLECTION'!K51</f>
        <v/>
      </c>
      <c r="O52" s="172">
        <f>'June2026-EXPENSE'!R55</f>
        <v/>
      </c>
      <c r="P52" s="172" t="n"/>
      <c r="Q52" s="172">
        <f>N52-(O52+P52)</f>
        <v/>
      </c>
      <c r="R52" s="41">
        <f>'July2026-COLLECTION'!K51</f>
        <v/>
      </c>
      <c r="S52" s="174">
        <f>'July2026-EXPENSE'!R55</f>
        <v/>
      </c>
      <c r="T52" s="174" t="n">
        <v>0</v>
      </c>
      <c r="U52" s="174">
        <f>R52-(S52+T52)</f>
        <v/>
      </c>
      <c r="V52" s="167">
        <f>'Aug2026-COLLECTION'!K51</f>
        <v/>
      </c>
      <c r="W52" s="172">
        <f>'Aug2026-EXPENSE'!R55</f>
        <v/>
      </c>
      <c r="X52" s="172" t="n"/>
      <c r="Y52" s="172">
        <f>V52-(W52+X52)</f>
        <v/>
      </c>
      <c r="Z52" s="41">
        <f>'Sep2026-COLLECTION'!K51</f>
        <v/>
      </c>
      <c r="AA52" s="174">
        <f>'Sep2026-EXPENSE'!R55</f>
        <v/>
      </c>
      <c r="AB52" s="174" t="n"/>
      <c r="AC52" s="174">
        <f>Z52-(AA52+AB52)</f>
        <v/>
      </c>
      <c r="AD52" s="41">
        <f>'Oct2026-COLLECTION'!K51</f>
        <v/>
      </c>
      <c r="AE52" s="174">
        <f>'Oct2026-EXPENSE'!R55</f>
        <v/>
      </c>
      <c r="AF52" s="174" t="n"/>
      <c r="AG52" s="174">
        <f>AD52-(AE52+AF52)</f>
        <v/>
      </c>
      <c r="AH52" s="41">
        <f>'Nov2026-COLLECTION'!K51</f>
        <v/>
      </c>
      <c r="AI52" s="174">
        <f>'Nov2026-EXPENSE'!R55</f>
        <v/>
      </c>
      <c r="AJ52" s="174" t="n"/>
      <c r="AK52" s="174">
        <f>AH52-(AI52+AJ52)</f>
        <v/>
      </c>
      <c r="AL52" s="41">
        <f>'Dec2026-COLLECTION'!K51</f>
        <v/>
      </c>
      <c r="AM52" s="174">
        <f>'Dec2026-EXPENSE'!R55</f>
        <v/>
      </c>
      <c r="AN52" s="174" t="n"/>
      <c r="AO52" s="174">
        <f>AL52-(AM52+AN52)</f>
        <v/>
      </c>
      <c r="AP52" s="7">
        <f>'Jan2027-COLLECTION'!K51</f>
        <v/>
      </c>
      <c r="AQ52" s="10">
        <f>'Jan2027-EXPENSE'!R55</f>
        <v/>
      </c>
      <c r="AR52" s="10" t="n"/>
      <c r="AS52" s="174">
        <f>AP52-(AQ52+AR52)</f>
        <v/>
      </c>
      <c r="AT52" s="7">
        <f>'Feb2027-COLLECTION'!K51</f>
        <v/>
      </c>
      <c r="AU52" s="10">
        <f>'Feb2027-EXPENSE'!R55</f>
        <v/>
      </c>
      <c r="AV52" s="10" t="n"/>
      <c r="AW52" s="174">
        <f>AT52-(AU52+AV52)</f>
        <v/>
      </c>
      <c r="AX52" s="7">
        <f>'Mar2027-COLLECTION'!K51</f>
        <v/>
      </c>
      <c r="AY52" s="10">
        <f>'Mar2027-EXPENSE'!R55</f>
        <v/>
      </c>
      <c r="AZ52" s="10" t="n"/>
      <c r="BA52" s="174">
        <f>AX52-(AY52+AZ52)</f>
        <v/>
      </c>
      <c r="BB52" s="172">
        <f>SUM(F52,J52,N52,R52,V52,Z52,AD52,AH52,AL52,AP52,AT52,AX52)</f>
        <v/>
      </c>
      <c r="BC52" s="172">
        <f>SUM(G52,K52,O52,S52,W52,AA52,AE52,AI52,AM52,AQ52,AU52,AY52)</f>
        <v/>
      </c>
      <c r="BD52" s="172">
        <f>SUM(H52,L52,P52,T52,X52,AB52,AF52,AJ52,AN52,AR52,AV52,AZ52)</f>
        <v/>
      </c>
      <c r="BE52" s="172">
        <f>BB52-(BC52+BD52)</f>
        <v/>
      </c>
      <c r="BF52" s="172">
        <f>E52+BE52</f>
        <v/>
      </c>
      <c r="BG52" s="175" t="n">
        <v>0</v>
      </c>
    </row>
    <row r="53" ht="15.75" customHeight="1" s="251">
      <c r="A53" s="169" t="inlineStr">
        <is>
          <t>T3</t>
        </is>
      </c>
      <c r="B53" s="13" t="n"/>
      <c r="C53" s="13" t="inlineStr">
        <is>
          <t>Kapil Garg</t>
        </is>
      </c>
      <c r="D53" s="170" t="n">
        <v>0</v>
      </c>
      <c r="E53" s="176" t="n">
        <v>0</v>
      </c>
      <c r="F53" s="171">
        <f>'Apr2026-COLLECTION'!K52</f>
        <v/>
      </c>
      <c r="G53" s="172">
        <f>'Apr2026-EXPENSE'!R56</f>
        <v/>
      </c>
      <c r="H53" s="172" t="n"/>
      <c r="I53" s="172">
        <f>F53-(G53+H53)</f>
        <v/>
      </c>
      <c r="J53" s="173">
        <f>'May2026-COLLECTION'!K52</f>
        <v/>
      </c>
      <c r="K53" s="174">
        <f>'May2026-EXPENSE'!R56</f>
        <v/>
      </c>
      <c r="L53" s="174" t="n">
        <v>0</v>
      </c>
      <c r="M53" s="174">
        <f>J53-(K53+L53)</f>
        <v/>
      </c>
      <c r="N53" s="172">
        <f>'June2026-COLLECTION'!K52</f>
        <v/>
      </c>
      <c r="O53" s="172">
        <f>'June2026-EXPENSE'!R56</f>
        <v/>
      </c>
      <c r="P53" s="172" t="n"/>
      <c r="Q53" s="172">
        <f>N53-(O53+P53)</f>
        <v/>
      </c>
      <c r="R53" s="41">
        <f>'July2026-COLLECTION'!K52</f>
        <v/>
      </c>
      <c r="S53" s="174">
        <f>'July2026-EXPENSE'!R56</f>
        <v/>
      </c>
      <c r="T53" s="174" t="n"/>
      <c r="U53" s="174">
        <f>R53-(S53+T53)</f>
        <v/>
      </c>
      <c r="V53" s="167">
        <f>'Aug2026-COLLECTION'!K52</f>
        <v/>
      </c>
      <c r="W53" s="172">
        <f>'Aug2026-EXPENSE'!R56</f>
        <v/>
      </c>
      <c r="X53" s="172" t="n"/>
      <c r="Y53" s="172">
        <f>V53-(W53+X53)</f>
        <v/>
      </c>
      <c r="Z53" s="41">
        <f>'Sep2026-COLLECTION'!K52</f>
        <v/>
      </c>
      <c r="AA53" s="174">
        <f>'Sep2026-EXPENSE'!R56</f>
        <v/>
      </c>
      <c r="AB53" s="174" t="n"/>
      <c r="AC53" s="174">
        <f>Z53-(AA53+AB53)</f>
        <v/>
      </c>
      <c r="AD53" s="41">
        <f>'Oct2026-COLLECTION'!K52</f>
        <v/>
      </c>
      <c r="AE53" s="174">
        <f>'Oct2026-EXPENSE'!R56</f>
        <v/>
      </c>
      <c r="AF53" s="174" t="n"/>
      <c r="AG53" s="174">
        <f>AD53-(AE53+AF53)</f>
        <v/>
      </c>
      <c r="AH53" s="41">
        <f>'Nov2026-COLLECTION'!K52</f>
        <v/>
      </c>
      <c r="AI53" s="174">
        <f>'Nov2026-EXPENSE'!R56</f>
        <v/>
      </c>
      <c r="AJ53" s="174" t="n"/>
      <c r="AK53" s="174">
        <f>AH53-(AI53+AJ53)</f>
        <v/>
      </c>
      <c r="AL53" s="41">
        <f>'Dec2026-COLLECTION'!K52</f>
        <v/>
      </c>
      <c r="AM53" s="174">
        <f>'Dec2026-EXPENSE'!R56</f>
        <v/>
      </c>
      <c r="AN53" s="174" t="n"/>
      <c r="AO53" s="174">
        <f>AL53-(AM53+AN53)</f>
        <v/>
      </c>
      <c r="AP53" s="7">
        <f>'Jan2027-COLLECTION'!K52</f>
        <v/>
      </c>
      <c r="AQ53" s="10">
        <f>'Jan2027-EXPENSE'!R56</f>
        <v/>
      </c>
      <c r="AR53" s="10" t="n"/>
      <c r="AS53" s="174">
        <f>AP53-(AQ53+AR53)</f>
        <v/>
      </c>
      <c r="AT53" s="7">
        <f>'Feb2027-COLLECTION'!K52</f>
        <v/>
      </c>
      <c r="AU53" s="10">
        <f>'Feb2027-EXPENSE'!R56</f>
        <v/>
      </c>
      <c r="AV53" s="10" t="n"/>
      <c r="AW53" s="174">
        <f>AT53-(AU53+AV53)</f>
        <v/>
      </c>
      <c r="AX53" s="7">
        <f>'Mar2027-COLLECTION'!K52</f>
        <v/>
      </c>
      <c r="AY53" s="10">
        <f>'Mar2027-EXPENSE'!R56</f>
        <v/>
      </c>
      <c r="AZ53" s="10" t="n"/>
      <c r="BA53" s="174">
        <f>AX53-(AY53+AZ53)</f>
        <v/>
      </c>
      <c r="BB53" s="172">
        <f>SUM(F53,J53,N53,R53,V53,Z53,AD53,AH53,AL53,AP53,AT53,AX53)</f>
        <v/>
      </c>
      <c r="BC53" s="172">
        <f>SUM(G53,K53,O53,S53,W53,AA53,AE53,AI53,AM53,AQ53,AU53,AY53)</f>
        <v/>
      </c>
      <c r="BD53" s="172">
        <f>SUM(H53,L53,P53,T53,X53,AB53,AF53,AJ53,AN53,AR53,AV53,AZ53)</f>
        <v/>
      </c>
      <c r="BE53" s="172">
        <f>BB53-(BC53+BD53)</f>
        <v/>
      </c>
      <c r="BF53" s="172">
        <f>E53+BE53</f>
        <v/>
      </c>
      <c r="BG53" s="175" t="n">
        <v>0</v>
      </c>
    </row>
    <row r="54" ht="15.75" customHeight="1" s="251">
      <c r="A54" s="169" t="inlineStr">
        <is>
          <t>T4</t>
        </is>
      </c>
      <c r="B54" s="13" t="n"/>
      <c r="C54" s="13" t="inlineStr">
        <is>
          <t>Vijet Alva (Owner)    -    Masood (Tenant)</t>
        </is>
      </c>
      <c r="D54" s="170" t="n">
        <v>0</v>
      </c>
      <c r="E54" s="176" t="n">
        <v>0</v>
      </c>
      <c r="F54" s="171">
        <f>'Apr2026-COLLECTION'!K53</f>
        <v/>
      </c>
      <c r="G54" s="172">
        <f>'Apr2026-EXPENSE'!R57</f>
        <v/>
      </c>
      <c r="H54" s="172" t="n"/>
      <c r="I54" s="172">
        <f>F54-(G54+H54)</f>
        <v/>
      </c>
      <c r="J54" s="173">
        <f>'May2026-COLLECTION'!K53</f>
        <v/>
      </c>
      <c r="K54" s="174">
        <f>'May2026-EXPENSE'!R57</f>
        <v/>
      </c>
      <c r="L54" s="174" t="n"/>
      <c r="M54" s="174">
        <f>J54-(K54+L54)</f>
        <v/>
      </c>
      <c r="N54" s="172">
        <f>'June2026-COLLECTION'!K53</f>
        <v/>
      </c>
      <c r="O54" s="172">
        <f>'June2026-EXPENSE'!R57</f>
        <v/>
      </c>
      <c r="P54" s="172" t="n"/>
      <c r="Q54" s="172">
        <f>N54-(O54+P54)</f>
        <v/>
      </c>
      <c r="R54" s="41">
        <f>'July2026-COLLECTION'!K53</f>
        <v/>
      </c>
      <c r="S54" s="174">
        <f>'July2026-EXPENSE'!R57</f>
        <v/>
      </c>
      <c r="T54" s="174" t="n"/>
      <c r="U54" s="174">
        <f>R54-(S54+T54)</f>
        <v/>
      </c>
      <c r="V54" s="167">
        <f>'Aug2026-COLLECTION'!K53</f>
        <v/>
      </c>
      <c r="W54" s="172">
        <f>'Aug2026-EXPENSE'!R57</f>
        <v/>
      </c>
      <c r="X54" s="172" t="n"/>
      <c r="Y54" s="172">
        <f>V54-(W54+X54)</f>
        <v/>
      </c>
      <c r="Z54" s="41">
        <f>'Sep2026-COLLECTION'!K53</f>
        <v/>
      </c>
      <c r="AA54" s="174">
        <f>'Sep2026-EXPENSE'!R57</f>
        <v/>
      </c>
      <c r="AB54" s="174" t="n"/>
      <c r="AC54" s="174">
        <f>Z54-(AA54+AB54)</f>
        <v/>
      </c>
      <c r="AD54" s="41">
        <f>'Oct2026-COLLECTION'!K53</f>
        <v/>
      </c>
      <c r="AE54" s="174">
        <f>'Oct2026-EXPENSE'!R57</f>
        <v/>
      </c>
      <c r="AF54" s="174" t="n"/>
      <c r="AG54" s="174">
        <f>AD54-(AE54+AF54)</f>
        <v/>
      </c>
      <c r="AH54" s="41">
        <f>'Nov2026-COLLECTION'!K53</f>
        <v/>
      </c>
      <c r="AI54" s="174">
        <f>'Nov2026-EXPENSE'!R57</f>
        <v/>
      </c>
      <c r="AJ54" s="174" t="n"/>
      <c r="AK54" s="174">
        <f>AH54-(AI54+AJ54)</f>
        <v/>
      </c>
      <c r="AL54" s="41">
        <f>'Dec2026-COLLECTION'!K53</f>
        <v/>
      </c>
      <c r="AM54" s="174">
        <f>'Dec2026-EXPENSE'!R57</f>
        <v/>
      </c>
      <c r="AN54" s="174" t="n"/>
      <c r="AO54" s="174">
        <f>AL54-(AM54+AN54)</f>
        <v/>
      </c>
      <c r="AP54" s="7">
        <f>'Jan2027-COLLECTION'!K53</f>
        <v/>
      </c>
      <c r="AQ54" s="10">
        <f>'Jan2027-EXPENSE'!R57</f>
        <v/>
      </c>
      <c r="AR54" s="10" t="n"/>
      <c r="AS54" s="174">
        <f>AP54-(AQ54+AR54)</f>
        <v/>
      </c>
      <c r="AT54" s="7">
        <f>'Feb2027-COLLECTION'!K53</f>
        <v/>
      </c>
      <c r="AU54" s="10">
        <f>'Feb2027-EXPENSE'!R57</f>
        <v/>
      </c>
      <c r="AV54" s="10" t="n"/>
      <c r="AW54" s="174">
        <f>AT54-(AU54+AV54)</f>
        <v/>
      </c>
      <c r="AX54" s="7">
        <f>'Mar2027-COLLECTION'!K53</f>
        <v/>
      </c>
      <c r="AY54" s="10">
        <f>'Mar2027-EXPENSE'!R57</f>
        <v/>
      </c>
      <c r="AZ54" s="10" t="n"/>
      <c r="BA54" s="174">
        <f>AX54-(AY54+AZ54)</f>
        <v/>
      </c>
      <c r="BB54" s="172">
        <f>SUM(F54,J54,N54,R54,V54,Z54,AD54,AH54,AL54,AP54,AT54,AX54)</f>
        <v/>
      </c>
      <c r="BC54" s="172">
        <f>SUM(G54,K54,O54,S54,W54,AA54,AE54,AI54,AM54,AQ54,AU54,AY54)</f>
        <v/>
      </c>
      <c r="BD54" s="172">
        <f>SUM(H54,L54,P54,T54,X54,AB54,AF54,AJ54,AN54,AR54,AV54,AZ54)</f>
        <v/>
      </c>
      <c r="BE54" s="172">
        <f>BB54-(BC54+BD54)</f>
        <v/>
      </c>
      <c r="BF54" s="172">
        <f>E54+BE54</f>
        <v/>
      </c>
      <c r="BG54" s="175" t="n">
        <v>0</v>
      </c>
    </row>
    <row r="55" ht="15.75" customHeight="1" s="251">
      <c r="A55" s="169" t="inlineStr">
        <is>
          <t>T5</t>
        </is>
      </c>
      <c r="B55" s="13" t="n"/>
      <c r="C55" s="13" t="inlineStr">
        <is>
          <t>Ganesh Iyer and Latha Iyer( owner) Richa (Tenant)</t>
        </is>
      </c>
      <c r="D55" s="170" t="n">
        <v>0</v>
      </c>
      <c r="E55" s="176" t="n">
        <v>0</v>
      </c>
      <c r="F55" s="171">
        <f>'Apr2026-COLLECTION'!K54</f>
        <v/>
      </c>
      <c r="G55" s="172">
        <f>'Apr2026-EXPENSE'!R58</f>
        <v/>
      </c>
      <c r="H55" s="172" t="n"/>
      <c r="I55" s="172">
        <f>F55-(G55+H55)</f>
        <v/>
      </c>
      <c r="J55" s="173">
        <f>'May2026-COLLECTION'!K54</f>
        <v/>
      </c>
      <c r="K55" s="174">
        <f>'May2026-EXPENSE'!R58</f>
        <v/>
      </c>
      <c r="L55" s="174" t="n"/>
      <c r="M55" s="174">
        <f>J55-(K55+L55)</f>
        <v/>
      </c>
      <c r="N55" s="172">
        <f>'June2026-COLLECTION'!K54</f>
        <v/>
      </c>
      <c r="O55" s="172">
        <f>'June2026-EXPENSE'!R58</f>
        <v/>
      </c>
      <c r="P55" s="172" t="n"/>
      <c r="Q55" s="172">
        <f>N55-(O55+P55)</f>
        <v/>
      </c>
      <c r="R55" s="41">
        <f>'July2026-COLLECTION'!K54</f>
        <v/>
      </c>
      <c r="S55" s="174">
        <f>'July2026-EXPENSE'!R58</f>
        <v/>
      </c>
      <c r="T55" s="174" t="n"/>
      <c r="U55" s="174">
        <f>R55-(S55+T55)</f>
        <v/>
      </c>
      <c r="V55" s="167">
        <f>'Aug2026-COLLECTION'!K54</f>
        <v/>
      </c>
      <c r="W55" s="172">
        <f>'Aug2026-EXPENSE'!R58</f>
        <v/>
      </c>
      <c r="X55" s="172" t="n"/>
      <c r="Y55" s="172">
        <f>V55-(W55+X55)</f>
        <v/>
      </c>
      <c r="Z55" s="41">
        <f>'Sep2026-COLLECTION'!K54</f>
        <v/>
      </c>
      <c r="AA55" s="174">
        <f>'Sep2026-EXPENSE'!R58</f>
        <v/>
      </c>
      <c r="AB55" s="174" t="n"/>
      <c r="AC55" s="174">
        <f>Z55-(AA55+AB55)</f>
        <v/>
      </c>
      <c r="AD55" s="41">
        <f>'Oct2026-COLLECTION'!K54</f>
        <v/>
      </c>
      <c r="AE55" s="174">
        <f>'Oct2026-EXPENSE'!R58</f>
        <v/>
      </c>
      <c r="AF55" s="174" t="n"/>
      <c r="AG55" s="174">
        <f>AD55-(AE55+AF55)</f>
        <v/>
      </c>
      <c r="AH55" s="41">
        <f>'Nov2026-COLLECTION'!K54</f>
        <v/>
      </c>
      <c r="AI55" s="174">
        <f>'Nov2026-EXPENSE'!R58</f>
        <v/>
      </c>
      <c r="AJ55" s="174" t="n"/>
      <c r="AK55" s="174">
        <f>AH55-(AI55+AJ55)</f>
        <v/>
      </c>
      <c r="AL55" s="41">
        <f>'Dec2026-COLLECTION'!K54</f>
        <v/>
      </c>
      <c r="AM55" s="174">
        <f>'Dec2026-EXPENSE'!R58</f>
        <v/>
      </c>
      <c r="AN55" s="174" t="n"/>
      <c r="AO55" s="174">
        <f>AL55-(AM55+AN55)</f>
        <v/>
      </c>
      <c r="AP55" s="7">
        <f>'Jan2027-COLLECTION'!K54</f>
        <v/>
      </c>
      <c r="AQ55" s="10">
        <f>'Jan2027-EXPENSE'!R58</f>
        <v/>
      </c>
      <c r="AR55" s="10" t="n"/>
      <c r="AS55" s="174">
        <f>AP55-(AQ55+AR55)</f>
        <v/>
      </c>
      <c r="AT55" s="7">
        <f>'Feb2027-COLLECTION'!K54</f>
        <v/>
      </c>
      <c r="AU55" s="10">
        <f>'Feb2027-EXPENSE'!R58</f>
        <v/>
      </c>
      <c r="AV55" s="10" t="n"/>
      <c r="AW55" s="174">
        <f>AT55-(AU55+AV55)</f>
        <v/>
      </c>
      <c r="AX55" s="7">
        <f>'Mar2027-COLLECTION'!K54</f>
        <v/>
      </c>
      <c r="AY55" s="10">
        <f>'Mar2027-EXPENSE'!R58</f>
        <v/>
      </c>
      <c r="AZ55" s="10" t="n"/>
      <c r="BA55" s="174">
        <f>AX55-(AY55+AZ55)</f>
        <v/>
      </c>
      <c r="BB55" s="172">
        <f>SUM(F55,J55,N55,R55,V55,Z55,AD55,AH55,AL55,AP55,AT55,AX55)</f>
        <v/>
      </c>
      <c r="BC55" s="172">
        <f>SUM(G55,K55,O55,S55,W55,AA55,AE55,AI55,AM55,AQ55,AU55,AY55)</f>
        <v/>
      </c>
      <c r="BD55" s="172">
        <f>SUM(H55,L55,P55,T55,X55,AB55,AF55,AJ55,AN55,AR55,AV55,AZ55)</f>
        <v/>
      </c>
      <c r="BE55" s="172">
        <f>BB55-(BC55+BD55)</f>
        <v/>
      </c>
      <c r="BF55" s="172">
        <f>E55+BE55</f>
        <v/>
      </c>
      <c r="BG55" s="175" t="n">
        <v>0</v>
      </c>
    </row>
    <row r="56" ht="15.75" customHeight="1" s="251">
      <c r="A56" s="169" t="inlineStr">
        <is>
          <t>T6</t>
        </is>
      </c>
      <c r="B56" s="13" t="n"/>
      <c r="C56" s="13" t="inlineStr">
        <is>
          <t>Mythili Ramesh</t>
        </is>
      </c>
      <c r="D56" s="170" t="n">
        <v>0</v>
      </c>
      <c r="E56" s="176" t="n">
        <v>0</v>
      </c>
      <c r="F56" s="171">
        <f>'Apr2026-COLLECTION'!K55</f>
        <v/>
      </c>
      <c r="G56" s="172">
        <f>'Apr2026-EXPENSE'!R59</f>
        <v/>
      </c>
      <c r="H56" s="172" t="n"/>
      <c r="I56" s="172">
        <f>F56-(G56+H56)</f>
        <v/>
      </c>
      <c r="J56" s="173">
        <f>'May2026-COLLECTION'!K55</f>
        <v/>
      </c>
      <c r="K56" s="174">
        <f>'May2026-EXPENSE'!R59</f>
        <v/>
      </c>
      <c r="L56" s="174" t="n"/>
      <c r="M56" s="174">
        <f>J56-(K56+L56)</f>
        <v/>
      </c>
      <c r="N56" s="172">
        <f>'June2026-COLLECTION'!K55</f>
        <v/>
      </c>
      <c r="O56" s="172">
        <f>'June2026-EXPENSE'!R59</f>
        <v/>
      </c>
      <c r="P56" s="172" t="n"/>
      <c r="Q56" s="172">
        <f>N56-(O56+P56)</f>
        <v/>
      </c>
      <c r="R56" s="41">
        <f>'July2026-COLLECTION'!K55</f>
        <v/>
      </c>
      <c r="S56" s="174">
        <f>'July2026-EXPENSE'!R59</f>
        <v/>
      </c>
      <c r="T56" s="174" t="n"/>
      <c r="U56" s="174">
        <f>R56-(S56+T56)</f>
        <v/>
      </c>
      <c r="V56" s="167">
        <f>'Aug2026-COLLECTION'!K55</f>
        <v/>
      </c>
      <c r="W56" s="172">
        <f>'Aug2026-EXPENSE'!R59</f>
        <v/>
      </c>
      <c r="X56" s="172" t="n"/>
      <c r="Y56" s="172">
        <f>V56-(W56+X56)</f>
        <v/>
      </c>
      <c r="Z56" s="41">
        <f>'Sep2026-COLLECTION'!K55</f>
        <v/>
      </c>
      <c r="AA56" s="174">
        <f>'Sep2026-EXPENSE'!R59</f>
        <v/>
      </c>
      <c r="AB56" s="174" t="n"/>
      <c r="AC56" s="174">
        <f>Z56-(AA56+AB56)</f>
        <v/>
      </c>
      <c r="AD56" s="41">
        <f>'Oct2026-COLLECTION'!K55</f>
        <v/>
      </c>
      <c r="AE56" s="174">
        <f>'Oct2026-EXPENSE'!R59</f>
        <v/>
      </c>
      <c r="AF56" s="174" t="n"/>
      <c r="AG56" s="174">
        <f>AD56-(AE56+AF56)</f>
        <v/>
      </c>
      <c r="AH56" s="41">
        <f>'Nov2026-COLLECTION'!K55</f>
        <v/>
      </c>
      <c r="AI56" s="174">
        <f>'Nov2026-EXPENSE'!R59</f>
        <v/>
      </c>
      <c r="AJ56" s="174" t="n"/>
      <c r="AK56" s="174">
        <f>AH56-(AI56+AJ56)</f>
        <v/>
      </c>
      <c r="AL56" s="41">
        <f>'Dec2026-COLLECTION'!K55</f>
        <v/>
      </c>
      <c r="AM56" s="174">
        <f>'Dec2026-EXPENSE'!R59</f>
        <v/>
      </c>
      <c r="AN56" s="174" t="n"/>
      <c r="AO56" s="174">
        <f>AL56-(AM56+AN56)</f>
        <v/>
      </c>
      <c r="AP56" s="7">
        <f>'Jan2027-COLLECTION'!K55</f>
        <v/>
      </c>
      <c r="AQ56" s="10">
        <f>'Jan2027-EXPENSE'!R59</f>
        <v/>
      </c>
      <c r="AR56" s="10" t="n"/>
      <c r="AS56" s="174">
        <f>AP56-(AQ56+AR56)</f>
        <v/>
      </c>
      <c r="AT56" s="7">
        <f>'Feb2027-COLLECTION'!K55</f>
        <v/>
      </c>
      <c r="AU56" s="10">
        <f>'Feb2027-EXPENSE'!R59</f>
        <v/>
      </c>
      <c r="AV56" s="10" t="n"/>
      <c r="AW56" s="174">
        <f>AT56-(AU56+AV56)</f>
        <v/>
      </c>
      <c r="AX56" s="7">
        <f>'Mar2027-COLLECTION'!K55</f>
        <v/>
      </c>
      <c r="AY56" s="10">
        <f>'Mar2027-EXPENSE'!R59</f>
        <v/>
      </c>
      <c r="AZ56" s="10" t="n"/>
      <c r="BA56" s="174">
        <f>AX56-(AY56+AZ56)</f>
        <v/>
      </c>
      <c r="BB56" s="172">
        <f>SUM(F56,J56,N56,R56,V56,Z56,AD56,AH56,AL56,AP56,AT56,AX56)</f>
        <v/>
      </c>
      <c r="BC56" s="172">
        <f>SUM(G56,K56,O56,S56,W56,AA56,AE56,AI56,AM56,AQ56,AU56,AY56)</f>
        <v/>
      </c>
      <c r="BD56" s="172">
        <f>SUM(H56,L56,P56,T56,X56,AB56,AF56,AJ56,AN56,AR56,AV56,AZ56)</f>
        <v/>
      </c>
      <c r="BE56" s="172">
        <f>BB56-(BC56+BD56)</f>
        <v/>
      </c>
      <c r="BF56" s="172">
        <f>E56+BE56</f>
        <v/>
      </c>
      <c r="BG56" s="175" t="n">
        <v>0</v>
      </c>
    </row>
    <row r="57" ht="15.75" customHeight="1" s="251">
      <c r="A57" s="169" t="inlineStr">
        <is>
          <t>T7</t>
        </is>
      </c>
      <c r="B57" s="13" t="n"/>
      <c r="C57" s="13" t="inlineStr">
        <is>
          <t>Vinyas Ramachandra / Shwetha Marnamikatta / Katari Siva Rama Raju</t>
        </is>
      </c>
      <c r="D57" s="170" t="n">
        <v>0</v>
      </c>
      <c r="E57" s="176" t="n">
        <v>0</v>
      </c>
      <c r="F57" s="171">
        <f>'Apr2026-COLLECTION'!K56</f>
        <v/>
      </c>
      <c r="G57" s="172">
        <f>'Apr2026-EXPENSE'!R60</f>
        <v/>
      </c>
      <c r="H57" s="172" t="n"/>
      <c r="I57" s="172">
        <f>F57-(G57+H57)</f>
        <v/>
      </c>
      <c r="J57" s="173">
        <f>'May2026-COLLECTION'!K56</f>
        <v/>
      </c>
      <c r="K57" s="174">
        <f>'May2026-EXPENSE'!R60</f>
        <v/>
      </c>
      <c r="L57" s="174" t="n"/>
      <c r="M57" s="174">
        <f>J57-(K57+L57)</f>
        <v/>
      </c>
      <c r="N57" s="172">
        <f>'June2026-COLLECTION'!K56</f>
        <v/>
      </c>
      <c r="O57" s="172">
        <f>'June2026-EXPENSE'!R60</f>
        <v/>
      </c>
      <c r="P57" s="172" t="n"/>
      <c r="Q57" s="172">
        <f>N57-(O57+P57)</f>
        <v/>
      </c>
      <c r="R57" s="41">
        <f>'July2026-COLLECTION'!K56</f>
        <v/>
      </c>
      <c r="S57" s="174">
        <f>'July2026-EXPENSE'!R60</f>
        <v/>
      </c>
      <c r="T57" s="174" t="n"/>
      <c r="U57" s="174">
        <f>R57-(S57+T57)</f>
        <v/>
      </c>
      <c r="V57" s="167">
        <f>'Aug2026-COLLECTION'!K56</f>
        <v/>
      </c>
      <c r="W57" s="172">
        <f>'Aug2026-EXPENSE'!R60</f>
        <v/>
      </c>
      <c r="X57" s="172" t="n"/>
      <c r="Y57" s="172">
        <f>V57-(W57+X57)</f>
        <v/>
      </c>
      <c r="Z57" s="41">
        <f>'Sep2026-COLLECTION'!K56</f>
        <v/>
      </c>
      <c r="AA57" s="174">
        <f>'Sep2026-EXPENSE'!R60</f>
        <v/>
      </c>
      <c r="AB57" s="174" t="n"/>
      <c r="AC57" s="174">
        <f>Z57-(AA57+AB57)</f>
        <v/>
      </c>
      <c r="AD57" s="41">
        <f>'Oct2026-COLLECTION'!K56</f>
        <v/>
      </c>
      <c r="AE57" s="174">
        <f>'Oct2026-EXPENSE'!R60</f>
        <v/>
      </c>
      <c r="AF57" s="174" t="n"/>
      <c r="AG57" s="174">
        <f>AD57-(AE57+AF57)</f>
        <v/>
      </c>
      <c r="AH57" s="41">
        <f>'Nov2026-COLLECTION'!K56</f>
        <v/>
      </c>
      <c r="AI57" s="174">
        <f>'Nov2026-EXPENSE'!R60</f>
        <v/>
      </c>
      <c r="AJ57" s="174" t="n"/>
      <c r="AK57" s="174">
        <f>AH57-(AI57+AJ57)</f>
        <v/>
      </c>
      <c r="AL57" s="41">
        <f>'Dec2026-COLLECTION'!K56</f>
        <v/>
      </c>
      <c r="AM57" s="174">
        <f>'Dec2026-EXPENSE'!R60</f>
        <v/>
      </c>
      <c r="AN57" s="174" t="n"/>
      <c r="AO57" s="174">
        <f>AL57-(AM57+AN57)</f>
        <v/>
      </c>
      <c r="AP57" s="7">
        <f>'Jan2027-COLLECTION'!K56</f>
        <v/>
      </c>
      <c r="AQ57" s="10">
        <f>'Jan2027-EXPENSE'!R60</f>
        <v/>
      </c>
      <c r="AR57" s="10" t="n"/>
      <c r="AS57" s="174">
        <f>AP57-(AQ57+AR57)</f>
        <v/>
      </c>
      <c r="AT57" s="7">
        <f>'Feb2027-COLLECTION'!K56</f>
        <v/>
      </c>
      <c r="AU57" s="10">
        <f>'Feb2027-EXPENSE'!R60</f>
        <v/>
      </c>
      <c r="AV57" s="10" t="n"/>
      <c r="AW57" s="174">
        <f>AT57-(AU57+AV57)</f>
        <v/>
      </c>
      <c r="AX57" s="7">
        <f>'Mar2027-COLLECTION'!K56</f>
        <v/>
      </c>
      <c r="AY57" s="10">
        <f>'Mar2027-EXPENSE'!R60</f>
        <v/>
      </c>
      <c r="AZ57" s="10" t="n"/>
      <c r="BA57" s="174">
        <f>AX57-(AY57+AZ57)</f>
        <v/>
      </c>
      <c r="BB57" s="172">
        <f>SUM(F57,J57,N57,R57,V57,Z57,AD57,AH57,AL57,AP57,AT57,AX57)</f>
        <v/>
      </c>
      <c r="BC57" s="172">
        <f>SUM(G57,K57,O57,S57,W57,AA57,AE57,AI57,AM57,AQ57,AU57,AY57)</f>
        <v/>
      </c>
      <c r="BD57" s="172">
        <f>SUM(H57,L57,P57,T57,X57,AB57,AF57,AJ57,AN57,AR57,AV57,AZ57)</f>
        <v/>
      </c>
      <c r="BE57" s="172">
        <f>BB57-(BC57+BD57)</f>
        <v/>
      </c>
      <c r="BF57" s="172">
        <f>E57+BE57</f>
        <v/>
      </c>
      <c r="BG57" s="175" t="n">
        <v>0</v>
      </c>
    </row>
    <row r="58" ht="15.75" customHeight="1" s="251">
      <c r="A58" s="169" t="inlineStr">
        <is>
          <t>T8</t>
        </is>
      </c>
      <c r="B58" s="13" t="n"/>
      <c r="C58" s="13" t="inlineStr">
        <is>
          <t>Lalit Kumar Sharma</t>
        </is>
      </c>
      <c r="D58" s="170" t="n">
        <v>0</v>
      </c>
      <c r="E58" s="176" t="n">
        <v>0</v>
      </c>
      <c r="F58" s="171">
        <f>'Apr2026-COLLECTION'!K57</f>
        <v/>
      </c>
      <c r="G58" s="172">
        <f>'Apr2026-EXPENSE'!R61</f>
        <v/>
      </c>
      <c r="H58" s="172" t="n"/>
      <c r="I58" s="172">
        <f>F58-(G58+H58)</f>
        <v/>
      </c>
      <c r="J58" s="173">
        <f>'May2026-COLLECTION'!K57</f>
        <v/>
      </c>
      <c r="K58" s="174">
        <f>'May2026-EXPENSE'!R61</f>
        <v/>
      </c>
      <c r="L58" s="174" t="n"/>
      <c r="M58" s="174">
        <f>J58-(K58+L58)</f>
        <v/>
      </c>
      <c r="N58" s="172">
        <f>'June2026-COLLECTION'!K57</f>
        <v/>
      </c>
      <c r="O58" s="172">
        <f>'June2026-EXPENSE'!R61</f>
        <v/>
      </c>
      <c r="P58" s="172" t="n"/>
      <c r="Q58" s="172">
        <f>N58-(O58+P58)</f>
        <v/>
      </c>
      <c r="R58" s="41">
        <f>'July2026-COLLECTION'!K57</f>
        <v/>
      </c>
      <c r="S58" s="174">
        <f>'July2026-EXPENSE'!R61</f>
        <v/>
      </c>
      <c r="T58" s="174" t="n"/>
      <c r="U58" s="174">
        <f>R58-(S58+T58)</f>
        <v/>
      </c>
      <c r="V58" s="167">
        <f>'Aug2026-COLLECTION'!K57</f>
        <v/>
      </c>
      <c r="W58" s="172">
        <f>'Aug2026-EXPENSE'!R61</f>
        <v/>
      </c>
      <c r="X58" s="172" t="n"/>
      <c r="Y58" s="172">
        <f>V58-(W58+X58)</f>
        <v/>
      </c>
      <c r="Z58" s="41">
        <f>'Sep2026-COLLECTION'!K57</f>
        <v/>
      </c>
      <c r="AA58" s="174">
        <f>'Sep2026-EXPENSE'!R61</f>
        <v/>
      </c>
      <c r="AB58" s="174" t="n"/>
      <c r="AC58" s="174">
        <f>Z58-(AA58+AB58)</f>
        <v/>
      </c>
      <c r="AD58" s="41">
        <f>'Oct2026-COLLECTION'!K57</f>
        <v/>
      </c>
      <c r="AE58" s="174">
        <f>'Oct2026-EXPENSE'!R61</f>
        <v/>
      </c>
      <c r="AF58" s="174" t="n"/>
      <c r="AG58" s="174">
        <f>AD58-(AE58+AF58)</f>
        <v/>
      </c>
      <c r="AH58" s="41">
        <f>'Nov2026-COLLECTION'!K57</f>
        <v/>
      </c>
      <c r="AI58" s="174">
        <f>'Nov2026-EXPENSE'!R61</f>
        <v/>
      </c>
      <c r="AJ58" s="174" t="n"/>
      <c r="AK58" s="174">
        <f>AH58-(AI58+AJ58)</f>
        <v/>
      </c>
      <c r="AL58" s="41">
        <f>'Dec2026-COLLECTION'!K57</f>
        <v/>
      </c>
      <c r="AM58" s="174">
        <f>'Dec2026-EXPENSE'!R61</f>
        <v/>
      </c>
      <c r="AN58" s="174" t="n"/>
      <c r="AO58" s="174">
        <f>AL58-(AM58+AN58)</f>
        <v/>
      </c>
      <c r="AP58" s="7">
        <f>'Jan2027-COLLECTION'!K57</f>
        <v/>
      </c>
      <c r="AQ58" s="10">
        <f>'Jan2027-EXPENSE'!R61</f>
        <v/>
      </c>
      <c r="AR58" s="10" t="n"/>
      <c r="AS58" s="174">
        <f>AP58-(AQ58+AR58)</f>
        <v/>
      </c>
      <c r="AT58" s="7">
        <f>'Feb2027-COLLECTION'!K57</f>
        <v/>
      </c>
      <c r="AU58" s="10">
        <f>'Feb2027-EXPENSE'!R61</f>
        <v/>
      </c>
      <c r="AV58" s="10" t="n"/>
      <c r="AW58" s="174">
        <f>AT58-(AU58+AV58)</f>
        <v/>
      </c>
      <c r="AX58" s="7">
        <f>'Mar2027-COLLECTION'!K57</f>
        <v/>
      </c>
      <c r="AY58" s="10">
        <f>'Mar2027-EXPENSE'!R61</f>
        <v/>
      </c>
      <c r="AZ58" s="10" t="n"/>
      <c r="BA58" s="174">
        <f>AX58-(AY58+AZ58)</f>
        <v/>
      </c>
      <c r="BB58" s="172">
        <f>SUM(F58,J58,N58,R58,V58,Z58,AD58,AH58,AL58,AP58,AT58,AX58)</f>
        <v/>
      </c>
      <c r="BC58" s="172">
        <f>SUM(G58,K58,O58,S58,W58,AA58,AE58,AI58,AM58,AQ58,AU58,AY58)</f>
        <v/>
      </c>
      <c r="BD58" s="172">
        <f>SUM(H58,L58,P58,T58,X58,AB58,AF58,AJ58,AN58,AR58,AV58,AZ58)</f>
        <v/>
      </c>
      <c r="BE58" s="172">
        <f>BB58-(BC58+BD58)</f>
        <v/>
      </c>
      <c r="BF58" s="172">
        <f>E58+BE58</f>
        <v/>
      </c>
      <c r="BG58" s="175" t="n">
        <v>0</v>
      </c>
    </row>
    <row r="59" ht="15.75" customHeight="1" s="251">
      <c r="A59" s="169" t="inlineStr">
        <is>
          <t>T9</t>
        </is>
      </c>
      <c r="B59" s="13" t="n"/>
      <c r="C59" s="13" t="inlineStr">
        <is>
          <t>Nishith Sahu and Priyanka Rani (Owner)/ Anmol Verma (Tenant)</t>
        </is>
      </c>
      <c r="D59" s="170" t="n">
        <v>0</v>
      </c>
      <c r="E59" s="176" t="n">
        <v>0</v>
      </c>
      <c r="F59" s="171">
        <f>'Apr2026-COLLECTION'!K58</f>
        <v/>
      </c>
      <c r="G59" s="172">
        <f>'Apr2026-EXPENSE'!R62</f>
        <v/>
      </c>
      <c r="H59" s="172" t="n"/>
      <c r="I59" s="172">
        <f>F59-(G59+H59)</f>
        <v/>
      </c>
      <c r="J59" s="173">
        <f>'May2026-COLLECTION'!K58</f>
        <v/>
      </c>
      <c r="K59" s="174">
        <f>'May2026-EXPENSE'!R62</f>
        <v/>
      </c>
      <c r="L59" s="174" t="n"/>
      <c r="M59" s="174">
        <f>J59-(K59+L59)</f>
        <v/>
      </c>
      <c r="N59" s="172">
        <f>'June2026-COLLECTION'!K58</f>
        <v/>
      </c>
      <c r="O59" s="172">
        <f>'June2026-EXPENSE'!R62</f>
        <v/>
      </c>
      <c r="P59" s="172" t="n"/>
      <c r="Q59" s="172">
        <f>N59-(O59+P59)</f>
        <v/>
      </c>
      <c r="R59" s="41">
        <f>'July2026-COLLECTION'!K58</f>
        <v/>
      </c>
      <c r="S59" s="174">
        <f>'July2026-EXPENSE'!R62</f>
        <v/>
      </c>
      <c r="T59" s="174" t="n"/>
      <c r="U59" s="174">
        <f>R59-(S59+T59)</f>
        <v/>
      </c>
      <c r="V59" s="167">
        <f>'Aug2026-COLLECTION'!K58</f>
        <v/>
      </c>
      <c r="W59" s="172">
        <f>'Aug2026-EXPENSE'!R62</f>
        <v/>
      </c>
      <c r="X59" s="172" t="n"/>
      <c r="Y59" s="172">
        <f>V59-(W59+X59)</f>
        <v/>
      </c>
      <c r="Z59" s="41">
        <f>'Sep2026-COLLECTION'!K58</f>
        <v/>
      </c>
      <c r="AA59" s="174">
        <f>'Sep2026-EXPENSE'!R62</f>
        <v/>
      </c>
      <c r="AB59" s="174" t="n"/>
      <c r="AC59" s="174">
        <f>Z59-(AA59+AB59)</f>
        <v/>
      </c>
      <c r="AD59" s="41">
        <f>'Oct2026-COLLECTION'!K58</f>
        <v/>
      </c>
      <c r="AE59" s="174">
        <f>'Oct2026-EXPENSE'!R62</f>
        <v/>
      </c>
      <c r="AF59" s="174" t="n"/>
      <c r="AG59" s="174">
        <f>AD59-(AE59+AF59)</f>
        <v/>
      </c>
      <c r="AH59" s="41">
        <f>'Nov2026-COLLECTION'!K58</f>
        <v/>
      </c>
      <c r="AI59" s="174">
        <f>'Nov2026-EXPENSE'!R62</f>
        <v/>
      </c>
      <c r="AJ59" s="174" t="n"/>
      <c r="AK59" s="174">
        <f>AH59-(AI59+AJ59)</f>
        <v/>
      </c>
      <c r="AL59" s="41">
        <f>'Dec2026-COLLECTION'!K58</f>
        <v/>
      </c>
      <c r="AM59" s="174">
        <f>'Dec2026-EXPENSE'!R62</f>
        <v/>
      </c>
      <c r="AN59" s="174" t="n"/>
      <c r="AO59" s="174">
        <f>AL59-(AM59+AN59)</f>
        <v/>
      </c>
      <c r="AP59" s="7">
        <f>'Jan2027-COLLECTION'!K58</f>
        <v/>
      </c>
      <c r="AQ59" s="10">
        <f>'Jan2027-EXPENSE'!R62</f>
        <v/>
      </c>
      <c r="AR59" s="10" t="n"/>
      <c r="AS59" s="174">
        <f>AP59-(AQ59+AR59)</f>
        <v/>
      </c>
      <c r="AT59" s="7">
        <f>'Feb2027-COLLECTION'!K58</f>
        <v/>
      </c>
      <c r="AU59" s="10">
        <f>'Feb2027-EXPENSE'!R62</f>
        <v/>
      </c>
      <c r="AV59" s="10" t="n"/>
      <c r="AW59" s="174">
        <f>AT59-(AU59+AV59)</f>
        <v/>
      </c>
      <c r="AX59" s="7">
        <f>'Mar2027-COLLECTION'!K58</f>
        <v/>
      </c>
      <c r="AY59" s="10">
        <f>'Mar2027-EXPENSE'!R62</f>
        <v/>
      </c>
      <c r="AZ59" s="10" t="n"/>
      <c r="BA59" s="174">
        <f>AX59-(AY59+AZ59)</f>
        <v/>
      </c>
      <c r="BB59" s="172">
        <f>SUM(F59,J59,N59,R59,V59,Z59,AD59,AH59,AL59,AP59,AT59,AX59)</f>
        <v/>
      </c>
      <c r="BC59" s="172">
        <f>SUM(G59,K59,O59,S59,W59,AA59,AE59,AI59,AM59,AQ59,AU59,AY59)</f>
        <v/>
      </c>
      <c r="BD59" s="172">
        <f>SUM(H59,L59,P59,T59,X59,AB59,AF59,AJ59,AN59,AR59,AV59,AZ59)</f>
        <v/>
      </c>
      <c r="BE59" s="172">
        <f>BB59-(BC59+BD59)</f>
        <v/>
      </c>
      <c r="BF59" s="172">
        <f>E59+BE59</f>
        <v/>
      </c>
      <c r="BG59" s="175" t="n">
        <v>0</v>
      </c>
    </row>
    <row r="60" ht="15.75" customHeight="1" s="251">
      <c r="A60" s="169" t="inlineStr">
        <is>
          <t>T10</t>
        </is>
      </c>
      <c r="B60" s="13" t="n"/>
      <c r="C60" s="13" t="inlineStr">
        <is>
          <t>Vamsidhar Bethanabatla / Madhuri Anumula</t>
        </is>
      </c>
      <c r="D60" s="170" t="n">
        <v>0</v>
      </c>
      <c r="E60" s="176" t="n">
        <v>0</v>
      </c>
      <c r="F60" s="171">
        <f>'Apr2026-COLLECTION'!K59</f>
        <v/>
      </c>
      <c r="G60" s="172">
        <f>'Apr2026-EXPENSE'!R63</f>
        <v/>
      </c>
      <c r="H60" s="172" t="n"/>
      <c r="I60" s="172">
        <f>F60-(G60+H60)</f>
        <v/>
      </c>
      <c r="J60" s="173">
        <f>'May2026-COLLECTION'!K59</f>
        <v/>
      </c>
      <c r="K60" s="174">
        <f>'May2026-EXPENSE'!R63</f>
        <v/>
      </c>
      <c r="L60" s="174" t="n"/>
      <c r="M60" s="174">
        <f>J60-(K60+L60)</f>
        <v/>
      </c>
      <c r="N60" s="172">
        <f>'June2026-COLLECTION'!K59</f>
        <v/>
      </c>
      <c r="O60" s="172">
        <f>'June2026-EXPENSE'!R63</f>
        <v/>
      </c>
      <c r="P60" s="172" t="n"/>
      <c r="Q60" s="172">
        <f>N60-(O60+P60)</f>
        <v/>
      </c>
      <c r="R60" s="41">
        <f>'July2026-COLLECTION'!K59</f>
        <v/>
      </c>
      <c r="S60" s="174">
        <f>'July2026-EXPENSE'!R63</f>
        <v/>
      </c>
      <c r="T60" s="174" t="n"/>
      <c r="U60" s="174">
        <f>R60-(S60+T60)</f>
        <v/>
      </c>
      <c r="V60" s="167">
        <f>'Aug2026-COLLECTION'!K59</f>
        <v/>
      </c>
      <c r="W60" s="172">
        <f>'Aug2026-EXPENSE'!R63</f>
        <v/>
      </c>
      <c r="X60" s="172" t="n"/>
      <c r="Y60" s="172">
        <f>V60-(W60+X60)</f>
        <v/>
      </c>
      <c r="Z60" s="41">
        <f>'Sep2026-COLLECTION'!K59</f>
        <v/>
      </c>
      <c r="AA60" s="174">
        <f>'Sep2026-EXPENSE'!R63</f>
        <v/>
      </c>
      <c r="AB60" s="174" t="n"/>
      <c r="AC60" s="174">
        <f>Z60-(AA60+AB60)</f>
        <v/>
      </c>
      <c r="AD60" s="41">
        <f>'Oct2026-COLLECTION'!K59</f>
        <v/>
      </c>
      <c r="AE60" s="174">
        <f>'Oct2026-EXPENSE'!R63</f>
        <v/>
      </c>
      <c r="AF60" s="174" t="n"/>
      <c r="AG60" s="174">
        <f>AD60-(AE60+AF60)</f>
        <v/>
      </c>
      <c r="AH60" s="41">
        <f>'Nov2026-COLLECTION'!K59</f>
        <v/>
      </c>
      <c r="AI60" s="174">
        <f>'Nov2026-EXPENSE'!R63</f>
        <v/>
      </c>
      <c r="AJ60" s="174" t="n"/>
      <c r="AK60" s="174">
        <f>AH60-(AI60+AJ60)</f>
        <v/>
      </c>
      <c r="AL60" s="41">
        <f>'Dec2026-COLLECTION'!K59</f>
        <v/>
      </c>
      <c r="AM60" s="174">
        <f>'Dec2026-EXPENSE'!R63</f>
        <v/>
      </c>
      <c r="AN60" s="174" t="n"/>
      <c r="AO60" s="174">
        <f>AL60-(AM60+AN60)</f>
        <v/>
      </c>
      <c r="AP60" s="7">
        <f>'Jan2027-COLLECTION'!K59</f>
        <v/>
      </c>
      <c r="AQ60" s="10">
        <f>'Jan2027-EXPENSE'!R63</f>
        <v/>
      </c>
      <c r="AR60" s="10" t="n"/>
      <c r="AS60" s="174">
        <f>AP60-(AQ60+AR60)</f>
        <v/>
      </c>
      <c r="AT60" s="7">
        <f>'Feb2027-COLLECTION'!K59</f>
        <v/>
      </c>
      <c r="AU60" s="10">
        <f>'Feb2027-EXPENSE'!R63</f>
        <v/>
      </c>
      <c r="AV60" s="10" t="n"/>
      <c r="AW60" s="174">
        <f>AT60-(AU60+AV60)</f>
        <v/>
      </c>
      <c r="AX60" s="7">
        <f>'Mar2027-COLLECTION'!K59</f>
        <v/>
      </c>
      <c r="AY60" s="10">
        <f>'Mar2027-EXPENSE'!R63</f>
        <v/>
      </c>
      <c r="AZ60" s="10" t="n"/>
      <c r="BA60" s="174">
        <f>AX60-(AY60+AZ60)</f>
        <v/>
      </c>
      <c r="BB60" s="172">
        <f>SUM(F60,J60,N60,R60,V60,Z60,AD60,AH60,AL60,AP60,AT60,AX60)</f>
        <v/>
      </c>
      <c r="BC60" s="172">
        <f>SUM(G60,K60,O60,S60,W60,AA60,AE60,AI60,AM60,AQ60,AU60,AY60)</f>
        <v/>
      </c>
      <c r="BD60" s="172">
        <f>SUM(H60,L60,P60,T60,X60,AB60,AF60,AJ60,AN60,AR60,AV60,AZ60)</f>
        <v/>
      </c>
      <c r="BE60" s="172">
        <f>BB60-(BC60+BD60)</f>
        <v/>
      </c>
      <c r="BF60" s="172">
        <f>E60+BE60</f>
        <v/>
      </c>
      <c r="BG60" s="175" t="n">
        <v>0</v>
      </c>
    </row>
    <row r="61" ht="15.75" customHeight="1" s="251">
      <c r="A61" s="169" t="inlineStr">
        <is>
          <t>T11</t>
        </is>
      </c>
      <c r="B61" s="13" t="n"/>
      <c r="C61" s="13" t="inlineStr">
        <is>
          <t>Arvind Balasubramanian</t>
        </is>
      </c>
      <c r="D61" s="170" t="n">
        <v>0</v>
      </c>
      <c r="E61" s="176" t="n">
        <v>0</v>
      </c>
      <c r="F61" s="171">
        <f>'Apr2026-COLLECTION'!K60</f>
        <v/>
      </c>
      <c r="G61" s="172">
        <f>'Apr2026-EXPENSE'!R64</f>
        <v/>
      </c>
      <c r="H61" s="172" t="n"/>
      <c r="I61" s="172">
        <f>F61-(G61+H61)</f>
        <v/>
      </c>
      <c r="J61" s="173">
        <f>'May2026-COLLECTION'!K60</f>
        <v/>
      </c>
      <c r="K61" s="174">
        <f>'May2026-EXPENSE'!R64</f>
        <v/>
      </c>
      <c r="L61" s="174" t="n">
        <v>0</v>
      </c>
      <c r="M61" s="174">
        <f>J61-(K61+L61)</f>
        <v/>
      </c>
      <c r="N61" s="172">
        <f>'June2026-COLLECTION'!K60</f>
        <v/>
      </c>
      <c r="O61" s="172">
        <f>'June2026-EXPENSE'!R64</f>
        <v/>
      </c>
      <c r="P61" s="172" t="n"/>
      <c r="Q61" s="172">
        <f>N61-(O61+P61)</f>
        <v/>
      </c>
      <c r="R61" s="41">
        <f>'July2026-COLLECTION'!K60</f>
        <v/>
      </c>
      <c r="S61" s="174">
        <f>'July2026-EXPENSE'!R64</f>
        <v/>
      </c>
      <c r="T61" s="174" t="n"/>
      <c r="U61" s="174">
        <f>R61-(S61+T61)</f>
        <v/>
      </c>
      <c r="V61" s="167">
        <f>'Aug2026-COLLECTION'!K60</f>
        <v/>
      </c>
      <c r="W61" s="172">
        <f>'Aug2026-EXPENSE'!R64</f>
        <v/>
      </c>
      <c r="X61" s="172" t="n"/>
      <c r="Y61" s="172">
        <f>V61-(W61+X61)</f>
        <v/>
      </c>
      <c r="Z61" s="41">
        <f>'Sep2026-COLLECTION'!K60</f>
        <v/>
      </c>
      <c r="AA61" s="174">
        <f>'Sep2026-EXPENSE'!R64</f>
        <v/>
      </c>
      <c r="AB61" s="174" t="n"/>
      <c r="AC61" s="174">
        <f>Z61-(AA61+AB61)</f>
        <v/>
      </c>
      <c r="AD61" s="41">
        <f>'Oct2026-COLLECTION'!K60</f>
        <v/>
      </c>
      <c r="AE61" s="174">
        <f>'Oct2026-EXPENSE'!R64</f>
        <v/>
      </c>
      <c r="AF61" s="174" t="n"/>
      <c r="AG61" s="174">
        <f>AD61-(AE61+AF61)</f>
        <v/>
      </c>
      <c r="AH61" s="41">
        <f>'Nov2026-COLLECTION'!K60</f>
        <v/>
      </c>
      <c r="AI61" s="174">
        <f>'Nov2026-EXPENSE'!R64</f>
        <v/>
      </c>
      <c r="AJ61" s="174" t="n"/>
      <c r="AK61" s="174">
        <f>AH61-(AI61+AJ61)</f>
        <v/>
      </c>
      <c r="AL61" s="41">
        <f>'Dec2026-COLLECTION'!K60</f>
        <v/>
      </c>
      <c r="AM61" s="174">
        <f>'Dec2026-EXPENSE'!R64</f>
        <v/>
      </c>
      <c r="AN61" s="174" t="n"/>
      <c r="AO61" s="174">
        <f>AL61-(AM61+AN61)</f>
        <v/>
      </c>
      <c r="AP61" s="7">
        <f>'Jan2027-COLLECTION'!K60</f>
        <v/>
      </c>
      <c r="AQ61" s="10">
        <f>'Jan2027-EXPENSE'!R64</f>
        <v/>
      </c>
      <c r="AR61" s="10" t="n"/>
      <c r="AS61" s="174">
        <f>AP61-(AQ61+AR61)</f>
        <v/>
      </c>
      <c r="AT61" s="7">
        <f>'Feb2027-COLLECTION'!K60</f>
        <v/>
      </c>
      <c r="AU61" s="10">
        <f>'Feb2027-EXPENSE'!R64</f>
        <v/>
      </c>
      <c r="AV61" s="10" t="n"/>
      <c r="AW61" s="174">
        <f>AT61-(AU61+AV61)</f>
        <v/>
      </c>
      <c r="AX61" s="7">
        <f>'Mar2027-COLLECTION'!K60</f>
        <v/>
      </c>
      <c r="AY61" s="10">
        <f>'Mar2027-EXPENSE'!R64</f>
        <v/>
      </c>
      <c r="AZ61" s="10" t="n"/>
      <c r="BA61" s="174">
        <f>AX61-(AY61+AZ61)</f>
        <v/>
      </c>
      <c r="BB61" s="172">
        <f>SUM(F61,J61,N61,R61,V61,Z61,AD61,AH61,AL61,AP61,AT61,AX61)</f>
        <v/>
      </c>
      <c r="BC61" s="172">
        <f>SUM(G61,K61,O61,S61,W61,AA61,AE61,AI61,AM61,AQ61,AU61,AY61)</f>
        <v/>
      </c>
      <c r="BD61" s="172">
        <f>SUM(H61,L61,P61,T61,X61,AB61,AF61,AJ61,AN61,AR61,AV61,AZ61)</f>
        <v/>
      </c>
      <c r="BE61" s="172">
        <f>BB61-(BC61+BD61)</f>
        <v/>
      </c>
      <c r="BF61" s="172">
        <f>E61+BE61</f>
        <v/>
      </c>
      <c r="BG61" s="175" t="n">
        <v>0</v>
      </c>
    </row>
    <row r="62" ht="15.75" customHeight="1" s="251">
      <c r="A62" s="169" t="inlineStr">
        <is>
          <t>T12</t>
        </is>
      </c>
      <c r="B62" s="13" t="n"/>
      <c r="C62" s="13" t="inlineStr">
        <is>
          <t>Prasenjit</t>
        </is>
      </c>
      <c r="D62" s="170" t="n">
        <v>0</v>
      </c>
      <c r="E62" s="176" t="n">
        <v>0</v>
      </c>
      <c r="F62" s="171">
        <f>'Apr2026-COLLECTION'!K61</f>
        <v/>
      </c>
      <c r="G62" s="172">
        <f>'Apr2026-EXPENSE'!R65</f>
        <v/>
      </c>
      <c r="H62" s="172" t="n"/>
      <c r="I62" s="172">
        <f>F62-(G62+H62)</f>
        <v/>
      </c>
      <c r="J62" s="173">
        <f>'May2026-COLLECTION'!K61</f>
        <v/>
      </c>
      <c r="K62" s="174">
        <f>'May2026-EXPENSE'!R65</f>
        <v/>
      </c>
      <c r="L62" s="174" t="n">
        <v>0</v>
      </c>
      <c r="M62" s="174">
        <f>J62-(K62+L62)</f>
        <v/>
      </c>
      <c r="N62" s="172">
        <f>'June2026-COLLECTION'!K61</f>
        <v/>
      </c>
      <c r="O62" s="172">
        <f>'June2026-EXPENSE'!R65</f>
        <v/>
      </c>
      <c r="P62" s="172" t="n"/>
      <c r="Q62" s="172">
        <f>N62-(O62+P62)</f>
        <v/>
      </c>
      <c r="R62" s="41">
        <f>'July2026-COLLECTION'!K61</f>
        <v/>
      </c>
      <c r="S62" s="174">
        <f>'July2026-EXPENSE'!R65</f>
        <v/>
      </c>
      <c r="T62" s="174" t="n"/>
      <c r="U62" s="174">
        <f>R62-(S62+T62)</f>
        <v/>
      </c>
      <c r="V62" s="167">
        <f>'Aug2026-COLLECTION'!K61</f>
        <v/>
      </c>
      <c r="W62" s="172">
        <f>'Aug2026-EXPENSE'!R65</f>
        <v/>
      </c>
      <c r="X62" s="172" t="n"/>
      <c r="Y62" s="172">
        <f>V62-(W62+X62)</f>
        <v/>
      </c>
      <c r="Z62" s="41">
        <f>'Sep2026-COLLECTION'!K61</f>
        <v/>
      </c>
      <c r="AA62" s="174">
        <f>'Sep2026-EXPENSE'!R65</f>
        <v/>
      </c>
      <c r="AB62" s="174" t="n"/>
      <c r="AC62" s="174">
        <f>Z62-(AA62+AB62)</f>
        <v/>
      </c>
      <c r="AD62" s="41">
        <f>'Oct2026-COLLECTION'!K61</f>
        <v/>
      </c>
      <c r="AE62" s="174">
        <f>'Oct2026-EXPENSE'!R65</f>
        <v/>
      </c>
      <c r="AF62" s="174" t="n"/>
      <c r="AG62" s="174">
        <f>AD62-(AE62+AF62)</f>
        <v/>
      </c>
      <c r="AH62" s="41">
        <f>'Nov2026-COLLECTION'!K61</f>
        <v/>
      </c>
      <c r="AI62" s="174">
        <f>'Nov2026-EXPENSE'!R65</f>
        <v/>
      </c>
      <c r="AJ62" s="174" t="n"/>
      <c r="AK62" s="174">
        <f>AH62-(AI62+AJ62)</f>
        <v/>
      </c>
      <c r="AL62" s="41">
        <f>'Dec2026-COLLECTION'!K61</f>
        <v/>
      </c>
      <c r="AM62" s="174">
        <f>'Dec2026-EXPENSE'!R65</f>
        <v/>
      </c>
      <c r="AN62" s="174" t="n"/>
      <c r="AO62" s="174">
        <f>AL62-(AM62+AN62)</f>
        <v/>
      </c>
      <c r="AP62" s="7">
        <f>'Jan2027-COLLECTION'!K61</f>
        <v/>
      </c>
      <c r="AQ62" s="10">
        <f>'Jan2027-EXPENSE'!R65</f>
        <v/>
      </c>
      <c r="AR62" s="10" t="n"/>
      <c r="AS62" s="174">
        <f>AP62-(AQ62+AR62)</f>
        <v/>
      </c>
      <c r="AT62" s="7">
        <f>'Feb2027-COLLECTION'!K61</f>
        <v/>
      </c>
      <c r="AU62" s="10">
        <f>'Feb2027-EXPENSE'!R65</f>
        <v/>
      </c>
      <c r="AV62" s="10" t="n"/>
      <c r="AW62" s="174">
        <f>AT62-(AU62+AV62)</f>
        <v/>
      </c>
      <c r="AX62" s="7">
        <f>'Mar2027-COLLECTION'!K61</f>
        <v/>
      </c>
      <c r="AY62" s="10">
        <f>'Mar2027-EXPENSE'!R65</f>
        <v/>
      </c>
      <c r="AZ62" s="10" t="n"/>
      <c r="BA62" s="174">
        <f>AX62-(AY62+AZ62)</f>
        <v/>
      </c>
      <c r="BB62" s="172">
        <f>SUM(F62,J62,N62,R62,V62,Z62,AD62,AH62,AL62,AP62,AT62,AX62)</f>
        <v/>
      </c>
      <c r="BC62" s="172">
        <f>SUM(G62,K62,O62,S62,W62,AA62,AE62,AI62,AM62,AQ62,AU62,AY62)</f>
        <v/>
      </c>
      <c r="BD62" s="172">
        <f>SUM(H62,L62,P62,T62,X62,AB62,AF62,AJ62,AN62,AR62,AV62,AZ62)</f>
        <v/>
      </c>
      <c r="BE62" s="172">
        <f>BB62-(BC62+BD62)</f>
        <v/>
      </c>
      <c r="BF62" s="172">
        <f>E62+BE62</f>
        <v/>
      </c>
      <c r="BG62" s="175" t="n">
        <v>0</v>
      </c>
    </row>
    <row r="63" ht="15.75" customHeight="1" s="251">
      <c r="A63" s="169" t="inlineStr">
        <is>
          <t>T13</t>
        </is>
      </c>
      <c r="B63" s="13" t="n"/>
      <c r="C63" s="13" t="inlineStr">
        <is>
          <t>Rahul Kumar</t>
        </is>
      </c>
      <c r="D63" s="170" t="n">
        <v>0</v>
      </c>
      <c r="E63" s="176" t="n">
        <v>0</v>
      </c>
      <c r="F63" s="171">
        <f>'Apr2026-COLLECTION'!K62</f>
        <v/>
      </c>
      <c r="G63" s="172">
        <f>'Apr2026-EXPENSE'!R66</f>
        <v/>
      </c>
      <c r="H63" s="172" t="n"/>
      <c r="I63" s="172">
        <f>F63-(G63+H63)</f>
        <v/>
      </c>
      <c r="J63" s="173">
        <f>'May2026-COLLECTION'!K62</f>
        <v/>
      </c>
      <c r="K63" s="174">
        <f>'May2026-EXPENSE'!R66</f>
        <v/>
      </c>
      <c r="L63" s="174" t="n">
        <v>0</v>
      </c>
      <c r="M63" s="174">
        <f>J63-(K63+L63)</f>
        <v/>
      </c>
      <c r="N63" s="172">
        <f>'June2026-COLLECTION'!K62</f>
        <v/>
      </c>
      <c r="O63" s="172">
        <f>'June2026-EXPENSE'!R66</f>
        <v/>
      </c>
      <c r="P63" s="172" t="n"/>
      <c r="Q63" s="172">
        <f>N63-(O63+P63)</f>
        <v/>
      </c>
      <c r="R63" s="41">
        <f>'July2026-COLLECTION'!K62</f>
        <v/>
      </c>
      <c r="S63" s="174">
        <f>'July2026-EXPENSE'!R66</f>
        <v/>
      </c>
      <c r="T63" s="174" t="n"/>
      <c r="U63" s="174">
        <f>R63-(S63+T63)</f>
        <v/>
      </c>
      <c r="V63" s="167">
        <f>'Aug2026-COLLECTION'!K62</f>
        <v/>
      </c>
      <c r="W63" s="172">
        <f>'Aug2026-EXPENSE'!R66</f>
        <v/>
      </c>
      <c r="X63" s="172" t="n"/>
      <c r="Y63" s="172">
        <f>V63-(W63+X63)</f>
        <v/>
      </c>
      <c r="Z63" s="41">
        <f>'Sep2026-COLLECTION'!K62</f>
        <v/>
      </c>
      <c r="AA63" s="174">
        <f>'Sep2026-EXPENSE'!R66</f>
        <v/>
      </c>
      <c r="AB63" s="174" t="n"/>
      <c r="AC63" s="174">
        <f>Z63-(AA63+AB63)</f>
        <v/>
      </c>
      <c r="AD63" s="41">
        <f>'Oct2026-COLLECTION'!K62</f>
        <v/>
      </c>
      <c r="AE63" s="174">
        <f>'Oct2026-EXPENSE'!R66</f>
        <v/>
      </c>
      <c r="AF63" s="174" t="n"/>
      <c r="AG63" s="174">
        <f>AD63-(AE63+AF63)</f>
        <v/>
      </c>
      <c r="AH63" s="41">
        <f>'Nov2026-COLLECTION'!K62</f>
        <v/>
      </c>
      <c r="AI63" s="174">
        <f>'Nov2026-EXPENSE'!R66</f>
        <v/>
      </c>
      <c r="AJ63" s="174" t="n"/>
      <c r="AK63" s="174">
        <f>AH63-(AI63+AJ63)</f>
        <v/>
      </c>
      <c r="AL63" s="41">
        <f>'Dec2026-COLLECTION'!K62</f>
        <v/>
      </c>
      <c r="AM63" s="174">
        <f>'Dec2026-EXPENSE'!R66</f>
        <v/>
      </c>
      <c r="AN63" s="174" t="n"/>
      <c r="AO63" s="174">
        <f>AL63-(AM63+AN63)</f>
        <v/>
      </c>
      <c r="AP63" s="7">
        <f>'Jan2027-COLLECTION'!K62</f>
        <v/>
      </c>
      <c r="AQ63" s="10">
        <f>'Jan2027-EXPENSE'!R66</f>
        <v/>
      </c>
      <c r="AR63" s="10" t="n"/>
      <c r="AS63" s="174">
        <f>AP63-(AQ63+AR63)</f>
        <v/>
      </c>
      <c r="AT63" s="7">
        <f>'Feb2027-COLLECTION'!K62</f>
        <v/>
      </c>
      <c r="AU63" s="10">
        <f>'Feb2027-EXPENSE'!R66</f>
        <v/>
      </c>
      <c r="AV63" s="10" t="n"/>
      <c r="AW63" s="174">
        <f>AT63-(AU63+AV63)</f>
        <v/>
      </c>
      <c r="AX63" s="7">
        <f>'Mar2027-COLLECTION'!K62</f>
        <v/>
      </c>
      <c r="AY63" s="10">
        <f>'Mar2027-EXPENSE'!R66</f>
        <v/>
      </c>
      <c r="AZ63" s="10" t="n"/>
      <c r="BA63" s="174">
        <f>AX63-(AY63+AZ63)</f>
        <v/>
      </c>
      <c r="BB63" s="172">
        <f>SUM(F63,J63,N63,R63,V63,Z63,AD63,AH63,AL63,AP63,AT63,AX63)</f>
        <v/>
      </c>
      <c r="BC63" s="172">
        <f>SUM(G63,K63,O63,S63,W63,AA63,AE63,AI63,AM63,AQ63,AU63,AY63)</f>
        <v/>
      </c>
      <c r="BD63" s="172">
        <f>SUM(H63,L63,P63,T63,X63,AB63,AF63,AJ63,AN63,AR63,AV63,AZ63)</f>
        <v/>
      </c>
      <c r="BE63" s="172">
        <f>BB63-(BC63+BD63)</f>
        <v/>
      </c>
      <c r="BF63" s="172">
        <f>E63+BE63</f>
        <v/>
      </c>
      <c r="BG63" s="175" t="n">
        <v>0</v>
      </c>
    </row>
    <row r="64" ht="15.75" customHeight="1" s="251">
      <c r="A64" s="169" t="inlineStr">
        <is>
          <t>T14</t>
        </is>
      </c>
      <c r="B64" s="13" t="n"/>
      <c r="C64" s="13" t="inlineStr">
        <is>
          <t>Jeya / Kanda / Satya (tenant)/Vinuta (tenant)</t>
        </is>
      </c>
      <c r="D64" s="170" t="n">
        <v>0</v>
      </c>
      <c r="E64" s="176" t="n">
        <v>0</v>
      </c>
      <c r="F64" s="171">
        <f>'Apr2026-COLLECTION'!K63</f>
        <v/>
      </c>
      <c r="G64" s="172">
        <f>'Apr2026-EXPENSE'!R67</f>
        <v/>
      </c>
      <c r="H64" s="172" t="n"/>
      <c r="I64" s="172">
        <f>F64-(G64+H64)</f>
        <v/>
      </c>
      <c r="J64" s="173">
        <f>'May2026-COLLECTION'!K63</f>
        <v/>
      </c>
      <c r="K64" s="174">
        <f>'May2026-EXPENSE'!R67</f>
        <v/>
      </c>
      <c r="L64" s="174" t="n"/>
      <c r="M64" s="174">
        <f>J64-(K64+L64)</f>
        <v/>
      </c>
      <c r="N64" s="172">
        <f>'June2026-COLLECTION'!K63</f>
        <v/>
      </c>
      <c r="O64" s="172">
        <f>'June2026-EXPENSE'!R67</f>
        <v/>
      </c>
      <c r="P64" s="172" t="n"/>
      <c r="Q64" s="172">
        <f>N64-(O64+P64)</f>
        <v/>
      </c>
      <c r="R64" s="41">
        <f>'July2026-COLLECTION'!K63</f>
        <v/>
      </c>
      <c r="S64" s="174">
        <f>'July2026-EXPENSE'!R67</f>
        <v/>
      </c>
      <c r="T64" s="174" t="n"/>
      <c r="U64" s="174">
        <f>R64-(S64+T64)</f>
        <v/>
      </c>
      <c r="V64" s="167">
        <f>'Aug2026-COLLECTION'!K63</f>
        <v/>
      </c>
      <c r="W64" s="172">
        <f>'Aug2026-EXPENSE'!R67</f>
        <v/>
      </c>
      <c r="X64" s="172" t="n"/>
      <c r="Y64" s="172">
        <f>V64-(W64+X64)</f>
        <v/>
      </c>
      <c r="Z64" s="41">
        <f>'Sep2026-COLLECTION'!K63</f>
        <v/>
      </c>
      <c r="AA64" s="174">
        <f>'Sep2026-EXPENSE'!R67</f>
        <v/>
      </c>
      <c r="AB64" s="174" t="n"/>
      <c r="AC64" s="174">
        <f>Z64-(AA64+AB64)</f>
        <v/>
      </c>
      <c r="AD64" s="41">
        <f>'Oct2026-COLLECTION'!K63</f>
        <v/>
      </c>
      <c r="AE64" s="174">
        <f>'Oct2026-EXPENSE'!R67</f>
        <v/>
      </c>
      <c r="AF64" s="174" t="n"/>
      <c r="AG64" s="174">
        <f>AD64-(AE64+AF64)</f>
        <v/>
      </c>
      <c r="AH64" s="41">
        <f>'Nov2026-COLLECTION'!K63</f>
        <v/>
      </c>
      <c r="AI64" s="174">
        <f>'Nov2026-EXPENSE'!R67</f>
        <v/>
      </c>
      <c r="AJ64" s="174" t="n"/>
      <c r="AK64" s="174">
        <f>AH64-(AI64+AJ64)</f>
        <v/>
      </c>
      <c r="AL64" s="41">
        <f>'Dec2026-COLLECTION'!K63</f>
        <v/>
      </c>
      <c r="AM64" s="174">
        <f>'Dec2026-EXPENSE'!R67</f>
        <v/>
      </c>
      <c r="AN64" s="174" t="n"/>
      <c r="AO64" s="174">
        <f>AL64-(AM64+AN64)</f>
        <v/>
      </c>
      <c r="AP64" s="7">
        <f>'Jan2027-COLLECTION'!K63</f>
        <v/>
      </c>
      <c r="AQ64" s="10">
        <f>'Jan2027-EXPENSE'!R67</f>
        <v/>
      </c>
      <c r="AR64" s="10" t="n"/>
      <c r="AS64" s="174">
        <f>AP64-(AQ64+AR64)</f>
        <v/>
      </c>
      <c r="AT64" s="7">
        <f>'Feb2027-COLLECTION'!K63</f>
        <v/>
      </c>
      <c r="AU64" s="10">
        <f>'Feb2027-EXPENSE'!R67</f>
        <v/>
      </c>
      <c r="AV64" s="10" t="n"/>
      <c r="AW64" s="174">
        <f>AT64-(AU64+AV64)</f>
        <v/>
      </c>
      <c r="AX64" s="7">
        <f>'Mar2027-COLLECTION'!K63</f>
        <v/>
      </c>
      <c r="AY64" s="10">
        <f>'Mar2027-EXPENSE'!R67</f>
        <v/>
      </c>
      <c r="AZ64" s="10" t="n"/>
      <c r="BA64" s="174">
        <f>AX64-(AY64+AZ64)</f>
        <v/>
      </c>
      <c r="BB64" s="172">
        <f>SUM(F64,J64,N64,R64,V64,Z64,AD64,AH64,AL64,AP64,AT64,AX64)</f>
        <v/>
      </c>
      <c r="BC64" s="172">
        <f>SUM(G64,K64,O64,S64,W64,AA64,AE64,AI64,AM64,AQ64,AU64,AY64)</f>
        <v/>
      </c>
      <c r="BD64" s="172">
        <f>SUM(H64,L64,P64,T64,X64,AB64,AF64,AJ64,AN64,AR64,AV64,AZ64)</f>
        <v/>
      </c>
      <c r="BE64" s="172">
        <f>BB64-(BC64+BD64)</f>
        <v/>
      </c>
      <c r="BF64" s="172">
        <f>E64+BE64</f>
        <v/>
      </c>
      <c r="BG64" s="175" t="n">
        <v>0</v>
      </c>
    </row>
    <row r="65" ht="15.75" customHeight="1" s="251">
      <c r="A65" s="169" t="inlineStr">
        <is>
          <t>T15</t>
        </is>
      </c>
      <c r="B65" s="13" t="n"/>
      <c r="C65" s="13" t="inlineStr">
        <is>
          <t>Trevor</t>
        </is>
      </c>
      <c r="D65" s="170" t="n">
        <v>0</v>
      </c>
      <c r="E65" s="176" t="n">
        <v>0</v>
      </c>
      <c r="F65" s="171">
        <f>'Apr2026-COLLECTION'!K64</f>
        <v/>
      </c>
      <c r="G65" s="172">
        <f>'Apr2026-EXPENSE'!R68</f>
        <v/>
      </c>
      <c r="H65" s="172" t="n"/>
      <c r="I65" s="172">
        <f>F65-(G65+H65)</f>
        <v/>
      </c>
      <c r="J65" s="173">
        <f>'May2026-COLLECTION'!K64</f>
        <v/>
      </c>
      <c r="K65" s="174">
        <f>'May2026-EXPENSE'!R68</f>
        <v/>
      </c>
      <c r="L65" s="174" t="n"/>
      <c r="M65" s="174">
        <f>J65-(K65+L65)</f>
        <v/>
      </c>
      <c r="N65" s="172">
        <f>'June2026-COLLECTION'!K64</f>
        <v/>
      </c>
      <c r="O65" s="172">
        <f>'June2026-EXPENSE'!R68</f>
        <v/>
      </c>
      <c r="P65" s="172" t="n"/>
      <c r="Q65" s="172">
        <f>N65-(O65+P65)</f>
        <v/>
      </c>
      <c r="R65" s="41">
        <f>'July2026-COLLECTION'!K64</f>
        <v/>
      </c>
      <c r="S65" s="174">
        <f>'July2026-EXPENSE'!R68</f>
        <v/>
      </c>
      <c r="T65" s="174" t="n"/>
      <c r="U65" s="174">
        <f>R65-(S65+T65)</f>
        <v/>
      </c>
      <c r="V65" s="167">
        <f>'Aug2026-COLLECTION'!K64</f>
        <v/>
      </c>
      <c r="W65" s="172">
        <f>'Aug2026-EXPENSE'!R68</f>
        <v/>
      </c>
      <c r="X65" s="172" t="n"/>
      <c r="Y65" s="172">
        <f>V65-(W65+X65)</f>
        <v/>
      </c>
      <c r="Z65" s="41">
        <f>'Sep2026-COLLECTION'!K64</f>
        <v/>
      </c>
      <c r="AA65" s="174">
        <f>'Sep2026-EXPENSE'!R68</f>
        <v/>
      </c>
      <c r="AB65" s="174" t="n"/>
      <c r="AC65" s="174">
        <f>Z65-(AA65+AB65)</f>
        <v/>
      </c>
      <c r="AD65" s="41">
        <f>'Oct2026-COLLECTION'!K64</f>
        <v/>
      </c>
      <c r="AE65" s="174">
        <f>'Oct2026-EXPENSE'!R68</f>
        <v/>
      </c>
      <c r="AF65" s="174" t="n"/>
      <c r="AG65" s="174">
        <f>AD65-(AE65+AF65)</f>
        <v/>
      </c>
      <c r="AH65" s="41">
        <f>'Nov2026-COLLECTION'!K64</f>
        <v/>
      </c>
      <c r="AI65" s="174">
        <f>'Nov2026-EXPENSE'!R68</f>
        <v/>
      </c>
      <c r="AJ65" s="174" t="n"/>
      <c r="AK65" s="174">
        <f>AH65-(AI65+AJ65)</f>
        <v/>
      </c>
      <c r="AL65" s="41">
        <f>'Dec2026-COLLECTION'!K64</f>
        <v/>
      </c>
      <c r="AM65" s="174">
        <f>'Dec2026-EXPENSE'!R68</f>
        <v/>
      </c>
      <c r="AN65" s="174" t="n"/>
      <c r="AO65" s="174">
        <f>AL65-(AM65+AN65)</f>
        <v/>
      </c>
      <c r="AP65" s="7">
        <f>'Jan2027-COLLECTION'!K64</f>
        <v/>
      </c>
      <c r="AQ65" s="10">
        <f>'Jan2027-EXPENSE'!R68</f>
        <v/>
      </c>
      <c r="AR65" s="10" t="n"/>
      <c r="AS65" s="174">
        <f>AP65-(AQ65+AR65)</f>
        <v/>
      </c>
      <c r="AT65" s="7">
        <f>'Feb2027-COLLECTION'!K64</f>
        <v/>
      </c>
      <c r="AU65" s="10">
        <f>'Feb2027-EXPENSE'!R68</f>
        <v/>
      </c>
      <c r="AV65" s="10" t="n"/>
      <c r="AW65" s="174">
        <f>AT65-(AU65+AV65)</f>
        <v/>
      </c>
      <c r="AX65" s="7">
        <f>'Mar2027-COLLECTION'!K64</f>
        <v/>
      </c>
      <c r="AY65" s="10">
        <f>'Mar2027-EXPENSE'!R68</f>
        <v/>
      </c>
      <c r="AZ65" s="10" t="n"/>
      <c r="BA65" s="174">
        <f>AX65-(AY65+AZ65)</f>
        <v/>
      </c>
      <c r="BB65" s="172">
        <f>SUM(F65,J65,N65,R65,V65,Z65,AD65,AH65,AL65,AP65,AT65,AX65)</f>
        <v/>
      </c>
      <c r="BC65" s="172">
        <f>SUM(G65,K65,O65,S65,W65,AA65,AE65,AI65,AM65,AQ65,AU65,AY65)</f>
        <v/>
      </c>
      <c r="BD65" s="172">
        <f>SUM(H65,L65,P65,T65,X65,AB65,AF65,AJ65,AN65,AR65,AV65,AZ65)</f>
        <v/>
      </c>
      <c r="BE65" s="172">
        <f>BB65-(BC65+BD65)</f>
        <v/>
      </c>
      <c r="BF65" s="172">
        <f>E65+BE65</f>
        <v/>
      </c>
      <c r="BG65" s="175" t="n">
        <v>0</v>
      </c>
    </row>
    <row r="66" ht="15.75" customHeight="1" s="251">
      <c r="A66" s="169" t="inlineStr">
        <is>
          <t>T16</t>
        </is>
      </c>
      <c r="B66" s="13" t="n"/>
      <c r="C66" s="13" t="inlineStr">
        <is>
          <t>Madhusoodanan P.R.</t>
        </is>
      </c>
      <c r="D66" s="170" t="n">
        <v>0</v>
      </c>
      <c r="E66" s="176" t="n">
        <v>0</v>
      </c>
      <c r="F66" s="171">
        <f>'Apr2026-COLLECTION'!K65</f>
        <v/>
      </c>
      <c r="G66" s="172">
        <f>'Apr2026-EXPENSE'!R69</f>
        <v/>
      </c>
      <c r="H66" s="172" t="n"/>
      <c r="I66" s="172">
        <f>F66-(G66+H66)</f>
        <v/>
      </c>
      <c r="J66" s="173">
        <f>'May2026-COLLECTION'!K65</f>
        <v/>
      </c>
      <c r="K66" s="174">
        <f>'May2026-EXPENSE'!R69</f>
        <v/>
      </c>
      <c r="L66" s="174" t="n"/>
      <c r="M66" s="174">
        <f>J66-(K66+L66)</f>
        <v/>
      </c>
      <c r="N66" s="172">
        <f>'June2026-COLLECTION'!K65</f>
        <v/>
      </c>
      <c r="O66" s="172">
        <f>'June2026-EXPENSE'!R69</f>
        <v/>
      </c>
      <c r="P66" s="172" t="n"/>
      <c r="Q66" s="172">
        <f>N66-(O66+P66)</f>
        <v/>
      </c>
      <c r="R66" s="41">
        <f>'July2026-COLLECTION'!K65</f>
        <v/>
      </c>
      <c r="S66" s="174">
        <f>'July2026-EXPENSE'!R69</f>
        <v/>
      </c>
      <c r="T66" s="174" t="n"/>
      <c r="U66" s="174">
        <f>R66-(S66+T66)</f>
        <v/>
      </c>
      <c r="V66" s="167">
        <f>'Aug2026-COLLECTION'!K65</f>
        <v/>
      </c>
      <c r="W66" s="172">
        <f>'Aug2026-EXPENSE'!R69</f>
        <v/>
      </c>
      <c r="X66" s="172" t="n"/>
      <c r="Y66" s="172">
        <f>V66-(W66+X66)</f>
        <v/>
      </c>
      <c r="Z66" s="41">
        <f>'Sep2026-COLLECTION'!K65</f>
        <v/>
      </c>
      <c r="AA66" s="174">
        <f>'Sep2026-EXPENSE'!R69</f>
        <v/>
      </c>
      <c r="AB66" s="174" t="n"/>
      <c r="AC66" s="174">
        <f>Z66-(AA66+AB66)</f>
        <v/>
      </c>
      <c r="AD66" s="41">
        <f>'Oct2026-COLLECTION'!K65</f>
        <v/>
      </c>
      <c r="AE66" s="174">
        <f>'Oct2026-EXPENSE'!R69</f>
        <v/>
      </c>
      <c r="AF66" s="174" t="n"/>
      <c r="AG66" s="174">
        <f>AD66-(AE66+AF66)</f>
        <v/>
      </c>
      <c r="AH66" s="41">
        <f>'Nov2026-COLLECTION'!K65</f>
        <v/>
      </c>
      <c r="AI66" s="174">
        <f>'Nov2026-EXPENSE'!R69</f>
        <v/>
      </c>
      <c r="AJ66" s="174" t="n"/>
      <c r="AK66" s="174">
        <f>AH66-(AI66+AJ66)</f>
        <v/>
      </c>
      <c r="AL66" s="41">
        <f>'Dec2026-COLLECTION'!K65</f>
        <v/>
      </c>
      <c r="AM66" s="174">
        <f>'Dec2026-EXPENSE'!R69</f>
        <v/>
      </c>
      <c r="AN66" s="174" t="n"/>
      <c r="AO66" s="174">
        <f>AL66-(AM66+AN66)</f>
        <v/>
      </c>
      <c r="AP66" s="7">
        <f>'Jan2027-COLLECTION'!K65</f>
        <v/>
      </c>
      <c r="AQ66" s="10">
        <f>'Jan2027-EXPENSE'!R69</f>
        <v/>
      </c>
      <c r="AR66" s="10" t="n"/>
      <c r="AS66" s="174">
        <f>AP66-(AQ66+AR66)</f>
        <v/>
      </c>
      <c r="AT66" s="7">
        <f>'Feb2027-COLLECTION'!K65</f>
        <v/>
      </c>
      <c r="AU66" s="10">
        <f>'Feb2027-EXPENSE'!R69</f>
        <v/>
      </c>
      <c r="AV66" s="10" t="n"/>
      <c r="AW66" s="174">
        <f>AT66-(AU66+AV66)</f>
        <v/>
      </c>
      <c r="AX66" s="7">
        <f>'Mar2027-COLLECTION'!K65</f>
        <v/>
      </c>
      <c r="AY66" s="10">
        <f>'Mar2027-EXPENSE'!R69</f>
        <v/>
      </c>
      <c r="AZ66" s="10" t="n"/>
      <c r="BA66" s="174">
        <f>AX66-(AY66+AZ66)</f>
        <v/>
      </c>
      <c r="BB66" s="172">
        <f>SUM(F66,J66,N66,R66,V66,Z66,AD66,AH66,AL66,AP66,AT66,AX66)</f>
        <v/>
      </c>
      <c r="BC66" s="172">
        <f>SUM(G66,K66,O66,S66,W66,AA66,AE66,AI66,AM66,AQ66,AU66,AY66)</f>
        <v/>
      </c>
      <c r="BD66" s="172">
        <f>SUM(H66,L66,P66,T66,X66,AB66,AF66,AJ66,AN66,AR66,AV66,AZ66)</f>
        <v/>
      </c>
      <c r="BE66" s="172">
        <f>BB66-(BC66+BD66)</f>
        <v/>
      </c>
      <c r="BF66" s="172">
        <f>E66+BE66</f>
        <v/>
      </c>
      <c r="BG66" s="175" t="n">
        <v>0</v>
      </c>
    </row>
    <row r="67" ht="15.75" customHeight="1" s="251">
      <c r="A67" s="169" t="n"/>
      <c r="B67" s="156" t="n"/>
      <c r="C67" s="156" t="inlineStr">
        <is>
          <t>TOTAL</t>
        </is>
      </c>
      <c r="D67" s="177">
        <f>SUM(D3:D66)</f>
        <v/>
      </c>
      <c r="E67" s="143">
        <f>SUM(E3:E66)</f>
        <v/>
      </c>
      <c r="F67" s="178">
        <f>SUM(F3:F66)</f>
        <v/>
      </c>
      <c r="G67" s="174">
        <f>SUM(G3:G66)</f>
        <v/>
      </c>
      <c r="H67" s="174">
        <f>SUM(H3:H66)</f>
        <v/>
      </c>
      <c r="I67" s="174">
        <f>SUM(I3:I66)</f>
        <v/>
      </c>
      <c r="J67" s="174">
        <f>SUM(J3:J66)</f>
        <v/>
      </c>
      <c r="K67" s="174">
        <f>SUM(K3:K66)</f>
        <v/>
      </c>
      <c r="L67" s="174">
        <f>SUM(L3:L66)</f>
        <v/>
      </c>
      <c r="M67" s="174">
        <f>SUM(M3:M66)</f>
        <v/>
      </c>
      <c r="N67" s="174">
        <f>SUM(N3:N66)</f>
        <v/>
      </c>
      <c r="O67" s="174">
        <f>SUM(O3:O66)</f>
        <v/>
      </c>
      <c r="P67" s="174">
        <f>SUM(P3:P66)</f>
        <v/>
      </c>
      <c r="Q67" s="174">
        <f>SUM(Q3:Q66)</f>
        <v/>
      </c>
      <c r="R67" s="174">
        <f>SUM(R3:R66)</f>
        <v/>
      </c>
      <c r="S67" s="174">
        <f>SUM(S3:S66)</f>
        <v/>
      </c>
      <c r="T67" s="174">
        <f>SUM(T3:T66)</f>
        <v/>
      </c>
      <c r="U67" s="174">
        <f>SUM(U3:U66)</f>
        <v/>
      </c>
      <c r="V67" s="174">
        <f>SUM(V3:V66)</f>
        <v/>
      </c>
      <c r="W67" s="174">
        <f>SUM(W3:W66)</f>
        <v/>
      </c>
      <c r="X67" s="174">
        <f>SUM(X3:X66)</f>
        <v/>
      </c>
      <c r="Y67" s="174">
        <f>SUM(Y3:Y66)</f>
        <v/>
      </c>
      <c r="Z67" s="174">
        <f>SUM(Z3:Z66)</f>
        <v/>
      </c>
      <c r="AA67" s="174">
        <f>SUM(AA3:AA66)</f>
        <v/>
      </c>
      <c r="AB67" s="174">
        <f>SUM(AB3:AB66)</f>
        <v/>
      </c>
      <c r="AC67" s="174">
        <f>SUM(AC3:AC66)</f>
        <v/>
      </c>
      <c r="AD67" s="174">
        <f>SUM(AD3:AD66)</f>
        <v/>
      </c>
      <c r="AE67" s="174">
        <f>SUM(AE3:AE66)</f>
        <v/>
      </c>
      <c r="AF67" s="174">
        <f>SUM(AF3:AF66)</f>
        <v/>
      </c>
      <c r="AG67" s="174">
        <f>SUM(AG3:AG66)</f>
        <v/>
      </c>
      <c r="AH67" s="174">
        <f>SUM(AH3:AH66)</f>
        <v/>
      </c>
      <c r="AI67" s="174">
        <f>SUM(AI3:AI66)</f>
        <v/>
      </c>
      <c r="AJ67" s="174">
        <f>SUM(AJ3:AJ66)</f>
        <v/>
      </c>
      <c r="AK67" s="174">
        <f>SUM(AK3:AK66)</f>
        <v/>
      </c>
      <c r="AL67" s="174">
        <f>SUM(AL3:AL66)</f>
        <v/>
      </c>
      <c r="AM67" s="174">
        <f>SUM(AM3:AM66)</f>
        <v/>
      </c>
      <c r="AN67" s="174">
        <f>SUM(AN3:AN66)</f>
        <v/>
      </c>
      <c r="AO67" s="174">
        <f>SUM(AO3:AO66)</f>
        <v/>
      </c>
      <c r="AP67" s="7">
        <f>SUM(AP3:AP66)</f>
        <v/>
      </c>
      <c r="AQ67" s="10">
        <f>SUM(AQ3:AQ66)</f>
        <v/>
      </c>
      <c r="AR67" s="10">
        <f>SUM(AR3:AR66)</f>
        <v/>
      </c>
      <c r="AS67" s="10">
        <f>SUM(AS3:AS66)</f>
        <v/>
      </c>
      <c r="AT67" s="7">
        <f>SUM(AT3:AT66)</f>
        <v/>
      </c>
      <c r="AU67" s="10">
        <f>SUM(AU3:AU66)</f>
        <v/>
      </c>
      <c r="AV67" s="10">
        <f>SUM(AV3:AV66)</f>
        <v/>
      </c>
      <c r="AW67" s="10">
        <f>SUM(AW3:AW66)</f>
        <v/>
      </c>
      <c r="AX67" s="7">
        <f>SUM(AX3:AX66)</f>
        <v/>
      </c>
      <c r="AY67" s="10">
        <f>SUM(AY3:AY66)</f>
        <v/>
      </c>
      <c r="AZ67" s="10">
        <f>SUM(AZ3:AZ66)</f>
        <v/>
      </c>
      <c r="BA67" s="10">
        <f>SUM(BA3:BA66)</f>
        <v/>
      </c>
      <c r="BB67" s="174">
        <f>SUM(BB3:BB66)</f>
        <v/>
      </c>
      <c r="BC67" s="174">
        <f>SUM(BC3:BC66)</f>
        <v/>
      </c>
      <c r="BD67" s="174">
        <f>SUM(BD3:BD66)</f>
        <v/>
      </c>
      <c r="BE67" s="174">
        <f>SUM(BE3:BE66)</f>
        <v/>
      </c>
      <c r="BF67" s="174">
        <f>E67+BE67</f>
        <v/>
      </c>
      <c r="BG67" s="147" t="n"/>
    </row>
  </sheetData>
  <autoFilter ref="A2:BF67"/>
  <mergeCells count="12">
    <mergeCell ref="AH1:AK1"/>
    <mergeCell ref="F1:I1"/>
    <mergeCell ref="R1:U1"/>
    <mergeCell ref="AL1:AO1"/>
    <mergeCell ref="N1:Q1"/>
    <mergeCell ref="AX1:BA1"/>
    <mergeCell ref="V1:Y1"/>
    <mergeCell ref="Z1:AC1"/>
    <mergeCell ref="AD1:AG1"/>
    <mergeCell ref="J1:M1"/>
    <mergeCell ref="AP1:AS1"/>
    <mergeCell ref="AT1:AW1"/>
  </mergeCells>
  <conditionalFormatting sqref="H2:I66 L2:M66 P2:Q66 T2:U66 X2:Y66 AB2:AC66 AF2:AG66 AJ2:AK66 AN2:AO66 AP2:AR2 AS2:AS66 AT2:AV2 AW2:AW66 AX2:AZ2 BA2:BA66">
    <cfRule type="cellIs" priority="1" operator="lessThan" dxfId="2">
      <formula>0</formula>
    </cfRule>
  </conditionalFormatting>
  <conditionalFormatting sqref="AF2:AG66 AJ2:AK66 AN2:AO66 AP2:AR2 AS2:AS66 AT2:AV2 AW2:AW66 AX2:AZ2 BA2:BA66 BD1:BG66">
    <cfRule type="cellIs" priority="2" operator="lessThan" dxfId="5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J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width="12.5" customWidth="1" style="251" min="1" max="1"/>
    <col hidden="1" width="22.33203125" customWidth="1" style="251" min="2" max="2"/>
    <col width="26.83203125" customWidth="1" style="251" min="3" max="3"/>
    <col hidden="1" width="23.5" customWidth="1" style="251" min="4" max="4"/>
    <col width="23.5" customWidth="1" style="251" min="5" max="19"/>
    <col width="29" customWidth="1" style="251" min="20" max="21"/>
    <col width="23.5" customWidth="1" style="251" min="22" max="56"/>
    <col width="30.5" customWidth="1" style="251" min="57" max="62"/>
  </cols>
  <sheetData>
    <row r="1" ht="39" customHeight="1" s="251">
      <c r="A1" s="155" t="n"/>
      <c r="B1" s="156" t="n"/>
      <c r="C1" s="156" t="inlineStr">
        <is>
          <t>Tallied till 19 Sep'23</t>
        </is>
      </c>
      <c r="D1" s="157" t="inlineStr">
        <is>
          <t>COLLECTION CARRY OVER 
(Mar2013-Mar2022)</t>
        </is>
      </c>
      <c r="E1" s="158" t="inlineStr">
        <is>
          <t>2013-25 Pending Maintenance</t>
        </is>
      </c>
      <c r="F1" s="285" t="n">
        <v>46113</v>
      </c>
      <c r="G1" s="267" t="n"/>
      <c r="H1" s="267" t="n"/>
      <c r="I1" s="268" t="n"/>
      <c r="J1" s="286" t="n">
        <v>46143</v>
      </c>
      <c r="K1" s="267" t="n"/>
      <c r="L1" s="267" t="n"/>
      <c r="M1" s="268" t="n"/>
      <c r="N1" s="287" t="n">
        <v>46174</v>
      </c>
      <c r="O1" s="267" t="n"/>
      <c r="P1" s="267" t="n"/>
      <c r="Q1" s="268" t="n"/>
      <c r="R1" s="288" t="n">
        <v>46204</v>
      </c>
      <c r="S1" s="267" t="n"/>
      <c r="T1" s="267" t="n"/>
      <c r="U1" s="268" t="n"/>
      <c r="V1" s="287" t="n">
        <v>46235</v>
      </c>
      <c r="W1" s="267" t="n"/>
      <c r="X1" s="267" t="n"/>
      <c r="Y1" s="268" t="n"/>
      <c r="Z1" s="288" t="n">
        <v>46266</v>
      </c>
      <c r="AA1" s="267" t="n"/>
      <c r="AB1" s="267" t="n"/>
      <c r="AC1" s="268" t="n"/>
      <c r="AD1" s="288" t="n">
        <v>46296</v>
      </c>
      <c r="AE1" s="267" t="n"/>
      <c r="AF1" s="267" t="n"/>
      <c r="AG1" s="268" t="n"/>
      <c r="AH1" s="288" t="n">
        <v>46327</v>
      </c>
      <c r="AI1" s="267" t="n"/>
      <c r="AJ1" s="267" t="n"/>
      <c r="AK1" s="268" t="n"/>
      <c r="AL1" s="288" t="n">
        <v>46357</v>
      </c>
      <c r="AM1" s="267" t="n"/>
      <c r="AN1" s="267" t="n"/>
      <c r="AO1" s="268" t="n"/>
      <c r="AP1" s="288" t="n">
        <v>46388</v>
      </c>
      <c r="AQ1" s="267" t="n"/>
      <c r="AR1" s="267" t="n"/>
      <c r="AS1" s="268" t="n"/>
      <c r="AT1" s="288" t="n">
        <v>46419</v>
      </c>
      <c r="AU1" s="267" t="n"/>
      <c r="AV1" s="267" t="n"/>
      <c r="AW1" s="268" t="n"/>
      <c r="AX1" s="288" t="n">
        <v>46447</v>
      </c>
      <c r="AY1" s="267" t="n"/>
      <c r="AZ1" s="267" t="n"/>
      <c r="BA1" s="268" t="n"/>
      <c r="BB1" s="159" t="inlineStr">
        <is>
          <t>TOTAL COLLECTION
(Apr2026 to Mar2027)</t>
        </is>
      </c>
      <c r="BC1" s="159" t="inlineStr">
        <is>
          <t>Total Collection
(May 2026 to March 2026)</t>
        </is>
      </c>
      <c r="BD1" s="159" t="inlineStr">
        <is>
          <t>TOTAL EXPENSE
(Apr2026 to Mar2027)</t>
        </is>
      </c>
      <c r="BE1" s="159" t="inlineStr">
        <is>
          <t>TOTAL LATE FEE
(Apr2026 to Mar2027)</t>
        </is>
      </c>
      <c r="BF1" s="159" t="inlineStr">
        <is>
          <t>TOTAL COLLECTION - EXPENSE
(Apr2026 to Mar2027)</t>
        </is>
      </c>
      <c r="BG1" s="159" t="inlineStr">
        <is>
          <t>FY 2026-27 Balance</t>
        </is>
      </c>
      <c r="BH1" s="159" t="inlineStr">
        <is>
          <t>Balance
(2013 till date)</t>
        </is>
      </c>
      <c r="BI1" s="160" t="n"/>
      <c r="BJ1" s="160" t="n"/>
    </row>
    <row r="2">
      <c r="A2" s="161" t="inlineStr">
        <is>
          <t>FLAT#</t>
        </is>
      </c>
      <c r="B2" s="161" t="inlineStr">
        <is>
          <t>email id</t>
        </is>
      </c>
      <c r="C2" s="161" t="inlineStr">
        <is>
          <t>OCCUPANT</t>
        </is>
      </c>
      <c r="D2" s="162" t="n"/>
      <c r="E2" s="163" t="n"/>
      <c r="F2" s="164" t="inlineStr">
        <is>
          <t>COLLECTION</t>
        </is>
      </c>
      <c r="G2" s="165" t="inlineStr">
        <is>
          <t>EXPENSE</t>
        </is>
      </c>
      <c r="H2" s="165" t="inlineStr">
        <is>
          <t>LATE PAYMENT FEE</t>
        </is>
      </c>
      <c r="I2" s="165" t="inlineStr">
        <is>
          <t>COLLECTION - EXPENSE</t>
        </is>
      </c>
      <c r="J2" s="166" t="inlineStr">
        <is>
          <t>COLLECTION</t>
        </is>
      </c>
      <c r="K2" s="166" t="inlineStr">
        <is>
          <t>EXPENSE</t>
        </is>
      </c>
      <c r="L2" s="166" t="inlineStr">
        <is>
          <t>LATE PAYMENT FEE</t>
        </is>
      </c>
      <c r="M2" s="166" t="inlineStr">
        <is>
          <t>COLLECTION - EXPENSE</t>
        </is>
      </c>
      <c r="N2" s="165" t="inlineStr">
        <is>
          <t>COLLECTION</t>
        </is>
      </c>
      <c r="O2" s="165" t="inlineStr">
        <is>
          <t>EXPENSE</t>
        </is>
      </c>
      <c r="P2" s="165" t="inlineStr">
        <is>
          <t>LATE PAYMENT FEE</t>
        </is>
      </c>
      <c r="Q2" s="165" t="inlineStr">
        <is>
          <t>COLLECTION - EXPENSE</t>
        </is>
      </c>
      <c r="R2" s="166" t="inlineStr">
        <is>
          <t>COLLECTION</t>
        </is>
      </c>
      <c r="S2" s="166" t="inlineStr">
        <is>
          <t>EXPENSE</t>
        </is>
      </c>
      <c r="T2" s="166" t="inlineStr">
        <is>
          <t>LATE PAYMENT FEE</t>
        </is>
      </c>
      <c r="U2" s="166" t="inlineStr">
        <is>
          <t>COLLECTION - EXPENSE</t>
        </is>
      </c>
      <c r="V2" s="165" t="inlineStr">
        <is>
          <t>COLLECTION</t>
        </is>
      </c>
      <c r="W2" s="165" t="inlineStr">
        <is>
          <t>EXPENSE</t>
        </is>
      </c>
      <c r="X2" s="165" t="inlineStr">
        <is>
          <t>LATE PAYMENT FEE</t>
        </is>
      </c>
      <c r="Y2" s="165" t="inlineStr">
        <is>
          <t>COLLECTION - EXPENSE</t>
        </is>
      </c>
      <c r="Z2" s="166" t="inlineStr">
        <is>
          <t>COLLECTION</t>
        </is>
      </c>
      <c r="AA2" s="166" t="inlineStr">
        <is>
          <t>EXPENSE</t>
        </is>
      </c>
      <c r="AB2" s="166" t="inlineStr">
        <is>
          <t>LATE PAYMENT FEE</t>
        </is>
      </c>
      <c r="AC2" s="166" t="inlineStr">
        <is>
          <t>COLLECTION - EXPENSE</t>
        </is>
      </c>
      <c r="AD2" s="166" t="inlineStr">
        <is>
          <t>COLLECTION</t>
        </is>
      </c>
      <c r="AE2" s="166" t="inlineStr">
        <is>
          <t>EXPENSE</t>
        </is>
      </c>
      <c r="AF2" s="166" t="inlineStr">
        <is>
          <t>LATE PAYMENT FEE</t>
        </is>
      </c>
      <c r="AG2" s="166" t="inlineStr">
        <is>
          <t>COLLECTION - EXPENSE</t>
        </is>
      </c>
      <c r="AH2" s="166" t="inlineStr">
        <is>
          <t>COLLECTION</t>
        </is>
      </c>
      <c r="AI2" s="166" t="inlineStr">
        <is>
          <t>EXPENSE</t>
        </is>
      </c>
      <c r="AJ2" s="166" t="inlineStr">
        <is>
          <t>LATE PAYMENT FEE</t>
        </is>
      </c>
      <c r="AK2" s="166" t="inlineStr">
        <is>
          <t>COLLECTION - EXPENSE</t>
        </is>
      </c>
      <c r="AL2" s="166" t="inlineStr">
        <is>
          <t>COLLECTION</t>
        </is>
      </c>
      <c r="AM2" s="166" t="inlineStr">
        <is>
          <t>EXPENSE</t>
        </is>
      </c>
      <c r="AN2" s="166" t="inlineStr">
        <is>
          <t>LATE PAYMENT FEE</t>
        </is>
      </c>
      <c r="AO2" s="166" t="inlineStr">
        <is>
          <t>COLLECTION - EXPENSE</t>
        </is>
      </c>
      <c r="AP2" s="166" t="inlineStr">
        <is>
          <t>COLLECTION</t>
        </is>
      </c>
      <c r="AQ2" s="166" t="inlineStr">
        <is>
          <t>EXPENSE</t>
        </is>
      </c>
      <c r="AR2" s="166" t="inlineStr">
        <is>
          <t>LATE PAYMENT FEE</t>
        </is>
      </c>
      <c r="AS2" s="166" t="inlineStr">
        <is>
          <t>COLLECTION - EXPENSE</t>
        </is>
      </c>
      <c r="AT2" s="166" t="inlineStr">
        <is>
          <t>COLLECTION</t>
        </is>
      </c>
      <c r="AU2" s="166" t="inlineStr">
        <is>
          <t>EXPENSE</t>
        </is>
      </c>
      <c r="AV2" s="166" t="inlineStr">
        <is>
          <t>LATE PAYMENT FEE</t>
        </is>
      </c>
      <c r="AW2" s="166" t="inlineStr">
        <is>
          <t>COLLECTION - EXPENSE</t>
        </is>
      </c>
      <c r="AX2" s="166" t="inlineStr">
        <is>
          <t>COLLECTION</t>
        </is>
      </c>
      <c r="AY2" s="166" t="inlineStr">
        <is>
          <t>EXPENSE</t>
        </is>
      </c>
      <c r="AZ2" s="166" t="inlineStr">
        <is>
          <t>LATE PAYMENT FEE</t>
        </is>
      </c>
      <c r="BA2" s="166" t="inlineStr">
        <is>
          <t>COLLECTION - EXPENSE</t>
        </is>
      </c>
      <c r="BB2" s="167" t="n"/>
      <c r="BC2" s="167" t="n"/>
      <c r="BD2" s="167" t="n"/>
      <c r="BE2" s="167" t="n"/>
      <c r="BF2" s="167" t="n"/>
      <c r="BG2" s="167" t="n"/>
      <c r="BH2" s="167" t="n"/>
      <c r="BI2" s="168" t="n"/>
      <c r="BJ2" s="168" t="n"/>
    </row>
    <row r="3" ht="32" customHeight="1" s="251">
      <c r="A3" s="169" t="inlineStr">
        <is>
          <t>F1</t>
        </is>
      </c>
      <c r="B3" s="13" t="n"/>
      <c r="C3" s="13" t="inlineStr">
        <is>
          <t>Shailesh Srivastava / Azeem Nawaz</t>
        </is>
      </c>
      <c r="D3" s="170" t="n">
        <v>0</v>
      </c>
      <c r="E3" s="136" t="n">
        <v>0</v>
      </c>
      <c r="F3" s="171">
        <f>'Apr2026-COLLECTION'!K2</f>
        <v/>
      </c>
      <c r="G3" s="172">
        <f>'Apr2026-EXPENSE'!R6</f>
        <v/>
      </c>
      <c r="H3" s="172" t="n"/>
      <c r="I3" s="172">
        <f>F3-(G3+H3)</f>
        <v/>
      </c>
      <c r="J3" s="173">
        <f>'May2026-COLLECTION'!K2</f>
        <v/>
      </c>
      <c r="K3" s="174">
        <f>'May2026-EXPENSE'!R6</f>
        <v/>
      </c>
      <c r="L3" s="174" t="n"/>
      <c r="M3" s="174">
        <f>J3-(K3+L3)</f>
        <v/>
      </c>
      <c r="N3" s="172">
        <f>'June2026-COLLECTION'!K2</f>
        <v/>
      </c>
      <c r="O3" s="172">
        <f>'June2026-EXPENSE'!R6</f>
        <v/>
      </c>
      <c r="P3" s="172" t="n"/>
      <c r="Q3" s="172">
        <f>N3-(O3+P3)</f>
        <v/>
      </c>
      <c r="R3" s="41">
        <f>'July2026-COLLECTION'!K2</f>
        <v/>
      </c>
      <c r="S3" s="174">
        <f>'July2026-EXPENSE'!R6</f>
        <v/>
      </c>
      <c r="T3" s="174" t="n"/>
      <c r="U3" s="174">
        <f>R3-(S3+T3)</f>
        <v/>
      </c>
      <c r="V3" s="167">
        <f>'Aug2026-COLLECTION'!K2</f>
        <v/>
      </c>
      <c r="W3" s="172">
        <f>'Aug2026-EXPENSE'!R6</f>
        <v/>
      </c>
      <c r="X3" s="172" t="n"/>
      <c r="Y3" s="172">
        <f>V3-(W3+X3)</f>
        <v/>
      </c>
      <c r="Z3" s="41">
        <f>'Sep2026-COLLECTION'!K2</f>
        <v/>
      </c>
      <c r="AA3" s="174">
        <f>'Sep2026-EXPENSE'!R6</f>
        <v/>
      </c>
      <c r="AB3" s="174" t="n"/>
      <c r="AC3" s="174">
        <f>Z3-(AA3+AB3)</f>
        <v/>
      </c>
      <c r="AD3" s="41">
        <f>'Oct2026-COLLECTION'!K2</f>
        <v/>
      </c>
      <c r="AE3" s="174">
        <f>'Oct2026-EXPENSE'!R6</f>
        <v/>
      </c>
      <c r="AF3" s="174" t="n"/>
      <c r="AG3" s="174">
        <f>AD3-(AE3+AF3)</f>
        <v/>
      </c>
      <c r="AH3" s="41">
        <f>'Nov2026-COLLECTION'!K2</f>
        <v/>
      </c>
      <c r="AI3" s="174">
        <f>'Nov2026-EXPENSE'!R6</f>
        <v/>
      </c>
      <c r="AJ3" s="174" t="n"/>
      <c r="AK3" s="174">
        <f>AH3-(AI3+AJ3)</f>
        <v/>
      </c>
      <c r="AL3" s="41">
        <f>'Dec2026-COLLECTION'!K2</f>
        <v/>
      </c>
      <c r="AM3" s="174">
        <f>'Dec2026-EXPENSE'!R6</f>
        <v/>
      </c>
      <c r="AN3" s="174" t="n"/>
      <c r="AO3" s="174">
        <f>AL3-(AM3+AN3)</f>
        <v/>
      </c>
      <c r="AP3" s="7">
        <f>'Jan2027-COLLECTION'!K2</f>
        <v/>
      </c>
      <c r="AQ3" s="10">
        <f>'Jan2027-EXPENSE'!R6</f>
        <v/>
      </c>
      <c r="AR3" s="10" t="n"/>
      <c r="AS3" s="174">
        <f>AP3-(AQ3+AR3)</f>
        <v/>
      </c>
      <c r="AT3" s="7">
        <f>'Feb2027-COLLECTION'!K2</f>
        <v/>
      </c>
      <c r="AU3" s="10">
        <f>'Feb2027-EXPENSE'!R6</f>
        <v/>
      </c>
      <c r="AV3" s="10" t="n"/>
      <c r="AW3" s="174">
        <f>AT3-(AU3+AV3)</f>
        <v/>
      </c>
      <c r="AX3" s="7">
        <f>'Mar2027-COLLECTION'!K2</f>
        <v/>
      </c>
      <c r="AY3" s="10">
        <f>'Mar2027-EXPENSE'!R6</f>
        <v/>
      </c>
      <c r="AZ3" s="10" t="n"/>
      <c r="BA3" s="174">
        <f>AX3-(AY3+AZ3)</f>
        <v/>
      </c>
      <c r="BB3" s="172">
        <f>SUM(F3,J3,N3,R3,V3,Z3,AD3,AH3,AL3,AP3,AT3,AX3)</f>
        <v/>
      </c>
      <c r="BC3" s="172">
        <f>SUM(J3,N3,R3,V3,Z3,AD3,AH3,AL3,AP3,AT3,AX3)</f>
        <v/>
      </c>
      <c r="BD3" s="172">
        <f>SUM(G3,K3,O3,S3,W3,AA3,AE3,AI3,AM3,AQ3,AU3,AY3)</f>
        <v/>
      </c>
      <c r="BE3" s="172" t="n">
        <v>0</v>
      </c>
      <c r="BF3" s="172">
        <f>BB3-(BD3+BE3)</f>
        <v/>
      </c>
      <c r="BG3" s="172">
        <f>BC3-(BD3+BE3)</f>
        <v/>
      </c>
      <c r="BH3" s="172">
        <f>E3+BF3</f>
        <v/>
      </c>
      <c r="BI3" s="175">
        <f>E3+F3+IF(BG3&gt;=0,BG3,0)</f>
        <v/>
      </c>
      <c r="BJ3" s="175" t="n">
        <v>0</v>
      </c>
    </row>
    <row r="4" ht="16" customHeight="1" s="251">
      <c r="A4" s="169" t="inlineStr">
        <is>
          <t>F2</t>
        </is>
      </c>
      <c r="B4" s="13" t="inlineStr">
        <is>
          <t>ramazen1@gmail.com</t>
        </is>
      </c>
      <c r="C4" s="13" t="inlineStr">
        <is>
          <t>Ramamurthy Pachaiyappan</t>
        </is>
      </c>
      <c r="D4" s="170" t="n">
        <v>0</v>
      </c>
      <c r="E4" s="176" t="n">
        <v>0</v>
      </c>
      <c r="F4" s="171">
        <f>'Apr2026-COLLECTION'!K3</f>
        <v/>
      </c>
      <c r="G4" s="172">
        <f>'Apr2026-EXPENSE'!R7</f>
        <v/>
      </c>
      <c r="H4" s="172" t="n"/>
      <c r="I4" s="172">
        <f>F4-(G4+H4)</f>
        <v/>
      </c>
      <c r="J4" s="173">
        <f>'May2026-COLLECTION'!K3</f>
        <v/>
      </c>
      <c r="K4" s="174">
        <f>'May2026-EXPENSE'!R7</f>
        <v/>
      </c>
      <c r="L4" s="174" t="n">
        <v>0</v>
      </c>
      <c r="M4" s="174">
        <f>J4-(K4+L4)</f>
        <v/>
      </c>
      <c r="N4" s="172">
        <f>'June2026-COLLECTION'!K3</f>
        <v/>
      </c>
      <c r="O4" s="172">
        <f>'June2026-EXPENSE'!R7</f>
        <v/>
      </c>
      <c r="P4" s="172" t="n"/>
      <c r="Q4" s="172">
        <f>N4-(O4+P4)</f>
        <v/>
      </c>
      <c r="R4" s="41">
        <f>'July2026-COLLECTION'!K3</f>
        <v/>
      </c>
      <c r="S4" s="174">
        <f>'July2026-EXPENSE'!R7</f>
        <v/>
      </c>
      <c r="T4" s="174" t="n">
        <v>0</v>
      </c>
      <c r="U4" s="174">
        <f>R4-(S4+T4)</f>
        <v/>
      </c>
      <c r="V4" s="167">
        <f>'Aug2026-COLLECTION'!K3</f>
        <v/>
      </c>
      <c r="W4" s="172">
        <f>'Aug2026-EXPENSE'!R7</f>
        <v/>
      </c>
      <c r="X4" s="172" t="n"/>
      <c r="Y4" s="172">
        <f>V4-(W4+X4)</f>
        <v/>
      </c>
      <c r="Z4" s="41">
        <f>'Sep2026-COLLECTION'!K3</f>
        <v/>
      </c>
      <c r="AA4" s="174">
        <f>'Sep2026-EXPENSE'!R7</f>
        <v/>
      </c>
      <c r="AB4" s="174" t="n"/>
      <c r="AC4" s="174">
        <f>Z4-(AA4+AB4)</f>
        <v/>
      </c>
      <c r="AD4" s="41">
        <f>'Oct2026-COLLECTION'!K3</f>
        <v/>
      </c>
      <c r="AE4" s="174">
        <f>'Oct2026-EXPENSE'!R7</f>
        <v/>
      </c>
      <c r="AF4" s="174" t="n"/>
      <c r="AG4" s="174">
        <f>AD4-(AE4+AF4)</f>
        <v/>
      </c>
      <c r="AH4" s="41">
        <f>'Nov2026-COLLECTION'!K3</f>
        <v/>
      </c>
      <c r="AI4" s="174">
        <f>'Nov2026-EXPENSE'!R7</f>
        <v/>
      </c>
      <c r="AJ4" s="174" t="n"/>
      <c r="AK4" s="174">
        <f>AH4-(AI4+AJ4)</f>
        <v/>
      </c>
      <c r="AL4" s="41">
        <f>'Dec2026-COLLECTION'!K3</f>
        <v/>
      </c>
      <c r="AM4" s="174">
        <f>'Dec2026-EXPENSE'!R7</f>
        <v/>
      </c>
      <c r="AN4" s="174" t="n"/>
      <c r="AO4" s="174">
        <f>AL4-(AM4+AN4)</f>
        <v/>
      </c>
      <c r="AP4" s="7">
        <f>'Jan2027-COLLECTION'!K3</f>
        <v/>
      </c>
      <c r="AQ4" s="10">
        <f>'Jan2027-EXPENSE'!R7</f>
        <v/>
      </c>
      <c r="AR4" s="10" t="n"/>
      <c r="AS4" s="174">
        <f>AP4-(AQ4+AR4)</f>
        <v/>
      </c>
      <c r="AT4" s="7">
        <f>'Feb2027-COLLECTION'!K3</f>
        <v/>
      </c>
      <c r="AU4" s="10">
        <f>'Feb2027-EXPENSE'!R7</f>
        <v/>
      </c>
      <c r="AV4" s="10" t="n"/>
      <c r="AW4" s="174">
        <f>AT4-(AU4+AV4)</f>
        <v/>
      </c>
      <c r="AX4" s="7">
        <f>'Mar2027-COLLECTION'!K3</f>
        <v/>
      </c>
      <c r="AY4" s="10">
        <f>'Mar2027-EXPENSE'!R7</f>
        <v/>
      </c>
      <c r="AZ4" s="10" t="n"/>
      <c r="BA4" s="174">
        <f>AX4-(AY4+AZ4)</f>
        <v/>
      </c>
      <c r="BB4" s="172">
        <f>SUM(F4,J4,N4,R4,V4,Z4,AD4,AH4,AL4,AP4,AT4,AX4)</f>
        <v/>
      </c>
      <c r="BC4" s="172">
        <f>SUM(J4,N4,R4,V4,Z4,AD4,AH4,AL4,AP4,AT4,AX4)</f>
        <v/>
      </c>
      <c r="BD4" s="172">
        <f>SUM(G4,K4,O4,S4,W4,AA4,AE4,AI4,AM4,AQ4,AU4,AY4)</f>
        <v/>
      </c>
      <c r="BE4" s="172" t="n">
        <v>0</v>
      </c>
      <c r="BF4" s="172">
        <f>BB4-(BD4+BE4)</f>
        <v/>
      </c>
      <c r="BG4" s="172">
        <f>BC4-(BD4+BE4)</f>
        <v/>
      </c>
      <c r="BH4" s="172">
        <f>E4+BF4</f>
        <v/>
      </c>
      <c r="BI4" s="175">
        <f>E4+F4+IF(BG4&gt;=0,BG4,0)</f>
        <v/>
      </c>
      <c r="BJ4" s="175" t="n">
        <v>0</v>
      </c>
    </row>
    <row r="5" ht="16" customHeight="1" s="251">
      <c r="A5" s="169" t="inlineStr">
        <is>
          <t>F3</t>
        </is>
      </c>
      <c r="B5" s="13" t="n"/>
      <c r="C5" s="13" t="inlineStr">
        <is>
          <t>Samrat Kar</t>
        </is>
      </c>
      <c r="D5" s="170" t="n">
        <v>0</v>
      </c>
      <c r="E5" s="176" t="n">
        <v>0</v>
      </c>
      <c r="F5" s="171">
        <f>'Apr2026-COLLECTION'!K4</f>
        <v/>
      </c>
      <c r="G5" s="172">
        <f>'Apr2026-EXPENSE'!R8</f>
        <v/>
      </c>
      <c r="H5" s="172" t="n"/>
      <c r="I5" s="172">
        <f>F5-(G5+H5)</f>
        <v/>
      </c>
      <c r="J5" s="173">
        <f>'May2026-COLLECTION'!K4</f>
        <v/>
      </c>
      <c r="K5" s="174">
        <f>'May2026-EXPENSE'!R8</f>
        <v/>
      </c>
      <c r="L5" s="174" t="n"/>
      <c r="M5" s="174">
        <f>J5-(K5+L5)</f>
        <v/>
      </c>
      <c r="N5" s="172">
        <f>'June2026-COLLECTION'!K4</f>
        <v/>
      </c>
      <c r="O5" s="172">
        <f>'June2026-EXPENSE'!R8</f>
        <v/>
      </c>
      <c r="P5" s="172" t="n"/>
      <c r="Q5" s="172">
        <f>N5-(O5+P5)</f>
        <v/>
      </c>
      <c r="R5" s="41">
        <f>'July2026-COLLECTION'!K4</f>
        <v/>
      </c>
      <c r="S5" s="174">
        <f>'July2026-EXPENSE'!R8</f>
        <v/>
      </c>
      <c r="T5" s="174" t="n"/>
      <c r="U5" s="174">
        <f>R5-(S5+T5)</f>
        <v/>
      </c>
      <c r="V5" s="167">
        <f>'Aug2026-COLLECTION'!K4</f>
        <v/>
      </c>
      <c r="W5" s="172">
        <f>'Aug2026-EXPENSE'!R8</f>
        <v/>
      </c>
      <c r="X5" s="172" t="n"/>
      <c r="Y5" s="172">
        <f>V5-(W5+X5)</f>
        <v/>
      </c>
      <c r="Z5" s="41">
        <f>'Sep2026-COLLECTION'!K4</f>
        <v/>
      </c>
      <c r="AA5" s="174">
        <f>'Sep2026-EXPENSE'!R8</f>
        <v/>
      </c>
      <c r="AB5" s="174" t="n"/>
      <c r="AC5" s="174">
        <f>Z5-(AA5+AB5)</f>
        <v/>
      </c>
      <c r="AD5" s="41">
        <f>'Oct2026-COLLECTION'!K4</f>
        <v/>
      </c>
      <c r="AE5" s="174">
        <f>'Oct2026-EXPENSE'!R8</f>
        <v/>
      </c>
      <c r="AF5" s="174" t="n"/>
      <c r="AG5" s="174">
        <f>AD5-(AE5+AF5)</f>
        <v/>
      </c>
      <c r="AH5" s="41">
        <f>'Nov2026-COLLECTION'!K4</f>
        <v/>
      </c>
      <c r="AI5" s="174">
        <f>'Nov2026-EXPENSE'!R8</f>
        <v/>
      </c>
      <c r="AJ5" s="174" t="n"/>
      <c r="AK5" s="174">
        <f>AH5-(AI5+AJ5)</f>
        <v/>
      </c>
      <c r="AL5" s="41">
        <f>'Dec2026-COLLECTION'!K4</f>
        <v/>
      </c>
      <c r="AM5" s="174">
        <f>'Dec2026-EXPENSE'!R8</f>
        <v/>
      </c>
      <c r="AN5" s="174" t="n"/>
      <c r="AO5" s="174">
        <f>AL5-(AM5+AN5)</f>
        <v/>
      </c>
      <c r="AP5" s="7">
        <f>'Jan2027-COLLECTION'!K4</f>
        <v/>
      </c>
      <c r="AQ5" s="10">
        <f>'Jan2027-EXPENSE'!R8</f>
        <v/>
      </c>
      <c r="AR5" s="10" t="n"/>
      <c r="AS5" s="174">
        <f>AP5-(AQ5+AR5)</f>
        <v/>
      </c>
      <c r="AT5" s="7">
        <f>'Feb2027-COLLECTION'!K4</f>
        <v/>
      </c>
      <c r="AU5" s="10">
        <f>'Feb2027-EXPENSE'!R8</f>
        <v/>
      </c>
      <c r="AV5" s="10" t="n"/>
      <c r="AW5" s="174">
        <f>AT5-(AU5+AV5)</f>
        <v/>
      </c>
      <c r="AX5" s="7">
        <f>'Mar2027-COLLECTION'!K4</f>
        <v/>
      </c>
      <c r="AY5" s="10">
        <f>'Mar2027-EXPENSE'!R8</f>
        <v/>
      </c>
      <c r="AZ5" s="10" t="n"/>
      <c r="BA5" s="174">
        <f>AX5-(AY5+AZ5)</f>
        <v/>
      </c>
      <c r="BB5" s="172">
        <f>SUM(F5,J5,N5,R5,V5,Z5,AD5,AH5,AL5,AP5,AT5,AX5)</f>
        <v/>
      </c>
      <c r="BC5" s="172">
        <f>SUM(J5,N5,R5,V5,Z5,AD5,AH5,AL5,AP5,AT5,AX5)</f>
        <v/>
      </c>
      <c r="BD5" s="172">
        <f>SUM(G5,K5,O5,S5,W5,AA5,AE5,AI5,AM5,AQ5,AU5,AY5)</f>
        <v/>
      </c>
      <c r="BE5" s="172" t="n">
        <v>0</v>
      </c>
      <c r="BF5" s="172">
        <f>BB5-(BD5+BE5)</f>
        <v/>
      </c>
      <c r="BG5" s="172">
        <f>BC5-(BD5+BE5)</f>
        <v/>
      </c>
      <c r="BH5" s="172">
        <f>E5+BF5</f>
        <v/>
      </c>
      <c r="BI5" s="175">
        <f>E5+F5+IF(BG5&gt;=0,BG5,0)</f>
        <v/>
      </c>
      <c r="BJ5" s="175" t="n">
        <v>0</v>
      </c>
    </row>
    <row r="6" ht="16" customHeight="1" s="251">
      <c r="A6" s="169" t="inlineStr">
        <is>
          <t>F4</t>
        </is>
      </c>
      <c r="B6" s="13" t="n"/>
      <c r="C6" s="13" t="inlineStr">
        <is>
          <t>Renu R</t>
        </is>
      </c>
      <c r="D6" s="170" t="n">
        <v>0</v>
      </c>
      <c r="E6" s="176" t="n">
        <v>0</v>
      </c>
      <c r="F6" s="171">
        <f>'Apr2026-COLLECTION'!K5</f>
        <v/>
      </c>
      <c r="G6" s="172">
        <f>'Apr2026-EXPENSE'!R9</f>
        <v/>
      </c>
      <c r="H6" s="172" t="n"/>
      <c r="I6" s="172">
        <f>F6-(G6+H6)</f>
        <v/>
      </c>
      <c r="J6" s="173">
        <f>'May2026-COLLECTION'!K5</f>
        <v/>
      </c>
      <c r="K6" s="174">
        <f>'May2026-EXPENSE'!R9</f>
        <v/>
      </c>
      <c r="L6" s="174" t="n"/>
      <c r="M6" s="174">
        <f>J6-(K6+L6)</f>
        <v/>
      </c>
      <c r="N6" s="172">
        <f>'June2026-COLLECTION'!K5</f>
        <v/>
      </c>
      <c r="O6" s="172">
        <f>'June2026-EXPENSE'!R9</f>
        <v/>
      </c>
      <c r="P6" s="172" t="n"/>
      <c r="Q6" s="172">
        <f>N6-(O6+P6)</f>
        <v/>
      </c>
      <c r="R6" s="41">
        <f>'July2026-COLLECTION'!K5</f>
        <v/>
      </c>
      <c r="S6" s="174">
        <f>'July2026-EXPENSE'!R9</f>
        <v/>
      </c>
      <c r="T6" s="174" t="n"/>
      <c r="U6" s="174">
        <f>R6-(S6+T6)</f>
        <v/>
      </c>
      <c r="V6" s="167">
        <f>'Aug2026-COLLECTION'!K5</f>
        <v/>
      </c>
      <c r="W6" s="172">
        <f>'Aug2026-EXPENSE'!R9</f>
        <v/>
      </c>
      <c r="X6" s="172" t="n"/>
      <c r="Y6" s="172">
        <f>V6-(W6+X6)</f>
        <v/>
      </c>
      <c r="Z6" s="41">
        <f>'Sep2026-COLLECTION'!K5</f>
        <v/>
      </c>
      <c r="AA6" s="174">
        <f>'Sep2026-EXPENSE'!R9</f>
        <v/>
      </c>
      <c r="AB6" s="174" t="n"/>
      <c r="AC6" s="174">
        <f>Z6-(AA6+AB6)</f>
        <v/>
      </c>
      <c r="AD6" s="41">
        <f>'Oct2026-COLLECTION'!K5</f>
        <v/>
      </c>
      <c r="AE6" s="174">
        <f>'Oct2026-EXPENSE'!R9</f>
        <v/>
      </c>
      <c r="AF6" s="174" t="n"/>
      <c r="AG6" s="174">
        <f>AD6-(AE6+AF6)</f>
        <v/>
      </c>
      <c r="AH6" s="41">
        <f>'Nov2026-COLLECTION'!K5</f>
        <v/>
      </c>
      <c r="AI6" s="174">
        <f>'Nov2026-EXPENSE'!R9</f>
        <v/>
      </c>
      <c r="AJ6" s="174" t="n"/>
      <c r="AK6" s="174">
        <f>AH6-(AI6+AJ6)</f>
        <v/>
      </c>
      <c r="AL6" s="41">
        <f>'Dec2026-COLLECTION'!K5</f>
        <v/>
      </c>
      <c r="AM6" s="174">
        <f>'Dec2026-EXPENSE'!R9</f>
        <v/>
      </c>
      <c r="AN6" s="174" t="n"/>
      <c r="AO6" s="174">
        <f>AL6-(AM6+AN6)</f>
        <v/>
      </c>
      <c r="AP6" s="7">
        <f>'Jan2027-COLLECTION'!K5</f>
        <v/>
      </c>
      <c r="AQ6" s="10">
        <f>'Jan2027-EXPENSE'!R9</f>
        <v/>
      </c>
      <c r="AR6" s="10" t="n"/>
      <c r="AS6" s="174">
        <f>AP6-(AQ6+AR6)</f>
        <v/>
      </c>
      <c r="AT6" s="7">
        <f>'Feb2027-COLLECTION'!K5</f>
        <v/>
      </c>
      <c r="AU6" s="10">
        <f>'Feb2027-EXPENSE'!R9</f>
        <v/>
      </c>
      <c r="AV6" s="10" t="n"/>
      <c r="AW6" s="174">
        <f>AT6-(AU6+AV6)</f>
        <v/>
      </c>
      <c r="AX6" s="7">
        <f>'Mar2027-COLLECTION'!K5</f>
        <v/>
      </c>
      <c r="AY6" s="10">
        <f>'Mar2027-EXPENSE'!R9</f>
        <v/>
      </c>
      <c r="AZ6" s="10" t="n"/>
      <c r="BA6" s="174">
        <f>AX6-(AY6+AZ6)</f>
        <v/>
      </c>
      <c r="BB6" s="172">
        <f>SUM(F6,J6,N6,R6,V6,Z6,AD6,AH6,AL6,AP6,AT6,AX6)</f>
        <v/>
      </c>
      <c r="BC6" s="172">
        <f>SUM(J6,N6,R6,V6,Z6,AD6,AH6,AL6,AP6,AT6,AX6)</f>
        <v/>
      </c>
      <c r="BD6" s="172">
        <f>SUM(G6,K6,O6,S6,W6,AA6,AE6,AI6,AM6,AQ6,AU6,AY6)</f>
        <v/>
      </c>
      <c r="BE6" s="172" t="n">
        <v>0</v>
      </c>
      <c r="BF6" s="172">
        <f>BB6-(BD6+BE6)</f>
        <v/>
      </c>
      <c r="BG6" s="172">
        <f>BC6-(BD6+BE6)</f>
        <v/>
      </c>
      <c r="BH6" s="172">
        <f>E6+BF6</f>
        <v/>
      </c>
      <c r="BI6" s="175">
        <f>E6+F6+IF(BG6&gt;=0,BG6,0)</f>
        <v/>
      </c>
      <c r="BJ6" s="175" t="n">
        <v>0</v>
      </c>
    </row>
    <row r="7" ht="32" customHeight="1" s="251">
      <c r="A7" s="169" t="inlineStr">
        <is>
          <t>F5</t>
        </is>
      </c>
      <c r="B7" s="13" t="n"/>
      <c r="C7" s="13" t="inlineStr">
        <is>
          <t>Vamsidhar Bethanabatla / Madhuri Anumula</t>
        </is>
      </c>
      <c r="D7" s="170" t="n">
        <v>0</v>
      </c>
      <c r="E7" s="176">
        <f>-1876.43+(-7566)</f>
        <v/>
      </c>
      <c r="F7" s="171">
        <f>'Apr2026-COLLECTION'!K6</f>
        <v/>
      </c>
      <c r="G7" s="172">
        <f>'Apr2026-EXPENSE'!R10</f>
        <v/>
      </c>
      <c r="H7" s="172" t="n"/>
      <c r="I7" s="172">
        <f>F7-(G7+H7)</f>
        <v/>
      </c>
      <c r="J7" s="173">
        <f>'May2026-COLLECTION'!K6</f>
        <v/>
      </c>
      <c r="K7" s="174">
        <f>'May2026-EXPENSE'!R10</f>
        <v/>
      </c>
      <c r="L7" s="174" t="n"/>
      <c r="M7" s="174">
        <f>J7-(K7+L7)</f>
        <v/>
      </c>
      <c r="N7" s="172">
        <f>'June2026-COLLECTION'!K6</f>
        <v/>
      </c>
      <c r="O7" s="172">
        <f>'June2026-EXPENSE'!R10</f>
        <v/>
      </c>
      <c r="P7" s="172" t="n"/>
      <c r="Q7" s="172">
        <f>N7-(O7+P7)</f>
        <v/>
      </c>
      <c r="R7" s="41">
        <f>'July2026-COLLECTION'!K6</f>
        <v/>
      </c>
      <c r="S7" s="174">
        <f>'July2026-EXPENSE'!R10</f>
        <v/>
      </c>
      <c r="T7" s="174" t="n"/>
      <c r="U7" s="174">
        <f>R7-(S7+T7)</f>
        <v/>
      </c>
      <c r="V7" s="167">
        <f>'Aug2026-COLLECTION'!K6</f>
        <v/>
      </c>
      <c r="W7" s="172">
        <f>'Aug2026-EXPENSE'!R10</f>
        <v/>
      </c>
      <c r="X7" s="172" t="n"/>
      <c r="Y7" s="172">
        <f>V7-(W7+X7)</f>
        <v/>
      </c>
      <c r="Z7" s="41">
        <f>'Sep2026-COLLECTION'!K6</f>
        <v/>
      </c>
      <c r="AA7" s="174">
        <f>'Sep2026-EXPENSE'!R10</f>
        <v/>
      </c>
      <c r="AB7" s="174" t="n"/>
      <c r="AC7" s="174">
        <f>Z7-(AA7+AB7)</f>
        <v/>
      </c>
      <c r="AD7" s="41">
        <f>'Oct2026-COLLECTION'!K6</f>
        <v/>
      </c>
      <c r="AE7" s="174">
        <f>'Oct2026-EXPENSE'!R10</f>
        <v/>
      </c>
      <c r="AF7" s="174" t="n"/>
      <c r="AG7" s="174">
        <f>AD7-(AE7+AF7)</f>
        <v/>
      </c>
      <c r="AH7" s="41">
        <f>'Nov2026-COLLECTION'!K6</f>
        <v/>
      </c>
      <c r="AI7" s="174">
        <f>'Nov2026-EXPENSE'!R10</f>
        <v/>
      </c>
      <c r="AJ7" s="174" t="n"/>
      <c r="AK7" s="174">
        <f>AH7-(AI7+AJ7)</f>
        <v/>
      </c>
      <c r="AL7" s="41">
        <f>'Dec2026-COLLECTION'!K6</f>
        <v/>
      </c>
      <c r="AM7" s="174">
        <f>'Dec2026-EXPENSE'!R10</f>
        <v/>
      </c>
      <c r="AN7" s="174" t="n"/>
      <c r="AO7" s="174">
        <f>AL7-(AM7+AN7)</f>
        <v/>
      </c>
      <c r="AP7" s="7">
        <f>'Jan2027-COLLECTION'!K6</f>
        <v/>
      </c>
      <c r="AQ7" s="10">
        <f>'Jan2027-EXPENSE'!R10</f>
        <v/>
      </c>
      <c r="AR7" s="10" t="n"/>
      <c r="AS7" s="174">
        <f>AP7-(AQ7+AR7)</f>
        <v/>
      </c>
      <c r="AT7" s="7">
        <f>'Feb2027-COLLECTION'!K6</f>
        <v/>
      </c>
      <c r="AU7" s="10">
        <f>'Feb2027-EXPENSE'!R10</f>
        <v/>
      </c>
      <c r="AV7" s="10" t="n"/>
      <c r="AW7" s="174">
        <f>AT7-(AU7+AV7)</f>
        <v/>
      </c>
      <c r="AX7" s="7">
        <f>'Mar2027-COLLECTION'!K6</f>
        <v/>
      </c>
      <c r="AY7" s="10">
        <f>'Mar2027-EXPENSE'!R10</f>
        <v/>
      </c>
      <c r="AZ7" s="10" t="n"/>
      <c r="BA7" s="174">
        <f>AX7-(AY7+AZ7)</f>
        <v/>
      </c>
      <c r="BB7" s="172">
        <f>SUM(F7,J7,N7,R7,V7,Z7,AD7,AH7,AL7,AP7,AT7,AX7)</f>
        <v/>
      </c>
      <c r="BC7" s="172">
        <f>SUM(J7,N7,R7,V7,Z7,AD7,AH7,AL7,AP7,AT7,AX7)</f>
        <v/>
      </c>
      <c r="BD7" s="172">
        <f>SUM(G7,K7,O7,S7,W7,AA7,AE7,AI7,AM7,AQ7,AU7,AY7)</f>
        <v/>
      </c>
      <c r="BE7" s="172" t="n">
        <v>0</v>
      </c>
      <c r="BF7" s="172">
        <f>BB7-(BD7+BE7)</f>
        <v/>
      </c>
      <c r="BG7" s="172">
        <f>BC7-(BD7+BE7)</f>
        <v/>
      </c>
      <c r="BH7" s="172">
        <f>E7+BF7</f>
        <v/>
      </c>
      <c r="BI7" s="175">
        <f>E7+F7+IF(BG7&gt;=0,BG7,0)</f>
        <v/>
      </c>
      <c r="BJ7" s="175" t="n">
        <v>0</v>
      </c>
    </row>
    <row r="8" ht="48" customHeight="1" s="251">
      <c r="A8" s="169" t="inlineStr">
        <is>
          <t>F6</t>
        </is>
      </c>
      <c r="B8" s="13" t="n"/>
      <c r="C8" s="13" t="inlineStr">
        <is>
          <t>Meghana Viral Shah and Vviral Shah (Owner) / Sangeet and Swagat (Tenent)</t>
        </is>
      </c>
      <c r="D8" s="170" t="n">
        <v>0</v>
      </c>
      <c r="E8" s="176" t="n">
        <v>0</v>
      </c>
      <c r="F8" s="171">
        <f>'Apr2026-COLLECTION'!K7</f>
        <v/>
      </c>
      <c r="G8" s="172">
        <f>'Apr2026-EXPENSE'!R11</f>
        <v/>
      </c>
      <c r="H8" s="172" t="n"/>
      <c r="I8" s="172">
        <f>F8-(G8+H8)</f>
        <v/>
      </c>
      <c r="J8" s="173">
        <f>'May2026-COLLECTION'!K7</f>
        <v/>
      </c>
      <c r="K8" s="174">
        <f>'May2026-EXPENSE'!R11</f>
        <v/>
      </c>
      <c r="L8" s="174" t="n"/>
      <c r="M8" s="174">
        <f>J8-(K8+L8)</f>
        <v/>
      </c>
      <c r="N8" s="172">
        <f>'June2026-COLLECTION'!K7</f>
        <v/>
      </c>
      <c r="O8" s="172">
        <f>'June2026-EXPENSE'!R11</f>
        <v/>
      </c>
      <c r="P8" s="172" t="n"/>
      <c r="Q8" s="172">
        <f>N8-(O8+P8)</f>
        <v/>
      </c>
      <c r="R8" s="41">
        <f>'July2026-COLLECTION'!K7</f>
        <v/>
      </c>
      <c r="S8" s="174">
        <f>'July2026-EXPENSE'!R11</f>
        <v/>
      </c>
      <c r="T8" s="174" t="n"/>
      <c r="U8" s="174">
        <f>R8-(S8+T8)</f>
        <v/>
      </c>
      <c r="V8" s="167">
        <f>'Aug2026-COLLECTION'!K7</f>
        <v/>
      </c>
      <c r="W8" s="172">
        <f>'Aug2026-EXPENSE'!R11</f>
        <v/>
      </c>
      <c r="X8" s="172" t="n"/>
      <c r="Y8" s="172">
        <f>V8-(W8+X8)</f>
        <v/>
      </c>
      <c r="Z8" s="41">
        <f>'Sep2026-COLLECTION'!K7</f>
        <v/>
      </c>
      <c r="AA8" s="174">
        <f>'Sep2026-EXPENSE'!R11</f>
        <v/>
      </c>
      <c r="AB8" s="174" t="n"/>
      <c r="AC8" s="174">
        <f>Z8-(AA8+AB8)</f>
        <v/>
      </c>
      <c r="AD8" s="41">
        <f>'Oct2026-COLLECTION'!K7</f>
        <v/>
      </c>
      <c r="AE8" s="174">
        <f>'Oct2026-EXPENSE'!R11</f>
        <v/>
      </c>
      <c r="AF8" s="174" t="n"/>
      <c r="AG8" s="174">
        <f>AD8-(AE8+AF8)</f>
        <v/>
      </c>
      <c r="AH8" s="41">
        <f>'Nov2026-COLLECTION'!K7</f>
        <v/>
      </c>
      <c r="AI8" s="174">
        <f>'Nov2026-EXPENSE'!R11</f>
        <v/>
      </c>
      <c r="AJ8" s="174" t="n"/>
      <c r="AK8" s="174">
        <f>AH8-(AI8+AJ8)</f>
        <v/>
      </c>
      <c r="AL8" s="41">
        <f>'Dec2026-COLLECTION'!K7</f>
        <v/>
      </c>
      <c r="AM8" s="174">
        <f>'Dec2026-EXPENSE'!R11</f>
        <v/>
      </c>
      <c r="AN8" s="174" t="n"/>
      <c r="AO8" s="174">
        <f>AL8-(AM8+AN8)</f>
        <v/>
      </c>
      <c r="AP8" s="7">
        <f>'Jan2027-COLLECTION'!K7</f>
        <v/>
      </c>
      <c r="AQ8" s="10">
        <f>'Jan2027-EXPENSE'!R11</f>
        <v/>
      </c>
      <c r="AR8" s="10" t="n"/>
      <c r="AS8" s="174">
        <f>AP8-(AQ8+AR8)</f>
        <v/>
      </c>
      <c r="AT8" s="7">
        <f>'Feb2027-COLLECTION'!K7</f>
        <v/>
      </c>
      <c r="AU8" s="10">
        <f>'Feb2027-EXPENSE'!R11</f>
        <v/>
      </c>
      <c r="AV8" s="10" t="n"/>
      <c r="AW8" s="174">
        <f>AT8-(AU8+AV8)</f>
        <v/>
      </c>
      <c r="AX8" s="7">
        <f>'Mar2027-COLLECTION'!K7</f>
        <v/>
      </c>
      <c r="AY8" s="10">
        <f>'Mar2027-EXPENSE'!R11</f>
        <v/>
      </c>
      <c r="AZ8" s="10" t="n"/>
      <c r="BA8" s="174">
        <f>AX8-(AY8+AZ8)</f>
        <v/>
      </c>
      <c r="BB8" s="172">
        <f>SUM(F8,J8,N8,R8,V8,Z8,AD8,AH8,AL8,AP8,AT8,AX8)</f>
        <v/>
      </c>
      <c r="BC8" s="172">
        <f>SUM(J8,N8,R8,V8,Z8,AD8,AH8,AL8,AP8,AT8,AX8)</f>
        <v/>
      </c>
      <c r="BD8" s="172">
        <f>SUM(G8,K8,O8,S8,W8,AA8,AE8,AI8,AM8,AQ8,AU8,AY8)</f>
        <v/>
      </c>
      <c r="BE8" s="172" t="n">
        <v>0</v>
      </c>
      <c r="BF8" s="172">
        <f>BB8-(BD8+BE8)</f>
        <v/>
      </c>
      <c r="BG8" s="172">
        <f>BC8-(BD8+BE8)</f>
        <v/>
      </c>
      <c r="BH8" s="172">
        <f>E8+BF8</f>
        <v/>
      </c>
      <c r="BI8" s="175">
        <f>E8+F8+IF(BG8&gt;=0,BG8,0)</f>
        <v/>
      </c>
      <c r="BJ8" s="175" t="n">
        <v>0</v>
      </c>
    </row>
    <row r="9" ht="16" customHeight="1" s="251">
      <c r="A9" s="169" t="inlineStr">
        <is>
          <t>F7</t>
        </is>
      </c>
      <c r="B9" s="13" t="n"/>
      <c r="C9" s="13" t="inlineStr">
        <is>
          <t>Vimal NK</t>
        </is>
      </c>
      <c r="D9" s="170" t="n">
        <v>0</v>
      </c>
      <c r="E9" s="176" t="n">
        <v>0</v>
      </c>
      <c r="F9" s="171">
        <f>'Apr2026-COLLECTION'!K8</f>
        <v/>
      </c>
      <c r="G9" s="172">
        <f>'Apr2026-EXPENSE'!R12</f>
        <v/>
      </c>
      <c r="H9" s="172" t="n"/>
      <c r="I9" s="172">
        <f>F9-(G9+H9)</f>
        <v/>
      </c>
      <c r="J9" s="173">
        <f>'May2026-COLLECTION'!K8</f>
        <v/>
      </c>
      <c r="K9" s="174">
        <f>'May2026-EXPENSE'!R12</f>
        <v/>
      </c>
      <c r="L9" s="174" t="n"/>
      <c r="M9" s="174">
        <f>J9-(K9+L9)</f>
        <v/>
      </c>
      <c r="N9" s="172">
        <f>'June2026-COLLECTION'!K8</f>
        <v/>
      </c>
      <c r="O9" s="172">
        <f>'June2026-EXPENSE'!R12</f>
        <v/>
      </c>
      <c r="P9" s="172" t="n"/>
      <c r="Q9" s="172">
        <f>N9-(O9+P9)</f>
        <v/>
      </c>
      <c r="R9" s="41">
        <f>'July2026-COLLECTION'!K8</f>
        <v/>
      </c>
      <c r="S9" s="174">
        <f>'July2026-EXPENSE'!R12</f>
        <v/>
      </c>
      <c r="T9" s="174" t="n"/>
      <c r="U9" s="174">
        <f>R9-(S9+T9)</f>
        <v/>
      </c>
      <c r="V9" s="167">
        <f>'Aug2026-COLLECTION'!K8</f>
        <v/>
      </c>
      <c r="W9" s="172">
        <f>'Aug2026-EXPENSE'!R12</f>
        <v/>
      </c>
      <c r="X9" s="172" t="n"/>
      <c r="Y9" s="172">
        <f>V9-(W9+X9)</f>
        <v/>
      </c>
      <c r="Z9" s="41">
        <f>'Sep2026-COLLECTION'!K8</f>
        <v/>
      </c>
      <c r="AA9" s="174">
        <f>'Sep2026-EXPENSE'!R12</f>
        <v/>
      </c>
      <c r="AB9" s="174" t="n"/>
      <c r="AC9" s="174">
        <f>Z9-(AA9+AB9)</f>
        <v/>
      </c>
      <c r="AD9" s="41">
        <f>'Oct2026-COLLECTION'!K8</f>
        <v/>
      </c>
      <c r="AE9" s="174">
        <f>'Oct2026-EXPENSE'!R12</f>
        <v/>
      </c>
      <c r="AF9" s="174" t="n"/>
      <c r="AG9" s="174">
        <f>AD9-(AE9+AF9)</f>
        <v/>
      </c>
      <c r="AH9" s="41">
        <f>'Nov2026-COLLECTION'!K8</f>
        <v/>
      </c>
      <c r="AI9" s="174">
        <f>'Nov2026-EXPENSE'!R12</f>
        <v/>
      </c>
      <c r="AJ9" s="174" t="n"/>
      <c r="AK9" s="174">
        <f>AH9-(AI9+AJ9)</f>
        <v/>
      </c>
      <c r="AL9" s="41">
        <f>'Dec2026-COLLECTION'!K8</f>
        <v/>
      </c>
      <c r="AM9" s="174">
        <f>'Dec2026-EXPENSE'!R12</f>
        <v/>
      </c>
      <c r="AN9" s="174" t="n"/>
      <c r="AO9" s="174">
        <f>AL9-(AM9+AN9)</f>
        <v/>
      </c>
      <c r="AP9" s="7">
        <f>'Jan2027-COLLECTION'!K8</f>
        <v/>
      </c>
      <c r="AQ9" s="10">
        <f>'Jan2027-EXPENSE'!R12</f>
        <v/>
      </c>
      <c r="AR9" s="10" t="n"/>
      <c r="AS9" s="174">
        <f>AP9-(AQ9+AR9)</f>
        <v/>
      </c>
      <c r="AT9" s="7">
        <f>'Feb2027-COLLECTION'!K8</f>
        <v/>
      </c>
      <c r="AU9" s="10">
        <f>'Feb2027-EXPENSE'!R12</f>
        <v/>
      </c>
      <c r="AV9" s="10" t="n"/>
      <c r="AW9" s="174">
        <f>AT9-(AU9+AV9)</f>
        <v/>
      </c>
      <c r="AX9" s="7">
        <f>'Mar2027-COLLECTION'!K8</f>
        <v/>
      </c>
      <c r="AY9" s="10">
        <f>'Mar2027-EXPENSE'!R12</f>
        <v/>
      </c>
      <c r="AZ9" s="10" t="n"/>
      <c r="BA9" s="174">
        <f>AX9-(AY9+AZ9)</f>
        <v/>
      </c>
      <c r="BB9" s="172">
        <f>SUM(F9,J9,N9,R9,V9,Z9,AD9,AH9,AL9,AP9,AT9,AX9)</f>
        <v/>
      </c>
      <c r="BC9" s="172">
        <f>SUM(J9,N9,R9,V9,Z9,AD9,AH9,AL9,AP9,AT9,AX9)</f>
        <v/>
      </c>
      <c r="BD9" s="172">
        <f>SUM(G9,K9,O9,S9,W9,AA9,AE9,AI9,AM9,AQ9,AU9,AY9)</f>
        <v/>
      </c>
      <c r="BE9" s="172" t="n">
        <v>0</v>
      </c>
      <c r="BF9" s="172">
        <f>BB9-(BD9+BE9)</f>
        <v/>
      </c>
      <c r="BG9" s="172">
        <f>BC9-(BD9+BE9)</f>
        <v/>
      </c>
      <c r="BH9" s="172">
        <f>E9+BF9</f>
        <v/>
      </c>
      <c r="BI9" s="175">
        <f>E9+F9+IF(BG9&gt;=0,BG9,0)</f>
        <v/>
      </c>
      <c r="BJ9" s="175" t="n">
        <v>0</v>
      </c>
    </row>
    <row r="10" ht="48" customHeight="1" s="251">
      <c r="A10" s="169" t="inlineStr">
        <is>
          <t>F8</t>
        </is>
      </c>
      <c r="B10" s="13" t="n"/>
      <c r="C10" s="13" t="inlineStr">
        <is>
          <t>Sujeet Kumar (Tenant)/Sreejith Menon (Owner)</t>
        </is>
      </c>
      <c r="D10" s="170" t="n">
        <v>0</v>
      </c>
      <c r="E10" s="176" t="n">
        <v>0</v>
      </c>
      <c r="F10" s="171">
        <f>'Apr2026-COLLECTION'!K9</f>
        <v/>
      </c>
      <c r="G10" s="172">
        <f>'Apr2026-EXPENSE'!R13</f>
        <v/>
      </c>
      <c r="H10" s="172" t="n"/>
      <c r="I10" s="172">
        <f>F10-(G10+H10)</f>
        <v/>
      </c>
      <c r="J10" s="173">
        <f>'May2026-COLLECTION'!K9</f>
        <v/>
      </c>
      <c r="K10" s="174">
        <f>'May2026-EXPENSE'!R13</f>
        <v/>
      </c>
      <c r="L10" s="174" t="n"/>
      <c r="M10" s="174">
        <f>J10-(K10+L10)</f>
        <v/>
      </c>
      <c r="N10" s="172">
        <f>'June2026-COLLECTION'!K9</f>
        <v/>
      </c>
      <c r="O10" s="172">
        <f>'June2026-EXPENSE'!R13</f>
        <v/>
      </c>
      <c r="P10" s="172" t="n"/>
      <c r="Q10" s="172">
        <f>N10-(O10+P10)</f>
        <v/>
      </c>
      <c r="R10" s="41">
        <f>'July2026-COLLECTION'!K9</f>
        <v/>
      </c>
      <c r="S10" s="174">
        <f>'July2026-EXPENSE'!R13</f>
        <v/>
      </c>
      <c r="T10" s="174" t="n"/>
      <c r="U10" s="174">
        <f>R10-(S10+T10)</f>
        <v/>
      </c>
      <c r="V10" s="167">
        <f>'Aug2026-COLLECTION'!K9</f>
        <v/>
      </c>
      <c r="W10" s="172">
        <f>'Aug2026-EXPENSE'!R13</f>
        <v/>
      </c>
      <c r="X10" s="172" t="n"/>
      <c r="Y10" s="172">
        <f>V10-(W10+X10)</f>
        <v/>
      </c>
      <c r="Z10" s="41">
        <f>'Sep2026-COLLECTION'!K9</f>
        <v/>
      </c>
      <c r="AA10" s="174">
        <f>'Sep2026-EXPENSE'!R13</f>
        <v/>
      </c>
      <c r="AB10" s="174" t="n"/>
      <c r="AC10" s="174">
        <f>Z10-(AA10+AB10)</f>
        <v/>
      </c>
      <c r="AD10" s="41">
        <f>'Oct2026-COLLECTION'!K9</f>
        <v/>
      </c>
      <c r="AE10" s="174">
        <f>'Oct2026-EXPENSE'!R13</f>
        <v/>
      </c>
      <c r="AF10" s="174" t="n"/>
      <c r="AG10" s="174">
        <f>AD10-(AE10+AF10)</f>
        <v/>
      </c>
      <c r="AH10" s="41">
        <f>'Nov2026-COLLECTION'!K9</f>
        <v/>
      </c>
      <c r="AI10" s="174">
        <f>'Nov2026-EXPENSE'!R13</f>
        <v/>
      </c>
      <c r="AJ10" s="174" t="n"/>
      <c r="AK10" s="174">
        <f>AH10-(AI10+AJ10)</f>
        <v/>
      </c>
      <c r="AL10" s="41">
        <f>'Dec2026-COLLECTION'!K9</f>
        <v/>
      </c>
      <c r="AM10" s="174">
        <f>'Dec2026-EXPENSE'!R13</f>
        <v/>
      </c>
      <c r="AN10" s="174" t="n"/>
      <c r="AO10" s="174">
        <f>AL10-(AM10+AN10)</f>
        <v/>
      </c>
      <c r="AP10" s="7">
        <f>'Jan2027-COLLECTION'!K9</f>
        <v/>
      </c>
      <c r="AQ10" s="10">
        <f>'Jan2027-EXPENSE'!R13</f>
        <v/>
      </c>
      <c r="AR10" s="10" t="n"/>
      <c r="AS10" s="174">
        <f>AP10-(AQ10+AR10)</f>
        <v/>
      </c>
      <c r="AT10" s="7">
        <f>'Feb2027-COLLECTION'!K9</f>
        <v/>
      </c>
      <c r="AU10" s="10">
        <f>'Feb2027-EXPENSE'!R13</f>
        <v/>
      </c>
      <c r="AV10" s="10" t="n"/>
      <c r="AW10" s="174">
        <f>AT10-(AU10+AV10)</f>
        <v/>
      </c>
      <c r="AX10" s="7">
        <f>'Mar2027-COLLECTION'!K9</f>
        <v/>
      </c>
      <c r="AY10" s="10">
        <f>'Mar2027-EXPENSE'!R13</f>
        <v/>
      </c>
      <c r="AZ10" s="10" t="n"/>
      <c r="BA10" s="174">
        <f>AX10-(AY10+AZ10)</f>
        <v/>
      </c>
      <c r="BB10" s="172">
        <f>SUM(F10,J10,N10,R10,V10,Z10,AD10,AH10,AL10,AP10,AT10,AX10)</f>
        <v/>
      </c>
      <c r="BC10" s="172">
        <f>SUM(J10,N10,R10,V10,Z10,AD10,AH10,AL10,AP10,AT10,AX10)</f>
        <v/>
      </c>
      <c r="BD10" s="172">
        <f>SUM(G10,K10,O10,S10,W10,AA10,AE10,AI10,AM10,AQ10,AU10,AY10)</f>
        <v/>
      </c>
      <c r="BE10" s="172" t="n">
        <v>0</v>
      </c>
      <c r="BF10" s="172">
        <f>BB10-(BD10+BE10)</f>
        <v/>
      </c>
      <c r="BG10" s="172">
        <f>BC10-(BD10+BE10)</f>
        <v/>
      </c>
      <c r="BH10" s="172">
        <f>E10+BF10</f>
        <v/>
      </c>
      <c r="BI10" s="175">
        <f>E10+F10+IF(BG10&gt;=0,BG10,0)</f>
        <v/>
      </c>
      <c r="BJ10" s="175" t="n">
        <v>0</v>
      </c>
    </row>
    <row r="11" ht="32" customHeight="1" s="251">
      <c r="A11" s="169" t="inlineStr">
        <is>
          <t>F9</t>
        </is>
      </c>
      <c r="B11" s="13" t="n"/>
      <c r="C11" s="13" t="inlineStr">
        <is>
          <t>Vijay Suswaram (Owner)  /   Divya Shikha (Tenant)</t>
        </is>
      </c>
      <c r="D11" s="170" t="n">
        <v>0</v>
      </c>
      <c r="E11" s="176" t="n">
        <v>0</v>
      </c>
      <c r="F11" s="171">
        <f>'Apr2026-COLLECTION'!K10</f>
        <v/>
      </c>
      <c r="G11" s="172">
        <f>'Apr2026-EXPENSE'!R14</f>
        <v/>
      </c>
      <c r="H11" s="172" t="n"/>
      <c r="I11" s="172">
        <f>F11-(G11+H11)</f>
        <v/>
      </c>
      <c r="J11" s="173">
        <f>'May2026-COLLECTION'!K10</f>
        <v/>
      </c>
      <c r="K11" s="174">
        <f>'May2026-EXPENSE'!R14</f>
        <v/>
      </c>
      <c r="L11" s="174" t="n"/>
      <c r="M11" s="174">
        <f>J11-(K11+L11)</f>
        <v/>
      </c>
      <c r="N11" s="172">
        <f>'June2026-COLLECTION'!K10</f>
        <v/>
      </c>
      <c r="O11" s="172">
        <f>'June2026-EXPENSE'!R14</f>
        <v/>
      </c>
      <c r="P11" s="172" t="n"/>
      <c r="Q11" s="172">
        <f>N11-(O11+P11)</f>
        <v/>
      </c>
      <c r="R11" s="41">
        <f>'July2026-COLLECTION'!K10</f>
        <v/>
      </c>
      <c r="S11" s="174">
        <f>'July2026-EXPENSE'!R14</f>
        <v/>
      </c>
      <c r="T11" s="174" t="n"/>
      <c r="U11" s="174">
        <f>R11-(S11+T11)</f>
        <v/>
      </c>
      <c r="V11" s="167">
        <f>'Aug2026-COLLECTION'!K10</f>
        <v/>
      </c>
      <c r="W11" s="172">
        <f>'Aug2026-EXPENSE'!R14</f>
        <v/>
      </c>
      <c r="X11" s="172" t="n"/>
      <c r="Y11" s="172">
        <f>V11-(W11+X11)</f>
        <v/>
      </c>
      <c r="Z11" s="41">
        <f>'Sep2026-COLLECTION'!K10</f>
        <v/>
      </c>
      <c r="AA11" s="174">
        <f>'Sep2026-EXPENSE'!R14</f>
        <v/>
      </c>
      <c r="AB11" s="174" t="n"/>
      <c r="AC11" s="174">
        <f>Z11-(AA11+AB11)</f>
        <v/>
      </c>
      <c r="AD11" s="41">
        <f>'Oct2026-COLLECTION'!K10</f>
        <v/>
      </c>
      <c r="AE11" s="174">
        <f>'Oct2026-EXPENSE'!R14</f>
        <v/>
      </c>
      <c r="AF11" s="174" t="n"/>
      <c r="AG11" s="174">
        <f>AD11-(AE11+AF11)</f>
        <v/>
      </c>
      <c r="AH11" s="41">
        <f>'Nov2026-COLLECTION'!K10</f>
        <v/>
      </c>
      <c r="AI11" s="174">
        <f>'Nov2026-EXPENSE'!R14</f>
        <v/>
      </c>
      <c r="AJ11" s="174" t="n"/>
      <c r="AK11" s="174">
        <f>AH11-(AI11+AJ11)</f>
        <v/>
      </c>
      <c r="AL11" s="41">
        <f>'Dec2026-COLLECTION'!K10</f>
        <v/>
      </c>
      <c r="AM11" s="174">
        <f>'Dec2026-EXPENSE'!R14</f>
        <v/>
      </c>
      <c r="AN11" s="174" t="n"/>
      <c r="AO11" s="174">
        <f>AL11-(AM11+AN11)</f>
        <v/>
      </c>
      <c r="AP11" s="7">
        <f>'Jan2027-COLLECTION'!K10</f>
        <v/>
      </c>
      <c r="AQ11" s="10">
        <f>'Jan2027-EXPENSE'!R14</f>
        <v/>
      </c>
      <c r="AR11" s="10" t="n"/>
      <c r="AS11" s="174">
        <f>AP11-(AQ11+AR11)</f>
        <v/>
      </c>
      <c r="AT11" s="7">
        <f>'Feb2027-COLLECTION'!K10</f>
        <v/>
      </c>
      <c r="AU11" s="10">
        <f>'Feb2027-EXPENSE'!R14</f>
        <v/>
      </c>
      <c r="AV11" s="10" t="n"/>
      <c r="AW11" s="174">
        <f>AT11-(AU11+AV11)</f>
        <v/>
      </c>
      <c r="AX11" s="7">
        <f>'Mar2027-COLLECTION'!K10</f>
        <v/>
      </c>
      <c r="AY11" s="10">
        <f>'Mar2027-EXPENSE'!R14</f>
        <v/>
      </c>
      <c r="AZ11" s="10" t="n"/>
      <c r="BA11" s="174">
        <f>AX11-(AY11+AZ11)</f>
        <v/>
      </c>
      <c r="BB11" s="172">
        <f>SUM(F11,J11,N11,R11,V11,Z11,AD11,AH11,AL11,AP11,AT11,AX11)</f>
        <v/>
      </c>
      <c r="BC11" s="172">
        <f>SUM(J11,N11,R11,V11,Z11,AD11,AH11,AL11,AP11,AT11,AX11)</f>
        <v/>
      </c>
      <c r="BD11" s="172">
        <f>SUM(G11,K11,O11,S11,W11,AA11,AE11,AI11,AM11,AQ11,AU11,AY11)</f>
        <v/>
      </c>
      <c r="BE11" s="172" t="n">
        <v>0</v>
      </c>
      <c r="BF11" s="172">
        <f>BB11-(BD11+BE11)</f>
        <v/>
      </c>
      <c r="BG11" s="172">
        <f>BC11-(BD11+BE11)</f>
        <v/>
      </c>
      <c r="BH11" s="172">
        <f>E11+BF11</f>
        <v/>
      </c>
      <c r="BI11" s="175">
        <f>E11+F11+IF(BG11&gt;=0,BG11,0)</f>
        <v/>
      </c>
      <c r="BJ11" s="175" t="n">
        <v>0</v>
      </c>
    </row>
    <row r="12" ht="16" customHeight="1" s="251">
      <c r="A12" s="169" t="inlineStr">
        <is>
          <t>F10</t>
        </is>
      </c>
      <c r="B12" s="13" t="n"/>
      <c r="C12" s="13" t="inlineStr">
        <is>
          <t>Aby Thomas</t>
        </is>
      </c>
      <c r="D12" s="170" t="n">
        <v>0</v>
      </c>
      <c r="E12" s="176" t="n">
        <v>0</v>
      </c>
      <c r="F12" s="171">
        <f>'Apr2026-COLLECTION'!K11</f>
        <v/>
      </c>
      <c r="G12" s="172">
        <f>'Apr2026-EXPENSE'!R15</f>
        <v/>
      </c>
      <c r="H12" s="172" t="n"/>
      <c r="I12" s="172">
        <f>F12-(G12+H12)</f>
        <v/>
      </c>
      <c r="J12" s="173">
        <f>'May2026-COLLECTION'!K11</f>
        <v/>
      </c>
      <c r="K12" s="174">
        <f>'May2026-EXPENSE'!R15</f>
        <v/>
      </c>
      <c r="L12" s="174" t="n"/>
      <c r="M12" s="174">
        <f>J12-(K12+L12)</f>
        <v/>
      </c>
      <c r="N12" s="172">
        <f>'June2026-COLLECTION'!K11</f>
        <v/>
      </c>
      <c r="O12" s="172">
        <f>'June2026-EXPENSE'!R15</f>
        <v/>
      </c>
      <c r="P12" s="172" t="n"/>
      <c r="Q12" s="172">
        <f>N12-(O12+P12)</f>
        <v/>
      </c>
      <c r="R12" s="41">
        <f>'July2026-COLLECTION'!K11</f>
        <v/>
      </c>
      <c r="S12" s="174">
        <f>'July2026-EXPENSE'!R15</f>
        <v/>
      </c>
      <c r="T12" s="174" t="n"/>
      <c r="U12" s="174">
        <f>R12-(S12+T12)</f>
        <v/>
      </c>
      <c r="V12" s="167">
        <f>'Aug2026-COLLECTION'!K11</f>
        <v/>
      </c>
      <c r="W12" s="172">
        <f>'Aug2026-EXPENSE'!R15</f>
        <v/>
      </c>
      <c r="X12" s="172" t="n"/>
      <c r="Y12" s="172">
        <f>V12-(W12+X12)</f>
        <v/>
      </c>
      <c r="Z12" s="41">
        <f>'Sep2026-COLLECTION'!K11</f>
        <v/>
      </c>
      <c r="AA12" s="174">
        <f>'Sep2026-EXPENSE'!R15</f>
        <v/>
      </c>
      <c r="AB12" s="174" t="n"/>
      <c r="AC12" s="174">
        <f>Z12-(AA12+AB12)</f>
        <v/>
      </c>
      <c r="AD12" s="41">
        <f>'Oct2026-COLLECTION'!K11</f>
        <v/>
      </c>
      <c r="AE12" s="174">
        <f>'Oct2026-EXPENSE'!R15</f>
        <v/>
      </c>
      <c r="AF12" s="174" t="n"/>
      <c r="AG12" s="174">
        <f>AD12-(AE12+AF12)</f>
        <v/>
      </c>
      <c r="AH12" s="41">
        <f>'Nov2026-COLLECTION'!K11</f>
        <v/>
      </c>
      <c r="AI12" s="174">
        <f>'Nov2026-EXPENSE'!R15</f>
        <v/>
      </c>
      <c r="AJ12" s="174" t="n"/>
      <c r="AK12" s="174">
        <f>AH12-(AI12+AJ12)</f>
        <v/>
      </c>
      <c r="AL12" s="41">
        <f>'Dec2026-COLLECTION'!K11</f>
        <v/>
      </c>
      <c r="AM12" s="174">
        <f>'Dec2026-EXPENSE'!R15</f>
        <v/>
      </c>
      <c r="AN12" s="174" t="n"/>
      <c r="AO12" s="174">
        <f>AL12-(AM12+AN12)</f>
        <v/>
      </c>
      <c r="AP12" s="7">
        <f>'Jan2027-COLLECTION'!K11</f>
        <v/>
      </c>
      <c r="AQ12" s="10">
        <f>'Jan2027-EXPENSE'!R15</f>
        <v/>
      </c>
      <c r="AR12" s="10" t="n"/>
      <c r="AS12" s="174">
        <f>AP12-(AQ12+AR12)</f>
        <v/>
      </c>
      <c r="AT12" s="7">
        <f>'Feb2027-COLLECTION'!K11</f>
        <v/>
      </c>
      <c r="AU12" s="10">
        <f>'Feb2027-EXPENSE'!R15</f>
        <v/>
      </c>
      <c r="AV12" s="10" t="n"/>
      <c r="AW12" s="174">
        <f>AT12-(AU12+AV12)</f>
        <v/>
      </c>
      <c r="AX12" s="7">
        <f>'Mar2027-COLLECTION'!K11</f>
        <v/>
      </c>
      <c r="AY12" s="10">
        <f>'Mar2027-EXPENSE'!R15</f>
        <v/>
      </c>
      <c r="AZ12" s="10" t="n"/>
      <c r="BA12" s="174">
        <f>AX12-(AY12+AZ12)</f>
        <v/>
      </c>
      <c r="BB12" s="172">
        <f>SUM(F12,J12,N12,R12,V12,Z12,AD12,AH12,AL12,AP12,AT12,AX12)</f>
        <v/>
      </c>
      <c r="BC12" s="172">
        <f>SUM(J12,N12,R12,V12,Z12,AD12,AH12,AL12,AP12,AT12,AX12)</f>
        <v/>
      </c>
      <c r="BD12" s="172">
        <f>SUM(G12,K12,O12,S12,W12,AA12,AE12,AI12,AM12,AQ12,AU12,AY12)</f>
        <v/>
      </c>
      <c r="BE12" s="172" t="n">
        <v>0</v>
      </c>
      <c r="BF12" s="172">
        <f>BB12-(BD12+BE12)</f>
        <v/>
      </c>
      <c r="BG12" s="172">
        <f>BC12-(BD12+BE12)</f>
        <v/>
      </c>
      <c r="BH12" s="172">
        <f>E12+BF12</f>
        <v/>
      </c>
      <c r="BI12" s="175">
        <f>E12+F12+IF(BG12&gt;=0,BG12,0)</f>
        <v/>
      </c>
      <c r="BJ12" s="175" t="n">
        <v>0</v>
      </c>
    </row>
    <row r="13" ht="16" customHeight="1" s="251">
      <c r="A13" s="169" t="inlineStr">
        <is>
          <t>F11</t>
        </is>
      </c>
      <c r="B13" s="13" t="n"/>
      <c r="C13" s="13" t="inlineStr">
        <is>
          <t>Niwin Anto</t>
        </is>
      </c>
      <c r="D13" s="170" t="n">
        <v>0</v>
      </c>
      <c r="E13" s="176" t="n">
        <v>0</v>
      </c>
      <c r="F13" s="171">
        <f>'Apr2026-COLLECTION'!K12</f>
        <v/>
      </c>
      <c r="G13" s="172">
        <f>'Apr2026-EXPENSE'!R16</f>
        <v/>
      </c>
      <c r="H13" s="172" t="n"/>
      <c r="I13" s="172">
        <f>F13-(G13+H13)</f>
        <v/>
      </c>
      <c r="J13" s="173">
        <f>'May2026-COLLECTION'!K12</f>
        <v/>
      </c>
      <c r="K13" s="174">
        <f>'May2026-EXPENSE'!R16</f>
        <v/>
      </c>
      <c r="L13" s="174" t="n"/>
      <c r="M13" s="174">
        <f>J13-(K13+L13)</f>
        <v/>
      </c>
      <c r="N13" s="172">
        <f>'June2026-COLLECTION'!K12</f>
        <v/>
      </c>
      <c r="O13" s="172">
        <f>'June2026-EXPENSE'!R16</f>
        <v/>
      </c>
      <c r="P13" s="172" t="n"/>
      <c r="Q13" s="172">
        <f>N13-(O13+P13)</f>
        <v/>
      </c>
      <c r="R13" s="41">
        <f>'July2026-COLLECTION'!K12</f>
        <v/>
      </c>
      <c r="S13" s="174">
        <f>'July2026-EXPENSE'!R16</f>
        <v/>
      </c>
      <c r="T13" s="174" t="n"/>
      <c r="U13" s="174">
        <f>R13-(S13+T13)</f>
        <v/>
      </c>
      <c r="V13" s="167">
        <f>'Aug2026-COLLECTION'!K12</f>
        <v/>
      </c>
      <c r="W13" s="172">
        <f>'Aug2026-EXPENSE'!R16</f>
        <v/>
      </c>
      <c r="X13" s="172" t="n"/>
      <c r="Y13" s="172">
        <f>V13-(W13+X13)</f>
        <v/>
      </c>
      <c r="Z13" s="41">
        <f>'Sep2026-COLLECTION'!K12</f>
        <v/>
      </c>
      <c r="AA13" s="174">
        <f>'Sep2026-EXPENSE'!R16</f>
        <v/>
      </c>
      <c r="AB13" s="174" t="n"/>
      <c r="AC13" s="174">
        <f>Z13-(AA13+AB13)</f>
        <v/>
      </c>
      <c r="AD13" s="41">
        <f>'Oct2026-COLLECTION'!K12</f>
        <v/>
      </c>
      <c r="AE13" s="174">
        <f>'Oct2026-EXPENSE'!R16</f>
        <v/>
      </c>
      <c r="AF13" s="174" t="n"/>
      <c r="AG13" s="174">
        <f>AD13-(AE13+AF13)</f>
        <v/>
      </c>
      <c r="AH13" s="41">
        <f>'Nov2026-COLLECTION'!K12</f>
        <v/>
      </c>
      <c r="AI13" s="174">
        <f>'Nov2026-EXPENSE'!R16</f>
        <v/>
      </c>
      <c r="AJ13" s="174" t="n"/>
      <c r="AK13" s="174">
        <f>AH13-(AI13+AJ13)</f>
        <v/>
      </c>
      <c r="AL13" s="41">
        <f>'Dec2026-COLLECTION'!K12</f>
        <v/>
      </c>
      <c r="AM13" s="174">
        <f>'Dec2026-EXPENSE'!R16</f>
        <v/>
      </c>
      <c r="AN13" s="174" t="n"/>
      <c r="AO13" s="174">
        <f>AL13-(AM13+AN13)</f>
        <v/>
      </c>
      <c r="AP13" s="7">
        <f>'Jan2027-COLLECTION'!K12</f>
        <v/>
      </c>
      <c r="AQ13" s="10">
        <f>'Jan2027-EXPENSE'!R16</f>
        <v/>
      </c>
      <c r="AR13" s="10" t="n"/>
      <c r="AS13" s="174">
        <f>AP13-(AQ13+AR13)</f>
        <v/>
      </c>
      <c r="AT13" s="7">
        <f>'Feb2027-COLLECTION'!K12</f>
        <v/>
      </c>
      <c r="AU13" s="10">
        <f>'Feb2027-EXPENSE'!R16</f>
        <v/>
      </c>
      <c r="AV13" s="10" t="n"/>
      <c r="AW13" s="174">
        <f>AT13-(AU13+AV13)</f>
        <v/>
      </c>
      <c r="AX13" s="7">
        <f>'Mar2027-COLLECTION'!K12</f>
        <v/>
      </c>
      <c r="AY13" s="10">
        <f>'Mar2027-EXPENSE'!R16</f>
        <v/>
      </c>
      <c r="AZ13" s="10" t="n"/>
      <c r="BA13" s="174">
        <f>AX13-(AY13+AZ13)</f>
        <v/>
      </c>
      <c r="BB13" s="172">
        <f>SUM(F13,J13,N13,R13,V13,Z13,AD13,AH13,AL13,AP13,AT13,AX13)</f>
        <v/>
      </c>
      <c r="BC13" s="172">
        <f>SUM(J13,N13,R13,V13,Z13,AD13,AH13,AL13,AP13,AT13,AX13)</f>
        <v/>
      </c>
      <c r="BD13" s="172">
        <f>SUM(G13,K13,O13,S13,W13,AA13,AE13,AI13,AM13,AQ13,AU13,AY13)</f>
        <v/>
      </c>
      <c r="BE13" s="172" t="n">
        <v>0</v>
      </c>
      <c r="BF13" s="172">
        <f>BB13-(BD13+BE13)</f>
        <v/>
      </c>
      <c r="BG13" s="172">
        <f>BC13-(BD13+BE13)</f>
        <v/>
      </c>
      <c r="BH13" s="172">
        <f>E13+BF13</f>
        <v/>
      </c>
      <c r="BI13" s="175">
        <f>E13+F13+IF(BG13&gt;=0,BG13,0)</f>
        <v/>
      </c>
      <c r="BJ13" s="175" t="n">
        <v>0</v>
      </c>
    </row>
    <row r="14" ht="16" customHeight="1" s="251">
      <c r="A14" s="169" t="inlineStr">
        <is>
          <t>F12</t>
        </is>
      </c>
      <c r="B14" s="13" t="n"/>
      <c r="C14" s="13" t="inlineStr">
        <is>
          <t>Anirudh Singh</t>
        </is>
      </c>
      <c r="D14" s="170" t="n">
        <v>0</v>
      </c>
      <c r="E14" s="176" t="n">
        <v>0</v>
      </c>
      <c r="F14" s="171">
        <f>'Apr2026-COLLECTION'!K13</f>
        <v/>
      </c>
      <c r="G14" s="172">
        <f>'Apr2026-EXPENSE'!R17</f>
        <v/>
      </c>
      <c r="H14" s="172" t="n"/>
      <c r="I14" s="172">
        <f>F14-(G14+H14)</f>
        <v/>
      </c>
      <c r="J14" s="173">
        <f>'May2026-COLLECTION'!K13</f>
        <v/>
      </c>
      <c r="K14" s="174">
        <f>'May2026-EXPENSE'!R17</f>
        <v/>
      </c>
      <c r="L14" s="174" t="n"/>
      <c r="M14" s="174">
        <f>J14-(K14+L14)</f>
        <v/>
      </c>
      <c r="N14" s="172">
        <f>'June2026-COLLECTION'!K13</f>
        <v/>
      </c>
      <c r="O14" s="172">
        <f>'June2026-EXPENSE'!R17</f>
        <v/>
      </c>
      <c r="P14" s="172" t="n"/>
      <c r="Q14" s="172">
        <f>N14-(O14+P14)</f>
        <v/>
      </c>
      <c r="R14" s="41">
        <f>'July2026-COLLECTION'!K13</f>
        <v/>
      </c>
      <c r="S14" s="174">
        <f>'July2026-EXPENSE'!R17</f>
        <v/>
      </c>
      <c r="T14" s="174" t="n"/>
      <c r="U14" s="174">
        <f>R14-(S14+T14)</f>
        <v/>
      </c>
      <c r="V14" s="167">
        <f>'Aug2026-COLLECTION'!K13</f>
        <v/>
      </c>
      <c r="W14" s="172">
        <f>'Aug2026-EXPENSE'!R17</f>
        <v/>
      </c>
      <c r="X14" s="172" t="n"/>
      <c r="Y14" s="172">
        <f>V14-(W14+X14)</f>
        <v/>
      </c>
      <c r="Z14" s="41">
        <f>'Sep2026-COLLECTION'!K13</f>
        <v/>
      </c>
      <c r="AA14" s="174">
        <f>'Sep2026-EXPENSE'!R17</f>
        <v/>
      </c>
      <c r="AB14" s="174" t="n"/>
      <c r="AC14" s="174">
        <f>Z14-(AA14+AB14)</f>
        <v/>
      </c>
      <c r="AD14" s="41">
        <f>'Oct2026-COLLECTION'!K13</f>
        <v/>
      </c>
      <c r="AE14" s="174">
        <f>'Oct2026-EXPENSE'!R17</f>
        <v/>
      </c>
      <c r="AF14" s="174" t="n"/>
      <c r="AG14" s="174">
        <f>AD14-(AE14+AF14)</f>
        <v/>
      </c>
      <c r="AH14" s="41">
        <f>'Nov2026-COLLECTION'!K13</f>
        <v/>
      </c>
      <c r="AI14" s="174">
        <f>'Nov2026-EXPENSE'!R17</f>
        <v/>
      </c>
      <c r="AJ14" s="174" t="n"/>
      <c r="AK14" s="174">
        <f>AH14-(AI14+AJ14)</f>
        <v/>
      </c>
      <c r="AL14" s="41">
        <f>'Dec2026-COLLECTION'!K13</f>
        <v/>
      </c>
      <c r="AM14" s="174">
        <f>'Dec2026-EXPENSE'!R17</f>
        <v/>
      </c>
      <c r="AN14" s="174" t="n"/>
      <c r="AO14" s="174">
        <f>AL14-(AM14+AN14)</f>
        <v/>
      </c>
      <c r="AP14" s="7">
        <f>'Jan2027-COLLECTION'!K13</f>
        <v/>
      </c>
      <c r="AQ14" s="10">
        <f>'Jan2027-EXPENSE'!R17</f>
        <v/>
      </c>
      <c r="AR14" s="10" t="n"/>
      <c r="AS14" s="174">
        <f>AP14-(AQ14+AR14)</f>
        <v/>
      </c>
      <c r="AT14" s="7">
        <f>'Feb2027-COLLECTION'!K13</f>
        <v/>
      </c>
      <c r="AU14" s="10">
        <f>'Feb2027-EXPENSE'!R17</f>
        <v/>
      </c>
      <c r="AV14" s="10" t="n"/>
      <c r="AW14" s="174">
        <f>AT14-(AU14+AV14)</f>
        <v/>
      </c>
      <c r="AX14" s="7">
        <f>'Mar2027-COLLECTION'!K13</f>
        <v/>
      </c>
      <c r="AY14" s="10">
        <f>'Mar2027-EXPENSE'!R17</f>
        <v/>
      </c>
      <c r="AZ14" s="10" t="n"/>
      <c r="BA14" s="174">
        <f>AX14-(AY14+AZ14)</f>
        <v/>
      </c>
      <c r="BB14" s="172">
        <f>SUM(F14,J14,N14,R14,V14,Z14,AD14,AH14,AL14,AP14,AT14,AX14)</f>
        <v/>
      </c>
      <c r="BC14" s="172">
        <f>SUM(J14,N14,R14,V14,Z14,AD14,AH14,AL14,AP14,AT14,AX14)</f>
        <v/>
      </c>
      <c r="BD14" s="172">
        <f>SUM(G14,K14,O14,S14,W14,AA14,AE14,AI14,AM14,AQ14,AU14,AY14)</f>
        <v/>
      </c>
      <c r="BE14" s="172" t="n">
        <v>0</v>
      </c>
      <c r="BF14" s="172">
        <f>BB14-(BD14+BE14)</f>
        <v/>
      </c>
      <c r="BG14" s="172">
        <f>BC14-(BD14+BE14)</f>
        <v/>
      </c>
      <c r="BH14" s="172">
        <f>E14+BF14</f>
        <v/>
      </c>
      <c r="BI14" s="175">
        <f>E14+F14+IF(BG14&gt;=0,BG14,0)</f>
        <v/>
      </c>
      <c r="BJ14" s="175" t="n">
        <v>0</v>
      </c>
    </row>
    <row r="15" ht="16" customHeight="1" s="251">
      <c r="A15" s="169" t="inlineStr">
        <is>
          <t>F13</t>
        </is>
      </c>
      <c r="B15" s="13" t="n"/>
      <c r="C15" s="13" t="inlineStr">
        <is>
          <t>Sanchay Saxena</t>
        </is>
      </c>
      <c r="D15" s="170" t="n">
        <v>0</v>
      </c>
      <c r="E15" s="176" t="n">
        <v>0</v>
      </c>
      <c r="F15" s="171">
        <f>'Apr2026-COLLECTION'!K14</f>
        <v/>
      </c>
      <c r="G15" s="172">
        <f>'Apr2026-EXPENSE'!R18</f>
        <v/>
      </c>
      <c r="H15" s="172" t="n"/>
      <c r="I15" s="172">
        <f>F15-(G15+H15)</f>
        <v/>
      </c>
      <c r="J15" s="173">
        <f>'May2026-COLLECTION'!K14</f>
        <v/>
      </c>
      <c r="K15" s="174">
        <f>'May2026-EXPENSE'!R18</f>
        <v/>
      </c>
      <c r="L15" s="174" t="n">
        <v>0</v>
      </c>
      <c r="M15" s="174">
        <f>J15-(K15+L15)</f>
        <v/>
      </c>
      <c r="N15" s="172">
        <f>'June2026-COLLECTION'!K14</f>
        <v/>
      </c>
      <c r="O15" s="172">
        <f>'June2026-EXPENSE'!R18</f>
        <v/>
      </c>
      <c r="P15" s="172" t="n"/>
      <c r="Q15" s="172">
        <f>N15-(O15+P15)</f>
        <v/>
      </c>
      <c r="R15" s="41">
        <f>'July2026-COLLECTION'!K14</f>
        <v/>
      </c>
      <c r="S15" s="174">
        <f>'July2026-EXPENSE'!R18</f>
        <v/>
      </c>
      <c r="T15" s="174" t="n"/>
      <c r="U15" s="174">
        <f>R15-(S15+T15)</f>
        <v/>
      </c>
      <c r="V15" s="167">
        <f>'Aug2026-COLLECTION'!K14</f>
        <v/>
      </c>
      <c r="W15" s="172">
        <f>'Aug2026-EXPENSE'!R18</f>
        <v/>
      </c>
      <c r="X15" s="172" t="n"/>
      <c r="Y15" s="172">
        <f>V15-(W15+X15)</f>
        <v/>
      </c>
      <c r="Z15" s="41">
        <f>'Sep2026-COLLECTION'!K14</f>
        <v/>
      </c>
      <c r="AA15" s="174">
        <f>'Sep2026-EXPENSE'!R18</f>
        <v/>
      </c>
      <c r="AB15" s="174" t="n"/>
      <c r="AC15" s="174">
        <f>Z15-(AA15+AB15)</f>
        <v/>
      </c>
      <c r="AD15" s="41">
        <f>'Oct2026-COLLECTION'!K14</f>
        <v/>
      </c>
      <c r="AE15" s="174">
        <f>'Oct2026-EXPENSE'!R18</f>
        <v/>
      </c>
      <c r="AF15" s="174" t="n"/>
      <c r="AG15" s="174">
        <f>AD15-(AE15+AF15)</f>
        <v/>
      </c>
      <c r="AH15" s="41">
        <f>'Nov2026-COLLECTION'!K14</f>
        <v/>
      </c>
      <c r="AI15" s="174">
        <f>'Nov2026-EXPENSE'!R18</f>
        <v/>
      </c>
      <c r="AJ15" s="174" t="n"/>
      <c r="AK15" s="174">
        <f>AH15-(AI15+AJ15)</f>
        <v/>
      </c>
      <c r="AL15" s="41">
        <f>'Dec2026-COLLECTION'!K14</f>
        <v/>
      </c>
      <c r="AM15" s="174">
        <f>'Dec2026-EXPENSE'!R18</f>
        <v/>
      </c>
      <c r="AN15" s="174" t="n"/>
      <c r="AO15" s="174">
        <f>AL15-(AM15+AN15)</f>
        <v/>
      </c>
      <c r="AP15" s="7">
        <f>'Jan2027-COLLECTION'!K14</f>
        <v/>
      </c>
      <c r="AQ15" s="10">
        <f>'Jan2027-EXPENSE'!R18</f>
        <v/>
      </c>
      <c r="AR15" s="10" t="n"/>
      <c r="AS15" s="174">
        <f>AP15-(AQ15+AR15)</f>
        <v/>
      </c>
      <c r="AT15" s="7">
        <f>'Feb2027-COLLECTION'!K14</f>
        <v/>
      </c>
      <c r="AU15" s="10">
        <f>'Feb2027-EXPENSE'!R18</f>
        <v/>
      </c>
      <c r="AV15" s="10" t="n"/>
      <c r="AW15" s="174">
        <f>AT15-(AU15+AV15)</f>
        <v/>
      </c>
      <c r="AX15" s="7">
        <f>'Mar2027-COLLECTION'!K14</f>
        <v/>
      </c>
      <c r="AY15" s="10">
        <f>'Mar2027-EXPENSE'!R18</f>
        <v/>
      </c>
      <c r="AZ15" s="10" t="n"/>
      <c r="BA15" s="174">
        <f>AX15-(AY15+AZ15)</f>
        <v/>
      </c>
      <c r="BB15" s="172">
        <f>SUM(F15,J15,N15,R15,V15,Z15,AD15,AH15,AL15,AP15,AT15,AX15)</f>
        <v/>
      </c>
      <c r="BC15" s="172">
        <f>SUM(J15,N15,R15,V15,Z15,AD15,AH15,AL15,AP15,AT15,AX15)</f>
        <v/>
      </c>
      <c r="BD15" s="172">
        <f>SUM(G15,K15,O15,S15,W15,AA15,AE15,AI15,AM15,AQ15,AU15,AY15)</f>
        <v/>
      </c>
      <c r="BE15" s="172" t="n">
        <v>0</v>
      </c>
      <c r="BF15" s="172">
        <f>BB15-(BD15+BE15)</f>
        <v/>
      </c>
      <c r="BG15" s="172">
        <f>BC15-(BD15+BE15)</f>
        <v/>
      </c>
      <c r="BH15" s="172">
        <f>E15+BF15</f>
        <v/>
      </c>
      <c r="BI15" s="175">
        <f>E15+F15+IF(BG15&gt;=0,BG15,0)</f>
        <v/>
      </c>
      <c r="BJ15" s="175" t="n">
        <v>0</v>
      </c>
    </row>
    <row r="16" ht="16" customHeight="1" s="251">
      <c r="A16" s="169" t="inlineStr">
        <is>
          <t>F14</t>
        </is>
      </c>
      <c r="B16" s="13" t="n"/>
      <c r="C16" s="13" t="inlineStr">
        <is>
          <t>Hemant Patel</t>
        </is>
      </c>
      <c r="D16" s="170" t="n">
        <v>0</v>
      </c>
      <c r="E16" s="176" t="n">
        <v>0</v>
      </c>
      <c r="F16" s="171">
        <f>'Apr2026-COLLECTION'!K15</f>
        <v/>
      </c>
      <c r="G16" s="172">
        <f>'Apr2026-EXPENSE'!R19</f>
        <v/>
      </c>
      <c r="H16" s="172" t="n"/>
      <c r="I16" s="172">
        <f>F16-(G16+H16)</f>
        <v/>
      </c>
      <c r="J16" s="173">
        <f>'May2026-COLLECTION'!K15</f>
        <v/>
      </c>
      <c r="K16" s="174">
        <f>'May2026-EXPENSE'!R19</f>
        <v/>
      </c>
      <c r="L16" s="174" t="n"/>
      <c r="M16" s="174">
        <f>J16-(K16+L16)</f>
        <v/>
      </c>
      <c r="N16" s="172">
        <f>'June2026-COLLECTION'!K15</f>
        <v/>
      </c>
      <c r="O16" s="172">
        <f>'June2026-EXPENSE'!R19</f>
        <v/>
      </c>
      <c r="P16" s="172" t="n"/>
      <c r="Q16" s="172">
        <f>N16-(O16+P16)</f>
        <v/>
      </c>
      <c r="R16" s="41">
        <f>'July2026-COLLECTION'!K15</f>
        <v/>
      </c>
      <c r="S16" s="174">
        <f>'July2026-EXPENSE'!R19</f>
        <v/>
      </c>
      <c r="T16" s="174" t="n"/>
      <c r="U16" s="174">
        <f>R16-(S16+T16)</f>
        <v/>
      </c>
      <c r="V16" s="167">
        <f>'Aug2026-COLLECTION'!K15</f>
        <v/>
      </c>
      <c r="W16" s="172">
        <f>'Aug2026-EXPENSE'!R19</f>
        <v/>
      </c>
      <c r="X16" s="172" t="n"/>
      <c r="Y16" s="172">
        <f>V16-(W16+X16)</f>
        <v/>
      </c>
      <c r="Z16" s="41">
        <f>'Sep2026-COLLECTION'!K15</f>
        <v/>
      </c>
      <c r="AA16" s="174">
        <f>'Sep2026-EXPENSE'!R19</f>
        <v/>
      </c>
      <c r="AB16" s="174" t="n"/>
      <c r="AC16" s="174">
        <f>Z16-(AA16+AB16)</f>
        <v/>
      </c>
      <c r="AD16" s="41">
        <f>'Oct2026-COLLECTION'!K15</f>
        <v/>
      </c>
      <c r="AE16" s="174">
        <f>'Oct2026-EXPENSE'!R19</f>
        <v/>
      </c>
      <c r="AF16" s="174" t="n"/>
      <c r="AG16" s="174">
        <f>AD16-(AE16+AF16)</f>
        <v/>
      </c>
      <c r="AH16" s="41">
        <f>'Nov2026-COLLECTION'!K15</f>
        <v/>
      </c>
      <c r="AI16" s="174">
        <f>'Nov2026-EXPENSE'!R19</f>
        <v/>
      </c>
      <c r="AJ16" s="174" t="n"/>
      <c r="AK16" s="174">
        <f>AH16-(AI16+AJ16)</f>
        <v/>
      </c>
      <c r="AL16" s="41">
        <f>'Dec2026-COLLECTION'!K15</f>
        <v/>
      </c>
      <c r="AM16" s="174">
        <f>'Dec2026-EXPENSE'!R19</f>
        <v/>
      </c>
      <c r="AN16" s="174" t="n"/>
      <c r="AO16" s="174">
        <f>AL16-(AM16+AN16)</f>
        <v/>
      </c>
      <c r="AP16" s="7">
        <f>'Jan2027-COLLECTION'!K15</f>
        <v/>
      </c>
      <c r="AQ16" s="10">
        <f>'Jan2027-EXPENSE'!R19</f>
        <v/>
      </c>
      <c r="AR16" s="10" t="n"/>
      <c r="AS16" s="174">
        <f>AP16-(AQ16+AR16)</f>
        <v/>
      </c>
      <c r="AT16" s="7">
        <f>'Feb2027-COLLECTION'!K15</f>
        <v/>
      </c>
      <c r="AU16" s="10">
        <f>'Feb2027-EXPENSE'!R19</f>
        <v/>
      </c>
      <c r="AV16" s="10" t="n"/>
      <c r="AW16" s="174">
        <f>AT16-(AU16+AV16)</f>
        <v/>
      </c>
      <c r="AX16" s="7">
        <f>'Mar2027-COLLECTION'!K15</f>
        <v/>
      </c>
      <c r="AY16" s="10">
        <f>'Mar2027-EXPENSE'!R19</f>
        <v/>
      </c>
      <c r="AZ16" s="10" t="n"/>
      <c r="BA16" s="174">
        <f>AX16-(AY16+AZ16)</f>
        <v/>
      </c>
      <c r="BB16" s="172">
        <f>SUM(F16,J16,N16,R16,V16,Z16,AD16,AH16,AL16,AP16,AT16,AX16)</f>
        <v/>
      </c>
      <c r="BC16" s="172">
        <f>SUM(J16,N16,R16,V16,Z16,AD16,AH16,AL16,AP16,AT16,AX16)</f>
        <v/>
      </c>
      <c r="BD16" s="172">
        <f>SUM(G16,K16,O16,S16,W16,AA16,AE16,AI16,AM16,AQ16,AU16,AY16)</f>
        <v/>
      </c>
      <c r="BE16" s="172" t="n">
        <v>0</v>
      </c>
      <c r="BF16" s="172">
        <f>BB16-(BD16+BE16)</f>
        <v/>
      </c>
      <c r="BG16" s="172">
        <f>BC16-(BD16+BE16)</f>
        <v/>
      </c>
      <c r="BH16" s="172">
        <f>E16+BF16</f>
        <v/>
      </c>
      <c r="BI16" s="175">
        <f>E16+F16+IF(BG16&gt;=0,BG16,0)</f>
        <v/>
      </c>
      <c r="BJ16" s="175" t="n">
        <v>0</v>
      </c>
    </row>
    <row r="17" ht="16" customHeight="1" s="251">
      <c r="A17" s="169" t="inlineStr">
        <is>
          <t>F15</t>
        </is>
      </c>
      <c r="B17" s="13" t="n"/>
      <c r="C17" s="13" t="inlineStr">
        <is>
          <t>Senthil.Vijayaragavan</t>
        </is>
      </c>
      <c r="D17" s="170" t="n">
        <v>0</v>
      </c>
      <c r="E17" s="176" t="n">
        <v>0</v>
      </c>
      <c r="F17" s="171">
        <f>'Apr2026-COLLECTION'!K16</f>
        <v/>
      </c>
      <c r="G17" s="172">
        <f>'Apr2026-EXPENSE'!R20</f>
        <v/>
      </c>
      <c r="H17" s="172" t="n"/>
      <c r="I17" s="172">
        <f>F17-(G17+H17)</f>
        <v/>
      </c>
      <c r="J17" s="173">
        <f>'May2026-COLLECTION'!K16</f>
        <v/>
      </c>
      <c r="K17" s="174">
        <f>'May2026-EXPENSE'!R20</f>
        <v/>
      </c>
      <c r="L17" s="174" t="n"/>
      <c r="M17" s="174">
        <f>J17-(K17+L17)</f>
        <v/>
      </c>
      <c r="N17" s="172">
        <f>'June2026-COLLECTION'!K16</f>
        <v/>
      </c>
      <c r="O17" s="172">
        <f>'June2026-EXPENSE'!R20</f>
        <v/>
      </c>
      <c r="P17" s="172" t="n"/>
      <c r="Q17" s="172">
        <f>N17-(O17+P17)</f>
        <v/>
      </c>
      <c r="R17" s="41">
        <f>'July2026-COLLECTION'!K16</f>
        <v/>
      </c>
      <c r="S17" s="174">
        <f>'July2026-EXPENSE'!R20</f>
        <v/>
      </c>
      <c r="T17" s="174" t="n"/>
      <c r="U17" s="174">
        <f>R17-(S17+T17)</f>
        <v/>
      </c>
      <c r="V17" s="167">
        <f>'Aug2026-COLLECTION'!K16</f>
        <v/>
      </c>
      <c r="W17" s="172">
        <f>'Aug2026-EXPENSE'!R20</f>
        <v/>
      </c>
      <c r="X17" s="172" t="n"/>
      <c r="Y17" s="172">
        <f>V17-(W17+X17)</f>
        <v/>
      </c>
      <c r="Z17" s="41">
        <f>'Sep2026-COLLECTION'!K16</f>
        <v/>
      </c>
      <c r="AA17" s="174">
        <f>'Sep2026-EXPENSE'!R20</f>
        <v/>
      </c>
      <c r="AB17" s="174" t="n"/>
      <c r="AC17" s="174">
        <f>Z17-(AA17+AB17)</f>
        <v/>
      </c>
      <c r="AD17" s="41">
        <f>'Oct2026-COLLECTION'!K16</f>
        <v/>
      </c>
      <c r="AE17" s="174">
        <f>'Oct2026-EXPENSE'!R20</f>
        <v/>
      </c>
      <c r="AF17" s="174" t="n"/>
      <c r="AG17" s="174">
        <f>AD17-(AE17+AF17)</f>
        <v/>
      </c>
      <c r="AH17" s="41">
        <f>'Nov2026-COLLECTION'!K16</f>
        <v/>
      </c>
      <c r="AI17" s="174">
        <f>'Nov2026-EXPENSE'!R20</f>
        <v/>
      </c>
      <c r="AJ17" s="174" t="n"/>
      <c r="AK17" s="174">
        <f>AH17-(AI17+AJ17)</f>
        <v/>
      </c>
      <c r="AL17" s="41">
        <f>'Dec2026-COLLECTION'!K16</f>
        <v/>
      </c>
      <c r="AM17" s="174">
        <f>'Dec2026-EXPENSE'!R20</f>
        <v/>
      </c>
      <c r="AN17" s="174" t="n"/>
      <c r="AO17" s="174">
        <f>AL17-(AM17+AN17)</f>
        <v/>
      </c>
      <c r="AP17" s="7">
        <f>'Jan2027-COLLECTION'!K16</f>
        <v/>
      </c>
      <c r="AQ17" s="10">
        <f>'Jan2027-EXPENSE'!R20</f>
        <v/>
      </c>
      <c r="AR17" s="10" t="n"/>
      <c r="AS17" s="174">
        <f>AP17-(AQ17+AR17)</f>
        <v/>
      </c>
      <c r="AT17" s="7">
        <f>'Feb2027-COLLECTION'!K16</f>
        <v/>
      </c>
      <c r="AU17" s="10">
        <f>'Feb2027-EXPENSE'!R20</f>
        <v/>
      </c>
      <c r="AV17" s="10" t="n"/>
      <c r="AW17" s="174">
        <f>AT17-(AU17+AV17)</f>
        <v/>
      </c>
      <c r="AX17" s="7">
        <f>'Mar2027-COLLECTION'!K16</f>
        <v/>
      </c>
      <c r="AY17" s="10">
        <f>'Mar2027-EXPENSE'!R20</f>
        <v/>
      </c>
      <c r="AZ17" s="10" t="n"/>
      <c r="BA17" s="174">
        <f>AX17-(AY17+AZ17)</f>
        <v/>
      </c>
      <c r="BB17" s="172">
        <f>SUM(F17,J17,N17,R17,V17,Z17,AD17,AH17,AL17,AP17,AT17,AX17)</f>
        <v/>
      </c>
      <c r="BC17" s="172">
        <f>SUM(J17,N17,R17,V17,Z17,AD17,AH17,AL17,AP17,AT17,AX17)</f>
        <v/>
      </c>
      <c r="BD17" s="172">
        <f>SUM(G17,K17,O17,S17,W17,AA17,AE17,AI17,AM17,AQ17,AU17,AY17)</f>
        <v/>
      </c>
      <c r="BE17" s="172" t="n">
        <v>0</v>
      </c>
      <c r="BF17" s="172">
        <f>BB17-(BD17+BE17)</f>
        <v/>
      </c>
      <c r="BG17" s="172">
        <f>BC17-(BD17+BE17)</f>
        <v/>
      </c>
      <c r="BH17" s="172">
        <f>E17+BF17</f>
        <v/>
      </c>
      <c r="BI17" s="175">
        <f>E17+F17+IF(BG17&gt;=0,BG17,0)</f>
        <v/>
      </c>
      <c r="BJ17" s="175" t="n">
        <v>0</v>
      </c>
    </row>
    <row r="18" ht="16" customHeight="1" s="251">
      <c r="A18" s="169" t="inlineStr">
        <is>
          <t>F16</t>
        </is>
      </c>
      <c r="B18" s="13" t="n"/>
      <c r="C18" s="13" t="inlineStr">
        <is>
          <t>Sreeja Sudharma</t>
        </is>
      </c>
      <c r="D18" s="170" t="n">
        <v>0</v>
      </c>
      <c r="E18" s="176" t="n">
        <v>0</v>
      </c>
      <c r="F18" s="171">
        <f>'Apr2026-COLLECTION'!K17</f>
        <v/>
      </c>
      <c r="G18" s="172">
        <f>'Apr2026-EXPENSE'!R21</f>
        <v/>
      </c>
      <c r="H18" s="172" t="n"/>
      <c r="I18" s="172">
        <f>F18-(G18+H18)</f>
        <v/>
      </c>
      <c r="J18" s="173">
        <f>'May2026-COLLECTION'!K17</f>
        <v/>
      </c>
      <c r="K18" s="174">
        <f>'May2026-EXPENSE'!R21</f>
        <v/>
      </c>
      <c r="L18" s="174" t="n"/>
      <c r="M18" s="174">
        <f>J18-(K18+L18)</f>
        <v/>
      </c>
      <c r="N18" s="172">
        <f>'June2026-COLLECTION'!K17</f>
        <v/>
      </c>
      <c r="O18" s="172">
        <f>'June2026-EXPENSE'!R21</f>
        <v/>
      </c>
      <c r="P18" s="172" t="n"/>
      <c r="Q18" s="172">
        <f>N18-(O18+P18)</f>
        <v/>
      </c>
      <c r="R18" s="41">
        <f>'July2026-COLLECTION'!K17</f>
        <v/>
      </c>
      <c r="S18" s="174">
        <f>'July2026-EXPENSE'!R21</f>
        <v/>
      </c>
      <c r="T18" s="174" t="n"/>
      <c r="U18" s="174">
        <f>R18-(S18+T18)</f>
        <v/>
      </c>
      <c r="V18" s="167">
        <f>'Aug2026-COLLECTION'!K17</f>
        <v/>
      </c>
      <c r="W18" s="172">
        <f>'Aug2026-EXPENSE'!R21</f>
        <v/>
      </c>
      <c r="X18" s="172" t="n"/>
      <c r="Y18" s="172">
        <f>V18-(W18+X18)</f>
        <v/>
      </c>
      <c r="Z18" s="41">
        <f>'Sep2026-COLLECTION'!K17</f>
        <v/>
      </c>
      <c r="AA18" s="174">
        <f>'Sep2026-EXPENSE'!R21</f>
        <v/>
      </c>
      <c r="AB18" s="174" t="n"/>
      <c r="AC18" s="174">
        <f>Z18-(AA18+AB18)</f>
        <v/>
      </c>
      <c r="AD18" s="41">
        <f>'Oct2026-COLLECTION'!K17</f>
        <v/>
      </c>
      <c r="AE18" s="174">
        <f>'Oct2026-EXPENSE'!R21</f>
        <v/>
      </c>
      <c r="AF18" s="174" t="n"/>
      <c r="AG18" s="174">
        <f>AD18-(AE18+AF18)</f>
        <v/>
      </c>
      <c r="AH18" s="41">
        <f>'Nov2026-COLLECTION'!K17</f>
        <v/>
      </c>
      <c r="AI18" s="174">
        <f>'Nov2026-EXPENSE'!R21</f>
        <v/>
      </c>
      <c r="AJ18" s="174" t="n"/>
      <c r="AK18" s="174">
        <f>AH18-(AI18+AJ18)</f>
        <v/>
      </c>
      <c r="AL18" s="41">
        <f>'Dec2026-COLLECTION'!K17</f>
        <v/>
      </c>
      <c r="AM18" s="174">
        <f>'Dec2026-EXPENSE'!R21</f>
        <v/>
      </c>
      <c r="AN18" s="174" t="n"/>
      <c r="AO18" s="174">
        <f>AL18-(AM18+AN18)</f>
        <v/>
      </c>
      <c r="AP18" s="7">
        <f>'Jan2027-COLLECTION'!K17</f>
        <v/>
      </c>
      <c r="AQ18" s="10">
        <f>'Jan2027-EXPENSE'!R21</f>
        <v/>
      </c>
      <c r="AR18" s="10" t="n"/>
      <c r="AS18" s="174">
        <f>AP18-(AQ18+AR18)</f>
        <v/>
      </c>
      <c r="AT18" s="7">
        <f>'Feb2027-COLLECTION'!K17</f>
        <v/>
      </c>
      <c r="AU18" s="10">
        <f>'Feb2027-EXPENSE'!R21</f>
        <v/>
      </c>
      <c r="AV18" s="10" t="n"/>
      <c r="AW18" s="174">
        <f>AT18-(AU18+AV18)</f>
        <v/>
      </c>
      <c r="AX18" s="7">
        <f>'Mar2027-COLLECTION'!K17</f>
        <v/>
      </c>
      <c r="AY18" s="10">
        <f>'Mar2027-EXPENSE'!R21</f>
        <v/>
      </c>
      <c r="AZ18" s="10" t="n"/>
      <c r="BA18" s="174">
        <f>AX18-(AY18+AZ18)</f>
        <v/>
      </c>
      <c r="BB18" s="172">
        <f>SUM(F18,J18,N18,R18,V18,Z18,AD18,AH18,AL18,AP18,AT18,AX18)</f>
        <v/>
      </c>
      <c r="BC18" s="172">
        <f>SUM(J18,N18,R18,V18,Z18,AD18,AH18,AL18,AP18,AT18,AX18)</f>
        <v/>
      </c>
      <c r="BD18" s="172">
        <f>SUM(G18,K18,O18,S18,W18,AA18,AE18,AI18,AM18,AQ18,AU18,AY18)</f>
        <v/>
      </c>
      <c r="BE18" s="172" t="n">
        <v>0</v>
      </c>
      <c r="BF18" s="172">
        <f>BB18-(BD18+BE18)</f>
        <v/>
      </c>
      <c r="BG18" s="172">
        <f>BC18-(BD18+BE18)</f>
        <v/>
      </c>
      <c r="BH18" s="172">
        <f>E18+BF18</f>
        <v/>
      </c>
      <c r="BI18" s="175">
        <f>E18+F18+IF(BG18&gt;=0,BG18,0)</f>
        <v/>
      </c>
      <c r="BJ18" s="175" t="n">
        <v>0</v>
      </c>
    </row>
    <row r="19" ht="16" customHeight="1" s="251">
      <c r="A19" s="169" t="inlineStr">
        <is>
          <t>G1</t>
        </is>
      </c>
      <c r="B19" s="13" t="inlineStr">
        <is>
          <t>jyothij1979@gmail.com</t>
        </is>
      </c>
      <c r="C19" s="13" t="inlineStr">
        <is>
          <t>Venkataramanan C</t>
        </is>
      </c>
      <c r="D19" s="170" t="n">
        <v>0</v>
      </c>
      <c r="E19" s="176" t="n">
        <v>0</v>
      </c>
      <c r="F19" s="171">
        <f>'Apr2026-COLLECTION'!K18</f>
        <v/>
      </c>
      <c r="G19" s="172">
        <f>'Apr2026-EXPENSE'!R22</f>
        <v/>
      </c>
      <c r="H19" s="172" t="n"/>
      <c r="I19" s="172">
        <f>F19-(G19+H19)</f>
        <v/>
      </c>
      <c r="J19" s="173">
        <f>'May2026-COLLECTION'!K18</f>
        <v/>
      </c>
      <c r="K19" s="174">
        <f>'May2026-EXPENSE'!R22</f>
        <v/>
      </c>
      <c r="L19" s="174" t="n"/>
      <c r="M19" s="174">
        <f>J19-(K19+L19)</f>
        <v/>
      </c>
      <c r="N19" s="172">
        <f>'June2026-COLLECTION'!K18</f>
        <v/>
      </c>
      <c r="O19" s="172">
        <f>'June2026-EXPENSE'!R22</f>
        <v/>
      </c>
      <c r="P19" s="172" t="n"/>
      <c r="Q19" s="172">
        <f>N19-(O19+P19)</f>
        <v/>
      </c>
      <c r="R19" s="41">
        <f>'July2026-COLLECTION'!K18</f>
        <v/>
      </c>
      <c r="S19" s="174">
        <f>'July2026-EXPENSE'!R22</f>
        <v/>
      </c>
      <c r="T19" s="174" t="n"/>
      <c r="U19" s="174">
        <f>R19-(S19+T19)</f>
        <v/>
      </c>
      <c r="V19" s="167">
        <f>'Aug2026-COLLECTION'!K18</f>
        <v/>
      </c>
      <c r="W19" s="172">
        <f>'Aug2026-EXPENSE'!R22</f>
        <v/>
      </c>
      <c r="X19" s="172" t="n"/>
      <c r="Y19" s="172">
        <f>V19-(W19+X19)</f>
        <v/>
      </c>
      <c r="Z19" s="41">
        <f>'Sep2026-COLLECTION'!K18</f>
        <v/>
      </c>
      <c r="AA19" s="174">
        <f>'Sep2026-EXPENSE'!R22</f>
        <v/>
      </c>
      <c r="AB19" s="174" t="n"/>
      <c r="AC19" s="174">
        <f>Z19-(AA19+AB19)</f>
        <v/>
      </c>
      <c r="AD19" s="41">
        <f>'Oct2026-COLLECTION'!K18</f>
        <v/>
      </c>
      <c r="AE19" s="174">
        <f>'Oct2026-EXPENSE'!R22</f>
        <v/>
      </c>
      <c r="AF19" s="174" t="n"/>
      <c r="AG19" s="174">
        <f>AD19-(AE19+AF19)</f>
        <v/>
      </c>
      <c r="AH19" s="41">
        <f>'Nov2026-COLLECTION'!K18</f>
        <v/>
      </c>
      <c r="AI19" s="174">
        <f>'Nov2026-EXPENSE'!R22</f>
        <v/>
      </c>
      <c r="AJ19" s="174" t="n"/>
      <c r="AK19" s="174">
        <f>AH19-(AI19+AJ19)</f>
        <v/>
      </c>
      <c r="AL19" s="41">
        <f>'Dec2026-COLLECTION'!K18</f>
        <v/>
      </c>
      <c r="AM19" s="174">
        <f>'Dec2026-EXPENSE'!R22</f>
        <v/>
      </c>
      <c r="AN19" s="174" t="n"/>
      <c r="AO19" s="174">
        <f>AL19-(AM19+AN19)</f>
        <v/>
      </c>
      <c r="AP19" s="7">
        <f>'Jan2027-COLLECTION'!K18</f>
        <v/>
      </c>
      <c r="AQ19" s="10">
        <f>'Jan2027-EXPENSE'!R22</f>
        <v/>
      </c>
      <c r="AR19" s="10" t="n"/>
      <c r="AS19" s="174">
        <f>AP19-(AQ19+AR19)</f>
        <v/>
      </c>
      <c r="AT19" s="7">
        <f>'Feb2027-COLLECTION'!K18</f>
        <v/>
      </c>
      <c r="AU19" s="10">
        <f>'Feb2027-EXPENSE'!R22</f>
        <v/>
      </c>
      <c r="AV19" s="10" t="n"/>
      <c r="AW19" s="174">
        <f>AT19-(AU19+AV19)</f>
        <v/>
      </c>
      <c r="AX19" s="7">
        <f>'Mar2027-COLLECTION'!K18</f>
        <v/>
      </c>
      <c r="AY19" s="10">
        <f>'Mar2027-EXPENSE'!R22</f>
        <v/>
      </c>
      <c r="AZ19" s="10" t="n"/>
      <c r="BA19" s="174">
        <f>AX19-(AY19+AZ19)</f>
        <v/>
      </c>
      <c r="BB19" s="172">
        <f>SUM(F19,J19,N19,R19,V19,Z19,AD19,AH19,AL19,AP19,AT19,AX19)</f>
        <v/>
      </c>
      <c r="BC19" s="172">
        <f>SUM(J19,N19,R19,V19,Z19,AD19,AH19,AL19,AP19,AT19,AX19)</f>
        <v/>
      </c>
      <c r="BD19" s="172">
        <f>SUM(G19,K19,O19,S19,W19,AA19,AE19,AI19,AM19,AQ19,AU19,AY19)</f>
        <v/>
      </c>
      <c r="BE19" s="172" t="n">
        <v>0</v>
      </c>
      <c r="BF19" s="172">
        <f>BB19-(BD19+BE19)</f>
        <v/>
      </c>
      <c r="BG19" s="172">
        <f>BC19-(BD19+BE19)</f>
        <v/>
      </c>
      <c r="BH19" s="172">
        <f>E19+BF19</f>
        <v/>
      </c>
      <c r="BI19" s="175">
        <f>E19+F19+IF(BG19&gt;=0,BG19,0)</f>
        <v/>
      </c>
      <c r="BJ19" s="175" t="n">
        <v>0</v>
      </c>
    </row>
    <row r="20" ht="16" customHeight="1" s="251">
      <c r="A20" s="169" t="inlineStr">
        <is>
          <t>G2</t>
        </is>
      </c>
      <c r="B20" s="13" t="n"/>
      <c r="C20" s="13" t="inlineStr">
        <is>
          <t>Kaushik Kasibhatla</t>
        </is>
      </c>
      <c r="D20" s="170" t="n">
        <v>0</v>
      </c>
      <c r="E20" s="176" t="n">
        <v>0</v>
      </c>
      <c r="F20" s="171">
        <f>'Apr2026-COLLECTION'!K19</f>
        <v/>
      </c>
      <c r="G20" s="172">
        <f>'Apr2026-EXPENSE'!R23</f>
        <v/>
      </c>
      <c r="H20" s="172" t="n"/>
      <c r="I20" s="172">
        <f>F20-(G20+H20)</f>
        <v/>
      </c>
      <c r="J20" s="173">
        <f>'May2026-COLLECTION'!K19</f>
        <v/>
      </c>
      <c r="K20" s="174">
        <f>'May2026-EXPENSE'!R23</f>
        <v/>
      </c>
      <c r="L20" s="174" t="n"/>
      <c r="M20" s="174">
        <f>J20-(K20+L20)</f>
        <v/>
      </c>
      <c r="N20" s="172">
        <f>'June2026-COLLECTION'!K19</f>
        <v/>
      </c>
      <c r="O20" s="172">
        <f>'June2026-EXPENSE'!R23</f>
        <v/>
      </c>
      <c r="P20" s="172" t="n"/>
      <c r="Q20" s="172">
        <f>N20-(O20+P20)</f>
        <v/>
      </c>
      <c r="R20" s="41">
        <f>'July2026-COLLECTION'!K19</f>
        <v/>
      </c>
      <c r="S20" s="174">
        <f>'July2026-EXPENSE'!R23</f>
        <v/>
      </c>
      <c r="T20" s="174" t="n"/>
      <c r="U20" s="174">
        <f>R20-(S20+T20)</f>
        <v/>
      </c>
      <c r="V20" s="167">
        <f>'Aug2026-COLLECTION'!K19</f>
        <v/>
      </c>
      <c r="W20" s="172">
        <f>'Aug2026-EXPENSE'!R23</f>
        <v/>
      </c>
      <c r="X20" s="172" t="n"/>
      <c r="Y20" s="172">
        <f>V20-(W20+X20)</f>
        <v/>
      </c>
      <c r="Z20" s="41">
        <f>'Sep2026-COLLECTION'!K19</f>
        <v/>
      </c>
      <c r="AA20" s="174">
        <f>'Sep2026-EXPENSE'!R23</f>
        <v/>
      </c>
      <c r="AB20" s="174" t="n"/>
      <c r="AC20" s="174">
        <f>Z20-(AA20+AB20)</f>
        <v/>
      </c>
      <c r="AD20" s="41">
        <f>'Oct2026-COLLECTION'!K19</f>
        <v/>
      </c>
      <c r="AE20" s="174">
        <f>'Oct2026-EXPENSE'!R23</f>
        <v/>
      </c>
      <c r="AF20" s="174" t="n"/>
      <c r="AG20" s="174">
        <f>AD20-(AE20+AF20)</f>
        <v/>
      </c>
      <c r="AH20" s="41">
        <f>'Nov2026-COLLECTION'!K19</f>
        <v/>
      </c>
      <c r="AI20" s="174">
        <f>'Nov2026-EXPENSE'!R23</f>
        <v/>
      </c>
      <c r="AJ20" s="174" t="n"/>
      <c r="AK20" s="174">
        <f>AH20-(AI20+AJ20)</f>
        <v/>
      </c>
      <c r="AL20" s="41">
        <f>'Dec2026-COLLECTION'!K19</f>
        <v/>
      </c>
      <c r="AM20" s="174">
        <f>'Dec2026-EXPENSE'!R23</f>
        <v/>
      </c>
      <c r="AN20" s="174" t="n"/>
      <c r="AO20" s="174">
        <f>AL20-(AM20+AN20)</f>
        <v/>
      </c>
      <c r="AP20" s="7">
        <f>'Jan2027-COLLECTION'!K19</f>
        <v/>
      </c>
      <c r="AQ20" s="10">
        <f>'Jan2027-EXPENSE'!R23</f>
        <v/>
      </c>
      <c r="AR20" s="10" t="n"/>
      <c r="AS20" s="174">
        <f>AP20-(AQ20+AR20)</f>
        <v/>
      </c>
      <c r="AT20" s="7">
        <f>'Feb2027-COLLECTION'!K19</f>
        <v/>
      </c>
      <c r="AU20" s="10">
        <f>'Feb2027-EXPENSE'!R23</f>
        <v/>
      </c>
      <c r="AV20" s="10" t="n"/>
      <c r="AW20" s="174">
        <f>AT20-(AU20+AV20)</f>
        <v/>
      </c>
      <c r="AX20" s="7">
        <f>'Mar2027-COLLECTION'!K19</f>
        <v/>
      </c>
      <c r="AY20" s="10">
        <f>'Mar2027-EXPENSE'!R23</f>
        <v/>
      </c>
      <c r="AZ20" s="10" t="n"/>
      <c r="BA20" s="174">
        <f>AX20-(AY20+AZ20)</f>
        <v/>
      </c>
      <c r="BB20" s="172">
        <f>SUM(F20,J20,N20,R20,V20,Z20,AD20,AH20,AL20,AP20,AT20,AX20)</f>
        <v/>
      </c>
      <c r="BC20" s="172">
        <f>SUM(J20,N20,R20,V20,Z20,AD20,AH20,AL20,AP20,AT20,AX20)</f>
        <v/>
      </c>
      <c r="BD20" s="172">
        <f>SUM(G20,K20,O20,S20,W20,AA20,AE20,AI20,AM20,AQ20,AU20,AY20)</f>
        <v/>
      </c>
      <c r="BE20" s="172" t="n">
        <v>0</v>
      </c>
      <c r="BF20" s="172">
        <f>BB20-(BD20+BE20)</f>
        <v/>
      </c>
      <c r="BG20" s="172">
        <f>BC20-(BD20+BE20)</f>
        <v/>
      </c>
      <c r="BH20" s="172">
        <f>E20+BF20</f>
        <v/>
      </c>
      <c r="BI20" s="175">
        <f>E20+F20+IF(BG20&gt;=0,BG20,0)</f>
        <v/>
      </c>
      <c r="BJ20" s="175" t="n">
        <v>0</v>
      </c>
    </row>
    <row r="21" ht="15.75" customHeight="1" s="251">
      <c r="A21" s="169" t="inlineStr">
        <is>
          <t>G3</t>
        </is>
      </c>
      <c r="B21" s="13" t="n"/>
      <c r="C21" s="13" t="inlineStr">
        <is>
          <t>Balakrishnan</t>
        </is>
      </c>
      <c r="D21" s="170" t="n">
        <v>0</v>
      </c>
      <c r="E21" s="176" t="n">
        <v>0</v>
      </c>
      <c r="F21" s="171">
        <f>'Apr2026-COLLECTION'!K20</f>
        <v/>
      </c>
      <c r="G21" s="172">
        <f>'Apr2026-EXPENSE'!R24</f>
        <v/>
      </c>
      <c r="H21" s="172" t="n"/>
      <c r="I21" s="172">
        <f>F21-(G21+H21)</f>
        <v/>
      </c>
      <c r="J21" s="173">
        <f>'May2026-COLLECTION'!K20</f>
        <v/>
      </c>
      <c r="K21" s="174">
        <f>'May2026-EXPENSE'!R24</f>
        <v/>
      </c>
      <c r="L21" s="174" t="n"/>
      <c r="M21" s="174">
        <f>J21-(K21+L21)</f>
        <v/>
      </c>
      <c r="N21" s="172">
        <f>'June2026-COLLECTION'!K20</f>
        <v/>
      </c>
      <c r="O21" s="172">
        <f>'June2026-EXPENSE'!R24</f>
        <v/>
      </c>
      <c r="P21" s="172" t="n"/>
      <c r="Q21" s="172">
        <f>N21-(O21+P21)</f>
        <v/>
      </c>
      <c r="R21" s="41">
        <f>'July2026-COLLECTION'!K20</f>
        <v/>
      </c>
      <c r="S21" s="174">
        <f>'July2026-EXPENSE'!R24</f>
        <v/>
      </c>
      <c r="T21" s="174" t="n"/>
      <c r="U21" s="174">
        <f>R21-(S21+T21)</f>
        <v/>
      </c>
      <c r="V21" s="167">
        <f>'Aug2026-COLLECTION'!K20</f>
        <v/>
      </c>
      <c r="W21" s="172">
        <f>'Aug2026-EXPENSE'!R24</f>
        <v/>
      </c>
      <c r="X21" s="172" t="n"/>
      <c r="Y21" s="172">
        <f>V21-(W21+X21)</f>
        <v/>
      </c>
      <c r="Z21" s="41">
        <f>'Sep2026-COLLECTION'!K20</f>
        <v/>
      </c>
      <c r="AA21" s="174">
        <f>'Sep2026-EXPENSE'!R24</f>
        <v/>
      </c>
      <c r="AB21" s="174" t="n"/>
      <c r="AC21" s="174">
        <f>Z21-(AA21+AB21)</f>
        <v/>
      </c>
      <c r="AD21" s="41">
        <f>'Oct2026-COLLECTION'!K20</f>
        <v/>
      </c>
      <c r="AE21" s="174">
        <f>'Oct2026-EXPENSE'!R24</f>
        <v/>
      </c>
      <c r="AF21" s="174" t="n"/>
      <c r="AG21" s="174">
        <f>AD21-(AE21+AF21)</f>
        <v/>
      </c>
      <c r="AH21" s="41">
        <f>'Nov2026-COLLECTION'!K20</f>
        <v/>
      </c>
      <c r="AI21" s="174">
        <f>'Nov2026-EXPENSE'!R24</f>
        <v/>
      </c>
      <c r="AJ21" s="174" t="n"/>
      <c r="AK21" s="174">
        <f>AH21-(AI21+AJ21)</f>
        <v/>
      </c>
      <c r="AL21" s="41">
        <f>'Dec2026-COLLECTION'!K20</f>
        <v/>
      </c>
      <c r="AM21" s="174">
        <f>'Dec2026-EXPENSE'!R24</f>
        <v/>
      </c>
      <c r="AN21" s="174" t="n"/>
      <c r="AO21" s="174">
        <f>AL21-(AM21+AN21)</f>
        <v/>
      </c>
      <c r="AP21" s="7">
        <f>'Jan2027-COLLECTION'!K20</f>
        <v/>
      </c>
      <c r="AQ21" s="10">
        <f>'Jan2027-EXPENSE'!R24</f>
        <v/>
      </c>
      <c r="AR21" s="10" t="n"/>
      <c r="AS21" s="174">
        <f>AP21-(AQ21+AR21)</f>
        <v/>
      </c>
      <c r="AT21" s="7">
        <f>'Feb2027-COLLECTION'!K20</f>
        <v/>
      </c>
      <c r="AU21" s="10">
        <f>'Feb2027-EXPENSE'!R24</f>
        <v/>
      </c>
      <c r="AV21" s="10" t="n"/>
      <c r="AW21" s="174">
        <f>AT21-(AU21+AV21)</f>
        <v/>
      </c>
      <c r="AX21" s="7">
        <f>'Mar2027-COLLECTION'!K20</f>
        <v/>
      </c>
      <c r="AY21" s="10">
        <f>'Mar2027-EXPENSE'!R24</f>
        <v/>
      </c>
      <c r="AZ21" s="10" t="n"/>
      <c r="BA21" s="174">
        <f>AX21-(AY21+AZ21)</f>
        <v/>
      </c>
      <c r="BB21" s="172">
        <f>SUM(F21,J21,N21,R21,V21,Z21,AD21,AH21,AL21,AP21,AT21,AX21)</f>
        <v/>
      </c>
      <c r="BC21" s="172">
        <f>SUM(J21,N21,R21,V21,Z21,AD21,AH21,AL21,AP21,AT21,AX21)</f>
        <v/>
      </c>
      <c r="BD21" s="172">
        <f>SUM(G21,K21,O21,S21,W21,AA21,AE21,AI21,AM21,AQ21,AU21,AY21)</f>
        <v/>
      </c>
      <c r="BE21" s="172" t="n">
        <v>0</v>
      </c>
      <c r="BF21" s="172">
        <f>BB21-(BD21+BE21)</f>
        <v/>
      </c>
      <c r="BG21" s="172">
        <f>BC21-(BD21+BE21)</f>
        <v/>
      </c>
      <c r="BH21" s="172">
        <f>E21+BF21</f>
        <v/>
      </c>
      <c r="BI21" s="175">
        <f>E21+F21+IF(BG21&gt;=0,BG21,0)</f>
        <v/>
      </c>
      <c r="BJ21" s="175" t="n">
        <v>0</v>
      </c>
    </row>
    <row r="22" ht="15.75" customHeight="1" s="251">
      <c r="A22" s="169" t="inlineStr">
        <is>
          <t>G4</t>
        </is>
      </c>
      <c r="B22" s="13" t="n"/>
      <c r="C22" s="13" t="inlineStr">
        <is>
          <t>Ashwin Pandith</t>
        </is>
      </c>
      <c r="D22" s="170" t="n">
        <v>0</v>
      </c>
      <c r="E22" s="176" t="n">
        <v>0</v>
      </c>
      <c r="F22" s="171">
        <f>'Apr2026-COLLECTION'!K21</f>
        <v/>
      </c>
      <c r="G22" s="172">
        <f>'Apr2026-EXPENSE'!R25</f>
        <v/>
      </c>
      <c r="H22" s="172" t="n"/>
      <c r="I22" s="172">
        <f>F22-(G22+H22)</f>
        <v/>
      </c>
      <c r="J22" s="173">
        <f>'May2026-COLLECTION'!K21</f>
        <v/>
      </c>
      <c r="K22" s="174">
        <f>'May2026-EXPENSE'!R25</f>
        <v/>
      </c>
      <c r="L22" s="174" t="n"/>
      <c r="M22" s="174">
        <f>J22-(K22+L22)</f>
        <v/>
      </c>
      <c r="N22" s="172">
        <f>'June2026-COLLECTION'!K21</f>
        <v/>
      </c>
      <c r="O22" s="172">
        <f>'June2026-EXPENSE'!R25</f>
        <v/>
      </c>
      <c r="P22" s="172" t="n"/>
      <c r="Q22" s="172">
        <f>N22-(O22+P22)</f>
        <v/>
      </c>
      <c r="R22" s="41">
        <f>'July2026-COLLECTION'!K21</f>
        <v/>
      </c>
      <c r="S22" s="174">
        <f>'July2026-EXPENSE'!R25</f>
        <v/>
      </c>
      <c r="T22" s="174" t="n"/>
      <c r="U22" s="174">
        <f>R22-(S22+T22)</f>
        <v/>
      </c>
      <c r="V22" s="167">
        <f>'Aug2026-COLLECTION'!K21</f>
        <v/>
      </c>
      <c r="W22" s="172">
        <f>'Aug2026-EXPENSE'!R25</f>
        <v/>
      </c>
      <c r="X22" s="172" t="n"/>
      <c r="Y22" s="172">
        <f>V22-(W22+X22)</f>
        <v/>
      </c>
      <c r="Z22" s="41">
        <f>'Sep2026-COLLECTION'!K21</f>
        <v/>
      </c>
      <c r="AA22" s="174">
        <f>'Sep2026-EXPENSE'!R25</f>
        <v/>
      </c>
      <c r="AB22" s="174" t="n"/>
      <c r="AC22" s="174">
        <f>Z22-(AA22+AB22)</f>
        <v/>
      </c>
      <c r="AD22" s="41">
        <f>'Oct2026-COLLECTION'!K21</f>
        <v/>
      </c>
      <c r="AE22" s="174">
        <f>'Oct2026-EXPENSE'!R25</f>
        <v/>
      </c>
      <c r="AF22" s="174" t="n"/>
      <c r="AG22" s="174">
        <f>AD22-(AE22+AF22)</f>
        <v/>
      </c>
      <c r="AH22" s="41">
        <f>'Nov2026-COLLECTION'!K21</f>
        <v/>
      </c>
      <c r="AI22" s="174">
        <f>'Nov2026-EXPENSE'!R25</f>
        <v/>
      </c>
      <c r="AJ22" s="174" t="n"/>
      <c r="AK22" s="174">
        <f>AH22-(AI22+AJ22)</f>
        <v/>
      </c>
      <c r="AL22" s="41">
        <f>'Dec2026-COLLECTION'!K21</f>
        <v/>
      </c>
      <c r="AM22" s="174">
        <f>'Dec2026-EXPENSE'!R25</f>
        <v/>
      </c>
      <c r="AN22" s="174" t="n"/>
      <c r="AO22" s="174">
        <f>AL22-(AM22+AN22)</f>
        <v/>
      </c>
      <c r="AP22" s="7">
        <f>'Jan2027-COLLECTION'!K21</f>
        <v/>
      </c>
      <c r="AQ22" s="10">
        <f>'Jan2027-EXPENSE'!R25</f>
        <v/>
      </c>
      <c r="AR22" s="10" t="n"/>
      <c r="AS22" s="174">
        <f>AP22-(AQ22+AR22)</f>
        <v/>
      </c>
      <c r="AT22" s="7">
        <f>'Feb2027-COLLECTION'!K21</f>
        <v/>
      </c>
      <c r="AU22" s="10">
        <f>'Feb2027-EXPENSE'!R25</f>
        <v/>
      </c>
      <c r="AV22" s="10" t="n"/>
      <c r="AW22" s="174">
        <f>AT22-(AU22+AV22)</f>
        <v/>
      </c>
      <c r="AX22" s="7">
        <f>'Mar2027-COLLECTION'!K21</f>
        <v/>
      </c>
      <c r="AY22" s="10">
        <f>'Mar2027-EXPENSE'!R25</f>
        <v/>
      </c>
      <c r="AZ22" s="10" t="n"/>
      <c r="BA22" s="174">
        <f>AX22-(AY22+AZ22)</f>
        <v/>
      </c>
      <c r="BB22" s="172">
        <f>SUM(F22,J22,N22,R22,V22,Z22,AD22,AH22,AL22,AP22,AT22,AX22)</f>
        <v/>
      </c>
      <c r="BC22" s="172">
        <f>SUM(J22,N22,R22,V22,Z22,AD22,AH22,AL22,AP22,AT22,AX22)</f>
        <v/>
      </c>
      <c r="BD22" s="172">
        <f>SUM(G22,K22,O22,S22,W22,AA22,AE22,AI22,AM22,AQ22,AU22,AY22)</f>
        <v/>
      </c>
      <c r="BE22" s="172" t="n">
        <v>0</v>
      </c>
      <c r="BF22" s="172">
        <f>BB22-(BD22+BE22)</f>
        <v/>
      </c>
      <c r="BG22" s="172">
        <f>BC22-(BD22+BE22)</f>
        <v/>
      </c>
      <c r="BH22" s="172">
        <f>E22+BF22</f>
        <v/>
      </c>
      <c r="BI22" s="175">
        <f>E22+F22+IF(BG22&gt;=0,BG22,0)</f>
        <v/>
      </c>
      <c r="BJ22" s="175" t="n">
        <v>0</v>
      </c>
    </row>
    <row r="23" ht="15.75" customHeight="1" s="251">
      <c r="A23" s="169" t="inlineStr">
        <is>
          <t>G5</t>
        </is>
      </c>
      <c r="B23" s="13" t="n"/>
      <c r="C23" s="13" t="inlineStr">
        <is>
          <t>Mayank Phophaliya</t>
        </is>
      </c>
      <c r="D23" s="170" t="n">
        <v>0</v>
      </c>
      <c r="E23" s="176" t="n">
        <v>0</v>
      </c>
      <c r="F23" s="171">
        <f>'Apr2026-COLLECTION'!K22</f>
        <v/>
      </c>
      <c r="G23" s="172">
        <f>'Apr2026-EXPENSE'!R26</f>
        <v/>
      </c>
      <c r="H23" s="172" t="n"/>
      <c r="I23" s="172">
        <f>F23-(G23+H23)</f>
        <v/>
      </c>
      <c r="J23" s="173">
        <f>'May2026-COLLECTION'!K22</f>
        <v/>
      </c>
      <c r="K23" s="174">
        <f>'May2026-EXPENSE'!R26</f>
        <v/>
      </c>
      <c r="L23" s="174" t="n"/>
      <c r="M23" s="174">
        <f>J23-(K23+L23)</f>
        <v/>
      </c>
      <c r="N23" s="172">
        <f>'June2026-COLLECTION'!K22</f>
        <v/>
      </c>
      <c r="O23" s="172">
        <f>'June2026-EXPENSE'!R26</f>
        <v/>
      </c>
      <c r="P23" s="172" t="n"/>
      <c r="Q23" s="172">
        <f>N23-(O23+P23)</f>
        <v/>
      </c>
      <c r="R23" s="41">
        <f>'July2026-COLLECTION'!K22</f>
        <v/>
      </c>
      <c r="S23" s="174">
        <f>'July2026-EXPENSE'!R26</f>
        <v/>
      </c>
      <c r="T23" s="174" t="n"/>
      <c r="U23" s="174">
        <f>R23-(S23+T23)</f>
        <v/>
      </c>
      <c r="V23" s="167">
        <f>'Aug2026-COLLECTION'!K22</f>
        <v/>
      </c>
      <c r="W23" s="172">
        <f>'Aug2026-EXPENSE'!R26</f>
        <v/>
      </c>
      <c r="X23" s="172" t="n"/>
      <c r="Y23" s="172">
        <f>V23-(W23+X23)</f>
        <v/>
      </c>
      <c r="Z23" s="41">
        <f>'Sep2026-COLLECTION'!K22</f>
        <v/>
      </c>
      <c r="AA23" s="174">
        <f>'Sep2026-EXPENSE'!R26</f>
        <v/>
      </c>
      <c r="AB23" s="174" t="n"/>
      <c r="AC23" s="174">
        <f>Z23-(AA23+AB23)</f>
        <v/>
      </c>
      <c r="AD23" s="41">
        <f>'Oct2026-COLLECTION'!K22</f>
        <v/>
      </c>
      <c r="AE23" s="174">
        <f>'Oct2026-EXPENSE'!R26</f>
        <v/>
      </c>
      <c r="AF23" s="174" t="n"/>
      <c r="AG23" s="174">
        <f>AD23-(AE23+AF23)</f>
        <v/>
      </c>
      <c r="AH23" s="41">
        <f>'Nov2026-COLLECTION'!K22</f>
        <v/>
      </c>
      <c r="AI23" s="174">
        <f>'Nov2026-EXPENSE'!R26</f>
        <v/>
      </c>
      <c r="AJ23" s="174" t="n"/>
      <c r="AK23" s="174">
        <f>AH23-(AI23+AJ23)</f>
        <v/>
      </c>
      <c r="AL23" s="41">
        <f>'Dec2026-COLLECTION'!K22</f>
        <v/>
      </c>
      <c r="AM23" s="174">
        <f>'Dec2026-EXPENSE'!R26</f>
        <v/>
      </c>
      <c r="AN23" s="174" t="n"/>
      <c r="AO23" s="174">
        <f>AL23-(AM23+AN23)</f>
        <v/>
      </c>
      <c r="AP23" s="7">
        <f>'Jan2027-COLLECTION'!K22</f>
        <v/>
      </c>
      <c r="AQ23" s="10">
        <f>'Jan2027-EXPENSE'!R26</f>
        <v/>
      </c>
      <c r="AR23" s="10" t="n"/>
      <c r="AS23" s="174">
        <f>AP23-(AQ23+AR23)</f>
        <v/>
      </c>
      <c r="AT23" s="7">
        <f>'Feb2027-COLLECTION'!K22</f>
        <v/>
      </c>
      <c r="AU23" s="10">
        <f>'Feb2027-EXPENSE'!R26</f>
        <v/>
      </c>
      <c r="AV23" s="10" t="n"/>
      <c r="AW23" s="174">
        <f>AT23-(AU23+AV23)</f>
        <v/>
      </c>
      <c r="AX23" s="7">
        <f>'Mar2027-COLLECTION'!K22</f>
        <v/>
      </c>
      <c r="AY23" s="10">
        <f>'Mar2027-EXPENSE'!R26</f>
        <v/>
      </c>
      <c r="AZ23" s="10" t="n"/>
      <c r="BA23" s="174">
        <f>AX23-(AY23+AZ23)</f>
        <v/>
      </c>
      <c r="BB23" s="172">
        <f>SUM(F23,J23,N23,R23,V23,Z23,AD23,AH23,AL23,AP23,AT23,AX23)</f>
        <v/>
      </c>
      <c r="BC23" s="172">
        <f>SUM(J23,N23,R23,V23,Z23,AD23,AH23,AL23,AP23,AT23,AX23)</f>
        <v/>
      </c>
      <c r="BD23" s="172">
        <f>SUM(G23,K23,O23,S23,W23,AA23,AE23,AI23,AM23,AQ23,AU23,AY23)</f>
        <v/>
      </c>
      <c r="BE23" s="172" t="n">
        <v>0</v>
      </c>
      <c r="BF23" s="172">
        <f>BB23-(BD23+BE23)</f>
        <v/>
      </c>
      <c r="BG23" s="172">
        <f>BC23-(BD23+BE23)</f>
        <v/>
      </c>
      <c r="BH23" s="172">
        <f>E23+BF23</f>
        <v/>
      </c>
      <c r="BI23" s="175">
        <f>E23+F23+IF(BG23&gt;=0,BG23,0)</f>
        <v/>
      </c>
      <c r="BJ23" s="175" t="n">
        <v>0</v>
      </c>
    </row>
    <row r="24" ht="15.75" customHeight="1" s="251">
      <c r="A24" s="169" t="inlineStr">
        <is>
          <t>G6</t>
        </is>
      </c>
      <c r="B24" s="13" t="n"/>
      <c r="C24" s="13" t="inlineStr">
        <is>
          <t>Srinath / Tenant - Mohit Daga</t>
        </is>
      </c>
      <c r="D24" s="170" t="n">
        <v>0</v>
      </c>
      <c r="E24" s="176">
        <f>-87741.03+10034+15000-9500-9500</f>
        <v/>
      </c>
      <c r="F24" s="171">
        <f>'Apr2026-COLLECTION'!K23</f>
        <v/>
      </c>
      <c r="G24" s="172">
        <f>'Apr2026-EXPENSE'!R27</f>
        <v/>
      </c>
      <c r="H24" s="172" t="n"/>
      <c r="I24" s="172">
        <f>F24-(G24+H24)</f>
        <v/>
      </c>
      <c r="J24" s="173">
        <f>'May2026-COLLECTION'!K23</f>
        <v/>
      </c>
      <c r="K24" s="174">
        <f>'May2026-EXPENSE'!R27</f>
        <v/>
      </c>
      <c r="L24" s="174" t="n">
        <v>0</v>
      </c>
      <c r="M24" s="174">
        <f>J24-(K24+L24)</f>
        <v/>
      </c>
      <c r="N24" s="172">
        <f>'June2026-COLLECTION'!K23</f>
        <v/>
      </c>
      <c r="O24" s="172">
        <f>'June2026-EXPENSE'!R27</f>
        <v/>
      </c>
      <c r="P24" s="172" t="n"/>
      <c r="Q24" s="172">
        <f>N24-(O24+P24)</f>
        <v/>
      </c>
      <c r="R24" s="41">
        <f>'July2026-COLLECTION'!K23</f>
        <v/>
      </c>
      <c r="S24" s="174">
        <f>'July2026-EXPENSE'!R27</f>
        <v/>
      </c>
      <c r="T24" s="174" t="n"/>
      <c r="U24" s="174">
        <f>R24-(S24+T24)</f>
        <v/>
      </c>
      <c r="V24" s="167">
        <f>'Aug2026-COLLECTION'!K23</f>
        <v/>
      </c>
      <c r="W24" s="172">
        <f>'Aug2026-EXPENSE'!R27</f>
        <v/>
      </c>
      <c r="X24" s="172" t="n"/>
      <c r="Y24" s="172">
        <f>V24-(W24+X24)</f>
        <v/>
      </c>
      <c r="Z24" s="41">
        <f>'Sep2026-COLLECTION'!K23</f>
        <v/>
      </c>
      <c r="AA24" s="174">
        <f>'Sep2026-EXPENSE'!R27</f>
        <v/>
      </c>
      <c r="AB24" s="174" t="n"/>
      <c r="AC24" s="174">
        <f>Z24-(AA24+AB24)</f>
        <v/>
      </c>
      <c r="AD24" s="41">
        <f>'Oct2026-COLLECTION'!K23</f>
        <v/>
      </c>
      <c r="AE24" s="174">
        <f>'Oct2026-EXPENSE'!R27</f>
        <v/>
      </c>
      <c r="AF24" s="174" t="n"/>
      <c r="AG24" s="174">
        <f>AD24-(AE24+AF24)</f>
        <v/>
      </c>
      <c r="AH24" s="41">
        <f>'Nov2026-COLLECTION'!K23</f>
        <v/>
      </c>
      <c r="AI24" s="174">
        <f>'Nov2026-EXPENSE'!R27</f>
        <v/>
      </c>
      <c r="AJ24" s="174" t="n"/>
      <c r="AK24" s="174">
        <f>AH24-(AI24+AJ24)</f>
        <v/>
      </c>
      <c r="AL24" s="41">
        <f>'Dec2026-COLLECTION'!K23</f>
        <v/>
      </c>
      <c r="AM24" s="174">
        <f>'Dec2026-EXPENSE'!R27</f>
        <v/>
      </c>
      <c r="AN24" s="174" t="n"/>
      <c r="AO24" s="174">
        <f>AL24-(AM24+AN24)</f>
        <v/>
      </c>
      <c r="AP24" s="7">
        <f>'Jan2027-COLLECTION'!K23</f>
        <v/>
      </c>
      <c r="AQ24" s="10">
        <f>'Jan2027-EXPENSE'!R27</f>
        <v/>
      </c>
      <c r="AR24" s="10" t="n"/>
      <c r="AS24" s="174">
        <f>AP24-(AQ24+AR24)</f>
        <v/>
      </c>
      <c r="AT24" s="7">
        <f>'Feb2027-COLLECTION'!K23</f>
        <v/>
      </c>
      <c r="AU24" s="10">
        <f>'Feb2027-EXPENSE'!R27</f>
        <v/>
      </c>
      <c r="AV24" s="10" t="n"/>
      <c r="AW24" s="174">
        <f>AT24-(AU24+AV24)</f>
        <v/>
      </c>
      <c r="AX24" s="7">
        <f>'Mar2027-COLLECTION'!K23</f>
        <v/>
      </c>
      <c r="AY24" s="10">
        <f>'Mar2027-EXPENSE'!R27</f>
        <v/>
      </c>
      <c r="AZ24" s="10" t="n"/>
      <c r="BA24" s="174">
        <f>AX24-(AY24+AZ24)</f>
        <v/>
      </c>
      <c r="BB24" s="172">
        <f>SUM(F24,J24,N24,R24,V24,Z24,AD24,AH24,AL24,AP24,AT24,AX24)</f>
        <v/>
      </c>
      <c r="BC24" s="172">
        <f>SUM(J24,N24,R24,V24,Z24,AD24,AH24,AL24,AP24,AT24,AX24)</f>
        <v/>
      </c>
      <c r="BD24" s="172">
        <f>SUM(G24,K24,O24,S24,W24,AA24,AE24,AI24,AM24,AQ24,AU24,AY24)</f>
        <v/>
      </c>
      <c r="BE24" s="172" t="n">
        <v>0</v>
      </c>
      <c r="BF24" s="172">
        <f>BB24-(BD24+BE24)</f>
        <v/>
      </c>
      <c r="BG24" s="172">
        <f>BC24-(BD24+BE24)</f>
        <v/>
      </c>
      <c r="BH24" s="172">
        <f>E24+BF24</f>
        <v/>
      </c>
      <c r="BI24" s="175">
        <f>E24+F24+IF(BG24&gt;=0,BG24,0)</f>
        <v/>
      </c>
      <c r="BJ24" s="175" t="n">
        <v>0</v>
      </c>
    </row>
    <row r="25" ht="15.75" customHeight="1" s="251">
      <c r="A25" s="169" t="inlineStr">
        <is>
          <t>G7</t>
        </is>
      </c>
      <c r="B25" s="13" t="n"/>
      <c r="C25" s="13" t="inlineStr">
        <is>
          <t>Prince Richfield</t>
        </is>
      </c>
      <c r="D25" s="170" t="n">
        <v>0</v>
      </c>
      <c r="E25" s="176" t="n">
        <v>0</v>
      </c>
      <c r="F25" s="171">
        <f>'Apr2026-COLLECTION'!K24</f>
        <v/>
      </c>
      <c r="G25" s="172">
        <f>'Apr2026-EXPENSE'!R28</f>
        <v/>
      </c>
      <c r="H25" s="172" t="n"/>
      <c r="I25" s="172">
        <f>F25-(G25+H25)</f>
        <v/>
      </c>
      <c r="J25" s="173">
        <f>'May2026-COLLECTION'!K24</f>
        <v/>
      </c>
      <c r="K25" s="174">
        <f>'May2026-EXPENSE'!R28</f>
        <v/>
      </c>
      <c r="L25" s="174" t="n"/>
      <c r="M25" s="174">
        <f>J25-(K25+L25)</f>
        <v/>
      </c>
      <c r="N25" s="172">
        <f>'June2026-COLLECTION'!K24</f>
        <v/>
      </c>
      <c r="O25" s="172">
        <f>'June2026-EXPENSE'!R28</f>
        <v/>
      </c>
      <c r="P25" s="172" t="n"/>
      <c r="Q25" s="172">
        <f>N25-(O25+P25)</f>
        <v/>
      </c>
      <c r="R25" s="41">
        <f>'July2026-COLLECTION'!K24</f>
        <v/>
      </c>
      <c r="S25" s="174">
        <f>'July2026-EXPENSE'!R28</f>
        <v/>
      </c>
      <c r="T25" s="174" t="n"/>
      <c r="U25" s="174">
        <f>R25-(S25+T25)</f>
        <v/>
      </c>
      <c r="V25" s="167">
        <f>'Aug2026-COLLECTION'!K24</f>
        <v/>
      </c>
      <c r="W25" s="172">
        <f>'Aug2026-EXPENSE'!R28</f>
        <v/>
      </c>
      <c r="X25" s="172" t="n"/>
      <c r="Y25" s="172">
        <f>V25-(W25+X25)</f>
        <v/>
      </c>
      <c r="Z25" s="41">
        <f>'Sep2026-COLLECTION'!K24</f>
        <v/>
      </c>
      <c r="AA25" s="174">
        <f>'Sep2026-EXPENSE'!R28</f>
        <v/>
      </c>
      <c r="AB25" s="174" t="n"/>
      <c r="AC25" s="174">
        <f>Z25-(AA25+AB25)</f>
        <v/>
      </c>
      <c r="AD25" s="41">
        <f>'Oct2026-COLLECTION'!K24</f>
        <v/>
      </c>
      <c r="AE25" s="174">
        <f>'Oct2026-EXPENSE'!R28</f>
        <v/>
      </c>
      <c r="AF25" s="174" t="n"/>
      <c r="AG25" s="174">
        <f>AD25-(AE25+AF25)</f>
        <v/>
      </c>
      <c r="AH25" s="41">
        <f>'Nov2026-COLLECTION'!K24</f>
        <v/>
      </c>
      <c r="AI25" s="174">
        <f>'Nov2026-EXPENSE'!R28</f>
        <v/>
      </c>
      <c r="AJ25" s="174" t="n"/>
      <c r="AK25" s="174">
        <f>AH25-(AI25+AJ25)</f>
        <v/>
      </c>
      <c r="AL25" s="41">
        <f>'Dec2026-COLLECTION'!K24</f>
        <v/>
      </c>
      <c r="AM25" s="174">
        <f>'Dec2026-EXPENSE'!R28</f>
        <v/>
      </c>
      <c r="AN25" s="174" t="n"/>
      <c r="AO25" s="174">
        <f>AL25-(AM25+AN25)</f>
        <v/>
      </c>
      <c r="AP25" s="7">
        <f>'Jan2027-COLLECTION'!K24</f>
        <v/>
      </c>
      <c r="AQ25" s="10">
        <f>'Jan2027-EXPENSE'!R28</f>
        <v/>
      </c>
      <c r="AR25" s="10" t="n"/>
      <c r="AS25" s="174">
        <f>AP25-(AQ25+AR25)</f>
        <v/>
      </c>
      <c r="AT25" s="7">
        <f>'Feb2027-COLLECTION'!K24</f>
        <v/>
      </c>
      <c r="AU25" s="10">
        <f>'Feb2027-EXPENSE'!R28</f>
        <v/>
      </c>
      <c r="AV25" s="10" t="n"/>
      <c r="AW25" s="174">
        <f>AT25-(AU25+AV25)</f>
        <v/>
      </c>
      <c r="AX25" s="7">
        <f>'Mar2027-COLLECTION'!K24</f>
        <v/>
      </c>
      <c r="AY25" s="10">
        <f>'Mar2027-EXPENSE'!R28</f>
        <v/>
      </c>
      <c r="AZ25" s="10" t="n"/>
      <c r="BA25" s="174">
        <f>AX25-(AY25+AZ25)</f>
        <v/>
      </c>
      <c r="BB25" s="172">
        <f>SUM(F25,J25,N25,R25,V25,Z25,AD25,AH25,AL25,AP25,AT25,AX25)</f>
        <v/>
      </c>
      <c r="BC25" s="172">
        <f>SUM(J25,N25,R25,V25,Z25,AD25,AH25,AL25,AP25,AT25,AX25)</f>
        <v/>
      </c>
      <c r="BD25" s="172">
        <f>SUM(G25,K25,O25,S25,W25,AA25,AE25,AI25,AM25,AQ25,AU25,AY25)</f>
        <v/>
      </c>
      <c r="BE25" s="172" t="n">
        <v>0</v>
      </c>
      <c r="BF25" s="172">
        <f>BB25-(BD25+BE25)</f>
        <v/>
      </c>
      <c r="BG25" s="172">
        <f>BC25-(BD25+BE25)</f>
        <v/>
      </c>
      <c r="BH25" s="172">
        <f>E25+BF25</f>
        <v/>
      </c>
      <c r="BI25" s="175">
        <f>E25+F25+IF(BG25&gt;=0,BG25,0)</f>
        <v/>
      </c>
      <c r="BJ25" s="175" t="n">
        <v>0</v>
      </c>
    </row>
    <row r="26" ht="15.75" customHeight="1" s="251">
      <c r="A26" s="169" t="inlineStr">
        <is>
          <t>G8</t>
        </is>
      </c>
      <c r="B26" s="13" t="n"/>
      <c r="C26" s="13" t="inlineStr">
        <is>
          <t>Ranjithkumar R / Sameer (tenant) / Princy (tenant)</t>
        </is>
      </c>
      <c r="D26" s="170" t="n">
        <v>0</v>
      </c>
      <c r="E26" s="176" t="n">
        <v>0</v>
      </c>
      <c r="F26" s="171">
        <f>'Apr2026-COLLECTION'!K25</f>
        <v/>
      </c>
      <c r="G26" s="172">
        <f>'Apr2026-EXPENSE'!R29</f>
        <v/>
      </c>
      <c r="H26" s="172" t="n"/>
      <c r="I26" s="172">
        <f>F26-(G26+H26)</f>
        <v/>
      </c>
      <c r="J26" s="173">
        <f>'May2026-COLLECTION'!K25</f>
        <v/>
      </c>
      <c r="K26" s="174">
        <f>'May2026-EXPENSE'!R29</f>
        <v/>
      </c>
      <c r="L26" s="174" t="n"/>
      <c r="M26" s="174">
        <f>J26-(K26+L26)</f>
        <v/>
      </c>
      <c r="N26" s="172">
        <f>'June2026-COLLECTION'!K25</f>
        <v/>
      </c>
      <c r="O26" s="172">
        <f>'June2026-EXPENSE'!R29</f>
        <v/>
      </c>
      <c r="P26" s="172" t="n"/>
      <c r="Q26" s="172">
        <f>N26-(O26+P26)</f>
        <v/>
      </c>
      <c r="R26" s="41">
        <f>'July2026-COLLECTION'!K25</f>
        <v/>
      </c>
      <c r="S26" s="174">
        <f>'July2026-EXPENSE'!R29</f>
        <v/>
      </c>
      <c r="T26" s="174" t="n"/>
      <c r="U26" s="174">
        <f>R26-(S26+T26)</f>
        <v/>
      </c>
      <c r="V26" s="167">
        <f>'Aug2026-COLLECTION'!K25</f>
        <v/>
      </c>
      <c r="W26" s="172">
        <f>'Aug2026-EXPENSE'!R29</f>
        <v/>
      </c>
      <c r="X26" s="172" t="n"/>
      <c r="Y26" s="172">
        <f>V26-(W26+X26)</f>
        <v/>
      </c>
      <c r="Z26" s="41">
        <f>'Sep2026-COLLECTION'!K25</f>
        <v/>
      </c>
      <c r="AA26" s="174">
        <f>'Sep2026-EXPENSE'!R29</f>
        <v/>
      </c>
      <c r="AB26" s="174" t="n"/>
      <c r="AC26" s="174">
        <f>Z26-(AA26+AB26)</f>
        <v/>
      </c>
      <c r="AD26" s="41">
        <f>'Oct2026-COLLECTION'!K25</f>
        <v/>
      </c>
      <c r="AE26" s="174">
        <f>'Oct2026-EXPENSE'!R29</f>
        <v/>
      </c>
      <c r="AF26" s="174" t="n"/>
      <c r="AG26" s="174">
        <f>AD26-(AE26+AF26)</f>
        <v/>
      </c>
      <c r="AH26" s="41">
        <f>'Nov2026-COLLECTION'!K25</f>
        <v/>
      </c>
      <c r="AI26" s="174">
        <f>'Nov2026-EXPENSE'!R29</f>
        <v/>
      </c>
      <c r="AJ26" s="174" t="n"/>
      <c r="AK26" s="174">
        <f>AH26-(AI26+AJ26)</f>
        <v/>
      </c>
      <c r="AL26" s="41">
        <f>'Dec2026-COLLECTION'!K25</f>
        <v/>
      </c>
      <c r="AM26" s="174">
        <f>'Dec2026-EXPENSE'!R29</f>
        <v/>
      </c>
      <c r="AN26" s="174" t="n"/>
      <c r="AO26" s="174">
        <f>AL26-(AM26+AN26)</f>
        <v/>
      </c>
      <c r="AP26" s="7">
        <f>'Jan2027-COLLECTION'!K25</f>
        <v/>
      </c>
      <c r="AQ26" s="10">
        <f>'Jan2027-EXPENSE'!R29</f>
        <v/>
      </c>
      <c r="AR26" s="10" t="n"/>
      <c r="AS26" s="174">
        <f>AP26-(AQ26+AR26)</f>
        <v/>
      </c>
      <c r="AT26" s="7">
        <f>'Feb2027-COLLECTION'!K25</f>
        <v/>
      </c>
      <c r="AU26" s="10">
        <f>'Feb2027-EXPENSE'!R29</f>
        <v/>
      </c>
      <c r="AV26" s="10" t="n"/>
      <c r="AW26" s="174">
        <f>AT26-(AU26+AV26)</f>
        <v/>
      </c>
      <c r="AX26" s="7">
        <f>'Mar2027-COLLECTION'!K25</f>
        <v/>
      </c>
      <c r="AY26" s="10">
        <f>'Mar2027-EXPENSE'!R29</f>
        <v/>
      </c>
      <c r="AZ26" s="10" t="n"/>
      <c r="BA26" s="174">
        <f>AX26-(AY26+AZ26)</f>
        <v/>
      </c>
      <c r="BB26" s="172">
        <f>SUM(F26,J26,N26,R26,V26,Z26,AD26,AH26,AL26,AP26,AT26,AX26)</f>
        <v/>
      </c>
      <c r="BC26" s="172">
        <f>SUM(J26,N26,R26,V26,Z26,AD26,AH26,AL26,AP26,AT26,AX26)</f>
        <v/>
      </c>
      <c r="BD26" s="172">
        <f>SUM(G26,K26,O26,S26,W26,AA26,AE26,AI26,AM26,AQ26,AU26,AY26)</f>
        <v/>
      </c>
      <c r="BE26" s="172" t="n">
        <v>0</v>
      </c>
      <c r="BF26" s="172">
        <f>BB26-(BD26+BE26)</f>
        <v/>
      </c>
      <c r="BG26" s="172">
        <f>BC26-(BD26+BE26)</f>
        <v/>
      </c>
      <c r="BH26" s="172">
        <f>E26+BF26</f>
        <v/>
      </c>
      <c r="BI26" s="175">
        <f>E26+F26+IF(BG26&gt;=0,BG26,0)</f>
        <v/>
      </c>
      <c r="BJ26" s="175" t="n">
        <v>0</v>
      </c>
    </row>
    <row r="27" ht="15.75" customHeight="1" s="251">
      <c r="A27" s="169" t="inlineStr">
        <is>
          <t>G9</t>
        </is>
      </c>
      <c r="B27" s="13" t="n"/>
      <c r="C27" s="13" t="inlineStr">
        <is>
          <t>Chandramouli</t>
        </is>
      </c>
      <c r="D27" s="170" t="n">
        <v>0</v>
      </c>
      <c r="E27" s="176" t="n">
        <v>0</v>
      </c>
      <c r="F27" s="171">
        <f>'Apr2026-COLLECTION'!K26</f>
        <v/>
      </c>
      <c r="G27" s="172">
        <f>'Apr2026-EXPENSE'!R30</f>
        <v/>
      </c>
      <c r="H27" s="172" t="n"/>
      <c r="I27" s="172">
        <f>F27-(G27+H27)</f>
        <v/>
      </c>
      <c r="J27" s="173">
        <f>'May2026-COLLECTION'!K26</f>
        <v/>
      </c>
      <c r="K27" s="174">
        <f>'May2026-EXPENSE'!R30</f>
        <v/>
      </c>
      <c r="L27" s="174" t="n"/>
      <c r="M27" s="174">
        <f>J27-(K27+L27)</f>
        <v/>
      </c>
      <c r="N27" s="172">
        <f>'June2026-COLLECTION'!K26</f>
        <v/>
      </c>
      <c r="O27" s="172">
        <f>'June2026-EXPENSE'!R30</f>
        <v/>
      </c>
      <c r="P27" s="172" t="n"/>
      <c r="Q27" s="172">
        <f>N27-(O27+P27)</f>
        <v/>
      </c>
      <c r="R27" s="41">
        <f>'July2026-COLLECTION'!K26</f>
        <v/>
      </c>
      <c r="S27" s="174">
        <f>'July2026-EXPENSE'!R30</f>
        <v/>
      </c>
      <c r="T27" s="174" t="n"/>
      <c r="U27" s="174">
        <f>R27-(S27+T27)</f>
        <v/>
      </c>
      <c r="V27" s="167">
        <f>'Aug2026-COLLECTION'!K26</f>
        <v/>
      </c>
      <c r="W27" s="172">
        <f>'Aug2026-EXPENSE'!R30</f>
        <v/>
      </c>
      <c r="X27" s="172" t="n"/>
      <c r="Y27" s="172">
        <f>V27-(W27+X27)</f>
        <v/>
      </c>
      <c r="Z27" s="41">
        <f>'Sep2026-COLLECTION'!K26</f>
        <v/>
      </c>
      <c r="AA27" s="174">
        <f>'Sep2026-EXPENSE'!R30</f>
        <v/>
      </c>
      <c r="AB27" s="174" t="n"/>
      <c r="AC27" s="174">
        <f>Z27-(AA27+AB27)</f>
        <v/>
      </c>
      <c r="AD27" s="41">
        <f>'Oct2026-COLLECTION'!K26</f>
        <v/>
      </c>
      <c r="AE27" s="174">
        <f>'Oct2026-EXPENSE'!R30</f>
        <v/>
      </c>
      <c r="AF27" s="174" t="n"/>
      <c r="AG27" s="174">
        <f>AD27-(AE27+AF27)</f>
        <v/>
      </c>
      <c r="AH27" s="41">
        <f>'Nov2026-COLLECTION'!K26</f>
        <v/>
      </c>
      <c r="AI27" s="174">
        <f>'Nov2026-EXPENSE'!R30</f>
        <v/>
      </c>
      <c r="AJ27" s="174" t="n"/>
      <c r="AK27" s="174">
        <f>AH27-(AI27+AJ27)</f>
        <v/>
      </c>
      <c r="AL27" s="41">
        <f>'Dec2026-COLLECTION'!K26</f>
        <v/>
      </c>
      <c r="AM27" s="174">
        <f>'Dec2026-EXPENSE'!R30</f>
        <v/>
      </c>
      <c r="AN27" s="174" t="n"/>
      <c r="AO27" s="174">
        <f>AL27-(AM27+AN27)</f>
        <v/>
      </c>
      <c r="AP27" s="7">
        <f>'Jan2027-COLLECTION'!K26</f>
        <v/>
      </c>
      <c r="AQ27" s="10">
        <f>'Jan2027-EXPENSE'!R30</f>
        <v/>
      </c>
      <c r="AR27" s="10" t="n"/>
      <c r="AS27" s="174">
        <f>AP27-(AQ27+AR27)</f>
        <v/>
      </c>
      <c r="AT27" s="7">
        <f>'Feb2027-COLLECTION'!K26</f>
        <v/>
      </c>
      <c r="AU27" s="10">
        <f>'Feb2027-EXPENSE'!R30</f>
        <v/>
      </c>
      <c r="AV27" s="10" t="n"/>
      <c r="AW27" s="174">
        <f>AT27-(AU27+AV27)</f>
        <v/>
      </c>
      <c r="AX27" s="7">
        <f>'Mar2027-COLLECTION'!K26</f>
        <v/>
      </c>
      <c r="AY27" s="10">
        <f>'Mar2027-EXPENSE'!R30</f>
        <v/>
      </c>
      <c r="AZ27" s="10" t="n"/>
      <c r="BA27" s="174">
        <f>AX27-(AY27+AZ27)</f>
        <v/>
      </c>
      <c r="BB27" s="172">
        <f>SUM(F27,J27,N27,R27,V27,Z27,AD27,AH27,AL27,AP27,AT27,AX27)</f>
        <v/>
      </c>
      <c r="BC27" s="172">
        <f>SUM(J27,N27,R27,V27,Z27,AD27,AH27,AL27,AP27,AT27,AX27)</f>
        <v/>
      </c>
      <c r="BD27" s="172">
        <f>SUM(G27,K27,O27,S27,W27,AA27,AE27,AI27,AM27,AQ27,AU27,AY27)</f>
        <v/>
      </c>
      <c r="BE27" s="172" t="n">
        <v>0</v>
      </c>
      <c r="BF27" s="172">
        <f>BB27-(BD27+BE27)</f>
        <v/>
      </c>
      <c r="BG27" s="172">
        <f>BC27-(BD27+BE27)</f>
        <v/>
      </c>
      <c r="BH27" s="172">
        <f>E27+BF27</f>
        <v/>
      </c>
      <c r="BI27" s="175">
        <f>E27+F27+IF(BG27&gt;=0,BG27,0)</f>
        <v/>
      </c>
      <c r="BJ27" s="175" t="n">
        <v>0</v>
      </c>
    </row>
    <row r="28" ht="15.75" customHeight="1" s="251">
      <c r="A28" s="169" t="inlineStr">
        <is>
          <t>G10</t>
        </is>
      </c>
      <c r="B28" s="13" t="n"/>
      <c r="C28" s="13" t="inlineStr">
        <is>
          <t xml:space="preserve">Cijo Jacob / Thara Joy </t>
        </is>
      </c>
      <c r="D28" s="170" t="n">
        <v>0</v>
      </c>
      <c r="E28" s="176" t="n">
        <v>0</v>
      </c>
      <c r="F28" s="171">
        <f>'Apr2026-COLLECTION'!K27</f>
        <v/>
      </c>
      <c r="G28" s="172">
        <f>'Apr2026-EXPENSE'!R31</f>
        <v/>
      </c>
      <c r="H28" s="172" t="n"/>
      <c r="I28" s="172">
        <f>F28-(G28+H28)</f>
        <v/>
      </c>
      <c r="J28" s="173">
        <f>'May2026-COLLECTION'!K27</f>
        <v/>
      </c>
      <c r="K28" s="174">
        <f>'May2026-EXPENSE'!R31</f>
        <v/>
      </c>
      <c r="L28" s="174" t="n"/>
      <c r="M28" s="174">
        <f>J28-(K28+L28)</f>
        <v/>
      </c>
      <c r="N28" s="172">
        <f>'June2026-COLLECTION'!K27</f>
        <v/>
      </c>
      <c r="O28" s="172">
        <f>'June2026-EXPENSE'!R31</f>
        <v/>
      </c>
      <c r="P28" s="172" t="n"/>
      <c r="Q28" s="172">
        <f>N28-(O28+P28)</f>
        <v/>
      </c>
      <c r="R28" s="41">
        <f>'July2026-COLLECTION'!K27</f>
        <v/>
      </c>
      <c r="S28" s="174">
        <f>'July2026-EXPENSE'!R31</f>
        <v/>
      </c>
      <c r="T28" s="174" t="n"/>
      <c r="U28" s="174">
        <f>R28-(S28+T28)</f>
        <v/>
      </c>
      <c r="V28" s="167">
        <f>'Aug2026-COLLECTION'!K27</f>
        <v/>
      </c>
      <c r="W28" s="172">
        <f>'Aug2026-EXPENSE'!R31</f>
        <v/>
      </c>
      <c r="X28" s="172" t="n"/>
      <c r="Y28" s="172">
        <f>V28-(W28+X28)</f>
        <v/>
      </c>
      <c r="Z28" s="41">
        <f>'Sep2026-COLLECTION'!K27</f>
        <v/>
      </c>
      <c r="AA28" s="174">
        <f>'Sep2026-EXPENSE'!R31</f>
        <v/>
      </c>
      <c r="AB28" s="174" t="n"/>
      <c r="AC28" s="174">
        <f>Z28-(AA28+AB28)</f>
        <v/>
      </c>
      <c r="AD28" s="41">
        <f>'Oct2026-COLLECTION'!K27</f>
        <v/>
      </c>
      <c r="AE28" s="174">
        <f>'Oct2026-EXPENSE'!R31</f>
        <v/>
      </c>
      <c r="AF28" s="174" t="n"/>
      <c r="AG28" s="174">
        <f>AD28-(AE28+AF28)</f>
        <v/>
      </c>
      <c r="AH28" s="41">
        <f>'Nov2026-COLLECTION'!K27</f>
        <v/>
      </c>
      <c r="AI28" s="174">
        <f>'Nov2026-EXPENSE'!R31</f>
        <v/>
      </c>
      <c r="AJ28" s="174" t="n"/>
      <c r="AK28" s="174">
        <f>AH28-(AI28+AJ28)</f>
        <v/>
      </c>
      <c r="AL28" s="41">
        <f>'Dec2026-COLLECTION'!K27</f>
        <v/>
      </c>
      <c r="AM28" s="174">
        <f>'Dec2026-EXPENSE'!R31</f>
        <v/>
      </c>
      <c r="AN28" s="174" t="n"/>
      <c r="AO28" s="174">
        <f>AL28-(AM28+AN28)</f>
        <v/>
      </c>
      <c r="AP28" s="7">
        <f>'Jan2027-COLLECTION'!K27</f>
        <v/>
      </c>
      <c r="AQ28" s="10">
        <f>'Jan2027-EXPENSE'!R31</f>
        <v/>
      </c>
      <c r="AR28" s="10" t="n"/>
      <c r="AS28" s="174">
        <f>AP28-(AQ28+AR28)</f>
        <v/>
      </c>
      <c r="AT28" s="7">
        <f>'Feb2027-COLLECTION'!K27</f>
        <v/>
      </c>
      <c r="AU28" s="10">
        <f>'Feb2027-EXPENSE'!R31</f>
        <v/>
      </c>
      <c r="AV28" s="10" t="n"/>
      <c r="AW28" s="174">
        <f>AT28-(AU28+AV28)</f>
        <v/>
      </c>
      <c r="AX28" s="7">
        <f>'Mar2027-COLLECTION'!K27</f>
        <v/>
      </c>
      <c r="AY28" s="10">
        <f>'Mar2027-EXPENSE'!R31</f>
        <v/>
      </c>
      <c r="AZ28" s="10" t="n"/>
      <c r="BA28" s="174">
        <f>AX28-(AY28+AZ28)</f>
        <v/>
      </c>
      <c r="BB28" s="172">
        <f>SUM(F28,J28,N28,R28,V28,Z28,AD28,AH28,AL28,AP28,AT28,AX28)</f>
        <v/>
      </c>
      <c r="BC28" s="172">
        <f>SUM(J28,N28,R28,V28,Z28,AD28,AH28,AL28,AP28,AT28,AX28)</f>
        <v/>
      </c>
      <c r="BD28" s="172">
        <f>SUM(G28,K28,O28,S28,W28,AA28,AE28,AI28,AM28,AQ28,AU28,AY28)</f>
        <v/>
      </c>
      <c r="BE28" s="172" t="n">
        <v>0</v>
      </c>
      <c r="BF28" s="172">
        <f>BB28-(BD28+BE28)</f>
        <v/>
      </c>
      <c r="BG28" s="172">
        <f>BC28-(BD28+BE28)</f>
        <v/>
      </c>
      <c r="BH28" s="172">
        <f>E28+BF28</f>
        <v/>
      </c>
      <c r="BI28" s="175">
        <f>E28+F28+IF(BG28&gt;=0,BG28,0)</f>
        <v/>
      </c>
      <c r="BJ28" s="175" t="n">
        <v>0</v>
      </c>
    </row>
    <row r="29" ht="15.75" customHeight="1" s="251">
      <c r="A29" s="169" t="inlineStr">
        <is>
          <t>G11</t>
        </is>
      </c>
      <c r="B29" s="13" t="n"/>
      <c r="C29" s="13" t="inlineStr">
        <is>
          <t>Ketan Verlekar</t>
        </is>
      </c>
      <c r="D29" s="170" t="n">
        <v>0</v>
      </c>
      <c r="E29" s="176" t="n">
        <v>0</v>
      </c>
      <c r="F29" s="171">
        <f>'Apr2026-COLLECTION'!K28</f>
        <v/>
      </c>
      <c r="G29" s="172">
        <f>'Apr2026-EXPENSE'!R32</f>
        <v/>
      </c>
      <c r="H29" s="172" t="n"/>
      <c r="I29" s="172">
        <f>F29-(G29+H29)</f>
        <v/>
      </c>
      <c r="J29" s="173">
        <f>'May2026-COLLECTION'!K28</f>
        <v/>
      </c>
      <c r="K29" s="174">
        <f>'May2026-EXPENSE'!R32</f>
        <v/>
      </c>
      <c r="L29" s="174" t="n"/>
      <c r="M29" s="174">
        <f>J29-(K29+L29)</f>
        <v/>
      </c>
      <c r="N29" s="172">
        <f>'June2026-COLLECTION'!K28</f>
        <v/>
      </c>
      <c r="O29" s="172">
        <f>'June2026-EXPENSE'!R32</f>
        <v/>
      </c>
      <c r="P29" s="172" t="n"/>
      <c r="Q29" s="172">
        <f>N29-(O29+P29)</f>
        <v/>
      </c>
      <c r="R29" s="41">
        <f>'July2026-COLLECTION'!K28</f>
        <v/>
      </c>
      <c r="S29" s="174">
        <f>'July2026-EXPENSE'!R32</f>
        <v/>
      </c>
      <c r="T29" s="174" t="n"/>
      <c r="U29" s="174">
        <f>R29-(S29+T29)</f>
        <v/>
      </c>
      <c r="V29" s="167">
        <f>'Aug2026-COLLECTION'!K28</f>
        <v/>
      </c>
      <c r="W29" s="172">
        <f>'Aug2026-EXPENSE'!R32</f>
        <v/>
      </c>
      <c r="X29" s="172" t="n"/>
      <c r="Y29" s="172">
        <f>V29-(W29+X29)</f>
        <v/>
      </c>
      <c r="Z29" s="41">
        <f>'Sep2026-COLLECTION'!K28</f>
        <v/>
      </c>
      <c r="AA29" s="174">
        <f>'Sep2026-EXPENSE'!R32</f>
        <v/>
      </c>
      <c r="AB29" s="174" t="n"/>
      <c r="AC29" s="174">
        <f>Z29-(AA29+AB29)</f>
        <v/>
      </c>
      <c r="AD29" s="41">
        <f>'Oct2026-COLLECTION'!K28</f>
        <v/>
      </c>
      <c r="AE29" s="174">
        <f>'Oct2026-EXPENSE'!R32</f>
        <v/>
      </c>
      <c r="AF29" s="174" t="n"/>
      <c r="AG29" s="174">
        <f>AD29-(AE29+AF29)</f>
        <v/>
      </c>
      <c r="AH29" s="41">
        <f>'Nov2026-COLLECTION'!K28</f>
        <v/>
      </c>
      <c r="AI29" s="174">
        <f>'Nov2026-EXPENSE'!R32</f>
        <v/>
      </c>
      <c r="AJ29" s="174" t="n"/>
      <c r="AK29" s="174">
        <f>AH29-(AI29+AJ29)</f>
        <v/>
      </c>
      <c r="AL29" s="41">
        <f>'Dec2026-COLLECTION'!K28</f>
        <v/>
      </c>
      <c r="AM29" s="174">
        <f>'Dec2026-EXPENSE'!R32</f>
        <v/>
      </c>
      <c r="AN29" s="174" t="n"/>
      <c r="AO29" s="174">
        <f>AL29-(AM29+AN29)</f>
        <v/>
      </c>
      <c r="AP29" s="7">
        <f>'Jan2027-COLLECTION'!K28</f>
        <v/>
      </c>
      <c r="AQ29" s="10">
        <f>'Jan2027-EXPENSE'!R32</f>
        <v/>
      </c>
      <c r="AR29" s="10" t="n"/>
      <c r="AS29" s="174">
        <f>AP29-(AQ29+AR29)</f>
        <v/>
      </c>
      <c r="AT29" s="7">
        <f>'Feb2027-COLLECTION'!K28</f>
        <v/>
      </c>
      <c r="AU29" s="10">
        <f>'Feb2027-EXPENSE'!R32</f>
        <v/>
      </c>
      <c r="AV29" s="10" t="n"/>
      <c r="AW29" s="174">
        <f>AT29-(AU29+AV29)</f>
        <v/>
      </c>
      <c r="AX29" s="7">
        <f>'Mar2027-COLLECTION'!K28</f>
        <v/>
      </c>
      <c r="AY29" s="10">
        <f>'Mar2027-EXPENSE'!R32</f>
        <v/>
      </c>
      <c r="AZ29" s="10" t="n"/>
      <c r="BA29" s="174">
        <f>AX29-(AY29+AZ29)</f>
        <v/>
      </c>
      <c r="BB29" s="172">
        <f>SUM(F29,J29,N29,R29,V29,Z29,AD29,AH29,AL29,AP29,AT29,AX29)</f>
        <v/>
      </c>
      <c r="BC29" s="172">
        <f>SUM(J29,N29,R29,V29,Z29,AD29,AH29,AL29,AP29,AT29,AX29)</f>
        <v/>
      </c>
      <c r="BD29" s="172">
        <f>SUM(G29,K29,O29,S29,W29,AA29,AE29,AI29,AM29,AQ29,AU29,AY29)</f>
        <v/>
      </c>
      <c r="BE29" s="172" t="n">
        <v>0</v>
      </c>
      <c r="BF29" s="172">
        <f>BB29-(BD29+BE29)</f>
        <v/>
      </c>
      <c r="BG29" s="172">
        <f>BC29-(BD29+BE29)</f>
        <v/>
      </c>
      <c r="BH29" s="172">
        <f>E29+BF29</f>
        <v/>
      </c>
      <c r="BI29" s="175">
        <f>E29+F29+IF(BG29&gt;=0,BG29,0)</f>
        <v/>
      </c>
      <c r="BJ29" s="175" t="n">
        <v>0</v>
      </c>
    </row>
    <row r="30" ht="15.75" customHeight="1" s="251">
      <c r="A30" s="169" t="inlineStr">
        <is>
          <t>G12</t>
        </is>
      </c>
      <c r="B30" s="13" t="n"/>
      <c r="C30" s="13" t="inlineStr">
        <is>
          <t>Shyam Nair</t>
        </is>
      </c>
      <c r="D30" s="170" t="n">
        <v>0</v>
      </c>
      <c r="E30" s="176" t="n">
        <v>0</v>
      </c>
      <c r="F30" s="171">
        <f>'Apr2026-COLLECTION'!K29</f>
        <v/>
      </c>
      <c r="G30" s="172">
        <f>'Apr2026-EXPENSE'!R33</f>
        <v/>
      </c>
      <c r="H30" s="172" t="n"/>
      <c r="I30" s="172">
        <f>F30-(G30+H30)</f>
        <v/>
      </c>
      <c r="J30" s="173">
        <f>'May2026-COLLECTION'!K29</f>
        <v/>
      </c>
      <c r="K30" s="174">
        <f>'May2026-EXPENSE'!R33</f>
        <v/>
      </c>
      <c r="L30" s="174" t="n"/>
      <c r="M30" s="174">
        <f>J30-(K30+L30)</f>
        <v/>
      </c>
      <c r="N30" s="172">
        <f>'June2026-COLLECTION'!K29</f>
        <v/>
      </c>
      <c r="O30" s="172">
        <f>'June2026-EXPENSE'!R33</f>
        <v/>
      </c>
      <c r="P30" s="172" t="n"/>
      <c r="Q30" s="172">
        <f>N30-(O30+P30)</f>
        <v/>
      </c>
      <c r="R30" s="41">
        <f>'July2026-COLLECTION'!K29</f>
        <v/>
      </c>
      <c r="S30" s="174">
        <f>'July2026-EXPENSE'!R33</f>
        <v/>
      </c>
      <c r="T30" s="174" t="n"/>
      <c r="U30" s="174">
        <f>R30-(S30+T30)</f>
        <v/>
      </c>
      <c r="V30" s="167">
        <f>'Aug2026-COLLECTION'!K29</f>
        <v/>
      </c>
      <c r="W30" s="172">
        <f>'Aug2026-EXPENSE'!R33</f>
        <v/>
      </c>
      <c r="X30" s="172" t="n"/>
      <c r="Y30" s="172">
        <f>V30-(W30+X30)</f>
        <v/>
      </c>
      <c r="Z30" s="41">
        <f>'Sep2026-COLLECTION'!K29</f>
        <v/>
      </c>
      <c r="AA30" s="174">
        <f>'Sep2026-EXPENSE'!R33</f>
        <v/>
      </c>
      <c r="AB30" s="174" t="n"/>
      <c r="AC30" s="174">
        <f>Z30-(AA30+AB30)</f>
        <v/>
      </c>
      <c r="AD30" s="41">
        <f>'Oct2026-COLLECTION'!K29</f>
        <v/>
      </c>
      <c r="AE30" s="174">
        <f>'Oct2026-EXPENSE'!R33</f>
        <v/>
      </c>
      <c r="AF30" s="174" t="n"/>
      <c r="AG30" s="174">
        <f>AD30-(AE30+AF30)</f>
        <v/>
      </c>
      <c r="AH30" s="41">
        <f>'Nov2026-COLLECTION'!K29</f>
        <v/>
      </c>
      <c r="AI30" s="174">
        <f>'Nov2026-EXPENSE'!R33</f>
        <v/>
      </c>
      <c r="AJ30" s="174" t="n"/>
      <c r="AK30" s="174">
        <f>AH30-(AI30+AJ30)</f>
        <v/>
      </c>
      <c r="AL30" s="41">
        <f>'Dec2026-COLLECTION'!K29</f>
        <v/>
      </c>
      <c r="AM30" s="174">
        <f>'Dec2026-EXPENSE'!R33</f>
        <v/>
      </c>
      <c r="AN30" s="174" t="n"/>
      <c r="AO30" s="174">
        <f>AL30-(AM30+AN30)</f>
        <v/>
      </c>
      <c r="AP30" s="7">
        <f>'Jan2027-COLLECTION'!K29</f>
        <v/>
      </c>
      <c r="AQ30" s="10">
        <f>'Jan2027-EXPENSE'!R33</f>
        <v/>
      </c>
      <c r="AR30" s="10" t="n"/>
      <c r="AS30" s="174">
        <f>AP30-(AQ30+AR30)</f>
        <v/>
      </c>
      <c r="AT30" s="7">
        <f>'Feb2027-COLLECTION'!K29</f>
        <v/>
      </c>
      <c r="AU30" s="10">
        <f>'Feb2027-EXPENSE'!R33</f>
        <v/>
      </c>
      <c r="AV30" s="10" t="n"/>
      <c r="AW30" s="174">
        <f>AT30-(AU30+AV30)</f>
        <v/>
      </c>
      <c r="AX30" s="7">
        <f>'Mar2027-COLLECTION'!K29</f>
        <v/>
      </c>
      <c r="AY30" s="10">
        <f>'Mar2027-EXPENSE'!R33</f>
        <v/>
      </c>
      <c r="AZ30" s="10" t="n"/>
      <c r="BA30" s="174">
        <f>AX30-(AY30+AZ30)</f>
        <v/>
      </c>
      <c r="BB30" s="172">
        <f>SUM(F30,J30,N30,R30,V30,Z30,AD30,AH30,AL30,AP30,AT30,AX30)</f>
        <v/>
      </c>
      <c r="BC30" s="172">
        <f>SUM(J30,N30,R30,V30,Z30,AD30,AH30,AL30,AP30,AT30,AX30)</f>
        <v/>
      </c>
      <c r="BD30" s="172">
        <f>SUM(G30,K30,O30,S30,W30,AA30,AE30,AI30,AM30,AQ30,AU30,AY30)</f>
        <v/>
      </c>
      <c r="BE30" s="172" t="n">
        <v>0</v>
      </c>
      <c r="BF30" s="172">
        <f>BB30-(BD30+BE30)</f>
        <v/>
      </c>
      <c r="BG30" s="172">
        <f>BC30-(BD30+BE30)</f>
        <v/>
      </c>
      <c r="BH30" s="172">
        <f>E30+BF30</f>
        <v/>
      </c>
      <c r="BI30" s="175">
        <f>E30+F30+IF(BG30&gt;=0,BG30,0)</f>
        <v/>
      </c>
      <c r="BJ30" s="175" t="n">
        <v>0</v>
      </c>
    </row>
    <row r="31" ht="15.75" customHeight="1" s="251">
      <c r="A31" s="169" t="inlineStr">
        <is>
          <t>G13</t>
        </is>
      </c>
      <c r="B31" s="13" t="n"/>
      <c r="C31" s="13" t="inlineStr">
        <is>
          <t>Ajai.B</t>
        </is>
      </c>
      <c r="D31" s="170" t="n">
        <v>0</v>
      </c>
      <c r="E31" s="176" t="n">
        <v>0</v>
      </c>
      <c r="F31" s="171">
        <f>'Apr2026-COLLECTION'!K30</f>
        <v/>
      </c>
      <c r="G31" s="172">
        <f>'Apr2026-EXPENSE'!R34</f>
        <v/>
      </c>
      <c r="H31" s="172" t="n"/>
      <c r="I31" s="172">
        <f>F31-(G31+H31)</f>
        <v/>
      </c>
      <c r="J31" s="173">
        <f>'May2026-COLLECTION'!K30</f>
        <v/>
      </c>
      <c r="K31" s="174">
        <f>'May2026-EXPENSE'!R34</f>
        <v/>
      </c>
      <c r="L31" s="174" t="n">
        <v>0</v>
      </c>
      <c r="M31" s="174">
        <f>J31-(K31+L31)</f>
        <v/>
      </c>
      <c r="N31" s="172">
        <f>'June2026-COLLECTION'!K30</f>
        <v/>
      </c>
      <c r="O31" s="172">
        <f>'June2026-EXPENSE'!R34</f>
        <v/>
      </c>
      <c r="P31" s="172" t="n"/>
      <c r="Q31" s="172">
        <f>N31-(O31+P31)</f>
        <v/>
      </c>
      <c r="R31" s="41">
        <f>'July2026-COLLECTION'!K30</f>
        <v/>
      </c>
      <c r="S31" s="174">
        <f>'July2026-EXPENSE'!R34</f>
        <v/>
      </c>
      <c r="T31" s="174" t="n"/>
      <c r="U31" s="174">
        <f>R31-(S31+T31)</f>
        <v/>
      </c>
      <c r="V31" s="167">
        <f>'Aug2026-COLLECTION'!K30</f>
        <v/>
      </c>
      <c r="W31" s="172">
        <f>'Aug2026-EXPENSE'!R34</f>
        <v/>
      </c>
      <c r="X31" s="172" t="n"/>
      <c r="Y31" s="172">
        <f>V31-(W31+X31)</f>
        <v/>
      </c>
      <c r="Z31" s="41">
        <f>'Sep2026-COLLECTION'!K30</f>
        <v/>
      </c>
      <c r="AA31" s="174">
        <f>'Sep2026-EXPENSE'!R34</f>
        <v/>
      </c>
      <c r="AB31" s="174" t="n"/>
      <c r="AC31" s="174">
        <f>Z31-(AA31+AB31)</f>
        <v/>
      </c>
      <c r="AD31" s="41">
        <f>'Oct2026-COLLECTION'!K30</f>
        <v/>
      </c>
      <c r="AE31" s="174">
        <f>'Oct2026-EXPENSE'!R34</f>
        <v/>
      </c>
      <c r="AF31" s="174" t="n"/>
      <c r="AG31" s="174">
        <f>AD31-(AE31+AF31)</f>
        <v/>
      </c>
      <c r="AH31" s="41">
        <f>'Nov2026-COLLECTION'!K30</f>
        <v/>
      </c>
      <c r="AI31" s="174">
        <f>'Nov2026-EXPENSE'!R34</f>
        <v/>
      </c>
      <c r="AJ31" s="174" t="n"/>
      <c r="AK31" s="174">
        <f>AH31-(AI31+AJ31)</f>
        <v/>
      </c>
      <c r="AL31" s="41">
        <f>'Dec2026-COLLECTION'!K30</f>
        <v/>
      </c>
      <c r="AM31" s="174">
        <f>'Dec2026-EXPENSE'!R34</f>
        <v/>
      </c>
      <c r="AN31" s="174" t="n"/>
      <c r="AO31" s="174">
        <f>AL31-(AM31+AN31)</f>
        <v/>
      </c>
      <c r="AP31" s="7">
        <f>'Jan2027-COLLECTION'!K30</f>
        <v/>
      </c>
      <c r="AQ31" s="10">
        <f>'Jan2027-EXPENSE'!R34</f>
        <v/>
      </c>
      <c r="AR31" s="10" t="n"/>
      <c r="AS31" s="174">
        <f>AP31-(AQ31+AR31)</f>
        <v/>
      </c>
      <c r="AT31" s="7">
        <f>'Feb2027-COLLECTION'!K30</f>
        <v/>
      </c>
      <c r="AU31" s="10">
        <f>'Feb2027-EXPENSE'!R34</f>
        <v/>
      </c>
      <c r="AV31" s="10" t="n"/>
      <c r="AW31" s="174">
        <f>AT31-(AU31+AV31)</f>
        <v/>
      </c>
      <c r="AX31" s="7">
        <f>'Mar2027-COLLECTION'!K30</f>
        <v/>
      </c>
      <c r="AY31" s="10">
        <f>'Mar2027-EXPENSE'!R34</f>
        <v/>
      </c>
      <c r="AZ31" s="10" t="n"/>
      <c r="BA31" s="174">
        <f>AX31-(AY31+AZ31)</f>
        <v/>
      </c>
      <c r="BB31" s="172">
        <f>SUM(F31,J31,N31,R31,V31,Z31,AD31,AH31,AL31,AP31,AT31,AX31)</f>
        <v/>
      </c>
      <c r="BC31" s="172">
        <f>SUM(J31,N31,R31,V31,Z31,AD31,AH31,AL31,AP31,AT31,AX31)</f>
        <v/>
      </c>
      <c r="BD31" s="172">
        <f>SUM(G31,K31,O31,S31,W31,AA31,AE31,AI31,AM31,AQ31,AU31,AY31)</f>
        <v/>
      </c>
      <c r="BE31" s="172" t="n">
        <v>0</v>
      </c>
      <c r="BF31" s="172">
        <f>BB31-(BD31+BE31)</f>
        <v/>
      </c>
      <c r="BG31" s="172">
        <f>BC31-(BD31+BE31)</f>
        <v/>
      </c>
      <c r="BH31" s="172">
        <f>E31+BF31</f>
        <v/>
      </c>
      <c r="BI31" s="175">
        <f>E31+F31+IF(BG31&gt;=0,BG31,0)</f>
        <v/>
      </c>
      <c r="BJ31" s="175" t="n">
        <v>0</v>
      </c>
    </row>
    <row r="32" ht="15.75" customHeight="1" s="251">
      <c r="A32" s="169" t="inlineStr">
        <is>
          <t>G14</t>
        </is>
      </c>
      <c r="B32" s="13" t="n"/>
      <c r="C32" s="13" t="inlineStr">
        <is>
          <t>Surajit Borah</t>
        </is>
      </c>
      <c r="D32" s="170" t="n">
        <v>0</v>
      </c>
      <c r="E32" s="176" t="n">
        <v>0</v>
      </c>
      <c r="F32" s="171">
        <f>'Apr2026-COLLECTION'!K31</f>
        <v/>
      </c>
      <c r="G32" s="172">
        <f>'Apr2026-EXPENSE'!R35</f>
        <v/>
      </c>
      <c r="H32" s="172" t="n"/>
      <c r="I32" s="172">
        <f>F32-(G32+H32)</f>
        <v/>
      </c>
      <c r="J32" s="173">
        <f>'May2026-COLLECTION'!K31</f>
        <v/>
      </c>
      <c r="K32" s="174">
        <f>'May2026-EXPENSE'!R35</f>
        <v/>
      </c>
      <c r="L32" s="174" t="n"/>
      <c r="M32" s="174">
        <f>J32-(K32+L32)</f>
        <v/>
      </c>
      <c r="N32" s="172">
        <f>'June2026-COLLECTION'!K31</f>
        <v/>
      </c>
      <c r="O32" s="172">
        <f>'June2026-EXPENSE'!R35</f>
        <v/>
      </c>
      <c r="P32" s="172" t="n"/>
      <c r="Q32" s="172">
        <f>N32-(O32+P32)</f>
        <v/>
      </c>
      <c r="R32" s="41">
        <f>'July2026-COLLECTION'!K31</f>
        <v/>
      </c>
      <c r="S32" s="174">
        <f>'July2026-EXPENSE'!R35</f>
        <v/>
      </c>
      <c r="T32" s="174" t="n"/>
      <c r="U32" s="174">
        <f>R32-(S32+T32)</f>
        <v/>
      </c>
      <c r="V32" s="167">
        <f>'Aug2026-COLLECTION'!K31</f>
        <v/>
      </c>
      <c r="W32" s="172">
        <f>'Aug2026-EXPENSE'!R35</f>
        <v/>
      </c>
      <c r="X32" s="172" t="n"/>
      <c r="Y32" s="172">
        <f>V32-(W32+X32)</f>
        <v/>
      </c>
      <c r="Z32" s="41">
        <f>'Sep2026-COLLECTION'!K31</f>
        <v/>
      </c>
      <c r="AA32" s="174">
        <f>'Sep2026-EXPENSE'!R35</f>
        <v/>
      </c>
      <c r="AB32" s="174" t="n"/>
      <c r="AC32" s="174">
        <f>Z32-(AA32+AB32)</f>
        <v/>
      </c>
      <c r="AD32" s="41">
        <f>'Oct2026-COLLECTION'!K31</f>
        <v/>
      </c>
      <c r="AE32" s="174">
        <f>'Oct2026-EXPENSE'!R35</f>
        <v/>
      </c>
      <c r="AF32" s="174" t="n"/>
      <c r="AG32" s="174">
        <f>AD32-(AE32+AF32)</f>
        <v/>
      </c>
      <c r="AH32" s="41">
        <f>'Nov2026-COLLECTION'!K31</f>
        <v/>
      </c>
      <c r="AI32" s="174">
        <f>'Nov2026-EXPENSE'!R35</f>
        <v/>
      </c>
      <c r="AJ32" s="174" t="n"/>
      <c r="AK32" s="174">
        <f>AH32-(AI32+AJ32)</f>
        <v/>
      </c>
      <c r="AL32" s="41">
        <f>'Dec2026-COLLECTION'!K31</f>
        <v/>
      </c>
      <c r="AM32" s="174">
        <f>'Dec2026-EXPENSE'!R35</f>
        <v/>
      </c>
      <c r="AN32" s="174" t="n"/>
      <c r="AO32" s="174">
        <f>AL32-(AM32+AN32)</f>
        <v/>
      </c>
      <c r="AP32" s="7">
        <f>'Jan2027-COLLECTION'!K31</f>
        <v/>
      </c>
      <c r="AQ32" s="10">
        <f>'Jan2027-EXPENSE'!R35</f>
        <v/>
      </c>
      <c r="AR32" s="10" t="n"/>
      <c r="AS32" s="174">
        <f>AP32-(AQ32+AR32)</f>
        <v/>
      </c>
      <c r="AT32" s="7">
        <f>'Feb2027-COLLECTION'!K31</f>
        <v/>
      </c>
      <c r="AU32" s="10">
        <f>'Feb2027-EXPENSE'!R35</f>
        <v/>
      </c>
      <c r="AV32" s="10" t="n"/>
      <c r="AW32" s="174">
        <f>AT32-(AU32+AV32)</f>
        <v/>
      </c>
      <c r="AX32" s="7">
        <f>'Mar2027-COLLECTION'!K31</f>
        <v/>
      </c>
      <c r="AY32" s="10">
        <f>'Mar2027-EXPENSE'!R35</f>
        <v/>
      </c>
      <c r="AZ32" s="10" t="n"/>
      <c r="BA32" s="174">
        <f>AX32-(AY32+AZ32)</f>
        <v/>
      </c>
      <c r="BB32" s="172">
        <f>SUM(F32,J32,N32,R32,V32,Z32,AD32,AH32,AL32,AP32,AT32,AX32)</f>
        <v/>
      </c>
      <c r="BC32" s="172">
        <f>SUM(J32,N32,R32,V32,Z32,AD32,AH32,AL32,AP32,AT32,AX32)</f>
        <v/>
      </c>
      <c r="BD32" s="172">
        <f>SUM(G32,K32,O32,S32,W32,AA32,AE32,AI32,AM32,AQ32,AU32,AY32)</f>
        <v/>
      </c>
      <c r="BE32" s="172" t="n">
        <v>0</v>
      </c>
      <c r="BF32" s="172">
        <f>BB32-(BD32+BE32)</f>
        <v/>
      </c>
      <c r="BG32" s="172">
        <f>BC32-(BD32+BE32)</f>
        <v/>
      </c>
      <c r="BH32" s="172">
        <f>E32+BF32</f>
        <v/>
      </c>
      <c r="BI32" s="175">
        <f>E32+F32+IF(BG32&gt;=0,BG32,0)</f>
        <v/>
      </c>
      <c r="BJ32" s="175" t="n">
        <v>0</v>
      </c>
    </row>
    <row r="33" ht="15.75" customHeight="1" s="251">
      <c r="A33" s="169" t="inlineStr">
        <is>
          <t>G15</t>
        </is>
      </c>
      <c r="B33" s="13" t="n"/>
      <c r="C33" s="13" t="inlineStr">
        <is>
          <t>Suresh Nallusamy / Antriksh (tenant)</t>
        </is>
      </c>
      <c r="D33" s="170" t="n">
        <v>0</v>
      </c>
      <c r="E33" s="176" t="n">
        <v>0</v>
      </c>
      <c r="F33" s="171">
        <f>'Apr2026-COLLECTION'!K32</f>
        <v/>
      </c>
      <c r="G33" s="172">
        <f>'Apr2026-EXPENSE'!R36</f>
        <v/>
      </c>
      <c r="H33" s="172" t="n"/>
      <c r="I33" s="172">
        <f>F33-(G33+H33)</f>
        <v/>
      </c>
      <c r="J33" s="173">
        <f>'May2026-COLLECTION'!K32</f>
        <v/>
      </c>
      <c r="K33" s="174">
        <f>'May2026-EXPENSE'!R36</f>
        <v/>
      </c>
      <c r="L33" s="174" t="n"/>
      <c r="M33" s="174">
        <f>J33-(K33+L33)</f>
        <v/>
      </c>
      <c r="N33" s="172">
        <f>'June2026-COLLECTION'!K32</f>
        <v/>
      </c>
      <c r="O33" s="172">
        <f>'June2026-EXPENSE'!R36</f>
        <v/>
      </c>
      <c r="P33" s="172" t="n"/>
      <c r="Q33" s="172">
        <f>N33-(O33+P33)</f>
        <v/>
      </c>
      <c r="R33" s="41">
        <f>'July2026-COLLECTION'!K32</f>
        <v/>
      </c>
      <c r="S33" s="174">
        <f>'July2026-EXPENSE'!R36</f>
        <v/>
      </c>
      <c r="T33" s="174" t="n"/>
      <c r="U33" s="174">
        <f>R33-(S33+T33)</f>
        <v/>
      </c>
      <c r="V33" s="167">
        <f>'Aug2026-COLLECTION'!K32</f>
        <v/>
      </c>
      <c r="W33" s="172">
        <f>'Aug2026-EXPENSE'!R36</f>
        <v/>
      </c>
      <c r="X33" s="172" t="n"/>
      <c r="Y33" s="172">
        <f>V33-(W33+X33)</f>
        <v/>
      </c>
      <c r="Z33" s="41">
        <f>'Sep2026-COLLECTION'!K32</f>
        <v/>
      </c>
      <c r="AA33" s="174">
        <f>'Sep2026-EXPENSE'!R36</f>
        <v/>
      </c>
      <c r="AB33" s="174" t="n"/>
      <c r="AC33" s="174">
        <f>Z33-(AA33+AB33)</f>
        <v/>
      </c>
      <c r="AD33" s="41">
        <f>'Oct2026-COLLECTION'!K32</f>
        <v/>
      </c>
      <c r="AE33" s="174">
        <f>'Oct2026-EXPENSE'!R36</f>
        <v/>
      </c>
      <c r="AF33" s="174" t="n"/>
      <c r="AG33" s="174">
        <f>AD33-(AE33+AF33)</f>
        <v/>
      </c>
      <c r="AH33" s="41">
        <f>'Nov2026-COLLECTION'!K32</f>
        <v/>
      </c>
      <c r="AI33" s="174">
        <f>'Nov2026-EXPENSE'!R36</f>
        <v/>
      </c>
      <c r="AJ33" s="174" t="n"/>
      <c r="AK33" s="174">
        <f>AH33-(AI33+AJ33)</f>
        <v/>
      </c>
      <c r="AL33" s="41">
        <f>'Dec2026-COLLECTION'!K32</f>
        <v/>
      </c>
      <c r="AM33" s="174">
        <f>'Dec2026-EXPENSE'!R36</f>
        <v/>
      </c>
      <c r="AN33" s="174" t="n"/>
      <c r="AO33" s="174">
        <f>AL33-(AM33+AN33)</f>
        <v/>
      </c>
      <c r="AP33" s="7">
        <f>'Jan2027-COLLECTION'!K32</f>
        <v/>
      </c>
      <c r="AQ33" s="10">
        <f>'Jan2027-EXPENSE'!R36</f>
        <v/>
      </c>
      <c r="AR33" s="10" t="n"/>
      <c r="AS33" s="174">
        <f>AP33-(AQ33+AR33)</f>
        <v/>
      </c>
      <c r="AT33" s="7">
        <f>'Feb2027-COLLECTION'!K32</f>
        <v/>
      </c>
      <c r="AU33" s="10">
        <f>'Feb2027-EXPENSE'!R36</f>
        <v/>
      </c>
      <c r="AV33" s="10" t="n"/>
      <c r="AW33" s="174">
        <f>AT33-(AU33+AV33)</f>
        <v/>
      </c>
      <c r="AX33" s="7">
        <f>'Mar2027-COLLECTION'!K32</f>
        <v/>
      </c>
      <c r="AY33" s="10">
        <f>'Mar2027-EXPENSE'!R36</f>
        <v/>
      </c>
      <c r="AZ33" s="10" t="n"/>
      <c r="BA33" s="174">
        <f>AX33-(AY33+AZ33)</f>
        <v/>
      </c>
      <c r="BB33" s="172">
        <f>SUM(F33,J33,N33,R33,V33,Z33,AD33,AH33,AL33,AP33,AT33,AX33)</f>
        <v/>
      </c>
      <c r="BC33" s="172">
        <f>SUM(J33,N33,R33,V33,Z33,AD33,AH33,AL33,AP33,AT33,AX33)</f>
        <v/>
      </c>
      <c r="BD33" s="172">
        <f>SUM(G33,K33,O33,S33,W33,AA33,AE33,AI33,AM33,AQ33,AU33,AY33)</f>
        <v/>
      </c>
      <c r="BE33" s="172" t="n">
        <v>0</v>
      </c>
      <c r="BF33" s="172">
        <f>BB33-(BD33+BE33)</f>
        <v/>
      </c>
      <c r="BG33" s="172">
        <f>BC33-(BD33+BE33)</f>
        <v/>
      </c>
      <c r="BH33" s="172">
        <f>E33+BF33</f>
        <v/>
      </c>
      <c r="BI33" s="175">
        <f>E33+F33+IF(BG33&gt;=0,BG33,0)</f>
        <v/>
      </c>
      <c r="BJ33" s="175" t="n">
        <v>0</v>
      </c>
    </row>
    <row r="34" ht="15.75" customHeight="1" s="251">
      <c r="A34" s="169" t="inlineStr">
        <is>
          <t>G16</t>
        </is>
      </c>
      <c r="B34" s="13" t="n"/>
      <c r="C34" s="13" t="inlineStr">
        <is>
          <t>Praveen Ganesan</t>
        </is>
      </c>
      <c r="D34" s="170" t="n">
        <v>0</v>
      </c>
      <c r="E34" s="176" t="n">
        <v>0</v>
      </c>
      <c r="F34" s="171">
        <f>'Apr2026-COLLECTION'!K33</f>
        <v/>
      </c>
      <c r="G34" s="172">
        <f>'Apr2026-EXPENSE'!R37</f>
        <v/>
      </c>
      <c r="H34" s="172" t="n"/>
      <c r="I34" s="172">
        <f>F34-(G34+H34)</f>
        <v/>
      </c>
      <c r="J34" s="173">
        <f>'May2026-COLLECTION'!K33</f>
        <v/>
      </c>
      <c r="K34" s="174">
        <f>'May2026-EXPENSE'!R37</f>
        <v/>
      </c>
      <c r="L34" s="174" t="n">
        <v>0</v>
      </c>
      <c r="M34" s="174">
        <f>J34-(K34+L34)</f>
        <v/>
      </c>
      <c r="N34" s="172">
        <f>'June2026-COLLECTION'!K33</f>
        <v/>
      </c>
      <c r="O34" s="172">
        <f>'June2026-EXPENSE'!R37</f>
        <v/>
      </c>
      <c r="P34" s="172" t="n"/>
      <c r="Q34" s="172">
        <f>N34-(O34+P34)</f>
        <v/>
      </c>
      <c r="R34" s="41">
        <f>'July2026-COLLECTION'!K33</f>
        <v/>
      </c>
      <c r="S34" s="174">
        <f>'July2026-EXPENSE'!R37</f>
        <v/>
      </c>
      <c r="T34" s="174" t="n"/>
      <c r="U34" s="174">
        <f>R34-(S34+T34)</f>
        <v/>
      </c>
      <c r="V34" s="167">
        <f>'Aug2026-COLLECTION'!K33</f>
        <v/>
      </c>
      <c r="W34" s="172">
        <f>'Aug2026-EXPENSE'!R37</f>
        <v/>
      </c>
      <c r="X34" s="172" t="n"/>
      <c r="Y34" s="172">
        <f>V34-(W34+X34)</f>
        <v/>
      </c>
      <c r="Z34" s="41">
        <f>'Sep2026-COLLECTION'!K33</f>
        <v/>
      </c>
      <c r="AA34" s="174">
        <f>'Sep2026-EXPENSE'!R37</f>
        <v/>
      </c>
      <c r="AB34" s="174" t="n"/>
      <c r="AC34" s="174">
        <f>Z34-(AA34+AB34)</f>
        <v/>
      </c>
      <c r="AD34" s="41">
        <f>'Oct2026-COLLECTION'!K33</f>
        <v/>
      </c>
      <c r="AE34" s="174">
        <f>'Oct2026-EXPENSE'!R37</f>
        <v/>
      </c>
      <c r="AF34" s="174" t="n"/>
      <c r="AG34" s="174">
        <f>AD34-(AE34+AF34)</f>
        <v/>
      </c>
      <c r="AH34" s="41">
        <f>'Nov2026-COLLECTION'!K33</f>
        <v/>
      </c>
      <c r="AI34" s="174">
        <f>'Nov2026-EXPENSE'!R37</f>
        <v/>
      </c>
      <c r="AJ34" s="174" t="n"/>
      <c r="AK34" s="174">
        <f>AH34-(AI34+AJ34)</f>
        <v/>
      </c>
      <c r="AL34" s="41">
        <f>'Dec2026-COLLECTION'!K33</f>
        <v/>
      </c>
      <c r="AM34" s="174">
        <f>'Dec2026-EXPENSE'!R37</f>
        <v/>
      </c>
      <c r="AN34" s="174" t="n"/>
      <c r="AO34" s="174">
        <f>AL34-(AM34+AN34)</f>
        <v/>
      </c>
      <c r="AP34" s="7">
        <f>'Jan2027-COLLECTION'!K33</f>
        <v/>
      </c>
      <c r="AQ34" s="10">
        <f>'Jan2027-EXPENSE'!R37</f>
        <v/>
      </c>
      <c r="AR34" s="10" t="n"/>
      <c r="AS34" s="174">
        <f>AP34-(AQ34+AR34)</f>
        <v/>
      </c>
      <c r="AT34" s="7">
        <f>'Feb2027-COLLECTION'!K33</f>
        <v/>
      </c>
      <c r="AU34" s="10">
        <f>'Feb2027-EXPENSE'!R37</f>
        <v/>
      </c>
      <c r="AV34" s="10" t="n"/>
      <c r="AW34" s="174">
        <f>AT34-(AU34+AV34)</f>
        <v/>
      </c>
      <c r="AX34" s="7">
        <f>'Mar2027-COLLECTION'!K33</f>
        <v/>
      </c>
      <c r="AY34" s="10">
        <f>'Mar2027-EXPENSE'!R37</f>
        <v/>
      </c>
      <c r="AZ34" s="10" t="n"/>
      <c r="BA34" s="174">
        <f>AX34-(AY34+AZ34)</f>
        <v/>
      </c>
      <c r="BB34" s="172">
        <f>SUM(F34,J34,N34,R34,V34,Z34,AD34,AH34,AL34,AP34,AT34,AX34)</f>
        <v/>
      </c>
      <c r="BC34" s="172">
        <f>SUM(J34,N34,R34,V34,Z34,AD34,AH34,AL34,AP34,AT34,AX34)</f>
        <v/>
      </c>
      <c r="BD34" s="172">
        <f>SUM(G34,K34,O34,S34,W34,AA34,AE34,AI34,AM34,AQ34,AU34,AY34)</f>
        <v/>
      </c>
      <c r="BE34" s="172" t="n">
        <v>0</v>
      </c>
      <c r="BF34" s="172">
        <f>BB34-(BD34+BE34)</f>
        <v/>
      </c>
      <c r="BG34" s="172">
        <f>BC34-(BD34+BE34)</f>
        <v/>
      </c>
      <c r="BH34" s="172">
        <f>E34+BF34</f>
        <v/>
      </c>
      <c r="BI34" s="175">
        <f>E34+F34+IF(BG34&gt;=0,BG34,0)</f>
        <v/>
      </c>
      <c r="BJ34" s="175" t="n">
        <v>0</v>
      </c>
    </row>
    <row r="35" ht="15.75" customHeight="1" s="251">
      <c r="A35" s="169" t="inlineStr">
        <is>
          <t>S1</t>
        </is>
      </c>
      <c r="B35" s="13" t="n"/>
      <c r="C35" s="13" t="inlineStr">
        <is>
          <t>S.N.Behera</t>
        </is>
      </c>
      <c r="D35" s="170" t="n">
        <v>0</v>
      </c>
      <c r="E35" s="176" t="n">
        <v>0</v>
      </c>
      <c r="F35" s="171">
        <f>'Apr2026-COLLECTION'!K34</f>
        <v/>
      </c>
      <c r="G35" s="172">
        <f>'Apr2026-EXPENSE'!R38</f>
        <v/>
      </c>
      <c r="H35" s="172" t="n"/>
      <c r="I35" s="172">
        <f>F35-(G35+H35)</f>
        <v/>
      </c>
      <c r="J35" s="173">
        <f>'May2026-COLLECTION'!K34</f>
        <v/>
      </c>
      <c r="K35" s="174">
        <f>'May2026-EXPENSE'!R38</f>
        <v/>
      </c>
      <c r="L35" s="174" t="n">
        <v>0</v>
      </c>
      <c r="M35" s="174">
        <f>J35-(K35+L35)</f>
        <v/>
      </c>
      <c r="N35" s="172">
        <f>'June2026-COLLECTION'!K34</f>
        <v/>
      </c>
      <c r="O35" s="172">
        <f>'June2026-EXPENSE'!R38</f>
        <v/>
      </c>
      <c r="P35" s="172" t="n"/>
      <c r="Q35" s="172">
        <f>N35-(O35+P35)</f>
        <v/>
      </c>
      <c r="R35" s="41">
        <f>'July2026-COLLECTION'!K34</f>
        <v/>
      </c>
      <c r="S35" s="174">
        <f>'July2026-EXPENSE'!R38</f>
        <v/>
      </c>
      <c r="T35" s="174" t="n"/>
      <c r="U35" s="174">
        <f>R35-(S35+T35)</f>
        <v/>
      </c>
      <c r="V35" s="167">
        <f>'Aug2026-COLLECTION'!K34</f>
        <v/>
      </c>
      <c r="W35" s="172">
        <f>'Aug2026-EXPENSE'!R38</f>
        <v/>
      </c>
      <c r="X35" s="172" t="n"/>
      <c r="Y35" s="172">
        <f>V35-(W35+X35)</f>
        <v/>
      </c>
      <c r="Z35" s="41">
        <f>'Sep2026-COLLECTION'!K34</f>
        <v/>
      </c>
      <c r="AA35" s="174">
        <f>'Sep2026-EXPENSE'!R38</f>
        <v/>
      </c>
      <c r="AB35" s="174" t="n"/>
      <c r="AC35" s="174">
        <f>Z35-(AA35+AB35)</f>
        <v/>
      </c>
      <c r="AD35" s="41">
        <f>'Oct2026-COLLECTION'!K34</f>
        <v/>
      </c>
      <c r="AE35" s="174">
        <f>'Oct2026-EXPENSE'!R38</f>
        <v/>
      </c>
      <c r="AF35" s="174" t="n"/>
      <c r="AG35" s="174">
        <f>AD35-(AE35+AF35)</f>
        <v/>
      </c>
      <c r="AH35" s="41">
        <f>'Nov2026-COLLECTION'!K34</f>
        <v/>
      </c>
      <c r="AI35" s="174">
        <f>'Nov2026-EXPENSE'!R38</f>
        <v/>
      </c>
      <c r="AJ35" s="174" t="n"/>
      <c r="AK35" s="174">
        <f>AH35-(AI35+AJ35)</f>
        <v/>
      </c>
      <c r="AL35" s="41">
        <f>'Dec2026-COLLECTION'!K34</f>
        <v/>
      </c>
      <c r="AM35" s="174">
        <f>'Dec2026-EXPENSE'!R38</f>
        <v/>
      </c>
      <c r="AN35" s="174" t="n"/>
      <c r="AO35" s="174">
        <f>AL35-(AM35+AN35)</f>
        <v/>
      </c>
      <c r="AP35" s="7">
        <f>'Jan2027-COLLECTION'!K34</f>
        <v/>
      </c>
      <c r="AQ35" s="10">
        <f>'Jan2027-EXPENSE'!R38</f>
        <v/>
      </c>
      <c r="AR35" s="10" t="n"/>
      <c r="AS35" s="174">
        <f>AP35-(AQ35+AR35)</f>
        <v/>
      </c>
      <c r="AT35" s="7">
        <f>'Feb2027-COLLECTION'!K34</f>
        <v/>
      </c>
      <c r="AU35" s="10">
        <f>'Feb2027-EXPENSE'!R38</f>
        <v/>
      </c>
      <c r="AV35" s="10" t="n"/>
      <c r="AW35" s="174">
        <f>AT35-(AU35+AV35)</f>
        <v/>
      </c>
      <c r="AX35" s="7">
        <f>'Mar2027-COLLECTION'!K34</f>
        <v/>
      </c>
      <c r="AY35" s="10">
        <f>'Mar2027-EXPENSE'!R38</f>
        <v/>
      </c>
      <c r="AZ35" s="10" t="n"/>
      <c r="BA35" s="174">
        <f>AX35-(AY35+AZ35)</f>
        <v/>
      </c>
      <c r="BB35" s="172">
        <f>SUM(F35,J35,N35,R35,V35,Z35,AD35,AH35,AL35,AP35,AT35,AX35)</f>
        <v/>
      </c>
      <c r="BC35" s="172">
        <f>SUM(J35,N35,R35,V35,Z35,AD35,AH35,AL35,AP35,AT35,AX35)</f>
        <v/>
      </c>
      <c r="BD35" s="172">
        <f>SUM(G35,K35,O35,S35,W35,AA35,AE35,AI35,AM35,AQ35,AU35,AY35)</f>
        <v/>
      </c>
      <c r="BE35" s="172" t="n">
        <v>0</v>
      </c>
      <c r="BF35" s="172">
        <f>BB35-(BD35+BE35)</f>
        <v/>
      </c>
      <c r="BG35" s="172">
        <f>BC35-(BD35+BE35)</f>
        <v/>
      </c>
      <c r="BH35" s="172">
        <f>E35+BF35</f>
        <v/>
      </c>
      <c r="BI35" s="175">
        <f>E35+F35+IF(BG35&gt;=0,BG35,0)</f>
        <v/>
      </c>
      <c r="BJ35" s="175" t="n">
        <v>0</v>
      </c>
    </row>
    <row r="36" ht="15.75" customHeight="1" s="251">
      <c r="A36" s="169" t="inlineStr">
        <is>
          <t>S2</t>
        </is>
      </c>
      <c r="B36" s="13" t="n"/>
      <c r="C36" s="13" t="inlineStr">
        <is>
          <t>Sonal Singhal</t>
        </is>
      </c>
      <c r="D36" s="170" t="n">
        <v>0</v>
      </c>
      <c r="E36" s="176" t="n">
        <v>0</v>
      </c>
      <c r="F36" s="171">
        <f>'Apr2026-COLLECTION'!K35</f>
        <v/>
      </c>
      <c r="G36" s="172">
        <f>'Apr2026-EXPENSE'!R39</f>
        <v/>
      </c>
      <c r="H36" s="172" t="n"/>
      <c r="I36" s="172">
        <f>F36-(G36+H36)</f>
        <v/>
      </c>
      <c r="J36" s="173">
        <f>'May2026-COLLECTION'!K35</f>
        <v/>
      </c>
      <c r="K36" s="174">
        <f>'May2026-EXPENSE'!R39</f>
        <v/>
      </c>
      <c r="L36" s="174" t="n">
        <v>0</v>
      </c>
      <c r="M36" s="174">
        <f>J36-(K36+L36)</f>
        <v/>
      </c>
      <c r="N36" s="172">
        <f>'June2026-COLLECTION'!K35</f>
        <v/>
      </c>
      <c r="O36" s="172">
        <f>'June2026-EXPENSE'!R39</f>
        <v/>
      </c>
      <c r="P36" s="172" t="n"/>
      <c r="Q36" s="172">
        <f>N36-(O36+P36)</f>
        <v/>
      </c>
      <c r="R36" s="41">
        <f>'July2026-COLLECTION'!K35</f>
        <v/>
      </c>
      <c r="S36" s="174">
        <f>'July2026-EXPENSE'!R39</f>
        <v/>
      </c>
      <c r="T36" s="174" t="n">
        <v>0</v>
      </c>
      <c r="U36" s="174">
        <f>R36-(S36+T36)</f>
        <v/>
      </c>
      <c r="V36" s="167">
        <f>'Aug2026-COLLECTION'!K35</f>
        <v/>
      </c>
      <c r="W36" s="172">
        <f>'Aug2026-EXPENSE'!R39</f>
        <v/>
      </c>
      <c r="X36" s="172" t="n"/>
      <c r="Y36" s="172">
        <f>V36-(W36+X36)</f>
        <v/>
      </c>
      <c r="Z36" s="41">
        <f>'Sep2026-COLLECTION'!K35</f>
        <v/>
      </c>
      <c r="AA36" s="174">
        <f>'Sep2026-EXPENSE'!R39</f>
        <v/>
      </c>
      <c r="AB36" s="174" t="n"/>
      <c r="AC36" s="174">
        <f>Z36-(AA36+AB36)</f>
        <v/>
      </c>
      <c r="AD36" s="41">
        <f>'Oct2026-COLLECTION'!K35</f>
        <v/>
      </c>
      <c r="AE36" s="174">
        <f>'Oct2026-EXPENSE'!R39</f>
        <v/>
      </c>
      <c r="AF36" s="174" t="n"/>
      <c r="AG36" s="174">
        <f>AD36-(AE36+AF36)</f>
        <v/>
      </c>
      <c r="AH36" s="41">
        <f>'Nov2026-COLLECTION'!K35</f>
        <v/>
      </c>
      <c r="AI36" s="174">
        <f>'Nov2026-EXPENSE'!R39</f>
        <v/>
      </c>
      <c r="AJ36" s="174" t="n"/>
      <c r="AK36" s="174">
        <f>AH36-(AI36+AJ36)</f>
        <v/>
      </c>
      <c r="AL36" s="41">
        <f>'Dec2026-COLLECTION'!K35</f>
        <v/>
      </c>
      <c r="AM36" s="174">
        <f>'Dec2026-EXPENSE'!R39</f>
        <v/>
      </c>
      <c r="AN36" s="174" t="n"/>
      <c r="AO36" s="174">
        <f>AL36-(AM36+AN36)</f>
        <v/>
      </c>
      <c r="AP36" s="7">
        <f>'Jan2027-COLLECTION'!K35</f>
        <v/>
      </c>
      <c r="AQ36" s="10">
        <f>'Jan2027-EXPENSE'!R39</f>
        <v/>
      </c>
      <c r="AR36" s="10" t="n"/>
      <c r="AS36" s="174">
        <f>AP36-(AQ36+AR36)</f>
        <v/>
      </c>
      <c r="AT36" s="7">
        <f>'Feb2027-COLLECTION'!K35</f>
        <v/>
      </c>
      <c r="AU36" s="10">
        <f>'Feb2027-EXPENSE'!R39</f>
        <v/>
      </c>
      <c r="AV36" s="10" t="n"/>
      <c r="AW36" s="174">
        <f>AT36-(AU36+AV36)</f>
        <v/>
      </c>
      <c r="AX36" s="7">
        <f>'Mar2027-COLLECTION'!K35</f>
        <v/>
      </c>
      <c r="AY36" s="10">
        <f>'Mar2027-EXPENSE'!R39</f>
        <v/>
      </c>
      <c r="AZ36" s="10" t="n"/>
      <c r="BA36" s="174">
        <f>AX36-(AY36+AZ36)</f>
        <v/>
      </c>
      <c r="BB36" s="172">
        <f>SUM(F36,J36,N36,R36,V36,Z36,AD36,AH36,AL36,AP36,AT36,AX36)</f>
        <v/>
      </c>
      <c r="BC36" s="172">
        <f>SUM(J36,N36,R36,V36,Z36,AD36,AH36,AL36,AP36,AT36,AX36)</f>
        <v/>
      </c>
      <c r="BD36" s="172">
        <f>SUM(G36,K36,O36,S36,W36,AA36,AE36,AI36,AM36,AQ36,AU36,AY36)</f>
        <v/>
      </c>
      <c r="BE36" s="172" t="n">
        <v>0</v>
      </c>
      <c r="BF36" s="172">
        <f>BB36-(BD36+BE36)</f>
        <v/>
      </c>
      <c r="BG36" s="172">
        <f>BC36-(BD36+BE36)</f>
        <v/>
      </c>
      <c r="BH36" s="172">
        <f>E36+BF36</f>
        <v/>
      </c>
      <c r="BI36" s="175">
        <f>E36+F36+IF(BG36&gt;=0,BG36,0)</f>
        <v/>
      </c>
      <c r="BJ36" s="175" t="n">
        <v>0</v>
      </c>
    </row>
    <row r="37" ht="15.75" customHeight="1" s="251">
      <c r="A37" s="169" t="inlineStr">
        <is>
          <t>S3</t>
        </is>
      </c>
      <c r="B37" s="13" t="inlineStr">
        <is>
          <t>manikandan.nj@gmail.com</t>
        </is>
      </c>
      <c r="C37" s="13" t="inlineStr">
        <is>
          <t>Manikandan NG</t>
        </is>
      </c>
      <c r="D37" s="170" t="n">
        <v>0</v>
      </c>
      <c r="E37" s="176">
        <f>-45044.64+0.23+10000</f>
        <v/>
      </c>
      <c r="F37" s="171">
        <f>'Apr2026-COLLECTION'!K36</f>
        <v/>
      </c>
      <c r="G37" s="172">
        <f>'Apr2026-EXPENSE'!R40</f>
        <v/>
      </c>
      <c r="H37" s="172" t="n"/>
      <c r="I37" s="172">
        <f>F37-(G37+H37)</f>
        <v/>
      </c>
      <c r="J37" s="173">
        <f>'May2026-COLLECTION'!K36</f>
        <v/>
      </c>
      <c r="K37" s="174">
        <f>'May2026-EXPENSE'!R40</f>
        <v/>
      </c>
      <c r="L37" s="174" t="n"/>
      <c r="M37" s="174">
        <f>J37-(K37+L37)</f>
        <v/>
      </c>
      <c r="N37" s="172">
        <f>'June2026-COLLECTION'!K36</f>
        <v/>
      </c>
      <c r="O37" s="172">
        <f>'June2026-EXPENSE'!R40</f>
        <v/>
      </c>
      <c r="P37" s="172" t="n"/>
      <c r="Q37" s="172">
        <f>N37-(O37+P37)</f>
        <v/>
      </c>
      <c r="R37" s="41">
        <f>'July2026-COLLECTION'!K36</f>
        <v/>
      </c>
      <c r="S37" s="174">
        <f>'July2026-EXPENSE'!R40</f>
        <v/>
      </c>
      <c r="T37" s="174" t="n"/>
      <c r="U37" s="174">
        <f>R37-(S37+T37)</f>
        <v/>
      </c>
      <c r="V37" s="167">
        <f>'Aug2026-COLLECTION'!K36</f>
        <v/>
      </c>
      <c r="W37" s="172">
        <f>'Aug2026-EXPENSE'!R40</f>
        <v/>
      </c>
      <c r="X37" s="172" t="n"/>
      <c r="Y37" s="172">
        <f>V37-(W37+X37)</f>
        <v/>
      </c>
      <c r="Z37" s="41">
        <f>'Sep2026-COLLECTION'!K36</f>
        <v/>
      </c>
      <c r="AA37" s="174">
        <f>'Sep2026-EXPENSE'!R40</f>
        <v/>
      </c>
      <c r="AB37" s="174" t="n"/>
      <c r="AC37" s="174">
        <f>Z37-(AA37+AB37)</f>
        <v/>
      </c>
      <c r="AD37" s="41">
        <f>'Oct2026-COLLECTION'!K36</f>
        <v/>
      </c>
      <c r="AE37" s="174">
        <f>'Oct2026-EXPENSE'!R40</f>
        <v/>
      </c>
      <c r="AF37" s="174" t="n"/>
      <c r="AG37" s="174">
        <f>AD37-(AE37+AF37)</f>
        <v/>
      </c>
      <c r="AH37" s="41">
        <f>'Nov2026-COLLECTION'!K36</f>
        <v/>
      </c>
      <c r="AI37" s="174">
        <f>'Nov2026-EXPENSE'!R40</f>
        <v/>
      </c>
      <c r="AJ37" s="174" t="n"/>
      <c r="AK37" s="174">
        <f>AH37-(AI37+AJ37)</f>
        <v/>
      </c>
      <c r="AL37" s="41">
        <f>'Dec2026-COLLECTION'!K36</f>
        <v/>
      </c>
      <c r="AM37" s="174">
        <f>'Dec2026-EXPENSE'!R40</f>
        <v/>
      </c>
      <c r="AN37" s="174" t="n"/>
      <c r="AO37" s="174">
        <f>AL37-(AM37+AN37)</f>
        <v/>
      </c>
      <c r="AP37" s="7">
        <f>'Jan2027-COLLECTION'!K36</f>
        <v/>
      </c>
      <c r="AQ37" s="10">
        <f>'Jan2027-EXPENSE'!R40</f>
        <v/>
      </c>
      <c r="AR37" s="10" t="n"/>
      <c r="AS37" s="174">
        <f>AP37-(AQ37+AR37)</f>
        <v/>
      </c>
      <c r="AT37" s="7">
        <f>'Feb2027-COLLECTION'!K36</f>
        <v/>
      </c>
      <c r="AU37" s="10">
        <f>'Feb2027-EXPENSE'!R40</f>
        <v/>
      </c>
      <c r="AV37" s="10" t="n"/>
      <c r="AW37" s="174">
        <f>AT37-(AU37+AV37)</f>
        <v/>
      </c>
      <c r="AX37" s="7">
        <f>'Mar2027-COLLECTION'!K36</f>
        <v/>
      </c>
      <c r="AY37" s="10">
        <f>'Mar2027-EXPENSE'!R40</f>
        <v/>
      </c>
      <c r="AZ37" s="10" t="n"/>
      <c r="BA37" s="174">
        <f>AX37-(AY37+AZ37)</f>
        <v/>
      </c>
      <c r="BB37" s="172">
        <f>SUM(F37,J37,N37,R37,V37,Z37,AD37,AH37,AL37,AP37,AT37,AX37)</f>
        <v/>
      </c>
      <c r="BC37" s="172">
        <f>SUM(J37,N37,R37,V37,Z37,AD37,AH37,AL37,AP37,AT37,AX37)</f>
        <v/>
      </c>
      <c r="BD37" s="172">
        <f>SUM(G37,K37,O37,S37,W37,AA37,AE37,AI37,AM37,AQ37,AU37,AY37)</f>
        <v/>
      </c>
      <c r="BE37" s="172" t="n">
        <v>0</v>
      </c>
      <c r="BF37" s="172">
        <f>BB37-(BD37+BE37)</f>
        <v/>
      </c>
      <c r="BG37" s="172">
        <f>BC37-(BD37+BE37)</f>
        <v/>
      </c>
      <c r="BH37" s="172">
        <f>E37+BF37</f>
        <v/>
      </c>
      <c r="BI37" s="175">
        <f>E37+F37+IF(BG37&gt;=0,BG37,0)</f>
        <v/>
      </c>
      <c r="BJ37" s="175" t="n">
        <v>0</v>
      </c>
    </row>
    <row r="38" ht="15.75" customHeight="1" s="251">
      <c r="A38" s="169" t="inlineStr">
        <is>
          <t>S4</t>
        </is>
      </c>
      <c r="B38" s="13" t="n"/>
      <c r="C38" s="13" t="inlineStr">
        <is>
          <t xml:space="preserve">Swaminathan </t>
        </is>
      </c>
      <c r="D38" s="170" t="n">
        <v>0</v>
      </c>
      <c r="E38" s="176" t="n">
        <v>0</v>
      </c>
      <c r="F38" s="171">
        <f>'Apr2026-COLLECTION'!K37</f>
        <v/>
      </c>
      <c r="G38" s="172">
        <f>'Apr2026-EXPENSE'!R41</f>
        <v/>
      </c>
      <c r="H38" s="172" t="n"/>
      <c r="I38" s="172">
        <f>F38-(G38+H38)</f>
        <v/>
      </c>
      <c r="J38" s="173">
        <f>'May2026-COLLECTION'!K37</f>
        <v/>
      </c>
      <c r="K38" s="174">
        <f>'May2026-EXPENSE'!R41</f>
        <v/>
      </c>
      <c r="L38" s="174" t="n"/>
      <c r="M38" s="174">
        <f>J38-(K38+L38)</f>
        <v/>
      </c>
      <c r="N38" s="172">
        <f>'June2026-COLLECTION'!K37</f>
        <v/>
      </c>
      <c r="O38" s="172">
        <f>'June2026-EXPENSE'!R41</f>
        <v/>
      </c>
      <c r="P38" s="172" t="n"/>
      <c r="Q38" s="172">
        <f>N38-(O38+P38)</f>
        <v/>
      </c>
      <c r="R38" s="41">
        <f>'July2026-COLLECTION'!K37</f>
        <v/>
      </c>
      <c r="S38" s="174">
        <f>'July2026-EXPENSE'!R41</f>
        <v/>
      </c>
      <c r="T38" s="174" t="n"/>
      <c r="U38" s="174">
        <f>R38-(S38+T38)</f>
        <v/>
      </c>
      <c r="V38" s="167">
        <f>'Aug2026-COLLECTION'!K37</f>
        <v/>
      </c>
      <c r="W38" s="172">
        <f>'Aug2026-EXPENSE'!R41</f>
        <v/>
      </c>
      <c r="X38" s="172" t="n"/>
      <c r="Y38" s="172">
        <f>V38-(W38+X38)</f>
        <v/>
      </c>
      <c r="Z38" s="41">
        <f>'Sep2026-COLLECTION'!K37</f>
        <v/>
      </c>
      <c r="AA38" s="174">
        <f>'Sep2026-EXPENSE'!R41</f>
        <v/>
      </c>
      <c r="AB38" s="174" t="n"/>
      <c r="AC38" s="174">
        <f>Z38-(AA38+AB38)</f>
        <v/>
      </c>
      <c r="AD38" s="41">
        <f>'Oct2026-COLLECTION'!K37</f>
        <v/>
      </c>
      <c r="AE38" s="174">
        <f>'Oct2026-EXPENSE'!R41</f>
        <v/>
      </c>
      <c r="AF38" s="174" t="n"/>
      <c r="AG38" s="174">
        <f>AD38-(AE38+AF38)</f>
        <v/>
      </c>
      <c r="AH38" s="41">
        <f>'Nov2026-COLLECTION'!K37</f>
        <v/>
      </c>
      <c r="AI38" s="174">
        <f>'Nov2026-EXPENSE'!R41</f>
        <v/>
      </c>
      <c r="AJ38" s="174" t="n"/>
      <c r="AK38" s="174">
        <f>AH38-(AI38+AJ38)</f>
        <v/>
      </c>
      <c r="AL38" s="41">
        <f>'Dec2026-COLLECTION'!K37</f>
        <v/>
      </c>
      <c r="AM38" s="174">
        <f>'Dec2026-EXPENSE'!R41</f>
        <v/>
      </c>
      <c r="AN38" s="174" t="n"/>
      <c r="AO38" s="174">
        <f>AL38-(AM38+AN38)</f>
        <v/>
      </c>
      <c r="AP38" s="7">
        <f>'Jan2027-COLLECTION'!K37</f>
        <v/>
      </c>
      <c r="AQ38" s="10">
        <f>'Jan2027-EXPENSE'!R41</f>
        <v/>
      </c>
      <c r="AR38" s="10" t="n"/>
      <c r="AS38" s="174">
        <f>AP38-(AQ38+AR38)</f>
        <v/>
      </c>
      <c r="AT38" s="7">
        <f>'Feb2027-COLLECTION'!K37</f>
        <v/>
      </c>
      <c r="AU38" s="10">
        <f>'Feb2027-EXPENSE'!R41</f>
        <v/>
      </c>
      <c r="AV38" s="10" t="n"/>
      <c r="AW38" s="174">
        <f>AT38-(AU38+AV38)</f>
        <v/>
      </c>
      <c r="AX38" s="7">
        <f>'Mar2027-COLLECTION'!K37</f>
        <v/>
      </c>
      <c r="AY38" s="10">
        <f>'Mar2027-EXPENSE'!R41</f>
        <v/>
      </c>
      <c r="AZ38" s="10" t="n"/>
      <c r="BA38" s="174">
        <f>AX38-(AY38+AZ38)</f>
        <v/>
      </c>
      <c r="BB38" s="172">
        <f>SUM(F38,J38,N38,R38,V38,Z38,AD38,AH38,AL38,AP38,AT38,AX38)</f>
        <v/>
      </c>
      <c r="BC38" s="172">
        <f>SUM(J38,N38,R38,V38,Z38,AD38,AH38,AL38,AP38,AT38,AX38)</f>
        <v/>
      </c>
      <c r="BD38" s="172">
        <f>SUM(G38,K38,O38,S38,W38,AA38,AE38,AI38,AM38,AQ38,AU38,AY38)</f>
        <v/>
      </c>
      <c r="BE38" s="172" t="n">
        <v>0</v>
      </c>
      <c r="BF38" s="172">
        <f>BB38-(BD38+BE38)</f>
        <v/>
      </c>
      <c r="BG38" s="172">
        <f>BC38-(BD38+BE38)</f>
        <v/>
      </c>
      <c r="BH38" s="172">
        <f>E38+BF38</f>
        <v/>
      </c>
      <c r="BI38" s="175">
        <f>E38+F38+IF(BG38&gt;=0,BG38,0)</f>
        <v/>
      </c>
      <c r="BJ38" s="175" t="n">
        <v>0</v>
      </c>
    </row>
    <row r="39" ht="15.75" customHeight="1" s="251">
      <c r="A39" s="169" t="inlineStr">
        <is>
          <t>S5</t>
        </is>
      </c>
      <c r="B39" s="13" t="n"/>
      <c r="C39" s="13" t="inlineStr">
        <is>
          <t>Abhishek Gopalakrishnan</t>
        </is>
      </c>
      <c r="D39" s="170" t="n">
        <v>0</v>
      </c>
      <c r="E39" s="176" t="n">
        <v>0</v>
      </c>
      <c r="F39" s="171">
        <f>'Apr2026-COLLECTION'!K38</f>
        <v/>
      </c>
      <c r="G39" s="172">
        <f>'Apr2026-EXPENSE'!R42</f>
        <v/>
      </c>
      <c r="H39" s="172" t="n"/>
      <c r="I39" s="172">
        <f>F39-(G39+H39)</f>
        <v/>
      </c>
      <c r="J39" s="173">
        <f>'May2026-COLLECTION'!K38</f>
        <v/>
      </c>
      <c r="K39" s="174">
        <f>'May2026-EXPENSE'!R42</f>
        <v/>
      </c>
      <c r="L39" s="174" t="n"/>
      <c r="M39" s="174">
        <f>J39-(K39+L39)</f>
        <v/>
      </c>
      <c r="N39" s="172">
        <f>'June2026-COLLECTION'!K38</f>
        <v/>
      </c>
      <c r="O39" s="172">
        <f>'June2026-EXPENSE'!R42</f>
        <v/>
      </c>
      <c r="P39" s="172" t="n"/>
      <c r="Q39" s="172">
        <f>N39-(O39+P39)</f>
        <v/>
      </c>
      <c r="R39" s="41">
        <f>'July2026-COLLECTION'!K38</f>
        <v/>
      </c>
      <c r="S39" s="174">
        <f>'July2026-EXPENSE'!R42</f>
        <v/>
      </c>
      <c r="T39" s="174" t="n"/>
      <c r="U39" s="174">
        <f>R39-(S39+T39)</f>
        <v/>
      </c>
      <c r="V39" s="167">
        <f>'Aug2026-COLLECTION'!K38</f>
        <v/>
      </c>
      <c r="W39" s="172">
        <f>'Aug2026-EXPENSE'!R42</f>
        <v/>
      </c>
      <c r="X39" s="172" t="n"/>
      <c r="Y39" s="172">
        <f>V39-(W39+X39)</f>
        <v/>
      </c>
      <c r="Z39" s="41">
        <f>'Sep2026-COLLECTION'!K38</f>
        <v/>
      </c>
      <c r="AA39" s="174">
        <f>'Sep2026-EXPENSE'!R42</f>
        <v/>
      </c>
      <c r="AB39" s="174" t="n"/>
      <c r="AC39" s="174">
        <f>Z39-(AA39+AB39)</f>
        <v/>
      </c>
      <c r="AD39" s="41">
        <f>'Oct2026-COLLECTION'!K38</f>
        <v/>
      </c>
      <c r="AE39" s="174">
        <f>'Oct2026-EXPENSE'!R42</f>
        <v/>
      </c>
      <c r="AF39" s="174" t="n"/>
      <c r="AG39" s="174">
        <f>AD39-(AE39+AF39)</f>
        <v/>
      </c>
      <c r="AH39" s="41">
        <f>'Nov2026-COLLECTION'!K38</f>
        <v/>
      </c>
      <c r="AI39" s="174">
        <f>'Nov2026-EXPENSE'!R42</f>
        <v/>
      </c>
      <c r="AJ39" s="174" t="n"/>
      <c r="AK39" s="174">
        <f>AH39-(AI39+AJ39)</f>
        <v/>
      </c>
      <c r="AL39" s="41">
        <f>'Dec2026-COLLECTION'!K38</f>
        <v/>
      </c>
      <c r="AM39" s="174">
        <f>'Dec2026-EXPENSE'!R42</f>
        <v/>
      </c>
      <c r="AN39" s="174" t="n"/>
      <c r="AO39" s="174">
        <f>AL39-(AM39+AN39)</f>
        <v/>
      </c>
      <c r="AP39" s="7">
        <f>'Jan2027-COLLECTION'!K38</f>
        <v/>
      </c>
      <c r="AQ39" s="10">
        <f>'Jan2027-EXPENSE'!R42</f>
        <v/>
      </c>
      <c r="AR39" s="10" t="n"/>
      <c r="AS39" s="174">
        <f>AP39-(AQ39+AR39)</f>
        <v/>
      </c>
      <c r="AT39" s="7">
        <f>'Feb2027-COLLECTION'!K38</f>
        <v/>
      </c>
      <c r="AU39" s="10">
        <f>'Feb2027-EXPENSE'!R42</f>
        <v/>
      </c>
      <c r="AV39" s="10" t="n"/>
      <c r="AW39" s="174">
        <f>AT39-(AU39+AV39)</f>
        <v/>
      </c>
      <c r="AX39" s="7">
        <f>'Mar2027-COLLECTION'!K38</f>
        <v/>
      </c>
      <c r="AY39" s="10">
        <f>'Mar2027-EXPENSE'!R42</f>
        <v/>
      </c>
      <c r="AZ39" s="10" t="n"/>
      <c r="BA39" s="174">
        <f>AX39-(AY39+AZ39)</f>
        <v/>
      </c>
      <c r="BB39" s="172">
        <f>SUM(F39,J39,N39,R39,V39,Z39,AD39,AH39,AL39,AP39,AT39,AX39)</f>
        <v/>
      </c>
      <c r="BC39" s="172">
        <f>SUM(J39,N39,R39,V39,Z39,AD39,AH39,AL39,AP39,AT39,AX39)</f>
        <v/>
      </c>
      <c r="BD39" s="172">
        <f>SUM(G39,K39,O39,S39,W39,AA39,AE39,AI39,AM39,AQ39,AU39,AY39)</f>
        <v/>
      </c>
      <c r="BE39" s="172" t="n">
        <v>0</v>
      </c>
      <c r="BF39" s="172">
        <f>BB39-(BD39+BE39)</f>
        <v/>
      </c>
      <c r="BG39" s="172">
        <f>BC39-(BD39+BE39)</f>
        <v/>
      </c>
      <c r="BH39" s="172">
        <f>E39+BF39</f>
        <v/>
      </c>
      <c r="BI39" s="175">
        <f>E39+F39+IF(BG39&gt;=0,BG39,0)</f>
        <v/>
      </c>
      <c r="BJ39" s="175" t="n">
        <v>0</v>
      </c>
    </row>
    <row r="40" ht="15.75" customHeight="1" s="251">
      <c r="A40" s="169" t="inlineStr">
        <is>
          <t>S6</t>
        </is>
      </c>
      <c r="B40" s="30" t="n"/>
      <c r="C40" s="30" t="inlineStr">
        <is>
          <t>Vivek Dhingra / Pratyush Das</t>
        </is>
      </c>
      <c r="D40" s="170" t="n">
        <v>0</v>
      </c>
      <c r="E40" s="176" t="n">
        <v>0</v>
      </c>
      <c r="F40" s="171">
        <f>'Apr2026-COLLECTION'!K39</f>
        <v/>
      </c>
      <c r="G40" s="172">
        <f>'Apr2026-EXPENSE'!R43</f>
        <v/>
      </c>
      <c r="H40" s="172" t="n"/>
      <c r="I40" s="172">
        <f>F40-(G40+H40)</f>
        <v/>
      </c>
      <c r="J40" s="173">
        <f>'May2026-COLLECTION'!K39</f>
        <v/>
      </c>
      <c r="K40" s="174">
        <f>'May2026-EXPENSE'!R43</f>
        <v/>
      </c>
      <c r="L40" s="174" t="n"/>
      <c r="M40" s="174">
        <f>J40-(K40+L40)</f>
        <v/>
      </c>
      <c r="N40" s="172">
        <f>'June2026-COLLECTION'!K39</f>
        <v/>
      </c>
      <c r="O40" s="172">
        <f>'June2026-EXPENSE'!R43</f>
        <v/>
      </c>
      <c r="P40" s="172" t="n"/>
      <c r="Q40" s="172">
        <f>N40-(O40+P40)</f>
        <v/>
      </c>
      <c r="R40" s="41">
        <f>'July2026-COLLECTION'!K39</f>
        <v/>
      </c>
      <c r="S40" s="174">
        <f>'July2026-EXPENSE'!R43</f>
        <v/>
      </c>
      <c r="T40" s="174" t="n"/>
      <c r="U40" s="174">
        <f>R40-(S40+T40)</f>
        <v/>
      </c>
      <c r="V40" s="167">
        <f>'Aug2026-COLLECTION'!K39</f>
        <v/>
      </c>
      <c r="W40" s="172">
        <f>'Aug2026-EXPENSE'!R43</f>
        <v/>
      </c>
      <c r="X40" s="172" t="n"/>
      <c r="Y40" s="172">
        <f>V40-(W40+X40)</f>
        <v/>
      </c>
      <c r="Z40" s="41">
        <f>'Sep2026-COLLECTION'!K39</f>
        <v/>
      </c>
      <c r="AA40" s="174">
        <f>'Sep2026-EXPENSE'!R43</f>
        <v/>
      </c>
      <c r="AB40" s="174" t="n"/>
      <c r="AC40" s="174">
        <f>Z40-(AA40+AB40)</f>
        <v/>
      </c>
      <c r="AD40" s="41">
        <f>'Oct2026-COLLECTION'!K39</f>
        <v/>
      </c>
      <c r="AE40" s="174">
        <f>'Oct2026-EXPENSE'!R43</f>
        <v/>
      </c>
      <c r="AF40" s="174" t="n"/>
      <c r="AG40" s="174">
        <f>AD40-(AE40+AF40)</f>
        <v/>
      </c>
      <c r="AH40" s="41">
        <f>'Nov2026-COLLECTION'!K39</f>
        <v/>
      </c>
      <c r="AI40" s="174">
        <f>'Nov2026-EXPENSE'!R43</f>
        <v/>
      </c>
      <c r="AJ40" s="174" t="n"/>
      <c r="AK40" s="174">
        <f>AH40-(AI40+AJ40)</f>
        <v/>
      </c>
      <c r="AL40" s="41">
        <f>'Dec2026-COLLECTION'!K39</f>
        <v/>
      </c>
      <c r="AM40" s="174">
        <f>'Dec2026-EXPENSE'!R43</f>
        <v/>
      </c>
      <c r="AN40" s="174" t="n"/>
      <c r="AO40" s="174">
        <f>AL40-(AM40+AN40)</f>
        <v/>
      </c>
      <c r="AP40" s="7">
        <f>'Jan2027-COLLECTION'!K39</f>
        <v/>
      </c>
      <c r="AQ40" s="10">
        <f>'Jan2027-EXPENSE'!R43</f>
        <v/>
      </c>
      <c r="AR40" s="10" t="n"/>
      <c r="AS40" s="174">
        <f>AP40-(AQ40+AR40)</f>
        <v/>
      </c>
      <c r="AT40" s="7">
        <f>'Feb2027-COLLECTION'!K39</f>
        <v/>
      </c>
      <c r="AU40" s="10">
        <f>'Feb2027-EXPENSE'!R43</f>
        <v/>
      </c>
      <c r="AV40" s="10" t="n"/>
      <c r="AW40" s="174">
        <f>AT40-(AU40+AV40)</f>
        <v/>
      </c>
      <c r="AX40" s="7">
        <f>'Mar2027-COLLECTION'!K39</f>
        <v/>
      </c>
      <c r="AY40" s="10">
        <f>'Mar2027-EXPENSE'!R43</f>
        <v/>
      </c>
      <c r="AZ40" s="10" t="n"/>
      <c r="BA40" s="174">
        <f>AX40-(AY40+AZ40)</f>
        <v/>
      </c>
      <c r="BB40" s="172">
        <f>SUM(F40,J40,N40,R40,V40,Z40,AD40,AH40,AL40,AP40,AT40,AX40)</f>
        <v/>
      </c>
      <c r="BC40" s="172">
        <f>SUM(J40,N40,R40,V40,Z40,AD40,AH40,AL40,AP40,AT40,AX40)</f>
        <v/>
      </c>
      <c r="BD40" s="172">
        <f>SUM(G40,K40,O40,S40,W40,AA40,AE40,AI40,AM40,AQ40,AU40,AY40)</f>
        <v/>
      </c>
      <c r="BE40" s="172" t="n">
        <v>0</v>
      </c>
      <c r="BF40" s="172">
        <f>BB40-(BD40+BE40)</f>
        <v/>
      </c>
      <c r="BG40" s="172">
        <f>BC40-(BD40+BE40)</f>
        <v/>
      </c>
      <c r="BH40" s="172">
        <f>E40+BF40</f>
        <v/>
      </c>
      <c r="BI40" s="175">
        <f>E40+F40+IF(BG40&gt;=0,BG40,0)</f>
        <v/>
      </c>
      <c r="BJ40" s="175" t="n">
        <v>0</v>
      </c>
    </row>
    <row r="41" ht="15.75" customHeight="1" s="251">
      <c r="A41" s="169" t="inlineStr">
        <is>
          <t>S7</t>
        </is>
      </c>
      <c r="B41" s="13" t="n"/>
      <c r="C41" s="13" t="inlineStr">
        <is>
          <t>Harish B</t>
        </is>
      </c>
      <c r="D41" s="170" t="n">
        <v>0</v>
      </c>
      <c r="E41" s="176" t="n">
        <v>0</v>
      </c>
      <c r="F41" s="171">
        <f>'Apr2026-COLLECTION'!K40</f>
        <v/>
      </c>
      <c r="G41" s="172">
        <f>'Apr2026-EXPENSE'!R44</f>
        <v/>
      </c>
      <c r="H41" s="172" t="n"/>
      <c r="I41" s="172">
        <f>F41-(G41+H41)</f>
        <v/>
      </c>
      <c r="J41" s="173">
        <f>'May2026-COLLECTION'!K40</f>
        <v/>
      </c>
      <c r="K41" s="174">
        <f>'May2026-EXPENSE'!R44</f>
        <v/>
      </c>
      <c r="L41" s="174" t="n"/>
      <c r="M41" s="174">
        <f>J41-(K41+L41)</f>
        <v/>
      </c>
      <c r="N41" s="172">
        <f>'June2026-COLLECTION'!K40</f>
        <v/>
      </c>
      <c r="O41" s="172">
        <f>'June2026-EXPENSE'!R44</f>
        <v/>
      </c>
      <c r="P41" s="172" t="n"/>
      <c r="Q41" s="172">
        <f>N41-(O41+P41)</f>
        <v/>
      </c>
      <c r="R41" s="41">
        <f>'July2026-COLLECTION'!K40</f>
        <v/>
      </c>
      <c r="S41" s="174">
        <f>'July2026-EXPENSE'!R44</f>
        <v/>
      </c>
      <c r="T41" s="174" t="n"/>
      <c r="U41" s="174">
        <f>R41-(S41+T41)</f>
        <v/>
      </c>
      <c r="V41" s="167">
        <f>'Aug2026-COLLECTION'!K40</f>
        <v/>
      </c>
      <c r="W41" s="172">
        <f>'Aug2026-EXPENSE'!R44</f>
        <v/>
      </c>
      <c r="X41" s="172" t="n"/>
      <c r="Y41" s="172">
        <f>V41-(W41+X41)</f>
        <v/>
      </c>
      <c r="Z41" s="41">
        <f>'Sep2026-COLLECTION'!K40</f>
        <v/>
      </c>
      <c r="AA41" s="174">
        <f>'Sep2026-EXPENSE'!R44</f>
        <v/>
      </c>
      <c r="AB41" s="174" t="n"/>
      <c r="AC41" s="174">
        <f>Z41-(AA41+AB41)</f>
        <v/>
      </c>
      <c r="AD41" s="41">
        <f>'Oct2026-COLLECTION'!K40</f>
        <v/>
      </c>
      <c r="AE41" s="174">
        <f>'Oct2026-EXPENSE'!R44</f>
        <v/>
      </c>
      <c r="AF41" s="174" t="n"/>
      <c r="AG41" s="174">
        <f>AD41-(AE41+AF41)</f>
        <v/>
      </c>
      <c r="AH41" s="41">
        <f>'Nov2026-COLLECTION'!K40</f>
        <v/>
      </c>
      <c r="AI41" s="174">
        <f>'Nov2026-EXPENSE'!R44</f>
        <v/>
      </c>
      <c r="AJ41" s="174" t="n"/>
      <c r="AK41" s="174">
        <f>AH41-(AI41+AJ41)</f>
        <v/>
      </c>
      <c r="AL41" s="41">
        <f>'Dec2026-COLLECTION'!K40</f>
        <v/>
      </c>
      <c r="AM41" s="174">
        <f>'Dec2026-EXPENSE'!R44</f>
        <v/>
      </c>
      <c r="AN41" s="174" t="n"/>
      <c r="AO41" s="174">
        <f>AL41-(AM41+AN41)</f>
        <v/>
      </c>
      <c r="AP41" s="7">
        <f>'Jan2027-COLLECTION'!K40</f>
        <v/>
      </c>
      <c r="AQ41" s="10">
        <f>'Jan2027-EXPENSE'!R44</f>
        <v/>
      </c>
      <c r="AR41" s="10" t="n"/>
      <c r="AS41" s="174">
        <f>AP41-(AQ41+AR41)</f>
        <v/>
      </c>
      <c r="AT41" s="7">
        <f>'Feb2027-COLLECTION'!K40</f>
        <v/>
      </c>
      <c r="AU41" s="10">
        <f>'Feb2027-EXPENSE'!R44</f>
        <v/>
      </c>
      <c r="AV41" s="10" t="n"/>
      <c r="AW41" s="174">
        <f>AT41-(AU41+AV41)</f>
        <v/>
      </c>
      <c r="AX41" s="7">
        <f>'Mar2027-COLLECTION'!K40</f>
        <v/>
      </c>
      <c r="AY41" s="10">
        <f>'Mar2027-EXPENSE'!R44</f>
        <v/>
      </c>
      <c r="AZ41" s="10" t="n"/>
      <c r="BA41" s="174">
        <f>AX41-(AY41+AZ41)</f>
        <v/>
      </c>
      <c r="BB41" s="172">
        <f>SUM(F41,J41,N41,R41,V41,Z41,AD41,AH41,AL41,AP41,AT41,AX41)</f>
        <v/>
      </c>
      <c r="BC41" s="172">
        <f>SUM(J41,N41,R41,V41,Z41,AD41,AH41,AL41,AP41,AT41,AX41)</f>
        <v/>
      </c>
      <c r="BD41" s="172">
        <f>SUM(G41,K41,O41,S41,W41,AA41,AE41,AI41,AM41,AQ41,AU41,AY41)</f>
        <v/>
      </c>
      <c r="BE41" s="172" t="n">
        <v>0</v>
      </c>
      <c r="BF41" s="172">
        <f>BB41-(BD41+BE41)</f>
        <v/>
      </c>
      <c r="BG41" s="172">
        <f>BC41-(BD41+BE41)</f>
        <v/>
      </c>
      <c r="BH41" s="172">
        <f>E41+BF41</f>
        <v/>
      </c>
      <c r="BI41" s="175">
        <f>E41+F41+IF(BG41&gt;=0,BG41,0)</f>
        <v/>
      </c>
      <c r="BJ41" s="175" t="n">
        <v>0</v>
      </c>
    </row>
    <row r="42" ht="15.75" customHeight="1" s="251">
      <c r="A42" s="169" t="inlineStr">
        <is>
          <t>S8</t>
        </is>
      </c>
      <c r="B42" s="13" t="n"/>
      <c r="C42" s="13" t="inlineStr">
        <is>
          <t>Irudayaraj Alwin</t>
        </is>
      </c>
      <c r="D42" s="170" t="n">
        <v>0</v>
      </c>
      <c r="E42" s="176" t="n">
        <v>0</v>
      </c>
      <c r="F42" s="171">
        <f>'Apr2026-COLLECTION'!K41</f>
        <v/>
      </c>
      <c r="G42" s="172">
        <f>'Apr2026-EXPENSE'!R45</f>
        <v/>
      </c>
      <c r="H42" s="172" t="n"/>
      <c r="I42" s="172">
        <f>F42-(G42+H42)</f>
        <v/>
      </c>
      <c r="J42" s="173">
        <f>'May2026-COLLECTION'!K41</f>
        <v/>
      </c>
      <c r="K42" s="174">
        <f>'May2026-EXPENSE'!R45</f>
        <v/>
      </c>
      <c r="L42" s="174" t="n"/>
      <c r="M42" s="174">
        <f>J42-(K42+L42)</f>
        <v/>
      </c>
      <c r="N42" s="172">
        <f>'June2026-COLLECTION'!K41</f>
        <v/>
      </c>
      <c r="O42" s="172">
        <f>'June2026-EXPENSE'!R45</f>
        <v/>
      </c>
      <c r="P42" s="172" t="n"/>
      <c r="Q42" s="172">
        <f>N42-(O42+P42)</f>
        <v/>
      </c>
      <c r="R42" s="41">
        <f>'July2026-COLLECTION'!K41</f>
        <v/>
      </c>
      <c r="S42" s="174">
        <f>'July2026-EXPENSE'!R45</f>
        <v/>
      </c>
      <c r="T42" s="174" t="n"/>
      <c r="U42" s="174">
        <f>R42-(S42+T42)</f>
        <v/>
      </c>
      <c r="V42" s="167">
        <f>'Aug2026-COLLECTION'!K41</f>
        <v/>
      </c>
      <c r="W42" s="172">
        <f>'Aug2026-EXPENSE'!R45</f>
        <v/>
      </c>
      <c r="X42" s="172" t="n"/>
      <c r="Y42" s="172">
        <f>V42-(W42+X42)</f>
        <v/>
      </c>
      <c r="Z42" s="41">
        <f>'Sep2026-COLLECTION'!K41</f>
        <v/>
      </c>
      <c r="AA42" s="174">
        <f>'Sep2026-EXPENSE'!R45</f>
        <v/>
      </c>
      <c r="AB42" s="174" t="n"/>
      <c r="AC42" s="174">
        <f>Z42-(AA42+AB42)</f>
        <v/>
      </c>
      <c r="AD42" s="41">
        <f>'Oct2026-COLLECTION'!K41</f>
        <v/>
      </c>
      <c r="AE42" s="174">
        <f>'Oct2026-EXPENSE'!R45</f>
        <v/>
      </c>
      <c r="AF42" s="174" t="n"/>
      <c r="AG42" s="174">
        <f>AD42-(AE42+AF42)</f>
        <v/>
      </c>
      <c r="AH42" s="41">
        <f>'Nov2026-COLLECTION'!K41</f>
        <v/>
      </c>
      <c r="AI42" s="174">
        <f>'Nov2026-EXPENSE'!R45</f>
        <v/>
      </c>
      <c r="AJ42" s="174" t="n"/>
      <c r="AK42" s="174">
        <f>AH42-(AI42+AJ42)</f>
        <v/>
      </c>
      <c r="AL42" s="41">
        <f>'Dec2026-COLLECTION'!K41</f>
        <v/>
      </c>
      <c r="AM42" s="174">
        <f>'Dec2026-EXPENSE'!R45</f>
        <v/>
      </c>
      <c r="AN42" s="174" t="n"/>
      <c r="AO42" s="174">
        <f>AL42-(AM42+AN42)</f>
        <v/>
      </c>
      <c r="AP42" s="7">
        <f>'Jan2027-COLLECTION'!K41</f>
        <v/>
      </c>
      <c r="AQ42" s="10">
        <f>'Jan2027-EXPENSE'!R45</f>
        <v/>
      </c>
      <c r="AR42" s="10" t="n"/>
      <c r="AS42" s="174">
        <f>AP42-(AQ42+AR42)</f>
        <v/>
      </c>
      <c r="AT42" s="7">
        <f>'Feb2027-COLLECTION'!K41</f>
        <v/>
      </c>
      <c r="AU42" s="10">
        <f>'Feb2027-EXPENSE'!R45</f>
        <v/>
      </c>
      <c r="AV42" s="10" t="n"/>
      <c r="AW42" s="174">
        <f>AT42-(AU42+AV42)</f>
        <v/>
      </c>
      <c r="AX42" s="7">
        <f>'Mar2027-COLLECTION'!K41</f>
        <v/>
      </c>
      <c r="AY42" s="10">
        <f>'Mar2027-EXPENSE'!R45</f>
        <v/>
      </c>
      <c r="AZ42" s="10" t="n"/>
      <c r="BA42" s="174">
        <f>AX42-(AY42+AZ42)</f>
        <v/>
      </c>
      <c r="BB42" s="172">
        <f>SUM(F42,J42,N42,R42,V42,Z42,AD42,AH42,AL42,AP42,AT42,AX42)</f>
        <v/>
      </c>
      <c r="BC42" s="172">
        <f>SUM(J42,N42,R42,V42,Z42,AD42,AH42,AL42,AP42,AT42,AX42)</f>
        <v/>
      </c>
      <c r="BD42" s="172">
        <f>SUM(G42,K42,O42,S42,W42,AA42,AE42,AI42,AM42,AQ42,AU42,AY42)</f>
        <v/>
      </c>
      <c r="BE42" s="172" t="n">
        <v>0</v>
      </c>
      <c r="BF42" s="172">
        <f>BB42-(BD42+BE42)</f>
        <v/>
      </c>
      <c r="BG42" s="172">
        <f>BC42-(BD42+BE42)</f>
        <v/>
      </c>
      <c r="BH42" s="172">
        <f>E42+BF42</f>
        <v/>
      </c>
      <c r="BI42" s="175">
        <f>E42+F42+IF(BG42&gt;=0,BG42,0)</f>
        <v/>
      </c>
      <c r="BJ42" s="175" t="n">
        <v>0</v>
      </c>
    </row>
    <row r="43" ht="15.75" customHeight="1" s="251">
      <c r="A43" s="169" t="inlineStr">
        <is>
          <t>S9</t>
        </is>
      </c>
      <c r="B43" s="13" t="n"/>
      <c r="C43" s="13" t="inlineStr">
        <is>
          <t>Pawan GS</t>
        </is>
      </c>
      <c r="D43" s="170" t="n">
        <v>0</v>
      </c>
      <c r="E43" s="176" t="n">
        <v>0</v>
      </c>
      <c r="F43" s="171">
        <f>'Apr2026-COLLECTION'!K42</f>
        <v/>
      </c>
      <c r="G43" s="172">
        <f>'Apr2026-EXPENSE'!R46</f>
        <v/>
      </c>
      <c r="H43" s="172" t="n"/>
      <c r="I43" s="172">
        <f>F43-(G43+H43)</f>
        <v/>
      </c>
      <c r="J43" s="173">
        <f>'May2026-COLLECTION'!K42</f>
        <v/>
      </c>
      <c r="K43" s="174">
        <f>'May2026-EXPENSE'!R46</f>
        <v/>
      </c>
      <c r="L43" s="174" t="n"/>
      <c r="M43" s="174">
        <f>J43-(K43+L43)</f>
        <v/>
      </c>
      <c r="N43" s="172">
        <f>'June2026-COLLECTION'!K42</f>
        <v/>
      </c>
      <c r="O43" s="172">
        <f>'June2026-EXPENSE'!R46</f>
        <v/>
      </c>
      <c r="P43" s="172" t="n"/>
      <c r="Q43" s="172">
        <f>N43-(O43+P43)</f>
        <v/>
      </c>
      <c r="R43" s="41">
        <f>'July2026-COLLECTION'!K42</f>
        <v/>
      </c>
      <c r="S43" s="174">
        <f>'July2026-EXPENSE'!R46</f>
        <v/>
      </c>
      <c r="T43" s="174" t="n"/>
      <c r="U43" s="174">
        <f>R43-(S43+T43)</f>
        <v/>
      </c>
      <c r="V43" s="167">
        <f>'Aug2026-COLLECTION'!K42</f>
        <v/>
      </c>
      <c r="W43" s="172">
        <f>'Aug2026-EXPENSE'!R46</f>
        <v/>
      </c>
      <c r="X43" s="172" t="n"/>
      <c r="Y43" s="172">
        <f>V43-(W43+X43)</f>
        <v/>
      </c>
      <c r="Z43" s="41">
        <f>'Sep2026-COLLECTION'!K42</f>
        <v/>
      </c>
      <c r="AA43" s="174">
        <f>'Sep2026-EXPENSE'!R46</f>
        <v/>
      </c>
      <c r="AB43" s="174" t="n"/>
      <c r="AC43" s="174">
        <f>Z43-(AA43+AB43)</f>
        <v/>
      </c>
      <c r="AD43" s="41">
        <f>'Oct2026-COLLECTION'!K42</f>
        <v/>
      </c>
      <c r="AE43" s="174">
        <f>'Oct2026-EXPENSE'!R46</f>
        <v/>
      </c>
      <c r="AF43" s="174" t="n"/>
      <c r="AG43" s="174">
        <f>AD43-(AE43+AF43)</f>
        <v/>
      </c>
      <c r="AH43" s="41">
        <f>'Nov2026-COLLECTION'!K42</f>
        <v/>
      </c>
      <c r="AI43" s="174">
        <f>'Nov2026-EXPENSE'!R46</f>
        <v/>
      </c>
      <c r="AJ43" s="174" t="n"/>
      <c r="AK43" s="174">
        <f>AH43-(AI43+AJ43)</f>
        <v/>
      </c>
      <c r="AL43" s="41">
        <f>'Dec2026-COLLECTION'!K42</f>
        <v/>
      </c>
      <c r="AM43" s="174">
        <f>'Dec2026-EXPENSE'!R46</f>
        <v/>
      </c>
      <c r="AN43" s="174" t="n"/>
      <c r="AO43" s="174">
        <f>AL43-(AM43+AN43)</f>
        <v/>
      </c>
      <c r="AP43" s="7">
        <f>'Jan2027-COLLECTION'!K42</f>
        <v/>
      </c>
      <c r="AQ43" s="10">
        <f>'Jan2027-EXPENSE'!R46</f>
        <v/>
      </c>
      <c r="AR43" s="10" t="n"/>
      <c r="AS43" s="174">
        <f>AP43-(AQ43+AR43)</f>
        <v/>
      </c>
      <c r="AT43" s="7">
        <f>'Feb2027-COLLECTION'!K42</f>
        <v/>
      </c>
      <c r="AU43" s="10">
        <f>'Feb2027-EXPENSE'!R46</f>
        <v/>
      </c>
      <c r="AV43" s="10" t="n"/>
      <c r="AW43" s="174">
        <f>AT43-(AU43+AV43)</f>
        <v/>
      </c>
      <c r="AX43" s="7">
        <f>'Mar2027-COLLECTION'!K42</f>
        <v/>
      </c>
      <c r="AY43" s="10">
        <f>'Mar2027-EXPENSE'!R46</f>
        <v/>
      </c>
      <c r="AZ43" s="10" t="n"/>
      <c r="BA43" s="174">
        <f>AX43-(AY43+AZ43)</f>
        <v/>
      </c>
      <c r="BB43" s="172">
        <f>SUM(F43,J43,N43,R43,V43,Z43,AD43,AH43,AL43,AP43,AT43,AX43)</f>
        <v/>
      </c>
      <c r="BC43" s="172">
        <f>SUM(J43,N43,R43,V43,Z43,AD43,AH43,AL43,AP43,AT43,AX43)</f>
        <v/>
      </c>
      <c r="BD43" s="172">
        <f>SUM(G43,K43,O43,S43,W43,AA43,AE43,AI43,AM43,AQ43,AU43,AY43)</f>
        <v/>
      </c>
      <c r="BE43" s="172" t="n">
        <v>0</v>
      </c>
      <c r="BF43" s="172">
        <f>BB43-(BD43+BE43)</f>
        <v/>
      </c>
      <c r="BG43" s="172">
        <f>BC43-(BD43+BE43)</f>
        <v/>
      </c>
      <c r="BH43" s="172">
        <f>E43+BF43</f>
        <v/>
      </c>
      <c r="BI43" s="175">
        <f>E43+F43+IF(BG43&gt;=0,BG43,0)</f>
        <v/>
      </c>
      <c r="BJ43" s="175" t="n">
        <v>0</v>
      </c>
    </row>
    <row r="44" ht="15.75" customHeight="1" s="251">
      <c r="A44" s="169" t="inlineStr">
        <is>
          <t>S10</t>
        </is>
      </c>
      <c r="B44" s="13" t="inlineStr">
        <is>
          <t>esky2524@gmail.com</t>
        </is>
      </c>
      <c r="C44" s="13" t="inlineStr">
        <is>
          <t>Previous owner - Rohith. New owner name not known</t>
        </is>
      </c>
      <c r="D44" s="170" t="n">
        <v>0</v>
      </c>
      <c r="E44" s="176" t="n">
        <v>0</v>
      </c>
      <c r="F44" s="171">
        <f>'Apr2026-COLLECTION'!K43</f>
        <v/>
      </c>
      <c r="G44" s="172">
        <f>'Apr2026-EXPENSE'!R47</f>
        <v/>
      </c>
      <c r="H44" s="172" t="n"/>
      <c r="I44" s="172">
        <f>F44-(G44+H44)</f>
        <v/>
      </c>
      <c r="J44" s="173">
        <f>'May2026-COLLECTION'!K43</f>
        <v/>
      </c>
      <c r="K44" s="174">
        <f>'May2026-EXPENSE'!R47</f>
        <v/>
      </c>
      <c r="L44" s="174" t="n">
        <v>0</v>
      </c>
      <c r="M44" s="174">
        <f>J44-(K44+L44)</f>
        <v/>
      </c>
      <c r="N44" s="172">
        <f>'June2026-COLLECTION'!K43</f>
        <v/>
      </c>
      <c r="O44" s="172">
        <f>'June2026-EXPENSE'!R47</f>
        <v/>
      </c>
      <c r="P44" s="172" t="n"/>
      <c r="Q44" s="172">
        <f>N44-(O44+P44)</f>
        <v/>
      </c>
      <c r="R44" s="41">
        <f>'July2026-COLLECTION'!K43</f>
        <v/>
      </c>
      <c r="S44" s="174">
        <f>'July2026-EXPENSE'!R47</f>
        <v/>
      </c>
      <c r="T44" s="174" t="n">
        <v>0</v>
      </c>
      <c r="U44" s="174">
        <f>R44-(S44+T44)</f>
        <v/>
      </c>
      <c r="V44" s="167">
        <f>'Aug2026-COLLECTION'!K43</f>
        <v/>
      </c>
      <c r="W44" s="172">
        <f>'Aug2026-EXPENSE'!R47</f>
        <v/>
      </c>
      <c r="X44" s="172" t="n"/>
      <c r="Y44" s="172">
        <f>V44-(W44+X44)</f>
        <v/>
      </c>
      <c r="Z44" s="41">
        <f>'Sep2026-COLLECTION'!K43</f>
        <v/>
      </c>
      <c r="AA44" s="174">
        <f>'Sep2026-EXPENSE'!R47</f>
        <v/>
      </c>
      <c r="AB44" s="174" t="n"/>
      <c r="AC44" s="174">
        <f>Z44-(AA44+AB44)</f>
        <v/>
      </c>
      <c r="AD44" s="41">
        <f>'Oct2026-COLLECTION'!K43</f>
        <v/>
      </c>
      <c r="AE44" s="174">
        <f>'Oct2026-EXPENSE'!R47</f>
        <v/>
      </c>
      <c r="AF44" s="174" t="n"/>
      <c r="AG44" s="174">
        <f>AD44-(AE44+AF44)</f>
        <v/>
      </c>
      <c r="AH44" s="41">
        <f>'Nov2026-COLLECTION'!K43</f>
        <v/>
      </c>
      <c r="AI44" s="174">
        <f>'Nov2026-EXPENSE'!R47</f>
        <v/>
      </c>
      <c r="AJ44" s="174" t="n"/>
      <c r="AK44" s="174">
        <f>AH44-(AI44+AJ44)</f>
        <v/>
      </c>
      <c r="AL44" s="41">
        <f>'Dec2026-COLLECTION'!K43</f>
        <v/>
      </c>
      <c r="AM44" s="174">
        <f>'Dec2026-EXPENSE'!R47</f>
        <v/>
      </c>
      <c r="AN44" s="174" t="n"/>
      <c r="AO44" s="174">
        <f>AL44-(AM44+AN44)</f>
        <v/>
      </c>
      <c r="AP44" s="7">
        <f>'Jan2027-COLLECTION'!K43</f>
        <v/>
      </c>
      <c r="AQ44" s="10">
        <f>'Jan2027-EXPENSE'!R47</f>
        <v/>
      </c>
      <c r="AR44" s="10" t="n"/>
      <c r="AS44" s="174">
        <f>AP44-(AQ44+AR44)</f>
        <v/>
      </c>
      <c r="AT44" s="7">
        <f>'Feb2027-COLLECTION'!K43</f>
        <v/>
      </c>
      <c r="AU44" s="10">
        <f>'Feb2027-EXPENSE'!R47</f>
        <v/>
      </c>
      <c r="AV44" s="10" t="n"/>
      <c r="AW44" s="174">
        <f>AT44-(AU44+AV44)</f>
        <v/>
      </c>
      <c r="AX44" s="7">
        <f>'Mar2027-COLLECTION'!K43</f>
        <v/>
      </c>
      <c r="AY44" s="10">
        <f>'Mar2027-EXPENSE'!R47</f>
        <v/>
      </c>
      <c r="AZ44" s="10" t="n"/>
      <c r="BA44" s="174">
        <f>AX44-(AY44+AZ44)</f>
        <v/>
      </c>
      <c r="BB44" s="172">
        <f>SUM(F44,J44,N44,R44,V44,Z44,AD44,AH44,AL44,AP44,AT44,AX44)</f>
        <v/>
      </c>
      <c r="BC44" s="172">
        <f>SUM(J44,N44,R44,V44,Z44,AD44,AH44,AL44,AP44,AT44,AX44)</f>
        <v/>
      </c>
      <c r="BD44" s="172">
        <f>SUM(G44,K44,O44,S44,W44,AA44,AE44,AI44,AM44,AQ44,AU44,AY44)</f>
        <v/>
      </c>
      <c r="BE44" s="172" t="n">
        <v>0</v>
      </c>
      <c r="BF44" s="172">
        <f>BB44-(BD44+BE44)</f>
        <v/>
      </c>
      <c r="BG44" s="172">
        <f>BC44-(BD44+BE44)</f>
        <v/>
      </c>
      <c r="BH44" s="172">
        <f>E44+BF44</f>
        <v/>
      </c>
      <c r="BI44" s="175">
        <f>E44+F44+IF(BG44&gt;=0,BG44,0)</f>
        <v/>
      </c>
      <c r="BJ44" s="175" t="n">
        <v>0</v>
      </c>
    </row>
    <row r="45" ht="15.75" customHeight="1" s="251">
      <c r="A45" s="169" t="inlineStr">
        <is>
          <t>S11</t>
        </is>
      </c>
      <c r="B45" s="13" t="n"/>
      <c r="C45" s="13" t="inlineStr">
        <is>
          <t>Gowrish Patnaik / Somananth GM</t>
        </is>
      </c>
      <c r="D45" s="170" t="n">
        <v>0</v>
      </c>
      <c r="E45" s="176" t="n">
        <v>0</v>
      </c>
      <c r="F45" s="171">
        <f>'Apr2026-COLLECTION'!K44</f>
        <v/>
      </c>
      <c r="G45" s="172">
        <f>'Apr2026-EXPENSE'!R48</f>
        <v/>
      </c>
      <c r="H45" s="172" t="n"/>
      <c r="I45" s="172">
        <f>F45-(G45+H45)</f>
        <v/>
      </c>
      <c r="J45" s="173">
        <f>'May2026-COLLECTION'!K44</f>
        <v/>
      </c>
      <c r="K45" s="174">
        <f>'May2026-EXPENSE'!R48</f>
        <v/>
      </c>
      <c r="L45" s="174" t="n">
        <v>0</v>
      </c>
      <c r="M45" s="174">
        <f>J45-(K45+L45)</f>
        <v/>
      </c>
      <c r="N45" s="172">
        <f>'June2026-COLLECTION'!K44</f>
        <v/>
      </c>
      <c r="O45" s="172">
        <f>'June2026-EXPENSE'!R48</f>
        <v/>
      </c>
      <c r="P45" s="172" t="n"/>
      <c r="Q45" s="172">
        <f>N45-(O45+P45)</f>
        <v/>
      </c>
      <c r="R45" s="41">
        <f>'July2026-COLLECTION'!K44</f>
        <v/>
      </c>
      <c r="S45" s="174">
        <f>'July2026-EXPENSE'!R48</f>
        <v/>
      </c>
      <c r="T45" s="174" t="n"/>
      <c r="U45" s="174">
        <f>R45-(S45+T45)</f>
        <v/>
      </c>
      <c r="V45" s="167">
        <f>'Aug2026-COLLECTION'!K44</f>
        <v/>
      </c>
      <c r="W45" s="172">
        <f>'Aug2026-EXPENSE'!R48</f>
        <v/>
      </c>
      <c r="X45" s="172" t="n"/>
      <c r="Y45" s="172">
        <f>V45-(W45+X45)</f>
        <v/>
      </c>
      <c r="Z45" s="41">
        <f>'Sep2026-COLLECTION'!K44</f>
        <v/>
      </c>
      <c r="AA45" s="174">
        <f>'Sep2026-EXPENSE'!R48</f>
        <v/>
      </c>
      <c r="AB45" s="174" t="n"/>
      <c r="AC45" s="174">
        <f>Z45-(AA45+AB45)</f>
        <v/>
      </c>
      <c r="AD45" s="41">
        <f>'Oct2026-COLLECTION'!K44</f>
        <v/>
      </c>
      <c r="AE45" s="174">
        <f>'Oct2026-EXPENSE'!R48</f>
        <v/>
      </c>
      <c r="AF45" s="174" t="n"/>
      <c r="AG45" s="174">
        <f>AD45-(AE45+AF45)</f>
        <v/>
      </c>
      <c r="AH45" s="41">
        <f>'Nov2026-COLLECTION'!K44</f>
        <v/>
      </c>
      <c r="AI45" s="174">
        <f>'Nov2026-EXPENSE'!R48</f>
        <v/>
      </c>
      <c r="AJ45" s="174" t="n"/>
      <c r="AK45" s="174">
        <f>AH45-(AI45+AJ45)</f>
        <v/>
      </c>
      <c r="AL45" s="41">
        <f>'Dec2026-COLLECTION'!K44</f>
        <v/>
      </c>
      <c r="AM45" s="174">
        <f>'Dec2026-EXPENSE'!R48</f>
        <v/>
      </c>
      <c r="AN45" s="174" t="n"/>
      <c r="AO45" s="174">
        <f>AL45-(AM45+AN45)</f>
        <v/>
      </c>
      <c r="AP45" s="7">
        <f>'Jan2027-COLLECTION'!K44</f>
        <v/>
      </c>
      <c r="AQ45" s="10">
        <f>'Jan2027-EXPENSE'!R48</f>
        <v/>
      </c>
      <c r="AR45" s="10" t="n"/>
      <c r="AS45" s="174">
        <f>AP45-(AQ45+AR45)</f>
        <v/>
      </c>
      <c r="AT45" s="7">
        <f>'Feb2027-COLLECTION'!K44</f>
        <v/>
      </c>
      <c r="AU45" s="10">
        <f>'Feb2027-EXPENSE'!R48</f>
        <v/>
      </c>
      <c r="AV45" s="10" t="n"/>
      <c r="AW45" s="174">
        <f>AT45-(AU45+AV45)</f>
        <v/>
      </c>
      <c r="AX45" s="7">
        <f>'Mar2027-COLLECTION'!K44</f>
        <v/>
      </c>
      <c r="AY45" s="10">
        <f>'Mar2027-EXPENSE'!R48</f>
        <v/>
      </c>
      <c r="AZ45" s="10" t="n"/>
      <c r="BA45" s="174">
        <f>AX45-(AY45+AZ45)</f>
        <v/>
      </c>
      <c r="BB45" s="172">
        <f>SUM(F45,J45,N45,R45,V45,Z45,AD45,AH45,AL45,AP45,AT45,AX45)</f>
        <v/>
      </c>
      <c r="BC45" s="172">
        <f>SUM(J45,N45,R45,V45,Z45,AD45,AH45,AL45,AP45,AT45,AX45)</f>
        <v/>
      </c>
      <c r="BD45" s="172">
        <f>SUM(G45,K45,O45,S45,W45,AA45,AE45,AI45,AM45,AQ45,AU45,AY45)</f>
        <v/>
      </c>
      <c r="BE45" s="172" t="n">
        <v>0</v>
      </c>
      <c r="BF45" s="172">
        <f>BB45-(BD45+BE45)</f>
        <v/>
      </c>
      <c r="BG45" s="172">
        <f>BC45-(BD45+BE45)</f>
        <v/>
      </c>
      <c r="BH45" s="172">
        <f>E45+BF45</f>
        <v/>
      </c>
      <c r="BI45" s="175">
        <f>E45+F45+IF(BG45&gt;=0,BG45,0)</f>
        <v/>
      </c>
      <c r="BJ45" s="175" t="n">
        <v>0</v>
      </c>
    </row>
    <row r="46" ht="15.75" customHeight="1" s="251">
      <c r="A46" s="169" t="inlineStr">
        <is>
          <t>S12</t>
        </is>
      </c>
      <c r="B46" s="13" t="n"/>
      <c r="C46" s="13" t="inlineStr">
        <is>
          <t>Saovik Mondal</t>
        </is>
      </c>
      <c r="D46" s="170" t="n">
        <v>0</v>
      </c>
      <c r="E46" s="176" t="n">
        <v>0</v>
      </c>
      <c r="F46" s="171">
        <f>'Apr2026-COLLECTION'!K45</f>
        <v/>
      </c>
      <c r="G46" s="172">
        <f>'Apr2026-EXPENSE'!R49</f>
        <v/>
      </c>
      <c r="H46" s="172" t="n"/>
      <c r="I46" s="172">
        <f>F46-(G46+H46)</f>
        <v/>
      </c>
      <c r="J46" s="173">
        <f>'May2026-COLLECTION'!K45</f>
        <v/>
      </c>
      <c r="K46" s="174">
        <f>'May2026-EXPENSE'!R49</f>
        <v/>
      </c>
      <c r="L46" s="174" t="n"/>
      <c r="M46" s="174">
        <f>J46-(K46+L46)</f>
        <v/>
      </c>
      <c r="N46" s="172">
        <f>'June2026-COLLECTION'!K45</f>
        <v/>
      </c>
      <c r="O46" s="172">
        <f>'June2026-EXPENSE'!R49</f>
        <v/>
      </c>
      <c r="P46" s="172" t="n"/>
      <c r="Q46" s="172">
        <f>N46-(O46+P46)</f>
        <v/>
      </c>
      <c r="R46" s="41">
        <f>'July2026-COLLECTION'!K45</f>
        <v/>
      </c>
      <c r="S46" s="174">
        <f>'July2026-EXPENSE'!R49</f>
        <v/>
      </c>
      <c r="T46" s="174" t="n"/>
      <c r="U46" s="174">
        <f>R46-(S46+T46)</f>
        <v/>
      </c>
      <c r="V46" s="167">
        <f>'Aug2026-COLLECTION'!K45</f>
        <v/>
      </c>
      <c r="W46" s="172">
        <f>'Aug2026-EXPENSE'!R49</f>
        <v/>
      </c>
      <c r="X46" s="172" t="n"/>
      <c r="Y46" s="172">
        <f>V46-(W46+X46)</f>
        <v/>
      </c>
      <c r="Z46" s="41">
        <f>'Sep2026-COLLECTION'!K45</f>
        <v/>
      </c>
      <c r="AA46" s="174">
        <f>'Sep2026-EXPENSE'!R49</f>
        <v/>
      </c>
      <c r="AB46" s="174" t="n"/>
      <c r="AC46" s="174">
        <f>Z46-(AA46+AB46)</f>
        <v/>
      </c>
      <c r="AD46" s="41">
        <f>'Oct2026-COLLECTION'!K45</f>
        <v/>
      </c>
      <c r="AE46" s="174">
        <f>'Oct2026-EXPENSE'!R49</f>
        <v/>
      </c>
      <c r="AF46" s="174" t="n"/>
      <c r="AG46" s="174">
        <f>AD46-(AE46+AF46)</f>
        <v/>
      </c>
      <c r="AH46" s="41">
        <f>'Nov2026-COLLECTION'!K45</f>
        <v/>
      </c>
      <c r="AI46" s="174">
        <f>'Nov2026-EXPENSE'!R49</f>
        <v/>
      </c>
      <c r="AJ46" s="174" t="n"/>
      <c r="AK46" s="174">
        <f>AH46-(AI46+AJ46)</f>
        <v/>
      </c>
      <c r="AL46" s="41">
        <f>'Dec2026-COLLECTION'!K45</f>
        <v/>
      </c>
      <c r="AM46" s="174">
        <f>'Dec2026-EXPENSE'!R49</f>
        <v/>
      </c>
      <c r="AN46" s="174" t="n"/>
      <c r="AO46" s="174">
        <f>AL46-(AM46+AN46)</f>
        <v/>
      </c>
      <c r="AP46" s="7">
        <f>'Jan2027-COLLECTION'!K45</f>
        <v/>
      </c>
      <c r="AQ46" s="10">
        <f>'Jan2027-EXPENSE'!R49</f>
        <v/>
      </c>
      <c r="AR46" s="10" t="n"/>
      <c r="AS46" s="174">
        <f>AP46-(AQ46+AR46)</f>
        <v/>
      </c>
      <c r="AT46" s="7">
        <f>'Feb2027-COLLECTION'!K45</f>
        <v/>
      </c>
      <c r="AU46" s="10">
        <f>'Feb2027-EXPENSE'!R49</f>
        <v/>
      </c>
      <c r="AV46" s="10" t="n"/>
      <c r="AW46" s="174">
        <f>AT46-(AU46+AV46)</f>
        <v/>
      </c>
      <c r="AX46" s="7">
        <f>'Mar2027-COLLECTION'!K45</f>
        <v/>
      </c>
      <c r="AY46" s="10">
        <f>'Mar2027-EXPENSE'!R49</f>
        <v/>
      </c>
      <c r="AZ46" s="10" t="n"/>
      <c r="BA46" s="174">
        <f>AX46-(AY46+AZ46)</f>
        <v/>
      </c>
      <c r="BB46" s="172">
        <f>SUM(F46,J46,N46,R46,V46,Z46,AD46,AH46,AL46,AP46,AT46,AX46)</f>
        <v/>
      </c>
      <c r="BC46" s="172">
        <f>SUM(J46,N46,R46,V46,Z46,AD46,AH46,AL46,AP46,AT46,AX46)</f>
        <v/>
      </c>
      <c r="BD46" s="172">
        <f>SUM(G46,K46,O46,S46,W46,AA46,AE46,AI46,AM46,AQ46,AU46,AY46)</f>
        <v/>
      </c>
      <c r="BE46" s="172" t="n">
        <v>0</v>
      </c>
      <c r="BF46" s="172">
        <f>BB46-(BD46+BE46)</f>
        <v/>
      </c>
      <c r="BG46" s="172">
        <f>BC46-(BD46+BE46)</f>
        <v/>
      </c>
      <c r="BH46" s="172">
        <f>E46+BF46</f>
        <v/>
      </c>
      <c r="BI46" s="175">
        <f>E46+F46+IF(BG46&gt;=0,BG46,0)</f>
        <v/>
      </c>
      <c r="BJ46" s="175" t="n">
        <v>0</v>
      </c>
    </row>
    <row r="47" ht="15.75" customHeight="1" s="251">
      <c r="A47" s="169" t="inlineStr">
        <is>
          <t>S13</t>
        </is>
      </c>
      <c r="B47" s="13" t="n"/>
      <c r="C47" s="13" t="inlineStr">
        <is>
          <t>Ramadevi S.</t>
        </is>
      </c>
      <c r="D47" s="170" t="n">
        <v>0</v>
      </c>
      <c r="E47" s="176" t="n">
        <v>0</v>
      </c>
      <c r="F47" s="171">
        <f>'Apr2026-COLLECTION'!K46</f>
        <v/>
      </c>
      <c r="G47" s="172">
        <f>'Apr2026-EXPENSE'!R50</f>
        <v/>
      </c>
      <c r="H47" s="172" t="n"/>
      <c r="I47" s="172">
        <f>F47-(G47+H47)</f>
        <v/>
      </c>
      <c r="J47" s="173">
        <f>'May2026-COLLECTION'!K46</f>
        <v/>
      </c>
      <c r="K47" s="174">
        <f>'May2026-EXPENSE'!R50</f>
        <v/>
      </c>
      <c r="L47" s="174" t="n">
        <v>0</v>
      </c>
      <c r="M47" s="174">
        <f>J47-(K47+L47)</f>
        <v/>
      </c>
      <c r="N47" s="172">
        <f>'June2026-COLLECTION'!K46</f>
        <v/>
      </c>
      <c r="O47" s="172">
        <f>'June2026-EXPENSE'!R50</f>
        <v/>
      </c>
      <c r="P47" s="172" t="n"/>
      <c r="Q47" s="172">
        <f>N47-(O47+P47)</f>
        <v/>
      </c>
      <c r="R47" s="41">
        <f>'July2026-COLLECTION'!K46</f>
        <v/>
      </c>
      <c r="S47" s="174">
        <f>'July2026-EXPENSE'!R50</f>
        <v/>
      </c>
      <c r="T47" s="174" t="n"/>
      <c r="U47" s="174">
        <f>R47-(S47+T47)</f>
        <v/>
      </c>
      <c r="V47" s="167">
        <f>'Aug2026-COLLECTION'!K46</f>
        <v/>
      </c>
      <c r="W47" s="172">
        <f>'Aug2026-EXPENSE'!R50</f>
        <v/>
      </c>
      <c r="X47" s="172" t="n"/>
      <c r="Y47" s="172">
        <f>V47-(W47+X47)</f>
        <v/>
      </c>
      <c r="Z47" s="41">
        <f>'Sep2026-COLLECTION'!K46</f>
        <v/>
      </c>
      <c r="AA47" s="174">
        <f>'Sep2026-EXPENSE'!R50</f>
        <v/>
      </c>
      <c r="AB47" s="174" t="n"/>
      <c r="AC47" s="174">
        <f>Z47-(AA47+AB47)</f>
        <v/>
      </c>
      <c r="AD47" s="41">
        <f>'Oct2026-COLLECTION'!K46</f>
        <v/>
      </c>
      <c r="AE47" s="174">
        <f>'Oct2026-EXPENSE'!R50</f>
        <v/>
      </c>
      <c r="AF47" s="174" t="n"/>
      <c r="AG47" s="174">
        <f>AD47-(AE47+AF47)</f>
        <v/>
      </c>
      <c r="AH47" s="41">
        <f>'Nov2026-COLLECTION'!K46</f>
        <v/>
      </c>
      <c r="AI47" s="174">
        <f>'Nov2026-EXPENSE'!R50</f>
        <v/>
      </c>
      <c r="AJ47" s="174" t="n"/>
      <c r="AK47" s="174">
        <f>AH47-(AI47+AJ47)</f>
        <v/>
      </c>
      <c r="AL47" s="41">
        <f>'Dec2026-COLLECTION'!K46</f>
        <v/>
      </c>
      <c r="AM47" s="174">
        <f>'Dec2026-EXPENSE'!R50</f>
        <v/>
      </c>
      <c r="AN47" s="174" t="n"/>
      <c r="AO47" s="174">
        <f>AL47-(AM47+AN47)</f>
        <v/>
      </c>
      <c r="AP47" s="7">
        <f>'Jan2027-COLLECTION'!K46</f>
        <v/>
      </c>
      <c r="AQ47" s="10">
        <f>'Jan2027-EXPENSE'!R50</f>
        <v/>
      </c>
      <c r="AR47" s="10" t="n"/>
      <c r="AS47" s="174">
        <f>AP47-(AQ47+AR47)</f>
        <v/>
      </c>
      <c r="AT47" s="7">
        <f>'Feb2027-COLLECTION'!K46</f>
        <v/>
      </c>
      <c r="AU47" s="10">
        <f>'Feb2027-EXPENSE'!R50</f>
        <v/>
      </c>
      <c r="AV47" s="10" t="n"/>
      <c r="AW47" s="174">
        <f>AT47-(AU47+AV47)</f>
        <v/>
      </c>
      <c r="AX47" s="7">
        <f>'Mar2027-COLLECTION'!K46</f>
        <v/>
      </c>
      <c r="AY47" s="10">
        <f>'Mar2027-EXPENSE'!R50</f>
        <v/>
      </c>
      <c r="AZ47" s="10" t="n"/>
      <c r="BA47" s="174">
        <f>AX47-(AY47+AZ47)</f>
        <v/>
      </c>
      <c r="BB47" s="172">
        <f>SUM(F47,J47,N47,R47,V47,Z47,AD47,AH47,AL47,AP47,AT47,AX47)</f>
        <v/>
      </c>
      <c r="BC47" s="172">
        <f>SUM(J47,N47,R47,V47,Z47,AD47,AH47,AL47,AP47,AT47,AX47)</f>
        <v/>
      </c>
      <c r="BD47" s="172">
        <f>SUM(G47,K47,O47,S47,W47,AA47,AE47,AI47,AM47,AQ47,AU47,AY47)</f>
        <v/>
      </c>
      <c r="BE47" s="172" t="n">
        <v>0</v>
      </c>
      <c r="BF47" s="172">
        <f>BB47-(BD47+BE47)</f>
        <v/>
      </c>
      <c r="BG47" s="172">
        <f>BC47-(BD47+BE47)</f>
        <v/>
      </c>
      <c r="BH47" s="172">
        <f>E47+BF47</f>
        <v/>
      </c>
      <c r="BI47" s="175">
        <f>E47+F47+IF(BG47&gt;=0,BG47,0)</f>
        <v/>
      </c>
      <c r="BJ47" s="175" t="n">
        <v>0</v>
      </c>
    </row>
    <row r="48" ht="15.75" customHeight="1" s="251">
      <c r="A48" s="169" t="inlineStr">
        <is>
          <t>S14</t>
        </is>
      </c>
      <c r="B48" s="13" t="n"/>
      <c r="C48" s="13" t="inlineStr">
        <is>
          <t>Nishant Upadhyay(Owner)/ Fabian (Tenant)</t>
        </is>
      </c>
      <c r="D48" s="170" t="n">
        <v>0</v>
      </c>
      <c r="E48" s="176" t="n">
        <v>0</v>
      </c>
      <c r="F48" s="171">
        <f>'Apr2026-COLLECTION'!K47</f>
        <v/>
      </c>
      <c r="G48" s="172">
        <f>'Apr2026-EXPENSE'!R51</f>
        <v/>
      </c>
      <c r="H48" s="172" t="n"/>
      <c r="I48" s="172">
        <f>F48-(G48+H48)</f>
        <v/>
      </c>
      <c r="J48" s="173">
        <f>'May2026-COLLECTION'!K47</f>
        <v/>
      </c>
      <c r="K48" s="174">
        <f>'May2026-EXPENSE'!R51</f>
        <v/>
      </c>
      <c r="L48" s="174" t="n">
        <v>0</v>
      </c>
      <c r="M48" s="174">
        <f>J48-(K48+L48)</f>
        <v/>
      </c>
      <c r="N48" s="172">
        <f>'June2026-COLLECTION'!K47</f>
        <v/>
      </c>
      <c r="O48" s="172">
        <f>'June2026-EXPENSE'!R51</f>
        <v/>
      </c>
      <c r="P48" s="172" t="n"/>
      <c r="Q48" s="172">
        <f>N48-(O48+P48)</f>
        <v/>
      </c>
      <c r="R48" s="41">
        <f>'July2026-COLLECTION'!K47</f>
        <v/>
      </c>
      <c r="S48" s="174">
        <f>'July2026-EXPENSE'!R51</f>
        <v/>
      </c>
      <c r="T48" s="174" t="n">
        <v>0</v>
      </c>
      <c r="U48" s="174">
        <f>R48-(S48+T48)</f>
        <v/>
      </c>
      <c r="V48" s="167">
        <f>'Aug2026-COLLECTION'!K47</f>
        <v/>
      </c>
      <c r="W48" s="172">
        <f>'Aug2026-EXPENSE'!R51</f>
        <v/>
      </c>
      <c r="X48" s="172" t="n"/>
      <c r="Y48" s="172">
        <f>V48-(W48+X48)</f>
        <v/>
      </c>
      <c r="Z48" s="41">
        <f>'Sep2026-COLLECTION'!K47</f>
        <v/>
      </c>
      <c r="AA48" s="174">
        <f>'Sep2026-EXPENSE'!R51</f>
        <v/>
      </c>
      <c r="AB48" s="174" t="n"/>
      <c r="AC48" s="174">
        <f>Z48-(AA48+AB48)</f>
        <v/>
      </c>
      <c r="AD48" s="41">
        <f>'Oct2026-COLLECTION'!K47</f>
        <v/>
      </c>
      <c r="AE48" s="174">
        <f>'Oct2026-EXPENSE'!R51</f>
        <v/>
      </c>
      <c r="AF48" s="174" t="n"/>
      <c r="AG48" s="174">
        <f>AD48-(AE48+AF48)</f>
        <v/>
      </c>
      <c r="AH48" s="41">
        <f>'Nov2026-COLLECTION'!K47</f>
        <v/>
      </c>
      <c r="AI48" s="174">
        <f>'Nov2026-EXPENSE'!R51</f>
        <v/>
      </c>
      <c r="AJ48" s="174" t="n"/>
      <c r="AK48" s="174">
        <f>AH48-(AI48+AJ48)</f>
        <v/>
      </c>
      <c r="AL48" s="41">
        <f>'Dec2026-COLLECTION'!K47</f>
        <v/>
      </c>
      <c r="AM48" s="174">
        <f>'Dec2026-EXPENSE'!R51</f>
        <v/>
      </c>
      <c r="AN48" s="174" t="n"/>
      <c r="AO48" s="174">
        <f>AL48-(AM48+AN48)</f>
        <v/>
      </c>
      <c r="AP48" s="7">
        <f>'Jan2027-COLLECTION'!K47</f>
        <v/>
      </c>
      <c r="AQ48" s="10">
        <f>'Jan2027-EXPENSE'!R51</f>
        <v/>
      </c>
      <c r="AR48" s="10" t="n"/>
      <c r="AS48" s="174">
        <f>AP48-(AQ48+AR48)</f>
        <v/>
      </c>
      <c r="AT48" s="7">
        <f>'Feb2027-COLLECTION'!K47</f>
        <v/>
      </c>
      <c r="AU48" s="10">
        <f>'Feb2027-EXPENSE'!R51</f>
        <v/>
      </c>
      <c r="AV48" s="10" t="n"/>
      <c r="AW48" s="174">
        <f>AT48-(AU48+AV48)</f>
        <v/>
      </c>
      <c r="AX48" s="7">
        <f>'Mar2027-COLLECTION'!K47</f>
        <v/>
      </c>
      <c r="AY48" s="10">
        <f>'Mar2027-EXPENSE'!R51</f>
        <v/>
      </c>
      <c r="AZ48" s="10" t="n"/>
      <c r="BA48" s="174">
        <f>AX48-(AY48+AZ48)</f>
        <v/>
      </c>
      <c r="BB48" s="172">
        <f>SUM(F48,J48,N48,R48,V48,Z48,AD48,AH48,AL48,AP48,AT48,AX48)</f>
        <v/>
      </c>
      <c r="BC48" s="172">
        <f>SUM(J48,N48,R48,V48,Z48,AD48,AH48,AL48,AP48,AT48,AX48)</f>
        <v/>
      </c>
      <c r="BD48" s="172">
        <f>SUM(G48,K48,O48,S48,W48,AA48,AE48,AI48,AM48,AQ48,AU48,AY48)</f>
        <v/>
      </c>
      <c r="BE48" s="172" t="n">
        <v>0</v>
      </c>
      <c r="BF48" s="172">
        <f>BB48-(BD48+BE48)</f>
        <v/>
      </c>
      <c r="BG48" s="172">
        <f>BC48-(BD48+BE48)</f>
        <v/>
      </c>
      <c r="BH48" s="172">
        <f>E48+BF48</f>
        <v/>
      </c>
      <c r="BI48" s="175">
        <f>E48+F48+IF(BG48&gt;=0,BG48,0)</f>
        <v/>
      </c>
      <c r="BJ48" s="175" t="n">
        <v>0</v>
      </c>
    </row>
    <row r="49" ht="15.75" customHeight="1" s="251">
      <c r="A49" s="169" t="inlineStr">
        <is>
          <t>S15</t>
        </is>
      </c>
      <c r="B49" s="13" t="n"/>
      <c r="C49" s="13" t="inlineStr">
        <is>
          <t>Manas Dasgupta</t>
        </is>
      </c>
      <c r="D49" s="170" t="n">
        <v>0</v>
      </c>
      <c r="E49" s="176" t="n">
        <v>0</v>
      </c>
      <c r="F49" s="171">
        <f>'Apr2026-COLLECTION'!K48</f>
        <v/>
      </c>
      <c r="G49" s="172">
        <f>'Apr2026-EXPENSE'!R52</f>
        <v/>
      </c>
      <c r="H49" s="172" t="n"/>
      <c r="I49" s="172">
        <f>F49-(G49+H49)</f>
        <v/>
      </c>
      <c r="J49" s="173">
        <f>'May2026-COLLECTION'!K48</f>
        <v/>
      </c>
      <c r="K49" s="174">
        <f>'May2026-EXPENSE'!R52</f>
        <v/>
      </c>
      <c r="L49" s="174" t="n">
        <v>0</v>
      </c>
      <c r="M49" s="174">
        <f>J49-(K49+L49)</f>
        <v/>
      </c>
      <c r="N49" s="172">
        <f>'June2026-COLLECTION'!K48</f>
        <v/>
      </c>
      <c r="O49" s="172">
        <f>'June2026-EXPENSE'!R52</f>
        <v/>
      </c>
      <c r="P49" s="172" t="n"/>
      <c r="Q49" s="172">
        <f>N49-(O49+P49)</f>
        <v/>
      </c>
      <c r="R49" s="41">
        <f>'July2026-COLLECTION'!K48</f>
        <v/>
      </c>
      <c r="S49" s="174">
        <f>'July2026-EXPENSE'!R52</f>
        <v/>
      </c>
      <c r="T49" s="174" t="n"/>
      <c r="U49" s="174">
        <f>R49-(S49+T49)</f>
        <v/>
      </c>
      <c r="V49" s="167">
        <f>'Aug2026-COLLECTION'!K48</f>
        <v/>
      </c>
      <c r="W49" s="172">
        <f>'Aug2026-EXPENSE'!R52</f>
        <v/>
      </c>
      <c r="X49" s="172" t="n"/>
      <c r="Y49" s="172">
        <f>V49-(W49+X49)</f>
        <v/>
      </c>
      <c r="Z49" s="41">
        <f>'Sep2026-COLLECTION'!K48</f>
        <v/>
      </c>
      <c r="AA49" s="174">
        <f>'Sep2026-EXPENSE'!R52</f>
        <v/>
      </c>
      <c r="AB49" s="174" t="n"/>
      <c r="AC49" s="174">
        <f>Z49-(AA49+AB49)</f>
        <v/>
      </c>
      <c r="AD49" s="41">
        <f>'Oct2026-COLLECTION'!K48</f>
        <v/>
      </c>
      <c r="AE49" s="174">
        <f>'Oct2026-EXPENSE'!R52</f>
        <v/>
      </c>
      <c r="AF49" s="174" t="n"/>
      <c r="AG49" s="174">
        <f>AD49-(AE49+AF49)</f>
        <v/>
      </c>
      <c r="AH49" s="41">
        <f>'Nov2026-COLLECTION'!K48</f>
        <v/>
      </c>
      <c r="AI49" s="174">
        <f>'Nov2026-EXPENSE'!R52</f>
        <v/>
      </c>
      <c r="AJ49" s="174" t="n"/>
      <c r="AK49" s="174">
        <f>AH49-(AI49+AJ49)</f>
        <v/>
      </c>
      <c r="AL49" s="41">
        <f>'Dec2026-COLLECTION'!K48</f>
        <v/>
      </c>
      <c r="AM49" s="174">
        <f>'Dec2026-EXPENSE'!R52</f>
        <v/>
      </c>
      <c r="AN49" s="174" t="n"/>
      <c r="AO49" s="174">
        <f>AL49-(AM49+AN49)</f>
        <v/>
      </c>
      <c r="AP49" s="7">
        <f>'Jan2027-COLLECTION'!K48</f>
        <v/>
      </c>
      <c r="AQ49" s="10">
        <f>'Jan2027-EXPENSE'!R52</f>
        <v/>
      </c>
      <c r="AR49" s="10" t="n"/>
      <c r="AS49" s="174">
        <f>AP49-(AQ49+AR49)</f>
        <v/>
      </c>
      <c r="AT49" s="7">
        <f>'Feb2027-COLLECTION'!K48</f>
        <v/>
      </c>
      <c r="AU49" s="10">
        <f>'Feb2027-EXPENSE'!R52</f>
        <v/>
      </c>
      <c r="AV49" s="10" t="n"/>
      <c r="AW49" s="174">
        <f>AT49-(AU49+AV49)</f>
        <v/>
      </c>
      <c r="AX49" s="7">
        <f>'Mar2027-COLLECTION'!K48</f>
        <v/>
      </c>
      <c r="AY49" s="10">
        <f>'Mar2027-EXPENSE'!R52</f>
        <v/>
      </c>
      <c r="AZ49" s="10" t="n"/>
      <c r="BA49" s="174">
        <f>AX49-(AY49+AZ49)</f>
        <v/>
      </c>
      <c r="BB49" s="172">
        <f>SUM(F49,J49,N49,R49,V49,Z49,AD49,AH49,AL49,AP49,AT49,AX49)</f>
        <v/>
      </c>
      <c r="BC49" s="172">
        <f>SUM(J49,N49,R49,V49,Z49,AD49,AH49,AL49,AP49,AT49,AX49)</f>
        <v/>
      </c>
      <c r="BD49" s="172">
        <f>SUM(G49,K49,O49,S49,W49,AA49,AE49,AI49,AM49,AQ49,AU49,AY49)</f>
        <v/>
      </c>
      <c r="BE49" s="172" t="n">
        <v>0</v>
      </c>
      <c r="BF49" s="172">
        <f>BB49-(BD49+BE49)</f>
        <v/>
      </c>
      <c r="BG49" s="172">
        <f>BC49-(BD49+BE49)</f>
        <v/>
      </c>
      <c r="BH49" s="172">
        <f>E49+BF49</f>
        <v/>
      </c>
      <c r="BI49" s="175">
        <f>E49+F49+IF(BG49&gt;=0,BG49,0)</f>
        <v/>
      </c>
      <c r="BJ49" s="175" t="n">
        <v>0</v>
      </c>
    </row>
    <row r="50" ht="15.75" customHeight="1" s="251">
      <c r="A50" s="169" t="inlineStr">
        <is>
          <t>S16</t>
        </is>
      </c>
      <c r="B50" s="13" t="n"/>
      <c r="C50" s="13" t="inlineStr">
        <is>
          <t>Devendra Singh Rawat / Nancy</t>
        </is>
      </c>
      <c r="D50" s="170" t="n">
        <v>0</v>
      </c>
      <c r="E50" s="176" t="n">
        <v>0</v>
      </c>
      <c r="F50" s="171">
        <f>'Apr2026-COLLECTION'!K49</f>
        <v/>
      </c>
      <c r="G50" s="172">
        <f>'Apr2026-EXPENSE'!R53</f>
        <v/>
      </c>
      <c r="H50" s="172" t="n"/>
      <c r="I50" s="172">
        <f>F50-(G50+H50)</f>
        <v/>
      </c>
      <c r="J50" s="173">
        <f>'May2026-COLLECTION'!K49</f>
        <v/>
      </c>
      <c r="K50" s="174">
        <f>'May2026-EXPENSE'!R53</f>
        <v/>
      </c>
      <c r="L50" s="174" t="n"/>
      <c r="M50" s="174">
        <f>J50-(K50+L50)</f>
        <v/>
      </c>
      <c r="N50" s="172">
        <f>'June2026-COLLECTION'!K49</f>
        <v/>
      </c>
      <c r="O50" s="172">
        <f>'June2026-EXPENSE'!R53</f>
        <v/>
      </c>
      <c r="P50" s="172" t="n"/>
      <c r="Q50" s="172">
        <f>N50-(O50+P50)</f>
        <v/>
      </c>
      <c r="R50" s="41">
        <f>'July2026-COLLECTION'!K49</f>
        <v/>
      </c>
      <c r="S50" s="174">
        <f>'July2026-EXPENSE'!R53</f>
        <v/>
      </c>
      <c r="T50" s="174" t="n"/>
      <c r="U50" s="174">
        <f>R50-(S50+T50)</f>
        <v/>
      </c>
      <c r="V50" s="167">
        <f>'Aug2026-COLLECTION'!K49</f>
        <v/>
      </c>
      <c r="W50" s="172">
        <f>'Aug2026-EXPENSE'!R53</f>
        <v/>
      </c>
      <c r="X50" s="172" t="n"/>
      <c r="Y50" s="172">
        <f>V50-(W50+X50)</f>
        <v/>
      </c>
      <c r="Z50" s="41">
        <f>'Sep2026-COLLECTION'!K49</f>
        <v/>
      </c>
      <c r="AA50" s="174">
        <f>'Sep2026-EXPENSE'!R53</f>
        <v/>
      </c>
      <c r="AB50" s="174" t="n"/>
      <c r="AC50" s="174">
        <f>Z50-(AA50+AB50)</f>
        <v/>
      </c>
      <c r="AD50" s="41">
        <f>'Oct2026-COLLECTION'!K49</f>
        <v/>
      </c>
      <c r="AE50" s="174">
        <f>'Oct2026-EXPENSE'!R53</f>
        <v/>
      </c>
      <c r="AF50" s="174" t="n"/>
      <c r="AG50" s="174">
        <f>AD50-(AE50+AF50)</f>
        <v/>
      </c>
      <c r="AH50" s="41">
        <f>'Nov2026-COLLECTION'!K49</f>
        <v/>
      </c>
      <c r="AI50" s="174">
        <f>'Nov2026-EXPENSE'!R53</f>
        <v/>
      </c>
      <c r="AJ50" s="174" t="n"/>
      <c r="AK50" s="174">
        <f>AH50-(AI50+AJ50)</f>
        <v/>
      </c>
      <c r="AL50" s="41">
        <f>'Dec2026-COLLECTION'!K49</f>
        <v/>
      </c>
      <c r="AM50" s="174">
        <f>'Dec2026-EXPENSE'!R53</f>
        <v/>
      </c>
      <c r="AN50" s="174" t="n"/>
      <c r="AO50" s="174">
        <f>AL50-(AM50+AN50)</f>
        <v/>
      </c>
      <c r="AP50" s="7">
        <f>'Jan2027-COLLECTION'!K49</f>
        <v/>
      </c>
      <c r="AQ50" s="10">
        <f>'Jan2027-EXPENSE'!R53</f>
        <v/>
      </c>
      <c r="AR50" s="10" t="n"/>
      <c r="AS50" s="174">
        <f>AP50-(AQ50+AR50)</f>
        <v/>
      </c>
      <c r="AT50" s="7">
        <f>'Feb2027-COLLECTION'!K49</f>
        <v/>
      </c>
      <c r="AU50" s="10">
        <f>'Feb2027-EXPENSE'!R53</f>
        <v/>
      </c>
      <c r="AV50" s="10" t="n"/>
      <c r="AW50" s="174">
        <f>AT50-(AU50+AV50)</f>
        <v/>
      </c>
      <c r="AX50" s="7">
        <f>'Mar2027-COLLECTION'!K49</f>
        <v/>
      </c>
      <c r="AY50" s="10">
        <f>'Mar2027-EXPENSE'!R53</f>
        <v/>
      </c>
      <c r="AZ50" s="10" t="n"/>
      <c r="BA50" s="174">
        <f>AX50-(AY50+AZ50)</f>
        <v/>
      </c>
      <c r="BB50" s="172">
        <f>SUM(F50,J50,N50,R50,V50,Z50,AD50,AH50,AL50,AP50,AT50,AX50)</f>
        <v/>
      </c>
      <c r="BC50" s="172">
        <f>SUM(J50,N50,R50,V50,Z50,AD50,AH50,AL50,AP50,AT50,AX50)</f>
        <v/>
      </c>
      <c r="BD50" s="172">
        <f>SUM(G50,K50,O50,S50,W50,AA50,AE50,AI50,AM50,AQ50,AU50,AY50)</f>
        <v/>
      </c>
      <c r="BE50" s="172" t="n">
        <v>0</v>
      </c>
      <c r="BF50" s="172">
        <f>BB50-(BD50+BE50)</f>
        <v/>
      </c>
      <c r="BG50" s="172">
        <f>BC50-(BD50+BE50)</f>
        <v/>
      </c>
      <c r="BH50" s="172">
        <f>E50+BF50</f>
        <v/>
      </c>
      <c r="BI50" s="175">
        <f>E50+F50+IF(BG50&gt;=0,BG50,0)</f>
        <v/>
      </c>
      <c r="BJ50" s="175" t="n">
        <v>0</v>
      </c>
    </row>
    <row r="51" ht="15.75" customHeight="1" s="251">
      <c r="A51" s="169" t="inlineStr">
        <is>
          <t>T1</t>
        </is>
      </c>
      <c r="B51" s="13" t="n"/>
      <c r="C51" s="13" t="inlineStr">
        <is>
          <t>Prashant Sikdar</t>
        </is>
      </c>
      <c r="D51" s="170" t="n">
        <v>0</v>
      </c>
      <c r="E51" s="176" t="n">
        <v>0</v>
      </c>
      <c r="F51" s="171">
        <f>'Apr2026-COLLECTION'!K50</f>
        <v/>
      </c>
      <c r="G51" s="172">
        <f>'Apr2026-EXPENSE'!R54</f>
        <v/>
      </c>
      <c r="H51" s="172" t="n"/>
      <c r="I51" s="172">
        <f>F51-(G51+H51)</f>
        <v/>
      </c>
      <c r="J51" s="173">
        <f>'May2026-COLLECTION'!K50</f>
        <v/>
      </c>
      <c r="K51" s="174">
        <f>'May2026-EXPENSE'!R54</f>
        <v/>
      </c>
      <c r="L51" s="174" t="n"/>
      <c r="M51" s="174">
        <f>J51-(K51+L51)</f>
        <v/>
      </c>
      <c r="N51" s="172">
        <f>'June2026-COLLECTION'!K50</f>
        <v/>
      </c>
      <c r="O51" s="172">
        <f>'June2026-EXPENSE'!R54</f>
        <v/>
      </c>
      <c r="P51" s="172" t="n"/>
      <c r="Q51" s="172">
        <f>N51-(O51+P51)</f>
        <v/>
      </c>
      <c r="R51" s="41">
        <f>'July2026-COLLECTION'!K50</f>
        <v/>
      </c>
      <c r="S51" s="174">
        <f>'July2026-EXPENSE'!R54</f>
        <v/>
      </c>
      <c r="T51" s="174" t="n"/>
      <c r="U51" s="174">
        <f>R51-(S51+T51)</f>
        <v/>
      </c>
      <c r="V51" s="167">
        <f>'Aug2026-COLLECTION'!K50</f>
        <v/>
      </c>
      <c r="W51" s="172">
        <f>'Aug2026-EXPENSE'!R54</f>
        <v/>
      </c>
      <c r="X51" s="172" t="n"/>
      <c r="Y51" s="172">
        <f>V51-(W51+X51)</f>
        <v/>
      </c>
      <c r="Z51" s="41">
        <f>'Sep2026-COLLECTION'!K50</f>
        <v/>
      </c>
      <c r="AA51" s="174">
        <f>'Sep2026-EXPENSE'!R54</f>
        <v/>
      </c>
      <c r="AB51" s="174" t="n"/>
      <c r="AC51" s="174">
        <f>Z51-(AA51+AB51)</f>
        <v/>
      </c>
      <c r="AD51" s="41">
        <f>'Oct2026-COLLECTION'!K50</f>
        <v/>
      </c>
      <c r="AE51" s="174">
        <f>'Oct2026-EXPENSE'!R54</f>
        <v/>
      </c>
      <c r="AF51" s="174" t="n"/>
      <c r="AG51" s="174">
        <f>AD51-(AE51+AF51)</f>
        <v/>
      </c>
      <c r="AH51" s="41">
        <f>'Nov2026-COLLECTION'!K50</f>
        <v/>
      </c>
      <c r="AI51" s="174">
        <f>'Nov2026-EXPENSE'!R54</f>
        <v/>
      </c>
      <c r="AJ51" s="174" t="n"/>
      <c r="AK51" s="174">
        <f>AH51-(AI51+AJ51)</f>
        <v/>
      </c>
      <c r="AL51" s="41">
        <f>'Dec2026-COLLECTION'!K50</f>
        <v/>
      </c>
      <c r="AM51" s="174">
        <f>'Dec2026-EXPENSE'!R54</f>
        <v/>
      </c>
      <c r="AN51" s="174" t="n"/>
      <c r="AO51" s="174">
        <f>AL51-(AM51+AN51)</f>
        <v/>
      </c>
      <c r="AP51" s="7">
        <f>'Jan2027-COLLECTION'!K50</f>
        <v/>
      </c>
      <c r="AQ51" s="10">
        <f>'Jan2027-EXPENSE'!R54</f>
        <v/>
      </c>
      <c r="AR51" s="10" t="n"/>
      <c r="AS51" s="174">
        <f>AP51-(AQ51+AR51)</f>
        <v/>
      </c>
      <c r="AT51" s="7">
        <f>'Feb2027-COLLECTION'!K50</f>
        <v/>
      </c>
      <c r="AU51" s="10">
        <f>'Feb2027-EXPENSE'!R54</f>
        <v/>
      </c>
      <c r="AV51" s="10" t="n"/>
      <c r="AW51" s="174">
        <f>AT51-(AU51+AV51)</f>
        <v/>
      </c>
      <c r="AX51" s="7">
        <f>'Mar2027-COLLECTION'!K50</f>
        <v/>
      </c>
      <c r="AY51" s="10">
        <f>'Mar2027-EXPENSE'!R54</f>
        <v/>
      </c>
      <c r="AZ51" s="10" t="n"/>
      <c r="BA51" s="174">
        <f>AX51-(AY51+AZ51)</f>
        <v/>
      </c>
      <c r="BB51" s="172">
        <f>SUM(F51,J51,N51,R51,V51,Z51,AD51,AH51,AL51,AP51,AT51,AX51)</f>
        <v/>
      </c>
      <c r="BC51" s="172">
        <f>SUM(J51,N51,R51,V51,Z51,AD51,AH51,AL51,AP51,AT51,AX51)</f>
        <v/>
      </c>
      <c r="BD51" s="172">
        <f>SUM(G51,K51,O51,S51,W51,AA51,AE51,AI51,AM51,AQ51,AU51,AY51)</f>
        <v/>
      </c>
      <c r="BE51" s="172" t="n">
        <v>0</v>
      </c>
      <c r="BF51" s="172">
        <f>BB51-(BD51+BE51)</f>
        <v/>
      </c>
      <c r="BG51" s="172">
        <f>BC51-(BD51+BE51)</f>
        <v/>
      </c>
      <c r="BH51" s="172">
        <f>E51+BF51</f>
        <v/>
      </c>
      <c r="BI51" s="175">
        <f>E51+F51+IF(BG51&gt;=0,BG51,0)</f>
        <v/>
      </c>
      <c r="BJ51" s="175" t="n">
        <v>0</v>
      </c>
    </row>
    <row r="52" ht="15.75" customHeight="1" s="251">
      <c r="A52" s="169" t="inlineStr">
        <is>
          <t>T2</t>
        </is>
      </c>
      <c r="B52" s="13" t="n"/>
      <c r="C52" s="13" t="inlineStr">
        <is>
          <t>Kunal Mehta</t>
        </is>
      </c>
      <c r="D52" s="170" t="n">
        <v>0</v>
      </c>
      <c r="E52" s="176">
        <f>-77968.56+10034</f>
        <v/>
      </c>
      <c r="F52" s="171">
        <f>'Apr2026-COLLECTION'!K51</f>
        <v/>
      </c>
      <c r="G52" s="172">
        <f>'Apr2026-EXPENSE'!R55</f>
        <v/>
      </c>
      <c r="H52" s="172" t="n"/>
      <c r="I52" s="172">
        <f>F52-(G52+H52)</f>
        <v/>
      </c>
      <c r="J52" s="173">
        <f>'May2026-COLLECTION'!K51</f>
        <v/>
      </c>
      <c r="K52" s="174">
        <f>'May2026-EXPENSE'!R55</f>
        <v/>
      </c>
      <c r="L52" s="174" t="n">
        <v>0</v>
      </c>
      <c r="M52" s="174">
        <f>J52-(K52+L52)</f>
        <v/>
      </c>
      <c r="N52" s="172">
        <f>'June2026-COLLECTION'!K51</f>
        <v/>
      </c>
      <c r="O52" s="172">
        <f>'June2026-EXPENSE'!R55</f>
        <v/>
      </c>
      <c r="P52" s="172" t="n"/>
      <c r="Q52" s="172">
        <f>N52-(O52+P52)</f>
        <v/>
      </c>
      <c r="R52" s="41">
        <f>'July2026-COLLECTION'!K51</f>
        <v/>
      </c>
      <c r="S52" s="174">
        <f>'July2026-EXPENSE'!R55</f>
        <v/>
      </c>
      <c r="T52" s="174" t="n">
        <v>0</v>
      </c>
      <c r="U52" s="174">
        <f>R52-(S52+T52)</f>
        <v/>
      </c>
      <c r="V52" s="167">
        <f>'Aug2026-COLLECTION'!K51</f>
        <v/>
      </c>
      <c r="W52" s="172">
        <f>'Aug2026-EXPENSE'!R55</f>
        <v/>
      </c>
      <c r="X52" s="172" t="n"/>
      <c r="Y52" s="172">
        <f>V52-(W52+X52)</f>
        <v/>
      </c>
      <c r="Z52" s="41">
        <f>'Sep2026-COLLECTION'!K51</f>
        <v/>
      </c>
      <c r="AA52" s="174">
        <f>'Sep2026-EXPENSE'!R55</f>
        <v/>
      </c>
      <c r="AB52" s="174" t="n"/>
      <c r="AC52" s="174">
        <f>Z52-(AA52+AB52)</f>
        <v/>
      </c>
      <c r="AD52" s="41">
        <f>'Oct2026-COLLECTION'!K51</f>
        <v/>
      </c>
      <c r="AE52" s="174">
        <f>'Oct2026-EXPENSE'!R55</f>
        <v/>
      </c>
      <c r="AF52" s="174" t="n"/>
      <c r="AG52" s="174">
        <f>AD52-(AE52+AF52)</f>
        <v/>
      </c>
      <c r="AH52" s="41">
        <f>'Nov2026-COLLECTION'!K51</f>
        <v/>
      </c>
      <c r="AI52" s="174">
        <f>'Nov2026-EXPENSE'!R55</f>
        <v/>
      </c>
      <c r="AJ52" s="174" t="n"/>
      <c r="AK52" s="174">
        <f>AH52-(AI52+AJ52)</f>
        <v/>
      </c>
      <c r="AL52" s="41">
        <f>'Dec2026-COLLECTION'!K51</f>
        <v/>
      </c>
      <c r="AM52" s="174">
        <f>'Dec2026-EXPENSE'!R55</f>
        <v/>
      </c>
      <c r="AN52" s="174" t="n"/>
      <c r="AO52" s="174">
        <f>AL52-(AM52+AN52)</f>
        <v/>
      </c>
      <c r="AP52" s="7">
        <f>'Jan2027-COLLECTION'!K51</f>
        <v/>
      </c>
      <c r="AQ52" s="10">
        <f>'Jan2027-EXPENSE'!R55</f>
        <v/>
      </c>
      <c r="AR52" s="10" t="n"/>
      <c r="AS52" s="174">
        <f>AP52-(AQ52+AR52)</f>
        <v/>
      </c>
      <c r="AT52" s="7">
        <f>'Feb2027-COLLECTION'!K51</f>
        <v/>
      </c>
      <c r="AU52" s="10">
        <f>'Feb2027-EXPENSE'!R55</f>
        <v/>
      </c>
      <c r="AV52" s="10" t="n"/>
      <c r="AW52" s="174">
        <f>AT52-(AU52+AV52)</f>
        <v/>
      </c>
      <c r="AX52" s="7">
        <f>'Mar2027-COLLECTION'!K51</f>
        <v/>
      </c>
      <c r="AY52" s="10">
        <f>'Mar2027-EXPENSE'!R55</f>
        <v/>
      </c>
      <c r="AZ52" s="10" t="n"/>
      <c r="BA52" s="174">
        <f>AX52-(AY52+AZ52)</f>
        <v/>
      </c>
      <c r="BB52" s="172">
        <f>SUM(F52,J52,N52,R52,V52,Z52,AD52,AH52,AL52,AP52,AT52,AX52)</f>
        <v/>
      </c>
      <c r="BC52" s="172">
        <f>SUM(J52,N52,R52,V52,Z52,AD52,AH52,AL52,AP52,AT52,AX52)</f>
        <v/>
      </c>
      <c r="BD52" s="172">
        <f>SUM(G52,K52,O52,S52,W52,AA52,AE52,AI52,AM52,AQ52,AU52,AY52)</f>
        <v/>
      </c>
      <c r="BE52" s="172" t="n">
        <v>0</v>
      </c>
      <c r="BF52" s="172">
        <f>BB52-(BD52+BE52)</f>
        <v/>
      </c>
      <c r="BG52" s="172">
        <f>BC52-(BD52+BE52)</f>
        <v/>
      </c>
      <c r="BH52" s="172">
        <f>E52+BF52</f>
        <v/>
      </c>
      <c r="BI52" s="175">
        <f>E52+F52+IF(BG52&gt;=0,BG52,0)</f>
        <v/>
      </c>
      <c r="BJ52" s="175" t="n">
        <v>0</v>
      </c>
    </row>
    <row r="53" ht="15.75" customHeight="1" s="251">
      <c r="A53" s="169" t="inlineStr">
        <is>
          <t>T3</t>
        </is>
      </c>
      <c r="B53" s="13" t="n"/>
      <c r="C53" s="13" t="inlineStr">
        <is>
          <t>Kapil Garg</t>
        </is>
      </c>
      <c r="D53" s="170" t="n">
        <v>0</v>
      </c>
      <c r="E53" s="176" t="n">
        <v>0</v>
      </c>
      <c r="F53" s="171">
        <f>'Apr2026-COLLECTION'!K52</f>
        <v/>
      </c>
      <c r="G53" s="172">
        <f>'Apr2026-EXPENSE'!R56</f>
        <v/>
      </c>
      <c r="H53" s="172" t="n"/>
      <c r="I53" s="172">
        <f>F53-(G53+H53)</f>
        <v/>
      </c>
      <c r="J53" s="173">
        <f>'May2026-COLLECTION'!K52</f>
        <v/>
      </c>
      <c r="K53" s="174">
        <f>'May2026-EXPENSE'!R56</f>
        <v/>
      </c>
      <c r="L53" s="174" t="n">
        <v>0</v>
      </c>
      <c r="M53" s="174">
        <f>J53-(K53+L53)</f>
        <v/>
      </c>
      <c r="N53" s="172">
        <f>'June2026-COLLECTION'!K52</f>
        <v/>
      </c>
      <c r="O53" s="172">
        <f>'June2026-EXPENSE'!R56</f>
        <v/>
      </c>
      <c r="P53" s="172" t="n"/>
      <c r="Q53" s="172">
        <f>N53-(O53+P53)</f>
        <v/>
      </c>
      <c r="R53" s="41">
        <f>'July2026-COLLECTION'!K52</f>
        <v/>
      </c>
      <c r="S53" s="174">
        <f>'July2026-EXPENSE'!R56</f>
        <v/>
      </c>
      <c r="T53" s="174" t="n"/>
      <c r="U53" s="174">
        <f>R53-(S53+T53)</f>
        <v/>
      </c>
      <c r="V53" s="167">
        <f>'Aug2026-COLLECTION'!K52</f>
        <v/>
      </c>
      <c r="W53" s="172">
        <f>'Aug2026-EXPENSE'!R56</f>
        <v/>
      </c>
      <c r="X53" s="172" t="n"/>
      <c r="Y53" s="172">
        <f>V53-(W53+X53)</f>
        <v/>
      </c>
      <c r="Z53" s="41">
        <f>'Sep2026-COLLECTION'!K52</f>
        <v/>
      </c>
      <c r="AA53" s="174">
        <f>'Sep2026-EXPENSE'!R56</f>
        <v/>
      </c>
      <c r="AB53" s="174" t="n"/>
      <c r="AC53" s="174">
        <f>Z53-(AA53+AB53)</f>
        <v/>
      </c>
      <c r="AD53" s="41">
        <f>'Oct2026-COLLECTION'!K52</f>
        <v/>
      </c>
      <c r="AE53" s="174">
        <f>'Oct2026-EXPENSE'!R56</f>
        <v/>
      </c>
      <c r="AF53" s="174" t="n"/>
      <c r="AG53" s="174">
        <f>AD53-(AE53+AF53)</f>
        <v/>
      </c>
      <c r="AH53" s="41">
        <f>'Nov2026-COLLECTION'!K52</f>
        <v/>
      </c>
      <c r="AI53" s="174">
        <f>'Nov2026-EXPENSE'!R56</f>
        <v/>
      </c>
      <c r="AJ53" s="174" t="n"/>
      <c r="AK53" s="174">
        <f>AH53-(AI53+AJ53)</f>
        <v/>
      </c>
      <c r="AL53" s="41">
        <f>'Dec2026-COLLECTION'!K52</f>
        <v/>
      </c>
      <c r="AM53" s="174">
        <f>'Dec2026-EXPENSE'!R56</f>
        <v/>
      </c>
      <c r="AN53" s="174" t="n"/>
      <c r="AO53" s="174">
        <f>AL53-(AM53+AN53)</f>
        <v/>
      </c>
      <c r="AP53" s="7">
        <f>'Jan2027-COLLECTION'!K52</f>
        <v/>
      </c>
      <c r="AQ53" s="10">
        <f>'Jan2027-EXPENSE'!R56</f>
        <v/>
      </c>
      <c r="AR53" s="10" t="n"/>
      <c r="AS53" s="174">
        <f>AP53-(AQ53+AR53)</f>
        <v/>
      </c>
      <c r="AT53" s="7">
        <f>'Feb2027-COLLECTION'!K52</f>
        <v/>
      </c>
      <c r="AU53" s="10">
        <f>'Feb2027-EXPENSE'!R56</f>
        <v/>
      </c>
      <c r="AV53" s="10" t="n"/>
      <c r="AW53" s="174">
        <f>AT53-(AU53+AV53)</f>
        <v/>
      </c>
      <c r="AX53" s="7">
        <f>'Mar2027-COLLECTION'!K52</f>
        <v/>
      </c>
      <c r="AY53" s="10">
        <f>'Mar2027-EXPENSE'!R56</f>
        <v/>
      </c>
      <c r="AZ53" s="10" t="n"/>
      <c r="BA53" s="174">
        <f>AX53-(AY53+AZ53)</f>
        <v/>
      </c>
      <c r="BB53" s="172">
        <f>SUM(F53,J53,N53,R53,V53,Z53,AD53,AH53,AL53,AP53,AT53,AX53)</f>
        <v/>
      </c>
      <c r="BC53" s="172">
        <f>SUM(J53,N53,R53,V53,Z53,AD53,AH53,AL53,AP53,AT53,AX53)</f>
        <v/>
      </c>
      <c r="BD53" s="172">
        <f>SUM(G53,K53,O53,S53,W53,AA53,AE53,AI53,AM53,AQ53,AU53,AY53)</f>
        <v/>
      </c>
      <c r="BE53" s="172" t="n">
        <v>0</v>
      </c>
      <c r="BF53" s="172">
        <f>BB53-(BD53+BE53)</f>
        <v/>
      </c>
      <c r="BG53" s="172">
        <f>BC53-(BD53+BE53)</f>
        <v/>
      </c>
      <c r="BH53" s="172">
        <f>E53+BF53</f>
        <v/>
      </c>
      <c r="BI53" s="175">
        <f>E53+F53+IF(BG53&gt;=0,BG53,0)</f>
        <v/>
      </c>
      <c r="BJ53" s="175" t="n">
        <v>0</v>
      </c>
    </row>
    <row r="54" ht="15.75" customHeight="1" s="251">
      <c r="A54" s="169" t="inlineStr">
        <is>
          <t>T4</t>
        </is>
      </c>
      <c r="B54" s="13" t="n"/>
      <c r="C54" s="13" t="inlineStr">
        <is>
          <t>Vijet Alva (Owner)    -    Masood (Tenant)</t>
        </is>
      </c>
      <c r="D54" s="170" t="n">
        <v>0</v>
      </c>
      <c r="E54" s="176" t="n">
        <v>0</v>
      </c>
      <c r="F54" s="171">
        <f>'Apr2026-COLLECTION'!K53</f>
        <v/>
      </c>
      <c r="G54" s="172">
        <f>'Apr2026-EXPENSE'!R57</f>
        <v/>
      </c>
      <c r="H54" s="172" t="n"/>
      <c r="I54" s="172">
        <f>F54-(G54+H54)</f>
        <v/>
      </c>
      <c r="J54" s="173">
        <f>'May2026-COLLECTION'!K53</f>
        <v/>
      </c>
      <c r="K54" s="174">
        <f>'May2026-EXPENSE'!R57</f>
        <v/>
      </c>
      <c r="L54" s="174" t="n"/>
      <c r="M54" s="174">
        <f>J54-(K54+L54)</f>
        <v/>
      </c>
      <c r="N54" s="172">
        <f>'June2026-COLLECTION'!K53</f>
        <v/>
      </c>
      <c r="O54" s="172">
        <f>'June2026-EXPENSE'!R57</f>
        <v/>
      </c>
      <c r="P54" s="172" t="n"/>
      <c r="Q54" s="172">
        <f>N54-(O54+P54)</f>
        <v/>
      </c>
      <c r="R54" s="41">
        <f>'July2026-COLLECTION'!K53</f>
        <v/>
      </c>
      <c r="S54" s="174">
        <f>'July2026-EXPENSE'!R57</f>
        <v/>
      </c>
      <c r="T54" s="174" t="n"/>
      <c r="U54" s="174">
        <f>R54-(S54+T54)</f>
        <v/>
      </c>
      <c r="V54" s="167">
        <f>'Aug2026-COLLECTION'!K53</f>
        <v/>
      </c>
      <c r="W54" s="172">
        <f>'Aug2026-EXPENSE'!R57</f>
        <v/>
      </c>
      <c r="X54" s="172" t="n"/>
      <c r="Y54" s="172">
        <f>V54-(W54+X54)</f>
        <v/>
      </c>
      <c r="Z54" s="41">
        <f>'Sep2026-COLLECTION'!K53</f>
        <v/>
      </c>
      <c r="AA54" s="174">
        <f>'Sep2026-EXPENSE'!R57</f>
        <v/>
      </c>
      <c r="AB54" s="174" t="n"/>
      <c r="AC54" s="174">
        <f>Z54-(AA54+AB54)</f>
        <v/>
      </c>
      <c r="AD54" s="41">
        <f>'Oct2026-COLLECTION'!K53</f>
        <v/>
      </c>
      <c r="AE54" s="174">
        <f>'Oct2026-EXPENSE'!R57</f>
        <v/>
      </c>
      <c r="AF54" s="174" t="n"/>
      <c r="AG54" s="174">
        <f>AD54-(AE54+AF54)</f>
        <v/>
      </c>
      <c r="AH54" s="41">
        <f>'Nov2026-COLLECTION'!K53</f>
        <v/>
      </c>
      <c r="AI54" s="174">
        <f>'Nov2026-EXPENSE'!R57</f>
        <v/>
      </c>
      <c r="AJ54" s="174" t="n"/>
      <c r="AK54" s="174">
        <f>AH54-(AI54+AJ54)</f>
        <v/>
      </c>
      <c r="AL54" s="41">
        <f>'Dec2026-COLLECTION'!K53</f>
        <v/>
      </c>
      <c r="AM54" s="174">
        <f>'Dec2026-EXPENSE'!R57</f>
        <v/>
      </c>
      <c r="AN54" s="174" t="n"/>
      <c r="AO54" s="174">
        <f>AL54-(AM54+AN54)</f>
        <v/>
      </c>
      <c r="AP54" s="7">
        <f>'Jan2027-COLLECTION'!K53</f>
        <v/>
      </c>
      <c r="AQ54" s="10">
        <f>'Jan2027-EXPENSE'!R57</f>
        <v/>
      </c>
      <c r="AR54" s="10" t="n"/>
      <c r="AS54" s="174">
        <f>AP54-(AQ54+AR54)</f>
        <v/>
      </c>
      <c r="AT54" s="7">
        <f>'Feb2027-COLLECTION'!K53</f>
        <v/>
      </c>
      <c r="AU54" s="10">
        <f>'Feb2027-EXPENSE'!R57</f>
        <v/>
      </c>
      <c r="AV54" s="10" t="n"/>
      <c r="AW54" s="174">
        <f>AT54-(AU54+AV54)</f>
        <v/>
      </c>
      <c r="AX54" s="7">
        <f>'Mar2027-COLLECTION'!K53</f>
        <v/>
      </c>
      <c r="AY54" s="10">
        <f>'Mar2027-EXPENSE'!R57</f>
        <v/>
      </c>
      <c r="AZ54" s="10" t="n"/>
      <c r="BA54" s="174">
        <f>AX54-(AY54+AZ54)</f>
        <v/>
      </c>
      <c r="BB54" s="172">
        <f>SUM(F54,J54,N54,R54,V54,Z54,AD54,AH54,AL54,AP54,AT54,AX54)</f>
        <v/>
      </c>
      <c r="BC54" s="172">
        <f>SUM(J54,N54,R54,V54,Z54,AD54,AH54,AL54,AP54,AT54,AX54)</f>
        <v/>
      </c>
      <c r="BD54" s="172">
        <f>SUM(G54,K54,O54,S54,W54,AA54,AE54,AI54,AM54,AQ54,AU54,AY54)</f>
        <v/>
      </c>
      <c r="BE54" s="172" t="n">
        <v>0</v>
      </c>
      <c r="BF54" s="172">
        <f>BB54-(BD54+BE54)</f>
        <v/>
      </c>
      <c r="BG54" s="172">
        <f>BC54-(BD54+BE54)</f>
        <v/>
      </c>
      <c r="BH54" s="172">
        <f>E54+BF54</f>
        <v/>
      </c>
      <c r="BI54" s="175">
        <f>E54+F54+IF(BG54&gt;=0,BG54,0)</f>
        <v/>
      </c>
      <c r="BJ54" s="175" t="n">
        <v>0</v>
      </c>
    </row>
    <row r="55" ht="15.75" customHeight="1" s="251">
      <c r="A55" s="169" t="inlineStr">
        <is>
          <t>T5</t>
        </is>
      </c>
      <c r="B55" s="13" t="n"/>
      <c r="C55" s="13" t="inlineStr">
        <is>
          <t>Ganesh Iyer and Latha Iyer( owner) Richa (Tenant)</t>
        </is>
      </c>
      <c r="D55" s="170" t="n">
        <v>0</v>
      </c>
      <c r="E55" s="176" t="n">
        <v>0</v>
      </c>
      <c r="F55" s="171">
        <f>'Apr2026-COLLECTION'!K54</f>
        <v/>
      </c>
      <c r="G55" s="172">
        <f>'Apr2026-EXPENSE'!R58</f>
        <v/>
      </c>
      <c r="H55" s="172" t="n"/>
      <c r="I55" s="172">
        <f>F55-(G55+H55)</f>
        <v/>
      </c>
      <c r="J55" s="173">
        <f>'May2026-COLLECTION'!K54</f>
        <v/>
      </c>
      <c r="K55" s="174">
        <f>'May2026-EXPENSE'!R58</f>
        <v/>
      </c>
      <c r="L55" s="174" t="n"/>
      <c r="M55" s="174">
        <f>J55-(K55+L55)</f>
        <v/>
      </c>
      <c r="N55" s="172">
        <f>'June2026-COLLECTION'!K54</f>
        <v/>
      </c>
      <c r="O55" s="172">
        <f>'June2026-EXPENSE'!R58</f>
        <v/>
      </c>
      <c r="P55" s="172" t="n"/>
      <c r="Q55" s="172">
        <f>N55-(O55+P55)</f>
        <v/>
      </c>
      <c r="R55" s="41">
        <f>'July2026-COLLECTION'!K54</f>
        <v/>
      </c>
      <c r="S55" s="174">
        <f>'July2026-EXPENSE'!R58</f>
        <v/>
      </c>
      <c r="T55" s="174" t="n"/>
      <c r="U55" s="174">
        <f>R55-(S55+T55)</f>
        <v/>
      </c>
      <c r="V55" s="167">
        <f>'Aug2026-COLLECTION'!K54</f>
        <v/>
      </c>
      <c r="W55" s="172">
        <f>'Aug2026-EXPENSE'!R58</f>
        <v/>
      </c>
      <c r="X55" s="172" t="n"/>
      <c r="Y55" s="172">
        <f>V55-(W55+X55)</f>
        <v/>
      </c>
      <c r="Z55" s="41">
        <f>'Sep2026-COLLECTION'!K54</f>
        <v/>
      </c>
      <c r="AA55" s="174">
        <f>'Sep2026-EXPENSE'!R58</f>
        <v/>
      </c>
      <c r="AB55" s="174" t="n"/>
      <c r="AC55" s="174">
        <f>Z55-(AA55+AB55)</f>
        <v/>
      </c>
      <c r="AD55" s="41">
        <f>'Oct2026-COLLECTION'!K54</f>
        <v/>
      </c>
      <c r="AE55" s="174">
        <f>'Oct2026-EXPENSE'!R58</f>
        <v/>
      </c>
      <c r="AF55" s="174" t="n"/>
      <c r="AG55" s="174">
        <f>AD55-(AE55+AF55)</f>
        <v/>
      </c>
      <c r="AH55" s="41">
        <f>'Nov2026-COLLECTION'!K54</f>
        <v/>
      </c>
      <c r="AI55" s="174">
        <f>'Nov2026-EXPENSE'!R58</f>
        <v/>
      </c>
      <c r="AJ55" s="174" t="n"/>
      <c r="AK55" s="174">
        <f>AH55-(AI55+AJ55)</f>
        <v/>
      </c>
      <c r="AL55" s="41">
        <f>'Dec2026-COLLECTION'!K54</f>
        <v/>
      </c>
      <c r="AM55" s="174">
        <f>'Dec2026-EXPENSE'!R58</f>
        <v/>
      </c>
      <c r="AN55" s="174" t="n"/>
      <c r="AO55" s="174">
        <f>AL55-(AM55+AN55)</f>
        <v/>
      </c>
      <c r="AP55" s="7">
        <f>'Jan2027-COLLECTION'!K54</f>
        <v/>
      </c>
      <c r="AQ55" s="10">
        <f>'Jan2027-EXPENSE'!R58</f>
        <v/>
      </c>
      <c r="AR55" s="10" t="n"/>
      <c r="AS55" s="174">
        <f>AP55-(AQ55+AR55)</f>
        <v/>
      </c>
      <c r="AT55" s="7">
        <f>'Feb2027-COLLECTION'!K54</f>
        <v/>
      </c>
      <c r="AU55" s="10">
        <f>'Feb2027-EXPENSE'!R58</f>
        <v/>
      </c>
      <c r="AV55" s="10" t="n"/>
      <c r="AW55" s="174">
        <f>AT55-(AU55+AV55)</f>
        <v/>
      </c>
      <c r="AX55" s="7">
        <f>'Mar2027-COLLECTION'!K54</f>
        <v/>
      </c>
      <c r="AY55" s="10">
        <f>'Mar2027-EXPENSE'!R58</f>
        <v/>
      </c>
      <c r="AZ55" s="10" t="n"/>
      <c r="BA55" s="174">
        <f>AX55-(AY55+AZ55)</f>
        <v/>
      </c>
      <c r="BB55" s="172">
        <f>SUM(F55,J55,N55,R55,V55,Z55,AD55,AH55,AL55,AP55,AT55,AX55)</f>
        <v/>
      </c>
      <c r="BC55" s="172">
        <f>SUM(J55,N55,R55,V55,Z55,AD55,AH55,AL55,AP55,AT55,AX55)</f>
        <v/>
      </c>
      <c r="BD55" s="172">
        <f>SUM(G55,K55,O55,S55,W55,AA55,AE55,AI55,AM55,AQ55,AU55,AY55)</f>
        <v/>
      </c>
      <c r="BE55" s="172" t="n">
        <v>0</v>
      </c>
      <c r="BF55" s="172">
        <f>BB55-(BD55+BE55)</f>
        <v/>
      </c>
      <c r="BG55" s="172">
        <f>BC55-(BD55+BE55)</f>
        <v/>
      </c>
      <c r="BH55" s="172">
        <f>E55+BF55</f>
        <v/>
      </c>
      <c r="BI55" s="175">
        <f>E55+F55+IF(BG55&gt;=0,BG55,0)</f>
        <v/>
      </c>
      <c r="BJ55" s="175" t="n">
        <v>0</v>
      </c>
    </row>
    <row r="56" ht="15.75" customHeight="1" s="251">
      <c r="A56" s="169" t="inlineStr">
        <is>
          <t>T6</t>
        </is>
      </c>
      <c r="B56" s="13" t="n"/>
      <c r="C56" s="13" t="inlineStr">
        <is>
          <t>Mythili Ramesh</t>
        </is>
      </c>
      <c r="D56" s="170" t="n">
        <v>0</v>
      </c>
      <c r="E56" s="176" t="n">
        <v>0</v>
      </c>
      <c r="F56" s="171">
        <f>'Apr2026-COLLECTION'!K55</f>
        <v/>
      </c>
      <c r="G56" s="172">
        <f>'Apr2026-EXPENSE'!R59</f>
        <v/>
      </c>
      <c r="H56" s="172" t="n"/>
      <c r="I56" s="172">
        <f>F56-(G56+H56)</f>
        <v/>
      </c>
      <c r="J56" s="173">
        <f>'May2026-COLLECTION'!K55</f>
        <v/>
      </c>
      <c r="K56" s="174">
        <f>'May2026-EXPENSE'!R59</f>
        <v/>
      </c>
      <c r="L56" s="174" t="n"/>
      <c r="M56" s="174">
        <f>J56-(K56+L56)</f>
        <v/>
      </c>
      <c r="N56" s="172">
        <f>'June2026-COLLECTION'!K55</f>
        <v/>
      </c>
      <c r="O56" s="172">
        <f>'June2026-EXPENSE'!R59</f>
        <v/>
      </c>
      <c r="P56" s="172" t="n"/>
      <c r="Q56" s="172">
        <f>N56-(O56+P56)</f>
        <v/>
      </c>
      <c r="R56" s="41">
        <f>'July2026-COLLECTION'!K55</f>
        <v/>
      </c>
      <c r="S56" s="174">
        <f>'July2026-EXPENSE'!R59</f>
        <v/>
      </c>
      <c r="T56" s="174" t="n"/>
      <c r="U56" s="174">
        <f>R56-(S56+T56)</f>
        <v/>
      </c>
      <c r="V56" s="167">
        <f>'Aug2026-COLLECTION'!K55</f>
        <v/>
      </c>
      <c r="W56" s="172">
        <f>'Aug2026-EXPENSE'!R59</f>
        <v/>
      </c>
      <c r="X56" s="172" t="n"/>
      <c r="Y56" s="172">
        <f>V56-(W56+X56)</f>
        <v/>
      </c>
      <c r="Z56" s="41">
        <f>'Sep2026-COLLECTION'!K55</f>
        <v/>
      </c>
      <c r="AA56" s="174">
        <f>'Sep2026-EXPENSE'!R59</f>
        <v/>
      </c>
      <c r="AB56" s="174" t="n"/>
      <c r="AC56" s="174">
        <f>Z56-(AA56+AB56)</f>
        <v/>
      </c>
      <c r="AD56" s="41">
        <f>'Oct2026-COLLECTION'!K55</f>
        <v/>
      </c>
      <c r="AE56" s="174">
        <f>'Oct2026-EXPENSE'!R59</f>
        <v/>
      </c>
      <c r="AF56" s="174" t="n"/>
      <c r="AG56" s="174">
        <f>AD56-(AE56+AF56)</f>
        <v/>
      </c>
      <c r="AH56" s="41">
        <f>'Nov2026-COLLECTION'!K55</f>
        <v/>
      </c>
      <c r="AI56" s="174">
        <f>'Nov2026-EXPENSE'!R59</f>
        <v/>
      </c>
      <c r="AJ56" s="174" t="n"/>
      <c r="AK56" s="174">
        <f>AH56-(AI56+AJ56)</f>
        <v/>
      </c>
      <c r="AL56" s="41">
        <f>'Dec2026-COLLECTION'!K55</f>
        <v/>
      </c>
      <c r="AM56" s="174">
        <f>'Dec2026-EXPENSE'!R59</f>
        <v/>
      </c>
      <c r="AN56" s="174" t="n"/>
      <c r="AO56" s="174">
        <f>AL56-(AM56+AN56)</f>
        <v/>
      </c>
      <c r="AP56" s="7">
        <f>'Jan2027-COLLECTION'!K55</f>
        <v/>
      </c>
      <c r="AQ56" s="10">
        <f>'Jan2027-EXPENSE'!R59</f>
        <v/>
      </c>
      <c r="AR56" s="10" t="n"/>
      <c r="AS56" s="174">
        <f>AP56-(AQ56+AR56)</f>
        <v/>
      </c>
      <c r="AT56" s="7">
        <f>'Feb2027-COLLECTION'!K55</f>
        <v/>
      </c>
      <c r="AU56" s="10">
        <f>'Feb2027-EXPENSE'!R59</f>
        <v/>
      </c>
      <c r="AV56" s="10" t="n"/>
      <c r="AW56" s="174">
        <f>AT56-(AU56+AV56)</f>
        <v/>
      </c>
      <c r="AX56" s="7">
        <f>'Mar2027-COLLECTION'!K55</f>
        <v/>
      </c>
      <c r="AY56" s="10">
        <f>'Mar2027-EXPENSE'!R59</f>
        <v/>
      </c>
      <c r="AZ56" s="10" t="n"/>
      <c r="BA56" s="174">
        <f>AX56-(AY56+AZ56)</f>
        <v/>
      </c>
      <c r="BB56" s="172">
        <f>SUM(F56,J56,N56,R56,V56,Z56,AD56,AH56,AL56,AP56,AT56,AX56)</f>
        <v/>
      </c>
      <c r="BC56" s="172">
        <f>SUM(J56,N56,R56,V56,Z56,AD56,AH56,AL56,AP56,AT56,AX56)</f>
        <v/>
      </c>
      <c r="BD56" s="172">
        <f>SUM(G56,K56,O56,S56,W56,AA56,AE56,AI56,AM56,AQ56,AU56,AY56)</f>
        <v/>
      </c>
      <c r="BE56" s="172" t="n">
        <v>0</v>
      </c>
      <c r="BF56" s="172">
        <f>BB56-(BD56+BE56)</f>
        <v/>
      </c>
      <c r="BG56" s="172">
        <f>BC56-(BD56+BE56)</f>
        <v/>
      </c>
      <c r="BH56" s="172">
        <f>E56+BF56</f>
        <v/>
      </c>
      <c r="BI56" s="175">
        <f>E56+F56+IF(BG56&gt;=0,BG56,0)</f>
        <v/>
      </c>
      <c r="BJ56" s="175" t="n">
        <v>0</v>
      </c>
    </row>
    <row r="57" ht="15.75" customHeight="1" s="251">
      <c r="A57" s="169" t="inlineStr">
        <is>
          <t>T7</t>
        </is>
      </c>
      <c r="B57" s="13" t="n"/>
      <c r="C57" s="13" t="inlineStr">
        <is>
          <t>Vinyas Ramachandra / Shwetha Marnamikatta / Katari Siva Rama Raju</t>
        </is>
      </c>
      <c r="D57" s="170" t="n">
        <v>0</v>
      </c>
      <c r="E57" s="176" t="n">
        <v>0</v>
      </c>
      <c r="F57" s="171">
        <f>'Apr2026-COLLECTION'!K56</f>
        <v/>
      </c>
      <c r="G57" s="172">
        <f>'Apr2026-EXPENSE'!R60</f>
        <v/>
      </c>
      <c r="H57" s="172" t="n"/>
      <c r="I57" s="172">
        <f>F57-(G57+H57)</f>
        <v/>
      </c>
      <c r="J57" s="173">
        <f>'May2026-COLLECTION'!K56</f>
        <v/>
      </c>
      <c r="K57" s="174">
        <f>'May2026-EXPENSE'!R60</f>
        <v/>
      </c>
      <c r="L57" s="174" t="n"/>
      <c r="M57" s="174">
        <f>J57-(K57+L57)</f>
        <v/>
      </c>
      <c r="N57" s="172">
        <f>'June2026-COLLECTION'!K56</f>
        <v/>
      </c>
      <c r="O57" s="172">
        <f>'June2026-EXPENSE'!R60</f>
        <v/>
      </c>
      <c r="P57" s="172" t="n"/>
      <c r="Q57" s="172">
        <f>N57-(O57+P57)</f>
        <v/>
      </c>
      <c r="R57" s="41">
        <f>'July2026-COLLECTION'!K56</f>
        <v/>
      </c>
      <c r="S57" s="174">
        <f>'July2026-EXPENSE'!R60</f>
        <v/>
      </c>
      <c r="T57" s="174" t="n"/>
      <c r="U57" s="174">
        <f>R57-(S57+T57)</f>
        <v/>
      </c>
      <c r="V57" s="167">
        <f>'Aug2026-COLLECTION'!K56</f>
        <v/>
      </c>
      <c r="W57" s="172">
        <f>'Aug2026-EXPENSE'!R60</f>
        <v/>
      </c>
      <c r="X57" s="172" t="n"/>
      <c r="Y57" s="172">
        <f>V57-(W57+X57)</f>
        <v/>
      </c>
      <c r="Z57" s="41">
        <f>'Sep2026-COLLECTION'!K56</f>
        <v/>
      </c>
      <c r="AA57" s="174">
        <f>'Sep2026-EXPENSE'!R60</f>
        <v/>
      </c>
      <c r="AB57" s="174" t="n"/>
      <c r="AC57" s="174">
        <f>Z57-(AA57+AB57)</f>
        <v/>
      </c>
      <c r="AD57" s="41">
        <f>'Oct2026-COLLECTION'!K56</f>
        <v/>
      </c>
      <c r="AE57" s="174">
        <f>'Oct2026-EXPENSE'!R60</f>
        <v/>
      </c>
      <c r="AF57" s="174" t="n"/>
      <c r="AG57" s="174">
        <f>AD57-(AE57+AF57)</f>
        <v/>
      </c>
      <c r="AH57" s="41">
        <f>'Nov2026-COLLECTION'!K56</f>
        <v/>
      </c>
      <c r="AI57" s="174">
        <f>'Nov2026-EXPENSE'!R60</f>
        <v/>
      </c>
      <c r="AJ57" s="174" t="n"/>
      <c r="AK57" s="174">
        <f>AH57-(AI57+AJ57)</f>
        <v/>
      </c>
      <c r="AL57" s="41">
        <f>'Dec2026-COLLECTION'!K56</f>
        <v/>
      </c>
      <c r="AM57" s="174">
        <f>'Dec2026-EXPENSE'!R60</f>
        <v/>
      </c>
      <c r="AN57" s="174" t="n"/>
      <c r="AO57" s="174">
        <f>AL57-(AM57+AN57)</f>
        <v/>
      </c>
      <c r="AP57" s="7">
        <f>'Jan2027-COLLECTION'!K56</f>
        <v/>
      </c>
      <c r="AQ57" s="10">
        <f>'Jan2027-EXPENSE'!R60</f>
        <v/>
      </c>
      <c r="AR57" s="10" t="n"/>
      <c r="AS57" s="174">
        <f>AP57-(AQ57+AR57)</f>
        <v/>
      </c>
      <c r="AT57" s="7">
        <f>'Feb2027-COLLECTION'!K56</f>
        <v/>
      </c>
      <c r="AU57" s="10">
        <f>'Feb2027-EXPENSE'!R60</f>
        <v/>
      </c>
      <c r="AV57" s="10" t="n"/>
      <c r="AW57" s="174">
        <f>AT57-(AU57+AV57)</f>
        <v/>
      </c>
      <c r="AX57" s="7">
        <f>'Mar2027-COLLECTION'!K56</f>
        <v/>
      </c>
      <c r="AY57" s="10">
        <f>'Mar2027-EXPENSE'!R60</f>
        <v/>
      </c>
      <c r="AZ57" s="10" t="n"/>
      <c r="BA57" s="174">
        <f>AX57-(AY57+AZ57)</f>
        <v/>
      </c>
      <c r="BB57" s="172">
        <f>SUM(F57,J57,N57,R57,V57,Z57,AD57,AH57,AL57,AP57,AT57,AX57)</f>
        <v/>
      </c>
      <c r="BC57" s="172">
        <f>SUM(J57,N57,R57,V57,Z57,AD57,AH57,AL57,AP57,AT57,AX57)</f>
        <v/>
      </c>
      <c r="BD57" s="172">
        <f>SUM(G57,K57,O57,S57,W57,AA57,AE57,AI57,AM57,AQ57,AU57,AY57)</f>
        <v/>
      </c>
      <c r="BE57" s="172" t="n">
        <v>0</v>
      </c>
      <c r="BF57" s="172">
        <f>BB57-(BD57+BE57)</f>
        <v/>
      </c>
      <c r="BG57" s="172">
        <f>BC57-(BD57+BE57)</f>
        <v/>
      </c>
      <c r="BH57" s="172">
        <f>E57+BF57</f>
        <v/>
      </c>
      <c r="BI57" s="175">
        <f>E57+F57+IF(BG57&gt;=0,BG57,0)</f>
        <v/>
      </c>
      <c r="BJ57" s="175" t="n">
        <v>0</v>
      </c>
    </row>
    <row r="58" ht="15.75" customHeight="1" s="251">
      <c r="A58" s="169" t="inlineStr">
        <is>
          <t>T8</t>
        </is>
      </c>
      <c r="B58" s="13" t="n"/>
      <c r="C58" s="13" t="inlineStr">
        <is>
          <t>Lalit Kumar Sharma</t>
        </is>
      </c>
      <c r="D58" s="170" t="n">
        <v>0</v>
      </c>
      <c r="E58" s="176" t="n">
        <v>0</v>
      </c>
      <c r="F58" s="171">
        <f>'Apr2026-COLLECTION'!K57</f>
        <v/>
      </c>
      <c r="G58" s="172">
        <f>'Apr2026-EXPENSE'!R61</f>
        <v/>
      </c>
      <c r="H58" s="172" t="n"/>
      <c r="I58" s="172">
        <f>F58-(G58+H58)</f>
        <v/>
      </c>
      <c r="J58" s="173">
        <f>'May2026-COLLECTION'!K57</f>
        <v/>
      </c>
      <c r="K58" s="174">
        <f>'May2026-EXPENSE'!R61</f>
        <v/>
      </c>
      <c r="L58" s="174" t="n"/>
      <c r="M58" s="174">
        <f>J58-(K58+L58)</f>
        <v/>
      </c>
      <c r="N58" s="172">
        <f>'June2026-COLLECTION'!K57</f>
        <v/>
      </c>
      <c r="O58" s="172">
        <f>'June2026-EXPENSE'!R61</f>
        <v/>
      </c>
      <c r="P58" s="172" t="n"/>
      <c r="Q58" s="172">
        <f>N58-(O58+P58)</f>
        <v/>
      </c>
      <c r="R58" s="41">
        <f>'July2026-COLLECTION'!K57</f>
        <v/>
      </c>
      <c r="S58" s="174">
        <f>'July2026-EXPENSE'!R61</f>
        <v/>
      </c>
      <c r="T58" s="174" t="n"/>
      <c r="U58" s="174">
        <f>R58-(S58+T58)</f>
        <v/>
      </c>
      <c r="V58" s="167">
        <f>'Aug2026-COLLECTION'!K57</f>
        <v/>
      </c>
      <c r="W58" s="172">
        <f>'Aug2026-EXPENSE'!R61</f>
        <v/>
      </c>
      <c r="X58" s="172" t="n"/>
      <c r="Y58" s="172">
        <f>V58-(W58+X58)</f>
        <v/>
      </c>
      <c r="Z58" s="41">
        <f>'Sep2026-COLLECTION'!K57</f>
        <v/>
      </c>
      <c r="AA58" s="174">
        <f>'Sep2026-EXPENSE'!R61</f>
        <v/>
      </c>
      <c r="AB58" s="174" t="n"/>
      <c r="AC58" s="174">
        <f>Z58-(AA58+AB58)</f>
        <v/>
      </c>
      <c r="AD58" s="41">
        <f>'Oct2026-COLLECTION'!K57</f>
        <v/>
      </c>
      <c r="AE58" s="174">
        <f>'Oct2026-EXPENSE'!R61</f>
        <v/>
      </c>
      <c r="AF58" s="174" t="n"/>
      <c r="AG58" s="174">
        <f>AD58-(AE58+AF58)</f>
        <v/>
      </c>
      <c r="AH58" s="41">
        <f>'Nov2026-COLLECTION'!K57</f>
        <v/>
      </c>
      <c r="AI58" s="174">
        <f>'Nov2026-EXPENSE'!R61</f>
        <v/>
      </c>
      <c r="AJ58" s="174" t="n"/>
      <c r="AK58" s="174">
        <f>AH58-(AI58+AJ58)</f>
        <v/>
      </c>
      <c r="AL58" s="41">
        <f>'Dec2026-COLLECTION'!K57</f>
        <v/>
      </c>
      <c r="AM58" s="174">
        <f>'Dec2026-EXPENSE'!R61</f>
        <v/>
      </c>
      <c r="AN58" s="174" t="n"/>
      <c r="AO58" s="174">
        <f>AL58-(AM58+AN58)</f>
        <v/>
      </c>
      <c r="AP58" s="7">
        <f>'Jan2027-COLLECTION'!K57</f>
        <v/>
      </c>
      <c r="AQ58" s="10">
        <f>'Jan2027-EXPENSE'!R61</f>
        <v/>
      </c>
      <c r="AR58" s="10" t="n"/>
      <c r="AS58" s="174">
        <f>AP58-(AQ58+AR58)</f>
        <v/>
      </c>
      <c r="AT58" s="7">
        <f>'Feb2027-COLLECTION'!K57</f>
        <v/>
      </c>
      <c r="AU58" s="10">
        <f>'Feb2027-EXPENSE'!R61</f>
        <v/>
      </c>
      <c r="AV58" s="10" t="n"/>
      <c r="AW58" s="174">
        <f>AT58-(AU58+AV58)</f>
        <v/>
      </c>
      <c r="AX58" s="7">
        <f>'Mar2027-COLLECTION'!K57</f>
        <v/>
      </c>
      <c r="AY58" s="10">
        <f>'Mar2027-EXPENSE'!R61</f>
        <v/>
      </c>
      <c r="AZ58" s="10" t="n"/>
      <c r="BA58" s="174">
        <f>AX58-(AY58+AZ58)</f>
        <v/>
      </c>
      <c r="BB58" s="172">
        <f>SUM(F58,J58,N58,R58,V58,Z58,AD58,AH58,AL58,AP58,AT58,AX58)</f>
        <v/>
      </c>
      <c r="BC58" s="172">
        <f>SUM(J58,N58,R58,V58,Z58,AD58,AH58,AL58,AP58,AT58,AX58)</f>
        <v/>
      </c>
      <c r="BD58" s="172">
        <f>SUM(G58,K58,O58,S58,W58,AA58,AE58,AI58,AM58,AQ58,AU58,AY58)</f>
        <v/>
      </c>
      <c r="BE58" s="172" t="n">
        <v>0</v>
      </c>
      <c r="BF58" s="172">
        <f>BB58-(BD58+BE58)</f>
        <v/>
      </c>
      <c r="BG58" s="172">
        <f>BC58-(BD58+BE58)</f>
        <v/>
      </c>
      <c r="BH58" s="172">
        <f>E58+BF58</f>
        <v/>
      </c>
      <c r="BI58" s="175">
        <f>E58+F58+IF(BG58&gt;=0,BG58,0)</f>
        <v/>
      </c>
      <c r="BJ58" s="175" t="n">
        <v>0</v>
      </c>
    </row>
    <row r="59" ht="15.75" customHeight="1" s="251">
      <c r="A59" s="169" t="inlineStr">
        <is>
          <t>T9</t>
        </is>
      </c>
      <c r="B59" s="13" t="n"/>
      <c r="C59" s="13" t="inlineStr">
        <is>
          <t>Nishith Sahu and Priyanka Rani (Owner)/ Anmol Verma (Tenant)</t>
        </is>
      </c>
      <c r="D59" s="170" t="n">
        <v>0</v>
      </c>
      <c r="E59" s="176" t="n">
        <v>0</v>
      </c>
      <c r="F59" s="171">
        <f>'Apr2026-COLLECTION'!K58</f>
        <v/>
      </c>
      <c r="G59" s="172">
        <f>'Apr2026-EXPENSE'!R62</f>
        <v/>
      </c>
      <c r="H59" s="172" t="n"/>
      <c r="I59" s="172">
        <f>F59-(G59+H59)</f>
        <v/>
      </c>
      <c r="J59" s="173">
        <f>'May2026-COLLECTION'!K58</f>
        <v/>
      </c>
      <c r="K59" s="174">
        <f>'May2026-EXPENSE'!R62</f>
        <v/>
      </c>
      <c r="L59" s="174" t="n"/>
      <c r="M59" s="174">
        <f>J59-(K59+L59)</f>
        <v/>
      </c>
      <c r="N59" s="172">
        <f>'June2026-COLLECTION'!K58</f>
        <v/>
      </c>
      <c r="O59" s="172">
        <f>'June2026-EXPENSE'!R62</f>
        <v/>
      </c>
      <c r="P59" s="172" t="n"/>
      <c r="Q59" s="172">
        <f>N59-(O59+P59)</f>
        <v/>
      </c>
      <c r="R59" s="41">
        <f>'July2026-COLLECTION'!K58</f>
        <v/>
      </c>
      <c r="S59" s="174">
        <f>'July2026-EXPENSE'!R62</f>
        <v/>
      </c>
      <c r="T59" s="174" t="n"/>
      <c r="U59" s="174">
        <f>R59-(S59+T59)</f>
        <v/>
      </c>
      <c r="V59" s="167">
        <f>'Aug2026-COLLECTION'!K58</f>
        <v/>
      </c>
      <c r="W59" s="172">
        <f>'Aug2026-EXPENSE'!R62</f>
        <v/>
      </c>
      <c r="X59" s="172" t="n"/>
      <c r="Y59" s="172">
        <f>V59-(W59+X59)</f>
        <v/>
      </c>
      <c r="Z59" s="41">
        <f>'Sep2026-COLLECTION'!K58</f>
        <v/>
      </c>
      <c r="AA59" s="174">
        <f>'Sep2026-EXPENSE'!R62</f>
        <v/>
      </c>
      <c r="AB59" s="174" t="n"/>
      <c r="AC59" s="174">
        <f>Z59-(AA59+AB59)</f>
        <v/>
      </c>
      <c r="AD59" s="41">
        <f>'Oct2026-COLLECTION'!K58</f>
        <v/>
      </c>
      <c r="AE59" s="174">
        <f>'Oct2026-EXPENSE'!R62</f>
        <v/>
      </c>
      <c r="AF59" s="174" t="n"/>
      <c r="AG59" s="174">
        <f>AD59-(AE59+AF59)</f>
        <v/>
      </c>
      <c r="AH59" s="41">
        <f>'Nov2026-COLLECTION'!K58</f>
        <v/>
      </c>
      <c r="AI59" s="174">
        <f>'Nov2026-EXPENSE'!R62</f>
        <v/>
      </c>
      <c r="AJ59" s="174" t="n"/>
      <c r="AK59" s="174">
        <f>AH59-(AI59+AJ59)</f>
        <v/>
      </c>
      <c r="AL59" s="41">
        <f>'Dec2026-COLLECTION'!K58</f>
        <v/>
      </c>
      <c r="AM59" s="174">
        <f>'Dec2026-EXPENSE'!R62</f>
        <v/>
      </c>
      <c r="AN59" s="174" t="n"/>
      <c r="AO59" s="174">
        <f>AL59-(AM59+AN59)</f>
        <v/>
      </c>
      <c r="AP59" s="7">
        <f>'Jan2027-COLLECTION'!K58</f>
        <v/>
      </c>
      <c r="AQ59" s="10">
        <f>'Jan2027-EXPENSE'!R62</f>
        <v/>
      </c>
      <c r="AR59" s="10" t="n"/>
      <c r="AS59" s="174">
        <f>AP59-(AQ59+AR59)</f>
        <v/>
      </c>
      <c r="AT59" s="7">
        <f>'Feb2027-COLLECTION'!K58</f>
        <v/>
      </c>
      <c r="AU59" s="10">
        <f>'Feb2027-EXPENSE'!R62</f>
        <v/>
      </c>
      <c r="AV59" s="10" t="n"/>
      <c r="AW59" s="174">
        <f>AT59-(AU59+AV59)</f>
        <v/>
      </c>
      <c r="AX59" s="7">
        <f>'Mar2027-COLLECTION'!K58</f>
        <v/>
      </c>
      <c r="AY59" s="10">
        <f>'Mar2027-EXPENSE'!R62</f>
        <v/>
      </c>
      <c r="AZ59" s="10" t="n"/>
      <c r="BA59" s="174">
        <f>AX59-(AY59+AZ59)</f>
        <v/>
      </c>
      <c r="BB59" s="172">
        <f>SUM(F59,J59,N59,R59,V59,Z59,AD59,AH59,AL59,AP59,AT59,AX59)</f>
        <v/>
      </c>
      <c r="BC59" s="172">
        <f>SUM(J59,N59,R59,V59,Z59,AD59,AH59,AL59,AP59,AT59,AX59)</f>
        <v/>
      </c>
      <c r="BD59" s="172">
        <f>SUM(G59,K59,O59,S59,W59,AA59,AE59,AI59,AM59,AQ59,AU59,AY59)</f>
        <v/>
      </c>
      <c r="BE59" s="172" t="n">
        <v>0</v>
      </c>
      <c r="BF59" s="172">
        <f>BB59-(BD59+BE59)</f>
        <v/>
      </c>
      <c r="BG59" s="172">
        <f>BC59-(BD59+BE59)</f>
        <v/>
      </c>
      <c r="BH59" s="172">
        <f>E59+BF59</f>
        <v/>
      </c>
      <c r="BI59" s="175">
        <f>E59+F59+IF(BG59&gt;=0,BG59,0)</f>
        <v/>
      </c>
      <c r="BJ59" s="175" t="n">
        <v>0</v>
      </c>
    </row>
    <row r="60" ht="15.75" customHeight="1" s="251">
      <c r="A60" s="169" t="inlineStr">
        <is>
          <t>T10</t>
        </is>
      </c>
      <c r="B60" s="13" t="n"/>
      <c r="C60" s="13" t="inlineStr">
        <is>
          <t>Vamsidhar Bethanabatla / Madhuri Anumula</t>
        </is>
      </c>
      <c r="D60" s="170" t="n">
        <v>0</v>
      </c>
      <c r="E60" s="176" t="n">
        <v>0</v>
      </c>
      <c r="F60" s="171">
        <f>'Apr2026-COLLECTION'!K59</f>
        <v/>
      </c>
      <c r="G60" s="172">
        <f>'Apr2026-EXPENSE'!R63</f>
        <v/>
      </c>
      <c r="H60" s="172" t="n"/>
      <c r="I60" s="172">
        <f>F60-(G60+H60)</f>
        <v/>
      </c>
      <c r="J60" s="173">
        <f>'May2026-COLLECTION'!K59</f>
        <v/>
      </c>
      <c r="K60" s="174">
        <f>'May2026-EXPENSE'!R63</f>
        <v/>
      </c>
      <c r="L60" s="174" t="n"/>
      <c r="M60" s="174">
        <f>J60-(K60+L60)</f>
        <v/>
      </c>
      <c r="N60" s="172">
        <f>'June2026-COLLECTION'!K59</f>
        <v/>
      </c>
      <c r="O60" s="172">
        <f>'June2026-EXPENSE'!R63</f>
        <v/>
      </c>
      <c r="P60" s="172" t="n"/>
      <c r="Q60" s="172">
        <f>N60-(O60+P60)</f>
        <v/>
      </c>
      <c r="R60" s="41">
        <f>'July2026-COLLECTION'!K59</f>
        <v/>
      </c>
      <c r="S60" s="174">
        <f>'July2026-EXPENSE'!R63</f>
        <v/>
      </c>
      <c r="T60" s="174" t="n"/>
      <c r="U60" s="174">
        <f>R60-(S60+T60)</f>
        <v/>
      </c>
      <c r="V60" s="167">
        <f>'Aug2026-COLLECTION'!K59</f>
        <v/>
      </c>
      <c r="W60" s="172">
        <f>'Aug2026-EXPENSE'!R63</f>
        <v/>
      </c>
      <c r="X60" s="172" t="n"/>
      <c r="Y60" s="172">
        <f>V60-(W60+X60)</f>
        <v/>
      </c>
      <c r="Z60" s="41">
        <f>'Sep2026-COLLECTION'!K59</f>
        <v/>
      </c>
      <c r="AA60" s="174">
        <f>'Sep2026-EXPENSE'!R63</f>
        <v/>
      </c>
      <c r="AB60" s="174" t="n"/>
      <c r="AC60" s="174">
        <f>Z60-(AA60+AB60)</f>
        <v/>
      </c>
      <c r="AD60" s="41">
        <f>'Oct2026-COLLECTION'!K59</f>
        <v/>
      </c>
      <c r="AE60" s="174">
        <f>'Oct2026-EXPENSE'!R63</f>
        <v/>
      </c>
      <c r="AF60" s="174" t="n"/>
      <c r="AG60" s="174">
        <f>AD60-(AE60+AF60)</f>
        <v/>
      </c>
      <c r="AH60" s="41">
        <f>'Nov2026-COLLECTION'!K59</f>
        <v/>
      </c>
      <c r="AI60" s="174">
        <f>'Nov2026-EXPENSE'!R63</f>
        <v/>
      </c>
      <c r="AJ60" s="174" t="n"/>
      <c r="AK60" s="174">
        <f>AH60-(AI60+AJ60)</f>
        <v/>
      </c>
      <c r="AL60" s="41">
        <f>'Dec2026-COLLECTION'!K59</f>
        <v/>
      </c>
      <c r="AM60" s="174">
        <f>'Dec2026-EXPENSE'!R63</f>
        <v/>
      </c>
      <c r="AN60" s="174" t="n"/>
      <c r="AO60" s="174">
        <f>AL60-(AM60+AN60)</f>
        <v/>
      </c>
      <c r="AP60" s="7">
        <f>'Jan2027-COLLECTION'!K59</f>
        <v/>
      </c>
      <c r="AQ60" s="10">
        <f>'Jan2027-EXPENSE'!R63</f>
        <v/>
      </c>
      <c r="AR60" s="10" t="n"/>
      <c r="AS60" s="174">
        <f>AP60-(AQ60+AR60)</f>
        <v/>
      </c>
      <c r="AT60" s="7">
        <f>'Feb2027-COLLECTION'!K59</f>
        <v/>
      </c>
      <c r="AU60" s="10">
        <f>'Feb2027-EXPENSE'!R63</f>
        <v/>
      </c>
      <c r="AV60" s="10" t="n"/>
      <c r="AW60" s="174">
        <f>AT60-(AU60+AV60)</f>
        <v/>
      </c>
      <c r="AX60" s="7">
        <f>'Mar2027-COLLECTION'!K59</f>
        <v/>
      </c>
      <c r="AY60" s="10">
        <f>'Mar2027-EXPENSE'!R63</f>
        <v/>
      </c>
      <c r="AZ60" s="10" t="n"/>
      <c r="BA60" s="174">
        <f>AX60-(AY60+AZ60)</f>
        <v/>
      </c>
      <c r="BB60" s="172">
        <f>SUM(F60,J60,N60,R60,V60,Z60,AD60,AH60,AL60,AP60,AT60,AX60)</f>
        <v/>
      </c>
      <c r="BC60" s="172">
        <f>SUM(J60,N60,R60,V60,Z60,AD60,AH60,AL60,AP60,AT60,AX60)</f>
        <v/>
      </c>
      <c r="BD60" s="172">
        <f>SUM(G60,K60,O60,S60,W60,AA60,AE60,AI60,AM60,AQ60,AU60,AY60)</f>
        <v/>
      </c>
      <c r="BE60" s="172" t="n">
        <v>0</v>
      </c>
      <c r="BF60" s="172">
        <f>BB60-(BD60+BE60)</f>
        <v/>
      </c>
      <c r="BG60" s="172">
        <f>BC60-(BD60+BE60)</f>
        <v/>
      </c>
      <c r="BH60" s="172">
        <f>E60+BF60</f>
        <v/>
      </c>
      <c r="BI60" s="175">
        <f>E60+F60+IF(BG60&gt;=0,BG60,0)</f>
        <v/>
      </c>
      <c r="BJ60" s="175" t="n">
        <v>0</v>
      </c>
    </row>
    <row r="61" ht="15.75" customHeight="1" s="251">
      <c r="A61" s="169" t="inlineStr">
        <is>
          <t>T11</t>
        </is>
      </c>
      <c r="B61" s="13" t="n"/>
      <c r="C61" s="13" t="inlineStr">
        <is>
          <t>Arvind Balasubramanian</t>
        </is>
      </c>
      <c r="D61" s="170" t="n">
        <v>0</v>
      </c>
      <c r="E61" s="176" t="n">
        <v>0</v>
      </c>
      <c r="F61" s="171">
        <f>'Apr2026-COLLECTION'!K60</f>
        <v/>
      </c>
      <c r="G61" s="172">
        <f>'Apr2026-EXPENSE'!R64</f>
        <v/>
      </c>
      <c r="H61" s="172" t="n"/>
      <c r="I61" s="172">
        <f>F61-(G61+H61)</f>
        <v/>
      </c>
      <c r="J61" s="173">
        <f>'May2026-COLLECTION'!K60</f>
        <v/>
      </c>
      <c r="K61" s="174">
        <f>'May2026-EXPENSE'!R64</f>
        <v/>
      </c>
      <c r="L61" s="174" t="n">
        <v>0</v>
      </c>
      <c r="M61" s="174">
        <f>J61-(K61+L61)</f>
        <v/>
      </c>
      <c r="N61" s="172">
        <f>'June2026-COLLECTION'!K60</f>
        <v/>
      </c>
      <c r="O61" s="172">
        <f>'June2026-EXPENSE'!R64</f>
        <v/>
      </c>
      <c r="P61" s="172" t="n"/>
      <c r="Q61" s="172">
        <f>N61-(O61+P61)</f>
        <v/>
      </c>
      <c r="R61" s="41">
        <f>'July2026-COLLECTION'!K60</f>
        <v/>
      </c>
      <c r="S61" s="174">
        <f>'July2026-EXPENSE'!R64</f>
        <v/>
      </c>
      <c r="T61" s="174" t="n"/>
      <c r="U61" s="174">
        <f>R61-(S61+T61)</f>
        <v/>
      </c>
      <c r="V61" s="167">
        <f>'Aug2026-COLLECTION'!K60</f>
        <v/>
      </c>
      <c r="W61" s="172">
        <f>'Aug2026-EXPENSE'!R64</f>
        <v/>
      </c>
      <c r="X61" s="172" t="n"/>
      <c r="Y61" s="172">
        <f>V61-(W61+X61)</f>
        <v/>
      </c>
      <c r="Z61" s="41">
        <f>'Sep2026-COLLECTION'!K60</f>
        <v/>
      </c>
      <c r="AA61" s="174">
        <f>'Sep2026-EXPENSE'!R64</f>
        <v/>
      </c>
      <c r="AB61" s="174" t="n"/>
      <c r="AC61" s="174">
        <f>Z61-(AA61+AB61)</f>
        <v/>
      </c>
      <c r="AD61" s="41">
        <f>'Oct2026-COLLECTION'!K60</f>
        <v/>
      </c>
      <c r="AE61" s="174">
        <f>'Oct2026-EXPENSE'!R64</f>
        <v/>
      </c>
      <c r="AF61" s="174" t="n"/>
      <c r="AG61" s="174">
        <f>AD61-(AE61+AF61)</f>
        <v/>
      </c>
      <c r="AH61" s="41">
        <f>'Nov2026-COLLECTION'!K60</f>
        <v/>
      </c>
      <c r="AI61" s="174">
        <f>'Nov2026-EXPENSE'!R64</f>
        <v/>
      </c>
      <c r="AJ61" s="174" t="n"/>
      <c r="AK61" s="174">
        <f>AH61-(AI61+AJ61)</f>
        <v/>
      </c>
      <c r="AL61" s="41">
        <f>'Dec2026-COLLECTION'!K60</f>
        <v/>
      </c>
      <c r="AM61" s="174">
        <f>'Dec2026-EXPENSE'!R64</f>
        <v/>
      </c>
      <c r="AN61" s="174" t="n"/>
      <c r="AO61" s="174">
        <f>AL61-(AM61+AN61)</f>
        <v/>
      </c>
      <c r="AP61" s="7">
        <f>'Jan2027-COLLECTION'!K60</f>
        <v/>
      </c>
      <c r="AQ61" s="10">
        <f>'Jan2027-EXPENSE'!R64</f>
        <v/>
      </c>
      <c r="AR61" s="10" t="n"/>
      <c r="AS61" s="174">
        <f>AP61-(AQ61+AR61)</f>
        <v/>
      </c>
      <c r="AT61" s="7">
        <f>'Feb2027-COLLECTION'!K60</f>
        <v/>
      </c>
      <c r="AU61" s="10">
        <f>'Feb2027-EXPENSE'!R64</f>
        <v/>
      </c>
      <c r="AV61" s="10" t="n"/>
      <c r="AW61" s="174">
        <f>AT61-(AU61+AV61)</f>
        <v/>
      </c>
      <c r="AX61" s="7">
        <f>'Mar2027-COLLECTION'!K60</f>
        <v/>
      </c>
      <c r="AY61" s="10">
        <f>'Mar2027-EXPENSE'!R64</f>
        <v/>
      </c>
      <c r="AZ61" s="10" t="n"/>
      <c r="BA61" s="174">
        <f>AX61-(AY61+AZ61)</f>
        <v/>
      </c>
      <c r="BB61" s="172">
        <f>SUM(F61,J61,N61,R61,V61,Z61,AD61,AH61,AL61,AP61,AT61,AX61)</f>
        <v/>
      </c>
      <c r="BC61" s="172">
        <f>SUM(J61,N61,R61,V61,Z61,AD61,AH61,AL61,AP61,AT61,AX61)</f>
        <v/>
      </c>
      <c r="BD61" s="172">
        <f>SUM(G61,K61,O61,S61,W61,AA61,AE61,AI61,AM61,AQ61,AU61,AY61)</f>
        <v/>
      </c>
      <c r="BE61" s="172" t="n">
        <v>0</v>
      </c>
      <c r="BF61" s="172">
        <f>BB61-(BD61+BE61)</f>
        <v/>
      </c>
      <c r="BG61" s="172">
        <f>BC61-(BD61+BE61)</f>
        <v/>
      </c>
      <c r="BH61" s="172">
        <f>E61+BF61</f>
        <v/>
      </c>
      <c r="BI61" s="175">
        <f>E61+F61+IF(BG61&gt;=0,BG61,0)</f>
        <v/>
      </c>
      <c r="BJ61" s="175" t="n">
        <v>0</v>
      </c>
    </row>
    <row r="62" ht="15.75" customHeight="1" s="251">
      <c r="A62" s="169" t="inlineStr">
        <is>
          <t>T12</t>
        </is>
      </c>
      <c r="B62" s="13" t="n"/>
      <c r="C62" s="13" t="inlineStr">
        <is>
          <t>Prasenjit</t>
        </is>
      </c>
      <c r="D62" s="170" t="n">
        <v>0</v>
      </c>
      <c r="E62" s="176" t="n">
        <v>0</v>
      </c>
      <c r="F62" s="171">
        <f>'Apr2026-COLLECTION'!K61</f>
        <v/>
      </c>
      <c r="G62" s="172">
        <f>'Apr2026-EXPENSE'!R65</f>
        <v/>
      </c>
      <c r="H62" s="172" t="n"/>
      <c r="I62" s="172">
        <f>F62-(G62+H62)</f>
        <v/>
      </c>
      <c r="J62" s="173">
        <f>'May2026-COLLECTION'!K61</f>
        <v/>
      </c>
      <c r="K62" s="174">
        <f>'May2026-EXPENSE'!R65</f>
        <v/>
      </c>
      <c r="L62" s="174" t="n">
        <v>0</v>
      </c>
      <c r="M62" s="174">
        <f>J62-(K62+L62)</f>
        <v/>
      </c>
      <c r="N62" s="172">
        <f>'June2026-COLLECTION'!K61</f>
        <v/>
      </c>
      <c r="O62" s="172">
        <f>'June2026-EXPENSE'!R65</f>
        <v/>
      </c>
      <c r="P62" s="172" t="n"/>
      <c r="Q62" s="172">
        <f>N62-(O62+P62)</f>
        <v/>
      </c>
      <c r="R62" s="41">
        <f>'July2026-COLLECTION'!K61</f>
        <v/>
      </c>
      <c r="S62" s="174">
        <f>'July2026-EXPENSE'!R65</f>
        <v/>
      </c>
      <c r="T62" s="174" t="n"/>
      <c r="U62" s="174">
        <f>R62-(S62+T62)</f>
        <v/>
      </c>
      <c r="V62" s="167">
        <f>'Aug2026-COLLECTION'!K61</f>
        <v/>
      </c>
      <c r="W62" s="172">
        <f>'Aug2026-EXPENSE'!R65</f>
        <v/>
      </c>
      <c r="X62" s="172" t="n"/>
      <c r="Y62" s="172">
        <f>V62-(W62+X62)</f>
        <v/>
      </c>
      <c r="Z62" s="41">
        <f>'Sep2026-COLLECTION'!K61</f>
        <v/>
      </c>
      <c r="AA62" s="174">
        <f>'Sep2026-EXPENSE'!R65</f>
        <v/>
      </c>
      <c r="AB62" s="174" t="n"/>
      <c r="AC62" s="174">
        <f>Z62-(AA62+AB62)</f>
        <v/>
      </c>
      <c r="AD62" s="41">
        <f>'Oct2026-COLLECTION'!K61</f>
        <v/>
      </c>
      <c r="AE62" s="174">
        <f>'Oct2026-EXPENSE'!R65</f>
        <v/>
      </c>
      <c r="AF62" s="174" t="n"/>
      <c r="AG62" s="174">
        <f>AD62-(AE62+AF62)</f>
        <v/>
      </c>
      <c r="AH62" s="41">
        <f>'Nov2026-COLLECTION'!K61</f>
        <v/>
      </c>
      <c r="AI62" s="174">
        <f>'Nov2026-EXPENSE'!R65</f>
        <v/>
      </c>
      <c r="AJ62" s="174" t="n"/>
      <c r="AK62" s="174">
        <f>AH62-(AI62+AJ62)</f>
        <v/>
      </c>
      <c r="AL62" s="41">
        <f>'Dec2026-COLLECTION'!K61</f>
        <v/>
      </c>
      <c r="AM62" s="174">
        <f>'Dec2026-EXPENSE'!R65</f>
        <v/>
      </c>
      <c r="AN62" s="174" t="n"/>
      <c r="AO62" s="174">
        <f>AL62-(AM62+AN62)</f>
        <v/>
      </c>
      <c r="AP62" s="7">
        <f>'Jan2027-COLLECTION'!K61</f>
        <v/>
      </c>
      <c r="AQ62" s="10">
        <f>'Jan2027-EXPENSE'!R65</f>
        <v/>
      </c>
      <c r="AR62" s="10" t="n"/>
      <c r="AS62" s="174">
        <f>AP62-(AQ62+AR62)</f>
        <v/>
      </c>
      <c r="AT62" s="7">
        <f>'Feb2027-COLLECTION'!K61</f>
        <v/>
      </c>
      <c r="AU62" s="10">
        <f>'Feb2027-EXPENSE'!R65</f>
        <v/>
      </c>
      <c r="AV62" s="10" t="n"/>
      <c r="AW62" s="174">
        <f>AT62-(AU62+AV62)</f>
        <v/>
      </c>
      <c r="AX62" s="7">
        <f>'Mar2027-COLLECTION'!K61</f>
        <v/>
      </c>
      <c r="AY62" s="10">
        <f>'Mar2027-EXPENSE'!R65</f>
        <v/>
      </c>
      <c r="AZ62" s="10" t="n"/>
      <c r="BA62" s="174">
        <f>AX62-(AY62+AZ62)</f>
        <v/>
      </c>
      <c r="BB62" s="172">
        <f>SUM(F62,J62,N62,R62,V62,Z62,AD62,AH62,AL62,AP62,AT62,AX62)</f>
        <v/>
      </c>
      <c r="BC62" s="172">
        <f>SUM(J62,N62,R62,V62,Z62,AD62,AH62,AL62,AP62,AT62,AX62)</f>
        <v/>
      </c>
      <c r="BD62" s="172">
        <f>SUM(G62,K62,O62,S62,W62,AA62,AE62,AI62,AM62,AQ62,AU62,AY62)</f>
        <v/>
      </c>
      <c r="BE62" s="172" t="n">
        <v>0</v>
      </c>
      <c r="BF62" s="172">
        <f>BB62-(BD62+BE62)</f>
        <v/>
      </c>
      <c r="BG62" s="172">
        <f>BC62-(BD62+BE62)</f>
        <v/>
      </c>
      <c r="BH62" s="172">
        <f>E62+BF62</f>
        <v/>
      </c>
      <c r="BI62" s="175">
        <f>E62+F62+IF(BG62&gt;=0,BG62,0)</f>
        <v/>
      </c>
      <c r="BJ62" s="175" t="n">
        <v>0</v>
      </c>
    </row>
    <row r="63" ht="15.75" customHeight="1" s="251">
      <c r="A63" s="169" t="inlineStr">
        <is>
          <t>T13</t>
        </is>
      </c>
      <c r="B63" s="13" t="n"/>
      <c r="C63" s="13" t="inlineStr">
        <is>
          <t>Rahul Kumar</t>
        </is>
      </c>
      <c r="D63" s="170" t="n">
        <v>0</v>
      </c>
      <c r="E63" s="176" t="n">
        <v>0</v>
      </c>
      <c r="F63" s="171">
        <f>'Apr2026-COLLECTION'!K62</f>
        <v/>
      </c>
      <c r="G63" s="172">
        <f>'Apr2026-EXPENSE'!R66</f>
        <v/>
      </c>
      <c r="H63" s="172" t="n"/>
      <c r="I63" s="172">
        <f>F63-(G63+H63)</f>
        <v/>
      </c>
      <c r="J63" s="173">
        <f>'May2026-COLLECTION'!K62</f>
        <v/>
      </c>
      <c r="K63" s="174">
        <f>'May2026-EXPENSE'!R66</f>
        <v/>
      </c>
      <c r="L63" s="174" t="n">
        <v>0</v>
      </c>
      <c r="M63" s="174">
        <f>J63-(K63+L63)</f>
        <v/>
      </c>
      <c r="N63" s="172">
        <f>'June2026-COLLECTION'!K62</f>
        <v/>
      </c>
      <c r="O63" s="172">
        <f>'June2026-EXPENSE'!R66</f>
        <v/>
      </c>
      <c r="P63" s="172" t="n"/>
      <c r="Q63" s="172">
        <f>N63-(O63+P63)</f>
        <v/>
      </c>
      <c r="R63" s="41">
        <f>'July2026-COLLECTION'!K62</f>
        <v/>
      </c>
      <c r="S63" s="174">
        <f>'July2026-EXPENSE'!R66</f>
        <v/>
      </c>
      <c r="T63" s="174" t="n"/>
      <c r="U63" s="174">
        <f>R63-(S63+T63)</f>
        <v/>
      </c>
      <c r="V63" s="167">
        <f>'Aug2026-COLLECTION'!K62</f>
        <v/>
      </c>
      <c r="W63" s="172">
        <f>'Aug2026-EXPENSE'!R66</f>
        <v/>
      </c>
      <c r="X63" s="172" t="n"/>
      <c r="Y63" s="172">
        <f>V63-(W63+X63)</f>
        <v/>
      </c>
      <c r="Z63" s="41">
        <f>'Sep2026-COLLECTION'!K62</f>
        <v/>
      </c>
      <c r="AA63" s="174">
        <f>'Sep2026-EXPENSE'!R66</f>
        <v/>
      </c>
      <c r="AB63" s="174" t="n"/>
      <c r="AC63" s="174">
        <f>Z63-(AA63+AB63)</f>
        <v/>
      </c>
      <c r="AD63" s="41">
        <f>'Oct2026-COLLECTION'!K62</f>
        <v/>
      </c>
      <c r="AE63" s="174">
        <f>'Oct2026-EXPENSE'!R66</f>
        <v/>
      </c>
      <c r="AF63" s="174" t="n"/>
      <c r="AG63" s="174">
        <f>AD63-(AE63+AF63)</f>
        <v/>
      </c>
      <c r="AH63" s="41">
        <f>'Nov2026-COLLECTION'!K62</f>
        <v/>
      </c>
      <c r="AI63" s="174">
        <f>'Nov2026-EXPENSE'!R66</f>
        <v/>
      </c>
      <c r="AJ63" s="174" t="n"/>
      <c r="AK63" s="174">
        <f>AH63-(AI63+AJ63)</f>
        <v/>
      </c>
      <c r="AL63" s="41">
        <f>'Dec2026-COLLECTION'!K62</f>
        <v/>
      </c>
      <c r="AM63" s="174">
        <f>'Dec2026-EXPENSE'!R66</f>
        <v/>
      </c>
      <c r="AN63" s="174" t="n"/>
      <c r="AO63" s="174">
        <f>AL63-(AM63+AN63)</f>
        <v/>
      </c>
      <c r="AP63" s="7">
        <f>'Jan2027-COLLECTION'!K62</f>
        <v/>
      </c>
      <c r="AQ63" s="10">
        <f>'Jan2027-EXPENSE'!R66</f>
        <v/>
      </c>
      <c r="AR63" s="10" t="n"/>
      <c r="AS63" s="174">
        <f>AP63-(AQ63+AR63)</f>
        <v/>
      </c>
      <c r="AT63" s="7">
        <f>'Feb2027-COLLECTION'!K62</f>
        <v/>
      </c>
      <c r="AU63" s="10">
        <f>'Feb2027-EXPENSE'!R66</f>
        <v/>
      </c>
      <c r="AV63" s="10" t="n"/>
      <c r="AW63" s="174">
        <f>AT63-(AU63+AV63)</f>
        <v/>
      </c>
      <c r="AX63" s="7">
        <f>'Mar2027-COLLECTION'!K62</f>
        <v/>
      </c>
      <c r="AY63" s="10">
        <f>'Mar2027-EXPENSE'!R66</f>
        <v/>
      </c>
      <c r="AZ63" s="10" t="n"/>
      <c r="BA63" s="174">
        <f>AX63-(AY63+AZ63)</f>
        <v/>
      </c>
      <c r="BB63" s="172">
        <f>SUM(F63,J63,N63,R63,V63,Z63,AD63,AH63,AL63,AP63,AT63,AX63)</f>
        <v/>
      </c>
      <c r="BC63" s="172">
        <f>SUM(J63,N63,R63,V63,Z63,AD63,AH63,AL63,AP63,AT63,AX63)</f>
        <v/>
      </c>
      <c r="BD63" s="172">
        <f>SUM(G63,K63,O63,S63,W63,AA63,AE63,AI63,AM63,AQ63,AU63,AY63)</f>
        <v/>
      </c>
      <c r="BE63" s="172" t="n">
        <v>0</v>
      </c>
      <c r="BF63" s="172">
        <f>BB63-(BD63+BE63)</f>
        <v/>
      </c>
      <c r="BG63" s="172">
        <f>BC63-(BD63+BE63)</f>
        <v/>
      </c>
      <c r="BH63" s="172">
        <f>E63+BF63</f>
        <v/>
      </c>
      <c r="BI63" s="175">
        <f>E63+F63+IF(BG63&gt;=0,BG63,0)</f>
        <v/>
      </c>
      <c r="BJ63" s="175" t="n">
        <v>0</v>
      </c>
    </row>
    <row r="64" ht="15.75" customHeight="1" s="251">
      <c r="A64" s="169" t="inlineStr">
        <is>
          <t>T14</t>
        </is>
      </c>
      <c r="B64" s="13" t="n"/>
      <c r="C64" s="13" t="inlineStr">
        <is>
          <t>Jeya / Kanda / Satya (tenant)/Vinuta (tenant)</t>
        </is>
      </c>
      <c r="D64" s="170" t="n">
        <v>0</v>
      </c>
      <c r="E64" s="176" t="n">
        <v>0</v>
      </c>
      <c r="F64" s="171">
        <f>'Apr2026-COLLECTION'!K63</f>
        <v/>
      </c>
      <c r="G64" s="172">
        <f>'Apr2026-EXPENSE'!R67</f>
        <v/>
      </c>
      <c r="H64" s="172" t="n"/>
      <c r="I64" s="172">
        <f>F64-(G64+H64)</f>
        <v/>
      </c>
      <c r="J64" s="173">
        <f>'May2026-COLLECTION'!K63</f>
        <v/>
      </c>
      <c r="K64" s="174">
        <f>'May2026-EXPENSE'!R67</f>
        <v/>
      </c>
      <c r="L64" s="174" t="n"/>
      <c r="M64" s="174">
        <f>J64-(K64+L64)</f>
        <v/>
      </c>
      <c r="N64" s="172">
        <f>'June2026-COLLECTION'!K63</f>
        <v/>
      </c>
      <c r="O64" s="172">
        <f>'June2026-EXPENSE'!R67</f>
        <v/>
      </c>
      <c r="P64" s="172" t="n"/>
      <c r="Q64" s="172">
        <f>N64-(O64+P64)</f>
        <v/>
      </c>
      <c r="R64" s="41">
        <f>'July2026-COLLECTION'!K63</f>
        <v/>
      </c>
      <c r="S64" s="174">
        <f>'July2026-EXPENSE'!R67</f>
        <v/>
      </c>
      <c r="T64" s="174" t="n"/>
      <c r="U64" s="174">
        <f>R64-(S64+T64)</f>
        <v/>
      </c>
      <c r="V64" s="167">
        <f>'Aug2026-COLLECTION'!K63</f>
        <v/>
      </c>
      <c r="W64" s="172">
        <f>'Aug2026-EXPENSE'!R67</f>
        <v/>
      </c>
      <c r="X64" s="172" t="n"/>
      <c r="Y64" s="172">
        <f>V64-(W64+X64)</f>
        <v/>
      </c>
      <c r="Z64" s="41">
        <f>'Sep2026-COLLECTION'!K63</f>
        <v/>
      </c>
      <c r="AA64" s="174">
        <f>'Sep2026-EXPENSE'!R67</f>
        <v/>
      </c>
      <c r="AB64" s="174" t="n"/>
      <c r="AC64" s="174">
        <f>Z64-(AA64+AB64)</f>
        <v/>
      </c>
      <c r="AD64" s="41">
        <f>'Oct2026-COLLECTION'!K63</f>
        <v/>
      </c>
      <c r="AE64" s="174">
        <f>'Oct2026-EXPENSE'!R67</f>
        <v/>
      </c>
      <c r="AF64" s="174" t="n"/>
      <c r="AG64" s="174">
        <f>AD64-(AE64+AF64)</f>
        <v/>
      </c>
      <c r="AH64" s="41">
        <f>'Nov2026-COLLECTION'!K63</f>
        <v/>
      </c>
      <c r="AI64" s="174">
        <f>'Nov2026-EXPENSE'!R67</f>
        <v/>
      </c>
      <c r="AJ64" s="174" t="n"/>
      <c r="AK64" s="174">
        <f>AH64-(AI64+AJ64)</f>
        <v/>
      </c>
      <c r="AL64" s="41">
        <f>'Dec2026-COLLECTION'!K63</f>
        <v/>
      </c>
      <c r="AM64" s="174">
        <f>'Dec2026-EXPENSE'!R67</f>
        <v/>
      </c>
      <c r="AN64" s="174" t="n"/>
      <c r="AO64" s="174">
        <f>AL64-(AM64+AN64)</f>
        <v/>
      </c>
      <c r="AP64" s="7">
        <f>'Jan2027-COLLECTION'!K63</f>
        <v/>
      </c>
      <c r="AQ64" s="10">
        <f>'Jan2027-EXPENSE'!R67</f>
        <v/>
      </c>
      <c r="AR64" s="10" t="n"/>
      <c r="AS64" s="174">
        <f>AP64-(AQ64+AR64)</f>
        <v/>
      </c>
      <c r="AT64" s="7">
        <f>'Feb2027-COLLECTION'!K63</f>
        <v/>
      </c>
      <c r="AU64" s="10">
        <f>'Feb2027-EXPENSE'!R67</f>
        <v/>
      </c>
      <c r="AV64" s="10" t="n"/>
      <c r="AW64" s="174">
        <f>AT64-(AU64+AV64)</f>
        <v/>
      </c>
      <c r="AX64" s="7">
        <f>'Mar2027-COLLECTION'!K63</f>
        <v/>
      </c>
      <c r="AY64" s="10">
        <f>'Mar2027-EXPENSE'!R67</f>
        <v/>
      </c>
      <c r="AZ64" s="10" t="n"/>
      <c r="BA64" s="174">
        <f>AX64-(AY64+AZ64)</f>
        <v/>
      </c>
      <c r="BB64" s="172">
        <f>SUM(F64,J64,N64,R64,V64,Z64,AD64,AH64,AL64,AP64,AT64,AX64)</f>
        <v/>
      </c>
      <c r="BC64" s="172">
        <f>SUM(J64,N64,R64,V64,Z64,AD64,AH64,AL64,AP64,AT64,AX64)</f>
        <v/>
      </c>
      <c r="BD64" s="172">
        <f>SUM(G64,K64,O64,S64,W64,AA64,AE64,AI64,AM64,AQ64,AU64,AY64)</f>
        <v/>
      </c>
      <c r="BE64" s="172" t="n">
        <v>0</v>
      </c>
      <c r="BF64" s="172">
        <f>BB64-(BD64+BE64)</f>
        <v/>
      </c>
      <c r="BG64" s="172">
        <f>BC64-(BD64+BE64)</f>
        <v/>
      </c>
      <c r="BH64" s="172">
        <f>E64+BF64</f>
        <v/>
      </c>
      <c r="BI64" s="175">
        <f>E64+F64+IF(BG64&gt;=0,BG64,0)</f>
        <v/>
      </c>
      <c r="BJ64" s="175" t="n">
        <v>0</v>
      </c>
    </row>
    <row r="65" ht="15.75" customHeight="1" s="251">
      <c r="A65" s="169" t="inlineStr">
        <is>
          <t>T15</t>
        </is>
      </c>
      <c r="B65" s="13" t="n"/>
      <c r="C65" s="13" t="inlineStr">
        <is>
          <t>Trevor</t>
        </is>
      </c>
      <c r="D65" s="170" t="n">
        <v>0</v>
      </c>
      <c r="E65" s="176" t="n">
        <v>0</v>
      </c>
      <c r="F65" s="171">
        <f>'Apr2026-COLLECTION'!K64</f>
        <v/>
      </c>
      <c r="G65" s="172">
        <f>'Apr2026-EXPENSE'!R68</f>
        <v/>
      </c>
      <c r="H65" s="172" t="n"/>
      <c r="I65" s="172">
        <f>F65-(G65+H65)</f>
        <v/>
      </c>
      <c r="J65" s="173">
        <f>'May2026-COLLECTION'!K64</f>
        <v/>
      </c>
      <c r="K65" s="174">
        <f>'May2026-EXPENSE'!R68</f>
        <v/>
      </c>
      <c r="L65" s="174" t="n"/>
      <c r="M65" s="174">
        <f>J65-(K65+L65)</f>
        <v/>
      </c>
      <c r="N65" s="172">
        <f>'June2026-COLLECTION'!K64</f>
        <v/>
      </c>
      <c r="O65" s="172">
        <f>'June2026-EXPENSE'!R68</f>
        <v/>
      </c>
      <c r="P65" s="172" t="n"/>
      <c r="Q65" s="172">
        <f>N65-(O65+P65)</f>
        <v/>
      </c>
      <c r="R65" s="41">
        <f>'July2026-COLLECTION'!K64</f>
        <v/>
      </c>
      <c r="S65" s="174">
        <f>'July2026-EXPENSE'!R68</f>
        <v/>
      </c>
      <c r="T65" s="174" t="n"/>
      <c r="U65" s="174">
        <f>R65-(S65+T65)</f>
        <v/>
      </c>
      <c r="V65" s="167">
        <f>'Aug2026-COLLECTION'!K64</f>
        <v/>
      </c>
      <c r="W65" s="172">
        <f>'Aug2026-EXPENSE'!R68</f>
        <v/>
      </c>
      <c r="X65" s="172" t="n"/>
      <c r="Y65" s="172">
        <f>V65-(W65+X65)</f>
        <v/>
      </c>
      <c r="Z65" s="41">
        <f>'Sep2026-COLLECTION'!K64</f>
        <v/>
      </c>
      <c r="AA65" s="174">
        <f>'Sep2026-EXPENSE'!R68</f>
        <v/>
      </c>
      <c r="AB65" s="174" t="n"/>
      <c r="AC65" s="174">
        <f>Z65-(AA65+AB65)</f>
        <v/>
      </c>
      <c r="AD65" s="41">
        <f>'Oct2026-COLLECTION'!K64</f>
        <v/>
      </c>
      <c r="AE65" s="174">
        <f>'Oct2026-EXPENSE'!R68</f>
        <v/>
      </c>
      <c r="AF65" s="174" t="n"/>
      <c r="AG65" s="174">
        <f>AD65-(AE65+AF65)</f>
        <v/>
      </c>
      <c r="AH65" s="41">
        <f>'Nov2026-COLLECTION'!K64</f>
        <v/>
      </c>
      <c r="AI65" s="174">
        <f>'Nov2026-EXPENSE'!R68</f>
        <v/>
      </c>
      <c r="AJ65" s="174" t="n"/>
      <c r="AK65" s="174">
        <f>AH65-(AI65+AJ65)</f>
        <v/>
      </c>
      <c r="AL65" s="41">
        <f>'Dec2026-COLLECTION'!K64</f>
        <v/>
      </c>
      <c r="AM65" s="174">
        <f>'Dec2026-EXPENSE'!R68</f>
        <v/>
      </c>
      <c r="AN65" s="174" t="n"/>
      <c r="AO65" s="174">
        <f>AL65-(AM65+AN65)</f>
        <v/>
      </c>
      <c r="AP65" s="7">
        <f>'Jan2027-COLLECTION'!K64</f>
        <v/>
      </c>
      <c r="AQ65" s="10">
        <f>'Jan2027-EXPENSE'!R68</f>
        <v/>
      </c>
      <c r="AR65" s="10" t="n"/>
      <c r="AS65" s="174">
        <f>AP65-(AQ65+AR65)</f>
        <v/>
      </c>
      <c r="AT65" s="7">
        <f>'Feb2027-COLLECTION'!K64</f>
        <v/>
      </c>
      <c r="AU65" s="10">
        <f>'Feb2027-EXPENSE'!R68</f>
        <v/>
      </c>
      <c r="AV65" s="10" t="n"/>
      <c r="AW65" s="174">
        <f>AT65-(AU65+AV65)</f>
        <v/>
      </c>
      <c r="AX65" s="7">
        <f>'Mar2027-COLLECTION'!K64</f>
        <v/>
      </c>
      <c r="AY65" s="10">
        <f>'Mar2027-EXPENSE'!R68</f>
        <v/>
      </c>
      <c r="AZ65" s="10" t="n"/>
      <c r="BA65" s="174">
        <f>AX65-(AY65+AZ65)</f>
        <v/>
      </c>
      <c r="BB65" s="172">
        <f>SUM(F65,J65,N65,R65,V65,Z65,AD65,AH65,AL65,AP65,AT65,AX65)</f>
        <v/>
      </c>
      <c r="BC65" s="172">
        <f>SUM(J65,N65,R65,V65,Z65,AD65,AH65,AL65,AP65,AT65,AX65)</f>
        <v/>
      </c>
      <c r="BD65" s="172">
        <f>SUM(G65,K65,O65,S65,W65,AA65,AE65,AI65,AM65,AQ65,AU65,AY65)</f>
        <v/>
      </c>
      <c r="BE65" s="172" t="n">
        <v>0</v>
      </c>
      <c r="BF65" s="172">
        <f>BB65-(BD65+BE65)</f>
        <v/>
      </c>
      <c r="BG65" s="172">
        <f>BC65-(BD65+BE65)</f>
        <v/>
      </c>
      <c r="BH65" s="172">
        <f>E65+BF65</f>
        <v/>
      </c>
      <c r="BI65" s="175">
        <f>E65+F65+IF(BG65&gt;=0,BG65,0)</f>
        <v/>
      </c>
      <c r="BJ65" s="175" t="n">
        <v>0</v>
      </c>
    </row>
    <row r="66" ht="15.75" customHeight="1" s="251">
      <c r="A66" s="169" t="inlineStr">
        <is>
          <t>T16</t>
        </is>
      </c>
      <c r="B66" s="13" t="n"/>
      <c r="C66" s="13" t="inlineStr">
        <is>
          <t>Madhusoodanan P.R.</t>
        </is>
      </c>
      <c r="D66" s="170" t="n">
        <v>0</v>
      </c>
      <c r="E66" s="176" t="n">
        <v>0</v>
      </c>
      <c r="F66" s="171">
        <f>'Apr2026-COLLECTION'!K65</f>
        <v/>
      </c>
      <c r="G66" s="172">
        <f>'Apr2026-EXPENSE'!R69</f>
        <v/>
      </c>
      <c r="H66" s="172" t="n"/>
      <c r="I66" s="172">
        <f>F66-(G66+H66)</f>
        <v/>
      </c>
      <c r="J66" s="173">
        <f>'May2026-COLLECTION'!K65</f>
        <v/>
      </c>
      <c r="K66" s="174">
        <f>'May2026-EXPENSE'!R69</f>
        <v/>
      </c>
      <c r="L66" s="174" t="n"/>
      <c r="M66" s="174">
        <f>J66-(K66+L66)</f>
        <v/>
      </c>
      <c r="N66" s="172">
        <f>'June2026-COLLECTION'!K65</f>
        <v/>
      </c>
      <c r="O66" s="172">
        <f>'June2026-EXPENSE'!R69</f>
        <v/>
      </c>
      <c r="P66" s="172" t="n"/>
      <c r="Q66" s="172">
        <f>N66-(O66+P66)</f>
        <v/>
      </c>
      <c r="R66" s="41">
        <f>'July2026-COLLECTION'!K65</f>
        <v/>
      </c>
      <c r="S66" s="174">
        <f>'July2026-EXPENSE'!R69</f>
        <v/>
      </c>
      <c r="T66" s="174" t="n"/>
      <c r="U66" s="174">
        <f>R66-(S66+T66)</f>
        <v/>
      </c>
      <c r="V66" s="167">
        <f>'Aug2026-COLLECTION'!K65</f>
        <v/>
      </c>
      <c r="W66" s="172">
        <f>'Aug2026-EXPENSE'!R69</f>
        <v/>
      </c>
      <c r="X66" s="172" t="n"/>
      <c r="Y66" s="172">
        <f>V66-(W66+X66)</f>
        <v/>
      </c>
      <c r="Z66" s="41">
        <f>'Sep2026-COLLECTION'!K65</f>
        <v/>
      </c>
      <c r="AA66" s="174">
        <f>'Sep2026-EXPENSE'!R69</f>
        <v/>
      </c>
      <c r="AB66" s="174" t="n"/>
      <c r="AC66" s="174">
        <f>Z66-(AA66+AB66)</f>
        <v/>
      </c>
      <c r="AD66" s="41">
        <f>'Oct2026-COLLECTION'!K65</f>
        <v/>
      </c>
      <c r="AE66" s="174">
        <f>'Oct2026-EXPENSE'!R69</f>
        <v/>
      </c>
      <c r="AF66" s="174" t="n"/>
      <c r="AG66" s="174">
        <f>AD66-(AE66+AF66)</f>
        <v/>
      </c>
      <c r="AH66" s="41">
        <f>'Nov2026-COLLECTION'!K65</f>
        <v/>
      </c>
      <c r="AI66" s="174">
        <f>'Nov2026-EXPENSE'!R69</f>
        <v/>
      </c>
      <c r="AJ66" s="174" t="n"/>
      <c r="AK66" s="174">
        <f>AH66-(AI66+AJ66)</f>
        <v/>
      </c>
      <c r="AL66" s="41">
        <f>'Dec2026-COLLECTION'!K65</f>
        <v/>
      </c>
      <c r="AM66" s="174">
        <f>'Dec2026-EXPENSE'!R69</f>
        <v/>
      </c>
      <c r="AN66" s="174" t="n"/>
      <c r="AO66" s="174">
        <f>AL66-(AM66+AN66)</f>
        <v/>
      </c>
      <c r="AP66" s="7">
        <f>'Jan2027-COLLECTION'!K65</f>
        <v/>
      </c>
      <c r="AQ66" s="10">
        <f>'Jan2027-EXPENSE'!R69</f>
        <v/>
      </c>
      <c r="AR66" s="10" t="n"/>
      <c r="AS66" s="174">
        <f>AP66-(AQ66+AR66)</f>
        <v/>
      </c>
      <c r="AT66" s="7">
        <f>'Feb2027-COLLECTION'!K65</f>
        <v/>
      </c>
      <c r="AU66" s="10">
        <f>'Feb2027-EXPENSE'!R69</f>
        <v/>
      </c>
      <c r="AV66" s="10" t="n"/>
      <c r="AW66" s="174">
        <f>AT66-(AU66+AV66)</f>
        <v/>
      </c>
      <c r="AX66" s="7">
        <f>'Mar2027-COLLECTION'!K65</f>
        <v/>
      </c>
      <c r="AY66" s="10">
        <f>'Mar2027-EXPENSE'!R69</f>
        <v/>
      </c>
      <c r="AZ66" s="10" t="n"/>
      <c r="BA66" s="174">
        <f>AX66-(AY66+AZ66)</f>
        <v/>
      </c>
      <c r="BB66" s="172">
        <f>SUM(F66,J66,N66,R66,V66,Z66,AD66,AH66,AL66,AP66,AT66,AX66)</f>
        <v/>
      </c>
      <c r="BC66" s="172">
        <f>SUM(J66,N66,R66,V66,Z66,AD66,AH66,AL66,AP66,AT66,AX66)</f>
        <v/>
      </c>
      <c r="BD66" s="172">
        <f>SUM(G66,K66,O66,S66,W66,AA66,AE66,AI66,AM66,AQ66,AU66,AY66)</f>
        <v/>
      </c>
      <c r="BE66" s="172" t="n">
        <v>0</v>
      </c>
      <c r="BF66" s="172">
        <f>BB66-(BD66+BE66)</f>
        <v/>
      </c>
      <c r="BG66" s="172">
        <f>BC66-(BD66+BE66)</f>
        <v/>
      </c>
      <c r="BH66" s="172">
        <f>E66+BF66</f>
        <v/>
      </c>
      <c r="BI66" s="175">
        <f>E66+F66+IF(BG66&gt;=0,BG66,0)</f>
        <v/>
      </c>
      <c r="BJ66" s="175" t="n">
        <v>0</v>
      </c>
    </row>
    <row r="67" ht="15.75" customHeight="1" s="251">
      <c r="A67" s="169" t="n"/>
      <c r="B67" s="156" t="n"/>
      <c r="C67" s="156" t="inlineStr">
        <is>
          <t>TOTAL</t>
        </is>
      </c>
      <c r="D67" s="177">
        <f>SUM(D3:D66)</f>
        <v/>
      </c>
      <c r="E67" s="143">
        <f>SUM(E3:E66)</f>
        <v/>
      </c>
      <c r="F67" s="178">
        <f>SUM(F3:F66)</f>
        <v/>
      </c>
      <c r="G67" s="174">
        <f>SUM(G3:G66)</f>
        <v/>
      </c>
      <c r="H67" s="174">
        <f>SUM(H3:H66)</f>
        <v/>
      </c>
      <c r="I67" s="174">
        <f>SUM(I3:I66)</f>
        <v/>
      </c>
      <c r="J67" s="174">
        <f>SUM(J3:J66)</f>
        <v/>
      </c>
      <c r="K67" s="174">
        <f>SUM(K3:K66)</f>
        <v/>
      </c>
      <c r="L67" s="174">
        <f>SUM(L3:L66)</f>
        <v/>
      </c>
      <c r="M67" s="174">
        <f>SUM(M3:M66)</f>
        <v/>
      </c>
      <c r="N67" s="174">
        <f>SUM(N3:N66)</f>
        <v/>
      </c>
      <c r="O67" s="174">
        <f>SUM(O3:O66)</f>
        <v/>
      </c>
      <c r="P67" s="174">
        <f>SUM(P3:P66)</f>
        <v/>
      </c>
      <c r="Q67" s="174">
        <f>SUM(Q3:Q66)</f>
        <v/>
      </c>
      <c r="R67" s="174">
        <f>SUM(R3:R66)</f>
        <v/>
      </c>
      <c r="S67" s="174">
        <f>SUM(S3:S66)</f>
        <v/>
      </c>
      <c r="T67" s="174">
        <f>SUM(T3:T66)</f>
        <v/>
      </c>
      <c r="U67" s="174">
        <f>SUM(U3:U66)</f>
        <v/>
      </c>
      <c r="V67" s="174">
        <f>SUM(V3:V66)</f>
        <v/>
      </c>
      <c r="W67" s="174">
        <f>SUM(W3:W66)</f>
        <v/>
      </c>
      <c r="X67" s="174">
        <f>SUM(X3:X66)</f>
        <v/>
      </c>
      <c r="Y67" s="174">
        <f>SUM(Y3:Y66)</f>
        <v/>
      </c>
      <c r="Z67" s="174">
        <f>SUM(Z3:Z66)</f>
        <v/>
      </c>
      <c r="AA67" s="174">
        <f>SUM(AA3:AA66)</f>
        <v/>
      </c>
      <c r="AB67" s="174">
        <f>SUM(AB3:AB66)</f>
        <v/>
      </c>
      <c r="AC67" s="174">
        <f>SUM(AC3:AC66)</f>
        <v/>
      </c>
      <c r="AD67" s="174">
        <f>SUM(AD3:AD66)</f>
        <v/>
      </c>
      <c r="AE67" s="174">
        <f>SUM(AE3:AE66)</f>
        <v/>
      </c>
      <c r="AF67" s="174">
        <f>SUM(AF3:AF66)</f>
        <v/>
      </c>
      <c r="AG67" s="174">
        <f>SUM(AG3:AG66)</f>
        <v/>
      </c>
      <c r="AH67" s="174">
        <f>SUM(AH3:AH66)</f>
        <v/>
      </c>
      <c r="AI67" s="174">
        <f>SUM(AI3:AI66)</f>
        <v/>
      </c>
      <c r="AJ67" s="174">
        <f>SUM(AJ3:AJ66)</f>
        <v/>
      </c>
      <c r="AK67" s="174">
        <f>SUM(AK3:AK66)</f>
        <v/>
      </c>
      <c r="AL67" s="174">
        <f>SUM(AL3:AL66)</f>
        <v/>
      </c>
      <c r="AM67" s="174">
        <f>SUM(AM3:AM66)</f>
        <v/>
      </c>
      <c r="AN67" s="174">
        <f>SUM(AN3:AN66)</f>
        <v/>
      </c>
      <c r="AO67" s="174">
        <f>SUM(AO3:AO66)</f>
        <v/>
      </c>
      <c r="AP67" s="7">
        <f>SUM(AP3:AP66)</f>
        <v/>
      </c>
      <c r="AQ67" s="10">
        <f>SUM(AQ3:AQ66)</f>
        <v/>
      </c>
      <c r="AR67" s="10">
        <f>SUM(AR3:AR66)</f>
        <v/>
      </c>
      <c r="AS67" s="10">
        <f>SUM(AS3:AS66)</f>
        <v/>
      </c>
      <c r="AT67" s="7">
        <f>SUM(AT3:AT66)</f>
        <v/>
      </c>
      <c r="AU67" s="10">
        <f>SUM(AU3:AU66)</f>
        <v/>
      </c>
      <c r="AV67" s="10">
        <f>SUM(AV3:AV66)</f>
        <v/>
      </c>
      <c r="AW67" s="10">
        <f>SUM(AW3:AW66)</f>
        <v/>
      </c>
      <c r="AX67" s="7">
        <f>SUM(AX3:AX66)</f>
        <v/>
      </c>
      <c r="AY67" s="10">
        <f>SUM(AY3:AY66)</f>
        <v/>
      </c>
      <c r="AZ67" s="10">
        <f>SUM(AZ3:AZ66)</f>
        <v/>
      </c>
      <c r="BA67" s="10">
        <f>SUM(BA3:BA66)</f>
        <v/>
      </c>
      <c r="BB67" s="174">
        <f>SUM(BB3:BB66)</f>
        <v/>
      </c>
      <c r="BC67" s="172">
        <f>SUM(J67,N67,R67,V67,Z67,AD67,AH67,AL67,AP67,AT67,AX67)</f>
        <v/>
      </c>
      <c r="BD67" s="174">
        <f>SUM(BD3:BD66)</f>
        <v/>
      </c>
      <c r="BE67" s="174">
        <f>SUM(BE3:BE66)</f>
        <v/>
      </c>
      <c r="BF67" s="174">
        <f>SUM(BF3:BF66)</f>
        <v/>
      </c>
      <c r="BG67" s="172">
        <f>BC67-(BD67+BE67)</f>
        <v/>
      </c>
      <c r="BH67" s="174">
        <f>E67+BF67</f>
        <v/>
      </c>
      <c r="BI67" s="147" t="n"/>
      <c r="BJ67" s="147" t="n"/>
    </row>
  </sheetData>
  <autoFilter ref="A2:BH67"/>
  <mergeCells count="12">
    <mergeCell ref="AH1:AK1"/>
    <mergeCell ref="F1:I1"/>
    <mergeCell ref="R1:U1"/>
    <mergeCell ref="AL1:AO1"/>
    <mergeCell ref="N1:Q1"/>
    <mergeCell ref="AX1:BA1"/>
    <mergeCell ref="V1:Y1"/>
    <mergeCell ref="Z1:AC1"/>
    <mergeCell ref="AD1:AG1"/>
    <mergeCell ref="J1:M1"/>
    <mergeCell ref="AP1:AS1"/>
    <mergeCell ref="AT1:AW1"/>
  </mergeCells>
  <conditionalFormatting sqref="H2:I66 L2:M66 P2:Q66 T2:U66 X2:Y66 AB2:AC66 AF2:AG66 AJ2:AK66 AN2:AO66 AP2:AR2 AS2:AS66 AT2:AV2 AW2:AW66 AX2:AZ2 BA2:BA66">
    <cfRule type="cellIs" priority="1" operator="lessThan" dxfId="2">
      <formula>0</formula>
    </cfRule>
  </conditionalFormatting>
  <conditionalFormatting sqref="AF2:AG66 AJ2:AK66 AN2:AO66 AP2:AR2 AS2:AS66 AT2:AV2 AW2:AW66 AX2:AZ2 BA2:BA66 BE1:BF66 BG1:BG67 BH1:BJ66">
    <cfRule type="cellIs" priority="2" operator="lessThan" dxfId="5">
      <formula>0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width="12.5" customWidth="1" style="251" min="1" max="1"/>
    <col hidden="1" width="22.33203125" customWidth="1" style="251" min="2" max="2"/>
    <col width="26.83203125" customWidth="1" style="251" min="3" max="3"/>
    <col hidden="1" width="23.5" customWidth="1" style="251" min="4" max="4"/>
    <col width="23.5" customWidth="1" style="251" min="5" max="19"/>
    <col width="29" customWidth="1" style="251" min="20" max="21"/>
    <col width="23.5" customWidth="1" style="251" min="22" max="55"/>
    <col width="30.5" customWidth="1" style="251" min="56" max="59"/>
  </cols>
  <sheetData>
    <row r="1" ht="39" customHeight="1" s="251">
      <c r="A1" s="155" t="n"/>
      <c r="B1" s="156" t="n"/>
      <c r="C1" s="156" t="inlineStr">
        <is>
          <t>Tallied till 19 Sep'23</t>
        </is>
      </c>
      <c r="D1" s="157" t="inlineStr">
        <is>
          <t>COLLECTION CARRY OVER 
(Mar2013-Mar2022)</t>
        </is>
      </c>
      <c r="E1" s="158" t="inlineStr">
        <is>
          <t>2013-25 Pending Maintenance</t>
        </is>
      </c>
      <c r="F1" s="285" t="n">
        <v>46113</v>
      </c>
      <c r="G1" s="267" t="n"/>
      <c r="H1" s="267" t="n"/>
      <c r="I1" s="268" t="n"/>
      <c r="J1" s="286" t="n">
        <v>46143</v>
      </c>
      <c r="K1" s="267" t="n"/>
      <c r="L1" s="267" t="n"/>
      <c r="M1" s="268" t="n"/>
      <c r="N1" s="287" t="n">
        <v>46174</v>
      </c>
      <c r="O1" s="267" t="n"/>
      <c r="P1" s="267" t="n"/>
      <c r="Q1" s="268" t="n"/>
      <c r="R1" s="288" t="n">
        <v>46204</v>
      </c>
      <c r="S1" s="267" t="n"/>
      <c r="T1" s="267" t="n"/>
      <c r="U1" s="268" t="n"/>
      <c r="V1" s="287" t="n">
        <v>46235</v>
      </c>
      <c r="W1" s="267" t="n"/>
      <c r="X1" s="267" t="n"/>
      <c r="Y1" s="268" t="n"/>
      <c r="Z1" s="288" t="n">
        <v>46266</v>
      </c>
      <c r="AA1" s="267" t="n"/>
      <c r="AB1" s="267" t="n"/>
      <c r="AC1" s="268" t="n"/>
      <c r="AD1" s="288" t="n">
        <v>46296</v>
      </c>
      <c r="AE1" s="267" t="n"/>
      <c r="AF1" s="267" t="n"/>
      <c r="AG1" s="268" t="n"/>
      <c r="AH1" s="288" t="n">
        <v>46327</v>
      </c>
      <c r="AI1" s="267" t="n"/>
      <c r="AJ1" s="267" t="n"/>
      <c r="AK1" s="268" t="n"/>
      <c r="AL1" s="288" t="n">
        <v>46357</v>
      </c>
      <c r="AM1" s="267" t="n"/>
      <c r="AN1" s="267" t="n"/>
      <c r="AO1" s="268" t="n"/>
      <c r="AP1" s="288" t="n">
        <v>46388</v>
      </c>
      <c r="AQ1" s="267" t="n"/>
      <c r="AR1" s="267" t="n"/>
      <c r="AS1" s="268" t="n"/>
      <c r="AT1" s="288" t="n">
        <v>46419</v>
      </c>
      <c r="AU1" s="267" t="n"/>
      <c r="AV1" s="267" t="n"/>
      <c r="AW1" s="268" t="n"/>
      <c r="AX1" s="288" t="n">
        <v>46447</v>
      </c>
      <c r="AY1" s="267" t="n"/>
      <c r="AZ1" s="267" t="n"/>
      <c r="BA1" s="268" t="n"/>
      <c r="BB1" s="159" t="inlineStr">
        <is>
          <t>TOTAL COLLECTION
(Apr2026 to Mar2027)</t>
        </is>
      </c>
      <c r="BC1" s="159" t="inlineStr">
        <is>
          <t>TOTAL EXPENSE
(Apr2026 to Mar2027)</t>
        </is>
      </c>
      <c r="BD1" s="159" t="inlineStr">
        <is>
          <t>TOTAL LATE FEE
(Apr2026 to Mar2027)</t>
        </is>
      </c>
      <c r="BE1" s="159" t="inlineStr">
        <is>
          <t>TOTAL COLLECTION - EXPENSE
(Apr2026 to Mar2027)</t>
        </is>
      </c>
      <c r="BF1" s="159" t="inlineStr">
        <is>
          <t>Balance
(2013 till date)</t>
        </is>
      </c>
      <c r="BG1" s="160" t="n"/>
    </row>
    <row r="2">
      <c r="A2" s="161" t="inlineStr">
        <is>
          <t>FLAT#</t>
        </is>
      </c>
      <c r="B2" s="161" t="inlineStr">
        <is>
          <t>email id</t>
        </is>
      </c>
      <c r="C2" s="161" t="inlineStr">
        <is>
          <t>OCCUPANT</t>
        </is>
      </c>
      <c r="D2" s="162" t="n"/>
      <c r="E2" s="163" t="n"/>
      <c r="F2" s="164" t="inlineStr">
        <is>
          <t>COLLECTION</t>
        </is>
      </c>
      <c r="G2" s="165" t="inlineStr">
        <is>
          <t>EXPENSE</t>
        </is>
      </c>
      <c r="H2" s="165" t="inlineStr">
        <is>
          <t>LATE PAYMENT FEE</t>
        </is>
      </c>
      <c r="I2" s="165" t="inlineStr">
        <is>
          <t>COLLECTION - EXPENSE</t>
        </is>
      </c>
      <c r="J2" s="166" t="inlineStr">
        <is>
          <t>COLLECTION</t>
        </is>
      </c>
      <c r="K2" s="166" t="inlineStr">
        <is>
          <t>EXPENSE</t>
        </is>
      </c>
      <c r="L2" s="166" t="inlineStr">
        <is>
          <t>LATE PAYMENT FEE</t>
        </is>
      </c>
      <c r="M2" s="166" t="inlineStr">
        <is>
          <t>COLLECTION - EXPENSE</t>
        </is>
      </c>
      <c r="N2" s="165" t="inlineStr">
        <is>
          <t>COLLECTION</t>
        </is>
      </c>
      <c r="O2" s="165" t="inlineStr">
        <is>
          <t>EXPENSE</t>
        </is>
      </c>
      <c r="P2" s="165" t="inlineStr">
        <is>
          <t>LATE PAYMENT FEE</t>
        </is>
      </c>
      <c r="Q2" s="165" t="inlineStr">
        <is>
          <t>COLLECTION - EXPENSE</t>
        </is>
      </c>
      <c r="R2" s="166" t="inlineStr">
        <is>
          <t>COLLECTION</t>
        </is>
      </c>
      <c r="S2" s="166" t="inlineStr">
        <is>
          <t>EXPENSE</t>
        </is>
      </c>
      <c r="T2" s="166" t="inlineStr">
        <is>
          <t>LATE PAYMENT FEE</t>
        </is>
      </c>
      <c r="U2" s="166" t="inlineStr">
        <is>
          <t>COLLECTION - EXPENSE</t>
        </is>
      </c>
      <c r="V2" s="165" t="inlineStr">
        <is>
          <t>COLLECTION</t>
        </is>
      </c>
      <c r="W2" s="165" t="inlineStr">
        <is>
          <t>EXPENSE</t>
        </is>
      </c>
      <c r="X2" s="165" t="inlineStr">
        <is>
          <t>LATE PAYMENT FEE</t>
        </is>
      </c>
      <c r="Y2" s="165" t="inlineStr">
        <is>
          <t>COLLECTION - EXPENSE</t>
        </is>
      </c>
      <c r="Z2" s="166" t="inlineStr">
        <is>
          <t>COLLECTION</t>
        </is>
      </c>
      <c r="AA2" s="166" t="inlineStr">
        <is>
          <t>EXPENSE</t>
        </is>
      </c>
      <c r="AB2" s="166" t="inlineStr">
        <is>
          <t>LATE PAYMENT FEE</t>
        </is>
      </c>
      <c r="AC2" s="166" t="inlineStr">
        <is>
          <t>COLLECTION - EXPENSE</t>
        </is>
      </c>
      <c r="AD2" s="166" t="inlineStr">
        <is>
          <t>COLLECTION</t>
        </is>
      </c>
      <c r="AE2" s="166" t="inlineStr">
        <is>
          <t>EXPENSE</t>
        </is>
      </c>
      <c r="AF2" s="166" t="inlineStr">
        <is>
          <t>LATE PAYMENT FEE</t>
        </is>
      </c>
      <c r="AG2" s="166" t="inlineStr">
        <is>
          <t>COLLECTION - EXPENSE</t>
        </is>
      </c>
      <c r="AH2" s="166" t="inlineStr">
        <is>
          <t>COLLECTION</t>
        </is>
      </c>
      <c r="AI2" s="166" t="inlineStr">
        <is>
          <t>EXPENSE</t>
        </is>
      </c>
      <c r="AJ2" s="166" t="inlineStr">
        <is>
          <t>LATE PAYMENT FEE</t>
        </is>
      </c>
      <c r="AK2" s="166" t="inlineStr">
        <is>
          <t>COLLECTION - EXPENSE</t>
        </is>
      </c>
      <c r="AL2" s="166" t="inlineStr">
        <is>
          <t>COLLECTION</t>
        </is>
      </c>
      <c r="AM2" s="166" t="inlineStr">
        <is>
          <t>EXPENSE</t>
        </is>
      </c>
      <c r="AN2" s="166" t="inlineStr">
        <is>
          <t>LATE PAYMENT FEE</t>
        </is>
      </c>
      <c r="AO2" s="166" t="inlineStr">
        <is>
          <t>COLLECTION - EXPENSE</t>
        </is>
      </c>
      <c r="AP2" s="166" t="inlineStr">
        <is>
          <t>COLLECTION</t>
        </is>
      </c>
      <c r="AQ2" s="166" t="inlineStr">
        <is>
          <t>EXPENSE</t>
        </is>
      </c>
      <c r="AR2" s="166" t="inlineStr">
        <is>
          <t>LATE PAYMENT FEE</t>
        </is>
      </c>
      <c r="AS2" s="166" t="inlineStr">
        <is>
          <t>COLLECTION - EXPENSE</t>
        </is>
      </c>
      <c r="AT2" s="166" t="inlineStr">
        <is>
          <t>COLLECTION</t>
        </is>
      </c>
      <c r="AU2" s="166" t="inlineStr">
        <is>
          <t>EXPENSE</t>
        </is>
      </c>
      <c r="AV2" s="166" t="inlineStr">
        <is>
          <t>LATE PAYMENT FEE</t>
        </is>
      </c>
      <c r="AW2" s="166" t="inlineStr">
        <is>
          <t>COLLECTION - EXPENSE</t>
        </is>
      </c>
      <c r="AX2" s="166" t="inlineStr">
        <is>
          <t>COLLECTION</t>
        </is>
      </c>
      <c r="AY2" s="166" t="inlineStr">
        <is>
          <t>EXPENSE</t>
        </is>
      </c>
      <c r="AZ2" s="166" t="inlineStr">
        <is>
          <t>LATE PAYMENT FEE</t>
        </is>
      </c>
      <c r="BA2" s="166" t="inlineStr">
        <is>
          <t>COLLECTION - EXPENSE</t>
        </is>
      </c>
      <c r="BB2" s="167" t="n"/>
      <c r="BC2" s="167" t="n"/>
      <c r="BD2" s="167" t="n"/>
      <c r="BE2" s="167" t="n"/>
      <c r="BF2" s="167" t="n"/>
      <c r="BG2" s="168" t="n"/>
    </row>
    <row r="3" ht="32" customHeight="1" s="251">
      <c r="A3" s="169" t="inlineStr">
        <is>
          <t>F1</t>
        </is>
      </c>
      <c r="B3" s="13" t="n"/>
      <c r="C3" s="13" t="inlineStr">
        <is>
          <t>Shailesh Srivastava / Azeem Nawaz</t>
        </is>
      </c>
      <c r="D3" s="170" t="n">
        <v>0</v>
      </c>
      <c r="E3" s="175" t="n">
        <v>0</v>
      </c>
      <c r="F3" s="171">
        <f>'Apr2026-COLLECTION'!K2</f>
        <v/>
      </c>
      <c r="G3" s="172">
        <f>'Apr2026-EXPENSE'!R6</f>
        <v/>
      </c>
      <c r="H3" s="172" t="n"/>
      <c r="I3" s="172">
        <f>F3-(G3+H3)</f>
        <v/>
      </c>
      <c r="J3" s="173">
        <f>'May2026-COLLECTION'!K2</f>
        <v/>
      </c>
      <c r="K3" s="174">
        <f>'May2026-EXPENSE'!R6</f>
        <v/>
      </c>
      <c r="L3" s="174" t="n"/>
      <c r="M3" s="174">
        <f>J3-(K3+L3)</f>
        <v/>
      </c>
      <c r="N3" s="172">
        <f>'June2026-COLLECTION'!K2</f>
        <v/>
      </c>
      <c r="O3" s="172">
        <f>'June2026-EXPENSE'!R6</f>
        <v/>
      </c>
      <c r="P3" s="172" t="n"/>
      <c r="Q3" s="172">
        <f>N3-(O3+P3)</f>
        <v/>
      </c>
      <c r="R3" s="41">
        <f>'July2026-COLLECTION'!K2</f>
        <v/>
      </c>
      <c r="S3" s="174">
        <f>'July2026-EXPENSE'!R6</f>
        <v/>
      </c>
      <c r="T3" s="174" t="n"/>
      <c r="U3" s="174">
        <f>R3-(S3+T3)</f>
        <v/>
      </c>
      <c r="V3" s="167">
        <f>'Aug2026-COLLECTION'!K2</f>
        <v/>
      </c>
      <c r="W3" s="172">
        <f>'Aug2026-EXPENSE'!R6</f>
        <v/>
      </c>
      <c r="X3" s="172" t="n"/>
      <c r="Y3" s="172">
        <f>V3-(W3+X3)</f>
        <v/>
      </c>
      <c r="Z3" s="41">
        <f>'Sep2026-COLLECTION'!K2</f>
        <v/>
      </c>
      <c r="AA3" s="174">
        <f>'Sep2026-EXPENSE'!R6</f>
        <v/>
      </c>
      <c r="AB3" s="174" t="n"/>
      <c r="AC3" s="174">
        <f>Z3-(AA3+AB3)</f>
        <v/>
      </c>
      <c r="AD3" s="41">
        <f>'Oct2026-COLLECTION'!K2</f>
        <v/>
      </c>
      <c r="AE3" s="174">
        <f>'Oct2026-EXPENSE'!R6</f>
        <v/>
      </c>
      <c r="AF3" s="174" t="n"/>
      <c r="AG3" s="174">
        <f>AD3-(AE3+AF3)</f>
        <v/>
      </c>
      <c r="AH3" s="41">
        <f>'Nov2026-COLLECTION'!K2</f>
        <v/>
      </c>
      <c r="AI3" s="174">
        <f>'Nov2026-EXPENSE'!R6</f>
        <v/>
      </c>
      <c r="AJ3" s="174" t="n"/>
      <c r="AK3" s="174">
        <f>AH3-(AI3+AJ3)</f>
        <v/>
      </c>
      <c r="AL3" s="41">
        <f>'Dec2026-COLLECTION'!K2</f>
        <v/>
      </c>
      <c r="AM3" s="174">
        <f>'Dec2026-EXPENSE'!R6</f>
        <v/>
      </c>
      <c r="AN3" s="174" t="n"/>
      <c r="AO3" s="174">
        <f>AL3-(AM3+AN3)</f>
        <v/>
      </c>
      <c r="AP3" s="7">
        <f>'Jan2027-COLLECTION'!K2</f>
        <v/>
      </c>
      <c r="AQ3" s="10">
        <f>'Jan2027-EXPENSE'!R6</f>
        <v/>
      </c>
      <c r="AR3" s="10" t="n"/>
      <c r="AS3" s="174">
        <f>AP3-(AQ3+AR3)</f>
        <v/>
      </c>
      <c r="AT3" s="7">
        <f>'Feb2027-COLLECTION'!K2</f>
        <v/>
      </c>
      <c r="AU3" s="10">
        <f>'Feb2027-EXPENSE'!R6</f>
        <v/>
      </c>
      <c r="AV3" s="10" t="n"/>
      <c r="AW3" s="174">
        <f>AT3-(AU3+AV3)</f>
        <v/>
      </c>
      <c r="AX3" s="7">
        <f>'Mar2027-COLLECTION'!K2</f>
        <v/>
      </c>
      <c r="AY3" s="10">
        <f>'Mar2027-EXPENSE'!R6</f>
        <v/>
      </c>
      <c r="AZ3" s="10" t="n"/>
      <c r="BA3" s="174">
        <f>AX3-(AY3+AZ3)</f>
        <v/>
      </c>
      <c r="BB3" s="172">
        <f>SUM(F3,J3,N3,R3,V3,Z3,AD3,AH3,AL3,AP3,AT3,AX3)</f>
        <v/>
      </c>
      <c r="BC3" s="172">
        <f>SUM(G3,K3,O3,S3,W3,AA3,AE3,AI3,AM3,AQ3,AU3,AY3)</f>
        <v/>
      </c>
      <c r="BD3" s="172">
        <f>SUM(H3,L3,P3,T3,X3,AB3,AF3,AJ3,AN3,AR3,AV3,AZ3)</f>
        <v/>
      </c>
      <c r="BE3" s="172">
        <f>BB3-(BC3+BD3)</f>
        <v/>
      </c>
      <c r="BF3" s="172">
        <f>E3+BE3</f>
        <v/>
      </c>
      <c r="BG3" s="175" t="n">
        <v>0</v>
      </c>
    </row>
    <row r="4" ht="16" customHeight="1" s="251">
      <c r="A4" s="169" t="inlineStr">
        <is>
          <t>F2</t>
        </is>
      </c>
      <c r="B4" s="13" t="inlineStr">
        <is>
          <t>ramazen1@gmail.com</t>
        </is>
      </c>
      <c r="C4" s="13" t="inlineStr">
        <is>
          <t>Ramamurthy Pachaiyappan</t>
        </is>
      </c>
      <c r="D4" s="170" t="n">
        <v>0</v>
      </c>
      <c r="E4" s="175" t="n">
        <v>0</v>
      </c>
      <c r="F4" s="171">
        <f>'Apr2026-COLLECTION'!K3</f>
        <v/>
      </c>
      <c r="G4" s="172">
        <f>'Apr2026-EXPENSE'!R7</f>
        <v/>
      </c>
      <c r="H4" s="172" t="n"/>
      <c r="I4" s="172">
        <f>F4-(G4+H4)</f>
        <v/>
      </c>
      <c r="J4" s="173">
        <f>'May2026-COLLECTION'!K3</f>
        <v/>
      </c>
      <c r="K4" s="174">
        <f>'May2026-EXPENSE'!R7</f>
        <v/>
      </c>
      <c r="L4" s="174" t="n">
        <v>0</v>
      </c>
      <c r="M4" s="174">
        <f>J4-(K4+L4)</f>
        <v/>
      </c>
      <c r="N4" s="172">
        <f>'June2026-COLLECTION'!K3</f>
        <v/>
      </c>
      <c r="O4" s="172">
        <f>'June2026-EXPENSE'!R7</f>
        <v/>
      </c>
      <c r="P4" s="172" t="n"/>
      <c r="Q4" s="172">
        <f>N4-(O4+P4)</f>
        <v/>
      </c>
      <c r="R4" s="41">
        <f>'July2026-COLLECTION'!K3</f>
        <v/>
      </c>
      <c r="S4" s="174">
        <f>'July2026-EXPENSE'!R7</f>
        <v/>
      </c>
      <c r="T4" s="174" t="n">
        <v>0</v>
      </c>
      <c r="U4" s="174">
        <f>R4-(S4+T4)</f>
        <v/>
      </c>
      <c r="V4" s="167">
        <f>'Aug2026-COLLECTION'!K3</f>
        <v/>
      </c>
      <c r="W4" s="172">
        <f>'Aug2026-EXPENSE'!R7</f>
        <v/>
      </c>
      <c r="X4" s="172" t="n"/>
      <c r="Y4" s="172">
        <f>V4-(W4+X4)</f>
        <v/>
      </c>
      <c r="Z4" s="41">
        <f>'Sep2026-COLLECTION'!K3</f>
        <v/>
      </c>
      <c r="AA4" s="174">
        <f>'Sep2026-EXPENSE'!R7</f>
        <v/>
      </c>
      <c r="AB4" s="174" t="n"/>
      <c r="AC4" s="174">
        <f>Z4-(AA4+AB4)</f>
        <v/>
      </c>
      <c r="AD4" s="41">
        <f>'Oct2026-COLLECTION'!K3</f>
        <v/>
      </c>
      <c r="AE4" s="174">
        <f>'Oct2026-EXPENSE'!R7</f>
        <v/>
      </c>
      <c r="AF4" s="174" t="n"/>
      <c r="AG4" s="174">
        <f>AD4-(AE4+AF4)</f>
        <v/>
      </c>
      <c r="AH4" s="41">
        <f>'Nov2026-COLLECTION'!K3</f>
        <v/>
      </c>
      <c r="AI4" s="174">
        <f>'Nov2026-EXPENSE'!R7</f>
        <v/>
      </c>
      <c r="AJ4" s="174" t="n"/>
      <c r="AK4" s="174">
        <f>AH4-(AI4+AJ4)</f>
        <v/>
      </c>
      <c r="AL4" s="41">
        <f>'Dec2026-COLLECTION'!K3</f>
        <v/>
      </c>
      <c r="AM4" s="174">
        <f>'Dec2026-EXPENSE'!R7</f>
        <v/>
      </c>
      <c r="AN4" s="174" t="n"/>
      <c r="AO4" s="174">
        <f>AL4-(AM4+AN4)</f>
        <v/>
      </c>
      <c r="AP4" s="7">
        <f>'Jan2027-COLLECTION'!K3</f>
        <v/>
      </c>
      <c r="AQ4" s="10">
        <f>'Jan2027-EXPENSE'!R7</f>
        <v/>
      </c>
      <c r="AR4" s="10" t="n"/>
      <c r="AS4" s="174">
        <f>AP4-(AQ4+AR4)</f>
        <v/>
      </c>
      <c r="AT4" s="7">
        <f>'Feb2027-COLLECTION'!K3</f>
        <v/>
      </c>
      <c r="AU4" s="10">
        <f>'Feb2027-EXPENSE'!R7</f>
        <v/>
      </c>
      <c r="AV4" s="10" t="n"/>
      <c r="AW4" s="174">
        <f>AT4-(AU4+AV4)</f>
        <v/>
      </c>
      <c r="AX4" s="7">
        <f>'Mar2027-COLLECTION'!K3</f>
        <v/>
      </c>
      <c r="AY4" s="10">
        <f>'Mar2027-EXPENSE'!R7</f>
        <v/>
      </c>
      <c r="AZ4" s="10" t="n"/>
      <c r="BA4" s="174">
        <f>AX4-(AY4+AZ4)</f>
        <v/>
      </c>
      <c r="BB4" s="172">
        <f>SUM(F4,J4,N4,R4,V4,Z4,AD4,AH4,AL4,AP4,AT4,AX4)</f>
        <v/>
      </c>
      <c r="BC4" s="172">
        <f>SUM(G4,K4,O4,S4,W4,AA4,AE4,AI4,AM4,AQ4,AU4,AY4)</f>
        <v/>
      </c>
      <c r="BD4" s="172">
        <f>SUM(H4,L4,P4,T4,X4,AB4,AF4,AJ4,AN4,AR4,AV4,AZ4)</f>
        <v/>
      </c>
      <c r="BE4" s="172">
        <f>BB4-(BC4+BD4)</f>
        <v/>
      </c>
      <c r="BF4" s="172">
        <f>E4+BE4</f>
        <v/>
      </c>
      <c r="BG4" s="175" t="n">
        <v>0</v>
      </c>
    </row>
    <row r="5" ht="16" customHeight="1" s="251">
      <c r="A5" s="169" t="inlineStr">
        <is>
          <t>F3</t>
        </is>
      </c>
      <c r="B5" s="13" t="n"/>
      <c r="C5" s="13" t="inlineStr">
        <is>
          <t>Samrat Kar</t>
        </is>
      </c>
      <c r="D5" s="170" t="n">
        <v>0</v>
      </c>
      <c r="E5" s="175" t="n">
        <v>0</v>
      </c>
      <c r="F5" s="171">
        <f>'Apr2026-COLLECTION'!K4</f>
        <v/>
      </c>
      <c r="G5" s="172">
        <f>'Apr2026-EXPENSE'!R8</f>
        <v/>
      </c>
      <c r="H5" s="172" t="n"/>
      <c r="I5" s="172">
        <f>F5-(G5+H5)</f>
        <v/>
      </c>
      <c r="J5" s="173">
        <f>'May2026-COLLECTION'!K4</f>
        <v/>
      </c>
      <c r="K5" s="174">
        <f>'May2026-EXPENSE'!R8</f>
        <v/>
      </c>
      <c r="L5" s="174" t="n"/>
      <c r="M5" s="174">
        <f>J5-(K5+L5)</f>
        <v/>
      </c>
      <c r="N5" s="172">
        <f>'June2026-COLLECTION'!K4</f>
        <v/>
      </c>
      <c r="O5" s="172">
        <f>'June2026-EXPENSE'!R8</f>
        <v/>
      </c>
      <c r="P5" s="172" t="n"/>
      <c r="Q5" s="172">
        <f>N5-(O5+P5)</f>
        <v/>
      </c>
      <c r="R5" s="41">
        <f>'July2026-COLLECTION'!K4</f>
        <v/>
      </c>
      <c r="S5" s="174">
        <f>'July2026-EXPENSE'!R8</f>
        <v/>
      </c>
      <c r="T5" s="174" t="n"/>
      <c r="U5" s="174">
        <f>R5-(S5+T5)</f>
        <v/>
      </c>
      <c r="V5" s="167">
        <f>'Aug2026-COLLECTION'!K4</f>
        <v/>
      </c>
      <c r="W5" s="172">
        <f>'Aug2026-EXPENSE'!R8</f>
        <v/>
      </c>
      <c r="X5" s="172" t="n"/>
      <c r="Y5" s="172">
        <f>V5-(W5+X5)</f>
        <v/>
      </c>
      <c r="Z5" s="41">
        <f>'Sep2026-COLLECTION'!K4</f>
        <v/>
      </c>
      <c r="AA5" s="174">
        <f>'Sep2026-EXPENSE'!R8</f>
        <v/>
      </c>
      <c r="AB5" s="174" t="n"/>
      <c r="AC5" s="174">
        <f>Z5-(AA5+AB5)</f>
        <v/>
      </c>
      <c r="AD5" s="41">
        <f>'Oct2026-COLLECTION'!K4</f>
        <v/>
      </c>
      <c r="AE5" s="174">
        <f>'Oct2026-EXPENSE'!R8</f>
        <v/>
      </c>
      <c r="AF5" s="174" t="n"/>
      <c r="AG5" s="174">
        <f>AD5-(AE5+AF5)</f>
        <v/>
      </c>
      <c r="AH5" s="41">
        <f>'Nov2026-COLLECTION'!K4</f>
        <v/>
      </c>
      <c r="AI5" s="174">
        <f>'Nov2026-EXPENSE'!R8</f>
        <v/>
      </c>
      <c r="AJ5" s="174" t="n"/>
      <c r="AK5" s="174">
        <f>AH5-(AI5+AJ5)</f>
        <v/>
      </c>
      <c r="AL5" s="41">
        <f>'Dec2026-COLLECTION'!K4</f>
        <v/>
      </c>
      <c r="AM5" s="174">
        <f>'Dec2026-EXPENSE'!R8</f>
        <v/>
      </c>
      <c r="AN5" s="174" t="n"/>
      <c r="AO5" s="174">
        <f>AL5-(AM5+AN5)</f>
        <v/>
      </c>
      <c r="AP5" s="7">
        <f>'Jan2027-COLLECTION'!K4</f>
        <v/>
      </c>
      <c r="AQ5" s="10">
        <f>'Jan2027-EXPENSE'!R8</f>
        <v/>
      </c>
      <c r="AR5" s="10" t="n"/>
      <c r="AS5" s="174">
        <f>AP5-(AQ5+AR5)</f>
        <v/>
      </c>
      <c r="AT5" s="7">
        <f>'Feb2027-COLLECTION'!K4</f>
        <v/>
      </c>
      <c r="AU5" s="10">
        <f>'Feb2027-EXPENSE'!R8</f>
        <v/>
      </c>
      <c r="AV5" s="10" t="n"/>
      <c r="AW5" s="174">
        <f>AT5-(AU5+AV5)</f>
        <v/>
      </c>
      <c r="AX5" s="7">
        <f>'Mar2027-COLLECTION'!K4</f>
        <v/>
      </c>
      <c r="AY5" s="10">
        <f>'Mar2027-EXPENSE'!R8</f>
        <v/>
      </c>
      <c r="AZ5" s="10" t="n"/>
      <c r="BA5" s="174">
        <f>AX5-(AY5+AZ5)</f>
        <v/>
      </c>
      <c r="BB5" s="172">
        <f>SUM(F5,J5,N5,R5,V5,Z5,AD5,AH5,AL5,AP5,AT5,AX5)</f>
        <v/>
      </c>
      <c r="BC5" s="172">
        <f>SUM(G5,K5,O5,S5,W5,AA5,AE5,AI5,AM5,AQ5,AU5,AY5)</f>
        <v/>
      </c>
      <c r="BD5" s="172">
        <f>SUM(H5,L5,P5,T5,X5,AB5,AF5,AJ5,AN5,AR5,AV5,AZ5)</f>
        <v/>
      </c>
      <c r="BE5" s="172">
        <f>BB5-(BC5+BD5)</f>
        <v/>
      </c>
      <c r="BF5" s="172">
        <f>E5+BE5</f>
        <v/>
      </c>
      <c r="BG5" s="175" t="n">
        <v>0</v>
      </c>
    </row>
    <row r="6" ht="16" customHeight="1" s="251">
      <c r="A6" s="169" t="inlineStr">
        <is>
          <t>F4</t>
        </is>
      </c>
      <c r="B6" s="13" t="n"/>
      <c r="C6" s="13" t="inlineStr">
        <is>
          <t>Renu R</t>
        </is>
      </c>
      <c r="D6" s="170" t="n">
        <v>0</v>
      </c>
      <c r="E6" s="175" t="n">
        <v>0</v>
      </c>
      <c r="F6" s="171">
        <f>'Apr2026-COLLECTION'!K5</f>
        <v/>
      </c>
      <c r="G6" s="172">
        <f>'Apr2026-EXPENSE'!R9</f>
        <v/>
      </c>
      <c r="H6" s="172" t="n"/>
      <c r="I6" s="172">
        <f>F6-(G6+H6)</f>
        <v/>
      </c>
      <c r="J6" s="173">
        <f>'May2026-COLLECTION'!K5</f>
        <v/>
      </c>
      <c r="K6" s="174">
        <f>'May2026-EXPENSE'!R9</f>
        <v/>
      </c>
      <c r="L6" s="174" t="n"/>
      <c r="M6" s="174">
        <f>J6-(K6+L6)</f>
        <v/>
      </c>
      <c r="N6" s="172">
        <f>'June2026-COLLECTION'!K5</f>
        <v/>
      </c>
      <c r="O6" s="172">
        <f>'June2026-EXPENSE'!R9</f>
        <v/>
      </c>
      <c r="P6" s="172" t="n"/>
      <c r="Q6" s="172">
        <f>N6-(O6+P6)</f>
        <v/>
      </c>
      <c r="R6" s="41">
        <f>'July2026-COLLECTION'!K5</f>
        <v/>
      </c>
      <c r="S6" s="174">
        <f>'July2026-EXPENSE'!R9</f>
        <v/>
      </c>
      <c r="T6" s="174" t="n"/>
      <c r="U6" s="174">
        <f>R6-(S6+T6)</f>
        <v/>
      </c>
      <c r="V6" s="167">
        <f>'Aug2026-COLLECTION'!K5</f>
        <v/>
      </c>
      <c r="W6" s="172">
        <f>'Aug2026-EXPENSE'!R9</f>
        <v/>
      </c>
      <c r="X6" s="172" t="n"/>
      <c r="Y6" s="172">
        <f>V6-(W6+X6)</f>
        <v/>
      </c>
      <c r="Z6" s="41">
        <f>'Sep2026-COLLECTION'!K5</f>
        <v/>
      </c>
      <c r="AA6" s="174">
        <f>'Sep2026-EXPENSE'!R9</f>
        <v/>
      </c>
      <c r="AB6" s="174" t="n"/>
      <c r="AC6" s="174">
        <f>Z6-(AA6+AB6)</f>
        <v/>
      </c>
      <c r="AD6" s="41">
        <f>'Oct2026-COLLECTION'!K5</f>
        <v/>
      </c>
      <c r="AE6" s="174">
        <f>'Oct2026-EXPENSE'!R9</f>
        <v/>
      </c>
      <c r="AF6" s="174" t="n"/>
      <c r="AG6" s="174">
        <f>AD6-(AE6+AF6)</f>
        <v/>
      </c>
      <c r="AH6" s="41">
        <f>'Nov2026-COLLECTION'!K5</f>
        <v/>
      </c>
      <c r="AI6" s="174">
        <f>'Nov2026-EXPENSE'!R9</f>
        <v/>
      </c>
      <c r="AJ6" s="174" t="n"/>
      <c r="AK6" s="174">
        <f>AH6-(AI6+AJ6)</f>
        <v/>
      </c>
      <c r="AL6" s="41">
        <f>'Dec2026-COLLECTION'!K5</f>
        <v/>
      </c>
      <c r="AM6" s="174">
        <f>'Dec2026-EXPENSE'!R9</f>
        <v/>
      </c>
      <c r="AN6" s="174" t="n"/>
      <c r="AO6" s="174">
        <f>AL6-(AM6+AN6)</f>
        <v/>
      </c>
      <c r="AP6" s="7">
        <f>'Jan2027-COLLECTION'!K5</f>
        <v/>
      </c>
      <c r="AQ6" s="10">
        <f>'Jan2027-EXPENSE'!R9</f>
        <v/>
      </c>
      <c r="AR6" s="10" t="n"/>
      <c r="AS6" s="174">
        <f>AP6-(AQ6+AR6)</f>
        <v/>
      </c>
      <c r="AT6" s="7">
        <f>'Feb2027-COLLECTION'!K5</f>
        <v/>
      </c>
      <c r="AU6" s="10">
        <f>'Feb2027-EXPENSE'!R9</f>
        <v/>
      </c>
      <c r="AV6" s="10" t="n"/>
      <c r="AW6" s="174">
        <f>AT6-(AU6+AV6)</f>
        <v/>
      </c>
      <c r="AX6" s="7">
        <f>'Mar2027-COLLECTION'!K5</f>
        <v/>
      </c>
      <c r="AY6" s="10">
        <f>'Mar2027-EXPENSE'!R9</f>
        <v/>
      </c>
      <c r="AZ6" s="10" t="n"/>
      <c r="BA6" s="174">
        <f>AX6-(AY6+AZ6)</f>
        <v/>
      </c>
      <c r="BB6" s="172">
        <f>SUM(F6,J6,N6,R6,V6,Z6,AD6,AH6,AL6,AP6,AT6,AX6)</f>
        <v/>
      </c>
      <c r="BC6" s="172">
        <f>SUM(G6,K6,O6,S6,W6,AA6,AE6,AI6,AM6,AQ6,AU6,AY6)</f>
        <v/>
      </c>
      <c r="BD6" s="172">
        <f>SUM(H6,L6,P6,T6,X6,AB6,AF6,AJ6,AN6,AR6,AV6,AZ6)</f>
        <v/>
      </c>
      <c r="BE6" s="172">
        <f>BB6-(BC6+BD6)</f>
        <v/>
      </c>
      <c r="BF6" s="172">
        <f>E6+BE6</f>
        <v/>
      </c>
      <c r="BG6" s="175" t="n">
        <v>0</v>
      </c>
    </row>
    <row r="7" ht="32" customHeight="1" s="251">
      <c r="A7" s="169" t="inlineStr">
        <is>
          <t>F5</t>
        </is>
      </c>
      <c r="B7" s="13" t="n"/>
      <c r="C7" s="13" t="inlineStr">
        <is>
          <t>Vamsidhar Bethanabatla / Madhuri Anumula</t>
        </is>
      </c>
      <c r="D7" s="170" t="n">
        <v>0</v>
      </c>
      <c r="E7" s="175" t="n">
        <v>0</v>
      </c>
      <c r="F7" s="171">
        <f>'Apr2026-COLLECTION'!K6</f>
        <v/>
      </c>
      <c r="G7" s="172">
        <f>'Apr2026-EXPENSE'!R10</f>
        <v/>
      </c>
      <c r="H7" s="172" t="n"/>
      <c r="I7" s="172">
        <f>F7-(G7+H7)</f>
        <v/>
      </c>
      <c r="J7" s="173">
        <f>'May2026-COLLECTION'!K6</f>
        <v/>
      </c>
      <c r="K7" s="174">
        <f>'May2026-EXPENSE'!R10</f>
        <v/>
      </c>
      <c r="L7" s="174" t="n"/>
      <c r="M7" s="174">
        <f>J7-(K7+L7)</f>
        <v/>
      </c>
      <c r="N7" s="172">
        <f>'June2026-COLLECTION'!K6</f>
        <v/>
      </c>
      <c r="O7" s="172">
        <f>'June2026-EXPENSE'!R10</f>
        <v/>
      </c>
      <c r="P7" s="172" t="n"/>
      <c r="Q7" s="172">
        <f>N7-(O7+P7)</f>
        <v/>
      </c>
      <c r="R7" s="41">
        <f>'July2026-COLLECTION'!K6</f>
        <v/>
      </c>
      <c r="S7" s="174">
        <f>'July2026-EXPENSE'!R10</f>
        <v/>
      </c>
      <c r="T7" s="174" t="n"/>
      <c r="U7" s="174">
        <f>R7-(S7+T7)</f>
        <v/>
      </c>
      <c r="V7" s="167">
        <f>'Aug2026-COLLECTION'!K6</f>
        <v/>
      </c>
      <c r="W7" s="172">
        <f>'Aug2026-EXPENSE'!R10</f>
        <v/>
      </c>
      <c r="X7" s="172" t="n"/>
      <c r="Y7" s="172">
        <f>V7-(W7+X7)</f>
        <v/>
      </c>
      <c r="Z7" s="41">
        <f>'Sep2026-COLLECTION'!K6</f>
        <v/>
      </c>
      <c r="AA7" s="174">
        <f>'Sep2026-EXPENSE'!R10</f>
        <v/>
      </c>
      <c r="AB7" s="174" t="n"/>
      <c r="AC7" s="174">
        <f>Z7-(AA7+AB7)</f>
        <v/>
      </c>
      <c r="AD7" s="41">
        <f>'Oct2026-COLLECTION'!K6</f>
        <v/>
      </c>
      <c r="AE7" s="174">
        <f>'Oct2026-EXPENSE'!R10</f>
        <v/>
      </c>
      <c r="AF7" s="174" t="n"/>
      <c r="AG7" s="174">
        <f>AD7-(AE7+AF7)</f>
        <v/>
      </c>
      <c r="AH7" s="41">
        <f>'Nov2026-COLLECTION'!K6</f>
        <v/>
      </c>
      <c r="AI7" s="174">
        <f>'Nov2026-EXPENSE'!R10</f>
        <v/>
      </c>
      <c r="AJ7" s="174" t="n"/>
      <c r="AK7" s="174">
        <f>AH7-(AI7+AJ7)</f>
        <v/>
      </c>
      <c r="AL7" s="41">
        <f>'Dec2026-COLLECTION'!K6</f>
        <v/>
      </c>
      <c r="AM7" s="174">
        <f>'Dec2026-EXPENSE'!R10</f>
        <v/>
      </c>
      <c r="AN7" s="174" t="n"/>
      <c r="AO7" s="174">
        <f>AL7-(AM7+AN7)</f>
        <v/>
      </c>
      <c r="AP7" s="7">
        <f>'Jan2027-COLLECTION'!K6</f>
        <v/>
      </c>
      <c r="AQ7" s="10">
        <f>'Jan2027-EXPENSE'!R10</f>
        <v/>
      </c>
      <c r="AR7" s="10" t="n"/>
      <c r="AS7" s="174">
        <f>AP7-(AQ7+AR7)</f>
        <v/>
      </c>
      <c r="AT7" s="7">
        <f>'Feb2027-COLLECTION'!K6</f>
        <v/>
      </c>
      <c r="AU7" s="10">
        <f>'Feb2027-EXPENSE'!R10</f>
        <v/>
      </c>
      <c r="AV7" s="10" t="n"/>
      <c r="AW7" s="174">
        <f>AT7-(AU7+AV7)</f>
        <v/>
      </c>
      <c r="AX7" s="7">
        <f>'Mar2027-COLLECTION'!K6</f>
        <v/>
      </c>
      <c r="AY7" s="10">
        <f>'Mar2027-EXPENSE'!R10</f>
        <v/>
      </c>
      <c r="AZ7" s="10" t="n"/>
      <c r="BA7" s="174">
        <f>AX7-(AY7+AZ7)</f>
        <v/>
      </c>
      <c r="BB7" s="172">
        <f>SUM(F7,J7,N7,R7,V7,Z7,AD7,AH7,AL7,AP7,AT7,AX7)</f>
        <v/>
      </c>
      <c r="BC7" s="172">
        <f>SUM(G7,K7,O7,S7,W7,AA7,AE7,AI7,AM7,AQ7,AU7,AY7)</f>
        <v/>
      </c>
      <c r="BD7" s="172">
        <f>SUM(H7,L7,P7,T7,X7,AB7,AF7,AJ7,AN7,AR7,AV7,AZ7)</f>
        <v/>
      </c>
      <c r="BE7" s="172">
        <f>BB7-(BC7+BD7)</f>
        <v/>
      </c>
      <c r="BF7" s="172">
        <f>E7+BE7</f>
        <v/>
      </c>
      <c r="BG7" s="175" t="n">
        <v>0</v>
      </c>
    </row>
    <row r="8" ht="48" customHeight="1" s="251">
      <c r="A8" s="169" t="inlineStr">
        <is>
          <t>F6</t>
        </is>
      </c>
      <c r="B8" s="13" t="n"/>
      <c r="C8" s="13" t="inlineStr">
        <is>
          <t>Meghana Viral Shah and Vviral Shah (Owner) / Sangeet and Swagat (Tenent)</t>
        </is>
      </c>
      <c r="D8" s="170" t="n">
        <v>0</v>
      </c>
      <c r="E8" s="175" t="n">
        <v>0</v>
      </c>
      <c r="F8" s="171">
        <f>'Apr2026-COLLECTION'!K7</f>
        <v/>
      </c>
      <c r="G8" s="172">
        <f>'Apr2026-EXPENSE'!R11</f>
        <v/>
      </c>
      <c r="H8" s="172" t="n"/>
      <c r="I8" s="172">
        <f>F8-(G8+H8)</f>
        <v/>
      </c>
      <c r="J8" s="173">
        <f>'May2026-COLLECTION'!K7</f>
        <v/>
      </c>
      <c r="K8" s="174">
        <f>'May2026-EXPENSE'!R11</f>
        <v/>
      </c>
      <c r="L8" s="174" t="n"/>
      <c r="M8" s="174">
        <f>J8-(K8+L8)</f>
        <v/>
      </c>
      <c r="N8" s="172">
        <f>'June2026-COLLECTION'!K7</f>
        <v/>
      </c>
      <c r="O8" s="172">
        <f>'June2026-EXPENSE'!R11</f>
        <v/>
      </c>
      <c r="P8" s="172" t="n"/>
      <c r="Q8" s="172">
        <f>N8-(O8+P8)</f>
        <v/>
      </c>
      <c r="R8" s="41">
        <f>'July2026-COLLECTION'!K7</f>
        <v/>
      </c>
      <c r="S8" s="174">
        <f>'July2026-EXPENSE'!R11</f>
        <v/>
      </c>
      <c r="T8" s="174" t="n"/>
      <c r="U8" s="174">
        <f>R8-(S8+T8)</f>
        <v/>
      </c>
      <c r="V8" s="167">
        <f>'Aug2026-COLLECTION'!K7</f>
        <v/>
      </c>
      <c r="W8" s="172">
        <f>'Aug2026-EXPENSE'!R11</f>
        <v/>
      </c>
      <c r="X8" s="172" t="n"/>
      <c r="Y8" s="172">
        <f>V8-(W8+X8)</f>
        <v/>
      </c>
      <c r="Z8" s="41">
        <f>'Sep2026-COLLECTION'!K7</f>
        <v/>
      </c>
      <c r="AA8" s="174">
        <f>'Sep2026-EXPENSE'!R11</f>
        <v/>
      </c>
      <c r="AB8" s="174" t="n"/>
      <c r="AC8" s="174">
        <f>Z8-(AA8+AB8)</f>
        <v/>
      </c>
      <c r="AD8" s="41">
        <f>'Oct2026-COLLECTION'!K7</f>
        <v/>
      </c>
      <c r="AE8" s="174">
        <f>'Oct2026-EXPENSE'!R11</f>
        <v/>
      </c>
      <c r="AF8" s="174" t="n"/>
      <c r="AG8" s="174">
        <f>AD8-(AE8+AF8)</f>
        <v/>
      </c>
      <c r="AH8" s="41">
        <f>'Nov2026-COLLECTION'!K7</f>
        <v/>
      </c>
      <c r="AI8" s="174">
        <f>'Nov2026-EXPENSE'!R11</f>
        <v/>
      </c>
      <c r="AJ8" s="174" t="n"/>
      <c r="AK8" s="174">
        <f>AH8-(AI8+AJ8)</f>
        <v/>
      </c>
      <c r="AL8" s="41">
        <f>'Dec2026-COLLECTION'!K7</f>
        <v/>
      </c>
      <c r="AM8" s="174">
        <f>'Dec2026-EXPENSE'!R11</f>
        <v/>
      </c>
      <c r="AN8" s="174" t="n"/>
      <c r="AO8" s="174">
        <f>AL8-(AM8+AN8)</f>
        <v/>
      </c>
      <c r="AP8" s="7">
        <f>'Jan2027-COLLECTION'!K7</f>
        <v/>
      </c>
      <c r="AQ8" s="10">
        <f>'Jan2027-EXPENSE'!R11</f>
        <v/>
      </c>
      <c r="AR8" s="10" t="n"/>
      <c r="AS8" s="174">
        <f>AP8-(AQ8+AR8)</f>
        <v/>
      </c>
      <c r="AT8" s="7">
        <f>'Feb2027-COLLECTION'!K7</f>
        <v/>
      </c>
      <c r="AU8" s="10">
        <f>'Feb2027-EXPENSE'!R11</f>
        <v/>
      </c>
      <c r="AV8" s="10" t="n"/>
      <c r="AW8" s="174">
        <f>AT8-(AU8+AV8)</f>
        <v/>
      </c>
      <c r="AX8" s="7">
        <f>'Mar2027-COLLECTION'!K7</f>
        <v/>
      </c>
      <c r="AY8" s="10">
        <f>'Mar2027-EXPENSE'!R11</f>
        <v/>
      </c>
      <c r="AZ8" s="10" t="n"/>
      <c r="BA8" s="174">
        <f>AX8-(AY8+AZ8)</f>
        <v/>
      </c>
      <c r="BB8" s="172">
        <f>SUM(F8,J8,N8,R8,V8,Z8,AD8,AH8,AL8,AP8,AT8,AX8)</f>
        <v/>
      </c>
      <c r="BC8" s="172">
        <f>SUM(G8,K8,O8,S8,W8,AA8,AE8,AI8,AM8,AQ8,AU8,AY8)</f>
        <v/>
      </c>
      <c r="BD8" s="172">
        <f>SUM(H8,L8,P8,T8,X8,AB8,AF8,AJ8,AN8,AR8,AV8,AZ8)</f>
        <v/>
      </c>
      <c r="BE8" s="172">
        <f>BB8-(BC8+BD8)</f>
        <v/>
      </c>
      <c r="BF8" s="172">
        <f>E8+BE8</f>
        <v/>
      </c>
      <c r="BG8" s="175" t="n">
        <v>0</v>
      </c>
    </row>
    <row r="9" ht="16" customHeight="1" s="251">
      <c r="A9" s="169" t="inlineStr">
        <is>
          <t>F7</t>
        </is>
      </c>
      <c r="B9" s="13" t="n"/>
      <c r="C9" s="13" t="inlineStr">
        <is>
          <t>Vimal NK</t>
        </is>
      </c>
      <c r="D9" s="170" t="n">
        <v>0</v>
      </c>
      <c r="E9" s="175" t="n">
        <v>0</v>
      </c>
      <c r="F9" s="171">
        <f>'Apr2026-COLLECTION'!K8</f>
        <v/>
      </c>
      <c r="G9" s="172">
        <f>'Apr2026-EXPENSE'!R12</f>
        <v/>
      </c>
      <c r="H9" s="172" t="n"/>
      <c r="I9" s="172">
        <f>F9-(G9+H9)</f>
        <v/>
      </c>
      <c r="J9" s="173">
        <f>'May2026-COLLECTION'!K8</f>
        <v/>
      </c>
      <c r="K9" s="174">
        <f>'May2026-EXPENSE'!R12</f>
        <v/>
      </c>
      <c r="L9" s="174" t="n"/>
      <c r="M9" s="174">
        <f>J9-(K9+L9)</f>
        <v/>
      </c>
      <c r="N9" s="172">
        <f>'June2026-COLLECTION'!K8</f>
        <v/>
      </c>
      <c r="O9" s="172">
        <f>'June2026-EXPENSE'!R12</f>
        <v/>
      </c>
      <c r="P9" s="172" t="n"/>
      <c r="Q9" s="172">
        <f>N9-(O9+P9)</f>
        <v/>
      </c>
      <c r="R9" s="41">
        <f>'July2026-COLLECTION'!K8</f>
        <v/>
      </c>
      <c r="S9" s="174">
        <f>'July2026-EXPENSE'!R12</f>
        <v/>
      </c>
      <c r="T9" s="174" t="n"/>
      <c r="U9" s="174">
        <f>R9-(S9+T9)</f>
        <v/>
      </c>
      <c r="V9" s="167">
        <f>'Aug2026-COLLECTION'!K8</f>
        <v/>
      </c>
      <c r="W9" s="172">
        <f>'Aug2026-EXPENSE'!R12</f>
        <v/>
      </c>
      <c r="X9" s="172" t="n"/>
      <c r="Y9" s="172">
        <f>V9-(W9+X9)</f>
        <v/>
      </c>
      <c r="Z9" s="41">
        <f>'Sep2026-COLLECTION'!K8</f>
        <v/>
      </c>
      <c r="AA9" s="174">
        <f>'Sep2026-EXPENSE'!R12</f>
        <v/>
      </c>
      <c r="AB9" s="174" t="n"/>
      <c r="AC9" s="174">
        <f>Z9-(AA9+AB9)</f>
        <v/>
      </c>
      <c r="AD9" s="41">
        <f>'Oct2026-COLLECTION'!K8</f>
        <v/>
      </c>
      <c r="AE9" s="174">
        <f>'Oct2026-EXPENSE'!R12</f>
        <v/>
      </c>
      <c r="AF9" s="174" t="n"/>
      <c r="AG9" s="174">
        <f>AD9-(AE9+AF9)</f>
        <v/>
      </c>
      <c r="AH9" s="41">
        <f>'Nov2026-COLLECTION'!K8</f>
        <v/>
      </c>
      <c r="AI9" s="174">
        <f>'Nov2026-EXPENSE'!R12</f>
        <v/>
      </c>
      <c r="AJ9" s="174" t="n"/>
      <c r="AK9" s="174">
        <f>AH9-(AI9+AJ9)</f>
        <v/>
      </c>
      <c r="AL9" s="41">
        <f>'Dec2026-COLLECTION'!K8</f>
        <v/>
      </c>
      <c r="AM9" s="174">
        <f>'Dec2026-EXPENSE'!R12</f>
        <v/>
      </c>
      <c r="AN9" s="174" t="n"/>
      <c r="AO9" s="174">
        <f>AL9-(AM9+AN9)</f>
        <v/>
      </c>
      <c r="AP9" s="7">
        <f>'Jan2027-COLLECTION'!K8</f>
        <v/>
      </c>
      <c r="AQ9" s="10">
        <f>'Jan2027-EXPENSE'!R12</f>
        <v/>
      </c>
      <c r="AR9" s="10" t="n"/>
      <c r="AS9" s="174">
        <f>AP9-(AQ9+AR9)</f>
        <v/>
      </c>
      <c r="AT9" s="7">
        <f>'Feb2027-COLLECTION'!K8</f>
        <v/>
      </c>
      <c r="AU9" s="10">
        <f>'Feb2027-EXPENSE'!R12</f>
        <v/>
      </c>
      <c r="AV9" s="10" t="n"/>
      <c r="AW9" s="174">
        <f>AT9-(AU9+AV9)</f>
        <v/>
      </c>
      <c r="AX9" s="7">
        <f>'Mar2027-COLLECTION'!K8</f>
        <v/>
      </c>
      <c r="AY9" s="10">
        <f>'Mar2027-EXPENSE'!R12</f>
        <v/>
      </c>
      <c r="AZ9" s="10" t="n"/>
      <c r="BA9" s="174">
        <f>AX9-(AY9+AZ9)</f>
        <v/>
      </c>
      <c r="BB9" s="172">
        <f>SUM(F9,J9,N9,R9,V9,Z9,AD9,AH9,AL9,AP9,AT9,AX9)</f>
        <v/>
      </c>
      <c r="BC9" s="172">
        <f>SUM(G9,K9,O9,S9,W9,AA9,AE9,AI9,AM9,AQ9,AU9,AY9)</f>
        <v/>
      </c>
      <c r="BD9" s="172">
        <f>SUM(H9,L9,P9,T9,X9,AB9,AF9,AJ9,AN9,AR9,AV9,AZ9)</f>
        <v/>
      </c>
      <c r="BE9" s="172">
        <f>BB9-(BC9+BD9)</f>
        <v/>
      </c>
      <c r="BF9" s="172">
        <f>E9+BE9</f>
        <v/>
      </c>
      <c r="BG9" s="175" t="n">
        <v>0</v>
      </c>
    </row>
    <row r="10" ht="48" customHeight="1" s="251">
      <c r="A10" s="169" t="inlineStr">
        <is>
          <t>F8</t>
        </is>
      </c>
      <c r="B10" s="13" t="n"/>
      <c r="C10" s="13" t="inlineStr">
        <is>
          <t>Sujeet Kumar (Tenant)/Sreejith Menon (Owner)</t>
        </is>
      </c>
      <c r="D10" s="170" t="n">
        <v>0</v>
      </c>
      <c r="E10" s="175" t="n">
        <v>0</v>
      </c>
      <c r="F10" s="171">
        <f>'Apr2026-COLLECTION'!K9</f>
        <v/>
      </c>
      <c r="G10" s="172">
        <f>'Apr2026-EXPENSE'!R13</f>
        <v/>
      </c>
      <c r="H10" s="172" t="n"/>
      <c r="I10" s="172">
        <f>F10-(G10+H10)</f>
        <v/>
      </c>
      <c r="J10" s="173">
        <f>'May2026-COLLECTION'!K9</f>
        <v/>
      </c>
      <c r="K10" s="174">
        <f>'May2026-EXPENSE'!R13</f>
        <v/>
      </c>
      <c r="L10" s="174" t="n"/>
      <c r="M10" s="174">
        <f>J10-(K10+L10)</f>
        <v/>
      </c>
      <c r="N10" s="172">
        <f>'June2026-COLLECTION'!K9</f>
        <v/>
      </c>
      <c r="O10" s="172">
        <f>'June2026-EXPENSE'!R13</f>
        <v/>
      </c>
      <c r="P10" s="172" t="n"/>
      <c r="Q10" s="172">
        <f>N10-(O10+P10)</f>
        <v/>
      </c>
      <c r="R10" s="41">
        <f>'July2026-COLLECTION'!K9</f>
        <v/>
      </c>
      <c r="S10" s="174">
        <f>'July2026-EXPENSE'!R13</f>
        <v/>
      </c>
      <c r="T10" s="174" t="n"/>
      <c r="U10" s="174">
        <f>R10-(S10+T10)</f>
        <v/>
      </c>
      <c r="V10" s="167">
        <f>'Aug2026-COLLECTION'!K9</f>
        <v/>
      </c>
      <c r="W10" s="172">
        <f>'Aug2026-EXPENSE'!R13</f>
        <v/>
      </c>
      <c r="X10" s="172" t="n"/>
      <c r="Y10" s="172">
        <f>V10-(W10+X10)</f>
        <v/>
      </c>
      <c r="Z10" s="41">
        <f>'Sep2026-COLLECTION'!K9</f>
        <v/>
      </c>
      <c r="AA10" s="174">
        <f>'Sep2026-EXPENSE'!R13</f>
        <v/>
      </c>
      <c r="AB10" s="174" t="n"/>
      <c r="AC10" s="174">
        <f>Z10-(AA10+AB10)</f>
        <v/>
      </c>
      <c r="AD10" s="41">
        <f>'Oct2026-COLLECTION'!K9</f>
        <v/>
      </c>
      <c r="AE10" s="174">
        <f>'Oct2026-EXPENSE'!R13</f>
        <v/>
      </c>
      <c r="AF10" s="174" t="n"/>
      <c r="AG10" s="174">
        <f>AD10-(AE10+AF10)</f>
        <v/>
      </c>
      <c r="AH10" s="41">
        <f>'Nov2026-COLLECTION'!K9</f>
        <v/>
      </c>
      <c r="AI10" s="174">
        <f>'Nov2026-EXPENSE'!R13</f>
        <v/>
      </c>
      <c r="AJ10" s="174" t="n"/>
      <c r="AK10" s="174">
        <f>AH10-(AI10+AJ10)</f>
        <v/>
      </c>
      <c r="AL10" s="41">
        <f>'Dec2026-COLLECTION'!K9</f>
        <v/>
      </c>
      <c r="AM10" s="174">
        <f>'Dec2026-EXPENSE'!R13</f>
        <v/>
      </c>
      <c r="AN10" s="174" t="n"/>
      <c r="AO10" s="174">
        <f>AL10-(AM10+AN10)</f>
        <v/>
      </c>
      <c r="AP10" s="7">
        <f>'Jan2027-COLLECTION'!K9</f>
        <v/>
      </c>
      <c r="AQ10" s="10">
        <f>'Jan2027-EXPENSE'!R13</f>
        <v/>
      </c>
      <c r="AR10" s="10" t="n"/>
      <c r="AS10" s="174">
        <f>AP10-(AQ10+AR10)</f>
        <v/>
      </c>
      <c r="AT10" s="7">
        <f>'Feb2027-COLLECTION'!K9</f>
        <v/>
      </c>
      <c r="AU10" s="10">
        <f>'Feb2027-EXPENSE'!R13</f>
        <v/>
      </c>
      <c r="AV10" s="10" t="n"/>
      <c r="AW10" s="174">
        <f>AT10-(AU10+AV10)</f>
        <v/>
      </c>
      <c r="AX10" s="7">
        <f>'Mar2027-COLLECTION'!K9</f>
        <v/>
      </c>
      <c r="AY10" s="10">
        <f>'Mar2027-EXPENSE'!R13</f>
        <v/>
      </c>
      <c r="AZ10" s="10" t="n"/>
      <c r="BA10" s="174">
        <f>AX10-(AY10+AZ10)</f>
        <v/>
      </c>
      <c r="BB10" s="172">
        <f>SUM(F10,J10,N10,R10,V10,Z10,AD10,AH10,AL10,AP10,AT10,AX10)</f>
        <v/>
      </c>
      <c r="BC10" s="172">
        <f>SUM(G10,K10,O10,S10,W10,AA10,AE10,AI10,AM10,AQ10,AU10,AY10)</f>
        <v/>
      </c>
      <c r="BD10" s="172">
        <f>SUM(H10,L10,P10,T10,X10,AB10,AF10,AJ10,AN10,AR10,AV10,AZ10)</f>
        <v/>
      </c>
      <c r="BE10" s="172">
        <f>BB10-(BC10+BD10)</f>
        <v/>
      </c>
      <c r="BF10" s="172">
        <f>E10+BE10</f>
        <v/>
      </c>
      <c r="BG10" s="175" t="n">
        <v>0</v>
      </c>
    </row>
    <row r="11" ht="32" customHeight="1" s="251">
      <c r="A11" s="169" t="inlineStr">
        <is>
          <t>F9</t>
        </is>
      </c>
      <c r="B11" s="13" t="n"/>
      <c r="C11" s="13" t="inlineStr">
        <is>
          <t>Vijay Suswaram (Owner)  /   Divya Shikha (Tenant)</t>
        </is>
      </c>
      <c r="D11" s="170" t="n">
        <v>0</v>
      </c>
      <c r="E11" s="175" t="n">
        <v>0</v>
      </c>
      <c r="F11" s="171">
        <f>'Apr2026-COLLECTION'!K10</f>
        <v/>
      </c>
      <c r="G11" s="172">
        <f>'Apr2026-EXPENSE'!R14</f>
        <v/>
      </c>
      <c r="H11" s="172" t="n"/>
      <c r="I11" s="172">
        <f>F11-(G11+H11)</f>
        <v/>
      </c>
      <c r="J11" s="173">
        <f>'May2026-COLLECTION'!K10</f>
        <v/>
      </c>
      <c r="K11" s="174">
        <f>'May2026-EXPENSE'!R14</f>
        <v/>
      </c>
      <c r="L11" s="174" t="n"/>
      <c r="M11" s="174">
        <f>J11-(K11+L11)</f>
        <v/>
      </c>
      <c r="N11" s="172">
        <f>'June2026-COLLECTION'!K10</f>
        <v/>
      </c>
      <c r="O11" s="172">
        <f>'June2026-EXPENSE'!R14</f>
        <v/>
      </c>
      <c r="P11" s="172" t="n"/>
      <c r="Q11" s="172">
        <f>N11-(O11+P11)</f>
        <v/>
      </c>
      <c r="R11" s="41">
        <f>'July2026-COLLECTION'!K10</f>
        <v/>
      </c>
      <c r="S11" s="174">
        <f>'July2026-EXPENSE'!R14</f>
        <v/>
      </c>
      <c r="T11" s="174" t="n"/>
      <c r="U11" s="174">
        <f>R11-(S11+T11)</f>
        <v/>
      </c>
      <c r="V11" s="167">
        <f>'Aug2026-COLLECTION'!K10</f>
        <v/>
      </c>
      <c r="W11" s="172">
        <f>'Aug2026-EXPENSE'!R14</f>
        <v/>
      </c>
      <c r="X11" s="172" t="n"/>
      <c r="Y11" s="172">
        <f>V11-(W11+X11)</f>
        <v/>
      </c>
      <c r="Z11" s="41">
        <f>'Sep2026-COLLECTION'!K10</f>
        <v/>
      </c>
      <c r="AA11" s="174">
        <f>'Sep2026-EXPENSE'!R14</f>
        <v/>
      </c>
      <c r="AB11" s="174" t="n"/>
      <c r="AC11" s="174">
        <f>Z11-(AA11+AB11)</f>
        <v/>
      </c>
      <c r="AD11" s="41">
        <f>'Oct2026-COLLECTION'!K10</f>
        <v/>
      </c>
      <c r="AE11" s="174">
        <f>'Oct2026-EXPENSE'!R14</f>
        <v/>
      </c>
      <c r="AF11" s="174" t="n"/>
      <c r="AG11" s="174">
        <f>AD11-(AE11+AF11)</f>
        <v/>
      </c>
      <c r="AH11" s="41">
        <f>'Nov2026-COLLECTION'!K10</f>
        <v/>
      </c>
      <c r="AI11" s="174">
        <f>'Nov2026-EXPENSE'!R14</f>
        <v/>
      </c>
      <c r="AJ11" s="174" t="n"/>
      <c r="AK11" s="174">
        <f>AH11-(AI11+AJ11)</f>
        <v/>
      </c>
      <c r="AL11" s="41">
        <f>'Dec2026-COLLECTION'!K10</f>
        <v/>
      </c>
      <c r="AM11" s="174">
        <f>'Dec2026-EXPENSE'!R14</f>
        <v/>
      </c>
      <c r="AN11" s="174" t="n"/>
      <c r="AO11" s="174">
        <f>AL11-(AM11+AN11)</f>
        <v/>
      </c>
      <c r="AP11" s="7">
        <f>'Jan2027-COLLECTION'!K10</f>
        <v/>
      </c>
      <c r="AQ11" s="10">
        <f>'Jan2027-EXPENSE'!R14</f>
        <v/>
      </c>
      <c r="AR11" s="10" t="n"/>
      <c r="AS11" s="174">
        <f>AP11-(AQ11+AR11)</f>
        <v/>
      </c>
      <c r="AT11" s="7">
        <f>'Feb2027-COLLECTION'!K10</f>
        <v/>
      </c>
      <c r="AU11" s="10">
        <f>'Feb2027-EXPENSE'!R14</f>
        <v/>
      </c>
      <c r="AV11" s="10" t="n"/>
      <c r="AW11" s="174">
        <f>AT11-(AU11+AV11)</f>
        <v/>
      </c>
      <c r="AX11" s="7">
        <f>'Mar2027-COLLECTION'!K10</f>
        <v/>
      </c>
      <c r="AY11" s="10">
        <f>'Mar2027-EXPENSE'!R14</f>
        <v/>
      </c>
      <c r="AZ11" s="10" t="n"/>
      <c r="BA11" s="174">
        <f>AX11-(AY11+AZ11)</f>
        <v/>
      </c>
      <c r="BB11" s="172">
        <f>SUM(F11,J11,N11,R11,V11,Z11,AD11,AH11,AL11,AP11,AT11,AX11)</f>
        <v/>
      </c>
      <c r="BC11" s="172">
        <f>SUM(G11,K11,O11,S11,W11,AA11,AE11,AI11,AM11,AQ11,AU11,AY11)</f>
        <v/>
      </c>
      <c r="BD11" s="172">
        <f>SUM(H11,L11,P11,T11,X11,AB11,AF11,AJ11,AN11,AR11,AV11,AZ11)</f>
        <v/>
      </c>
      <c r="BE11" s="172">
        <f>BB11-(BC11+BD11)</f>
        <v/>
      </c>
      <c r="BF11" s="172">
        <f>E11+BE11</f>
        <v/>
      </c>
      <c r="BG11" s="175" t="n">
        <v>0</v>
      </c>
    </row>
    <row r="12" ht="16" customHeight="1" s="251">
      <c r="A12" s="169" t="inlineStr">
        <is>
          <t>F10</t>
        </is>
      </c>
      <c r="B12" s="13" t="n"/>
      <c r="C12" s="13" t="inlineStr">
        <is>
          <t>Aby Thomas</t>
        </is>
      </c>
      <c r="D12" s="170" t="n">
        <v>0</v>
      </c>
      <c r="E12" s="175" t="n">
        <v>0</v>
      </c>
      <c r="F12" s="171">
        <f>'Apr2026-COLLECTION'!K11</f>
        <v/>
      </c>
      <c r="G12" s="172">
        <f>'Apr2026-EXPENSE'!R15</f>
        <v/>
      </c>
      <c r="H12" s="172" t="n"/>
      <c r="I12" s="172">
        <f>F12-(G12+H12)</f>
        <v/>
      </c>
      <c r="J12" s="173">
        <f>'May2026-COLLECTION'!K11</f>
        <v/>
      </c>
      <c r="K12" s="174">
        <f>'May2026-EXPENSE'!R15</f>
        <v/>
      </c>
      <c r="L12" s="174" t="n"/>
      <c r="M12" s="174">
        <f>J12-(K12+L12)</f>
        <v/>
      </c>
      <c r="N12" s="172">
        <f>'June2026-COLLECTION'!K11</f>
        <v/>
      </c>
      <c r="O12" s="172">
        <f>'June2026-EXPENSE'!R15</f>
        <v/>
      </c>
      <c r="P12" s="172" t="n"/>
      <c r="Q12" s="172">
        <f>N12-(O12+P12)</f>
        <v/>
      </c>
      <c r="R12" s="41">
        <f>'July2026-COLLECTION'!K11</f>
        <v/>
      </c>
      <c r="S12" s="174">
        <f>'July2026-EXPENSE'!R15</f>
        <v/>
      </c>
      <c r="T12" s="174" t="n"/>
      <c r="U12" s="174">
        <f>R12-(S12+T12)</f>
        <v/>
      </c>
      <c r="V12" s="167">
        <f>'Aug2026-COLLECTION'!K11</f>
        <v/>
      </c>
      <c r="W12" s="172">
        <f>'Aug2026-EXPENSE'!R15</f>
        <v/>
      </c>
      <c r="X12" s="172" t="n"/>
      <c r="Y12" s="172">
        <f>V12-(W12+X12)</f>
        <v/>
      </c>
      <c r="Z12" s="41">
        <f>'Sep2026-COLLECTION'!K11</f>
        <v/>
      </c>
      <c r="AA12" s="174">
        <f>'Sep2026-EXPENSE'!R15</f>
        <v/>
      </c>
      <c r="AB12" s="174" t="n"/>
      <c r="AC12" s="174">
        <f>Z12-(AA12+AB12)</f>
        <v/>
      </c>
      <c r="AD12" s="41">
        <f>'Oct2026-COLLECTION'!K11</f>
        <v/>
      </c>
      <c r="AE12" s="174">
        <f>'Oct2026-EXPENSE'!R15</f>
        <v/>
      </c>
      <c r="AF12" s="174" t="n"/>
      <c r="AG12" s="174">
        <f>AD12-(AE12+AF12)</f>
        <v/>
      </c>
      <c r="AH12" s="41">
        <f>'Nov2026-COLLECTION'!K11</f>
        <v/>
      </c>
      <c r="AI12" s="174">
        <f>'Nov2026-EXPENSE'!R15</f>
        <v/>
      </c>
      <c r="AJ12" s="174" t="n"/>
      <c r="AK12" s="174">
        <f>AH12-(AI12+AJ12)</f>
        <v/>
      </c>
      <c r="AL12" s="41">
        <f>'Dec2026-COLLECTION'!K11</f>
        <v/>
      </c>
      <c r="AM12" s="174">
        <f>'Dec2026-EXPENSE'!R15</f>
        <v/>
      </c>
      <c r="AN12" s="174" t="n"/>
      <c r="AO12" s="174">
        <f>AL12-(AM12+AN12)</f>
        <v/>
      </c>
      <c r="AP12" s="7">
        <f>'Jan2027-COLLECTION'!K11</f>
        <v/>
      </c>
      <c r="AQ12" s="10">
        <f>'Jan2027-EXPENSE'!R15</f>
        <v/>
      </c>
      <c r="AR12" s="10" t="n"/>
      <c r="AS12" s="174">
        <f>AP12-(AQ12+AR12)</f>
        <v/>
      </c>
      <c r="AT12" s="7">
        <f>'Feb2027-COLLECTION'!K11</f>
        <v/>
      </c>
      <c r="AU12" s="10">
        <f>'Feb2027-EXPENSE'!R15</f>
        <v/>
      </c>
      <c r="AV12" s="10" t="n"/>
      <c r="AW12" s="174">
        <f>AT12-(AU12+AV12)</f>
        <v/>
      </c>
      <c r="AX12" s="7">
        <f>'Mar2027-COLLECTION'!K11</f>
        <v/>
      </c>
      <c r="AY12" s="10">
        <f>'Mar2027-EXPENSE'!R15</f>
        <v/>
      </c>
      <c r="AZ12" s="10" t="n"/>
      <c r="BA12" s="174">
        <f>AX12-(AY12+AZ12)</f>
        <v/>
      </c>
      <c r="BB12" s="172">
        <f>SUM(F12,J12,N12,R12,V12,Z12,AD12,AH12,AL12,AP12,AT12,AX12)</f>
        <v/>
      </c>
      <c r="BC12" s="172">
        <f>SUM(G12,K12,O12,S12,W12,AA12,AE12,AI12,AM12,AQ12,AU12,AY12)</f>
        <v/>
      </c>
      <c r="BD12" s="172">
        <f>SUM(H12,L12,P12,T12,X12,AB12,AF12,AJ12,AN12,AR12,AV12,AZ12)</f>
        <v/>
      </c>
      <c r="BE12" s="172">
        <f>BB12-(BC12+BD12)</f>
        <v/>
      </c>
      <c r="BF12" s="172">
        <f>E12+BE12</f>
        <v/>
      </c>
      <c r="BG12" s="175" t="n">
        <v>0</v>
      </c>
    </row>
    <row r="13" ht="16" customHeight="1" s="251">
      <c r="A13" s="169" t="inlineStr">
        <is>
          <t>F11</t>
        </is>
      </c>
      <c r="B13" s="13" t="n"/>
      <c r="C13" s="13" t="inlineStr">
        <is>
          <t>Niwin Anto</t>
        </is>
      </c>
      <c r="D13" s="170" t="n">
        <v>0</v>
      </c>
      <c r="E13" s="175" t="n">
        <v>0</v>
      </c>
      <c r="F13" s="171">
        <f>'Apr2026-COLLECTION'!K12</f>
        <v/>
      </c>
      <c r="G13" s="172">
        <f>'Apr2026-EXPENSE'!R16</f>
        <v/>
      </c>
      <c r="H13" s="172" t="n"/>
      <c r="I13" s="172">
        <f>F13-(G13+H13)</f>
        <v/>
      </c>
      <c r="J13" s="173">
        <f>'May2026-COLLECTION'!K12</f>
        <v/>
      </c>
      <c r="K13" s="174">
        <f>'May2026-EXPENSE'!R16</f>
        <v/>
      </c>
      <c r="L13" s="174" t="n"/>
      <c r="M13" s="174">
        <f>J13-(K13+L13)</f>
        <v/>
      </c>
      <c r="N13" s="172">
        <f>'June2026-COLLECTION'!K12</f>
        <v/>
      </c>
      <c r="O13" s="172">
        <f>'June2026-EXPENSE'!R16</f>
        <v/>
      </c>
      <c r="P13" s="172" t="n"/>
      <c r="Q13" s="172">
        <f>N13-(O13+P13)</f>
        <v/>
      </c>
      <c r="R13" s="41">
        <f>'July2026-COLLECTION'!K12</f>
        <v/>
      </c>
      <c r="S13" s="174">
        <f>'July2026-EXPENSE'!R16</f>
        <v/>
      </c>
      <c r="T13" s="174" t="n"/>
      <c r="U13" s="174">
        <f>R13-(S13+T13)</f>
        <v/>
      </c>
      <c r="V13" s="167">
        <f>'Aug2026-COLLECTION'!K12</f>
        <v/>
      </c>
      <c r="W13" s="172">
        <f>'Aug2026-EXPENSE'!R16</f>
        <v/>
      </c>
      <c r="X13" s="172" t="n"/>
      <c r="Y13" s="172">
        <f>V13-(W13+X13)</f>
        <v/>
      </c>
      <c r="Z13" s="41">
        <f>'Sep2026-COLLECTION'!K12</f>
        <v/>
      </c>
      <c r="AA13" s="174">
        <f>'Sep2026-EXPENSE'!R16</f>
        <v/>
      </c>
      <c r="AB13" s="174" t="n"/>
      <c r="AC13" s="174">
        <f>Z13-(AA13+AB13)</f>
        <v/>
      </c>
      <c r="AD13" s="41">
        <f>'Oct2026-COLLECTION'!K12</f>
        <v/>
      </c>
      <c r="AE13" s="174">
        <f>'Oct2026-EXPENSE'!R16</f>
        <v/>
      </c>
      <c r="AF13" s="174" t="n"/>
      <c r="AG13" s="174">
        <f>AD13-(AE13+AF13)</f>
        <v/>
      </c>
      <c r="AH13" s="41">
        <f>'Nov2026-COLLECTION'!K12</f>
        <v/>
      </c>
      <c r="AI13" s="174">
        <f>'Nov2026-EXPENSE'!R16</f>
        <v/>
      </c>
      <c r="AJ13" s="174" t="n"/>
      <c r="AK13" s="174">
        <f>AH13-(AI13+AJ13)</f>
        <v/>
      </c>
      <c r="AL13" s="41">
        <f>'Dec2026-COLLECTION'!K12</f>
        <v/>
      </c>
      <c r="AM13" s="174">
        <f>'Dec2026-EXPENSE'!R16</f>
        <v/>
      </c>
      <c r="AN13" s="174" t="n"/>
      <c r="AO13" s="174">
        <f>AL13-(AM13+AN13)</f>
        <v/>
      </c>
      <c r="AP13" s="7">
        <f>'Jan2027-COLLECTION'!K12</f>
        <v/>
      </c>
      <c r="AQ13" s="10">
        <f>'Jan2027-EXPENSE'!R16</f>
        <v/>
      </c>
      <c r="AR13" s="10" t="n"/>
      <c r="AS13" s="174">
        <f>AP13-(AQ13+AR13)</f>
        <v/>
      </c>
      <c r="AT13" s="7">
        <f>'Feb2027-COLLECTION'!K12</f>
        <v/>
      </c>
      <c r="AU13" s="10">
        <f>'Feb2027-EXPENSE'!R16</f>
        <v/>
      </c>
      <c r="AV13" s="10" t="n"/>
      <c r="AW13" s="174">
        <f>AT13-(AU13+AV13)</f>
        <v/>
      </c>
      <c r="AX13" s="7">
        <f>'Mar2027-COLLECTION'!K12</f>
        <v/>
      </c>
      <c r="AY13" s="10">
        <f>'Mar2027-EXPENSE'!R16</f>
        <v/>
      </c>
      <c r="AZ13" s="10" t="n"/>
      <c r="BA13" s="174">
        <f>AX13-(AY13+AZ13)</f>
        <v/>
      </c>
      <c r="BB13" s="172">
        <f>SUM(F13,J13,N13,R13,V13,Z13,AD13,AH13,AL13,AP13,AT13,AX13)</f>
        <v/>
      </c>
      <c r="BC13" s="172">
        <f>SUM(G13,K13,O13,S13,W13,AA13,AE13,AI13,AM13,AQ13,AU13,AY13)</f>
        <v/>
      </c>
      <c r="BD13" s="172">
        <f>SUM(H13,L13,P13,T13,X13,AB13,AF13,AJ13,AN13,AR13,AV13,AZ13)</f>
        <v/>
      </c>
      <c r="BE13" s="172">
        <f>BB13-(BC13+BD13)</f>
        <v/>
      </c>
      <c r="BF13" s="172">
        <f>E13+BE13</f>
        <v/>
      </c>
      <c r="BG13" s="175" t="n">
        <v>0</v>
      </c>
    </row>
    <row r="14" ht="16" customHeight="1" s="251">
      <c r="A14" s="169" t="inlineStr">
        <is>
          <t>F12</t>
        </is>
      </c>
      <c r="B14" s="13" t="n"/>
      <c r="C14" s="13" t="inlineStr">
        <is>
          <t>Anirudh Singh</t>
        </is>
      </c>
      <c r="D14" s="170" t="n">
        <v>0</v>
      </c>
      <c r="E14" s="175" t="n">
        <v>0</v>
      </c>
      <c r="F14" s="171">
        <f>'Apr2026-COLLECTION'!K13</f>
        <v/>
      </c>
      <c r="G14" s="172">
        <f>'Apr2026-EXPENSE'!R17</f>
        <v/>
      </c>
      <c r="H14" s="172" t="n"/>
      <c r="I14" s="172">
        <f>F14-(G14+H14)</f>
        <v/>
      </c>
      <c r="J14" s="173">
        <f>'May2026-COLLECTION'!K13</f>
        <v/>
      </c>
      <c r="K14" s="174">
        <f>'May2026-EXPENSE'!R17</f>
        <v/>
      </c>
      <c r="L14" s="174" t="n"/>
      <c r="M14" s="174">
        <f>J14-(K14+L14)</f>
        <v/>
      </c>
      <c r="N14" s="172">
        <f>'June2026-COLLECTION'!K13</f>
        <v/>
      </c>
      <c r="O14" s="172">
        <f>'June2026-EXPENSE'!R17</f>
        <v/>
      </c>
      <c r="P14" s="172" t="n"/>
      <c r="Q14" s="172">
        <f>N14-(O14+P14)</f>
        <v/>
      </c>
      <c r="R14" s="41">
        <f>'July2026-COLLECTION'!K13</f>
        <v/>
      </c>
      <c r="S14" s="174">
        <f>'July2026-EXPENSE'!R17</f>
        <v/>
      </c>
      <c r="T14" s="174" t="n"/>
      <c r="U14" s="174">
        <f>R14-(S14+T14)</f>
        <v/>
      </c>
      <c r="V14" s="167">
        <f>'Aug2026-COLLECTION'!K13</f>
        <v/>
      </c>
      <c r="W14" s="172">
        <f>'Aug2026-EXPENSE'!R17</f>
        <v/>
      </c>
      <c r="X14" s="172" t="n"/>
      <c r="Y14" s="172">
        <f>V14-(W14+X14)</f>
        <v/>
      </c>
      <c r="Z14" s="41">
        <f>'Sep2026-COLLECTION'!K13</f>
        <v/>
      </c>
      <c r="AA14" s="174">
        <f>'Sep2026-EXPENSE'!R17</f>
        <v/>
      </c>
      <c r="AB14" s="174" t="n"/>
      <c r="AC14" s="174">
        <f>Z14-(AA14+AB14)</f>
        <v/>
      </c>
      <c r="AD14" s="41">
        <f>'Oct2026-COLLECTION'!K13</f>
        <v/>
      </c>
      <c r="AE14" s="174">
        <f>'Oct2026-EXPENSE'!R17</f>
        <v/>
      </c>
      <c r="AF14" s="174" t="n"/>
      <c r="AG14" s="174">
        <f>AD14-(AE14+AF14)</f>
        <v/>
      </c>
      <c r="AH14" s="41">
        <f>'Nov2026-COLLECTION'!K13</f>
        <v/>
      </c>
      <c r="AI14" s="174">
        <f>'Nov2026-EXPENSE'!R17</f>
        <v/>
      </c>
      <c r="AJ14" s="174" t="n"/>
      <c r="AK14" s="174">
        <f>AH14-(AI14+AJ14)</f>
        <v/>
      </c>
      <c r="AL14" s="41">
        <f>'Dec2026-COLLECTION'!K13</f>
        <v/>
      </c>
      <c r="AM14" s="174">
        <f>'Dec2026-EXPENSE'!R17</f>
        <v/>
      </c>
      <c r="AN14" s="174" t="n"/>
      <c r="AO14" s="174">
        <f>AL14-(AM14+AN14)</f>
        <v/>
      </c>
      <c r="AP14" s="7">
        <f>'Jan2027-COLLECTION'!K13</f>
        <v/>
      </c>
      <c r="AQ14" s="10">
        <f>'Jan2027-EXPENSE'!R17</f>
        <v/>
      </c>
      <c r="AR14" s="10" t="n"/>
      <c r="AS14" s="174">
        <f>AP14-(AQ14+AR14)</f>
        <v/>
      </c>
      <c r="AT14" s="7">
        <f>'Feb2027-COLLECTION'!K13</f>
        <v/>
      </c>
      <c r="AU14" s="10">
        <f>'Feb2027-EXPENSE'!R17</f>
        <v/>
      </c>
      <c r="AV14" s="10" t="n"/>
      <c r="AW14" s="174">
        <f>AT14-(AU14+AV14)</f>
        <v/>
      </c>
      <c r="AX14" s="7">
        <f>'Mar2027-COLLECTION'!K13</f>
        <v/>
      </c>
      <c r="AY14" s="10">
        <f>'Mar2027-EXPENSE'!R17</f>
        <v/>
      </c>
      <c r="AZ14" s="10" t="n"/>
      <c r="BA14" s="174">
        <f>AX14-(AY14+AZ14)</f>
        <v/>
      </c>
      <c r="BB14" s="172">
        <f>SUM(F14,J14,N14,R14,V14,Z14,AD14,AH14,AL14,AP14,AT14,AX14)</f>
        <v/>
      </c>
      <c r="BC14" s="172">
        <f>SUM(G14,K14,O14,S14,W14,AA14,AE14,AI14,AM14,AQ14,AU14,AY14)</f>
        <v/>
      </c>
      <c r="BD14" s="172">
        <f>SUM(H14,L14,P14,T14,X14,AB14,AF14,AJ14,AN14,AR14,AV14,AZ14)</f>
        <v/>
      </c>
      <c r="BE14" s="172">
        <f>BB14-(BC14+BD14)</f>
        <v/>
      </c>
      <c r="BF14" s="172">
        <f>E14+BE14</f>
        <v/>
      </c>
      <c r="BG14" s="175" t="n">
        <v>0</v>
      </c>
    </row>
    <row r="15" ht="16" customHeight="1" s="251">
      <c r="A15" s="169" t="inlineStr">
        <is>
          <t>F13</t>
        </is>
      </c>
      <c r="B15" s="13" t="n"/>
      <c r="C15" s="13" t="inlineStr">
        <is>
          <t>Sanchay Saxena</t>
        </is>
      </c>
      <c r="D15" s="170" t="n">
        <v>0</v>
      </c>
      <c r="E15" s="175" t="n">
        <v>0</v>
      </c>
      <c r="F15" s="171">
        <f>'Apr2026-COLLECTION'!K14</f>
        <v/>
      </c>
      <c r="G15" s="172">
        <f>'Apr2026-EXPENSE'!R18</f>
        <v/>
      </c>
      <c r="H15" s="172" t="n"/>
      <c r="I15" s="172">
        <f>F15-(G15+H15)</f>
        <v/>
      </c>
      <c r="J15" s="173">
        <f>'May2026-COLLECTION'!K14</f>
        <v/>
      </c>
      <c r="K15" s="174">
        <f>'May2026-EXPENSE'!R18</f>
        <v/>
      </c>
      <c r="L15" s="174" t="n">
        <v>0</v>
      </c>
      <c r="M15" s="174">
        <f>J15-(K15+L15)</f>
        <v/>
      </c>
      <c r="N15" s="172">
        <f>'June2026-COLLECTION'!K14</f>
        <v/>
      </c>
      <c r="O15" s="172">
        <f>'June2026-EXPENSE'!R18</f>
        <v/>
      </c>
      <c r="P15" s="172" t="n"/>
      <c r="Q15" s="172">
        <f>N15-(O15+P15)</f>
        <v/>
      </c>
      <c r="R15" s="41">
        <f>'July2026-COLLECTION'!K14</f>
        <v/>
      </c>
      <c r="S15" s="174">
        <f>'July2026-EXPENSE'!R18</f>
        <v/>
      </c>
      <c r="T15" s="174" t="n"/>
      <c r="U15" s="174">
        <f>R15-(S15+T15)</f>
        <v/>
      </c>
      <c r="V15" s="167">
        <f>'Aug2026-COLLECTION'!K14</f>
        <v/>
      </c>
      <c r="W15" s="172">
        <f>'Aug2026-EXPENSE'!R18</f>
        <v/>
      </c>
      <c r="X15" s="172" t="n"/>
      <c r="Y15" s="172">
        <f>V15-(W15+X15)</f>
        <v/>
      </c>
      <c r="Z15" s="41">
        <f>'Sep2026-COLLECTION'!K14</f>
        <v/>
      </c>
      <c r="AA15" s="174">
        <f>'Sep2026-EXPENSE'!R18</f>
        <v/>
      </c>
      <c r="AB15" s="174" t="n"/>
      <c r="AC15" s="174">
        <f>Z15-(AA15+AB15)</f>
        <v/>
      </c>
      <c r="AD15" s="41">
        <f>'Oct2026-COLLECTION'!K14</f>
        <v/>
      </c>
      <c r="AE15" s="174">
        <f>'Oct2026-EXPENSE'!R18</f>
        <v/>
      </c>
      <c r="AF15" s="174" t="n"/>
      <c r="AG15" s="174">
        <f>AD15-(AE15+AF15)</f>
        <v/>
      </c>
      <c r="AH15" s="41">
        <f>'Nov2026-COLLECTION'!K14</f>
        <v/>
      </c>
      <c r="AI15" s="174">
        <f>'Nov2026-EXPENSE'!R18</f>
        <v/>
      </c>
      <c r="AJ15" s="174" t="n"/>
      <c r="AK15" s="174">
        <f>AH15-(AI15+AJ15)</f>
        <v/>
      </c>
      <c r="AL15" s="41">
        <f>'Dec2026-COLLECTION'!K14</f>
        <v/>
      </c>
      <c r="AM15" s="174">
        <f>'Dec2026-EXPENSE'!R18</f>
        <v/>
      </c>
      <c r="AN15" s="174" t="n"/>
      <c r="AO15" s="174">
        <f>AL15-(AM15+AN15)</f>
        <v/>
      </c>
      <c r="AP15" s="7">
        <f>'Jan2027-COLLECTION'!K14</f>
        <v/>
      </c>
      <c r="AQ15" s="10">
        <f>'Jan2027-EXPENSE'!R18</f>
        <v/>
      </c>
      <c r="AR15" s="10" t="n"/>
      <c r="AS15" s="174">
        <f>AP15-(AQ15+AR15)</f>
        <v/>
      </c>
      <c r="AT15" s="7">
        <f>'Feb2027-COLLECTION'!K14</f>
        <v/>
      </c>
      <c r="AU15" s="10">
        <f>'Feb2027-EXPENSE'!R18</f>
        <v/>
      </c>
      <c r="AV15" s="10" t="n"/>
      <c r="AW15" s="174">
        <f>AT15-(AU15+AV15)</f>
        <v/>
      </c>
      <c r="AX15" s="7">
        <f>'Mar2027-COLLECTION'!K14</f>
        <v/>
      </c>
      <c r="AY15" s="10">
        <f>'Mar2027-EXPENSE'!R18</f>
        <v/>
      </c>
      <c r="AZ15" s="10" t="n"/>
      <c r="BA15" s="174">
        <f>AX15-(AY15+AZ15)</f>
        <v/>
      </c>
      <c r="BB15" s="172">
        <f>SUM(F15,J15,N15,R15,V15,Z15,AD15,AH15,AL15,AP15,AT15,AX15)</f>
        <v/>
      </c>
      <c r="BC15" s="172">
        <f>SUM(G15,K15,O15,S15,W15,AA15,AE15,AI15,AM15,AQ15,AU15,AY15)</f>
        <v/>
      </c>
      <c r="BD15" s="172">
        <f>SUM(H15,L15,P15,T15,X15,AB15,AF15,AJ15,AN15,AR15,AV15,AZ15)</f>
        <v/>
      </c>
      <c r="BE15" s="172">
        <f>BB15-(BC15+BD15)</f>
        <v/>
      </c>
      <c r="BF15" s="172">
        <f>E15+BE15</f>
        <v/>
      </c>
      <c r="BG15" s="175" t="n">
        <v>0</v>
      </c>
    </row>
    <row r="16" ht="16" customHeight="1" s="251">
      <c r="A16" s="169" t="inlineStr">
        <is>
          <t>F14</t>
        </is>
      </c>
      <c r="B16" s="13" t="n"/>
      <c r="C16" s="13" t="inlineStr">
        <is>
          <t>Hemant Patel</t>
        </is>
      </c>
      <c r="D16" s="170" t="n">
        <v>0</v>
      </c>
      <c r="E16" s="175" t="n">
        <v>0</v>
      </c>
      <c r="F16" s="171">
        <f>'Apr2026-COLLECTION'!K15</f>
        <v/>
      </c>
      <c r="G16" s="172">
        <f>'Apr2026-EXPENSE'!R19</f>
        <v/>
      </c>
      <c r="H16" s="172" t="n"/>
      <c r="I16" s="172">
        <f>F16-(G16+H16)</f>
        <v/>
      </c>
      <c r="J16" s="173">
        <f>'May2026-COLLECTION'!K15</f>
        <v/>
      </c>
      <c r="K16" s="174">
        <f>'May2026-EXPENSE'!R19</f>
        <v/>
      </c>
      <c r="L16" s="174" t="n"/>
      <c r="M16" s="174">
        <f>J16-(K16+L16)</f>
        <v/>
      </c>
      <c r="N16" s="172">
        <f>'June2026-COLLECTION'!K15</f>
        <v/>
      </c>
      <c r="O16" s="172">
        <f>'June2026-EXPENSE'!R19</f>
        <v/>
      </c>
      <c r="P16" s="172" t="n"/>
      <c r="Q16" s="172">
        <f>N16-(O16+P16)</f>
        <v/>
      </c>
      <c r="R16" s="41">
        <f>'July2026-COLLECTION'!K15</f>
        <v/>
      </c>
      <c r="S16" s="174">
        <f>'July2026-EXPENSE'!R19</f>
        <v/>
      </c>
      <c r="T16" s="174" t="n"/>
      <c r="U16" s="174">
        <f>R16-(S16+T16)</f>
        <v/>
      </c>
      <c r="V16" s="167">
        <f>'Aug2026-COLLECTION'!K15</f>
        <v/>
      </c>
      <c r="W16" s="172">
        <f>'Aug2026-EXPENSE'!R19</f>
        <v/>
      </c>
      <c r="X16" s="172" t="n"/>
      <c r="Y16" s="172">
        <f>V16-(W16+X16)</f>
        <v/>
      </c>
      <c r="Z16" s="41">
        <f>'Sep2026-COLLECTION'!K15</f>
        <v/>
      </c>
      <c r="AA16" s="174">
        <f>'Sep2026-EXPENSE'!R19</f>
        <v/>
      </c>
      <c r="AB16" s="174" t="n"/>
      <c r="AC16" s="174">
        <f>Z16-(AA16+AB16)</f>
        <v/>
      </c>
      <c r="AD16" s="41">
        <f>'Oct2026-COLLECTION'!K15</f>
        <v/>
      </c>
      <c r="AE16" s="174">
        <f>'Oct2026-EXPENSE'!R19</f>
        <v/>
      </c>
      <c r="AF16" s="174" t="n"/>
      <c r="AG16" s="174">
        <f>AD16-(AE16+AF16)</f>
        <v/>
      </c>
      <c r="AH16" s="41">
        <f>'Nov2026-COLLECTION'!K15</f>
        <v/>
      </c>
      <c r="AI16" s="174">
        <f>'Nov2026-EXPENSE'!R19</f>
        <v/>
      </c>
      <c r="AJ16" s="174" t="n"/>
      <c r="AK16" s="174">
        <f>AH16-(AI16+AJ16)</f>
        <v/>
      </c>
      <c r="AL16" s="41">
        <f>'Dec2026-COLLECTION'!K15</f>
        <v/>
      </c>
      <c r="AM16" s="174">
        <f>'Dec2026-EXPENSE'!R19</f>
        <v/>
      </c>
      <c r="AN16" s="174" t="n"/>
      <c r="AO16" s="174">
        <f>AL16-(AM16+AN16)</f>
        <v/>
      </c>
      <c r="AP16" s="7">
        <f>'Jan2027-COLLECTION'!K15</f>
        <v/>
      </c>
      <c r="AQ16" s="10">
        <f>'Jan2027-EXPENSE'!R19</f>
        <v/>
      </c>
      <c r="AR16" s="10" t="n"/>
      <c r="AS16" s="174">
        <f>AP16-(AQ16+AR16)</f>
        <v/>
      </c>
      <c r="AT16" s="7">
        <f>'Feb2027-COLLECTION'!K15</f>
        <v/>
      </c>
      <c r="AU16" s="10">
        <f>'Feb2027-EXPENSE'!R19</f>
        <v/>
      </c>
      <c r="AV16" s="10" t="n"/>
      <c r="AW16" s="174">
        <f>AT16-(AU16+AV16)</f>
        <v/>
      </c>
      <c r="AX16" s="7">
        <f>'Mar2027-COLLECTION'!K15</f>
        <v/>
      </c>
      <c r="AY16" s="10">
        <f>'Mar2027-EXPENSE'!R19</f>
        <v/>
      </c>
      <c r="AZ16" s="10" t="n"/>
      <c r="BA16" s="174">
        <f>AX16-(AY16+AZ16)</f>
        <v/>
      </c>
      <c r="BB16" s="172">
        <f>SUM(F16,J16,N16,R16,V16,Z16,AD16,AH16,AL16,AP16,AT16,AX16)</f>
        <v/>
      </c>
      <c r="BC16" s="172">
        <f>SUM(G16,K16,O16,S16,W16,AA16,AE16,AI16,AM16,AQ16,AU16,AY16)</f>
        <v/>
      </c>
      <c r="BD16" s="172">
        <f>SUM(H16,L16,P16,T16,X16,AB16,AF16,AJ16,AN16,AR16,AV16,AZ16)</f>
        <v/>
      </c>
      <c r="BE16" s="172">
        <f>BB16-(BC16+BD16)</f>
        <v/>
      </c>
      <c r="BF16" s="172">
        <f>E16+BE16</f>
        <v/>
      </c>
      <c r="BG16" s="175" t="n">
        <v>0</v>
      </c>
    </row>
    <row r="17" ht="16" customHeight="1" s="251">
      <c r="A17" s="169" t="inlineStr">
        <is>
          <t>F15</t>
        </is>
      </c>
      <c r="B17" s="13" t="n"/>
      <c r="C17" s="13" t="inlineStr">
        <is>
          <t>Senthil.Vijayaragavan</t>
        </is>
      </c>
      <c r="D17" s="170" t="n">
        <v>0</v>
      </c>
      <c r="E17" s="175" t="n">
        <v>0</v>
      </c>
      <c r="F17" s="171">
        <f>'Apr2026-COLLECTION'!K16</f>
        <v/>
      </c>
      <c r="G17" s="172">
        <f>'Apr2026-EXPENSE'!R20</f>
        <v/>
      </c>
      <c r="H17" s="172" t="n"/>
      <c r="I17" s="172">
        <f>F17-(G17+H17)</f>
        <v/>
      </c>
      <c r="J17" s="173">
        <f>'May2026-COLLECTION'!K16</f>
        <v/>
      </c>
      <c r="K17" s="174">
        <f>'May2026-EXPENSE'!R20</f>
        <v/>
      </c>
      <c r="L17" s="174" t="n"/>
      <c r="M17" s="174">
        <f>J17-(K17+L17)</f>
        <v/>
      </c>
      <c r="N17" s="172">
        <f>'June2026-COLLECTION'!K16</f>
        <v/>
      </c>
      <c r="O17" s="172">
        <f>'June2026-EXPENSE'!R20</f>
        <v/>
      </c>
      <c r="P17" s="172" t="n"/>
      <c r="Q17" s="172">
        <f>N17-(O17+P17)</f>
        <v/>
      </c>
      <c r="R17" s="41">
        <f>'July2026-COLLECTION'!K16</f>
        <v/>
      </c>
      <c r="S17" s="174">
        <f>'July2026-EXPENSE'!R20</f>
        <v/>
      </c>
      <c r="T17" s="174" t="n"/>
      <c r="U17" s="174">
        <f>R17-(S17+T17)</f>
        <v/>
      </c>
      <c r="V17" s="167">
        <f>'Aug2026-COLLECTION'!K16</f>
        <v/>
      </c>
      <c r="W17" s="172">
        <f>'Aug2026-EXPENSE'!R20</f>
        <v/>
      </c>
      <c r="X17" s="172" t="n"/>
      <c r="Y17" s="172">
        <f>V17-(W17+X17)</f>
        <v/>
      </c>
      <c r="Z17" s="41">
        <f>'Sep2026-COLLECTION'!K16</f>
        <v/>
      </c>
      <c r="AA17" s="174">
        <f>'Sep2026-EXPENSE'!R20</f>
        <v/>
      </c>
      <c r="AB17" s="174" t="n"/>
      <c r="AC17" s="174">
        <f>Z17-(AA17+AB17)</f>
        <v/>
      </c>
      <c r="AD17" s="41">
        <f>'Oct2026-COLLECTION'!K16</f>
        <v/>
      </c>
      <c r="AE17" s="174">
        <f>'Oct2026-EXPENSE'!R20</f>
        <v/>
      </c>
      <c r="AF17" s="174" t="n"/>
      <c r="AG17" s="174">
        <f>AD17-(AE17+AF17)</f>
        <v/>
      </c>
      <c r="AH17" s="41">
        <f>'Nov2026-COLLECTION'!K16</f>
        <v/>
      </c>
      <c r="AI17" s="174">
        <f>'Nov2026-EXPENSE'!R20</f>
        <v/>
      </c>
      <c r="AJ17" s="174" t="n"/>
      <c r="AK17" s="174">
        <f>AH17-(AI17+AJ17)</f>
        <v/>
      </c>
      <c r="AL17" s="41">
        <f>'Dec2026-COLLECTION'!K16</f>
        <v/>
      </c>
      <c r="AM17" s="174">
        <f>'Dec2026-EXPENSE'!R20</f>
        <v/>
      </c>
      <c r="AN17" s="174" t="n"/>
      <c r="AO17" s="174">
        <f>AL17-(AM17+AN17)</f>
        <v/>
      </c>
      <c r="AP17" s="7">
        <f>'Jan2027-COLLECTION'!K16</f>
        <v/>
      </c>
      <c r="AQ17" s="10">
        <f>'Jan2027-EXPENSE'!R20</f>
        <v/>
      </c>
      <c r="AR17" s="10" t="n"/>
      <c r="AS17" s="174">
        <f>AP17-(AQ17+AR17)</f>
        <v/>
      </c>
      <c r="AT17" s="7">
        <f>'Feb2027-COLLECTION'!K16</f>
        <v/>
      </c>
      <c r="AU17" s="10">
        <f>'Feb2027-EXPENSE'!R20</f>
        <v/>
      </c>
      <c r="AV17" s="10" t="n"/>
      <c r="AW17" s="174">
        <f>AT17-(AU17+AV17)</f>
        <v/>
      </c>
      <c r="AX17" s="7">
        <f>'Mar2027-COLLECTION'!K16</f>
        <v/>
      </c>
      <c r="AY17" s="10">
        <f>'Mar2027-EXPENSE'!R20</f>
        <v/>
      </c>
      <c r="AZ17" s="10" t="n"/>
      <c r="BA17" s="174">
        <f>AX17-(AY17+AZ17)</f>
        <v/>
      </c>
      <c r="BB17" s="172">
        <f>SUM(F17,J17,N17,R17,V17,Z17,AD17,AH17,AL17,AP17,AT17,AX17)</f>
        <v/>
      </c>
      <c r="BC17" s="172">
        <f>SUM(G17,K17,O17,S17,W17,AA17,AE17,AI17,AM17,AQ17,AU17,AY17)</f>
        <v/>
      </c>
      <c r="BD17" s="172">
        <f>SUM(H17,L17,P17,T17,X17,AB17,AF17,AJ17,AN17,AR17,AV17,AZ17)</f>
        <v/>
      </c>
      <c r="BE17" s="172">
        <f>BB17-(BC17+BD17)</f>
        <v/>
      </c>
      <c r="BF17" s="172">
        <f>E17+BE17</f>
        <v/>
      </c>
      <c r="BG17" s="175" t="n">
        <v>0</v>
      </c>
    </row>
    <row r="18" ht="16" customHeight="1" s="251">
      <c r="A18" s="169" t="inlineStr">
        <is>
          <t>F16</t>
        </is>
      </c>
      <c r="B18" s="13" t="n"/>
      <c r="C18" s="13" t="inlineStr">
        <is>
          <t>Sreeja Sudharma</t>
        </is>
      </c>
      <c r="D18" s="170" t="n">
        <v>0</v>
      </c>
      <c r="E18" s="175" t="n">
        <v>0</v>
      </c>
      <c r="F18" s="171">
        <f>'Apr2026-COLLECTION'!K17</f>
        <v/>
      </c>
      <c r="G18" s="172">
        <f>'Apr2026-EXPENSE'!R21</f>
        <v/>
      </c>
      <c r="H18" s="172" t="n"/>
      <c r="I18" s="172">
        <f>F18-(G18+H18)</f>
        <v/>
      </c>
      <c r="J18" s="173">
        <f>'May2026-COLLECTION'!K17</f>
        <v/>
      </c>
      <c r="K18" s="174">
        <f>'May2026-EXPENSE'!R21</f>
        <v/>
      </c>
      <c r="L18" s="174" t="n"/>
      <c r="M18" s="174">
        <f>J18-(K18+L18)</f>
        <v/>
      </c>
      <c r="N18" s="172">
        <f>'June2026-COLLECTION'!K17</f>
        <v/>
      </c>
      <c r="O18" s="172">
        <f>'June2026-EXPENSE'!R21</f>
        <v/>
      </c>
      <c r="P18" s="172" t="n"/>
      <c r="Q18" s="172">
        <f>N18-(O18+P18)</f>
        <v/>
      </c>
      <c r="R18" s="41">
        <f>'July2026-COLLECTION'!K17</f>
        <v/>
      </c>
      <c r="S18" s="174">
        <f>'July2026-EXPENSE'!R21</f>
        <v/>
      </c>
      <c r="T18" s="174" t="n"/>
      <c r="U18" s="174">
        <f>R18-(S18+T18)</f>
        <v/>
      </c>
      <c r="V18" s="167">
        <f>'Aug2026-COLLECTION'!K17</f>
        <v/>
      </c>
      <c r="W18" s="172">
        <f>'Aug2026-EXPENSE'!R21</f>
        <v/>
      </c>
      <c r="X18" s="172" t="n"/>
      <c r="Y18" s="172">
        <f>V18-(W18+X18)</f>
        <v/>
      </c>
      <c r="Z18" s="41">
        <f>'Sep2026-COLLECTION'!K17</f>
        <v/>
      </c>
      <c r="AA18" s="174">
        <f>'Sep2026-EXPENSE'!R21</f>
        <v/>
      </c>
      <c r="AB18" s="174" t="n"/>
      <c r="AC18" s="174">
        <f>Z18-(AA18+AB18)</f>
        <v/>
      </c>
      <c r="AD18" s="41">
        <f>'Oct2026-COLLECTION'!K17</f>
        <v/>
      </c>
      <c r="AE18" s="174">
        <f>'Oct2026-EXPENSE'!R21</f>
        <v/>
      </c>
      <c r="AF18" s="174" t="n"/>
      <c r="AG18" s="174">
        <f>AD18-(AE18+AF18)</f>
        <v/>
      </c>
      <c r="AH18" s="41">
        <f>'Nov2026-COLLECTION'!K17</f>
        <v/>
      </c>
      <c r="AI18" s="174">
        <f>'Nov2026-EXPENSE'!R21</f>
        <v/>
      </c>
      <c r="AJ18" s="174" t="n"/>
      <c r="AK18" s="174">
        <f>AH18-(AI18+AJ18)</f>
        <v/>
      </c>
      <c r="AL18" s="41">
        <f>'Dec2026-COLLECTION'!K17</f>
        <v/>
      </c>
      <c r="AM18" s="174">
        <f>'Dec2026-EXPENSE'!R21</f>
        <v/>
      </c>
      <c r="AN18" s="174" t="n"/>
      <c r="AO18" s="174">
        <f>AL18-(AM18+AN18)</f>
        <v/>
      </c>
      <c r="AP18" s="7">
        <f>'Jan2027-COLLECTION'!K17</f>
        <v/>
      </c>
      <c r="AQ18" s="10">
        <f>'Jan2027-EXPENSE'!R21</f>
        <v/>
      </c>
      <c r="AR18" s="10" t="n"/>
      <c r="AS18" s="174">
        <f>AP18-(AQ18+AR18)</f>
        <v/>
      </c>
      <c r="AT18" s="7">
        <f>'Feb2027-COLLECTION'!K17</f>
        <v/>
      </c>
      <c r="AU18" s="10">
        <f>'Feb2027-EXPENSE'!R21</f>
        <v/>
      </c>
      <c r="AV18" s="10" t="n"/>
      <c r="AW18" s="174">
        <f>AT18-(AU18+AV18)</f>
        <v/>
      </c>
      <c r="AX18" s="7">
        <f>'Mar2027-COLLECTION'!K17</f>
        <v/>
      </c>
      <c r="AY18" s="10">
        <f>'Mar2027-EXPENSE'!R21</f>
        <v/>
      </c>
      <c r="AZ18" s="10" t="n"/>
      <c r="BA18" s="174">
        <f>AX18-(AY18+AZ18)</f>
        <v/>
      </c>
      <c r="BB18" s="172">
        <f>SUM(F18,J18,N18,R18,V18,Z18,AD18,AH18,AL18,AP18,AT18,AX18)</f>
        <v/>
      </c>
      <c r="BC18" s="172">
        <f>SUM(G18,K18,O18,S18,W18,AA18,AE18,AI18,AM18,AQ18,AU18,AY18)</f>
        <v/>
      </c>
      <c r="BD18" s="172">
        <f>SUM(H18,L18,P18,T18,X18,AB18,AF18,AJ18,AN18,AR18,AV18,AZ18)</f>
        <v/>
      </c>
      <c r="BE18" s="172">
        <f>BB18-(BC18+BD18)</f>
        <v/>
      </c>
      <c r="BF18" s="172">
        <f>E18+BE18</f>
        <v/>
      </c>
      <c r="BG18" s="175" t="n">
        <v>0</v>
      </c>
    </row>
    <row r="19" ht="16" customHeight="1" s="251">
      <c r="A19" s="169" t="inlineStr">
        <is>
          <t>G1</t>
        </is>
      </c>
      <c r="B19" s="13" t="inlineStr">
        <is>
          <t>jyothij1979@gmail.com</t>
        </is>
      </c>
      <c r="C19" s="13" t="inlineStr">
        <is>
          <t>Venkataramanan C</t>
        </is>
      </c>
      <c r="D19" s="170" t="n">
        <v>0</v>
      </c>
      <c r="E19" s="175" t="n">
        <v>0</v>
      </c>
      <c r="F19" s="171">
        <f>'Apr2026-COLLECTION'!K18</f>
        <v/>
      </c>
      <c r="G19" s="172">
        <f>'Apr2026-EXPENSE'!R22</f>
        <v/>
      </c>
      <c r="H19" s="172" t="n"/>
      <c r="I19" s="172">
        <f>F19-(G19+H19)</f>
        <v/>
      </c>
      <c r="J19" s="173">
        <f>'May2026-COLLECTION'!K18</f>
        <v/>
      </c>
      <c r="K19" s="174">
        <f>'May2026-EXPENSE'!R22</f>
        <v/>
      </c>
      <c r="L19" s="174" t="n"/>
      <c r="M19" s="174">
        <f>J19-(K19+L19)</f>
        <v/>
      </c>
      <c r="N19" s="172">
        <f>'June2026-COLLECTION'!K18</f>
        <v/>
      </c>
      <c r="O19" s="172">
        <f>'June2026-EXPENSE'!R22</f>
        <v/>
      </c>
      <c r="P19" s="172" t="n"/>
      <c r="Q19" s="172">
        <f>N19-(O19+P19)</f>
        <v/>
      </c>
      <c r="R19" s="41">
        <f>'July2026-COLLECTION'!K18</f>
        <v/>
      </c>
      <c r="S19" s="174">
        <f>'July2026-EXPENSE'!R22</f>
        <v/>
      </c>
      <c r="T19" s="174" t="n"/>
      <c r="U19" s="174">
        <f>R19-(S19+T19)</f>
        <v/>
      </c>
      <c r="V19" s="167">
        <f>'Aug2026-COLLECTION'!K18</f>
        <v/>
      </c>
      <c r="W19" s="172">
        <f>'Aug2026-EXPENSE'!R22</f>
        <v/>
      </c>
      <c r="X19" s="172" t="n"/>
      <c r="Y19" s="172">
        <f>V19-(W19+X19)</f>
        <v/>
      </c>
      <c r="Z19" s="41">
        <f>'Sep2026-COLLECTION'!K18</f>
        <v/>
      </c>
      <c r="AA19" s="174">
        <f>'Sep2026-EXPENSE'!R22</f>
        <v/>
      </c>
      <c r="AB19" s="174" t="n"/>
      <c r="AC19" s="174">
        <f>Z19-(AA19+AB19)</f>
        <v/>
      </c>
      <c r="AD19" s="41">
        <f>'Oct2026-COLLECTION'!K18</f>
        <v/>
      </c>
      <c r="AE19" s="174">
        <f>'Oct2026-EXPENSE'!R22</f>
        <v/>
      </c>
      <c r="AF19" s="174" t="n"/>
      <c r="AG19" s="174">
        <f>AD19-(AE19+AF19)</f>
        <v/>
      </c>
      <c r="AH19" s="41">
        <f>'Nov2026-COLLECTION'!K18</f>
        <v/>
      </c>
      <c r="AI19" s="174">
        <f>'Nov2026-EXPENSE'!R22</f>
        <v/>
      </c>
      <c r="AJ19" s="174" t="n"/>
      <c r="AK19" s="174">
        <f>AH19-(AI19+AJ19)</f>
        <v/>
      </c>
      <c r="AL19" s="41">
        <f>'Dec2026-COLLECTION'!K18</f>
        <v/>
      </c>
      <c r="AM19" s="174">
        <f>'Dec2026-EXPENSE'!R22</f>
        <v/>
      </c>
      <c r="AN19" s="174" t="n"/>
      <c r="AO19" s="174">
        <f>AL19-(AM19+AN19)</f>
        <v/>
      </c>
      <c r="AP19" s="7">
        <f>'Jan2027-COLLECTION'!K18</f>
        <v/>
      </c>
      <c r="AQ19" s="10">
        <f>'Jan2027-EXPENSE'!R22</f>
        <v/>
      </c>
      <c r="AR19" s="10" t="n"/>
      <c r="AS19" s="174">
        <f>AP19-(AQ19+AR19)</f>
        <v/>
      </c>
      <c r="AT19" s="7">
        <f>'Feb2027-COLLECTION'!K18</f>
        <v/>
      </c>
      <c r="AU19" s="10">
        <f>'Feb2027-EXPENSE'!R22</f>
        <v/>
      </c>
      <c r="AV19" s="10" t="n"/>
      <c r="AW19" s="174">
        <f>AT19-(AU19+AV19)</f>
        <v/>
      </c>
      <c r="AX19" s="7">
        <f>'Mar2027-COLLECTION'!K18</f>
        <v/>
      </c>
      <c r="AY19" s="10">
        <f>'Mar2027-EXPENSE'!R22</f>
        <v/>
      </c>
      <c r="AZ19" s="10" t="n"/>
      <c r="BA19" s="174">
        <f>AX19-(AY19+AZ19)</f>
        <v/>
      </c>
      <c r="BB19" s="172">
        <f>SUM(F19,J19,N19,R19,V19,Z19,AD19,AH19,AL19,AP19,AT19,AX19)</f>
        <v/>
      </c>
      <c r="BC19" s="172">
        <f>SUM(G19,K19,O19,S19,W19,AA19,AE19,AI19,AM19,AQ19,AU19,AY19)</f>
        <v/>
      </c>
      <c r="BD19" s="172">
        <f>SUM(H19,L19,P19,T19,X19,AB19,AF19,AJ19,AN19,AR19,AV19,AZ19)</f>
        <v/>
      </c>
      <c r="BE19" s="172">
        <f>BB19-(BC19+BD19)</f>
        <v/>
      </c>
      <c r="BF19" s="172">
        <f>E19+BE19</f>
        <v/>
      </c>
      <c r="BG19" s="175" t="n">
        <v>0</v>
      </c>
    </row>
    <row r="20" ht="16" customHeight="1" s="251">
      <c r="A20" s="169" t="inlineStr">
        <is>
          <t>G2</t>
        </is>
      </c>
      <c r="B20" s="13" t="n"/>
      <c r="C20" s="13" t="inlineStr">
        <is>
          <t>Kaushik Kasibhatla</t>
        </is>
      </c>
      <c r="D20" s="170" t="n">
        <v>0</v>
      </c>
      <c r="E20" s="175" t="n">
        <v>0</v>
      </c>
      <c r="F20" s="171">
        <f>'Apr2026-COLLECTION'!K19</f>
        <v/>
      </c>
      <c r="G20" s="172">
        <f>'Apr2026-EXPENSE'!R23</f>
        <v/>
      </c>
      <c r="H20" s="172" t="n"/>
      <c r="I20" s="172">
        <f>F20-(G20+H20)</f>
        <v/>
      </c>
      <c r="J20" s="173">
        <f>'May2026-COLLECTION'!K19</f>
        <v/>
      </c>
      <c r="K20" s="174">
        <f>'May2026-EXPENSE'!R23</f>
        <v/>
      </c>
      <c r="L20" s="174" t="n"/>
      <c r="M20" s="174">
        <f>J20-(K20+L20)</f>
        <v/>
      </c>
      <c r="N20" s="172">
        <f>'June2026-COLLECTION'!K19</f>
        <v/>
      </c>
      <c r="O20" s="172">
        <f>'June2026-EXPENSE'!R23</f>
        <v/>
      </c>
      <c r="P20" s="172" t="n"/>
      <c r="Q20" s="172">
        <f>N20-(O20+P20)</f>
        <v/>
      </c>
      <c r="R20" s="41">
        <f>'July2026-COLLECTION'!K19</f>
        <v/>
      </c>
      <c r="S20" s="174">
        <f>'July2026-EXPENSE'!R23</f>
        <v/>
      </c>
      <c r="T20" s="174" t="n"/>
      <c r="U20" s="174">
        <f>R20-(S20+T20)</f>
        <v/>
      </c>
      <c r="V20" s="167">
        <f>'Aug2026-COLLECTION'!K19</f>
        <v/>
      </c>
      <c r="W20" s="172">
        <f>'Aug2026-EXPENSE'!R23</f>
        <v/>
      </c>
      <c r="X20" s="172" t="n"/>
      <c r="Y20" s="172">
        <f>V20-(W20+X20)</f>
        <v/>
      </c>
      <c r="Z20" s="41">
        <f>'Sep2026-COLLECTION'!K19</f>
        <v/>
      </c>
      <c r="AA20" s="174">
        <f>'Sep2026-EXPENSE'!R23</f>
        <v/>
      </c>
      <c r="AB20" s="174" t="n"/>
      <c r="AC20" s="174">
        <f>Z20-(AA20+AB20)</f>
        <v/>
      </c>
      <c r="AD20" s="41">
        <f>'Oct2026-COLLECTION'!K19</f>
        <v/>
      </c>
      <c r="AE20" s="174">
        <f>'Oct2026-EXPENSE'!R23</f>
        <v/>
      </c>
      <c r="AF20" s="174" t="n"/>
      <c r="AG20" s="174">
        <f>AD20-(AE20+AF20)</f>
        <v/>
      </c>
      <c r="AH20" s="41">
        <f>'Nov2026-COLLECTION'!K19</f>
        <v/>
      </c>
      <c r="AI20" s="174">
        <f>'Nov2026-EXPENSE'!R23</f>
        <v/>
      </c>
      <c r="AJ20" s="174" t="n"/>
      <c r="AK20" s="174">
        <f>AH20-(AI20+AJ20)</f>
        <v/>
      </c>
      <c r="AL20" s="41">
        <f>'Dec2026-COLLECTION'!K19</f>
        <v/>
      </c>
      <c r="AM20" s="174">
        <f>'Dec2026-EXPENSE'!R23</f>
        <v/>
      </c>
      <c r="AN20" s="174" t="n"/>
      <c r="AO20" s="174">
        <f>AL20-(AM20+AN20)</f>
        <v/>
      </c>
      <c r="AP20" s="7">
        <f>'Jan2027-COLLECTION'!K19</f>
        <v/>
      </c>
      <c r="AQ20" s="10">
        <f>'Jan2027-EXPENSE'!R23</f>
        <v/>
      </c>
      <c r="AR20" s="10" t="n"/>
      <c r="AS20" s="174">
        <f>AP20-(AQ20+AR20)</f>
        <v/>
      </c>
      <c r="AT20" s="7">
        <f>'Feb2027-COLLECTION'!K19</f>
        <v/>
      </c>
      <c r="AU20" s="10">
        <f>'Feb2027-EXPENSE'!R23</f>
        <v/>
      </c>
      <c r="AV20" s="10" t="n"/>
      <c r="AW20" s="174">
        <f>AT20-(AU20+AV20)</f>
        <v/>
      </c>
      <c r="AX20" s="7">
        <f>'Mar2027-COLLECTION'!K19</f>
        <v/>
      </c>
      <c r="AY20" s="10">
        <f>'Mar2027-EXPENSE'!R23</f>
        <v/>
      </c>
      <c r="AZ20" s="10" t="n"/>
      <c r="BA20" s="174">
        <f>AX20-(AY20+AZ20)</f>
        <v/>
      </c>
      <c r="BB20" s="172">
        <f>SUM(F20,J20,N20,R20,V20,Z20,AD20,AH20,AL20,AP20,AT20,AX20)</f>
        <v/>
      </c>
      <c r="BC20" s="172">
        <f>SUM(G20,K20,O20,S20,W20,AA20,AE20,AI20,AM20,AQ20,AU20,AY20)</f>
        <v/>
      </c>
      <c r="BD20" s="172">
        <f>SUM(H20,L20,P20,T20,X20,AB20,AF20,AJ20,AN20,AR20,AV20,AZ20)</f>
        <v/>
      </c>
      <c r="BE20" s="172">
        <f>BB20-(BC20+BD20)</f>
        <v/>
      </c>
      <c r="BF20" s="172">
        <f>E20+BE20</f>
        <v/>
      </c>
      <c r="BG20" s="175" t="n">
        <v>0</v>
      </c>
    </row>
    <row r="21" ht="15.75" customHeight="1" s="251">
      <c r="A21" s="169" t="inlineStr">
        <is>
          <t>G3</t>
        </is>
      </c>
      <c r="B21" s="13" t="n"/>
      <c r="C21" s="13" t="inlineStr">
        <is>
          <t>Balakrishnan</t>
        </is>
      </c>
      <c r="D21" s="170" t="n">
        <v>0</v>
      </c>
      <c r="E21" s="175" t="n">
        <v>0</v>
      </c>
      <c r="F21" s="171">
        <f>'Apr2026-COLLECTION'!K20</f>
        <v/>
      </c>
      <c r="G21" s="172">
        <f>'Apr2026-EXPENSE'!R24</f>
        <v/>
      </c>
      <c r="H21" s="172" t="n"/>
      <c r="I21" s="172">
        <f>F21-(G21+H21)</f>
        <v/>
      </c>
      <c r="J21" s="173">
        <f>'May2026-COLLECTION'!K20</f>
        <v/>
      </c>
      <c r="K21" s="174">
        <f>'May2026-EXPENSE'!R24</f>
        <v/>
      </c>
      <c r="L21" s="174" t="n"/>
      <c r="M21" s="174">
        <f>J21-(K21+L21)</f>
        <v/>
      </c>
      <c r="N21" s="172">
        <f>'June2026-COLLECTION'!K20</f>
        <v/>
      </c>
      <c r="O21" s="172">
        <f>'June2026-EXPENSE'!R24</f>
        <v/>
      </c>
      <c r="P21" s="172" t="n"/>
      <c r="Q21" s="172">
        <f>N21-(O21+P21)</f>
        <v/>
      </c>
      <c r="R21" s="41">
        <f>'July2026-COLLECTION'!K20</f>
        <v/>
      </c>
      <c r="S21" s="174">
        <f>'July2026-EXPENSE'!R24</f>
        <v/>
      </c>
      <c r="T21" s="174" t="n"/>
      <c r="U21" s="174">
        <f>R21-(S21+T21)</f>
        <v/>
      </c>
      <c r="V21" s="167">
        <f>'Aug2026-COLLECTION'!K20</f>
        <v/>
      </c>
      <c r="W21" s="172">
        <f>'Aug2026-EXPENSE'!R24</f>
        <v/>
      </c>
      <c r="X21" s="172" t="n"/>
      <c r="Y21" s="172">
        <f>V21-(W21+X21)</f>
        <v/>
      </c>
      <c r="Z21" s="41">
        <f>'Sep2026-COLLECTION'!K20</f>
        <v/>
      </c>
      <c r="AA21" s="174">
        <f>'Sep2026-EXPENSE'!R24</f>
        <v/>
      </c>
      <c r="AB21" s="174" t="n"/>
      <c r="AC21" s="174">
        <f>Z21-(AA21+AB21)</f>
        <v/>
      </c>
      <c r="AD21" s="41">
        <f>'Oct2026-COLLECTION'!K20</f>
        <v/>
      </c>
      <c r="AE21" s="174">
        <f>'Oct2026-EXPENSE'!R24</f>
        <v/>
      </c>
      <c r="AF21" s="174" t="n"/>
      <c r="AG21" s="174">
        <f>AD21-(AE21+AF21)</f>
        <v/>
      </c>
      <c r="AH21" s="41">
        <f>'Nov2026-COLLECTION'!K20</f>
        <v/>
      </c>
      <c r="AI21" s="174">
        <f>'Nov2026-EXPENSE'!R24</f>
        <v/>
      </c>
      <c r="AJ21" s="174" t="n"/>
      <c r="AK21" s="174">
        <f>AH21-(AI21+AJ21)</f>
        <v/>
      </c>
      <c r="AL21" s="41">
        <f>'Dec2026-COLLECTION'!K20</f>
        <v/>
      </c>
      <c r="AM21" s="174">
        <f>'Dec2026-EXPENSE'!R24</f>
        <v/>
      </c>
      <c r="AN21" s="174" t="n"/>
      <c r="AO21" s="174">
        <f>AL21-(AM21+AN21)</f>
        <v/>
      </c>
      <c r="AP21" s="7">
        <f>'Jan2027-COLLECTION'!K20</f>
        <v/>
      </c>
      <c r="AQ21" s="10">
        <f>'Jan2027-EXPENSE'!R24</f>
        <v/>
      </c>
      <c r="AR21" s="10" t="n"/>
      <c r="AS21" s="174">
        <f>AP21-(AQ21+AR21)</f>
        <v/>
      </c>
      <c r="AT21" s="7">
        <f>'Feb2027-COLLECTION'!K20</f>
        <v/>
      </c>
      <c r="AU21" s="10">
        <f>'Feb2027-EXPENSE'!R24</f>
        <v/>
      </c>
      <c r="AV21" s="10" t="n"/>
      <c r="AW21" s="174">
        <f>AT21-(AU21+AV21)</f>
        <v/>
      </c>
      <c r="AX21" s="7">
        <f>'Mar2027-COLLECTION'!K20</f>
        <v/>
      </c>
      <c r="AY21" s="10">
        <f>'Mar2027-EXPENSE'!R24</f>
        <v/>
      </c>
      <c r="AZ21" s="10" t="n"/>
      <c r="BA21" s="174">
        <f>AX21-(AY21+AZ21)</f>
        <v/>
      </c>
      <c r="BB21" s="172">
        <f>SUM(F21,J21,N21,R21,V21,Z21,AD21,AH21,AL21,AP21,AT21,AX21)</f>
        <v/>
      </c>
      <c r="BC21" s="172">
        <f>SUM(G21,K21,O21,S21,W21,AA21,AE21,AI21,AM21,AQ21,AU21,AY21)</f>
        <v/>
      </c>
      <c r="BD21" s="172">
        <f>SUM(H21,L21,P21,T21,X21,AB21,AF21,AJ21,AN21,AR21,AV21,AZ21)</f>
        <v/>
      </c>
      <c r="BE21" s="172">
        <f>BB21-(BC21+BD21)</f>
        <v/>
      </c>
      <c r="BF21" s="172">
        <f>E21+BE21</f>
        <v/>
      </c>
      <c r="BG21" s="175" t="n">
        <v>0</v>
      </c>
    </row>
    <row r="22" ht="15.75" customHeight="1" s="251">
      <c r="A22" s="169" t="inlineStr">
        <is>
          <t>G4</t>
        </is>
      </c>
      <c r="B22" s="13" t="n"/>
      <c r="C22" s="13" t="inlineStr">
        <is>
          <t>Ashwin Pandith</t>
        </is>
      </c>
      <c r="D22" s="170" t="n">
        <v>0</v>
      </c>
      <c r="E22" s="175" t="n">
        <v>0</v>
      </c>
      <c r="F22" s="171">
        <f>'Apr2026-COLLECTION'!K21</f>
        <v/>
      </c>
      <c r="G22" s="172">
        <f>'Apr2026-EXPENSE'!R25</f>
        <v/>
      </c>
      <c r="H22" s="172" t="n"/>
      <c r="I22" s="172">
        <f>F22-(G22+H22)</f>
        <v/>
      </c>
      <c r="J22" s="173">
        <f>'May2026-COLLECTION'!K21</f>
        <v/>
      </c>
      <c r="K22" s="174">
        <f>'May2026-EXPENSE'!R25</f>
        <v/>
      </c>
      <c r="L22" s="174" t="n"/>
      <c r="M22" s="174">
        <f>J22-(K22+L22)</f>
        <v/>
      </c>
      <c r="N22" s="172">
        <f>'June2026-COLLECTION'!K21</f>
        <v/>
      </c>
      <c r="O22" s="172">
        <f>'June2026-EXPENSE'!R25</f>
        <v/>
      </c>
      <c r="P22" s="172" t="n"/>
      <c r="Q22" s="172">
        <f>N22-(O22+P22)</f>
        <v/>
      </c>
      <c r="R22" s="41">
        <f>'July2026-COLLECTION'!K21</f>
        <v/>
      </c>
      <c r="S22" s="174">
        <f>'July2026-EXPENSE'!R25</f>
        <v/>
      </c>
      <c r="T22" s="174" t="n"/>
      <c r="U22" s="174">
        <f>R22-(S22+T22)</f>
        <v/>
      </c>
      <c r="V22" s="167">
        <f>'Aug2026-COLLECTION'!K21</f>
        <v/>
      </c>
      <c r="W22" s="172">
        <f>'Aug2026-EXPENSE'!R25</f>
        <v/>
      </c>
      <c r="X22" s="172" t="n"/>
      <c r="Y22" s="172">
        <f>V22-(W22+X22)</f>
        <v/>
      </c>
      <c r="Z22" s="41">
        <f>'Sep2026-COLLECTION'!K21</f>
        <v/>
      </c>
      <c r="AA22" s="174">
        <f>'Sep2026-EXPENSE'!R25</f>
        <v/>
      </c>
      <c r="AB22" s="174" t="n"/>
      <c r="AC22" s="174">
        <f>Z22-(AA22+AB22)</f>
        <v/>
      </c>
      <c r="AD22" s="41">
        <f>'Oct2026-COLLECTION'!K21</f>
        <v/>
      </c>
      <c r="AE22" s="174">
        <f>'Oct2026-EXPENSE'!R25</f>
        <v/>
      </c>
      <c r="AF22" s="174" t="n"/>
      <c r="AG22" s="174">
        <f>AD22-(AE22+AF22)</f>
        <v/>
      </c>
      <c r="AH22" s="41">
        <f>'Nov2026-COLLECTION'!K21</f>
        <v/>
      </c>
      <c r="AI22" s="174">
        <f>'Nov2026-EXPENSE'!R25</f>
        <v/>
      </c>
      <c r="AJ22" s="174" t="n"/>
      <c r="AK22" s="174">
        <f>AH22-(AI22+AJ22)</f>
        <v/>
      </c>
      <c r="AL22" s="41">
        <f>'Dec2026-COLLECTION'!K21</f>
        <v/>
      </c>
      <c r="AM22" s="174">
        <f>'Dec2026-EXPENSE'!R25</f>
        <v/>
      </c>
      <c r="AN22" s="174" t="n"/>
      <c r="AO22" s="174">
        <f>AL22-(AM22+AN22)</f>
        <v/>
      </c>
      <c r="AP22" s="7">
        <f>'Jan2027-COLLECTION'!K21</f>
        <v/>
      </c>
      <c r="AQ22" s="10">
        <f>'Jan2027-EXPENSE'!R25</f>
        <v/>
      </c>
      <c r="AR22" s="10" t="n"/>
      <c r="AS22" s="174">
        <f>AP22-(AQ22+AR22)</f>
        <v/>
      </c>
      <c r="AT22" s="7">
        <f>'Feb2027-COLLECTION'!K21</f>
        <v/>
      </c>
      <c r="AU22" s="10">
        <f>'Feb2027-EXPENSE'!R25</f>
        <v/>
      </c>
      <c r="AV22" s="10" t="n"/>
      <c r="AW22" s="174">
        <f>AT22-(AU22+AV22)</f>
        <v/>
      </c>
      <c r="AX22" s="7">
        <f>'Mar2027-COLLECTION'!K21</f>
        <v/>
      </c>
      <c r="AY22" s="10">
        <f>'Mar2027-EXPENSE'!R25</f>
        <v/>
      </c>
      <c r="AZ22" s="10" t="n"/>
      <c r="BA22" s="174">
        <f>AX22-(AY22+AZ22)</f>
        <v/>
      </c>
      <c r="BB22" s="172">
        <f>SUM(F22,J22,N22,R22,V22,Z22,AD22,AH22,AL22,AP22,AT22,AX22)</f>
        <v/>
      </c>
      <c r="BC22" s="172">
        <f>SUM(G22,K22,O22,S22,W22,AA22,AE22,AI22,AM22,AQ22,AU22,AY22)</f>
        <v/>
      </c>
      <c r="BD22" s="172">
        <f>SUM(H22,L22,P22,T22,X22,AB22,AF22,AJ22,AN22,AR22,AV22,AZ22)</f>
        <v/>
      </c>
      <c r="BE22" s="172">
        <f>BB22-(BC22+BD22)</f>
        <v/>
      </c>
      <c r="BF22" s="172">
        <f>E22+BE22</f>
        <v/>
      </c>
      <c r="BG22" s="175" t="n">
        <v>0</v>
      </c>
    </row>
    <row r="23" ht="15.75" customHeight="1" s="251">
      <c r="A23" s="169" t="inlineStr">
        <is>
          <t>G5</t>
        </is>
      </c>
      <c r="B23" s="13" t="n"/>
      <c r="C23" s="13" t="inlineStr">
        <is>
          <t>Mayank Phophaliya</t>
        </is>
      </c>
      <c r="D23" s="170" t="n">
        <v>0</v>
      </c>
      <c r="E23" s="175" t="n">
        <v>0</v>
      </c>
      <c r="F23" s="171">
        <f>'Apr2026-COLLECTION'!K22</f>
        <v/>
      </c>
      <c r="G23" s="172">
        <f>'Apr2026-EXPENSE'!R26</f>
        <v/>
      </c>
      <c r="H23" s="172" t="n"/>
      <c r="I23" s="172">
        <f>F23-(G23+H23)</f>
        <v/>
      </c>
      <c r="J23" s="173">
        <f>'May2026-COLLECTION'!K22</f>
        <v/>
      </c>
      <c r="K23" s="174">
        <f>'May2026-EXPENSE'!R26</f>
        <v/>
      </c>
      <c r="L23" s="174" t="n"/>
      <c r="M23" s="174">
        <f>J23-(K23+L23)</f>
        <v/>
      </c>
      <c r="N23" s="172">
        <f>'June2026-COLLECTION'!K22</f>
        <v/>
      </c>
      <c r="O23" s="172">
        <f>'June2026-EXPENSE'!R26</f>
        <v/>
      </c>
      <c r="P23" s="172" t="n"/>
      <c r="Q23" s="172">
        <f>N23-(O23+P23)</f>
        <v/>
      </c>
      <c r="R23" s="41">
        <f>'July2026-COLLECTION'!K22</f>
        <v/>
      </c>
      <c r="S23" s="174">
        <f>'July2026-EXPENSE'!R26</f>
        <v/>
      </c>
      <c r="T23" s="174" t="n"/>
      <c r="U23" s="174">
        <f>R23-(S23+T23)</f>
        <v/>
      </c>
      <c r="V23" s="167">
        <f>'Aug2026-COLLECTION'!K22</f>
        <v/>
      </c>
      <c r="W23" s="172">
        <f>'Aug2026-EXPENSE'!R26</f>
        <v/>
      </c>
      <c r="X23" s="172" t="n"/>
      <c r="Y23" s="172">
        <f>V23-(W23+X23)</f>
        <v/>
      </c>
      <c r="Z23" s="41">
        <f>'Sep2026-COLLECTION'!K22</f>
        <v/>
      </c>
      <c r="AA23" s="174">
        <f>'Sep2026-EXPENSE'!R26</f>
        <v/>
      </c>
      <c r="AB23" s="174" t="n"/>
      <c r="AC23" s="174">
        <f>Z23-(AA23+AB23)</f>
        <v/>
      </c>
      <c r="AD23" s="41">
        <f>'Oct2026-COLLECTION'!K22</f>
        <v/>
      </c>
      <c r="AE23" s="174">
        <f>'Oct2026-EXPENSE'!R26</f>
        <v/>
      </c>
      <c r="AF23" s="174" t="n"/>
      <c r="AG23" s="174">
        <f>AD23-(AE23+AF23)</f>
        <v/>
      </c>
      <c r="AH23" s="41">
        <f>'Nov2026-COLLECTION'!K22</f>
        <v/>
      </c>
      <c r="AI23" s="174">
        <f>'Nov2026-EXPENSE'!R26</f>
        <v/>
      </c>
      <c r="AJ23" s="174" t="n"/>
      <c r="AK23" s="174">
        <f>AH23-(AI23+AJ23)</f>
        <v/>
      </c>
      <c r="AL23" s="41">
        <f>'Dec2026-COLLECTION'!K22</f>
        <v/>
      </c>
      <c r="AM23" s="174">
        <f>'Dec2026-EXPENSE'!R26</f>
        <v/>
      </c>
      <c r="AN23" s="174" t="n"/>
      <c r="AO23" s="174">
        <f>AL23-(AM23+AN23)</f>
        <v/>
      </c>
      <c r="AP23" s="7">
        <f>'Jan2027-COLLECTION'!K22</f>
        <v/>
      </c>
      <c r="AQ23" s="10">
        <f>'Jan2027-EXPENSE'!R26</f>
        <v/>
      </c>
      <c r="AR23" s="10" t="n"/>
      <c r="AS23" s="174">
        <f>AP23-(AQ23+AR23)</f>
        <v/>
      </c>
      <c r="AT23" s="7">
        <f>'Feb2027-COLLECTION'!K22</f>
        <v/>
      </c>
      <c r="AU23" s="10">
        <f>'Feb2027-EXPENSE'!R26</f>
        <v/>
      </c>
      <c r="AV23" s="10" t="n"/>
      <c r="AW23" s="174">
        <f>AT23-(AU23+AV23)</f>
        <v/>
      </c>
      <c r="AX23" s="7">
        <f>'Mar2027-COLLECTION'!K22</f>
        <v/>
      </c>
      <c r="AY23" s="10">
        <f>'Mar2027-EXPENSE'!R26</f>
        <v/>
      </c>
      <c r="AZ23" s="10" t="n"/>
      <c r="BA23" s="174">
        <f>AX23-(AY23+AZ23)</f>
        <v/>
      </c>
      <c r="BB23" s="172">
        <f>SUM(F23,J23,N23,R23,V23,Z23,AD23,AH23,AL23,AP23,AT23,AX23)</f>
        <v/>
      </c>
      <c r="BC23" s="172">
        <f>SUM(G23,K23,O23,S23,W23,AA23,AE23,AI23,AM23,AQ23,AU23,AY23)</f>
        <v/>
      </c>
      <c r="BD23" s="172">
        <f>SUM(H23,L23,P23,T23,X23,AB23,AF23,AJ23,AN23,AR23,AV23,AZ23)</f>
        <v/>
      </c>
      <c r="BE23" s="172">
        <f>BB23-(BC23+BD23)</f>
        <v/>
      </c>
      <c r="BF23" s="172">
        <f>E23+BE23</f>
        <v/>
      </c>
      <c r="BG23" s="175" t="n">
        <v>0</v>
      </c>
    </row>
    <row r="24" ht="15.75" customHeight="1" s="251">
      <c r="A24" s="169" t="inlineStr">
        <is>
          <t>G6</t>
        </is>
      </c>
      <c r="B24" s="13" t="n"/>
      <c r="C24" s="13" t="inlineStr">
        <is>
          <t>Srinath / Tenant - Mohit Daga</t>
        </is>
      </c>
      <c r="D24" s="170" t="n">
        <v>0</v>
      </c>
      <c r="E24" s="175" t="n">
        <v>0</v>
      </c>
      <c r="F24" s="171">
        <f>'Apr2026-COLLECTION'!K23</f>
        <v/>
      </c>
      <c r="G24" s="172">
        <f>'Apr2026-EXPENSE'!R27</f>
        <v/>
      </c>
      <c r="H24" s="172" t="n"/>
      <c r="I24" s="172">
        <f>F24-(G24+H24)</f>
        <v/>
      </c>
      <c r="J24" s="173">
        <f>'May2026-COLLECTION'!K23</f>
        <v/>
      </c>
      <c r="K24" s="174">
        <f>'May2026-EXPENSE'!R27</f>
        <v/>
      </c>
      <c r="L24" s="174" t="n">
        <v>0</v>
      </c>
      <c r="M24" s="174">
        <f>J24-(K24+L24)</f>
        <v/>
      </c>
      <c r="N24" s="172">
        <f>'June2026-COLLECTION'!K23</f>
        <v/>
      </c>
      <c r="O24" s="172">
        <f>'June2026-EXPENSE'!R27</f>
        <v/>
      </c>
      <c r="P24" s="172" t="n"/>
      <c r="Q24" s="172">
        <f>N24-(O24+P24)</f>
        <v/>
      </c>
      <c r="R24" s="41">
        <f>'July2026-COLLECTION'!K23</f>
        <v/>
      </c>
      <c r="S24" s="174">
        <f>'July2026-EXPENSE'!R27</f>
        <v/>
      </c>
      <c r="T24" s="174" t="n"/>
      <c r="U24" s="174">
        <f>R24-(S24+T24)</f>
        <v/>
      </c>
      <c r="V24" s="167">
        <f>'Aug2026-COLLECTION'!K23</f>
        <v/>
      </c>
      <c r="W24" s="172">
        <f>'Aug2026-EXPENSE'!R27</f>
        <v/>
      </c>
      <c r="X24" s="172" t="n"/>
      <c r="Y24" s="172">
        <f>V24-(W24+X24)</f>
        <v/>
      </c>
      <c r="Z24" s="41">
        <f>'Sep2026-COLLECTION'!K23</f>
        <v/>
      </c>
      <c r="AA24" s="174">
        <f>'Sep2026-EXPENSE'!R27</f>
        <v/>
      </c>
      <c r="AB24" s="174" t="n"/>
      <c r="AC24" s="174">
        <f>Z24-(AA24+AB24)</f>
        <v/>
      </c>
      <c r="AD24" s="41">
        <f>'Oct2026-COLLECTION'!K23</f>
        <v/>
      </c>
      <c r="AE24" s="174">
        <f>'Oct2026-EXPENSE'!R27</f>
        <v/>
      </c>
      <c r="AF24" s="174" t="n"/>
      <c r="AG24" s="174">
        <f>AD24-(AE24+AF24)</f>
        <v/>
      </c>
      <c r="AH24" s="41">
        <f>'Nov2026-COLLECTION'!K23</f>
        <v/>
      </c>
      <c r="AI24" s="174">
        <f>'Nov2026-EXPENSE'!R27</f>
        <v/>
      </c>
      <c r="AJ24" s="174" t="n"/>
      <c r="AK24" s="174">
        <f>AH24-(AI24+AJ24)</f>
        <v/>
      </c>
      <c r="AL24" s="41">
        <f>'Dec2026-COLLECTION'!K23</f>
        <v/>
      </c>
      <c r="AM24" s="174">
        <f>'Dec2026-EXPENSE'!R27</f>
        <v/>
      </c>
      <c r="AN24" s="174" t="n"/>
      <c r="AO24" s="174">
        <f>AL24-(AM24+AN24)</f>
        <v/>
      </c>
      <c r="AP24" s="7">
        <f>'Jan2027-COLLECTION'!K23</f>
        <v/>
      </c>
      <c r="AQ24" s="10">
        <f>'Jan2027-EXPENSE'!R27</f>
        <v/>
      </c>
      <c r="AR24" s="10" t="n"/>
      <c r="AS24" s="174">
        <f>AP24-(AQ24+AR24)</f>
        <v/>
      </c>
      <c r="AT24" s="7">
        <f>'Feb2027-COLLECTION'!K23</f>
        <v/>
      </c>
      <c r="AU24" s="10">
        <f>'Feb2027-EXPENSE'!R27</f>
        <v/>
      </c>
      <c r="AV24" s="10" t="n"/>
      <c r="AW24" s="174">
        <f>AT24-(AU24+AV24)</f>
        <v/>
      </c>
      <c r="AX24" s="7">
        <f>'Mar2027-COLLECTION'!K23</f>
        <v/>
      </c>
      <c r="AY24" s="10">
        <f>'Mar2027-EXPENSE'!R27</f>
        <v/>
      </c>
      <c r="AZ24" s="10" t="n"/>
      <c r="BA24" s="174">
        <f>AX24-(AY24+AZ24)</f>
        <v/>
      </c>
      <c r="BB24" s="172">
        <f>SUM(F24,J24,N24,R24,V24,Z24,AD24,AH24,AL24,AP24,AT24,AX24)</f>
        <v/>
      </c>
      <c r="BC24" s="172">
        <f>SUM(G24,K24,O24,S24,W24,AA24,AE24,AI24,AM24,AQ24,AU24,AY24)</f>
        <v/>
      </c>
      <c r="BD24" s="172">
        <f>SUM(H24,L24,P24,T24,X24,AB24,AF24,AJ24,AN24,AR24,AV24,AZ24)</f>
        <v/>
      </c>
      <c r="BE24" s="172">
        <f>BB24-(BC24+BD24)</f>
        <v/>
      </c>
      <c r="BF24" s="172">
        <f>E24+BE24</f>
        <v/>
      </c>
      <c r="BG24" s="175" t="n">
        <v>0</v>
      </c>
    </row>
    <row r="25" ht="15.75" customHeight="1" s="251">
      <c r="A25" s="169" t="inlineStr">
        <is>
          <t>G7</t>
        </is>
      </c>
      <c r="B25" s="13" t="n"/>
      <c r="C25" s="13" t="inlineStr">
        <is>
          <t>Prince Richfield</t>
        </is>
      </c>
      <c r="D25" s="170" t="n">
        <v>0</v>
      </c>
      <c r="E25" s="175" t="n">
        <v>0</v>
      </c>
      <c r="F25" s="171">
        <f>'Apr2026-COLLECTION'!K24</f>
        <v/>
      </c>
      <c r="G25" s="172">
        <f>'Apr2026-EXPENSE'!R28</f>
        <v/>
      </c>
      <c r="H25" s="172" t="n"/>
      <c r="I25" s="172">
        <f>F25-(G25+H25)</f>
        <v/>
      </c>
      <c r="J25" s="173">
        <f>'May2026-COLLECTION'!K24</f>
        <v/>
      </c>
      <c r="K25" s="174">
        <f>'May2026-EXPENSE'!R28</f>
        <v/>
      </c>
      <c r="L25" s="174" t="n"/>
      <c r="M25" s="174">
        <f>J25-(K25+L25)</f>
        <v/>
      </c>
      <c r="N25" s="172">
        <f>'June2026-COLLECTION'!K24</f>
        <v/>
      </c>
      <c r="O25" s="172">
        <f>'June2026-EXPENSE'!R28</f>
        <v/>
      </c>
      <c r="P25" s="172" t="n"/>
      <c r="Q25" s="172">
        <f>N25-(O25+P25)</f>
        <v/>
      </c>
      <c r="R25" s="41">
        <f>'July2026-COLLECTION'!K24</f>
        <v/>
      </c>
      <c r="S25" s="174">
        <f>'July2026-EXPENSE'!R28</f>
        <v/>
      </c>
      <c r="T25" s="174" t="n"/>
      <c r="U25" s="174">
        <f>R25-(S25+T25)</f>
        <v/>
      </c>
      <c r="V25" s="167">
        <f>'Aug2026-COLLECTION'!K24</f>
        <v/>
      </c>
      <c r="W25" s="172">
        <f>'Aug2026-EXPENSE'!R28</f>
        <v/>
      </c>
      <c r="X25" s="172" t="n"/>
      <c r="Y25" s="172">
        <f>V25-(W25+X25)</f>
        <v/>
      </c>
      <c r="Z25" s="41">
        <f>'Sep2026-COLLECTION'!K24</f>
        <v/>
      </c>
      <c r="AA25" s="174">
        <f>'Sep2026-EXPENSE'!R28</f>
        <v/>
      </c>
      <c r="AB25" s="174" t="n"/>
      <c r="AC25" s="174">
        <f>Z25-(AA25+AB25)</f>
        <v/>
      </c>
      <c r="AD25" s="41">
        <f>'Oct2026-COLLECTION'!K24</f>
        <v/>
      </c>
      <c r="AE25" s="174">
        <f>'Oct2026-EXPENSE'!R28</f>
        <v/>
      </c>
      <c r="AF25" s="174" t="n"/>
      <c r="AG25" s="174">
        <f>AD25-(AE25+AF25)</f>
        <v/>
      </c>
      <c r="AH25" s="41">
        <f>'Nov2026-COLLECTION'!K24</f>
        <v/>
      </c>
      <c r="AI25" s="174">
        <f>'Nov2026-EXPENSE'!R28</f>
        <v/>
      </c>
      <c r="AJ25" s="174" t="n"/>
      <c r="AK25" s="174">
        <f>AH25-(AI25+AJ25)</f>
        <v/>
      </c>
      <c r="AL25" s="41">
        <f>'Dec2026-COLLECTION'!K24</f>
        <v/>
      </c>
      <c r="AM25" s="174">
        <f>'Dec2026-EXPENSE'!R28</f>
        <v/>
      </c>
      <c r="AN25" s="174" t="n"/>
      <c r="AO25" s="174">
        <f>AL25-(AM25+AN25)</f>
        <v/>
      </c>
      <c r="AP25" s="7">
        <f>'Jan2027-COLLECTION'!K24</f>
        <v/>
      </c>
      <c r="AQ25" s="10">
        <f>'Jan2027-EXPENSE'!R28</f>
        <v/>
      </c>
      <c r="AR25" s="10" t="n"/>
      <c r="AS25" s="174">
        <f>AP25-(AQ25+AR25)</f>
        <v/>
      </c>
      <c r="AT25" s="7">
        <f>'Feb2027-COLLECTION'!K24</f>
        <v/>
      </c>
      <c r="AU25" s="10">
        <f>'Feb2027-EXPENSE'!R28</f>
        <v/>
      </c>
      <c r="AV25" s="10" t="n"/>
      <c r="AW25" s="174">
        <f>AT25-(AU25+AV25)</f>
        <v/>
      </c>
      <c r="AX25" s="7">
        <f>'Mar2027-COLLECTION'!K24</f>
        <v/>
      </c>
      <c r="AY25" s="10">
        <f>'Mar2027-EXPENSE'!R28</f>
        <v/>
      </c>
      <c r="AZ25" s="10" t="n"/>
      <c r="BA25" s="174">
        <f>AX25-(AY25+AZ25)</f>
        <v/>
      </c>
      <c r="BB25" s="172">
        <f>SUM(F25,J25,N25,R25,V25,Z25,AD25,AH25,AL25,AP25,AT25,AX25)</f>
        <v/>
      </c>
      <c r="BC25" s="172">
        <f>SUM(G25,K25,O25,S25,W25,AA25,AE25,AI25,AM25,AQ25,AU25,AY25)</f>
        <v/>
      </c>
      <c r="BD25" s="172">
        <f>SUM(H25,L25,P25,T25,X25,AB25,AF25,AJ25,AN25,AR25,AV25,AZ25)</f>
        <v/>
      </c>
      <c r="BE25" s="172">
        <f>BB25-(BC25+BD25)</f>
        <v/>
      </c>
      <c r="BF25" s="172">
        <f>E25+BE25</f>
        <v/>
      </c>
      <c r="BG25" s="175" t="n">
        <v>0</v>
      </c>
    </row>
    <row r="26" ht="15.75" customHeight="1" s="251">
      <c r="A26" s="169" t="inlineStr">
        <is>
          <t>G8</t>
        </is>
      </c>
      <c r="B26" s="13" t="n"/>
      <c r="C26" s="13" t="inlineStr">
        <is>
          <t>Ranjithkumar R / Sameer (tenant) / Princy (tenant)</t>
        </is>
      </c>
      <c r="D26" s="170" t="n">
        <v>0</v>
      </c>
      <c r="E26" s="175" t="n">
        <v>0</v>
      </c>
      <c r="F26" s="171">
        <f>'Apr2026-COLLECTION'!K25</f>
        <v/>
      </c>
      <c r="G26" s="172">
        <f>'Apr2026-EXPENSE'!R29</f>
        <v/>
      </c>
      <c r="H26" s="172" t="n"/>
      <c r="I26" s="172">
        <f>F26-(G26+H26)</f>
        <v/>
      </c>
      <c r="J26" s="173">
        <f>'May2026-COLLECTION'!K25</f>
        <v/>
      </c>
      <c r="K26" s="174">
        <f>'May2026-EXPENSE'!R29</f>
        <v/>
      </c>
      <c r="L26" s="174" t="n"/>
      <c r="M26" s="174">
        <f>J26-(K26+L26)</f>
        <v/>
      </c>
      <c r="N26" s="172">
        <f>'June2026-COLLECTION'!K25</f>
        <v/>
      </c>
      <c r="O26" s="172">
        <f>'June2026-EXPENSE'!R29</f>
        <v/>
      </c>
      <c r="P26" s="172" t="n"/>
      <c r="Q26" s="172">
        <f>N26-(O26+P26)</f>
        <v/>
      </c>
      <c r="R26" s="41">
        <f>'July2026-COLLECTION'!K25</f>
        <v/>
      </c>
      <c r="S26" s="174">
        <f>'July2026-EXPENSE'!R29</f>
        <v/>
      </c>
      <c r="T26" s="174" t="n"/>
      <c r="U26" s="174">
        <f>R26-(S26+T26)</f>
        <v/>
      </c>
      <c r="V26" s="167">
        <f>'Aug2026-COLLECTION'!K25</f>
        <v/>
      </c>
      <c r="W26" s="172">
        <f>'Aug2026-EXPENSE'!R29</f>
        <v/>
      </c>
      <c r="X26" s="172" t="n"/>
      <c r="Y26" s="172">
        <f>V26-(W26+X26)</f>
        <v/>
      </c>
      <c r="Z26" s="41">
        <f>'Sep2026-COLLECTION'!K25</f>
        <v/>
      </c>
      <c r="AA26" s="174">
        <f>'Sep2026-EXPENSE'!R29</f>
        <v/>
      </c>
      <c r="AB26" s="174" t="n"/>
      <c r="AC26" s="174">
        <f>Z26-(AA26+AB26)</f>
        <v/>
      </c>
      <c r="AD26" s="41">
        <f>'Oct2026-COLLECTION'!K25</f>
        <v/>
      </c>
      <c r="AE26" s="174">
        <f>'Oct2026-EXPENSE'!R29</f>
        <v/>
      </c>
      <c r="AF26" s="174" t="n"/>
      <c r="AG26" s="174">
        <f>AD26-(AE26+AF26)</f>
        <v/>
      </c>
      <c r="AH26" s="41">
        <f>'Nov2026-COLLECTION'!K25</f>
        <v/>
      </c>
      <c r="AI26" s="174">
        <f>'Nov2026-EXPENSE'!R29</f>
        <v/>
      </c>
      <c r="AJ26" s="174" t="n"/>
      <c r="AK26" s="174">
        <f>AH26-(AI26+AJ26)</f>
        <v/>
      </c>
      <c r="AL26" s="41">
        <f>'Dec2026-COLLECTION'!K25</f>
        <v/>
      </c>
      <c r="AM26" s="174">
        <f>'Dec2026-EXPENSE'!R29</f>
        <v/>
      </c>
      <c r="AN26" s="174" t="n"/>
      <c r="AO26" s="174">
        <f>AL26-(AM26+AN26)</f>
        <v/>
      </c>
      <c r="AP26" s="7">
        <f>'Jan2027-COLLECTION'!K25</f>
        <v/>
      </c>
      <c r="AQ26" s="10">
        <f>'Jan2027-EXPENSE'!R29</f>
        <v/>
      </c>
      <c r="AR26" s="10" t="n"/>
      <c r="AS26" s="174">
        <f>AP26-(AQ26+AR26)</f>
        <v/>
      </c>
      <c r="AT26" s="7">
        <f>'Feb2027-COLLECTION'!K25</f>
        <v/>
      </c>
      <c r="AU26" s="10">
        <f>'Feb2027-EXPENSE'!R29</f>
        <v/>
      </c>
      <c r="AV26" s="10" t="n"/>
      <c r="AW26" s="174">
        <f>AT26-(AU26+AV26)</f>
        <v/>
      </c>
      <c r="AX26" s="7">
        <f>'Mar2027-COLLECTION'!K25</f>
        <v/>
      </c>
      <c r="AY26" s="10">
        <f>'Mar2027-EXPENSE'!R29</f>
        <v/>
      </c>
      <c r="AZ26" s="10" t="n"/>
      <c r="BA26" s="174">
        <f>AX26-(AY26+AZ26)</f>
        <v/>
      </c>
      <c r="BB26" s="172">
        <f>SUM(F26,J26,N26,R26,V26,Z26,AD26,AH26,AL26,AP26,AT26,AX26)</f>
        <v/>
      </c>
      <c r="BC26" s="172">
        <f>SUM(G26,K26,O26,S26,W26,AA26,AE26,AI26,AM26,AQ26,AU26,AY26)</f>
        <v/>
      </c>
      <c r="BD26" s="172">
        <f>SUM(H26,L26,P26,T26,X26,AB26,AF26,AJ26,AN26,AR26,AV26,AZ26)</f>
        <v/>
      </c>
      <c r="BE26" s="172">
        <f>BB26-(BC26+BD26)</f>
        <v/>
      </c>
      <c r="BF26" s="172">
        <f>E26+BE26</f>
        <v/>
      </c>
      <c r="BG26" s="175" t="n">
        <v>0</v>
      </c>
    </row>
    <row r="27" ht="15.75" customHeight="1" s="251">
      <c r="A27" s="169" t="inlineStr">
        <is>
          <t>G9</t>
        </is>
      </c>
      <c r="B27" s="13" t="n"/>
      <c r="C27" s="13" t="inlineStr">
        <is>
          <t>Chandramouli</t>
        </is>
      </c>
      <c r="D27" s="170" t="n">
        <v>0</v>
      </c>
      <c r="E27" s="175" t="n">
        <v>0</v>
      </c>
      <c r="F27" s="171">
        <f>'Apr2026-COLLECTION'!K26</f>
        <v/>
      </c>
      <c r="G27" s="172">
        <f>'Apr2026-EXPENSE'!R30</f>
        <v/>
      </c>
      <c r="H27" s="172" t="n"/>
      <c r="I27" s="172">
        <f>F27-(G27+H27)</f>
        <v/>
      </c>
      <c r="J27" s="173">
        <f>'May2026-COLLECTION'!K26</f>
        <v/>
      </c>
      <c r="K27" s="174">
        <f>'May2026-EXPENSE'!R30</f>
        <v/>
      </c>
      <c r="L27" s="174" t="n"/>
      <c r="M27" s="174">
        <f>J27-(K27+L27)</f>
        <v/>
      </c>
      <c r="N27" s="172">
        <f>'June2026-COLLECTION'!K26</f>
        <v/>
      </c>
      <c r="O27" s="172">
        <f>'June2026-EXPENSE'!R30</f>
        <v/>
      </c>
      <c r="P27" s="172" t="n"/>
      <c r="Q27" s="172">
        <f>N27-(O27+P27)</f>
        <v/>
      </c>
      <c r="R27" s="41">
        <f>'July2026-COLLECTION'!K26</f>
        <v/>
      </c>
      <c r="S27" s="174">
        <f>'July2026-EXPENSE'!R30</f>
        <v/>
      </c>
      <c r="T27" s="174" t="n"/>
      <c r="U27" s="174">
        <f>R27-(S27+T27)</f>
        <v/>
      </c>
      <c r="V27" s="167">
        <f>'Aug2026-COLLECTION'!K26</f>
        <v/>
      </c>
      <c r="W27" s="172">
        <f>'Aug2026-EXPENSE'!R30</f>
        <v/>
      </c>
      <c r="X27" s="172" t="n"/>
      <c r="Y27" s="172">
        <f>V27-(W27+X27)</f>
        <v/>
      </c>
      <c r="Z27" s="41">
        <f>'Sep2026-COLLECTION'!K26</f>
        <v/>
      </c>
      <c r="AA27" s="174">
        <f>'Sep2026-EXPENSE'!R30</f>
        <v/>
      </c>
      <c r="AB27" s="174" t="n"/>
      <c r="AC27" s="174">
        <f>Z27-(AA27+AB27)</f>
        <v/>
      </c>
      <c r="AD27" s="41">
        <f>'Oct2026-COLLECTION'!K26</f>
        <v/>
      </c>
      <c r="AE27" s="174">
        <f>'Oct2026-EXPENSE'!R30</f>
        <v/>
      </c>
      <c r="AF27" s="174" t="n"/>
      <c r="AG27" s="174">
        <f>AD27-(AE27+AF27)</f>
        <v/>
      </c>
      <c r="AH27" s="41">
        <f>'Nov2026-COLLECTION'!K26</f>
        <v/>
      </c>
      <c r="AI27" s="174">
        <f>'Nov2026-EXPENSE'!R30</f>
        <v/>
      </c>
      <c r="AJ27" s="174" t="n"/>
      <c r="AK27" s="174">
        <f>AH27-(AI27+AJ27)</f>
        <v/>
      </c>
      <c r="AL27" s="41">
        <f>'Dec2026-COLLECTION'!K26</f>
        <v/>
      </c>
      <c r="AM27" s="174">
        <f>'Dec2026-EXPENSE'!R30</f>
        <v/>
      </c>
      <c r="AN27" s="174" t="n"/>
      <c r="AO27" s="174">
        <f>AL27-(AM27+AN27)</f>
        <v/>
      </c>
      <c r="AP27" s="7">
        <f>'Jan2027-COLLECTION'!K26</f>
        <v/>
      </c>
      <c r="AQ27" s="10">
        <f>'Jan2027-EXPENSE'!R30</f>
        <v/>
      </c>
      <c r="AR27" s="10" t="n"/>
      <c r="AS27" s="174">
        <f>AP27-(AQ27+AR27)</f>
        <v/>
      </c>
      <c r="AT27" s="7">
        <f>'Feb2027-COLLECTION'!K26</f>
        <v/>
      </c>
      <c r="AU27" s="10">
        <f>'Feb2027-EXPENSE'!R30</f>
        <v/>
      </c>
      <c r="AV27" s="10" t="n"/>
      <c r="AW27" s="174">
        <f>AT27-(AU27+AV27)</f>
        <v/>
      </c>
      <c r="AX27" s="7">
        <f>'Mar2027-COLLECTION'!K26</f>
        <v/>
      </c>
      <c r="AY27" s="10">
        <f>'Mar2027-EXPENSE'!R30</f>
        <v/>
      </c>
      <c r="AZ27" s="10" t="n"/>
      <c r="BA27" s="174">
        <f>AX27-(AY27+AZ27)</f>
        <v/>
      </c>
      <c r="BB27" s="172">
        <f>SUM(F27,J27,N27,R27,V27,Z27,AD27,AH27,AL27,AP27,AT27,AX27)</f>
        <v/>
      </c>
      <c r="BC27" s="172">
        <f>SUM(G27,K27,O27,S27,W27,AA27,AE27,AI27,AM27,AQ27,AU27,AY27)</f>
        <v/>
      </c>
      <c r="BD27" s="172">
        <f>SUM(H27,L27,P27,T27,X27,AB27,AF27,AJ27,AN27,AR27,AV27,AZ27)</f>
        <v/>
      </c>
      <c r="BE27" s="172">
        <f>BB27-(BC27+BD27)</f>
        <v/>
      </c>
      <c r="BF27" s="172">
        <f>E27+BE27</f>
        <v/>
      </c>
      <c r="BG27" s="175" t="n">
        <v>0</v>
      </c>
    </row>
    <row r="28" ht="15.75" customHeight="1" s="251">
      <c r="A28" s="169" t="inlineStr">
        <is>
          <t>G10</t>
        </is>
      </c>
      <c r="B28" s="13" t="n"/>
      <c r="C28" s="13" t="inlineStr">
        <is>
          <t xml:space="preserve">Cijo Jacob / Thara Joy </t>
        </is>
      </c>
      <c r="D28" s="170" t="n">
        <v>0</v>
      </c>
      <c r="E28" s="175" t="n">
        <v>0</v>
      </c>
      <c r="F28" s="171">
        <f>'Apr2026-COLLECTION'!K27</f>
        <v/>
      </c>
      <c r="G28" s="172">
        <f>'Apr2026-EXPENSE'!R31</f>
        <v/>
      </c>
      <c r="H28" s="172" t="n"/>
      <c r="I28" s="172">
        <f>F28-(G28+H28)</f>
        <v/>
      </c>
      <c r="J28" s="173">
        <f>'May2026-COLLECTION'!K27</f>
        <v/>
      </c>
      <c r="K28" s="174">
        <f>'May2026-EXPENSE'!R31</f>
        <v/>
      </c>
      <c r="L28" s="174" t="n"/>
      <c r="M28" s="174">
        <f>J28-(K28+L28)</f>
        <v/>
      </c>
      <c r="N28" s="172">
        <f>'June2026-COLLECTION'!K27</f>
        <v/>
      </c>
      <c r="O28" s="172">
        <f>'June2026-EXPENSE'!R31</f>
        <v/>
      </c>
      <c r="P28" s="172" t="n"/>
      <c r="Q28" s="172">
        <f>N28-(O28+P28)</f>
        <v/>
      </c>
      <c r="R28" s="41">
        <f>'July2026-COLLECTION'!K27</f>
        <v/>
      </c>
      <c r="S28" s="174">
        <f>'July2026-EXPENSE'!R31</f>
        <v/>
      </c>
      <c r="T28" s="174" t="n"/>
      <c r="U28" s="174">
        <f>R28-(S28+T28)</f>
        <v/>
      </c>
      <c r="V28" s="167">
        <f>'Aug2026-COLLECTION'!K27</f>
        <v/>
      </c>
      <c r="W28" s="172">
        <f>'Aug2026-EXPENSE'!R31</f>
        <v/>
      </c>
      <c r="X28" s="172" t="n"/>
      <c r="Y28" s="172">
        <f>V28-(W28+X28)</f>
        <v/>
      </c>
      <c r="Z28" s="41">
        <f>'Sep2026-COLLECTION'!K27</f>
        <v/>
      </c>
      <c r="AA28" s="174">
        <f>'Sep2026-EXPENSE'!R31</f>
        <v/>
      </c>
      <c r="AB28" s="174" t="n"/>
      <c r="AC28" s="174">
        <f>Z28-(AA28+AB28)</f>
        <v/>
      </c>
      <c r="AD28" s="41">
        <f>'Oct2026-COLLECTION'!K27</f>
        <v/>
      </c>
      <c r="AE28" s="174">
        <f>'Oct2026-EXPENSE'!R31</f>
        <v/>
      </c>
      <c r="AF28" s="174" t="n"/>
      <c r="AG28" s="174">
        <f>AD28-(AE28+AF28)</f>
        <v/>
      </c>
      <c r="AH28" s="41">
        <f>'Nov2026-COLLECTION'!K27</f>
        <v/>
      </c>
      <c r="AI28" s="174">
        <f>'Nov2026-EXPENSE'!R31</f>
        <v/>
      </c>
      <c r="AJ28" s="174" t="n"/>
      <c r="AK28" s="174">
        <f>AH28-(AI28+AJ28)</f>
        <v/>
      </c>
      <c r="AL28" s="41">
        <f>'Dec2026-COLLECTION'!K27</f>
        <v/>
      </c>
      <c r="AM28" s="174">
        <f>'Dec2026-EXPENSE'!R31</f>
        <v/>
      </c>
      <c r="AN28" s="174" t="n"/>
      <c r="AO28" s="174">
        <f>AL28-(AM28+AN28)</f>
        <v/>
      </c>
      <c r="AP28" s="7">
        <f>'Jan2027-COLLECTION'!K27</f>
        <v/>
      </c>
      <c r="AQ28" s="10">
        <f>'Jan2027-EXPENSE'!R31</f>
        <v/>
      </c>
      <c r="AR28" s="10" t="n"/>
      <c r="AS28" s="174">
        <f>AP28-(AQ28+AR28)</f>
        <v/>
      </c>
      <c r="AT28" s="7">
        <f>'Feb2027-COLLECTION'!K27</f>
        <v/>
      </c>
      <c r="AU28" s="10">
        <f>'Feb2027-EXPENSE'!R31</f>
        <v/>
      </c>
      <c r="AV28" s="10" t="n"/>
      <c r="AW28" s="174">
        <f>AT28-(AU28+AV28)</f>
        <v/>
      </c>
      <c r="AX28" s="7">
        <f>'Mar2027-COLLECTION'!K27</f>
        <v/>
      </c>
      <c r="AY28" s="10">
        <f>'Mar2027-EXPENSE'!R31</f>
        <v/>
      </c>
      <c r="AZ28" s="10" t="n"/>
      <c r="BA28" s="174">
        <f>AX28-(AY28+AZ28)</f>
        <v/>
      </c>
      <c r="BB28" s="172">
        <f>SUM(F28,J28,N28,R28,V28,Z28,AD28,AH28,AL28,AP28,AT28,AX28)</f>
        <v/>
      </c>
      <c r="BC28" s="172">
        <f>SUM(G28,K28,O28,S28,W28,AA28,AE28,AI28,AM28,AQ28,AU28,AY28)</f>
        <v/>
      </c>
      <c r="BD28" s="172">
        <f>SUM(H28,L28,P28,T28,X28,AB28,AF28,AJ28,AN28,AR28,AV28,AZ28)</f>
        <v/>
      </c>
      <c r="BE28" s="172">
        <f>BB28-(BC28+BD28)</f>
        <v/>
      </c>
      <c r="BF28" s="172">
        <f>E28+BE28</f>
        <v/>
      </c>
      <c r="BG28" s="175" t="n">
        <v>0</v>
      </c>
    </row>
    <row r="29" ht="15.75" customHeight="1" s="251">
      <c r="A29" s="169" t="inlineStr">
        <is>
          <t>G11</t>
        </is>
      </c>
      <c r="B29" s="13" t="n"/>
      <c r="C29" s="13" t="inlineStr">
        <is>
          <t>Ketan Verlekar</t>
        </is>
      </c>
      <c r="D29" s="170" t="n">
        <v>0</v>
      </c>
      <c r="E29" s="175" t="n">
        <v>0</v>
      </c>
      <c r="F29" s="171">
        <f>'Apr2026-COLLECTION'!K28</f>
        <v/>
      </c>
      <c r="G29" s="172">
        <f>'Apr2026-EXPENSE'!R32</f>
        <v/>
      </c>
      <c r="H29" s="172" t="n"/>
      <c r="I29" s="172">
        <f>F29-(G29+H29)</f>
        <v/>
      </c>
      <c r="J29" s="173">
        <f>'May2026-COLLECTION'!K28</f>
        <v/>
      </c>
      <c r="K29" s="174">
        <f>'May2026-EXPENSE'!R32</f>
        <v/>
      </c>
      <c r="L29" s="174" t="n"/>
      <c r="M29" s="174">
        <f>J29-(K29+L29)</f>
        <v/>
      </c>
      <c r="N29" s="172">
        <f>'June2026-COLLECTION'!K28</f>
        <v/>
      </c>
      <c r="O29" s="172">
        <f>'June2026-EXPENSE'!R32</f>
        <v/>
      </c>
      <c r="P29" s="172" t="n"/>
      <c r="Q29" s="172">
        <f>N29-(O29+P29)</f>
        <v/>
      </c>
      <c r="R29" s="41">
        <f>'July2026-COLLECTION'!K28</f>
        <v/>
      </c>
      <c r="S29" s="174">
        <f>'July2026-EXPENSE'!R32</f>
        <v/>
      </c>
      <c r="T29" s="174" t="n"/>
      <c r="U29" s="174">
        <f>R29-(S29+T29)</f>
        <v/>
      </c>
      <c r="V29" s="167">
        <f>'Aug2026-COLLECTION'!K28</f>
        <v/>
      </c>
      <c r="W29" s="172">
        <f>'Aug2026-EXPENSE'!R32</f>
        <v/>
      </c>
      <c r="X29" s="172" t="n"/>
      <c r="Y29" s="172">
        <f>V29-(W29+X29)</f>
        <v/>
      </c>
      <c r="Z29" s="41">
        <f>'Sep2026-COLLECTION'!K28</f>
        <v/>
      </c>
      <c r="AA29" s="174">
        <f>'Sep2026-EXPENSE'!R32</f>
        <v/>
      </c>
      <c r="AB29" s="174" t="n"/>
      <c r="AC29" s="174">
        <f>Z29-(AA29+AB29)</f>
        <v/>
      </c>
      <c r="AD29" s="41">
        <f>'Oct2026-COLLECTION'!K28</f>
        <v/>
      </c>
      <c r="AE29" s="174">
        <f>'Oct2026-EXPENSE'!R32</f>
        <v/>
      </c>
      <c r="AF29" s="174" t="n"/>
      <c r="AG29" s="174">
        <f>AD29-(AE29+AF29)</f>
        <v/>
      </c>
      <c r="AH29" s="41">
        <f>'Nov2026-COLLECTION'!K28</f>
        <v/>
      </c>
      <c r="AI29" s="174">
        <f>'Nov2026-EXPENSE'!R32</f>
        <v/>
      </c>
      <c r="AJ29" s="174" t="n"/>
      <c r="AK29" s="174">
        <f>AH29-(AI29+AJ29)</f>
        <v/>
      </c>
      <c r="AL29" s="41">
        <f>'Dec2026-COLLECTION'!K28</f>
        <v/>
      </c>
      <c r="AM29" s="174">
        <f>'Dec2026-EXPENSE'!R32</f>
        <v/>
      </c>
      <c r="AN29" s="174" t="n"/>
      <c r="AO29" s="174">
        <f>AL29-(AM29+AN29)</f>
        <v/>
      </c>
      <c r="AP29" s="7">
        <f>'Jan2027-COLLECTION'!K28</f>
        <v/>
      </c>
      <c r="AQ29" s="10">
        <f>'Jan2027-EXPENSE'!R32</f>
        <v/>
      </c>
      <c r="AR29" s="10" t="n"/>
      <c r="AS29" s="174">
        <f>AP29-(AQ29+AR29)</f>
        <v/>
      </c>
      <c r="AT29" s="7">
        <f>'Feb2027-COLLECTION'!K28</f>
        <v/>
      </c>
      <c r="AU29" s="10">
        <f>'Feb2027-EXPENSE'!R32</f>
        <v/>
      </c>
      <c r="AV29" s="10" t="n"/>
      <c r="AW29" s="174">
        <f>AT29-(AU29+AV29)</f>
        <v/>
      </c>
      <c r="AX29" s="7">
        <f>'Mar2027-COLLECTION'!K28</f>
        <v/>
      </c>
      <c r="AY29" s="10">
        <f>'Mar2027-EXPENSE'!R32</f>
        <v/>
      </c>
      <c r="AZ29" s="10" t="n"/>
      <c r="BA29" s="174">
        <f>AX29-(AY29+AZ29)</f>
        <v/>
      </c>
      <c r="BB29" s="172">
        <f>SUM(F29,J29,N29,R29,V29,Z29,AD29,AH29,AL29,AP29,AT29,AX29)</f>
        <v/>
      </c>
      <c r="BC29" s="172">
        <f>SUM(G29,K29,O29,S29,W29,AA29,AE29,AI29,AM29,AQ29,AU29,AY29)</f>
        <v/>
      </c>
      <c r="BD29" s="172">
        <f>SUM(H29,L29,P29,T29,X29,AB29,AF29,AJ29,AN29,AR29,AV29,AZ29)</f>
        <v/>
      </c>
      <c r="BE29" s="172">
        <f>BB29-(BC29+BD29)</f>
        <v/>
      </c>
      <c r="BF29" s="172">
        <f>E29+BE29</f>
        <v/>
      </c>
      <c r="BG29" s="175" t="n">
        <v>0</v>
      </c>
    </row>
    <row r="30" ht="15.75" customHeight="1" s="251">
      <c r="A30" s="169" t="inlineStr">
        <is>
          <t>G12</t>
        </is>
      </c>
      <c r="B30" s="13" t="n"/>
      <c r="C30" s="13" t="inlineStr">
        <is>
          <t>Shyam Nair</t>
        </is>
      </c>
      <c r="D30" s="170" t="n">
        <v>0</v>
      </c>
      <c r="E30" s="175" t="n">
        <v>0</v>
      </c>
      <c r="F30" s="171">
        <f>'Apr2026-COLLECTION'!K29</f>
        <v/>
      </c>
      <c r="G30" s="172">
        <f>'Apr2026-EXPENSE'!R33</f>
        <v/>
      </c>
      <c r="H30" s="172" t="n"/>
      <c r="I30" s="172">
        <f>F30-(G30+H30)</f>
        <v/>
      </c>
      <c r="J30" s="173">
        <f>'May2026-COLLECTION'!K29</f>
        <v/>
      </c>
      <c r="K30" s="174">
        <f>'May2026-EXPENSE'!R33</f>
        <v/>
      </c>
      <c r="L30" s="174" t="n"/>
      <c r="M30" s="174">
        <f>J30-(K30+L30)</f>
        <v/>
      </c>
      <c r="N30" s="172">
        <f>'June2026-COLLECTION'!K29</f>
        <v/>
      </c>
      <c r="O30" s="172">
        <f>'June2026-EXPENSE'!R33</f>
        <v/>
      </c>
      <c r="P30" s="172" t="n"/>
      <c r="Q30" s="172">
        <f>N30-(O30+P30)</f>
        <v/>
      </c>
      <c r="R30" s="41">
        <f>'July2026-COLLECTION'!K29</f>
        <v/>
      </c>
      <c r="S30" s="174">
        <f>'July2026-EXPENSE'!R33</f>
        <v/>
      </c>
      <c r="T30" s="174" t="n"/>
      <c r="U30" s="174">
        <f>R30-(S30+T30)</f>
        <v/>
      </c>
      <c r="V30" s="167">
        <f>'Aug2026-COLLECTION'!K29</f>
        <v/>
      </c>
      <c r="W30" s="172">
        <f>'Aug2026-EXPENSE'!R33</f>
        <v/>
      </c>
      <c r="X30" s="172" t="n"/>
      <c r="Y30" s="172">
        <f>V30-(W30+X30)</f>
        <v/>
      </c>
      <c r="Z30" s="41">
        <f>'Sep2026-COLLECTION'!K29</f>
        <v/>
      </c>
      <c r="AA30" s="174">
        <f>'Sep2026-EXPENSE'!R33</f>
        <v/>
      </c>
      <c r="AB30" s="174" t="n"/>
      <c r="AC30" s="174">
        <f>Z30-(AA30+AB30)</f>
        <v/>
      </c>
      <c r="AD30" s="41">
        <f>'Oct2026-COLLECTION'!K29</f>
        <v/>
      </c>
      <c r="AE30" s="174">
        <f>'Oct2026-EXPENSE'!R33</f>
        <v/>
      </c>
      <c r="AF30" s="174" t="n"/>
      <c r="AG30" s="174">
        <f>AD30-(AE30+AF30)</f>
        <v/>
      </c>
      <c r="AH30" s="41">
        <f>'Nov2026-COLLECTION'!K29</f>
        <v/>
      </c>
      <c r="AI30" s="174">
        <f>'Nov2026-EXPENSE'!R33</f>
        <v/>
      </c>
      <c r="AJ30" s="174" t="n"/>
      <c r="AK30" s="174">
        <f>AH30-(AI30+AJ30)</f>
        <v/>
      </c>
      <c r="AL30" s="41">
        <f>'Dec2026-COLLECTION'!K29</f>
        <v/>
      </c>
      <c r="AM30" s="174">
        <f>'Dec2026-EXPENSE'!R33</f>
        <v/>
      </c>
      <c r="AN30" s="174" t="n"/>
      <c r="AO30" s="174">
        <f>AL30-(AM30+AN30)</f>
        <v/>
      </c>
      <c r="AP30" s="7">
        <f>'Jan2027-COLLECTION'!K29</f>
        <v/>
      </c>
      <c r="AQ30" s="10">
        <f>'Jan2027-EXPENSE'!R33</f>
        <v/>
      </c>
      <c r="AR30" s="10" t="n"/>
      <c r="AS30" s="174">
        <f>AP30-(AQ30+AR30)</f>
        <v/>
      </c>
      <c r="AT30" s="7">
        <f>'Feb2027-COLLECTION'!K29</f>
        <v/>
      </c>
      <c r="AU30" s="10">
        <f>'Feb2027-EXPENSE'!R33</f>
        <v/>
      </c>
      <c r="AV30" s="10" t="n"/>
      <c r="AW30" s="174">
        <f>AT30-(AU30+AV30)</f>
        <v/>
      </c>
      <c r="AX30" s="7">
        <f>'Mar2027-COLLECTION'!K29</f>
        <v/>
      </c>
      <c r="AY30" s="10">
        <f>'Mar2027-EXPENSE'!R33</f>
        <v/>
      </c>
      <c r="AZ30" s="10" t="n"/>
      <c r="BA30" s="174">
        <f>AX30-(AY30+AZ30)</f>
        <v/>
      </c>
      <c r="BB30" s="172">
        <f>SUM(F30,J30,N30,R30,V30,Z30,AD30,AH30,AL30,AP30,AT30,AX30)</f>
        <v/>
      </c>
      <c r="BC30" s="172">
        <f>SUM(G30,K30,O30,S30,W30,AA30,AE30,AI30,AM30,AQ30,AU30,AY30)</f>
        <v/>
      </c>
      <c r="BD30" s="172">
        <f>SUM(H30,L30,P30,T30,X30,AB30,AF30,AJ30,AN30,AR30,AV30,AZ30)</f>
        <v/>
      </c>
      <c r="BE30" s="172">
        <f>BB30-(BC30+BD30)</f>
        <v/>
      </c>
      <c r="BF30" s="172">
        <f>E30+BE30</f>
        <v/>
      </c>
      <c r="BG30" s="175" t="n">
        <v>0</v>
      </c>
    </row>
    <row r="31" ht="15.75" customHeight="1" s="251">
      <c r="A31" s="169" t="inlineStr">
        <is>
          <t>G13</t>
        </is>
      </c>
      <c r="B31" s="13" t="n"/>
      <c r="C31" s="13" t="inlineStr">
        <is>
          <t>Ajai.B</t>
        </is>
      </c>
      <c r="D31" s="170" t="n">
        <v>0</v>
      </c>
      <c r="E31" s="175" t="n">
        <v>0</v>
      </c>
      <c r="F31" s="171">
        <f>'Apr2026-COLLECTION'!K30</f>
        <v/>
      </c>
      <c r="G31" s="172">
        <f>'Apr2026-EXPENSE'!R34</f>
        <v/>
      </c>
      <c r="H31" s="172" t="n"/>
      <c r="I31" s="172">
        <f>F31-(G31+H31)</f>
        <v/>
      </c>
      <c r="J31" s="173">
        <f>'May2026-COLLECTION'!K30</f>
        <v/>
      </c>
      <c r="K31" s="174">
        <f>'May2026-EXPENSE'!R34</f>
        <v/>
      </c>
      <c r="L31" s="174" t="n">
        <v>0</v>
      </c>
      <c r="M31" s="174">
        <f>J31-(K31+L31)</f>
        <v/>
      </c>
      <c r="N31" s="172">
        <f>'June2026-COLLECTION'!K30</f>
        <v/>
      </c>
      <c r="O31" s="172">
        <f>'June2026-EXPENSE'!R34</f>
        <v/>
      </c>
      <c r="P31" s="172" t="n"/>
      <c r="Q31" s="172">
        <f>N31-(O31+P31)</f>
        <v/>
      </c>
      <c r="R31" s="41">
        <f>'July2026-COLLECTION'!K30</f>
        <v/>
      </c>
      <c r="S31" s="174">
        <f>'July2026-EXPENSE'!R34</f>
        <v/>
      </c>
      <c r="T31" s="174" t="n"/>
      <c r="U31" s="174">
        <f>R31-(S31+T31)</f>
        <v/>
      </c>
      <c r="V31" s="167">
        <f>'Aug2026-COLLECTION'!K30</f>
        <v/>
      </c>
      <c r="W31" s="172">
        <f>'Aug2026-EXPENSE'!R34</f>
        <v/>
      </c>
      <c r="X31" s="172" t="n"/>
      <c r="Y31" s="172">
        <f>V31-(W31+X31)</f>
        <v/>
      </c>
      <c r="Z31" s="41">
        <f>'Sep2026-COLLECTION'!K30</f>
        <v/>
      </c>
      <c r="AA31" s="174">
        <f>'Sep2026-EXPENSE'!R34</f>
        <v/>
      </c>
      <c r="AB31" s="174" t="n"/>
      <c r="AC31" s="174">
        <f>Z31-(AA31+AB31)</f>
        <v/>
      </c>
      <c r="AD31" s="41">
        <f>'Oct2026-COLLECTION'!K30</f>
        <v/>
      </c>
      <c r="AE31" s="174">
        <f>'Oct2026-EXPENSE'!R34</f>
        <v/>
      </c>
      <c r="AF31" s="174" t="n"/>
      <c r="AG31" s="174">
        <f>AD31-(AE31+AF31)</f>
        <v/>
      </c>
      <c r="AH31" s="41">
        <f>'Nov2026-COLLECTION'!K30</f>
        <v/>
      </c>
      <c r="AI31" s="174">
        <f>'Nov2026-EXPENSE'!R34</f>
        <v/>
      </c>
      <c r="AJ31" s="174" t="n"/>
      <c r="AK31" s="174">
        <f>AH31-(AI31+AJ31)</f>
        <v/>
      </c>
      <c r="AL31" s="41">
        <f>'Dec2026-COLLECTION'!K30</f>
        <v/>
      </c>
      <c r="AM31" s="174">
        <f>'Dec2026-EXPENSE'!R34</f>
        <v/>
      </c>
      <c r="AN31" s="174" t="n"/>
      <c r="AO31" s="174">
        <f>AL31-(AM31+AN31)</f>
        <v/>
      </c>
      <c r="AP31" s="7">
        <f>'Jan2027-COLLECTION'!K30</f>
        <v/>
      </c>
      <c r="AQ31" s="10">
        <f>'Jan2027-EXPENSE'!R34</f>
        <v/>
      </c>
      <c r="AR31" s="10" t="n"/>
      <c r="AS31" s="174">
        <f>AP31-(AQ31+AR31)</f>
        <v/>
      </c>
      <c r="AT31" s="7">
        <f>'Feb2027-COLLECTION'!K30</f>
        <v/>
      </c>
      <c r="AU31" s="10">
        <f>'Feb2027-EXPENSE'!R34</f>
        <v/>
      </c>
      <c r="AV31" s="10" t="n"/>
      <c r="AW31" s="174">
        <f>AT31-(AU31+AV31)</f>
        <v/>
      </c>
      <c r="AX31" s="7">
        <f>'Mar2027-COLLECTION'!K30</f>
        <v/>
      </c>
      <c r="AY31" s="10">
        <f>'Mar2027-EXPENSE'!R34</f>
        <v/>
      </c>
      <c r="AZ31" s="10" t="n"/>
      <c r="BA31" s="174">
        <f>AX31-(AY31+AZ31)</f>
        <v/>
      </c>
      <c r="BB31" s="172">
        <f>SUM(F31,J31,N31,R31,V31,Z31,AD31,AH31,AL31,AP31,AT31,AX31)</f>
        <v/>
      </c>
      <c r="BC31" s="172">
        <f>SUM(G31,K31,O31,S31,W31,AA31,AE31,AI31,AM31,AQ31,AU31,AY31)</f>
        <v/>
      </c>
      <c r="BD31" s="172">
        <f>SUM(H31,L31,P31,T31,X31,AB31,AF31,AJ31,AN31,AR31,AV31,AZ31)</f>
        <v/>
      </c>
      <c r="BE31" s="172">
        <f>BB31-(BC31+BD31)</f>
        <v/>
      </c>
      <c r="BF31" s="172">
        <f>E31+BE31</f>
        <v/>
      </c>
      <c r="BG31" s="175" t="n">
        <v>0</v>
      </c>
    </row>
    <row r="32" ht="15.75" customHeight="1" s="251">
      <c r="A32" s="169" t="inlineStr">
        <is>
          <t>G14</t>
        </is>
      </c>
      <c r="B32" s="13" t="n"/>
      <c r="C32" s="13" t="inlineStr">
        <is>
          <t>Surajit Borah</t>
        </is>
      </c>
      <c r="D32" s="170" t="n">
        <v>0</v>
      </c>
      <c r="E32" s="175" t="n">
        <v>0</v>
      </c>
      <c r="F32" s="171">
        <f>'Apr2026-COLLECTION'!K31</f>
        <v/>
      </c>
      <c r="G32" s="172">
        <f>'Apr2026-EXPENSE'!R35</f>
        <v/>
      </c>
      <c r="H32" s="172" t="n"/>
      <c r="I32" s="172">
        <f>F32-(G32+H32)</f>
        <v/>
      </c>
      <c r="J32" s="173">
        <f>'May2026-COLLECTION'!K31</f>
        <v/>
      </c>
      <c r="K32" s="174">
        <f>'May2026-EXPENSE'!R35</f>
        <v/>
      </c>
      <c r="L32" s="174" t="n"/>
      <c r="M32" s="174">
        <f>J32-(K32+L32)</f>
        <v/>
      </c>
      <c r="N32" s="172">
        <f>'June2026-COLLECTION'!K31</f>
        <v/>
      </c>
      <c r="O32" s="172">
        <f>'June2026-EXPENSE'!R35</f>
        <v/>
      </c>
      <c r="P32" s="172" t="n"/>
      <c r="Q32" s="172">
        <f>N32-(O32+P32)</f>
        <v/>
      </c>
      <c r="R32" s="41">
        <f>'July2026-COLLECTION'!K31</f>
        <v/>
      </c>
      <c r="S32" s="174">
        <f>'July2026-EXPENSE'!R35</f>
        <v/>
      </c>
      <c r="T32" s="174" t="n"/>
      <c r="U32" s="174">
        <f>R32-(S32+T32)</f>
        <v/>
      </c>
      <c r="V32" s="167">
        <f>'Aug2026-COLLECTION'!K31</f>
        <v/>
      </c>
      <c r="W32" s="172">
        <f>'Aug2026-EXPENSE'!R35</f>
        <v/>
      </c>
      <c r="X32" s="172" t="n"/>
      <c r="Y32" s="172">
        <f>V32-(W32+X32)</f>
        <v/>
      </c>
      <c r="Z32" s="41">
        <f>'Sep2026-COLLECTION'!K31</f>
        <v/>
      </c>
      <c r="AA32" s="174">
        <f>'Sep2026-EXPENSE'!R35</f>
        <v/>
      </c>
      <c r="AB32" s="174" t="n"/>
      <c r="AC32" s="174">
        <f>Z32-(AA32+AB32)</f>
        <v/>
      </c>
      <c r="AD32" s="41">
        <f>'Oct2026-COLLECTION'!K31</f>
        <v/>
      </c>
      <c r="AE32" s="174">
        <f>'Oct2026-EXPENSE'!R35</f>
        <v/>
      </c>
      <c r="AF32" s="174" t="n"/>
      <c r="AG32" s="174">
        <f>AD32-(AE32+AF32)</f>
        <v/>
      </c>
      <c r="AH32" s="41">
        <f>'Nov2026-COLLECTION'!K31</f>
        <v/>
      </c>
      <c r="AI32" s="174">
        <f>'Nov2026-EXPENSE'!R35</f>
        <v/>
      </c>
      <c r="AJ32" s="174" t="n"/>
      <c r="AK32" s="174">
        <f>AH32-(AI32+AJ32)</f>
        <v/>
      </c>
      <c r="AL32" s="41">
        <f>'Dec2026-COLLECTION'!K31</f>
        <v/>
      </c>
      <c r="AM32" s="174">
        <f>'Dec2026-EXPENSE'!R35</f>
        <v/>
      </c>
      <c r="AN32" s="174" t="n"/>
      <c r="AO32" s="174">
        <f>AL32-(AM32+AN32)</f>
        <v/>
      </c>
      <c r="AP32" s="7">
        <f>'Jan2027-COLLECTION'!K31</f>
        <v/>
      </c>
      <c r="AQ32" s="10">
        <f>'Jan2027-EXPENSE'!R35</f>
        <v/>
      </c>
      <c r="AR32" s="10" t="n"/>
      <c r="AS32" s="174">
        <f>AP32-(AQ32+AR32)</f>
        <v/>
      </c>
      <c r="AT32" s="7">
        <f>'Feb2027-COLLECTION'!K31</f>
        <v/>
      </c>
      <c r="AU32" s="10">
        <f>'Feb2027-EXPENSE'!R35</f>
        <v/>
      </c>
      <c r="AV32" s="10" t="n"/>
      <c r="AW32" s="174">
        <f>AT32-(AU32+AV32)</f>
        <v/>
      </c>
      <c r="AX32" s="7">
        <f>'Mar2027-COLLECTION'!K31</f>
        <v/>
      </c>
      <c r="AY32" s="10">
        <f>'Mar2027-EXPENSE'!R35</f>
        <v/>
      </c>
      <c r="AZ32" s="10" t="n"/>
      <c r="BA32" s="174">
        <f>AX32-(AY32+AZ32)</f>
        <v/>
      </c>
      <c r="BB32" s="172">
        <f>SUM(F32,J32,N32,R32,V32,Z32,AD32,AH32,AL32,AP32,AT32,AX32)</f>
        <v/>
      </c>
      <c r="BC32" s="172">
        <f>SUM(G32,K32,O32,S32,W32,AA32,AE32,AI32,AM32,AQ32,AU32,AY32)</f>
        <v/>
      </c>
      <c r="BD32" s="172">
        <f>SUM(H32,L32,P32,T32,X32,AB32,AF32,AJ32,AN32,AR32,AV32,AZ32)</f>
        <v/>
      </c>
      <c r="BE32" s="172">
        <f>BB32-(BC32+BD32)</f>
        <v/>
      </c>
      <c r="BF32" s="172">
        <f>E32+BE32</f>
        <v/>
      </c>
      <c r="BG32" s="175" t="n">
        <v>0</v>
      </c>
    </row>
    <row r="33" ht="15.75" customHeight="1" s="251">
      <c r="A33" s="169" t="inlineStr">
        <is>
          <t>G15</t>
        </is>
      </c>
      <c r="B33" s="13" t="n"/>
      <c r="C33" s="13" t="inlineStr">
        <is>
          <t>Suresh Nallusamy / Antriksh (tenant)</t>
        </is>
      </c>
      <c r="D33" s="170" t="n">
        <v>0</v>
      </c>
      <c r="E33" s="175" t="n">
        <v>0</v>
      </c>
      <c r="F33" s="171">
        <f>'Apr2026-COLLECTION'!K32</f>
        <v/>
      </c>
      <c r="G33" s="172">
        <f>'Apr2026-EXPENSE'!R36</f>
        <v/>
      </c>
      <c r="H33" s="172" t="n"/>
      <c r="I33" s="172">
        <f>F33-(G33+H33)</f>
        <v/>
      </c>
      <c r="J33" s="173">
        <f>'May2026-COLLECTION'!K32</f>
        <v/>
      </c>
      <c r="K33" s="174">
        <f>'May2026-EXPENSE'!R36</f>
        <v/>
      </c>
      <c r="L33" s="174" t="n"/>
      <c r="M33" s="174">
        <f>J33-(K33+L33)</f>
        <v/>
      </c>
      <c r="N33" s="172">
        <f>'June2026-COLLECTION'!K32</f>
        <v/>
      </c>
      <c r="O33" s="172">
        <f>'June2026-EXPENSE'!R36</f>
        <v/>
      </c>
      <c r="P33" s="172" t="n"/>
      <c r="Q33" s="172">
        <f>N33-(O33+P33)</f>
        <v/>
      </c>
      <c r="R33" s="41">
        <f>'July2026-COLLECTION'!K32</f>
        <v/>
      </c>
      <c r="S33" s="174">
        <f>'July2026-EXPENSE'!R36</f>
        <v/>
      </c>
      <c r="T33" s="174" t="n"/>
      <c r="U33" s="174">
        <f>R33-(S33+T33)</f>
        <v/>
      </c>
      <c r="V33" s="167">
        <f>'Aug2026-COLLECTION'!K32</f>
        <v/>
      </c>
      <c r="W33" s="172">
        <f>'Aug2026-EXPENSE'!R36</f>
        <v/>
      </c>
      <c r="X33" s="172" t="n"/>
      <c r="Y33" s="172">
        <f>V33-(W33+X33)</f>
        <v/>
      </c>
      <c r="Z33" s="41">
        <f>'Sep2026-COLLECTION'!K32</f>
        <v/>
      </c>
      <c r="AA33" s="174">
        <f>'Sep2026-EXPENSE'!R36</f>
        <v/>
      </c>
      <c r="AB33" s="174" t="n"/>
      <c r="AC33" s="174">
        <f>Z33-(AA33+AB33)</f>
        <v/>
      </c>
      <c r="AD33" s="41">
        <f>'Oct2026-COLLECTION'!K32</f>
        <v/>
      </c>
      <c r="AE33" s="174">
        <f>'Oct2026-EXPENSE'!R36</f>
        <v/>
      </c>
      <c r="AF33" s="174" t="n"/>
      <c r="AG33" s="174">
        <f>AD33-(AE33+AF33)</f>
        <v/>
      </c>
      <c r="AH33" s="41">
        <f>'Nov2026-COLLECTION'!K32</f>
        <v/>
      </c>
      <c r="AI33" s="174">
        <f>'Nov2026-EXPENSE'!R36</f>
        <v/>
      </c>
      <c r="AJ33" s="174" t="n"/>
      <c r="AK33" s="174">
        <f>AH33-(AI33+AJ33)</f>
        <v/>
      </c>
      <c r="AL33" s="41">
        <f>'Dec2026-COLLECTION'!K32</f>
        <v/>
      </c>
      <c r="AM33" s="174">
        <f>'Dec2026-EXPENSE'!R36</f>
        <v/>
      </c>
      <c r="AN33" s="174" t="n"/>
      <c r="AO33" s="174">
        <f>AL33-(AM33+AN33)</f>
        <v/>
      </c>
      <c r="AP33" s="7">
        <f>'Jan2027-COLLECTION'!K32</f>
        <v/>
      </c>
      <c r="AQ33" s="10">
        <f>'Jan2027-EXPENSE'!R36</f>
        <v/>
      </c>
      <c r="AR33" s="10" t="n"/>
      <c r="AS33" s="174">
        <f>AP33-(AQ33+AR33)</f>
        <v/>
      </c>
      <c r="AT33" s="7">
        <f>'Feb2027-COLLECTION'!K32</f>
        <v/>
      </c>
      <c r="AU33" s="10">
        <f>'Feb2027-EXPENSE'!R36</f>
        <v/>
      </c>
      <c r="AV33" s="10" t="n"/>
      <c r="AW33" s="174">
        <f>AT33-(AU33+AV33)</f>
        <v/>
      </c>
      <c r="AX33" s="7">
        <f>'Mar2027-COLLECTION'!K32</f>
        <v/>
      </c>
      <c r="AY33" s="10">
        <f>'Mar2027-EXPENSE'!R36</f>
        <v/>
      </c>
      <c r="AZ33" s="10" t="n"/>
      <c r="BA33" s="174">
        <f>AX33-(AY33+AZ33)</f>
        <v/>
      </c>
      <c r="BB33" s="172">
        <f>SUM(F33,J33,N33,R33,V33,Z33,AD33,AH33,AL33,AP33,AT33,AX33)</f>
        <v/>
      </c>
      <c r="BC33" s="172">
        <f>SUM(G33,K33,O33,S33,W33,AA33,AE33,AI33,AM33,AQ33,AU33,AY33)</f>
        <v/>
      </c>
      <c r="BD33" s="172">
        <f>SUM(H33,L33,P33,T33,X33,AB33,AF33,AJ33,AN33,AR33,AV33,AZ33)</f>
        <v/>
      </c>
      <c r="BE33" s="172">
        <f>BB33-(BC33+BD33)</f>
        <v/>
      </c>
      <c r="BF33" s="172">
        <f>E33+BE33</f>
        <v/>
      </c>
      <c r="BG33" s="175" t="n">
        <v>0</v>
      </c>
    </row>
    <row r="34" ht="15.75" customHeight="1" s="251">
      <c r="A34" s="169" t="inlineStr">
        <is>
          <t>G16</t>
        </is>
      </c>
      <c r="B34" s="13" t="n"/>
      <c r="C34" s="13" t="inlineStr">
        <is>
          <t>Praveen Ganesan</t>
        </is>
      </c>
      <c r="D34" s="170" t="n">
        <v>0</v>
      </c>
      <c r="E34" s="175" t="n">
        <v>0</v>
      </c>
      <c r="F34" s="171">
        <f>'Apr2026-COLLECTION'!K33</f>
        <v/>
      </c>
      <c r="G34" s="172">
        <f>'Apr2026-EXPENSE'!R37</f>
        <v/>
      </c>
      <c r="H34" s="172" t="n"/>
      <c r="I34" s="172">
        <f>F34-(G34+H34)</f>
        <v/>
      </c>
      <c r="J34" s="173">
        <f>'May2026-COLLECTION'!K33</f>
        <v/>
      </c>
      <c r="K34" s="174">
        <f>'May2026-EXPENSE'!R37</f>
        <v/>
      </c>
      <c r="L34" s="174" t="n">
        <v>0</v>
      </c>
      <c r="M34" s="174">
        <f>J34-(K34+L34)</f>
        <v/>
      </c>
      <c r="N34" s="172">
        <f>'June2026-COLLECTION'!K33</f>
        <v/>
      </c>
      <c r="O34" s="172">
        <f>'June2026-EXPENSE'!R37</f>
        <v/>
      </c>
      <c r="P34" s="172" t="n"/>
      <c r="Q34" s="172">
        <f>N34-(O34+P34)</f>
        <v/>
      </c>
      <c r="R34" s="41">
        <f>'July2026-COLLECTION'!K33</f>
        <v/>
      </c>
      <c r="S34" s="174">
        <f>'July2026-EXPENSE'!R37</f>
        <v/>
      </c>
      <c r="T34" s="174" t="n"/>
      <c r="U34" s="174">
        <f>R34-(S34+T34)</f>
        <v/>
      </c>
      <c r="V34" s="167">
        <f>'Aug2026-COLLECTION'!K33</f>
        <v/>
      </c>
      <c r="W34" s="172">
        <f>'Aug2026-EXPENSE'!R37</f>
        <v/>
      </c>
      <c r="X34" s="172" t="n"/>
      <c r="Y34" s="172">
        <f>V34-(W34+X34)</f>
        <v/>
      </c>
      <c r="Z34" s="41">
        <f>'Sep2026-COLLECTION'!K33</f>
        <v/>
      </c>
      <c r="AA34" s="174">
        <f>'Sep2026-EXPENSE'!R37</f>
        <v/>
      </c>
      <c r="AB34" s="174" t="n"/>
      <c r="AC34" s="174">
        <f>Z34-(AA34+AB34)</f>
        <v/>
      </c>
      <c r="AD34" s="41">
        <f>'Oct2026-COLLECTION'!K33</f>
        <v/>
      </c>
      <c r="AE34" s="174">
        <f>'Oct2026-EXPENSE'!R37</f>
        <v/>
      </c>
      <c r="AF34" s="174" t="n"/>
      <c r="AG34" s="174">
        <f>AD34-(AE34+AF34)</f>
        <v/>
      </c>
      <c r="AH34" s="41">
        <f>'Nov2026-COLLECTION'!K33</f>
        <v/>
      </c>
      <c r="AI34" s="174">
        <f>'Nov2026-EXPENSE'!R37</f>
        <v/>
      </c>
      <c r="AJ34" s="174" t="n"/>
      <c r="AK34" s="174">
        <f>AH34-(AI34+AJ34)</f>
        <v/>
      </c>
      <c r="AL34" s="41">
        <f>'Dec2026-COLLECTION'!K33</f>
        <v/>
      </c>
      <c r="AM34" s="174">
        <f>'Dec2026-EXPENSE'!R37</f>
        <v/>
      </c>
      <c r="AN34" s="174" t="n"/>
      <c r="AO34" s="174">
        <f>AL34-(AM34+AN34)</f>
        <v/>
      </c>
      <c r="AP34" s="7">
        <f>'Jan2027-COLLECTION'!K33</f>
        <v/>
      </c>
      <c r="AQ34" s="10">
        <f>'Jan2027-EXPENSE'!R37</f>
        <v/>
      </c>
      <c r="AR34" s="10" t="n"/>
      <c r="AS34" s="174">
        <f>AP34-(AQ34+AR34)</f>
        <v/>
      </c>
      <c r="AT34" s="7">
        <f>'Feb2027-COLLECTION'!K33</f>
        <v/>
      </c>
      <c r="AU34" s="10">
        <f>'Feb2027-EXPENSE'!R37</f>
        <v/>
      </c>
      <c r="AV34" s="10" t="n"/>
      <c r="AW34" s="174">
        <f>AT34-(AU34+AV34)</f>
        <v/>
      </c>
      <c r="AX34" s="7">
        <f>'Mar2027-COLLECTION'!K33</f>
        <v/>
      </c>
      <c r="AY34" s="10">
        <f>'Mar2027-EXPENSE'!R37</f>
        <v/>
      </c>
      <c r="AZ34" s="10" t="n"/>
      <c r="BA34" s="174">
        <f>AX34-(AY34+AZ34)</f>
        <v/>
      </c>
      <c r="BB34" s="172">
        <f>SUM(F34,J34,N34,R34,V34,Z34,AD34,AH34,AL34,AP34,AT34,AX34)</f>
        <v/>
      </c>
      <c r="BC34" s="172">
        <f>SUM(G34,K34,O34,S34,W34,AA34,AE34,AI34,AM34,AQ34,AU34,AY34)</f>
        <v/>
      </c>
      <c r="BD34" s="172">
        <f>SUM(H34,L34,P34,T34,X34,AB34,AF34,AJ34,AN34,AR34,AV34,AZ34)</f>
        <v/>
      </c>
      <c r="BE34" s="172">
        <f>BB34-(BC34+BD34)</f>
        <v/>
      </c>
      <c r="BF34" s="172">
        <f>E34+BE34</f>
        <v/>
      </c>
      <c r="BG34" s="175" t="n">
        <v>0</v>
      </c>
    </row>
    <row r="35" ht="15.75" customHeight="1" s="251">
      <c r="A35" s="169" t="inlineStr">
        <is>
          <t>S1</t>
        </is>
      </c>
      <c r="B35" s="13" t="n"/>
      <c r="C35" s="13" t="inlineStr">
        <is>
          <t>S.N.Behera</t>
        </is>
      </c>
      <c r="D35" s="170" t="n">
        <v>0</v>
      </c>
      <c r="E35" s="175" t="n">
        <v>0</v>
      </c>
      <c r="F35" s="171">
        <f>'Apr2026-COLLECTION'!K34</f>
        <v/>
      </c>
      <c r="G35" s="172">
        <f>'Apr2026-EXPENSE'!R38</f>
        <v/>
      </c>
      <c r="H35" s="172" t="n"/>
      <c r="I35" s="172">
        <f>F35-(G35+H35)</f>
        <v/>
      </c>
      <c r="J35" s="173">
        <f>'May2026-COLLECTION'!K34</f>
        <v/>
      </c>
      <c r="K35" s="174">
        <f>'May2026-EXPENSE'!R38</f>
        <v/>
      </c>
      <c r="L35" s="174" t="n">
        <v>0</v>
      </c>
      <c r="M35" s="174">
        <f>J35-(K35+L35)</f>
        <v/>
      </c>
      <c r="N35" s="172">
        <f>'June2026-COLLECTION'!K34</f>
        <v/>
      </c>
      <c r="O35" s="172">
        <f>'June2026-EXPENSE'!R38</f>
        <v/>
      </c>
      <c r="P35" s="172" t="n"/>
      <c r="Q35" s="172">
        <f>N35-(O35+P35)</f>
        <v/>
      </c>
      <c r="R35" s="41">
        <f>'July2026-COLLECTION'!K34</f>
        <v/>
      </c>
      <c r="S35" s="174">
        <f>'July2026-EXPENSE'!R38</f>
        <v/>
      </c>
      <c r="T35" s="174" t="n"/>
      <c r="U35" s="174">
        <f>R35-(S35+T35)</f>
        <v/>
      </c>
      <c r="V35" s="167">
        <f>'Aug2026-COLLECTION'!K34</f>
        <v/>
      </c>
      <c r="W35" s="172">
        <f>'Aug2026-EXPENSE'!R38</f>
        <v/>
      </c>
      <c r="X35" s="172" t="n"/>
      <c r="Y35" s="172">
        <f>V35-(W35+X35)</f>
        <v/>
      </c>
      <c r="Z35" s="41">
        <f>'Sep2026-COLLECTION'!K34</f>
        <v/>
      </c>
      <c r="AA35" s="174">
        <f>'Sep2026-EXPENSE'!R38</f>
        <v/>
      </c>
      <c r="AB35" s="174" t="n"/>
      <c r="AC35" s="174">
        <f>Z35-(AA35+AB35)</f>
        <v/>
      </c>
      <c r="AD35" s="41">
        <f>'Oct2026-COLLECTION'!K34</f>
        <v/>
      </c>
      <c r="AE35" s="174">
        <f>'Oct2026-EXPENSE'!R38</f>
        <v/>
      </c>
      <c r="AF35" s="174" t="n"/>
      <c r="AG35" s="174">
        <f>AD35-(AE35+AF35)</f>
        <v/>
      </c>
      <c r="AH35" s="41">
        <f>'Nov2026-COLLECTION'!K34</f>
        <v/>
      </c>
      <c r="AI35" s="174">
        <f>'Nov2026-EXPENSE'!R38</f>
        <v/>
      </c>
      <c r="AJ35" s="174" t="n"/>
      <c r="AK35" s="174">
        <f>AH35-(AI35+AJ35)</f>
        <v/>
      </c>
      <c r="AL35" s="41">
        <f>'Dec2026-COLLECTION'!K34</f>
        <v/>
      </c>
      <c r="AM35" s="174">
        <f>'Dec2026-EXPENSE'!R38</f>
        <v/>
      </c>
      <c r="AN35" s="174" t="n"/>
      <c r="AO35" s="174">
        <f>AL35-(AM35+AN35)</f>
        <v/>
      </c>
      <c r="AP35" s="7">
        <f>'Jan2027-COLLECTION'!K34</f>
        <v/>
      </c>
      <c r="AQ35" s="10">
        <f>'Jan2027-EXPENSE'!R38</f>
        <v/>
      </c>
      <c r="AR35" s="10" t="n"/>
      <c r="AS35" s="174">
        <f>AP35-(AQ35+AR35)</f>
        <v/>
      </c>
      <c r="AT35" s="7">
        <f>'Feb2027-COLLECTION'!K34</f>
        <v/>
      </c>
      <c r="AU35" s="10">
        <f>'Feb2027-EXPENSE'!R38</f>
        <v/>
      </c>
      <c r="AV35" s="10" t="n"/>
      <c r="AW35" s="174">
        <f>AT35-(AU35+AV35)</f>
        <v/>
      </c>
      <c r="AX35" s="7">
        <f>'Mar2027-COLLECTION'!K34</f>
        <v/>
      </c>
      <c r="AY35" s="10">
        <f>'Mar2027-EXPENSE'!R38</f>
        <v/>
      </c>
      <c r="AZ35" s="10" t="n"/>
      <c r="BA35" s="174">
        <f>AX35-(AY35+AZ35)</f>
        <v/>
      </c>
      <c r="BB35" s="172">
        <f>SUM(F35,J35,N35,R35,V35,Z35,AD35,AH35,AL35,AP35,AT35,AX35)</f>
        <v/>
      </c>
      <c r="BC35" s="172">
        <f>SUM(G35,K35,O35,S35,W35,AA35,AE35,AI35,AM35,AQ35,AU35,AY35)</f>
        <v/>
      </c>
      <c r="BD35" s="172">
        <f>SUM(H35,L35,P35,T35,X35,AB35,AF35,AJ35,AN35,AR35,AV35,AZ35)</f>
        <v/>
      </c>
      <c r="BE35" s="172">
        <f>BB35-(BC35+BD35)</f>
        <v/>
      </c>
      <c r="BF35" s="172">
        <f>E35+BE35</f>
        <v/>
      </c>
      <c r="BG35" s="175" t="n">
        <v>0</v>
      </c>
    </row>
    <row r="36" ht="15.75" customHeight="1" s="251">
      <c r="A36" s="169" t="inlineStr">
        <is>
          <t>S2</t>
        </is>
      </c>
      <c r="B36" s="13" t="n"/>
      <c r="C36" s="13" t="inlineStr">
        <is>
          <t>Sonal Singhal</t>
        </is>
      </c>
      <c r="D36" s="170" t="n">
        <v>0</v>
      </c>
      <c r="E36" s="175" t="n">
        <v>0</v>
      </c>
      <c r="F36" s="171">
        <f>'Apr2026-COLLECTION'!K35</f>
        <v/>
      </c>
      <c r="G36" s="172">
        <f>'Apr2026-EXPENSE'!R39</f>
        <v/>
      </c>
      <c r="H36" s="172" t="n"/>
      <c r="I36" s="172">
        <f>F36-(G36+H36)</f>
        <v/>
      </c>
      <c r="J36" s="173">
        <f>'May2026-COLLECTION'!K35</f>
        <v/>
      </c>
      <c r="K36" s="174">
        <f>'May2026-EXPENSE'!R39</f>
        <v/>
      </c>
      <c r="L36" s="174" t="n">
        <v>0</v>
      </c>
      <c r="M36" s="174">
        <f>J36-(K36+L36)</f>
        <v/>
      </c>
      <c r="N36" s="172">
        <f>'June2026-COLLECTION'!K35</f>
        <v/>
      </c>
      <c r="O36" s="172">
        <f>'June2026-EXPENSE'!R39</f>
        <v/>
      </c>
      <c r="P36" s="172" t="n"/>
      <c r="Q36" s="172">
        <f>N36-(O36+P36)</f>
        <v/>
      </c>
      <c r="R36" s="41">
        <f>'July2026-COLLECTION'!K35</f>
        <v/>
      </c>
      <c r="S36" s="174">
        <f>'July2026-EXPENSE'!R39</f>
        <v/>
      </c>
      <c r="T36" s="174" t="n">
        <v>0</v>
      </c>
      <c r="U36" s="174">
        <f>R36-(S36+T36)</f>
        <v/>
      </c>
      <c r="V36" s="167">
        <f>'Aug2026-COLLECTION'!K35</f>
        <v/>
      </c>
      <c r="W36" s="172">
        <f>'Aug2026-EXPENSE'!R39</f>
        <v/>
      </c>
      <c r="X36" s="172" t="n"/>
      <c r="Y36" s="172">
        <f>V36-(W36+X36)</f>
        <v/>
      </c>
      <c r="Z36" s="41">
        <f>'Sep2026-COLLECTION'!K35</f>
        <v/>
      </c>
      <c r="AA36" s="174">
        <f>'Sep2026-EXPENSE'!R39</f>
        <v/>
      </c>
      <c r="AB36" s="174" t="n"/>
      <c r="AC36" s="174">
        <f>Z36-(AA36+AB36)</f>
        <v/>
      </c>
      <c r="AD36" s="41">
        <f>'Oct2026-COLLECTION'!K35</f>
        <v/>
      </c>
      <c r="AE36" s="174">
        <f>'Oct2026-EXPENSE'!R39</f>
        <v/>
      </c>
      <c r="AF36" s="174" t="n"/>
      <c r="AG36" s="174">
        <f>AD36-(AE36+AF36)</f>
        <v/>
      </c>
      <c r="AH36" s="41">
        <f>'Nov2026-COLLECTION'!K35</f>
        <v/>
      </c>
      <c r="AI36" s="174">
        <f>'Nov2026-EXPENSE'!R39</f>
        <v/>
      </c>
      <c r="AJ36" s="174" t="n"/>
      <c r="AK36" s="174">
        <f>AH36-(AI36+AJ36)</f>
        <v/>
      </c>
      <c r="AL36" s="41">
        <f>'Dec2026-COLLECTION'!K35</f>
        <v/>
      </c>
      <c r="AM36" s="174">
        <f>'Dec2026-EXPENSE'!R39</f>
        <v/>
      </c>
      <c r="AN36" s="174" t="n"/>
      <c r="AO36" s="174">
        <f>AL36-(AM36+AN36)</f>
        <v/>
      </c>
      <c r="AP36" s="7">
        <f>'Jan2027-COLLECTION'!K35</f>
        <v/>
      </c>
      <c r="AQ36" s="10">
        <f>'Jan2027-EXPENSE'!R39</f>
        <v/>
      </c>
      <c r="AR36" s="10" t="n"/>
      <c r="AS36" s="174">
        <f>AP36-(AQ36+AR36)</f>
        <v/>
      </c>
      <c r="AT36" s="7">
        <f>'Feb2027-COLLECTION'!K35</f>
        <v/>
      </c>
      <c r="AU36" s="10">
        <f>'Feb2027-EXPENSE'!R39</f>
        <v/>
      </c>
      <c r="AV36" s="10" t="n"/>
      <c r="AW36" s="174">
        <f>AT36-(AU36+AV36)</f>
        <v/>
      </c>
      <c r="AX36" s="7">
        <f>'Mar2027-COLLECTION'!K35</f>
        <v/>
      </c>
      <c r="AY36" s="10">
        <f>'Mar2027-EXPENSE'!R39</f>
        <v/>
      </c>
      <c r="AZ36" s="10" t="n"/>
      <c r="BA36" s="174">
        <f>AX36-(AY36+AZ36)</f>
        <v/>
      </c>
      <c r="BB36" s="172">
        <f>SUM(F36,J36,N36,R36,V36,Z36,AD36,AH36,AL36,AP36,AT36,AX36)</f>
        <v/>
      </c>
      <c r="BC36" s="172">
        <f>SUM(G36,K36,O36,S36,W36,AA36,AE36,AI36,AM36,AQ36,AU36,AY36)</f>
        <v/>
      </c>
      <c r="BD36" s="172">
        <f>SUM(H36,L36,P36,T36,X36,AB36,AF36,AJ36,AN36,AR36,AV36,AZ36)</f>
        <v/>
      </c>
      <c r="BE36" s="172">
        <f>BB36-(BC36+BD36)</f>
        <v/>
      </c>
      <c r="BF36" s="172">
        <f>E36+BE36</f>
        <v/>
      </c>
      <c r="BG36" s="175" t="n">
        <v>0</v>
      </c>
    </row>
    <row r="37" ht="15.75" customHeight="1" s="251">
      <c r="A37" s="169" t="inlineStr">
        <is>
          <t>S3</t>
        </is>
      </c>
      <c r="B37" s="13" t="inlineStr">
        <is>
          <t>manikandan.nj@gmail.com</t>
        </is>
      </c>
      <c r="C37" s="13" t="inlineStr">
        <is>
          <t>Manikandan NG</t>
        </is>
      </c>
      <c r="D37" s="170" t="n">
        <v>0</v>
      </c>
      <c r="E37" s="175" t="n">
        <v>0</v>
      </c>
      <c r="F37" s="171">
        <f>'Apr2026-COLLECTION'!K36</f>
        <v/>
      </c>
      <c r="G37" s="172">
        <f>'Apr2026-EXPENSE'!R40</f>
        <v/>
      </c>
      <c r="H37" s="172" t="n"/>
      <c r="I37" s="172">
        <f>F37-(G37+H37)</f>
        <v/>
      </c>
      <c r="J37" s="173">
        <f>'May2026-COLLECTION'!K36</f>
        <v/>
      </c>
      <c r="K37" s="174">
        <f>'May2026-EXPENSE'!R40</f>
        <v/>
      </c>
      <c r="L37" s="174" t="n"/>
      <c r="M37" s="174">
        <f>J37-(K37+L37)</f>
        <v/>
      </c>
      <c r="N37" s="172">
        <f>'June2026-COLLECTION'!K36</f>
        <v/>
      </c>
      <c r="O37" s="172">
        <f>'June2026-EXPENSE'!R40</f>
        <v/>
      </c>
      <c r="P37" s="172" t="n"/>
      <c r="Q37" s="172">
        <f>N37-(O37+P37)</f>
        <v/>
      </c>
      <c r="R37" s="41">
        <f>'July2026-COLLECTION'!K36</f>
        <v/>
      </c>
      <c r="S37" s="174">
        <f>'July2026-EXPENSE'!R40</f>
        <v/>
      </c>
      <c r="T37" s="174" t="n"/>
      <c r="U37" s="174">
        <f>R37-(S37+T37)</f>
        <v/>
      </c>
      <c r="V37" s="167">
        <f>'Aug2026-COLLECTION'!K36</f>
        <v/>
      </c>
      <c r="W37" s="172">
        <f>'Aug2026-EXPENSE'!R40</f>
        <v/>
      </c>
      <c r="X37" s="172" t="n"/>
      <c r="Y37" s="172">
        <f>V37-(W37+X37)</f>
        <v/>
      </c>
      <c r="Z37" s="41">
        <f>'Sep2026-COLLECTION'!K36</f>
        <v/>
      </c>
      <c r="AA37" s="174">
        <f>'Sep2026-EXPENSE'!R40</f>
        <v/>
      </c>
      <c r="AB37" s="174" t="n"/>
      <c r="AC37" s="174">
        <f>Z37-(AA37+AB37)</f>
        <v/>
      </c>
      <c r="AD37" s="41">
        <f>'Oct2026-COLLECTION'!K36</f>
        <v/>
      </c>
      <c r="AE37" s="174">
        <f>'Oct2026-EXPENSE'!R40</f>
        <v/>
      </c>
      <c r="AF37" s="174" t="n"/>
      <c r="AG37" s="174">
        <f>AD37-(AE37+AF37)</f>
        <v/>
      </c>
      <c r="AH37" s="41">
        <f>'Nov2026-COLLECTION'!K36</f>
        <v/>
      </c>
      <c r="AI37" s="174">
        <f>'Nov2026-EXPENSE'!R40</f>
        <v/>
      </c>
      <c r="AJ37" s="174" t="n"/>
      <c r="AK37" s="174">
        <f>AH37-(AI37+AJ37)</f>
        <v/>
      </c>
      <c r="AL37" s="41">
        <f>'Dec2026-COLLECTION'!K36</f>
        <v/>
      </c>
      <c r="AM37" s="174">
        <f>'Dec2026-EXPENSE'!R40</f>
        <v/>
      </c>
      <c r="AN37" s="174" t="n"/>
      <c r="AO37" s="174">
        <f>AL37-(AM37+AN37)</f>
        <v/>
      </c>
      <c r="AP37" s="7">
        <f>'Jan2027-COLLECTION'!K36</f>
        <v/>
      </c>
      <c r="AQ37" s="10">
        <f>'Jan2027-EXPENSE'!R40</f>
        <v/>
      </c>
      <c r="AR37" s="10" t="n"/>
      <c r="AS37" s="174">
        <f>AP37-(AQ37+AR37)</f>
        <v/>
      </c>
      <c r="AT37" s="7">
        <f>'Feb2027-COLLECTION'!K36</f>
        <v/>
      </c>
      <c r="AU37" s="10">
        <f>'Feb2027-EXPENSE'!R40</f>
        <v/>
      </c>
      <c r="AV37" s="10" t="n"/>
      <c r="AW37" s="174">
        <f>AT37-(AU37+AV37)</f>
        <v/>
      </c>
      <c r="AX37" s="7">
        <f>'Mar2027-COLLECTION'!K36</f>
        <v/>
      </c>
      <c r="AY37" s="10">
        <f>'Mar2027-EXPENSE'!R40</f>
        <v/>
      </c>
      <c r="AZ37" s="10" t="n"/>
      <c r="BA37" s="174">
        <f>AX37-(AY37+AZ37)</f>
        <v/>
      </c>
      <c r="BB37" s="172">
        <f>SUM(F37,J37,N37,R37,V37,Z37,AD37,AH37,AL37,AP37,AT37,AX37)</f>
        <v/>
      </c>
      <c r="BC37" s="172">
        <f>SUM(G37,K37,O37,S37,W37,AA37,AE37,AI37,AM37,AQ37,AU37,AY37)</f>
        <v/>
      </c>
      <c r="BD37" s="172">
        <f>SUM(H37,L37,P37,T37,X37,AB37,AF37,AJ37,AN37,AR37,AV37,AZ37)</f>
        <v/>
      </c>
      <c r="BE37" s="172">
        <f>BB37-(BC37+BD37)</f>
        <v/>
      </c>
      <c r="BF37" s="172">
        <f>E37+BE37</f>
        <v/>
      </c>
      <c r="BG37" s="175" t="n">
        <v>0</v>
      </c>
    </row>
    <row r="38" ht="15.75" customHeight="1" s="251">
      <c r="A38" s="169" t="inlineStr">
        <is>
          <t>S4</t>
        </is>
      </c>
      <c r="B38" s="13" t="n"/>
      <c r="C38" s="13" t="inlineStr">
        <is>
          <t xml:space="preserve">Swaminathan </t>
        </is>
      </c>
      <c r="D38" s="170" t="n">
        <v>0</v>
      </c>
      <c r="E38" s="175" t="n">
        <v>0</v>
      </c>
      <c r="F38" s="171">
        <f>'Apr2026-COLLECTION'!K37</f>
        <v/>
      </c>
      <c r="G38" s="172">
        <f>'Apr2026-EXPENSE'!R41</f>
        <v/>
      </c>
      <c r="H38" s="172" t="n"/>
      <c r="I38" s="172">
        <f>F38-(G38+H38)</f>
        <v/>
      </c>
      <c r="J38" s="173">
        <f>'May2026-COLLECTION'!K37</f>
        <v/>
      </c>
      <c r="K38" s="174">
        <f>'May2026-EXPENSE'!R41</f>
        <v/>
      </c>
      <c r="L38" s="174" t="n"/>
      <c r="M38" s="174">
        <f>J38-(K38+L38)</f>
        <v/>
      </c>
      <c r="N38" s="172">
        <f>'June2026-COLLECTION'!K37</f>
        <v/>
      </c>
      <c r="O38" s="172">
        <f>'June2026-EXPENSE'!R41</f>
        <v/>
      </c>
      <c r="P38" s="172" t="n"/>
      <c r="Q38" s="172">
        <f>N38-(O38+P38)</f>
        <v/>
      </c>
      <c r="R38" s="41">
        <f>'July2026-COLLECTION'!K37</f>
        <v/>
      </c>
      <c r="S38" s="174">
        <f>'July2026-EXPENSE'!R41</f>
        <v/>
      </c>
      <c r="T38" s="174" t="n"/>
      <c r="U38" s="174">
        <f>R38-(S38+T38)</f>
        <v/>
      </c>
      <c r="V38" s="167">
        <f>'Aug2026-COLLECTION'!K37</f>
        <v/>
      </c>
      <c r="W38" s="172">
        <f>'Aug2026-EXPENSE'!R41</f>
        <v/>
      </c>
      <c r="X38" s="172" t="n"/>
      <c r="Y38" s="172">
        <f>V38-(W38+X38)</f>
        <v/>
      </c>
      <c r="Z38" s="41">
        <f>'Sep2026-COLLECTION'!K37</f>
        <v/>
      </c>
      <c r="AA38" s="174">
        <f>'Sep2026-EXPENSE'!R41</f>
        <v/>
      </c>
      <c r="AB38" s="174" t="n"/>
      <c r="AC38" s="174">
        <f>Z38-(AA38+AB38)</f>
        <v/>
      </c>
      <c r="AD38" s="41">
        <f>'Oct2026-COLLECTION'!K37</f>
        <v/>
      </c>
      <c r="AE38" s="174">
        <f>'Oct2026-EXPENSE'!R41</f>
        <v/>
      </c>
      <c r="AF38" s="174" t="n"/>
      <c r="AG38" s="174">
        <f>AD38-(AE38+AF38)</f>
        <v/>
      </c>
      <c r="AH38" s="41">
        <f>'Nov2026-COLLECTION'!K37</f>
        <v/>
      </c>
      <c r="AI38" s="174">
        <f>'Nov2026-EXPENSE'!R41</f>
        <v/>
      </c>
      <c r="AJ38" s="174" t="n"/>
      <c r="AK38" s="174">
        <f>AH38-(AI38+AJ38)</f>
        <v/>
      </c>
      <c r="AL38" s="41">
        <f>'Dec2026-COLLECTION'!K37</f>
        <v/>
      </c>
      <c r="AM38" s="174">
        <f>'Dec2026-EXPENSE'!R41</f>
        <v/>
      </c>
      <c r="AN38" s="174" t="n"/>
      <c r="AO38" s="174">
        <f>AL38-(AM38+AN38)</f>
        <v/>
      </c>
      <c r="AP38" s="7">
        <f>'Jan2027-COLLECTION'!K37</f>
        <v/>
      </c>
      <c r="AQ38" s="10">
        <f>'Jan2027-EXPENSE'!R41</f>
        <v/>
      </c>
      <c r="AR38" s="10" t="n"/>
      <c r="AS38" s="174">
        <f>AP38-(AQ38+AR38)</f>
        <v/>
      </c>
      <c r="AT38" s="7">
        <f>'Feb2027-COLLECTION'!K37</f>
        <v/>
      </c>
      <c r="AU38" s="10">
        <f>'Feb2027-EXPENSE'!R41</f>
        <v/>
      </c>
      <c r="AV38" s="10" t="n"/>
      <c r="AW38" s="174">
        <f>AT38-(AU38+AV38)</f>
        <v/>
      </c>
      <c r="AX38" s="7">
        <f>'Mar2027-COLLECTION'!K37</f>
        <v/>
      </c>
      <c r="AY38" s="10">
        <f>'Mar2027-EXPENSE'!R41</f>
        <v/>
      </c>
      <c r="AZ38" s="10" t="n"/>
      <c r="BA38" s="174">
        <f>AX38-(AY38+AZ38)</f>
        <v/>
      </c>
      <c r="BB38" s="172">
        <f>SUM(F38,J38,N38,R38,V38,Z38,AD38,AH38,AL38,AP38,AT38,AX38)</f>
        <v/>
      </c>
      <c r="BC38" s="172">
        <f>SUM(G38,K38,O38,S38,W38,AA38,AE38,AI38,AM38,AQ38,AU38,AY38)</f>
        <v/>
      </c>
      <c r="BD38" s="172">
        <f>SUM(H38,L38,P38,T38,X38,AB38,AF38,AJ38,AN38,AR38,AV38,AZ38)</f>
        <v/>
      </c>
      <c r="BE38" s="172">
        <f>BB38-(BC38+BD38)</f>
        <v/>
      </c>
      <c r="BF38" s="172">
        <f>E38+BE38</f>
        <v/>
      </c>
      <c r="BG38" s="175" t="n">
        <v>0</v>
      </c>
    </row>
    <row r="39" ht="15.75" customHeight="1" s="251">
      <c r="A39" s="169" t="inlineStr">
        <is>
          <t>S5</t>
        </is>
      </c>
      <c r="B39" s="13" t="n"/>
      <c r="C39" s="13" t="inlineStr">
        <is>
          <t>Abhishek Gopalakrishnan</t>
        </is>
      </c>
      <c r="D39" s="170" t="n">
        <v>0</v>
      </c>
      <c r="E39" s="175" t="n">
        <v>0</v>
      </c>
      <c r="F39" s="171">
        <f>'Apr2026-COLLECTION'!K38</f>
        <v/>
      </c>
      <c r="G39" s="172">
        <f>'Apr2026-EXPENSE'!R42</f>
        <v/>
      </c>
      <c r="H39" s="172" t="n"/>
      <c r="I39" s="172">
        <f>F39-(G39+H39)</f>
        <v/>
      </c>
      <c r="J39" s="173">
        <f>'May2026-COLLECTION'!K38</f>
        <v/>
      </c>
      <c r="K39" s="174">
        <f>'May2026-EXPENSE'!R42</f>
        <v/>
      </c>
      <c r="L39" s="174" t="n"/>
      <c r="M39" s="174">
        <f>J39-(K39+L39)</f>
        <v/>
      </c>
      <c r="N39" s="172">
        <f>'June2026-COLLECTION'!K38</f>
        <v/>
      </c>
      <c r="O39" s="172">
        <f>'June2026-EXPENSE'!R42</f>
        <v/>
      </c>
      <c r="P39" s="172" t="n"/>
      <c r="Q39" s="172">
        <f>N39-(O39+P39)</f>
        <v/>
      </c>
      <c r="R39" s="41">
        <f>'July2026-COLLECTION'!K38</f>
        <v/>
      </c>
      <c r="S39" s="174">
        <f>'July2026-EXPENSE'!R42</f>
        <v/>
      </c>
      <c r="T39" s="174" t="n"/>
      <c r="U39" s="174">
        <f>R39-(S39+T39)</f>
        <v/>
      </c>
      <c r="V39" s="167">
        <f>'Aug2026-COLLECTION'!K38</f>
        <v/>
      </c>
      <c r="W39" s="172">
        <f>'Aug2026-EXPENSE'!R42</f>
        <v/>
      </c>
      <c r="X39" s="172" t="n"/>
      <c r="Y39" s="172">
        <f>V39-(W39+X39)</f>
        <v/>
      </c>
      <c r="Z39" s="41">
        <f>'Sep2026-COLLECTION'!K38</f>
        <v/>
      </c>
      <c r="AA39" s="174">
        <f>'Sep2026-EXPENSE'!R42</f>
        <v/>
      </c>
      <c r="AB39" s="174" t="n"/>
      <c r="AC39" s="174">
        <f>Z39-(AA39+AB39)</f>
        <v/>
      </c>
      <c r="AD39" s="41">
        <f>'Oct2026-COLLECTION'!K38</f>
        <v/>
      </c>
      <c r="AE39" s="174">
        <f>'Oct2026-EXPENSE'!R42</f>
        <v/>
      </c>
      <c r="AF39" s="174" t="n"/>
      <c r="AG39" s="174">
        <f>AD39-(AE39+AF39)</f>
        <v/>
      </c>
      <c r="AH39" s="41">
        <f>'Nov2026-COLLECTION'!K38</f>
        <v/>
      </c>
      <c r="AI39" s="174">
        <f>'Nov2026-EXPENSE'!R42</f>
        <v/>
      </c>
      <c r="AJ39" s="174" t="n"/>
      <c r="AK39" s="174">
        <f>AH39-(AI39+AJ39)</f>
        <v/>
      </c>
      <c r="AL39" s="41">
        <f>'Dec2026-COLLECTION'!K38</f>
        <v/>
      </c>
      <c r="AM39" s="174">
        <f>'Dec2026-EXPENSE'!R42</f>
        <v/>
      </c>
      <c r="AN39" s="174" t="n"/>
      <c r="AO39" s="174">
        <f>AL39-(AM39+AN39)</f>
        <v/>
      </c>
      <c r="AP39" s="7">
        <f>'Jan2027-COLLECTION'!K38</f>
        <v/>
      </c>
      <c r="AQ39" s="10">
        <f>'Jan2027-EXPENSE'!R42</f>
        <v/>
      </c>
      <c r="AR39" s="10" t="n"/>
      <c r="AS39" s="174">
        <f>AP39-(AQ39+AR39)</f>
        <v/>
      </c>
      <c r="AT39" s="7">
        <f>'Feb2027-COLLECTION'!K38</f>
        <v/>
      </c>
      <c r="AU39" s="10">
        <f>'Feb2027-EXPENSE'!R42</f>
        <v/>
      </c>
      <c r="AV39" s="10" t="n"/>
      <c r="AW39" s="174">
        <f>AT39-(AU39+AV39)</f>
        <v/>
      </c>
      <c r="AX39" s="7">
        <f>'Mar2027-COLLECTION'!K38</f>
        <v/>
      </c>
      <c r="AY39" s="10">
        <f>'Mar2027-EXPENSE'!R42</f>
        <v/>
      </c>
      <c r="AZ39" s="10" t="n"/>
      <c r="BA39" s="174">
        <f>AX39-(AY39+AZ39)</f>
        <v/>
      </c>
      <c r="BB39" s="172">
        <f>SUM(F39,J39,N39,R39,V39,Z39,AD39,AH39,AL39,AP39,AT39,AX39)</f>
        <v/>
      </c>
      <c r="BC39" s="172">
        <f>SUM(G39,K39,O39,S39,W39,AA39,AE39,AI39,AM39,AQ39,AU39,AY39)</f>
        <v/>
      </c>
      <c r="BD39" s="172">
        <f>SUM(H39,L39,P39,T39,X39,AB39,AF39,AJ39,AN39,AR39,AV39,AZ39)</f>
        <v/>
      </c>
      <c r="BE39" s="172">
        <f>BB39-(BC39+BD39)</f>
        <v/>
      </c>
      <c r="BF39" s="172">
        <f>E39+BE39</f>
        <v/>
      </c>
      <c r="BG39" s="175" t="n">
        <v>0</v>
      </c>
    </row>
    <row r="40" ht="15.75" customHeight="1" s="251">
      <c r="A40" s="169" t="inlineStr">
        <is>
          <t>S6</t>
        </is>
      </c>
      <c r="B40" s="30" t="n"/>
      <c r="C40" s="30" t="inlineStr">
        <is>
          <t>Vivek Dhingra / Pratyush Das</t>
        </is>
      </c>
      <c r="D40" s="170" t="n">
        <v>0</v>
      </c>
      <c r="E40" s="175" t="n">
        <v>0</v>
      </c>
      <c r="F40" s="171">
        <f>'Apr2026-COLLECTION'!K39</f>
        <v/>
      </c>
      <c r="G40" s="172">
        <f>'Apr2026-EXPENSE'!R43</f>
        <v/>
      </c>
      <c r="H40" s="172" t="n"/>
      <c r="I40" s="172">
        <f>F40-(G40+H40)</f>
        <v/>
      </c>
      <c r="J40" s="173">
        <f>'May2026-COLLECTION'!K39</f>
        <v/>
      </c>
      <c r="K40" s="174">
        <f>'May2026-EXPENSE'!R43</f>
        <v/>
      </c>
      <c r="L40" s="174" t="n"/>
      <c r="M40" s="174">
        <f>J40-(K40+L40)</f>
        <v/>
      </c>
      <c r="N40" s="172">
        <f>'June2026-COLLECTION'!K39</f>
        <v/>
      </c>
      <c r="O40" s="172">
        <f>'June2026-EXPENSE'!R43</f>
        <v/>
      </c>
      <c r="P40" s="172" t="n"/>
      <c r="Q40" s="172">
        <f>N40-(O40+P40)</f>
        <v/>
      </c>
      <c r="R40" s="41">
        <f>'July2026-COLLECTION'!K39</f>
        <v/>
      </c>
      <c r="S40" s="174">
        <f>'July2026-EXPENSE'!R43</f>
        <v/>
      </c>
      <c r="T40" s="174" t="n"/>
      <c r="U40" s="174">
        <f>R40-(S40+T40)</f>
        <v/>
      </c>
      <c r="V40" s="167">
        <f>'Aug2026-COLLECTION'!K39</f>
        <v/>
      </c>
      <c r="W40" s="172">
        <f>'Aug2026-EXPENSE'!R43</f>
        <v/>
      </c>
      <c r="X40" s="172" t="n"/>
      <c r="Y40" s="172">
        <f>V40-(W40+X40)</f>
        <v/>
      </c>
      <c r="Z40" s="41">
        <f>'Sep2026-COLLECTION'!K39</f>
        <v/>
      </c>
      <c r="AA40" s="174">
        <f>'Sep2026-EXPENSE'!R43</f>
        <v/>
      </c>
      <c r="AB40" s="174" t="n"/>
      <c r="AC40" s="174">
        <f>Z40-(AA40+AB40)</f>
        <v/>
      </c>
      <c r="AD40" s="41">
        <f>'Oct2026-COLLECTION'!K39</f>
        <v/>
      </c>
      <c r="AE40" s="174">
        <f>'Oct2026-EXPENSE'!R43</f>
        <v/>
      </c>
      <c r="AF40" s="174" t="n"/>
      <c r="AG40" s="174">
        <f>AD40-(AE40+AF40)</f>
        <v/>
      </c>
      <c r="AH40" s="41">
        <f>'Nov2026-COLLECTION'!K39</f>
        <v/>
      </c>
      <c r="AI40" s="174">
        <f>'Nov2026-EXPENSE'!R43</f>
        <v/>
      </c>
      <c r="AJ40" s="174" t="n"/>
      <c r="AK40" s="174">
        <f>AH40-(AI40+AJ40)</f>
        <v/>
      </c>
      <c r="AL40" s="41">
        <f>'Dec2026-COLLECTION'!K39</f>
        <v/>
      </c>
      <c r="AM40" s="174">
        <f>'Dec2026-EXPENSE'!R43</f>
        <v/>
      </c>
      <c r="AN40" s="174" t="n"/>
      <c r="AO40" s="174">
        <f>AL40-(AM40+AN40)</f>
        <v/>
      </c>
      <c r="AP40" s="7">
        <f>'Jan2027-COLLECTION'!K39</f>
        <v/>
      </c>
      <c r="AQ40" s="10">
        <f>'Jan2027-EXPENSE'!R43</f>
        <v/>
      </c>
      <c r="AR40" s="10" t="n"/>
      <c r="AS40" s="174">
        <f>AP40-(AQ40+AR40)</f>
        <v/>
      </c>
      <c r="AT40" s="7">
        <f>'Feb2027-COLLECTION'!K39</f>
        <v/>
      </c>
      <c r="AU40" s="10">
        <f>'Feb2027-EXPENSE'!R43</f>
        <v/>
      </c>
      <c r="AV40" s="10" t="n"/>
      <c r="AW40" s="174">
        <f>AT40-(AU40+AV40)</f>
        <v/>
      </c>
      <c r="AX40" s="7">
        <f>'Mar2027-COLLECTION'!K39</f>
        <v/>
      </c>
      <c r="AY40" s="10">
        <f>'Mar2027-EXPENSE'!R43</f>
        <v/>
      </c>
      <c r="AZ40" s="10" t="n"/>
      <c r="BA40" s="174">
        <f>AX40-(AY40+AZ40)</f>
        <v/>
      </c>
      <c r="BB40" s="172">
        <f>SUM(F40,J40,N40,R40,V40,Z40,AD40,AH40,AL40,AP40,AT40,AX40)</f>
        <v/>
      </c>
      <c r="BC40" s="172">
        <f>SUM(G40,K40,O40,S40,W40,AA40,AE40,AI40,AM40,AQ40,AU40,AY40)</f>
        <v/>
      </c>
      <c r="BD40" s="172">
        <f>SUM(H40,L40,P40,T40,X40,AB40,AF40,AJ40,AN40,AR40,AV40,AZ40)</f>
        <v/>
      </c>
      <c r="BE40" s="172">
        <f>BB40-(BC40+BD40)</f>
        <v/>
      </c>
      <c r="BF40" s="172">
        <f>E40+BE40</f>
        <v/>
      </c>
      <c r="BG40" s="175" t="n">
        <v>0</v>
      </c>
    </row>
    <row r="41" ht="15.75" customHeight="1" s="251">
      <c r="A41" s="169" t="inlineStr">
        <is>
          <t>S7</t>
        </is>
      </c>
      <c r="B41" s="13" t="n"/>
      <c r="C41" s="13" t="inlineStr">
        <is>
          <t>Harish B</t>
        </is>
      </c>
      <c r="D41" s="170" t="n">
        <v>0</v>
      </c>
      <c r="E41" s="175" t="n">
        <v>0</v>
      </c>
      <c r="F41" s="171">
        <f>'Apr2026-COLLECTION'!K40</f>
        <v/>
      </c>
      <c r="G41" s="172">
        <f>'Apr2026-EXPENSE'!R44</f>
        <v/>
      </c>
      <c r="H41" s="172" t="n"/>
      <c r="I41" s="172">
        <f>F41-(G41+H41)</f>
        <v/>
      </c>
      <c r="J41" s="173">
        <f>'May2026-COLLECTION'!K40</f>
        <v/>
      </c>
      <c r="K41" s="174">
        <f>'May2026-EXPENSE'!R44</f>
        <v/>
      </c>
      <c r="L41" s="174" t="n"/>
      <c r="M41" s="174">
        <f>J41-(K41+L41)</f>
        <v/>
      </c>
      <c r="N41" s="172">
        <f>'June2026-COLLECTION'!K40</f>
        <v/>
      </c>
      <c r="O41" s="172">
        <f>'June2026-EXPENSE'!R44</f>
        <v/>
      </c>
      <c r="P41" s="172" t="n"/>
      <c r="Q41" s="172">
        <f>N41-(O41+P41)</f>
        <v/>
      </c>
      <c r="R41" s="41">
        <f>'July2026-COLLECTION'!K40</f>
        <v/>
      </c>
      <c r="S41" s="174">
        <f>'July2026-EXPENSE'!R44</f>
        <v/>
      </c>
      <c r="T41" s="174" t="n"/>
      <c r="U41" s="174">
        <f>R41-(S41+T41)</f>
        <v/>
      </c>
      <c r="V41" s="167">
        <f>'Aug2026-COLLECTION'!K40</f>
        <v/>
      </c>
      <c r="W41" s="172">
        <f>'Aug2026-EXPENSE'!R44</f>
        <v/>
      </c>
      <c r="X41" s="172" t="n"/>
      <c r="Y41" s="172">
        <f>V41-(W41+X41)</f>
        <v/>
      </c>
      <c r="Z41" s="41">
        <f>'Sep2026-COLLECTION'!K40</f>
        <v/>
      </c>
      <c r="AA41" s="174">
        <f>'Sep2026-EXPENSE'!R44</f>
        <v/>
      </c>
      <c r="AB41" s="174" t="n"/>
      <c r="AC41" s="174">
        <f>Z41-(AA41+AB41)</f>
        <v/>
      </c>
      <c r="AD41" s="41">
        <f>'Oct2026-COLLECTION'!K40</f>
        <v/>
      </c>
      <c r="AE41" s="174">
        <f>'Oct2026-EXPENSE'!R44</f>
        <v/>
      </c>
      <c r="AF41" s="174" t="n"/>
      <c r="AG41" s="174">
        <f>AD41-(AE41+AF41)</f>
        <v/>
      </c>
      <c r="AH41" s="41">
        <f>'Nov2026-COLLECTION'!K40</f>
        <v/>
      </c>
      <c r="AI41" s="174">
        <f>'Nov2026-EXPENSE'!R44</f>
        <v/>
      </c>
      <c r="AJ41" s="174" t="n"/>
      <c r="AK41" s="174">
        <f>AH41-(AI41+AJ41)</f>
        <v/>
      </c>
      <c r="AL41" s="41">
        <f>'Dec2026-COLLECTION'!K40</f>
        <v/>
      </c>
      <c r="AM41" s="174">
        <f>'Dec2026-EXPENSE'!R44</f>
        <v/>
      </c>
      <c r="AN41" s="174" t="n"/>
      <c r="AO41" s="174">
        <f>AL41-(AM41+AN41)</f>
        <v/>
      </c>
      <c r="AP41" s="7">
        <f>'Jan2027-COLLECTION'!K40</f>
        <v/>
      </c>
      <c r="AQ41" s="10">
        <f>'Jan2027-EXPENSE'!R44</f>
        <v/>
      </c>
      <c r="AR41" s="10" t="n"/>
      <c r="AS41" s="174">
        <f>AP41-(AQ41+AR41)</f>
        <v/>
      </c>
      <c r="AT41" s="7">
        <f>'Feb2027-COLLECTION'!K40</f>
        <v/>
      </c>
      <c r="AU41" s="10">
        <f>'Feb2027-EXPENSE'!R44</f>
        <v/>
      </c>
      <c r="AV41" s="10" t="n"/>
      <c r="AW41" s="174">
        <f>AT41-(AU41+AV41)</f>
        <v/>
      </c>
      <c r="AX41" s="7">
        <f>'Mar2027-COLLECTION'!K40</f>
        <v/>
      </c>
      <c r="AY41" s="10">
        <f>'Mar2027-EXPENSE'!R44</f>
        <v/>
      </c>
      <c r="AZ41" s="10" t="n"/>
      <c r="BA41" s="174">
        <f>AX41-(AY41+AZ41)</f>
        <v/>
      </c>
      <c r="BB41" s="172">
        <f>SUM(F41,J41,N41,R41,V41,Z41,AD41,AH41,AL41,AP41,AT41,AX41)</f>
        <v/>
      </c>
      <c r="BC41" s="172">
        <f>SUM(G41,K41,O41,S41,W41,AA41,AE41,AI41,AM41,AQ41,AU41,AY41)</f>
        <v/>
      </c>
      <c r="BD41" s="172">
        <f>SUM(H41,L41,P41,T41,X41,AB41,AF41,AJ41,AN41,AR41,AV41,AZ41)</f>
        <v/>
      </c>
      <c r="BE41" s="172">
        <f>BB41-(BC41+BD41)</f>
        <v/>
      </c>
      <c r="BF41" s="172">
        <f>E41+BE41</f>
        <v/>
      </c>
      <c r="BG41" s="175" t="n">
        <v>0</v>
      </c>
    </row>
    <row r="42" ht="15.75" customHeight="1" s="251">
      <c r="A42" s="169" t="inlineStr">
        <is>
          <t>S8</t>
        </is>
      </c>
      <c r="B42" s="13" t="n"/>
      <c r="C42" s="13" t="inlineStr">
        <is>
          <t>Irudayaraj Alwin</t>
        </is>
      </c>
      <c r="D42" s="170" t="n">
        <v>0</v>
      </c>
      <c r="E42" s="175" t="n">
        <v>0</v>
      </c>
      <c r="F42" s="171">
        <f>'Apr2026-COLLECTION'!K41</f>
        <v/>
      </c>
      <c r="G42" s="172">
        <f>'Apr2026-EXPENSE'!R45</f>
        <v/>
      </c>
      <c r="H42" s="172" t="n"/>
      <c r="I42" s="172">
        <f>F42-(G42+H42)</f>
        <v/>
      </c>
      <c r="J42" s="173">
        <f>'May2026-COLLECTION'!K41</f>
        <v/>
      </c>
      <c r="K42" s="174">
        <f>'May2026-EXPENSE'!R45</f>
        <v/>
      </c>
      <c r="L42" s="174" t="n"/>
      <c r="M42" s="174">
        <f>J42-(K42+L42)</f>
        <v/>
      </c>
      <c r="N42" s="172">
        <f>'June2026-COLLECTION'!K41</f>
        <v/>
      </c>
      <c r="O42" s="172">
        <f>'June2026-EXPENSE'!R45</f>
        <v/>
      </c>
      <c r="P42" s="172" t="n"/>
      <c r="Q42" s="172">
        <f>N42-(O42+P42)</f>
        <v/>
      </c>
      <c r="R42" s="41">
        <f>'July2026-COLLECTION'!K41</f>
        <v/>
      </c>
      <c r="S42" s="174">
        <f>'July2026-EXPENSE'!R45</f>
        <v/>
      </c>
      <c r="T42" s="174" t="n"/>
      <c r="U42" s="174">
        <f>R42-(S42+T42)</f>
        <v/>
      </c>
      <c r="V42" s="167">
        <f>'Aug2026-COLLECTION'!K41</f>
        <v/>
      </c>
      <c r="W42" s="172">
        <f>'Aug2026-EXPENSE'!R45</f>
        <v/>
      </c>
      <c r="X42" s="172" t="n"/>
      <c r="Y42" s="172">
        <f>V42-(W42+X42)</f>
        <v/>
      </c>
      <c r="Z42" s="41">
        <f>'Sep2026-COLLECTION'!K41</f>
        <v/>
      </c>
      <c r="AA42" s="174">
        <f>'Sep2026-EXPENSE'!R45</f>
        <v/>
      </c>
      <c r="AB42" s="174" t="n"/>
      <c r="AC42" s="174">
        <f>Z42-(AA42+AB42)</f>
        <v/>
      </c>
      <c r="AD42" s="41">
        <f>'Oct2026-COLLECTION'!K41</f>
        <v/>
      </c>
      <c r="AE42" s="174">
        <f>'Oct2026-EXPENSE'!R45</f>
        <v/>
      </c>
      <c r="AF42" s="174" t="n"/>
      <c r="AG42" s="174">
        <f>AD42-(AE42+AF42)</f>
        <v/>
      </c>
      <c r="AH42" s="41">
        <f>'Nov2026-COLLECTION'!K41</f>
        <v/>
      </c>
      <c r="AI42" s="174">
        <f>'Nov2026-EXPENSE'!R45</f>
        <v/>
      </c>
      <c r="AJ42" s="174" t="n"/>
      <c r="AK42" s="174">
        <f>AH42-(AI42+AJ42)</f>
        <v/>
      </c>
      <c r="AL42" s="41">
        <f>'Dec2026-COLLECTION'!K41</f>
        <v/>
      </c>
      <c r="AM42" s="174">
        <f>'Dec2026-EXPENSE'!R45</f>
        <v/>
      </c>
      <c r="AN42" s="174" t="n"/>
      <c r="AO42" s="174">
        <f>AL42-(AM42+AN42)</f>
        <v/>
      </c>
      <c r="AP42" s="7">
        <f>'Jan2027-COLLECTION'!K41</f>
        <v/>
      </c>
      <c r="AQ42" s="10">
        <f>'Jan2027-EXPENSE'!R45</f>
        <v/>
      </c>
      <c r="AR42" s="10" t="n"/>
      <c r="AS42" s="174">
        <f>AP42-(AQ42+AR42)</f>
        <v/>
      </c>
      <c r="AT42" s="7">
        <f>'Feb2027-COLLECTION'!K41</f>
        <v/>
      </c>
      <c r="AU42" s="10">
        <f>'Feb2027-EXPENSE'!R45</f>
        <v/>
      </c>
      <c r="AV42" s="10" t="n"/>
      <c r="AW42" s="174">
        <f>AT42-(AU42+AV42)</f>
        <v/>
      </c>
      <c r="AX42" s="7">
        <f>'Mar2027-COLLECTION'!K41</f>
        <v/>
      </c>
      <c r="AY42" s="10">
        <f>'Mar2027-EXPENSE'!R45</f>
        <v/>
      </c>
      <c r="AZ42" s="10" t="n"/>
      <c r="BA42" s="174">
        <f>AX42-(AY42+AZ42)</f>
        <v/>
      </c>
      <c r="BB42" s="172">
        <f>SUM(F42,J42,N42,R42,V42,Z42,AD42,AH42,AL42,AP42,AT42,AX42)</f>
        <v/>
      </c>
      <c r="BC42" s="172">
        <f>SUM(G42,K42,O42,S42,W42,AA42,AE42,AI42,AM42,AQ42,AU42,AY42)</f>
        <v/>
      </c>
      <c r="BD42" s="172">
        <f>SUM(H42,L42,P42,T42,X42,AB42,AF42,AJ42,AN42,AR42,AV42,AZ42)</f>
        <v/>
      </c>
      <c r="BE42" s="172">
        <f>BB42-(BC42+BD42)</f>
        <v/>
      </c>
      <c r="BF42" s="172">
        <f>E42+BE42</f>
        <v/>
      </c>
      <c r="BG42" s="175" t="n">
        <v>0</v>
      </c>
    </row>
    <row r="43" ht="15.75" customHeight="1" s="251">
      <c r="A43" s="169" t="inlineStr">
        <is>
          <t>S9</t>
        </is>
      </c>
      <c r="B43" s="13" t="n"/>
      <c r="C43" s="13" t="inlineStr">
        <is>
          <t>Pawan GS</t>
        </is>
      </c>
      <c r="D43" s="170" t="n">
        <v>0</v>
      </c>
      <c r="E43" s="175" t="n">
        <v>0</v>
      </c>
      <c r="F43" s="171">
        <f>'Apr2026-COLLECTION'!K42</f>
        <v/>
      </c>
      <c r="G43" s="172">
        <f>'Apr2026-EXPENSE'!R46</f>
        <v/>
      </c>
      <c r="H43" s="172" t="n"/>
      <c r="I43" s="172">
        <f>F43-(G43+H43)</f>
        <v/>
      </c>
      <c r="J43" s="173">
        <f>'May2026-COLLECTION'!K42</f>
        <v/>
      </c>
      <c r="K43" s="174">
        <f>'May2026-EXPENSE'!R46</f>
        <v/>
      </c>
      <c r="L43" s="174" t="n"/>
      <c r="M43" s="174">
        <f>J43-(K43+L43)</f>
        <v/>
      </c>
      <c r="N43" s="172">
        <f>'June2026-COLLECTION'!K42</f>
        <v/>
      </c>
      <c r="O43" s="172">
        <f>'June2026-EXPENSE'!R46</f>
        <v/>
      </c>
      <c r="P43" s="172" t="n"/>
      <c r="Q43" s="172">
        <f>N43-(O43+P43)</f>
        <v/>
      </c>
      <c r="R43" s="41">
        <f>'July2026-COLLECTION'!K42</f>
        <v/>
      </c>
      <c r="S43" s="174">
        <f>'July2026-EXPENSE'!R46</f>
        <v/>
      </c>
      <c r="T43" s="174" t="n"/>
      <c r="U43" s="174">
        <f>R43-(S43+T43)</f>
        <v/>
      </c>
      <c r="V43" s="167">
        <f>'Aug2026-COLLECTION'!K42</f>
        <v/>
      </c>
      <c r="W43" s="172">
        <f>'Aug2026-EXPENSE'!R46</f>
        <v/>
      </c>
      <c r="X43" s="172" t="n"/>
      <c r="Y43" s="172">
        <f>V43-(W43+X43)</f>
        <v/>
      </c>
      <c r="Z43" s="41">
        <f>'Sep2026-COLLECTION'!K42</f>
        <v/>
      </c>
      <c r="AA43" s="174">
        <f>'Sep2026-EXPENSE'!R46</f>
        <v/>
      </c>
      <c r="AB43" s="174" t="n"/>
      <c r="AC43" s="174">
        <f>Z43-(AA43+AB43)</f>
        <v/>
      </c>
      <c r="AD43" s="41">
        <f>'Oct2026-COLLECTION'!K42</f>
        <v/>
      </c>
      <c r="AE43" s="174">
        <f>'Oct2026-EXPENSE'!R46</f>
        <v/>
      </c>
      <c r="AF43" s="174" t="n"/>
      <c r="AG43" s="174">
        <f>AD43-(AE43+AF43)</f>
        <v/>
      </c>
      <c r="AH43" s="41">
        <f>'Nov2026-COLLECTION'!K42</f>
        <v/>
      </c>
      <c r="AI43" s="174">
        <f>'Nov2026-EXPENSE'!R46</f>
        <v/>
      </c>
      <c r="AJ43" s="174" t="n"/>
      <c r="AK43" s="174">
        <f>AH43-(AI43+AJ43)</f>
        <v/>
      </c>
      <c r="AL43" s="41">
        <f>'Dec2026-COLLECTION'!K42</f>
        <v/>
      </c>
      <c r="AM43" s="174">
        <f>'Dec2026-EXPENSE'!R46</f>
        <v/>
      </c>
      <c r="AN43" s="174" t="n"/>
      <c r="AO43" s="174">
        <f>AL43-(AM43+AN43)</f>
        <v/>
      </c>
      <c r="AP43" s="7">
        <f>'Jan2027-COLLECTION'!K42</f>
        <v/>
      </c>
      <c r="AQ43" s="10">
        <f>'Jan2027-EXPENSE'!R46</f>
        <v/>
      </c>
      <c r="AR43" s="10" t="n"/>
      <c r="AS43" s="174">
        <f>AP43-(AQ43+AR43)</f>
        <v/>
      </c>
      <c r="AT43" s="7">
        <f>'Feb2027-COLLECTION'!K42</f>
        <v/>
      </c>
      <c r="AU43" s="10">
        <f>'Feb2027-EXPENSE'!R46</f>
        <v/>
      </c>
      <c r="AV43" s="10" t="n"/>
      <c r="AW43" s="174">
        <f>AT43-(AU43+AV43)</f>
        <v/>
      </c>
      <c r="AX43" s="7">
        <f>'Mar2027-COLLECTION'!K42</f>
        <v/>
      </c>
      <c r="AY43" s="10">
        <f>'Mar2027-EXPENSE'!R46</f>
        <v/>
      </c>
      <c r="AZ43" s="10" t="n"/>
      <c r="BA43" s="174">
        <f>AX43-(AY43+AZ43)</f>
        <v/>
      </c>
      <c r="BB43" s="172">
        <f>SUM(F43,J43,N43,R43,V43,Z43,AD43,AH43,AL43,AP43,AT43,AX43)</f>
        <v/>
      </c>
      <c r="BC43" s="172">
        <f>SUM(G43,K43,O43,S43,W43,AA43,AE43,AI43,AM43,AQ43,AU43,AY43)</f>
        <v/>
      </c>
      <c r="BD43" s="172">
        <f>SUM(H43,L43,P43,T43,X43,AB43,AF43,AJ43,AN43,AR43,AV43,AZ43)</f>
        <v/>
      </c>
      <c r="BE43" s="172">
        <f>BB43-(BC43+BD43)</f>
        <v/>
      </c>
      <c r="BF43" s="172">
        <f>E43+BE43</f>
        <v/>
      </c>
      <c r="BG43" s="175" t="n">
        <v>0</v>
      </c>
    </row>
    <row r="44" ht="15.75" customHeight="1" s="251">
      <c r="A44" s="169" t="inlineStr">
        <is>
          <t>S10</t>
        </is>
      </c>
      <c r="B44" s="13" t="inlineStr">
        <is>
          <t>esky2524@gmail.com</t>
        </is>
      </c>
      <c r="C44" s="13" t="inlineStr">
        <is>
          <t>Previous owner - Rohith. New owner name not known</t>
        </is>
      </c>
      <c r="D44" s="170" t="n">
        <v>0</v>
      </c>
      <c r="E44" s="175" t="n">
        <v>0</v>
      </c>
      <c r="F44" s="171">
        <f>'Apr2026-COLLECTION'!K43</f>
        <v/>
      </c>
      <c r="G44" s="172">
        <f>'Apr2026-EXPENSE'!R47</f>
        <v/>
      </c>
      <c r="H44" s="172" t="n"/>
      <c r="I44" s="172">
        <f>F44-(G44+H44)</f>
        <v/>
      </c>
      <c r="J44" s="173">
        <f>'May2026-COLLECTION'!K43</f>
        <v/>
      </c>
      <c r="K44" s="174">
        <f>'May2026-EXPENSE'!R47</f>
        <v/>
      </c>
      <c r="L44" s="174" t="n">
        <v>0</v>
      </c>
      <c r="M44" s="174">
        <f>J44-(K44+L44)</f>
        <v/>
      </c>
      <c r="N44" s="172">
        <f>'June2026-COLLECTION'!K43</f>
        <v/>
      </c>
      <c r="O44" s="172">
        <f>'June2026-EXPENSE'!R47</f>
        <v/>
      </c>
      <c r="P44" s="172" t="n"/>
      <c r="Q44" s="172">
        <f>N44-(O44+P44)</f>
        <v/>
      </c>
      <c r="R44" s="41">
        <f>'July2026-COLLECTION'!K43</f>
        <v/>
      </c>
      <c r="S44" s="174">
        <f>'July2026-EXPENSE'!R47</f>
        <v/>
      </c>
      <c r="T44" s="174" t="n">
        <v>0</v>
      </c>
      <c r="U44" s="174">
        <f>R44-(S44+T44)</f>
        <v/>
      </c>
      <c r="V44" s="167">
        <f>'Aug2026-COLLECTION'!K43</f>
        <v/>
      </c>
      <c r="W44" s="172">
        <f>'Aug2026-EXPENSE'!R47</f>
        <v/>
      </c>
      <c r="X44" s="172" t="n"/>
      <c r="Y44" s="172">
        <f>V44-(W44+X44)</f>
        <v/>
      </c>
      <c r="Z44" s="41">
        <f>'Sep2026-COLLECTION'!K43</f>
        <v/>
      </c>
      <c r="AA44" s="174">
        <f>'Sep2026-EXPENSE'!R47</f>
        <v/>
      </c>
      <c r="AB44" s="174" t="n"/>
      <c r="AC44" s="174">
        <f>Z44-(AA44+AB44)</f>
        <v/>
      </c>
      <c r="AD44" s="41">
        <f>'Oct2026-COLLECTION'!K43</f>
        <v/>
      </c>
      <c r="AE44" s="174">
        <f>'Oct2026-EXPENSE'!R47</f>
        <v/>
      </c>
      <c r="AF44" s="174" t="n"/>
      <c r="AG44" s="174">
        <f>AD44-(AE44+AF44)</f>
        <v/>
      </c>
      <c r="AH44" s="41">
        <f>'Nov2026-COLLECTION'!K43</f>
        <v/>
      </c>
      <c r="AI44" s="174">
        <f>'Nov2026-EXPENSE'!R47</f>
        <v/>
      </c>
      <c r="AJ44" s="174" t="n"/>
      <c r="AK44" s="174">
        <f>AH44-(AI44+AJ44)</f>
        <v/>
      </c>
      <c r="AL44" s="41">
        <f>'Dec2026-COLLECTION'!K43</f>
        <v/>
      </c>
      <c r="AM44" s="174">
        <f>'Dec2026-EXPENSE'!R47</f>
        <v/>
      </c>
      <c r="AN44" s="174" t="n"/>
      <c r="AO44" s="174">
        <f>AL44-(AM44+AN44)</f>
        <v/>
      </c>
      <c r="AP44" s="7">
        <f>'Jan2027-COLLECTION'!K43</f>
        <v/>
      </c>
      <c r="AQ44" s="10">
        <f>'Jan2027-EXPENSE'!R47</f>
        <v/>
      </c>
      <c r="AR44" s="10" t="n"/>
      <c r="AS44" s="174">
        <f>AP44-(AQ44+AR44)</f>
        <v/>
      </c>
      <c r="AT44" s="7">
        <f>'Feb2027-COLLECTION'!K43</f>
        <v/>
      </c>
      <c r="AU44" s="10">
        <f>'Feb2027-EXPENSE'!R47</f>
        <v/>
      </c>
      <c r="AV44" s="10" t="n"/>
      <c r="AW44" s="174">
        <f>AT44-(AU44+AV44)</f>
        <v/>
      </c>
      <c r="AX44" s="7">
        <f>'Mar2027-COLLECTION'!K43</f>
        <v/>
      </c>
      <c r="AY44" s="10">
        <f>'Mar2027-EXPENSE'!R47</f>
        <v/>
      </c>
      <c r="AZ44" s="10" t="n"/>
      <c r="BA44" s="174">
        <f>AX44-(AY44+AZ44)</f>
        <v/>
      </c>
      <c r="BB44" s="172">
        <f>SUM(F44,J44,N44,R44,V44,Z44,AD44,AH44,AL44,AP44,AT44,AX44)</f>
        <v/>
      </c>
      <c r="BC44" s="172">
        <f>SUM(G44,K44,O44,S44,W44,AA44,AE44,AI44,AM44,AQ44,AU44,AY44)</f>
        <v/>
      </c>
      <c r="BD44" s="172">
        <f>SUM(H44,L44,P44,T44,X44,AB44,AF44,AJ44,AN44,AR44,AV44,AZ44)</f>
        <v/>
      </c>
      <c r="BE44" s="172">
        <f>BB44-(BC44+BD44)</f>
        <v/>
      </c>
      <c r="BF44" s="172">
        <f>E44+BE44</f>
        <v/>
      </c>
      <c r="BG44" s="175" t="n">
        <v>0</v>
      </c>
    </row>
    <row r="45" ht="15.75" customHeight="1" s="251">
      <c r="A45" s="169" t="inlineStr">
        <is>
          <t>S11</t>
        </is>
      </c>
      <c r="B45" s="13" t="n"/>
      <c r="C45" s="13" t="inlineStr">
        <is>
          <t>Gowrish Patnaik / Somananth GM</t>
        </is>
      </c>
      <c r="D45" s="170" t="n">
        <v>0</v>
      </c>
      <c r="E45" s="175" t="n">
        <v>0</v>
      </c>
      <c r="F45" s="171">
        <f>'Apr2026-COLLECTION'!K44</f>
        <v/>
      </c>
      <c r="G45" s="172">
        <f>'Apr2026-EXPENSE'!R48</f>
        <v/>
      </c>
      <c r="H45" s="172" t="n"/>
      <c r="I45" s="172">
        <f>F45-(G45+H45)</f>
        <v/>
      </c>
      <c r="J45" s="173">
        <f>'May2026-COLLECTION'!K44</f>
        <v/>
      </c>
      <c r="K45" s="174">
        <f>'May2026-EXPENSE'!R48</f>
        <v/>
      </c>
      <c r="L45" s="174" t="n">
        <v>0</v>
      </c>
      <c r="M45" s="174">
        <f>J45-(K45+L45)</f>
        <v/>
      </c>
      <c r="N45" s="172">
        <f>'June2026-COLLECTION'!K44</f>
        <v/>
      </c>
      <c r="O45" s="172">
        <f>'June2026-EXPENSE'!R48</f>
        <v/>
      </c>
      <c r="P45" s="172" t="n"/>
      <c r="Q45" s="172">
        <f>N45-(O45+P45)</f>
        <v/>
      </c>
      <c r="R45" s="41">
        <f>'July2026-COLLECTION'!K44</f>
        <v/>
      </c>
      <c r="S45" s="174">
        <f>'July2026-EXPENSE'!R48</f>
        <v/>
      </c>
      <c r="T45" s="174" t="n"/>
      <c r="U45" s="174">
        <f>R45-(S45+T45)</f>
        <v/>
      </c>
      <c r="V45" s="167">
        <f>'Aug2026-COLLECTION'!K44</f>
        <v/>
      </c>
      <c r="W45" s="172">
        <f>'Aug2026-EXPENSE'!R48</f>
        <v/>
      </c>
      <c r="X45" s="172" t="n"/>
      <c r="Y45" s="172">
        <f>V45-(W45+X45)</f>
        <v/>
      </c>
      <c r="Z45" s="41">
        <f>'Sep2026-COLLECTION'!K44</f>
        <v/>
      </c>
      <c r="AA45" s="174">
        <f>'Sep2026-EXPENSE'!R48</f>
        <v/>
      </c>
      <c r="AB45" s="174" t="n"/>
      <c r="AC45" s="174">
        <f>Z45-(AA45+AB45)</f>
        <v/>
      </c>
      <c r="AD45" s="41">
        <f>'Oct2026-COLLECTION'!K44</f>
        <v/>
      </c>
      <c r="AE45" s="174">
        <f>'Oct2026-EXPENSE'!R48</f>
        <v/>
      </c>
      <c r="AF45" s="174" t="n"/>
      <c r="AG45" s="174">
        <f>AD45-(AE45+AF45)</f>
        <v/>
      </c>
      <c r="AH45" s="41">
        <f>'Nov2026-COLLECTION'!K44</f>
        <v/>
      </c>
      <c r="AI45" s="174">
        <f>'Nov2026-EXPENSE'!R48</f>
        <v/>
      </c>
      <c r="AJ45" s="174" t="n"/>
      <c r="AK45" s="174">
        <f>AH45-(AI45+AJ45)</f>
        <v/>
      </c>
      <c r="AL45" s="41">
        <f>'Dec2026-COLLECTION'!K44</f>
        <v/>
      </c>
      <c r="AM45" s="174">
        <f>'Dec2026-EXPENSE'!R48</f>
        <v/>
      </c>
      <c r="AN45" s="174" t="n"/>
      <c r="AO45" s="174">
        <f>AL45-(AM45+AN45)</f>
        <v/>
      </c>
      <c r="AP45" s="7">
        <f>'Jan2027-COLLECTION'!K44</f>
        <v/>
      </c>
      <c r="AQ45" s="10">
        <f>'Jan2027-EXPENSE'!R48</f>
        <v/>
      </c>
      <c r="AR45" s="10" t="n"/>
      <c r="AS45" s="174">
        <f>AP45-(AQ45+AR45)</f>
        <v/>
      </c>
      <c r="AT45" s="7">
        <f>'Feb2027-COLLECTION'!K44</f>
        <v/>
      </c>
      <c r="AU45" s="10">
        <f>'Feb2027-EXPENSE'!R48</f>
        <v/>
      </c>
      <c r="AV45" s="10" t="n"/>
      <c r="AW45" s="174">
        <f>AT45-(AU45+AV45)</f>
        <v/>
      </c>
      <c r="AX45" s="7">
        <f>'Mar2027-COLLECTION'!K44</f>
        <v/>
      </c>
      <c r="AY45" s="10">
        <f>'Mar2027-EXPENSE'!R48</f>
        <v/>
      </c>
      <c r="AZ45" s="10" t="n"/>
      <c r="BA45" s="174">
        <f>AX45-(AY45+AZ45)</f>
        <v/>
      </c>
      <c r="BB45" s="172">
        <f>SUM(F45,J45,N45,R45,V45,Z45,AD45,AH45,AL45,AP45,AT45,AX45)</f>
        <v/>
      </c>
      <c r="BC45" s="172">
        <f>SUM(G45,K45,O45,S45,W45,AA45,AE45,AI45,AM45,AQ45,AU45,AY45)</f>
        <v/>
      </c>
      <c r="BD45" s="172">
        <f>SUM(H45,L45,P45,T45,X45,AB45,AF45,AJ45,AN45,AR45,AV45,AZ45)</f>
        <v/>
      </c>
      <c r="BE45" s="172">
        <f>BB45-(BC45+BD45)</f>
        <v/>
      </c>
      <c r="BF45" s="172">
        <f>E45+BE45</f>
        <v/>
      </c>
      <c r="BG45" s="175" t="n">
        <v>0</v>
      </c>
    </row>
    <row r="46" ht="15.75" customHeight="1" s="251">
      <c r="A46" s="169" t="inlineStr">
        <is>
          <t>S12</t>
        </is>
      </c>
      <c r="B46" s="13" t="n"/>
      <c r="C46" s="13" t="inlineStr">
        <is>
          <t>Saovik Mondal</t>
        </is>
      </c>
      <c r="D46" s="170" t="n">
        <v>0</v>
      </c>
      <c r="E46" s="175" t="n">
        <v>0</v>
      </c>
      <c r="F46" s="171">
        <f>'Apr2026-COLLECTION'!K45</f>
        <v/>
      </c>
      <c r="G46" s="172">
        <f>'Apr2026-EXPENSE'!R49</f>
        <v/>
      </c>
      <c r="H46" s="172" t="n"/>
      <c r="I46" s="172">
        <f>F46-(G46+H46)</f>
        <v/>
      </c>
      <c r="J46" s="173">
        <f>'May2026-COLLECTION'!K45</f>
        <v/>
      </c>
      <c r="K46" s="174">
        <f>'May2026-EXPENSE'!R49</f>
        <v/>
      </c>
      <c r="L46" s="174" t="n"/>
      <c r="M46" s="174">
        <f>J46-(K46+L46)</f>
        <v/>
      </c>
      <c r="N46" s="172">
        <f>'June2026-COLLECTION'!K45</f>
        <v/>
      </c>
      <c r="O46" s="172">
        <f>'June2026-EXPENSE'!R49</f>
        <v/>
      </c>
      <c r="P46" s="172" t="n"/>
      <c r="Q46" s="172">
        <f>N46-(O46+P46)</f>
        <v/>
      </c>
      <c r="R46" s="41">
        <f>'July2026-COLLECTION'!K45</f>
        <v/>
      </c>
      <c r="S46" s="174">
        <f>'July2026-EXPENSE'!R49</f>
        <v/>
      </c>
      <c r="T46" s="174" t="n"/>
      <c r="U46" s="174">
        <f>R46-(S46+T46)</f>
        <v/>
      </c>
      <c r="V46" s="167">
        <f>'Aug2026-COLLECTION'!K45</f>
        <v/>
      </c>
      <c r="W46" s="172">
        <f>'Aug2026-EXPENSE'!R49</f>
        <v/>
      </c>
      <c r="X46" s="172" t="n"/>
      <c r="Y46" s="172">
        <f>V46-(W46+X46)</f>
        <v/>
      </c>
      <c r="Z46" s="41">
        <f>'Sep2026-COLLECTION'!K45</f>
        <v/>
      </c>
      <c r="AA46" s="174">
        <f>'Sep2026-EXPENSE'!R49</f>
        <v/>
      </c>
      <c r="AB46" s="174" t="n"/>
      <c r="AC46" s="174">
        <f>Z46-(AA46+AB46)</f>
        <v/>
      </c>
      <c r="AD46" s="41">
        <f>'Oct2026-COLLECTION'!K45</f>
        <v/>
      </c>
      <c r="AE46" s="174">
        <f>'Oct2026-EXPENSE'!R49</f>
        <v/>
      </c>
      <c r="AF46" s="174" t="n"/>
      <c r="AG46" s="174">
        <f>AD46-(AE46+AF46)</f>
        <v/>
      </c>
      <c r="AH46" s="41">
        <f>'Nov2026-COLLECTION'!K45</f>
        <v/>
      </c>
      <c r="AI46" s="174">
        <f>'Nov2026-EXPENSE'!R49</f>
        <v/>
      </c>
      <c r="AJ46" s="174" t="n"/>
      <c r="AK46" s="174">
        <f>AH46-(AI46+AJ46)</f>
        <v/>
      </c>
      <c r="AL46" s="41">
        <f>'Dec2026-COLLECTION'!K45</f>
        <v/>
      </c>
      <c r="AM46" s="174">
        <f>'Dec2026-EXPENSE'!R49</f>
        <v/>
      </c>
      <c r="AN46" s="174" t="n"/>
      <c r="AO46" s="174">
        <f>AL46-(AM46+AN46)</f>
        <v/>
      </c>
      <c r="AP46" s="7">
        <f>'Jan2027-COLLECTION'!K45</f>
        <v/>
      </c>
      <c r="AQ46" s="10">
        <f>'Jan2027-EXPENSE'!R49</f>
        <v/>
      </c>
      <c r="AR46" s="10" t="n"/>
      <c r="AS46" s="174">
        <f>AP46-(AQ46+AR46)</f>
        <v/>
      </c>
      <c r="AT46" s="7">
        <f>'Feb2027-COLLECTION'!K45</f>
        <v/>
      </c>
      <c r="AU46" s="10">
        <f>'Feb2027-EXPENSE'!R49</f>
        <v/>
      </c>
      <c r="AV46" s="10" t="n"/>
      <c r="AW46" s="174">
        <f>AT46-(AU46+AV46)</f>
        <v/>
      </c>
      <c r="AX46" s="7">
        <f>'Mar2027-COLLECTION'!K45</f>
        <v/>
      </c>
      <c r="AY46" s="10">
        <f>'Mar2027-EXPENSE'!R49</f>
        <v/>
      </c>
      <c r="AZ46" s="10" t="n"/>
      <c r="BA46" s="174">
        <f>AX46-(AY46+AZ46)</f>
        <v/>
      </c>
      <c r="BB46" s="172">
        <f>SUM(F46,J46,N46,R46,V46,Z46,AD46,AH46,AL46,AP46,AT46,AX46)</f>
        <v/>
      </c>
      <c r="BC46" s="172">
        <f>SUM(G46,K46,O46,S46,W46,AA46,AE46,AI46,AM46,AQ46,AU46,AY46)</f>
        <v/>
      </c>
      <c r="BD46" s="172">
        <f>SUM(H46,L46,P46,T46,X46,AB46,AF46,AJ46,AN46,AR46,AV46,AZ46)</f>
        <v/>
      </c>
      <c r="BE46" s="172">
        <f>BB46-(BC46+BD46)</f>
        <v/>
      </c>
      <c r="BF46" s="172">
        <f>E46+BE46</f>
        <v/>
      </c>
      <c r="BG46" s="175" t="n">
        <v>0</v>
      </c>
    </row>
    <row r="47" ht="15.75" customHeight="1" s="251">
      <c r="A47" s="169" t="inlineStr">
        <is>
          <t>S13</t>
        </is>
      </c>
      <c r="B47" s="13" t="n"/>
      <c r="C47" s="13" t="inlineStr">
        <is>
          <t>Ramadevi S.</t>
        </is>
      </c>
      <c r="D47" s="170" t="n">
        <v>0</v>
      </c>
      <c r="E47" s="175" t="n">
        <v>0</v>
      </c>
      <c r="F47" s="171">
        <f>'Apr2026-COLLECTION'!K46</f>
        <v/>
      </c>
      <c r="G47" s="172">
        <f>'Apr2026-EXPENSE'!R50</f>
        <v/>
      </c>
      <c r="H47" s="172" t="n"/>
      <c r="I47" s="172">
        <f>F47-(G47+H47)</f>
        <v/>
      </c>
      <c r="J47" s="173">
        <f>'May2026-COLLECTION'!K46</f>
        <v/>
      </c>
      <c r="K47" s="174">
        <f>'May2026-EXPENSE'!R50</f>
        <v/>
      </c>
      <c r="L47" s="174" t="n">
        <v>0</v>
      </c>
      <c r="M47" s="174">
        <f>J47-(K47+L47)</f>
        <v/>
      </c>
      <c r="N47" s="172">
        <f>'June2026-COLLECTION'!K46</f>
        <v/>
      </c>
      <c r="O47" s="172">
        <f>'June2026-EXPENSE'!R50</f>
        <v/>
      </c>
      <c r="P47" s="172" t="n"/>
      <c r="Q47" s="172">
        <f>N47-(O47+P47)</f>
        <v/>
      </c>
      <c r="R47" s="41">
        <f>'July2026-COLLECTION'!K46</f>
        <v/>
      </c>
      <c r="S47" s="174">
        <f>'July2026-EXPENSE'!R50</f>
        <v/>
      </c>
      <c r="T47" s="174" t="n"/>
      <c r="U47" s="174">
        <f>R47-(S47+T47)</f>
        <v/>
      </c>
      <c r="V47" s="167">
        <f>'Aug2026-COLLECTION'!K46</f>
        <v/>
      </c>
      <c r="W47" s="172">
        <f>'Aug2026-EXPENSE'!R50</f>
        <v/>
      </c>
      <c r="X47" s="172" t="n"/>
      <c r="Y47" s="172">
        <f>V47-(W47+X47)</f>
        <v/>
      </c>
      <c r="Z47" s="41">
        <f>'Sep2026-COLLECTION'!K46</f>
        <v/>
      </c>
      <c r="AA47" s="174">
        <f>'Sep2026-EXPENSE'!R50</f>
        <v/>
      </c>
      <c r="AB47" s="174" t="n"/>
      <c r="AC47" s="174">
        <f>Z47-(AA47+AB47)</f>
        <v/>
      </c>
      <c r="AD47" s="41">
        <f>'Oct2026-COLLECTION'!K46</f>
        <v/>
      </c>
      <c r="AE47" s="174">
        <f>'Oct2026-EXPENSE'!R50</f>
        <v/>
      </c>
      <c r="AF47" s="174" t="n"/>
      <c r="AG47" s="174">
        <f>AD47-(AE47+AF47)</f>
        <v/>
      </c>
      <c r="AH47" s="41">
        <f>'Nov2026-COLLECTION'!K46</f>
        <v/>
      </c>
      <c r="AI47" s="174">
        <f>'Nov2026-EXPENSE'!R50</f>
        <v/>
      </c>
      <c r="AJ47" s="174" t="n"/>
      <c r="AK47" s="174">
        <f>AH47-(AI47+AJ47)</f>
        <v/>
      </c>
      <c r="AL47" s="41">
        <f>'Dec2026-COLLECTION'!K46</f>
        <v/>
      </c>
      <c r="AM47" s="174">
        <f>'Dec2026-EXPENSE'!R50</f>
        <v/>
      </c>
      <c r="AN47" s="174" t="n"/>
      <c r="AO47" s="174">
        <f>AL47-(AM47+AN47)</f>
        <v/>
      </c>
      <c r="AP47" s="7">
        <f>'Jan2027-COLLECTION'!K46</f>
        <v/>
      </c>
      <c r="AQ47" s="10">
        <f>'Jan2027-EXPENSE'!R50</f>
        <v/>
      </c>
      <c r="AR47" s="10" t="n"/>
      <c r="AS47" s="174">
        <f>AP47-(AQ47+AR47)</f>
        <v/>
      </c>
      <c r="AT47" s="7">
        <f>'Feb2027-COLLECTION'!K46</f>
        <v/>
      </c>
      <c r="AU47" s="10">
        <f>'Feb2027-EXPENSE'!R50</f>
        <v/>
      </c>
      <c r="AV47" s="10" t="n"/>
      <c r="AW47" s="174">
        <f>AT47-(AU47+AV47)</f>
        <v/>
      </c>
      <c r="AX47" s="7">
        <f>'Mar2027-COLLECTION'!K46</f>
        <v/>
      </c>
      <c r="AY47" s="10">
        <f>'Mar2027-EXPENSE'!R50</f>
        <v/>
      </c>
      <c r="AZ47" s="10" t="n"/>
      <c r="BA47" s="174">
        <f>AX47-(AY47+AZ47)</f>
        <v/>
      </c>
      <c r="BB47" s="172">
        <f>SUM(F47,J47,N47,R47,V47,Z47,AD47,AH47,AL47,AP47,AT47,AX47)</f>
        <v/>
      </c>
      <c r="BC47" s="172">
        <f>SUM(G47,K47,O47,S47,W47,AA47,AE47,AI47,AM47,AQ47,AU47,AY47)</f>
        <v/>
      </c>
      <c r="BD47" s="172">
        <f>SUM(H47,L47,P47,T47,X47,AB47,AF47,AJ47,AN47,AR47,AV47,AZ47)</f>
        <v/>
      </c>
      <c r="BE47" s="172">
        <f>BB47-(BC47+BD47)</f>
        <v/>
      </c>
      <c r="BF47" s="172">
        <f>E47+BE47</f>
        <v/>
      </c>
      <c r="BG47" s="175" t="n">
        <v>0</v>
      </c>
    </row>
    <row r="48" ht="15.75" customHeight="1" s="251">
      <c r="A48" s="169" t="inlineStr">
        <is>
          <t>S14</t>
        </is>
      </c>
      <c r="B48" s="13" t="n"/>
      <c r="C48" s="13" t="inlineStr">
        <is>
          <t>Nishant Upadhyay(Owner)/ Fabian (Tenant)</t>
        </is>
      </c>
      <c r="D48" s="170" t="n">
        <v>0</v>
      </c>
      <c r="E48" s="175" t="n">
        <v>0</v>
      </c>
      <c r="F48" s="171">
        <f>'Apr2026-COLLECTION'!K47</f>
        <v/>
      </c>
      <c r="G48" s="172">
        <f>'Apr2026-EXPENSE'!R51</f>
        <v/>
      </c>
      <c r="H48" s="172" t="n"/>
      <c r="I48" s="172">
        <f>F48-(G48+H48)</f>
        <v/>
      </c>
      <c r="J48" s="173">
        <f>'May2026-COLLECTION'!K47</f>
        <v/>
      </c>
      <c r="K48" s="174">
        <f>'May2026-EXPENSE'!R51</f>
        <v/>
      </c>
      <c r="L48" s="174" t="n">
        <v>0</v>
      </c>
      <c r="M48" s="174">
        <f>J48-(K48+L48)</f>
        <v/>
      </c>
      <c r="N48" s="172">
        <f>'June2026-COLLECTION'!K47</f>
        <v/>
      </c>
      <c r="O48" s="172">
        <f>'June2026-EXPENSE'!R51</f>
        <v/>
      </c>
      <c r="P48" s="172" t="n"/>
      <c r="Q48" s="172">
        <f>N48-(O48+P48)</f>
        <v/>
      </c>
      <c r="R48" s="41">
        <f>'July2026-COLLECTION'!K47</f>
        <v/>
      </c>
      <c r="S48" s="174">
        <f>'July2026-EXPENSE'!R51</f>
        <v/>
      </c>
      <c r="T48" s="174" t="n">
        <v>0</v>
      </c>
      <c r="U48" s="174">
        <f>R48-(S48+T48)</f>
        <v/>
      </c>
      <c r="V48" s="167">
        <f>'Aug2026-COLLECTION'!K47</f>
        <v/>
      </c>
      <c r="W48" s="172">
        <f>'Aug2026-EXPENSE'!R51</f>
        <v/>
      </c>
      <c r="X48" s="172" t="n"/>
      <c r="Y48" s="172">
        <f>V48-(W48+X48)</f>
        <v/>
      </c>
      <c r="Z48" s="41">
        <f>'Sep2026-COLLECTION'!K47</f>
        <v/>
      </c>
      <c r="AA48" s="174">
        <f>'Sep2026-EXPENSE'!R51</f>
        <v/>
      </c>
      <c r="AB48" s="174" t="n"/>
      <c r="AC48" s="174">
        <f>Z48-(AA48+AB48)</f>
        <v/>
      </c>
      <c r="AD48" s="41">
        <f>'Oct2026-COLLECTION'!K47</f>
        <v/>
      </c>
      <c r="AE48" s="174">
        <f>'Oct2026-EXPENSE'!R51</f>
        <v/>
      </c>
      <c r="AF48" s="174" t="n"/>
      <c r="AG48" s="174">
        <f>AD48-(AE48+AF48)</f>
        <v/>
      </c>
      <c r="AH48" s="41">
        <f>'Nov2026-COLLECTION'!K47</f>
        <v/>
      </c>
      <c r="AI48" s="174">
        <f>'Nov2026-EXPENSE'!R51</f>
        <v/>
      </c>
      <c r="AJ48" s="174" t="n"/>
      <c r="AK48" s="174">
        <f>AH48-(AI48+AJ48)</f>
        <v/>
      </c>
      <c r="AL48" s="41">
        <f>'Dec2026-COLLECTION'!K47</f>
        <v/>
      </c>
      <c r="AM48" s="174">
        <f>'Dec2026-EXPENSE'!R51</f>
        <v/>
      </c>
      <c r="AN48" s="174" t="n"/>
      <c r="AO48" s="174">
        <f>AL48-(AM48+AN48)</f>
        <v/>
      </c>
      <c r="AP48" s="7">
        <f>'Jan2027-COLLECTION'!K47</f>
        <v/>
      </c>
      <c r="AQ48" s="10">
        <f>'Jan2027-EXPENSE'!R51</f>
        <v/>
      </c>
      <c r="AR48" s="10" t="n"/>
      <c r="AS48" s="174">
        <f>AP48-(AQ48+AR48)</f>
        <v/>
      </c>
      <c r="AT48" s="7">
        <f>'Feb2027-COLLECTION'!K47</f>
        <v/>
      </c>
      <c r="AU48" s="10">
        <f>'Feb2027-EXPENSE'!R51</f>
        <v/>
      </c>
      <c r="AV48" s="10" t="n"/>
      <c r="AW48" s="174">
        <f>AT48-(AU48+AV48)</f>
        <v/>
      </c>
      <c r="AX48" s="7">
        <f>'Mar2027-COLLECTION'!K47</f>
        <v/>
      </c>
      <c r="AY48" s="10">
        <f>'Mar2027-EXPENSE'!R51</f>
        <v/>
      </c>
      <c r="AZ48" s="10" t="n"/>
      <c r="BA48" s="174">
        <f>AX48-(AY48+AZ48)</f>
        <v/>
      </c>
      <c r="BB48" s="172">
        <f>SUM(F48,J48,N48,R48,V48,Z48,AD48,AH48,AL48,AP48,AT48,AX48)</f>
        <v/>
      </c>
      <c r="BC48" s="172">
        <f>SUM(G48,K48,O48,S48,W48,AA48,AE48,AI48,AM48,AQ48,AU48,AY48)</f>
        <v/>
      </c>
      <c r="BD48" s="172">
        <f>SUM(H48,L48,P48,T48,X48,AB48,AF48,AJ48,AN48,AR48,AV48,AZ48)</f>
        <v/>
      </c>
      <c r="BE48" s="172">
        <f>BB48-(BC48+BD48)</f>
        <v/>
      </c>
      <c r="BF48" s="172">
        <f>E48+BE48</f>
        <v/>
      </c>
      <c r="BG48" s="175" t="n">
        <v>0</v>
      </c>
    </row>
    <row r="49" ht="15.75" customHeight="1" s="251">
      <c r="A49" s="169" t="inlineStr">
        <is>
          <t>S15</t>
        </is>
      </c>
      <c r="B49" s="13" t="n"/>
      <c r="C49" s="13" t="inlineStr">
        <is>
          <t>Manas Dasgupta</t>
        </is>
      </c>
      <c r="D49" s="170" t="n">
        <v>0</v>
      </c>
      <c r="E49" s="175" t="n">
        <v>0</v>
      </c>
      <c r="F49" s="171">
        <f>'Apr2026-COLLECTION'!K48</f>
        <v/>
      </c>
      <c r="G49" s="172">
        <f>'Apr2026-EXPENSE'!R52</f>
        <v/>
      </c>
      <c r="H49" s="172" t="n"/>
      <c r="I49" s="172">
        <f>F49-(G49+H49)</f>
        <v/>
      </c>
      <c r="J49" s="173">
        <f>'May2026-COLLECTION'!K48</f>
        <v/>
      </c>
      <c r="K49" s="174">
        <f>'May2026-EXPENSE'!R52</f>
        <v/>
      </c>
      <c r="L49" s="174" t="n">
        <v>0</v>
      </c>
      <c r="M49" s="174">
        <f>J49-(K49+L49)</f>
        <v/>
      </c>
      <c r="N49" s="172">
        <f>'June2026-COLLECTION'!K48</f>
        <v/>
      </c>
      <c r="O49" s="172">
        <f>'June2026-EXPENSE'!R52</f>
        <v/>
      </c>
      <c r="P49" s="172" t="n"/>
      <c r="Q49" s="172">
        <f>N49-(O49+P49)</f>
        <v/>
      </c>
      <c r="R49" s="41">
        <f>'July2026-COLLECTION'!K48</f>
        <v/>
      </c>
      <c r="S49" s="174">
        <f>'July2026-EXPENSE'!R52</f>
        <v/>
      </c>
      <c r="T49" s="174" t="n"/>
      <c r="U49" s="174">
        <f>R49-(S49+T49)</f>
        <v/>
      </c>
      <c r="V49" s="167">
        <f>'Aug2026-COLLECTION'!K48</f>
        <v/>
      </c>
      <c r="W49" s="172">
        <f>'Aug2026-EXPENSE'!R52</f>
        <v/>
      </c>
      <c r="X49" s="172" t="n"/>
      <c r="Y49" s="172">
        <f>V49-(W49+X49)</f>
        <v/>
      </c>
      <c r="Z49" s="41">
        <f>'Sep2026-COLLECTION'!K48</f>
        <v/>
      </c>
      <c r="AA49" s="174">
        <f>'Sep2026-EXPENSE'!R52</f>
        <v/>
      </c>
      <c r="AB49" s="174" t="n"/>
      <c r="AC49" s="174">
        <f>Z49-(AA49+AB49)</f>
        <v/>
      </c>
      <c r="AD49" s="41">
        <f>'Oct2026-COLLECTION'!K48</f>
        <v/>
      </c>
      <c r="AE49" s="174">
        <f>'Oct2026-EXPENSE'!R52</f>
        <v/>
      </c>
      <c r="AF49" s="174" t="n"/>
      <c r="AG49" s="174">
        <f>AD49-(AE49+AF49)</f>
        <v/>
      </c>
      <c r="AH49" s="41">
        <f>'Nov2026-COLLECTION'!K48</f>
        <v/>
      </c>
      <c r="AI49" s="174">
        <f>'Nov2026-EXPENSE'!R52</f>
        <v/>
      </c>
      <c r="AJ49" s="174" t="n"/>
      <c r="AK49" s="174">
        <f>AH49-(AI49+AJ49)</f>
        <v/>
      </c>
      <c r="AL49" s="41">
        <f>'Dec2026-COLLECTION'!K48</f>
        <v/>
      </c>
      <c r="AM49" s="174">
        <f>'Dec2026-EXPENSE'!R52</f>
        <v/>
      </c>
      <c r="AN49" s="174" t="n"/>
      <c r="AO49" s="174">
        <f>AL49-(AM49+AN49)</f>
        <v/>
      </c>
      <c r="AP49" s="7">
        <f>'Jan2027-COLLECTION'!K48</f>
        <v/>
      </c>
      <c r="AQ49" s="10">
        <f>'Jan2027-EXPENSE'!R52</f>
        <v/>
      </c>
      <c r="AR49" s="10" t="n"/>
      <c r="AS49" s="174">
        <f>AP49-(AQ49+AR49)</f>
        <v/>
      </c>
      <c r="AT49" s="7">
        <f>'Feb2027-COLLECTION'!K48</f>
        <v/>
      </c>
      <c r="AU49" s="10">
        <f>'Feb2027-EXPENSE'!R52</f>
        <v/>
      </c>
      <c r="AV49" s="10" t="n"/>
      <c r="AW49" s="174">
        <f>AT49-(AU49+AV49)</f>
        <v/>
      </c>
      <c r="AX49" s="7">
        <f>'Mar2027-COLLECTION'!K48</f>
        <v/>
      </c>
      <c r="AY49" s="10">
        <f>'Mar2027-EXPENSE'!R52</f>
        <v/>
      </c>
      <c r="AZ49" s="10" t="n"/>
      <c r="BA49" s="174">
        <f>AX49-(AY49+AZ49)</f>
        <v/>
      </c>
      <c r="BB49" s="172">
        <f>SUM(F49,J49,N49,R49,V49,Z49,AD49,AH49,AL49,AP49,AT49,AX49)</f>
        <v/>
      </c>
      <c r="BC49" s="172">
        <f>SUM(G49,K49,O49,S49,W49,AA49,AE49,AI49,AM49,AQ49,AU49,AY49)</f>
        <v/>
      </c>
      <c r="BD49" s="172">
        <f>SUM(H49,L49,P49,T49,X49,AB49,AF49,AJ49,AN49,AR49,AV49,AZ49)</f>
        <v/>
      </c>
      <c r="BE49" s="172">
        <f>BB49-(BC49+BD49)</f>
        <v/>
      </c>
      <c r="BF49" s="172">
        <f>E49+BE49</f>
        <v/>
      </c>
      <c r="BG49" s="175" t="n">
        <v>0</v>
      </c>
    </row>
    <row r="50" ht="15.75" customHeight="1" s="251">
      <c r="A50" s="169" t="inlineStr">
        <is>
          <t>S16</t>
        </is>
      </c>
      <c r="B50" s="13" t="n"/>
      <c r="C50" s="13" t="inlineStr">
        <is>
          <t>Devendra Singh Rawat / Nancy</t>
        </is>
      </c>
      <c r="D50" s="170" t="n">
        <v>0</v>
      </c>
      <c r="E50" s="175" t="n">
        <v>0</v>
      </c>
      <c r="F50" s="171">
        <f>'Apr2026-COLLECTION'!K49</f>
        <v/>
      </c>
      <c r="G50" s="172">
        <f>'Apr2026-EXPENSE'!R53</f>
        <v/>
      </c>
      <c r="H50" s="172" t="n"/>
      <c r="I50" s="172">
        <f>F50-(G50+H50)</f>
        <v/>
      </c>
      <c r="J50" s="173">
        <f>'May2026-COLLECTION'!K49</f>
        <v/>
      </c>
      <c r="K50" s="174">
        <f>'May2026-EXPENSE'!R53</f>
        <v/>
      </c>
      <c r="L50" s="174" t="n"/>
      <c r="M50" s="174">
        <f>J50-(K50+L50)</f>
        <v/>
      </c>
      <c r="N50" s="172">
        <f>'June2026-COLLECTION'!K49</f>
        <v/>
      </c>
      <c r="O50" s="172">
        <f>'June2026-EXPENSE'!R53</f>
        <v/>
      </c>
      <c r="P50" s="172" t="n"/>
      <c r="Q50" s="172">
        <f>N50-(O50+P50)</f>
        <v/>
      </c>
      <c r="R50" s="41">
        <f>'July2026-COLLECTION'!K49</f>
        <v/>
      </c>
      <c r="S50" s="174">
        <f>'July2026-EXPENSE'!R53</f>
        <v/>
      </c>
      <c r="T50" s="174" t="n"/>
      <c r="U50" s="174">
        <f>R50-(S50+T50)</f>
        <v/>
      </c>
      <c r="V50" s="167">
        <f>'Aug2026-COLLECTION'!K49</f>
        <v/>
      </c>
      <c r="W50" s="172">
        <f>'Aug2026-EXPENSE'!R53</f>
        <v/>
      </c>
      <c r="X50" s="172" t="n"/>
      <c r="Y50" s="172">
        <f>V50-(W50+X50)</f>
        <v/>
      </c>
      <c r="Z50" s="41">
        <f>'Sep2026-COLLECTION'!K49</f>
        <v/>
      </c>
      <c r="AA50" s="174">
        <f>'Sep2026-EXPENSE'!R53</f>
        <v/>
      </c>
      <c r="AB50" s="174" t="n"/>
      <c r="AC50" s="174">
        <f>Z50-(AA50+AB50)</f>
        <v/>
      </c>
      <c r="AD50" s="41">
        <f>'Oct2026-COLLECTION'!K49</f>
        <v/>
      </c>
      <c r="AE50" s="174">
        <f>'Oct2026-EXPENSE'!R53</f>
        <v/>
      </c>
      <c r="AF50" s="174" t="n"/>
      <c r="AG50" s="174">
        <f>AD50-(AE50+AF50)</f>
        <v/>
      </c>
      <c r="AH50" s="41">
        <f>'Nov2026-COLLECTION'!K49</f>
        <v/>
      </c>
      <c r="AI50" s="174">
        <f>'Nov2026-EXPENSE'!R53</f>
        <v/>
      </c>
      <c r="AJ50" s="174" t="n"/>
      <c r="AK50" s="174">
        <f>AH50-(AI50+AJ50)</f>
        <v/>
      </c>
      <c r="AL50" s="41">
        <f>'Dec2026-COLLECTION'!K49</f>
        <v/>
      </c>
      <c r="AM50" s="174">
        <f>'Dec2026-EXPENSE'!R53</f>
        <v/>
      </c>
      <c r="AN50" s="174" t="n"/>
      <c r="AO50" s="174">
        <f>AL50-(AM50+AN50)</f>
        <v/>
      </c>
      <c r="AP50" s="7">
        <f>'Jan2027-COLLECTION'!K49</f>
        <v/>
      </c>
      <c r="AQ50" s="10">
        <f>'Jan2027-EXPENSE'!R53</f>
        <v/>
      </c>
      <c r="AR50" s="10" t="n"/>
      <c r="AS50" s="174">
        <f>AP50-(AQ50+AR50)</f>
        <v/>
      </c>
      <c r="AT50" s="7">
        <f>'Feb2027-COLLECTION'!K49</f>
        <v/>
      </c>
      <c r="AU50" s="10">
        <f>'Feb2027-EXPENSE'!R53</f>
        <v/>
      </c>
      <c r="AV50" s="10" t="n"/>
      <c r="AW50" s="174">
        <f>AT50-(AU50+AV50)</f>
        <v/>
      </c>
      <c r="AX50" s="7">
        <f>'Mar2027-COLLECTION'!K49</f>
        <v/>
      </c>
      <c r="AY50" s="10">
        <f>'Mar2027-EXPENSE'!R53</f>
        <v/>
      </c>
      <c r="AZ50" s="10" t="n"/>
      <c r="BA50" s="174">
        <f>AX50-(AY50+AZ50)</f>
        <v/>
      </c>
      <c r="BB50" s="172">
        <f>SUM(F50,J50,N50,R50,V50,Z50,AD50,AH50,AL50,AP50,AT50,AX50)</f>
        <v/>
      </c>
      <c r="BC50" s="172">
        <f>SUM(G50,K50,O50,S50,W50,AA50,AE50,AI50,AM50,AQ50,AU50,AY50)</f>
        <v/>
      </c>
      <c r="BD50" s="172">
        <f>SUM(H50,L50,P50,T50,X50,AB50,AF50,AJ50,AN50,AR50,AV50,AZ50)</f>
        <v/>
      </c>
      <c r="BE50" s="172">
        <f>BB50-(BC50+BD50)</f>
        <v/>
      </c>
      <c r="BF50" s="172">
        <f>E50+BE50</f>
        <v/>
      </c>
      <c r="BG50" s="175" t="n">
        <v>0</v>
      </c>
    </row>
    <row r="51" ht="15.75" customHeight="1" s="251">
      <c r="A51" s="169" t="inlineStr">
        <is>
          <t>T1</t>
        </is>
      </c>
      <c r="B51" s="13" t="n"/>
      <c r="C51" s="13" t="inlineStr">
        <is>
          <t>Prashant Sikdar</t>
        </is>
      </c>
      <c r="D51" s="170" t="n">
        <v>0</v>
      </c>
      <c r="E51" s="175" t="n">
        <v>0</v>
      </c>
      <c r="F51" s="171">
        <f>'Apr2026-COLLECTION'!K50</f>
        <v/>
      </c>
      <c r="G51" s="172">
        <f>'Apr2026-EXPENSE'!R54</f>
        <v/>
      </c>
      <c r="H51" s="172" t="n"/>
      <c r="I51" s="172">
        <f>F51-(G51+H51)</f>
        <v/>
      </c>
      <c r="J51" s="173">
        <f>'May2026-COLLECTION'!K50</f>
        <v/>
      </c>
      <c r="K51" s="174">
        <f>'May2026-EXPENSE'!R54</f>
        <v/>
      </c>
      <c r="L51" s="174" t="n"/>
      <c r="M51" s="174">
        <f>J51-(K51+L51)</f>
        <v/>
      </c>
      <c r="N51" s="172">
        <f>'June2026-COLLECTION'!K50</f>
        <v/>
      </c>
      <c r="O51" s="172">
        <f>'June2026-EXPENSE'!R54</f>
        <v/>
      </c>
      <c r="P51" s="172" t="n"/>
      <c r="Q51" s="172">
        <f>N51-(O51+P51)</f>
        <v/>
      </c>
      <c r="R51" s="41">
        <f>'July2026-COLLECTION'!K50</f>
        <v/>
      </c>
      <c r="S51" s="174">
        <f>'July2026-EXPENSE'!R54</f>
        <v/>
      </c>
      <c r="T51" s="174" t="n"/>
      <c r="U51" s="174">
        <f>R51-(S51+T51)</f>
        <v/>
      </c>
      <c r="V51" s="167">
        <f>'Aug2026-COLLECTION'!K50</f>
        <v/>
      </c>
      <c r="W51" s="172">
        <f>'Aug2026-EXPENSE'!R54</f>
        <v/>
      </c>
      <c r="X51" s="172" t="n"/>
      <c r="Y51" s="172">
        <f>V51-(W51+X51)</f>
        <v/>
      </c>
      <c r="Z51" s="41">
        <f>'Sep2026-COLLECTION'!K50</f>
        <v/>
      </c>
      <c r="AA51" s="174">
        <f>'Sep2026-EXPENSE'!R54</f>
        <v/>
      </c>
      <c r="AB51" s="174" t="n"/>
      <c r="AC51" s="174">
        <f>Z51-(AA51+AB51)</f>
        <v/>
      </c>
      <c r="AD51" s="41">
        <f>'Oct2026-COLLECTION'!K50</f>
        <v/>
      </c>
      <c r="AE51" s="174">
        <f>'Oct2026-EXPENSE'!R54</f>
        <v/>
      </c>
      <c r="AF51" s="174" t="n"/>
      <c r="AG51" s="174">
        <f>AD51-(AE51+AF51)</f>
        <v/>
      </c>
      <c r="AH51" s="41">
        <f>'Nov2026-COLLECTION'!K50</f>
        <v/>
      </c>
      <c r="AI51" s="174">
        <f>'Nov2026-EXPENSE'!R54</f>
        <v/>
      </c>
      <c r="AJ51" s="174" t="n"/>
      <c r="AK51" s="174">
        <f>AH51-(AI51+AJ51)</f>
        <v/>
      </c>
      <c r="AL51" s="41">
        <f>'Dec2026-COLLECTION'!K50</f>
        <v/>
      </c>
      <c r="AM51" s="174">
        <f>'Dec2026-EXPENSE'!R54</f>
        <v/>
      </c>
      <c r="AN51" s="174" t="n"/>
      <c r="AO51" s="174">
        <f>AL51-(AM51+AN51)</f>
        <v/>
      </c>
      <c r="AP51" s="7">
        <f>'Jan2027-COLLECTION'!K50</f>
        <v/>
      </c>
      <c r="AQ51" s="10">
        <f>'Jan2027-EXPENSE'!R54</f>
        <v/>
      </c>
      <c r="AR51" s="10" t="n"/>
      <c r="AS51" s="174">
        <f>AP51-(AQ51+AR51)</f>
        <v/>
      </c>
      <c r="AT51" s="7">
        <f>'Feb2027-COLLECTION'!K50</f>
        <v/>
      </c>
      <c r="AU51" s="10">
        <f>'Feb2027-EXPENSE'!R54</f>
        <v/>
      </c>
      <c r="AV51" s="10" t="n"/>
      <c r="AW51" s="174">
        <f>AT51-(AU51+AV51)</f>
        <v/>
      </c>
      <c r="AX51" s="7">
        <f>'Mar2027-COLLECTION'!K50</f>
        <v/>
      </c>
      <c r="AY51" s="10">
        <f>'Mar2027-EXPENSE'!R54</f>
        <v/>
      </c>
      <c r="AZ51" s="10" t="n"/>
      <c r="BA51" s="174">
        <f>AX51-(AY51+AZ51)</f>
        <v/>
      </c>
      <c r="BB51" s="172">
        <f>SUM(F51,J51,N51,R51,V51,Z51,AD51,AH51,AL51,AP51,AT51,AX51)</f>
        <v/>
      </c>
      <c r="BC51" s="172">
        <f>SUM(G51,K51,O51,S51,W51,AA51,AE51,AI51,AM51,AQ51,AU51,AY51)</f>
        <v/>
      </c>
      <c r="BD51" s="172">
        <f>SUM(H51,L51,P51,T51,X51,AB51,AF51,AJ51,AN51,AR51,AV51,AZ51)</f>
        <v/>
      </c>
      <c r="BE51" s="172">
        <f>BB51-(BC51+BD51)</f>
        <v/>
      </c>
      <c r="BF51" s="172">
        <f>E51+BE51</f>
        <v/>
      </c>
      <c r="BG51" s="175" t="n">
        <v>0</v>
      </c>
    </row>
    <row r="52" ht="15.75" customHeight="1" s="251">
      <c r="A52" s="169" t="inlineStr">
        <is>
          <t>T2</t>
        </is>
      </c>
      <c r="B52" s="13" t="n"/>
      <c r="C52" s="13" t="inlineStr">
        <is>
          <t>Kunal Mehta</t>
        </is>
      </c>
      <c r="D52" s="170" t="n">
        <v>0</v>
      </c>
      <c r="E52" s="175" t="n">
        <v>0</v>
      </c>
      <c r="F52" s="171">
        <f>'Apr2026-COLLECTION'!K51</f>
        <v/>
      </c>
      <c r="G52" s="172">
        <f>'Apr2026-EXPENSE'!R55</f>
        <v/>
      </c>
      <c r="H52" s="172" t="n"/>
      <c r="I52" s="172">
        <f>F52-(G52+H52)</f>
        <v/>
      </c>
      <c r="J52" s="173">
        <f>'May2026-COLLECTION'!K51</f>
        <v/>
      </c>
      <c r="K52" s="174">
        <f>'May2026-EXPENSE'!R55</f>
        <v/>
      </c>
      <c r="L52" s="174" t="n">
        <v>0</v>
      </c>
      <c r="M52" s="174">
        <f>J52-(K52+L52)</f>
        <v/>
      </c>
      <c r="N52" s="172">
        <f>'June2026-COLLECTION'!K51</f>
        <v/>
      </c>
      <c r="O52" s="172">
        <f>'June2026-EXPENSE'!R55</f>
        <v/>
      </c>
      <c r="P52" s="172" t="n"/>
      <c r="Q52" s="172">
        <f>N52-(O52+P52)</f>
        <v/>
      </c>
      <c r="R52" s="41">
        <f>'July2026-COLLECTION'!K51</f>
        <v/>
      </c>
      <c r="S52" s="174">
        <f>'July2026-EXPENSE'!R55</f>
        <v/>
      </c>
      <c r="T52" s="174" t="n">
        <v>0</v>
      </c>
      <c r="U52" s="174">
        <f>R52-(S52+T52)</f>
        <v/>
      </c>
      <c r="V52" s="167">
        <f>'Aug2026-COLLECTION'!K51</f>
        <v/>
      </c>
      <c r="W52" s="172">
        <f>'Aug2026-EXPENSE'!R55</f>
        <v/>
      </c>
      <c r="X52" s="172" t="n"/>
      <c r="Y52" s="172">
        <f>V52-(W52+X52)</f>
        <v/>
      </c>
      <c r="Z52" s="41">
        <f>'Sep2026-COLLECTION'!K51</f>
        <v/>
      </c>
      <c r="AA52" s="174">
        <f>'Sep2026-EXPENSE'!R55</f>
        <v/>
      </c>
      <c r="AB52" s="174" t="n"/>
      <c r="AC52" s="174">
        <f>Z52-(AA52+AB52)</f>
        <v/>
      </c>
      <c r="AD52" s="41">
        <f>'Oct2026-COLLECTION'!K51</f>
        <v/>
      </c>
      <c r="AE52" s="174">
        <f>'Oct2026-EXPENSE'!R55</f>
        <v/>
      </c>
      <c r="AF52" s="174" t="n"/>
      <c r="AG52" s="174">
        <f>AD52-(AE52+AF52)</f>
        <v/>
      </c>
      <c r="AH52" s="41">
        <f>'Nov2026-COLLECTION'!K51</f>
        <v/>
      </c>
      <c r="AI52" s="174">
        <f>'Nov2026-EXPENSE'!R55</f>
        <v/>
      </c>
      <c r="AJ52" s="174" t="n"/>
      <c r="AK52" s="174">
        <f>AH52-(AI52+AJ52)</f>
        <v/>
      </c>
      <c r="AL52" s="41">
        <f>'Dec2026-COLLECTION'!K51</f>
        <v/>
      </c>
      <c r="AM52" s="174">
        <f>'Dec2026-EXPENSE'!R55</f>
        <v/>
      </c>
      <c r="AN52" s="174" t="n"/>
      <c r="AO52" s="174">
        <f>AL52-(AM52+AN52)</f>
        <v/>
      </c>
      <c r="AP52" s="7">
        <f>'Jan2027-COLLECTION'!K51</f>
        <v/>
      </c>
      <c r="AQ52" s="10">
        <f>'Jan2027-EXPENSE'!R55</f>
        <v/>
      </c>
      <c r="AR52" s="10" t="n"/>
      <c r="AS52" s="174">
        <f>AP52-(AQ52+AR52)</f>
        <v/>
      </c>
      <c r="AT52" s="7">
        <f>'Feb2027-COLLECTION'!K51</f>
        <v/>
      </c>
      <c r="AU52" s="10">
        <f>'Feb2027-EXPENSE'!R55</f>
        <v/>
      </c>
      <c r="AV52" s="10" t="n"/>
      <c r="AW52" s="174">
        <f>AT52-(AU52+AV52)</f>
        <v/>
      </c>
      <c r="AX52" s="7">
        <f>'Mar2027-COLLECTION'!K51</f>
        <v/>
      </c>
      <c r="AY52" s="10">
        <f>'Mar2027-EXPENSE'!R55</f>
        <v/>
      </c>
      <c r="AZ52" s="10" t="n"/>
      <c r="BA52" s="174">
        <f>AX52-(AY52+AZ52)</f>
        <v/>
      </c>
      <c r="BB52" s="172">
        <f>SUM(F52,J52,N52,R52,V52,Z52,AD52,AH52,AL52,AP52,AT52,AX52)</f>
        <v/>
      </c>
      <c r="BC52" s="172">
        <f>SUM(G52,K52,O52,S52,W52,AA52,AE52,AI52,AM52,AQ52,AU52,AY52)</f>
        <v/>
      </c>
      <c r="BD52" s="172">
        <f>SUM(H52,L52,P52,T52,X52,AB52,AF52,AJ52,AN52,AR52,AV52,AZ52)</f>
        <v/>
      </c>
      <c r="BE52" s="172">
        <f>BB52-(BC52+BD52)</f>
        <v/>
      </c>
      <c r="BF52" s="172">
        <f>E52+BE52</f>
        <v/>
      </c>
      <c r="BG52" s="175" t="n">
        <v>0</v>
      </c>
    </row>
    <row r="53" ht="15.75" customHeight="1" s="251">
      <c r="A53" s="169" t="inlineStr">
        <is>
          <t>T3</t>
        </is>
      </c>
      <c r="B53" s="13" t="n"/>
      <c r="C53" s="13" t="inlineStr">
        <is>
          <t>Kapil Garg</t>
        </is>
      </c>
      <c r="D53" s="170" t="n">
        <v>0</v>
      </c>
      <c r="E53" s="175" t="n">
        <v>0</v>
      </c>
      <c r="F53" s="171">
        <f>'Apr2026-COLLECTION'!K52</f>
        <v/>
      </c>
      <c r="G53" s="172">
        <f>'Apr2026-EXPENSE'!R56</f>
        <v/>
      </c>
      <c r="H53" s="172" t="n"/>
      <c r="I53" s="172">
        <f>F53-(G53+H53)</f>
        <v/>
      </c>
      <c r="J53" s="173">
        <f>'May2026-COLLECTION'!K52</f>
        <v/>
      </c>
      <c r="K53" s="174">
        <f>'May2026-EXPENSE'!R56</f>
        <v/>
      </c>
      <c r="L53" s="174" t="n">
        <v>0</v>
      </c>
      <c r="M53" s="174">
        <f>J53-(K53+L53)</f>
        <v/>
      </c>
      <c r="N53" s="172">
        <f>'June2026-COLLECTION'!K52</f>
        <v/>
      </c>
      <c r="O53" s="172">
        <f>'June2026-EXPENSE'!R56</f>
        <v/>
      </c>
      <c r="P53" s="172" t="n"/>
      <c r="Q53" s="172">
        <f>N53-(O53+P53)</f>
        <v/>
      </c>
      <c r="R53" s="41">
        <f>'July2026-COLLECTION'!K52</f>
        <v/>
      </c>
      <c r="S53" s="174">
        <f>'July2026-EXPENSE'!R56</f>
        <v/>
      </c>
      <c r="T53" s="174" t="n"/>
      <c r="U53" s="174">
        <f>R53-(S53+T53)</f>
        <v/>
      </c>
      <c r="V53" s="167">
        <f>'Aug2026-COLLECTION'!K52</f>
        <v/>
      </c>
      <c r="W53" s="172">
        <f>'Aug2026-EXPENSE'!R56</f>
        <v/>
      </c>
      <c r="X53" s="172" t="n"/>
      <c r="Y53" s="172">
        <f>V53-(W53+X53)</f>
        <v/>
      </c>
      <c r="Z53" s="41">
        <f>'Sep2026-COLLECTION'!K52</f>
        <v/>
      </c>
      <c r="AA53" s="174">
        <f>'Sep2026-EXPENSE'!R56</f>
        <v/>
      </c>
      <c r="AB53" s="174" t="n"/>
      <c r="AC53" s="174">
        <f>Z53-(AA53+AB53)</f>
        <v/>
      </c>
      <c r="AD53" s="41">
        <f>'Oct2026-COLLECTION'!K52</f>
        <v/>
      </c>
      <c r="AE53" s="174">
        <f>'Oct2026-EXPENSE'!R56</f>
        <v/>
      </c>
      <c r="AF53" s="174" t="n"/>
      <c r="AG53" s="174">
        <f>AD53-(AE53+AF53)</f>
        <v/>
      </c>
      <c r="AH53" s="41">
        <f>'Nov2026-COLLECTION'!K52</f>
        <v/>
      </c>
      <c r="AI53" s="174">
        <f>'Nov2026-EXPENSE'!R56</f>
        <v/>
      </c>
      <c r="AJ53" s="174" t="n"/>
      <c r="AK53" s="174">
        <f>AH53-(AI53+AJ53)</f>
        <v/>
      </c>
      <c r="AL53" s="41">
        <f>'Dec2026-COLLECTION'!K52</f>
        <v/>
      </c>
      <c r="AM53" s="174">
        <f>'Dec2026-EXPENSE'!R56</f>
        <v/>
      </c>
      <c r="AN53" s="174" t="n"/>
      <c r="AO53" s="174">
        <f>AL53-(AM53+AN53)</f>
        <v/>
      </c>
      <c r="AP53" s="7">
        <f>'Jan2027-COLLECTION'!K52</f>
        <v/>
      </c>
      <c r="AQ53" s="10">
        <f>'Jan2027-EXPENSE'!R56</f>
        <v/>
      </c>
      <c r="AR53" s="10" t="n"/>
      <c r="AS53" s="174">
        <f>AP53-(AQ53+AR53)</f>
        <v/>
      </c>
      <c r="AT53" s="7">
        <f>'Feb2027-COLLECTION'!K52</f>
        <v/>
      </c>
      <c r="AU53" s="10">
        <f>'Feb2027-EXPENSE'!R56</f>
        <v/>
      </c>
      <c r="AV53" s="10" t="n"/>
      <c r="AW53" s="174">
        <f>AT53-(AU53+AV53)</f>
        <v/>
      </c>
      <c r="AX53" s="7">
        <f>'Mar2027-COLLECTION'!K52</f>
        <v/>
      </c>
      <c r="AY53" s="10">
        <f>'Mar2027-EXPENSE'!R56</f>
        <v/>
      </c>
      <c r="AZ53" s="10" t="n"/>
      <c r="BA53" s="174">
        <f>AX53-(AY53+AZ53)</f>
        <v/>
      </c>
      <c r="BB53" s="172">
        <f>SUM(F53,J53,N53,R53,V53,Z53,AD53,AH53,AL53,AP53,AT53,AX53)</f>
        <v/>
      </c>
      <c r="BC53" s="172">
        <f>SUM(G53,K53,O53,S53,W53,AA53,AE53,AI53,AM53,AQ53,AU53,AY53)</f>
        <v/>
      </c>
      <c r="BD53" s="172">
        <f>SUM(H53,L53,P53,T53,X53,AB53,AF53,AJ53,AN53,AR53,AV53,AZ53)</f>
        <v/>
      </c>
      <c r="BE53" s="172">
        <f>BB53-(BC53+BD53)</f>
        <v/>
      </c>
      <c r="BF53" s="172">
        <f>E53+BE53</f>
        <v/>
      </c>
      <c r="BG53" s="175" t="n">
        <v>0</v>
      </c>
    </row>
    <row r="54" ht="15.75" customHeight="1" s="251">
      <c r="A54" s="169" t="inlineStr">
        <is>
          <t>T4</t>
        </is>
      </c>
      <c r="B54" s="13" t="n"/>
      <c r="C54" s="13" t="inlineStr">
        <is>
          <t>Vijet Alva (Owner)    -    Masood (Tenant)</t>
        </is>
      </c>
      <c r="D54" s="170" t="n">
        <v>0</v>
      </c>
      <c r="E54" s="175" t="n">
        <v>0</v>
      </c>
      <c r="F54" s="171">
        <f>'Apr2026-COLLECTION'!K53</f>
        <v/>
      </c>
      <c r="G54" s="172">
        <f>'Apr2026-EXPENSE'!R57</f>
        <v/>
      </c>
      <c r="H54" s="172" t="n"/>
      <c r="I54" s="172">
        <f>F54-(G54+H54)</f>
        <v/>
      </c>
      <c r="J54" s="173">
        <f>'May2026-COLLECTION'!K53</f>
        <v/>
      </c>
      <c r="K54" s="174">
        <f>'May2026-EXPENSE'!R57</f>
        <v/>
      </c>
      <c r="L54" s="174" t="n"/>
      <c r="M54" s="174">
        <f>J54-(K54+L54)</f>
        <v/>
      </c>
      <c r="N54" s="172">
        <f>'June2026-COLLECTION'!K53</f>
        <v/>
      </c>
      <c r="O54" s="172">
        <f>'June2026-EXPENSE'!R57</f>
        <v/>
      </c>
      <c r="P54" s="172" t="n"/>
      <c r="Q54" s="172">
        <f>N54-(O54+P54)</f>
        <v/>
      </c>
      <c r="R54" s="41">
        <f>'July2026-COLLECTION'!K53</f>
        <v/>
      </c>
      <c r="S54" s="174">
        <f>'July2026-EXPENSE'!R57</f>
        <v/>
      </c>
      <c r="T54" s="174" t="n"/>
      <c r="U54" s="174">
        <f>R54-(S54+T54)</f>
        <v/>
      </c>
      <c r="V54" s="167">
        <f>'Aug2026-COLLECTION'!K53</f>
        <v/>
      </c>
      <c r="W54" s="172">
        <f>'Aug2026-EXPENSE'!R57</f>
        <v/>
      </c>
      <c r="X54" s="172" t="n"/>
      <c r="Y54" s="172">
        <f>V54-(W54+X54)</f>
        <v/>
      </c>
      <c r="Z54" s="41">
        <f>'Sep2026-COLLECTION'!K53</f>
        <v/>
      </c>
      <c r="AA54" s="174">
        <f>'Sep2026-EXPENSE'!R57</f>
        <v/>
      </c>
      <c r="AB54" s="174" t="n"/>
      <c r="AC54" s="174">
        <f>Z54-(AA54+AB54)</f>
        <v/>
      </c>
      <c r="AD54" s="41">
        <f>'Oct2026-COLLECTION'!K53</f>
        <v/>
      </c>
      <c r="AE54" s="174">
        <f>'Oct2026-EXPENSE'!R57</f>
        <v/>
      </c>
      <c r="AF54" s="174" t="n"/>
      <c r="AG54" s="174">
        <f>AD54-(AE54+AF54)</f>
        <v/>
      </c>
      <c r="AH54" s="41">
        <f>'Nov2026-COLLECTION'!K53</f>
        <v/>
      </c>
      <c r="AI54" s="174">
        <f>'Nov2026-EXPENSE'!R57</f>
        <v/>
      </c>
      <c r="AJ54" s="174" t="n"/>
      <c r="AK54" s="174">
        <f>AH54-(AI54+AJ54)</f>
        <v/>
      </c>
      <c r="AL54" s="41">
        <f>'Dec2026-COLLECTION'!K53</f>
        <v/>
      </c>
      <c r="AM54" s="174">
        <f>'Dec2026-EXPENSE'!R57</f>
        <v/>
      </c>
      <c r="AN54" s="174" t="n"/>
      <c r="AO54" s="174">
        <f>AL54-(AM54+AN54)</f>
        <v/>
      </c>
      <c r="AP54" s="7">
        <f>'Jan2027-COLLECTION'!K53</f>
        <v/>
      </c>
      <c r="AQ54" s="10">
        <f>'Jan2027-EXPENSE'!R57</f>
        <v/>
      </c>
      <c r="AR54" s="10" t="n"/>
      <c r="AS54" s="174">
        <f>AP54-(AQ54+AR54)</f>
        <v/>
      </c>
      <c r="AT54" s="7">
        <f>'Feb2027-COLLECTION'!K53</f>
        <v/>
      </c>
      <c r="AU54" s="10">
        <f>'Feb2027-EXPENSE'!R57</f>
        <v/>
      </c>
      <c r="AV54" s="10" t="n"/>
      <c r="AW54" s="174">
        <f>AT54-(AU54+AV54)</f>
        <v/>
      </c>
      <c r="AX54" s="7">
        <f>'Mar2027-COLLECTION'!K53</f>
        <v/>
      </c>
      <c r="AY54" s="10">
        <f>'Mar2027-EXPENSE'!R57</f>
        <v/>
      </c>
      <c r="AZ54" s="10" t="n"/>
      <c r="BA54" s="174">
        <f>AX54-(AY54+AZ54)</f>
        <v/>
      </c>
      <c r="BB54" s="172">
        <f>SUM(F54,J54,N54,R54,V54,Z54,AD54,AH54,AL54,AP54,AT54,AX54)</f>
        <v/>
      </c>
      <c r="BC54" s="172">
        <f>SUM(G54,K54,O54,S54,W54,AA54,AE54,AI54,AM54,AQ54,AU54,AY54)</f>
        <v/>
      </c>
      <c r="BD54" s="172">
        <f>SUM(H54,L54,P54,T54,X54,AB54,AF54,AJ54,AN54,AR54,AV54,AZ54)</f>
        <v/>
      </c>
      <c r="BE54" s="172">
        <f>BB54-(BC54+BD54)</f>
        <v/>
      </c>
      <c r="BF54" s="172">
        <f>E54+BE54</f>
        <v/>
      </c>
      <c r="BG54" s="175" t="n">
        <v>0</v>
      </c>
    </row>
    <row r="55" ht="15.75" customHeight="1" s="251">
      <c r="A55" s="169" t="inlineStr">
        <is>
          <t>T5</t>
        </is>
      </c>
      <c r="B55" s="13" t="n"/>
      <c r="C55" s="13" t="inlineStr">
        <is>
          <t>Ganesh Iyer and Latha Iyer( owner) Richa (Tenant)</t>
        </is>
      </c>
      <c r="D55" s="170" t="n">
        <v>0</v>
      </c>
      <c r="E55" s="175" t="n">
        <v>0</v>
      </c>
      <c r="F55" s="171">
        <f>'Apr2026-COLLECTION'!K54</f>
        <v/>
      </c>
      <c r="G55" s="172">
        <f>'Apr2026-EXPENSE'!R58</f>
        <v/>
      </c>
      <c r="H55" s="172" t="n"/>
      <c r="I55" s="172">
        <f>F55-(G55+H55)</f>
        <v/>
      </c>
      <c r="J55" s="173">
        <f>'May2026-COLLECTION'!K54</f>
        <v/>
      </c>
      <c r="K55" s="174">
        <f>'May2026-EXPENSE'!R58</f>
        <v/>
      </c>
      <c r="L55" s="174" t="n"/>
      <c r="M55" s="174">
        <f>J55-(K55+L55)</f>
        <v/>
      </c>
      <c r="N55" s="172">
        <f>'June2026-COLLECTION'!K54</f>
        <v/>
      </c>
      <c r="O55" s="172">
        <f>'June2026-EXPENSE'!R58</f>
        <v/>
      </c>
      <c r="P55" s="172" t="n"/>
      <c r="Q55" s="172">
        <f>N55-(O55+P55)</f>
        <v/>
      </c>
      <c r="R55" s="41">
        <f>'July2026-COLLECTION'!K54</f>
        <v/>
      </c>
      <c r="S55" s="174">
        <f>'July2026-EXPENSE'!R58</f>
        <v/>
      </c>
      <c r="T55" s="174" t="n"/>
      <c r="U55" s="174">
        <f>R55-(S55+T55)</f>
        <v/>
      </c>
      <c r="V55" s="167">
        <f>'Aug2026-COLLECTION'!K54</f>
        <v/>
      </c>
      <c r="W55" s="172">
        <f>'Aug2026-EXPENSE'!R58</f>
        <v/>
      </c>
      <c r="X55" s="172" t="n"/>
      <c r="Y55" s="172">
        <f>V55-(W55+X55)</f>
        <v/>
      </c>
      <c r="Z55" s="41">
        <f>'Sep2026-COLLECTION'!K54</f>
        <v/>
      </c>
      <c r="AA55" s="174">
        <f>'Sep2026-EXPENSE'!R58</f>
        <v/>
      </c>
      <c r="AB55" s="174" t="n"/>
      <c r="AC55" s="174">
        <f>Z55-(AA55+AB55)</f>
        <v/>
      </c>
      <c r="AD55" s="41">
        <f>'Oct2026-COLLECTION'!K54</f>
        <v/>
      </c>
      <c r="AE55" s="174">
        <f>'Oct2026-EXPENSE'!R58</f>
        <v/>
      </c>
      <c r="AF55" s="174" t="n"/>
      <c r="AG55" s="174">
        <f>AD55-(AE55+AF55)</f>
        <v/>
      </c>
      <c r="AH55" s="41">
        <f>'Nov2026-COLLECTION'!K54</f>
        <v/>
      </c>
      <c r="AI55" s="174">
        <f>'Nov2026-EXPENSE'!R58</f>
        <v/>
      </c>
      <c r="AJ55" s="174" t="n"/>
      <c r="AK55" s="174">
        <f>AH55-(AI55+AJ55)</f>
        <v/>
      </c>
      <c r="AL55" s="41">
        <f>'Dec2026-COLLECTION'!K54</f>
        <v/>
      </c>
      <c r="AM55" s="174">
        <f>'Dec2026-EXPENSE'!R58</f>
        <v/>
      </c>
      <c r="AN55" s="174" t="n"/>
      <c r="AO55" s="174">
        <f>AL55-(AM55+AN55)</f>
        <v/>
      </c>
      <c r="AP55" s="7">
        <f>'Jan2027-COLLECTION'!K54</f>
        <v/>
      </c>
      <c r="AQ55" s="10">
        <f>'Jan2027-EXPENSE'!R58</f>
        <v/>
      </c>
      <c r="AR55" s="10" t="n"/>
      <c r="AS55" s="174">
        <f>AP55-(AQ55+AR55)</f>
        <v/>
      </c>
      <c r="AT55" s="7">
        <f>'Feb2027-COLLECTION'!K54</f>
        <v/>
      </c>
      <c r="AU55" s="10">
        <f>'Feb2027-EXPENSE'!R58</f>
        <v/>
      </c>
      <c r="AV55" s="10" t="n"/>
      <c r="AW55" s="174">
        <f>AT55-(AU55+AV55)</f>
        <v/>
      </c>
      <c r="AX55" s="7">
        <f>'Mar2027-COLLECTION'!K54</f>
        <v/>
      </c>
      <c r="AY55" s="10">
        <f>'Mar2027-EXPENSE'!R58</f>
        <v/>
      </c>
      <c r="AZ55" s="10" t="n"/>
      <c r="BA55" s="174">
        <f>AX55-(AY55+AZ55)</f>
        <v/>
      </c>
      <c r="BB55" s="172">
        <f>SUM(F55,J55,N55,R55,V55,Z55,AD55,AH55,AL55,AP55,AT55,AX55)</f>
        <v/>
      </c>
      <c r="BC55" s="172">
        <f>SUM(G55,K55,O55,S55,W55,AA55,AE55,AI55,AM55,AQ55,AU55,AY55)</f>
        <v/>
      </c>
      <c r="BD55" s="172">
        <f>SUM(H55,L55,P55,T55,X55,AB55,AF55,AJ55,AN55,AR55,AV55,AZ55)</f>
        <v/>
      </c>
      <c r="BE55" s="172">
        <f>BB55-(BC55+BD55)</f>
        <v/>
      </c>
      <c r="BF55" s="172">
        <f>E55+BE55</f>
        <v/>
      </c>
      <c r="BG55" s="175" t="n">
        <v>0</v>
      </c>
    </row>
    <row r="56" ht="15.75" customHeight="1" s="251">
      <c r="A56" s="169" t="inlineStr">
        <is>
          <t>T6</t>
        </is>
      </c>
      <c r="B56" s="13" t="n"/>
      <c r="C56" s="13" t="inlineStr">
        <is>
          <t>Mythili Ramesh</t>
        </is>
      </c>
      <c r="D56" s="170" t="n">
        <v>0</v>
      </c>
      <c r="E56" s="175" t="n">
        <v>0</v>
      </c>
      <c r="F56" s="171">
        <f>'Apr2026-COLLECTION'!K55</f>
        <v/>
      </c>
      <c r="G56" s="172">
        <f>'Apr2026-EXPENSE'!R59</f>
        <v/>
      </c>
      <c r="H56" s="172" t="n"/>
      <c r="I56" s="172">
        <f>F56-(G56+H56)</f>
        <v/>
      </c>
      <c r="J56" s="173">
        <f>'May2026-COLLECTION'!K55</f>
        <v/>
      </c>
      <c r="K56" s="174">
        <f>'May2026-EXPENSE'!R59</f>
        <v/>
      </c>
      <c r="L56" s="174" t="n"/>
      <c r="M56" s="174">
        <f>J56-(K56+L56)</f>
        <v/>
      </c>
      <c r="N56" s="172">
        <f>'June2026-COLLECTION'!K55</f>
        <v/>
      </c>
      <c r="O56" s="172">
        <f>'June2026-EXPENSE'!R59</f>
        <v/>
      </c>
      <c r="P56" s="172" t="n"/>
      <c r="Q56" s="172">
        <f>N56-(O56+P56)</f>
        <v/>
      </c>
      <c r="R56" s="41">
        <f>'July2026-COLLECTION'!K55</f>
        <v/>
      </c>
      <c r="S56" s="174">
        <f>'July2026-EXPENSE'!R59</f>
        <v/>
      </c>
      <c r="T56" s="174" t="n"/>
      <c r="U56" s="174">
        <f>R56-(S56+T56)</f>
        <v/>
      </c>
      <c r="V56" s="167">
        <f>'Aug2026-COLLECTION'!K55</f>
        <v/>
      </c>
      <c r="W56" s="172">
        <f>'Aug2026-EXPENSE'!R59</f>
        <v/>
      </c>
      <c r="X56" s="172" t="n"/>
      <c r="Y56" s="172">
        <f>V56-(W56+X56)</f>
        <v/>
      </c>
      <c r="Z56" s="41">
        <f>'Sep2026-COLLECTION'!K55</f>
        <v/>
      </c>
      <c r="AA56" s="174">
        <f>'Sep2026-EXPENSE'!R59</f>
        <v/>
      </c>
      <c r="AB56" s="174" t="n"/>
      <c r="AC56" s="174">
        <f>Z56-(AA56+AB56)</f>
        <v/>
      </c>
      <c r="AD56" s="41">
        <f>'Oct2026-COLLECTION'!K55</f>
        <v/>
      </c>
      <c r="AE56" s="174">
        <f>'Oct2026-EXPENSE'!R59</f>
        <v/>
      </c>
      <c r="AF56" s="174" t="n"/>
      <c r="AG56" s="174">
        <f>AD56-(AE56+AF56)</f>
        <v/>
      </c>
      <c r="AH56" s="41">
        <f>'Nov2026-COLLECTION'!K55</f>
        <v/>
      </c>
      <c r="AI56" s="174">
        <f>'Nov2026-EXPENSE'!R59</f>
        <v/>
      </c>
      <c r="AJ56" s="174" t="n"/>
      <c r="AK56" s="174">
        <f>AH56-(AI56+AJ56)</f>
        <v/>
      </c>
      <c r="AL56" s="41">
        <f>'Dec2026-COLLECTION'!K55</f>
        <v/>
      </c>
      <c r="AM56" s="174">
        <f>'Dec2026-EXPENSE'!R59</f>
        <v/>
      </c>
      <c r="AN56" s="174" t="n"/>
      <c r="AO56" s="174">
        <f>AL56-(AM56+AN56)</f>
        <v/>
      </c>
      <c r="AP56" s="7">
        <f>'Jan2027-COLLECTION'!K55</f>
        <v/>
      </c>
      <c r="AQ56" s="10">
        <f>'Jan2027-EXPENSE'!R59</f>
        <v/>
      </c>
      <c r="AR56" s="10" t="n"/>
      <c r="AS56" s="174">
        <f>AP56-(AQ56+AR56)</f>
        <v/>
      </c>
      <c r="AT56" s="7">
        <f>'Feb2027-COLLECTION'!K55</f>
        <v/>
      </c>
      <c r="AU56" s="10">
        <f>'Feb2027-EXPENSE'!R59</f>
        <v/>
      </c>
      <c r="AV56" s="10" t="n"/>
      <c r="AW56" s="174">
        <f>AT56-(AU56+AV56)</f>
        <v/>
      </c>
      <c r="AX56" s="7">
        <f>'Mar2027-COLLECTION'!K55</f>
        <v/>
      </c>
      <c r="AY56" s="10">
        <f>'Mar2027-EXPENSE'!R59</f>
        <v/>
      </c>
      <c r="AZ56" s="10" t="n"/>
      <c r="BA56" s="174">
        <f>AX56-(AY56+AZ56)</f>
        <v/>
      </c>
      <c r="BB56" s="172">
        <f>SUM(F56,J56,N56,R56,V56,Z56,AD56,AH56,AL56,AP56,AT56,AX56)</f>
        <v/>
      </c>
      <c r="BC56" s="172">
        <f>SUM(G56,K56,O56,S56,W56,AA56,AE56,AI56,AM56,AQ56,AU56,AY56)</f>
        <v/>
      </c>
      <c r="BD56" s="172">
        <f>SUM(H56,L56,P56,T56,X56,AB56,AF56,AJ56,AN56,AR56,AV56,AZ56)</f>
        <v/>
      </c>
      <c r="BE56" s="172">
        <f>BB56-(BC56+BD56)</f>
        <v/>
      </c>
      <c r="BF56" s="172">
        <f>E56+BE56</f>
        <v/>
      </c>
      <c r="BG56" s="175" t="n">
        <v>0</v>
      </c>
    </row>
    <row r="57" ht="15.75" customHeight="1" s="251">
      <c r="A57" s="169" t="inlineStr">
        <is>
          <t>T7</t>
        </is>
      </c>
      <c r="B57" s="13" t="n"/>
      <c r="C57" s="13" t="inlineStr">
        <is>
          <t>Vinyas Ramachandra / Shwetha Marnamikatta / Katari Siva Rama Raju</t>
        </is>
      </c>
      <c r="D57" s="170" t="n">
        <v>0</v>
      </c>
      <c r="E57" s="175" t="n">
        <v>0</v>
      </c>
      <c r="F57" s="171">
        <f>'Apr2026-COLLECTION'!K56</f>
        <v/>
      </c>
      <c r="G57" s="172">
        <f>'Apr2026-EXPENSE'!R60</f>
        <v/>
      </c>
      <c r="H57" s="172" t="n"/>
      <c r="I57" s="172">
        <f>F57-(G57+H57)</f>
        <v/>
      </c>
      <c r="J57" s="173">
        <f>'May2026-COLLECTION'!K56</f>
        <v/>
      </c>
      <c r="K57" s="174">
        <f>'May2026-EXPENSE'!R60</f>
        <v/>
      </c>
      <c r="L57" s="174" t="n"/>
      <c r="M57" s="174">
        <f>J57-(K57+L57)</f>
        <v/>
      </c>
      <c r="N57" s="172">
        <f>'June2026-COLLECTION'!K56</f>
        <v/>
      </c>
      <c r="O57" s="172">
        <f>'June2026-EXPENSE'!R60</f>
        <v/>
      </c>
      <c r="P57" s="172" t="n"/>
      <c r="Q57" s="172">
        <f>N57-(O57+P57)</f>
        <v/>
      </c>
      <c r="R57" s="41">
        <f>'July2026-COLLECTION'!K56</f>
        <v/>
      </c>
      <c r="S57" s="174">
        <f>'July2026-EXPENSE'!R60</f>
        <v/>
      </c>
      <c r="T57" s="174" t="n"/>
      <c r="U57" s="174">
        <f>R57-(S57+T57)</f>
        <v/>
      </c>
      <c r="V57" s="167">
        <f>'Aug2026-COLLECTION'!K56</f>
        <v/>
      </c>
      <c r="W57" s="172">
        <f>'Aug2026-EXPENSE'!R60</f>
        <v/>
      </c>
      <c r="X57" s="172" t="n"/>
      <c r="Y57" s="172">
        <f>V57-(W57+X57)</f>
        <v/>
      </c>
      <c r="Z57" s="41">
        <f>'Sep2026-COLLECTION'!K56</f>
        <v/>
      </c>
      <c r="AA57" s="174">
        <f>'Sep2026-EXPENSE'!R60</f>
        <v/>
      </c>
      <c r="AB57" s="174" t="n"/>
      <c r="AC57" s="174">
        <f>Z57-(AA57+AB57)</f>
        <v/>
      </c>
      <c r="AD57" s="41">
        <f>'Oct2026-COLLECTION'!K56</f>
        <v/>
      </c>
      <c r="AE57" s="174">
        <f>'Oct2026-EXPENSE'!R60</f>
        <v/>
      </c>
      <c r="AF57" s="174" t="n"/>
      <c r="AG57" s="174">
        <f>AD57-(AE57+AF57)</f>
        <v/>
      </c>
      <c r="AH57" s="41">
        <f>'Nov2026-COLLECTION'!K56</f>
        <v/>
      </c>
      <c r="AI57" s="174">
        <f>'Nov2026-EXPENSE'!R60</f>
        <v/>
      </c>
      <c r="AJ57" s="174" t="n"/>
      <c r="AK57" s="174">
        <f>AH57-(AI57+AJ57)</f>
        <v/>
      </c>
      <c r="AL57" s="41">
        <f>'Dec2026-COLLECTION'!K56</f>
        <v/>
      </c>
      <c r="AM57" s="174">
        <f>'Dec2026-EXPENSE'!R60</f>
        <v/>
      </c>
      <c r="AN57" s="174" t="n"/>
      <c r="AO57" s="174">
        <f>AL57-(AM57+AN57)</f>
        <v/>
      </c>
      <c r="AP57" s="7">
        <f>'Jan2027-COLLECTION'!K56</f>
        <v/>
      </c>
      <c r="AQ57" s="10">
        <f>'Jan2027-EXPENSE'!R60</f>
        <v/>
      </c>
      <c r="AR57" s="10" t="n"/>
      <c r="AS57" s="174">
        <f>AP57-(AQ57+AR57)</f>
        <v/>
      </c>
      <c r="AT57" s="7">
        <f>'Feb2027-COLLECTION'!K56</f>
        <v/>
      </c>
      <c r="AU57" s="10">
        <f>'Feb2027-EXPENSE'!R60</f>
        <v/>
      </c>
      <c r="AV57" s="10" t="n"/>
      <c r="AW57" s="174">
        <f>AT57-(AU57+AV57)</f>
        <v/>
      </c>
      <c r="AX57" s="7">
        <f>'Mar2027-COLLECTION'!K56</f>
        <v/>
      </c>
      <c r="AY57" s="10">
        <f>'Mar2027-EXPENSE'!R60</f>
        <v/>
      </c>
      <c r="AZ57" s="10" t="n"/>
      <c r="BA57" s="174">
        <f>AX57-(AY57+AZ57)</f>
        <v/>
      </c>
      <c r="BB57" s="172">
        <f>SUM(F57,J57,N57,R57,V57,Z57,AD57,AH57,AL57,AP57,AT57,AX57)</f>
        <v/>
      </c>
      <c r="BC57" s="172">
        <f>SUM(G57,K57,O57,S57,W57,AA57,AE57,AI57,AM57,AQ57,AU57,AY57)</f>
        <v/>
      </c>
      <c r="BD57" s="172">
        <f>SUM(H57,L57,P57,T57,X57,AB57,AF57,AJ57,AN57,AR57,AV57,AZ57)</f>
        <v/>
      </c>
      <c r="BE57" s="172">
        <f>BB57-(BC57+BD57)</f>
        <v/>
      </c>
      <c r="BF57" s="172">
        <f>E57+BE57</f>
        <v/>
      </c>
      <c r="BG57" s="175" t="n">
        <v>0</v>
      </c>
    </row>
    <row r="58" ht="15.75" customHeight="1" s="251">
      <c r="A58" s="169" t="inlineStr">
        <is>
          <t>T8</t>
        </is>
      </c>
      <c r="B58" s="13" t="n"/>
      <c r="C58" s="13" t="inlineStr">
        <is>
          <t>Lalit Kumar Sharma</t>
        </is>
      </c>
      <c r="D58" s="170" t="n">
        <v>0</v>
      </c>
      <c r="E58" s="175" t="n">
        <v>0</v>
      </c>
      <c r="F58" s="171">
        <f>'Apr2026-COLLECTION'!K57</f>
        <v/>
      </c>
      <c r="G58" s="172">
        <f>'Apr2026-EXPENSE'!R61</f>
        <v/>
      </c>
      <c r="H58" s="172" t="n"/>
      <c r="I58" s="172">
        <f>F58-(G58+H58)</f>
        <v/>
      </c>
      <c r="J58" s="173">
        <f>'May2026-COLLECTION'!K57</f>
        <v/>
      </c>
      <c r="K58" s="174">
        <f>'May2026-EXPENSE'!R61</f>
        <v/>
      </c>
      <c r="L58" s="174" t="n"/>
      <c r="M58" s="174">
        <f>J58-(K58+L58)</f>
        <v/>
      </c>
      <c r="N58" s="172">
        <f>'June2026-COLLECTION'!K57</f>
        <v/>
      </c>
      <c r="O58" s="172">
        <f>'June2026-EXPENSE'!R61</f>
        <v/>
      </c>
      <c r="P58" s="172" t="n"/>
      <c r="Q58" s="172">
        <f>N58-(O58+P58)</f>
        <v/>
      </c>
      <c r="R58" s="41">
        <f>'July2026-COLLECTION'!K57</f>
        <v/>
      </c>
      <c r="S58" s="174">
        <f>'July2026-EXPENSE'!R61</f>
        <v/>
      </c>
      <c r="T58" s="174" t="n"/>
      <c r="U58" s="174">
        <f>R58-(S58+T58)</f>
        <v/>
      </c>
      <c r="V58" s="167">
        <f>'Aug2026-COLLECTION'!K57</f>
        <v/>
      </c>
      <c r="W58" s="172">
        <f>'Aug2026-EXPENSE'!R61</f>
        <v/>
      </c>
      <c r="X58" s="172" t="n"/>
      <c r="Y58" s="172">
        <f>V58-(W58+X58)</f>
        <v/>
      </c>
      <c r="Z58" s="41">
        <f>'Sep2026-COLLECTION'!K57</f>
        <v/>
      </c>
      <c r="AA58" s="174">
        <f>'Sep2026-EXPENSE'!R61</f>
        <v/>
      </c>
      <c r="AB58" s="174" t="n"/>
      <c r="AC58" s="174">
        <f>Z58-(AA58+AB58)</f>
        <v/>
      </c>
      <c r="AD58" s="41">
        <f>'Oct2026-COLLECTION'!K57</f>
        <v/>
      </c>
      <c r="AE58" s="174">
        <f>'Oct2026-EXPENSE'!R61</f>
        <v/>
      </c>
      <c r="AF58" s="174" t="n"/>
      <c r="AG58" s="174">
        <f>AD58-(AE58+AF58)</f>
        <v/>
      </c>
      <c r="AH58" s="41">
        <f>'Nov2026-COLLECTION'!K57</f>
        <v/>
      </c>
      <c r="AI58" s="174">
        <f>'Nov2026-EXPENSE'!R61</f>
        <v/>
      </c>
      <c r="AJ58" s="174" t="n"/>
      <c r="AK58" s="174">
        <f>AH58-(AI58+AJ58)</f>
        <v/>
      </c>
      <c r="AL58" s="41">
        <f>'Dec2026-COLLECTION'!K57</f>
        <v/>
      </c>
      <c r="AM58" s="174">
        <f>'Dec2026-EXPENSE'!R61</f>
        <v/>
      </c>
      <c r="AN58" s="174" t="n"/>
      <c r="AO58" s="174">
        <f>AL58-(AM58+AN58)</f>
        <v/>
      </c>
      <c r="AP58" s="7">
        <f>'Jan2027-COLLECTION'!K57</f>
        <v/>
      </c>
      <c r="AQ58" s="10">
        <f>'Jan2027-EXPENSE'!R61</f>
        <v/>
      </c>
      <c r="AR58" s="10" t="n"/>
      <c r="AS58" s="174">
        <f>AP58-(AQ58+AR58)</f>
        <v/>
      </c>
      <c r="AT58" s="7">
        <f>'Feb2027-COLLECTION'!K57</f>
        <v/>
      </c>
      <c r="AU58" s="10">
        <f>'Feb2027-EXPENSE'!R61</f>
        <v/>
      </c>
      <c r="AV58" s="10" t="n"/>
      <c r="AW58" s="174">
        <f>AT58-(AU58+AV58)</f>
        <v/>
      </c>
      <c r="AX58" s="7">
        <f>'Mar2027-COLLECTION'!K57</f>
        <v/>
      </c>
      <c r="AY58" s="10">
        <f>'Mar2027-EXPENSE'!R61</f>
        <v/>
      </c>
      <c r="AZ58" s="10" t="n"/>
      <c r="BA58" s="174">
        <f>AX58-(AY58+AZ58)</f>
        <v/>
      </c>
      <c r="BB58" s="172">
        <f>SUM(F58,J58,N58,R58,V58,Z58,AD58,AH58,AL58,AP58,AT58,AX58)</f>
        <v/>
      </c>
      <c r="BC58" s="172">
        <f>SUM(G58,K58,O58,S58,W58,AA58,AE58,AI58,AM58,AQ58,AU58,AY58)</f>
        <v/>
      </c>
      <c r="BD58" s="172">
        <f>SUM(H58,L58,P58,T58,X58,AB58,AF58,AJ58,AN58,AR58,AV58,AZ58)</f>
        <v/>
      </c>
      <c r="BE58" s="172">
        <f>BB58-(BC58+BD58)</f>
        <v/>
      </c>
      <c r="BF58" s="172">
        <f>E58+BE58</f>
        <v/>
      </c>
      <c r="BG58" s="175" t="n">
        <v>0</v>
      </c>
    </row>
    <row r="59" ht="15.75" customHeight="1" s="251">
      <c r="A59" s="169" t="inlineStr">
        <is>
          <t>T9</t>
        </is>
      </c>
      <c r="B59" s="13" t="n"/>
      <c r="C59" s="13" t="inlineStr">
        <is>
          <t>Nishith Sahu and Priyanka Rani (Owner)/ Anmol Verma (Tenant)</t>
        </is>
      </c>
      <c r="D59" s="170" t="n">
        <v>0</v>
      </c>
      <c r="E59" s="175" t="n">
        <v>0</v>
      </c>
      <c r="F59" s="171">
        <f>'Apr2026-COLLECTION'!K58</f>
        <v/>
      </c>
      <c r="G59" s="172">
        <f>'Apr2026-EXPENSE'!R62</f>
        <v/>
      </c>
      <c r="H59" s="172" t="n"/>
      <c r="I59" s="172">
        <f>F59-(G59+H59)</f>
        <v/>
      </c>
      <c r="J59" s="173">
        <f>'May2026-COLLECTION'!K58</f>
        <v/>
      </c>
      <c r="K59" s="174">
        <f>'May2026-EXPENSE'!R62</f>
        <v/>
      </c>
      <c r="L59" s="174" t="n"/>
      <c r="M59" s="174">
        <f>J59-(K59+L59)</f>
        <v/>
      </c>
      <c r="N59" s="172">
        <f>'June2026-COLLECTION'!K58</f>
        <v/>
      </c>
      <c r="O59" s="172">
        <f>'June2026-EXPENSE'!R62</f>
        <v/>
      </c>
      <c r="P59" s="172" t="n"/>
      <c r="Q59" s="172">
        <f>N59-(O59+P59)</f>
        <v/>
      </c>
      <c r="R59" s="41">
        <f>'July2026-COLLECTION'!K58</f>
        <v/>
      </c>
      <c r="S59" s="174">
        <f>'July2026-EXPENSE'!R62</f>
        <v/>
      </c>
      <c r="T59" s="174" t="n"/>
      <c r="U59" s="174">
        <f>R59-(S59+T59)</f>
        <v/>
      </c>
      <c r="V59" s="167">
        <f>'Aug2026-COLLECTION'!K58</f>
        <v/>
      </c>
      <c r="W59" s="172">
        <f>'Aug2026-EXPENSE'!R62</f>
        <v/>
      </c>
      <c r="X59" s="172" t="n"/>
      <c r="Y59" s="172">
        <f>V59-(W59+X59)</f>
        <v/>
      </c>
      <c r="Z59" s="41">
        <f>'Sep2026-COLLECTION'!K58</f>
        <v/>
      </c>
      <c r="AA59" s="174">
        <f>'Sep2026-EXPENSE'!R62</f>
        <v/>
      </c>
      <c r="AB59" s="174" t="n"/>
      <c r="AC59" s="174">
        <f>Z59-(AA59+AB59)</f>
        <v/>
      </c>
      <c r="AD59" s="41">
        <f>'Oct2026-COLLECTION'!K58</f>
        <v/>
      </c>
      <c r="AE59" s="174">
        <f>'Oct2026-EXPENSE'!R62</f>
        <v/>
      </c>
      <c r="AF59" s="174" t="n"/>
      <c r="AG59" s="174">
        <f>AD59-(AE59+AF59)</f>
        <v/>
      </c>
      <c r="AH59" s="41">
        <f>'Nov2026-COLLECTION'!K58</f>
        <v/>
      </c>
      <c r="AI59" s="174">
        <f>'Nov2026-EXPENSE'!R62</f>
        <v/>
      </c>
      <c r="AJ59" s="174" t="n"/>
      <c r="AK59" s="174">
        <f>AH59-(AI59+AJ59)</f>
        <v/>
      </c>
      <c r="AL59" s="41">
        <f>'Dec2026-COLLECTION'!K58</f>
        <v/>
      </c>
      <c r="AM59" s="174">
        <f>'Dec2026-EXPENSE'!R62</f>
        <v/>
      </c>
      <c r="AN59" s="174" t="n"/>
      <c r="AO59" s="174">
        <f>AL59-(AM59+AN59)</f>
        <v/>
      </c>
      <c r="AP59" s="7">
        <f>'Jan2027-COLLECTION'!K58</f>
        <v/>
      </c>
      <c r="AQ59" s="10">
        <f>'Jan2027-EXPENSE'!R62</f>
        <v/>
      </c>
      <c r="AR59" s="10" t="n"/>
      <c r="AS59" s="174">
        <f>AP59-(AQ59+AR59)</f>
        <v/>
      </c>
      <c r="AT59" s="7">
        <f>'Feb2027-COLLECTION'!K58</f>
        <v/>
      </c>
      <c r="AU59" s="10">
        <f>'Feb2027-EXPENSE'!R62</f>
        <v/>
      </c>
      <c r="AV59" s="10" t="n"/>
      <c r="AW59" s="174">
        <f>AT59-(AU59+AV59)</f>
        <v/>
      </c>
      <c r="AX59" s="7">
        <f>'Mar2027-COLLECTION'!K58</f>
        <v/>
      </c>
      <c r="AY59" s="10">
        <f>'Mar2027-EXPENSE'!R62</f>
        <v/>
      </c>
      <c r="AZ59" s="10" t="n"/>
      <c r="BA59" s="174">
        <f>AX59-(AY59+AZ59)</f>
        <v/>
      </c>
      <c r="BB59" s="172">
        <f>SUM(F59,J59,N59,R59,V59,Z59,AD59,AH59,AL59,AP59,AT59,AX59)</f>
        <v/>
      </c>
      <c r="BC59" s="172">
        <f>SUM(G59,K59,O59,S59,W59,AA59,AE59,AI59,AM59,AQ59,AU59,AY59)</f>
        <v/>
      </c>
      <c r="BD59" s="172">
        <f>SUM(H59,L59,P59,T59,X59,AB59,AF59,AJ59,AN59,AR59,AV59,AZ59)</f>
        <v/>
      </c>
      <c r="BE59" s="172">
        <f>BB59-(BC59+BD59)</f>
        <v/>
      </c>
      <c r="BF59" s="172">
        <f>E59+BE59</f>
        <v/>
      </c>
      <c r="BG59" s="175" t="n">
        <v>0</v>
      </c>
    </row>
    <row r="60" ht="15.75" customHeight="1" s="251">
      <c r="A60" s="169" t="inlineStr">
        <is>
          <t>T10</t>
        </is>
      </c>
      <c r="B60" s="13" t="n"/>
      <c r="C60" s="13" t="inlineStr">
        <is>
          <t>Vamsidhar Bethanabatla / Madhuri Anumula</t>
        </is>
      </c>
      <c r="D60" s="170" t="n">
        <v>0</v>
      </c>
      <c r="E60" s="175" t="n">
        <v>0</v>
      </c>
      <c r="F60" s="171">
        <f>'Apr2026-COLLECTION'!K59</f>
        <v/>
      </c>
      <c r="G60" s="172">
        <f>'Apr2026-EXPENSE'!R63</f>
        <v/>
      </c>
      <c r="H60" s="172" t="n"/>
      <c r="I60" s="172">
        <f>F60-(G60+H60)</f>
        <v/>
      </c>
      <c r="J60" s="173">
        <f>'May2026-COLLECTION'!K59</f>
        <v/>
      </c>
      <c r="K60" s="174">
        <f>'May2026-EXPENSE'!R63</f>
        <v/>
      </c>
      <c r="L60" s="174" t="n"/>
      <c r="M60" s="174">
        <f>J60-(K60+L60)</f>
        <v/>
      </c>
      <c r="N60" s="172">
        <f>'June2026-COLLECTION'!K59</f>
        <v/>
      </c>
      <c r="O60" s="172">
        <f>'June2026-EXPENSE'!R63</f>
        <v/>
      </c>
      <c r="P60" s="172" t="n"/>
      <c r="Q60" s="172">
        <f>N60-(O60+P60)</f>
        <v/>
      </c>
      <c r="R60" s="41">
        <f>'July2026-COLLECTION'!K59</f>
        <v/>
      </c>
      <c r="S60" s="174">
        <f>'July2026-EXPENSE'!R63</f>
        <v/>
      </c>
      <c r="T60" s="174" t="n"/>
      <c r="U60" s="174">
        <f>R60-(S60+T60)</f>
        <v/>
      </c>
      <c r="V60" s="167">
        <f>'Aug2026-COLLECTION'!K59</f>
        <v/>
      </c>
      <c r="W60" s="172">
        <f>'Aug2026-EXPENSE'!R63</f>
        <v/>
      </c>
      <c r="X60" s="172" t="n"/>
      <c r="Y60" s="172">
        <f>V60-(W60+X60)</f>
        <v/>
      </c>
      <c r="Z60" s="41">
        <f>'Sep2026-COLLECTION'!K59</f>
        <v/>
      </c>
      <c r="AA60" s="174">
        <f>'Sep2026-EXPENSE'!R63</f>
        <v/>
      </c>
      <c r="AB60" s="174" t="n"/>
      <c r="AC60" s="174">
        <f>Z60-(AA60+AB60)</f>
        <v/>
      </c>
      <c r="AD60" s="41">
        <f>'Oct2026-COLLECTION'!K59</f>
        <v/>
      </c>
      <c r="AE60" s="174">
        <f>'Oct2026-EXPENSE'!R63</f>
        <v/>
      </c>
      <c r="AF60" s="174" t="n"/>
      <c r="AG60" s="174">
        <f>AD60-(AE60+AF60)</f>
        <v/>
      </c>
      <c r="AH60" s="41">
        <f>'Nov2026-COLLECTION'!K59</f>
        <v/>
      </c>
      <c r="AI60" s="174">
        <f>'Nov2026-EXPENSE'!R63</f>
        <v/>
      </c>
      <c r="AJ60" s="174" t="n"/>
      <c r="AK60" s="174">
        <f>AH60-(AI60+AJ60)</f>
        <v/>
      </c>
      <c r="AL60" s="41">
        <f>'Dec2026-COLLECTION'!K59</f>
        <v/>
      </c>
      <c r="AM60" s="174">
        <f>'Dec2026-EXPENSE'!R63</f>
        <v/>
      </c>
      <c r="AN60" s="174" t="n"/>
      <c r="AO60" s="174">
        <f>AL60-(AM60+AN60)</f>
        <v/>
      </c>
      <c r="AP60" s="7">
        <f>'Jan2027-COLLECTION'!K59</f>
        <v/>
      </c>
      <c r="AQ60" s="10">
        <f>'Jan2027-EXPENSE'!R63</f>
        <v/>
      </c>
      <c r="AR60" s="10" t="n"/>
      <c r="AS60" s="174">
        <f>AP60-(AQ60+AR60)</f>
        <v/>
      </c>
      <c r="AT60" s="7">
        <f>'Feb2027-COLLECTION'!K59</f>
        <v/>
      </c>
      <c r="AU60" s="10">
        <f>'Feb2027-EXPENSE'!R63</f>
        <v/>
      </c>
      <c r="AV60" s="10" t="n"/>
      <c r="AW60" s="174">
        <f>AT60-(AU60+AV60)</f>
        <v/>
      </c>
      <c r="AX60" s="7">
        <f>'Mar2027-COLLECTION'!K59</f>
        <v/>
      </c>
      <c r="AY60" s="10">
        <f>'Mar2027-EXPENSE'!R63</f>
        <v/>
      </c>
      <c r="AZ60" s="10" t="n"/>
      <c r="BA60" s="174">
        <f>AX60-(AY60+AZ60)</f>
        <v/>
      </c>
      <c r="BB60" s="172">
        <f>SUM(F60,J60,N60,R60,V60,Z60,AD60,AH60,AL60,AP60,AT60,AX60)</f>
        <v/>
      </c>
      <c r="BC60" s="172">
        <f>SUM(G60,K60,O60,S60,W60,AA60,AE60,AI60,AM60,AQ60,AU60,AY60)</f>
        <v/>
      </c>
      <c r="BD60" s="172">
        <f>SUM(H60,L60,P60,T60,X60,AB60,AF60,AJ60,AN60,AR60,AV60,AZ60)</f>
        <v/>
      </c>
      <c r="BE60" s="172">
        <f>BB60-(BC60+BD60)</f>
        <v/>
      </c>
      <c r="BF60" s="172">
        <f>E60+BE60</f>
        <v/>
      </c>
      <c r="BG60" s="175" t="n">
        <v>0</v>
      </c>
    </row>
    <row r="61" ht="15.75" customHeight="1" s="251">
      <c r="A61" s="169" t="inlineStr">
        <is>
          <t>T11</t>
        </is>
      </c>
      <c r="B61" s="13" t="n"/>
      <c r="C61" s="13" t="inlineStr">
        <is>
          <t>Arvind Balasubramanian</t>
        </is>
      </c>
      <c r="D61" s="170" t="n">
        <v>0</v>
      </c>
      <c r="E61" s="175" t="n">
        <v>0</v>
      </c>
      <c r="F61" s="171">
        <f>'Apr2026-COLLECTION'!K60</f>
        <v/>
      </c>
      <c r="G61" s="172">
        <f>'Apr2026-EXPENSE'!R64</f>
        <v/>
      </c>
      <c r="H61" s="172" t="n"/>
      <c r="I61" s="172">
        <f>F61-(G61+H61)</f>
        <v/>
      </c>
      <c r="J61" s="173">
        <f>'May2026-COLLECTION'!K60</f>
        <v/>
      </c>
      <c r="K61" s="174">
        <f>'May2026-EXPENSE'!R64</f>
        <v/>
      </c>
      <c r="L61" s="174" t="n">
        <v>0</v>
      </c>
      <c r="M61" s="174">
        <f>J61-(K61+L61)</f>
        <v/>
      </c>
      <c r="N61" s="172">
        <f>'June2026-COLLECTION'!K60</f>
        <v/>
      </c>
      <c r="O61" s="172">
        <f>'June2026-EXPENSE'!R64</f>
        <v/>
      </c>
      <c r="P61" s="172" t="n"/>
      <c r="Q61" s="172">
        <f>N61-(O61+P61)</f>
        <v/>
      </c>
      <c r="R61" s="41">
        <f>'July2026-COLLECTION'!K60</f>
        <v/>
      </c>
      <c r="S61" s="174">
        <f>'July2026-EXPENSE'!R64</f>
        <v/>
      </c>
      <c r="T61" s="174" t="n"/>
      <c r="U61" s="174">
        <f>R61-(S61+T61)</f>
        <v/>
      </c>
      <c r="V61" s="167">
        <f>'Aug2026-COLLECTION'!K60</f>
        <v/>
      </c>
      <c r="W61" s="172">
        <f>'Aug2026-EXPENSE'!R64</f>
        <v/>
      </c>
      <c r="X61" s="172" t="n"/>
      <c r="Y61" s="172">
        <f>V61-(W61+X61)</f>
        <v/>
      </c>
      <c r="Z61" s="41">
        <f>'Sep2026-COLLECTION'!K60</f>
        <v/>
      </c>
      <c r="AA61" s="174">
        <f>'Sep2026-EXPENSE'!R64</f>
        <v/>
      </c>
      <c r="AB61" s="174" t="n"/>
      <c r="AC61" s="174">
        <f>Z61-(AA61+AB61)</f>
        <v/>
      </c>
      <c r="AD61" s="41">
        <f>'Oct2026-COLLECTION'!K60</f>
        <v/>
      </c>
      <c r="AE61" s="174">
        <f>'Oct2026-EXPENSE'!R64</f>
        <v/>
      </c>
      <c r="AF61" s="174" t="n"/>
      <c r="AG61" s="174">
        <f>AD61-(AE61+AF61)</f>
        <v/>
      </c>
      <c r="AH61" s="41">
        <f>'Nov2026-COLLECTION'!K60</f>
        <v/>
      </c>
      <c r="AI61" s="174">
        <f>'Nov2026-EXPENSE'!R64</f>
        <v/>
      </c>
      <c r="AJ61" s="174" t="n"/>
      <c r="AK61" s="174">
        <f>AH61-(AI61+AJ61)</f>
        <v/>
      </c>
      <c r="AL61" s="41">
        <f>'Dec2026-COLLECTION'!K60</f>
        <v/>
      </c>
      <c r="AM61" s="174">
        <f>'Dec2026-EXPENSE'!R64</f>
        <v/>
      </c>
      <c r="AN61" s="174" t="n"/>
      <c r="AO61" s="174">
        <f>AL61-(AM61+AN61)</f>
        <v/>
      </c>
      <c r="AP61" s="7">
        <f>'Jan2027-COLLECTION'!K60</f>
        <v/>
      </c>
      <c r="AQ61" s="10">
        <f>'Jan2027-EXPENSE'!R64</f>
        <v/>
      </c>
      <c r="AR61" s="10" t="n"/>
      <c r="AS61" s="174">
        <f>AP61-(AQ61+AR61)</f>
        <v/>
      </c>
      <c r="AT61" s="7">
        <f>'Feb2027-COLLECTION'!K60</f>
        <v/>
      </c>
      <c r="AU61" s="10">
        <f>'Feb2027-EXPENSE'!R64</f>
        <v/>
      </c>
      <c r="AV61" s="10" t="n"/>
      <c r="AW61" s="174">
        <f>AT61-(AU61+AV61)</f>
        <v/>
      </c>
      <c r="AX61" s="7">
        <f>'Mar2027-COLLECTION'!K60</f>
        <v/>
      </c>
      <c r="AY61" s="10">
        <f>'Mar2027-EXPENSE'!R64</f>
        <v/>
      </c>
      <c r="AZ61" s="10" t="n"/>
      <c r="BA61" s="174">
        <f>AX61-(AY61+AZ61)</f>
        <v/>
      </c>
      <c r="BB61" s="172">
        <f>SUM(F61,J61,N61,R61,V61,Z61,AD61,AH61,AL61,AP61,AT61,AX61)</f>
        <v/>
      </c>
      <c r="BC61" s="172">
        <f>SUM(G61,K61,O61,S61,W61,AA61,AE61,AI61,AM61,AQ61,AU61,AY61)</f>
        <v/>
      </c>
      <c r="BD61" s="172">
        <f>SUM(H61,L61,P61,T61,X61,AB61,AF61,AJ61,AN61,AR61,AV61,AZ61)</f>
        <v/>
      </c>
      <c r="BE61" s="172">
        <f>BB61-(BC61+BD61)</f>
        <v/>
      </c>
      <c r="BF61" s="172">
        <f>E61+BE61</f>
        <v/>
      </c>
      <c r="BG61" s="175" t="n">
        <v>0</v>
      </c>
    </row>
    <row r="62" ht="15.75" customHeight="1" s="251">
      <c r="A62" s="169" t="inlineStr">
        <is>
          <t>T12</t>
        </is>
      </c>
      <c r="B62" s="13" t="n"/>
      <c r="C62" s="13" t="inlineStr">
        <is>
          <t>Prasenjit</t>
        </is>
      </c>
      <c r="D62" s="170" t="n">
        <v>0</v>
      </c>
      <c r="E62" s="175" t="n">
        <v>0</v>
      </c>
      <c r="F62" s="171">
        <f>'Apr2026-COLLECTION'!K61</f>
        <v/>
      </c>
      <c r="G62" s="172">
        <f>'Apr2026-EXPENSE'!R65</f>
        <v/>
      </c>
      <c r="H62" s="172" t="n"/>
      <c r="I62" s="172">
        <f>F62-(G62+H62)</f>
        <v/>
      </c>
      <c r="J62" s="173">
        <f>'May2026-COLLECTION'!K61</f>
        <v/>
      </c>
      <c r="K62" s="174">
        <f>'May2026-EXPENSE'!R65</f>
        <v/>
      </c>
      <c r="L62" s="174" t="n">
        <v>0</v>
      </c>
      <c r="M62" s="174">
        <f>J62-(K62+L62)</f>
        <v/>
      </c>
      <c r="N62" s="172">
        <f>'June2026-COLLECTION'!K61</f>
        <v/>
      </c>
      <c r="O62" s="172">
        <f>'June2026-EXPENSE'!R65</f>
        <v/>
      </c>
      <c r="P62" s="172" t="n"/>
      <c r="Q62" s="172">
        <f>N62-(O62+P62)</f>
        <v/>
      </c>
      <c r="R62" s="41">
        <f>'July2026-COLLECTION'!K61</f>
        <v/>
      </c>
      <c r="S62" s="174">
        <f>'July2026-EXPENSE'!R65</f>
        <v/>
      </c>
      <c r="T62" s="174" t="n"/>
      <c r="U62" s="174">
        <f>R62-(S62+T62)</f>
        <v/>
      </c>
      <c r="V62" s="167">
        <f>'Aug2026-COLLECTION'!K61</f>
        <v/>
      </c>
      <c r="W62" s="172">
        <f>'Aug2026-EXPENSE'!R65</f>
        <v/>
      </c>
      <c r="X62" s="172" t="n"/>
      <c r="Y62" s="172">
        <f>V62-(W62+X62)</f>
        <v/>
      </c>
      <c r="Z62" s="41">
        <f>'Sep2026-COLLECTION'!K61</f>
        <v/>
      </c>
      <c r="AA62" s="174">
        <f>'Sep2026-EXPENSE'!R65</f>
        <v/>
      </c>
      <c r="AB62" s="174" t="n"/>
      <c r="AC62" s="174">
        <f>Z62-(AA62+AB62)</f>
        <v/>
      </c>
      <c r="AD62" s="41">
        <f>'Oct2026-COLLECTION'!K61</f>
        <v/>
      </c>
      <c r="AE62" s="174">
        <f>'Oct2026-EXPENSE'!R65</f>
        <v/>
      </c>
      <c r="AF62" s="174" t="n"/>
      <c r="AG62" s="174">
        <f>AD62-(AE62+AF62)</f>
        <v/>
      </c>
      <c r="AH62" s="41">
        <f>'Nov2026-COLLECTION'!K61</f>
        <v/>
      </c>
      <c r="AI62" s="174">
        <f>'Nov2026-EXPENSE'!R65</f>
        <v/>
      </c>
      <c r="AJ62" s="174" t="n"/>
      <c r="AK62" s="174">
        <f>AH62-(AI62+AJ62)</f>
        <v/>
      </c>
      <c r="AL62" s="41">
        <f>'Dec2026-COLLECTION'!K61</f>
        <v/>
      </c>
      <c r="AM62" s="174">
        <f>'Dec2026-EXPENSE'!R65</f>
        <v/>
      </c>
      <c r="AN62" s="174" t="n"/>
      <c r="AO62" s="174">
        <f>AL62-(AM62+AN62)</f>
        <v/>
      </c>
      <c r="AP62" s="7">
        <f>'Jan2027-COLLECTION'!K61</f>
        <v/>
      </c>
      <c r="AQ62" s="10">
        <f>'Jan2027-EXPENSE'!R65</f>
        <v/>
      </c>
      <c r="AR62" s="10" t="n"/>
      <c r="AS62" s="174">
        <f>AP62-(AQ62+AR62)</f>
        <v/>
      </c>
      <c r="AT62" s="7">
        <f>'Feb2027-COLLECTION'!K61</f>
        <v/>
      </c>
      <c r="AU62" s="10">
        <f>'Feb2027-EXPENSE'!R65</f>
        <v/>
      </c>
      <c r="AV62" s="10" t="n"/>
      <c r="AW62" s="174">
        <f>AT62-(AU62+AV62)</f>
        <v/>
      </c>
      <c r="AX62" s="7">
        <f>'Mar2027-COLLECTION'!K61</f>
        <v/>
      </c>
      <c r="AY62" s="10">
        <f>'Mar2027-EXPENSE'!R65</f>
        <v/>
      </c>
      <c r="AZ62" s="10" t="n"/>
      <c r="BA62" s="174">
        <f>AX62-(AY62+AZ62)</f>
        <v/>
      </c>
      <c r="BB62" s="172">
        <f>SUM(F62,J62,N62,R62,V62,Z62,AD62,AH62,AL62,AP62,AT62,AX62)</f>
        <v/>
      </c>
      <c r="BC62" s="172">
        <f>SUM(G62,K62,O62,S62,W62,AA62,AE62,AI62,AM62,AQ62,AU62,AY62)</f>
        <v/>
      </c>
      <c r="BD62" s="172">
        <f>SUM(H62,L62,P62,T62,X62,AB62,AF62,AJ62,AN62,AR62,AV62,AZ62)</f>
        <v/>
      </c>
      <c r="BE62" s="172">
        <f>BB62-(BC62+BD62)</f>
        <v/>
      </c>
      <c r="BF62" s="172">
        <f>E62+BE62</f>
        <v/>
      </c>
      <c r="BG62" s="175" t="n">
        <v>0</v>
      </c>
    </row>
    <row r="63" ht="15.75" customHeight="1" s="251">
      <c r="A63" s="169" t="inlineStr">
        <is>
          <t>T13</t>
        </is>
      </c>
      <c r="B63" s="13" t="n"/>
      <c r="C63" s="13" t="inlineStr">
        <is>
          <t>Rahul Kumar</t>
        </is>
      </c>
      <c r="D63" s="170" t="n">
        <v>0</v>
      </c>
      <c r="E63" s="175" t="n">
        <v>0</v>
      </c>
      <c r="F63" s="171">
        <f>'Apr2026-COLLECTION'!K62</f>
        <v/>
      </c>
      <c r="G63" s="172">
        <f>'Apr2026-EXPENSE'!R66</f>
        <v/>
      </c>
      <c r="H63" s="172" t="n"/>
      <c r="I63" s="172">
        <f>F63-(G63+H63)</f>
        <v/>
      </c>
      <c r="J63" s="173">
        <f>'May2026-COLLECTION'!K62</f>
        <v/>
      </c>
      <c r="K63" s="174">
        <f>'May2026-EXPENSE'!R66</f>
        <v/>
      </c>
      <c r="L63" s="174" t="n">
        <v>0</v>
      </c>
      <c r="M63" s="174">
        <f>J63-(K63+L63)</f>
        <v/>
      </c>
      <c r="N63" s="172">
        <f>'June2026-COLLECTION'!K62</f>
        <v/>
      </c>
      <c r="O63" s="172">
        <f>'June2026-EXPENSE'!R66</f>
        <v/>
      </c>
      <c r="P63" s="172" t="n"/>
      <c r="Q63" s="172">
        <f>N63-(O63+P63)</f>
        <v/>
      </c>
      <c r="R63" s="41">
        <f>'July2026-COLLECTION'!K62</f>
        <v/>
      </c>
      <c r="S63" s="174">
        <f>'July2026-EXPENSE'!R66</f>
        <v/>
      </c>
      <c r="T63" s="174" t="n"/>
      <c r="U63" s="174">
        <f>R63-(S63+T63)</f>
        <v/>
      </c>
      <c r="V63" s="167">
        <f>'Aug2026-COLLECTION'!K62</f>
        <v/>
      </c>
      <c r="W63" s="172">
        <f>'Aug2026-EXPENSE'!R66</f>
        <v/>
      </c>
      <c r="X63" s="172" t="n"/>
      <c r="Y63" s="172">
        <f>V63-(W63+X63)</f>
        <v/>
      </c>
      <c r="Z63" s="41">
        <f>'Sep2026-COLLECTION'!K62</f>
        <v/>
      </c>
      <c r="AA63" s="174">
        <f>'Sep2026-EXPENSE'!R66</f>
        <v/>
      </c>
      <c r="AB63" s="174" t="n"/>
      <c r="AC63" s="174">
        <f>Z63-(AA63+AB63)</f>
        <v/>
      </c>
      <c r="AD63" s="41">
        <f>'Oct2026-COLLECTION'!K62</f>
        <v/>
      </c>
      <c r="AE63" s="174">
        <f>'Oct2026-EXPENSE'!R66</f>
        <v/>
      </c>
      <c r="AF63" s="174" t="n"/>
      <c r="AG63" s="174">
        <f>AD63-(AE63+AF63)</f>
        <v/>
      </c>
      <c r="AH63" s="41">
        <f>'Nov2026-COLLECTION'!K62</f>
        <v/>
      </c>
      <c r="AI63" s="174">
        <f>'Nov2026-EXPENSE'!R66</f>
        <v/>
      </c>
      <c r="AJ63" s="174" t="n"/>
      <c r="AK63" s="174">
        <f>AH63-(AI63+AJ63)</f>
        <v/>
      </c>
      <c r="AL63" s="41">
        <f>'Dec2026-COLLECTION'!K62</f>
        <v/>
      </c>
      <c r="AM63" s="174">
        <f>'Dec2026-EXPENSE'!R66</f>
        <v/>
      </c>
      <c r="AN63" s="174" t="n"/>
      <c r="AO63" s="174">
        <f>AL63-(AM63+AN63)</f>
        <v/>
      </c>
      <c r="AP63" s="7">
        <f>'Jan2027-COLLECTION'!K62</f>
        <v/>
      </c>
      <c r="AQ63" s="10">
        <f>'Jan2027-EXPENSE'!R66</f>
        <v/>
      </c>
      <c r="AR63" s="10" t="n"/>
      <c r="AS63" s="174">
        <f>AP63-(AQ63+AR63)</f>
        <v/>
      </c>
      <c r="AT63" s="7">
        <f>'Feb2027-COLLECTION'!K62</f>
        <v/>
      </c>
      <c r="AU63" s="10">
        <f>'Feb2027-EXPENSE'!R66</f>
        <v/>
      </c>
      <c r="AV63" s="10" t="n"/>
      <c r="AW63" s="174">
        <f>AT63-(AU63+AV63)</f>
        <v/>
      </c>
      <c r="AX63" s="7">
        <f>'Mar2027-COLLECTION'!K62</f>
        <v/>
      </c>
      <c r="AY63" s="10">
        <f>'Mar2027-EXPENSE'!R66</f>
        <v/>
      </c>
      <c r="AZ63" s="10" t="n"/>
      <c r="BA63" s="174">
        <f>AX63-(AY63+AZ63)</f>
        <v/>
      </c>
      <c r="BB63" s="172">
        <f>SUM(F63,J63,N63,R63,V63,Z63,AD63,AH63,AL63,AP63,AT63,AX63)</f>
        <v/>
      </c>
      <c r="BC63" s="172">
        <f>SUM(G63,K63,O63,S63,W63,AA63,AE63,AI63,AM63,AQ63,AU63,AY63)</f>
        <v/>
      </c>
      <c r="BD63" s="172">
        <f>SUM(H63,L63,P63,T63,X63,AB63,AF63,AJ63,AN63,AR63,AV63,AZ63)</f>
        <v/>
      </c>
      <c r="BE63" s="172">
        <f>BB63-(BC63+BD63)</f>
        <v/>
      </c>
      <c r="BF63" s="172">
        <f>E63+BE63</f>
        <v/>
      </c>
      <c r="BG63" s="175" t="n">
        <v>0</v>
      </c>
    </row>
    <row r="64" ht="15.75" customHeight="1" s="251">
      <c r="A64" s="169" t="inlineStr">
        <is>
          <t>T14</t>
        </is>
      </c>
      <c r="B64" s="13" t="n"/>
      <c r="C64" s="13" t="inlineStr">
        <is>
          <t>Jeya / Kanda / Satya (tenant)/Vinuta (tenant)</t>
        </is>
      </c>
      <c r="D64" s="170" t="n">
        <v>0</v>
      </c>
      <c r="E64" s="175" t="n">
        <v>0</v>
      </c>
      <c r="F64" s="171">
        <f>'Apr2026-COLLECTION'!K63</f>
        <v/>
      </c>
      <c r="G64" s="172">
        <f>'Apr2026-EXPENSE'!R67</f>
        <v/>
      </c>
      <c r="H64" s="172" t="n"/>
      <c r="I64" s="172">
        <f>F64-(G64+H64)</f>
        <v/>
      </c>
      <c r="J64" s="173">
        <f>'May2026-COLLECTION'!K63</f>
        <v/>
      </c>
      <c r="K64" s="174">
        <f>'May2026-EXPENSE'!R67</f>
        <v/>
      </c>
      <c r="L64" s="174" t="n"/>
      <c r="M64" s="174">
        <f>J64-(K64+L64)</f>
        <v/>
      </c>
      <c r="N64" s="172">
        <f>'June2026-COLLECTION'!K63</f>
        <v/>
      </c>
      <c r="O64" s="172">
        <f>'June2026-EXPENSE'!R67</f>
        <v/>
      </c>
      <c r="P64" s="172" t="n"/>
      <c r="Q64" s="172">
        <f>N64-(O64+P64)</f>
        <v/>
      </c>
      <c r="R64" s="41">
        <f>'July2026-COLLECTION'!K63</f>
        <v/>
      </c>
      <c r="S64" s="174">
        <f>'July2026-EXPENSE'!R67</f>
        <v/>
      </c>
      <c r="T64" s="174" t="n"/>
      <c r="U64" s="174">
        <f>R64-(S64+T64)</f>
        <v/>
      </c>
      <c r="V64" s="167">
        <f>'Aug2026-COLLECTION'!K63</f>
        <v/>
      </c>
      <c r="W64" s="172">
        <f>'Aug2026-EXPENSE'!R67</f>
        <v/>
      </c>
      <c r="X64" s="172" t="n"/>
      <c r="Y64" s="172">
        <f>V64-(W64+X64)</f>
        <v/>
      </c>
      <c r="Z64" s="41">
        <f>'Sep2026-COLLECTION'!K63</f>
        <v/>
      </c>
      <c r="AA64" s="174">
        <f>'Sep2026-EXPENSE'!R67</f>
        <v/>
      </c>
      <c r="AB64" s="174" t="n"/>
      <c r="AC64" s="174">
        <f>Z64-(AA64+AB64)</f>
        <v/>
      </c>
      <c r="AD64" s="41">
        <f>'Oct2026-COLLECTION'!K63</f>
        <v/>
      </c>
      <c r="AE64" s="174">
        <f>'Oct2026-EXPENSE'!R67</f>
        <v/>
      </c>
      <c r="AF64" s="174" t="n"/>
      <c r="AG64" s="174">
        <f>AD64-(AE64+AF64)</f>
        <v/>
      </c>
      <c r="AH64" s="41">
        <f>'Nov2026-COLLECTION'!K63</f>
        <v/>
      </c>
      <c r="AI64" s="174">
        <f>'Nov2026-EXPENSE'!R67</f>
        <v/>
      </c>
      <c r="AJ64" s="174" t="n"/>
      <c r="AK64" s="174">
        <f>AH64-(AI64+AJ64)</f>
        <v/>
      </c>
      <c r="AL64" s="41">
        <f>'Dec2026-COLLECTION'!K63</f>
        <v/>
      </c>
      <c r="AM64" s="174">
        <f>'Dec2026-EXPENSE'!R67</f>
        <v/>
      </c>
      <c r="AN64" s="174" t="n"/>
      <c r="AO64" s="174">
        <f>AL64-(AM64+AN64)</f>
        <v/>
      </c>
      <c r="AP64" s="7">
        <f>'Jan2027-COLLECTION'!K63</f>
        <v/>
      </c>
      <c r="AQ64" s="10">
        <f>'Jan2027-EXPENSE'!R67</f>
        <v/>
      </c>
      <c r="AR64" s="10" t="n"/>
      <c r="AS64" s="174">
        <f>AP64-(AQ64+AR64)</f>
        <v/>
      </c>
      <c r="AT64" s="7">
        <f>'Feb2027-COLLECTION'!K63</f>
        <v/>
      </c>
      <c r="AU64" s="10">
        <f>'Feb2027-EXPENSE'!R67</f>
        <v/>
      </c>
      <c r="AV64" s="10" t="n"/>
      <c r="AW64" s="174">
        <f>AT64-(AU64+AV64)</f>
        <v/>
      </c>
      <c r="AX64" s="7">
        <f>'Mar2027-COLLECTION'!K63</f>
        <v/>
      </c>
      <c r="AY64" s="10">
        <f>'Mar2027-EXPENSE'!R67</f>
        <v/>
      </c>
      <c r="AZ64" s="10" t="n"/>
      <c r="BA64" s="174">
        <f>AX64-(AY64+AZ64)</f>
        <v/>
      </c>
      <c r="BB64" s="172">
        <f>SUM(F64,J64,N64,R64,V64,Z64,AD64,AH64,AL64,AP64,AT64,AX64)</f>
        <v/>
      </c>
      <c r="BC64" s="172">
        <f>SUM(G64,K64,O64,S64,W64,AA64,AE64,AI64,AM64,AQ64,AU64,AY64)</f>
        <v/>
      </c>
      <c r="BD64" s="172">
        <f>SUM(H64,L64,P64,T64,X64,AB64,AF64,AJ64,AN64,AR64,AV64,AZ64)</f>
        <v/>
      </c>
      <c r="BE64" s="172">
        <f>BB64-(BC64+BD64)</f>
        <v/>
      </c>
      <c r="BF64" s="172">
        <f>E64+BE64</f>
        <v/>
      </c>
      <c r="BG64" s="175" t="n">
        <v>0</v>
      </c>
    </row>
    <row r="65" ht="15.75" customHeight="1" s="251">
      <c r="A65" s="169" t="inlineStr">
        <is>
          <t>T15</t>
        </is>
      </c>
      <c r="B65" s="13" t="n"/>
      <c r="C65" s="13" t="inlineStr">
        <is>
          <t>Trevor</t>
        </is>
      </c>
      <c r="D65" s="170" t="n">
        <v>0</v>
      </c>
      <c r="E65" s="175" t="n">
        <v>0</v>
      </c>
      <c r="F65" s="171">
        <f>'Apr2026-COLLECTION'!K64</f>
        <v/>
      </c>
      <c r="G65" s="172">
        <f>'Apr2026-EXPENSE'!R68</f>
        <v/>
      </c>
      <c r="H65" s="172" t="n"/>
      <c r="I65" s="172">
        <f>F65-(G65+H65)</f>
        <v/>
      </c>
      <c r="J65" s="173">
        <f>'May2026-COLLECTION'!K64</f>
        <v/>
      </c>
      <c r="K65" s="174">
        <f>'May2026-EXPENSE'!R68</f>
        <v/>
      </c>
      <c r="L65" s="174" t="n"/>
      <c r="M65" s="174">
        <f>J65-(K65+L65)</f>
        <v/>
      </c>
      <c r="N65" s="172">
        <f>'June2026-COLLECTION'!K64</f>
        <v/>
      </c>
      <c r="O65" s="172">
        <f>'June2026-EXPENSE'!R68</f>
        <v/>
      </c>
      <c r="P65" s="172" t="n"/>
      <c r="Q65" s="172">
        <f>N65-(O65+P65)</f>
        <v/>
      </c>
      <c r="R65" s="41">
        <f>'July2026-COLLECTION'!K64</f>
        <v/>
      </c>
      <c r="S65" s="174">
        <f>'July2026-EXPENSE'!R68</f>
        <v/>
      </c>
      <c r="T65" s="174" t="n"/>
      <c r="U65" s="174">
        <f>R65-(S65+T65)</f>
        <v/>
      </c>
      <c r="V65" s="167">
        <f>'Aug2026-COLLECTION'!K64</f>
        <v/>
      </c>
      <c r="W65" s="172">
        <f>'Aug2026-EXPENSE'!R68</f>
        <v/>
      </c>
      <c r="X65" s="172" t="n"/>
      <c r="Y65" s="172">
        <f>V65-(W65+X65)</f>
        <v/>
      </c>
      <c r="Z65" s="41">
        <f>'Sep2026-COLLECTION'!K64</f>
        <v/>
      </c>
      <c r="AA65" s="174">
        <f>'Sep2026-EXPENSE'!R68</f>
        <v/>
      </c>
      <c r="AB65" s="174" t="n"/>
      <c r="AC65" s="174">
        <f>Z65-(AA65+AB65)</f>
        <v/>
      </c>
      <c r="AD65" s="41">
        <f>'Oct2026-COLLECTION'!K64</f>
        <v/>
      </c>
      <c r="AE65" s="174">
        <f>'Oct2026-EXPENSE'!R68</f>
        <v/>
      </c>
      <c r="AF65" s="174" t="n"/>
      <c r="AG65" s="174">
        <f>AD65-(AE65+AF65)</f>
        <v/>
      </c>
      <c r="AH65" s="41">
        <f>'Nov2026-COLLECTION'!K64</f>
        <v/>
      </c>
      <c r="AI65" s="174">
        <f>'Nov2026-EXPENSE'!R68</f>
        <v/>
      </c>
      <c r="AJ65" s="174" t="n"/>
      <c r="AK65" s="174">
        <f>AH65-(AI65+AJ65)</f>
        <v/>
      </c>
      <c r="AL65" s="41">
        <f>'Dec2026-COLLECTION'!K64</f>
        <v/>
      </c>
      <c r="AM65" s="174">
        <f>'Dec2026-EXPENSE'!R68</f>
        <v/>
      </c>
      <c r="AN65" s="174" t="n"/>
      <c r="AO65" s="174">
        <f>AL65-(AM65+AN65)</f>
        <v/>
      </c>
      <c r="AP65" s="7">
        <f>'Jan2027-COLLECTION'!K64</f>
        <v/>
      </c>
      <c r="AQ65" s="10">
        <f>'Jan2027-EXPENSE'!R68</f>
        <v/>
      </c>
      <c r="AR65" s="10" t="n"/>
      <c r="AS65" s="174">
        <f>AP65-(AQ65+AR65)</f>
        <v/>
      </c>
      <c r="AT65" s="7">
        <f>'Feb2027-COLLECTION'!K64</f>
        <v/>
      </c>
      <c r="AU65" s="10">
        <f>'Feb2027-EXPENSE'!R68</f>
        <v/>
      </c>
      <c r="AV65" s="10" t="n"/>
      <c r="AW65" s="174">
        <f>AT65-(AU65+AV65)</f>
        <v/>
      </c>
      <c r="AX65" s="7">
        <f>'Mar2027-COLLECTION'!K64</f>
        <v/>
      </c>
      <c r="AY65" s="10">
        <f>'Mar2027-EXPENSE'!R68</f>
        <v/>
      </c>
      <c r="AZ65" s="10" t="n"/>
      <c r="BA65" s="174">
        <f>AX65-(AY65+AZ65)</f>
        <v/>
      </c>
      <c r="BB65" s="172">
        <f>SUM(F65,J65,N65,R65,V65,Z65,AD65,AH65,AL65,AP65,AT65,AX65)</f>
        <v/>
      </c>
      <c r="BC65" s="172">
        <f>SUM(G65,K65,O65,S65,W65,AA65,AE65,AI65,AM65,AQ65,AU65,AY65)</f>
        <v/>
      </c>
      <c r="BD65" s="172">
        <f>SUM(H65,L65,P65,T65,X65,AB65,AF65,AJ65,AN65,AR65,AV65,AZ65)</f>
        <v/>
      </c>
      <c r="BE65" s="172">
        <f>BB65-(BC65+BD65)</f>
        <v/>
      </c>
      <c r="BF65" s="172">
        <f>E65+BE65</f>
        <v/>
      </c>
      <c r="BG65" s="175" t="n">
        <v>0</v>
      </c>
    </row>
    <row r="66" ht="15.75" customHeight="1" s="251">
      <c r="A66" s="169" t="inlineStr">
        <is>
          <t>T16</t>
        </is>
      </c>
      <c r="B66" s="13" t="n"/>
      <c r="C66" s="13" t="inlineStr">
        <is>
          <t>Madhusoodanan P.R.</t>
        </is>
      </c>
      <c r="D66" s="170" t="n">
        <v>0</v>
      </c>
      <c r="E66" s="175" t="n">
        <v>0</v>
      </c>
      <c r="F66" s="171">
        <f>'Apr2026-COLLECTION'!K65</f>
        <v/>
      </c>
      <c r="G66" s="172">
        <f>'Apr2026-EXPENSE'!R69</f>
        <v/>
      </c>
      <c r="H66" s="172" t="n"/>
      <c r="I66" s="172">
        <f>F66-(G66+H66)</f>
        <v/>
      </c>
      <c r="J66" s="173">
        <f>'May2026-COLLECTION'!K65</f>
        <v/>
      </c>
      <c r="K66" s="174">
        <f>'May2026-EXPENSE'!R69</f>
        <v/>
      </c>
      <c r="L66" s="174" t="n"/>
      <c r="M66" s="174">
        <f>J66-(K66+L66)</f>
        <v/>
      </c>
      <c r="N66" s="172">
        <f>'June2026-COLLECTION'!K65</f>
        <v/>
      </c>
      <c r="O66" s="172">
        <f>'June2026-EXPENSE'!R69</f>
        <v/>
      </c>
      <c r="P66" s="172" t="n"/>
      <c r="Q66" s="172">
        <f>N66-(O66+P66)</f>
        <v/>
      </c>
      <c r="R66" s="41">
        <f>'July2026-COLLECTION'!K65</f>
        <v/>
      </c>
      <c r="S66" s="174">
        <f>'July2026-EXPENSE'!R69</f>
        <v/>
      </c>
      <c r="T66" s="174" t="n"/>
      <c r="U66" s="174">
        <f>R66-(S66+T66)</f>
        <v/>
      </c>
      <c r="V66" s="167">
        <f>'Aug2026-COLLECTION'!K65</f>
        <v/>
      </c>
      <c r="W66" s="172">
        <f>'Aug2026-EXPENSE'!R69</f>
        <v/>
      </c>
      <c r="X66" s="172" t="n"/>
      <c r="Y66" s="172">
        <f>V66-(W66+X66)</f>
        <v/>
      </c>
      <c r="Z66" s="41">
        <f>'Sep2026-COLLECTION'!K65</f>
        <v/>
      </c>
      <c r="AA66" s="174">
        <f>'Sep2026-EXPENSE'!R69</f>
        <v/>
      </c>
      <c r="AB66" s="174" t="n"/>
      <c r="AC66" s="174">
        <f>Z66-(AA66+AB66)</f>
        <v/>
      </c>
      <c r="AD66" s="41">
        <f>'Oct2026-COLLECTION'!K65</f>
        <v/>
      </c>
      <c r="AE66" s="174">
        <f>'Oct2026-EXPENSE'!R69</f>
        <v/>
      </c>
      <c r="AF66" s="174" t="n"/>
      <c r="AG66" s="174">
        <f>AD66-(AE66+AF66)</f>
        <v/>
      </c>
      <c r="AH66" s="41">
        <f>'Nov2026-COLLECTION'!K65</f>
        <v/>
      </c>
      <c r="AI66" s="174">
        <f>'Nov2026-EXPENSE'!R69</f>
        <v/>
      </c>
      <c r="AJ66" s="174" t="n"/>
      <c r="AK66" s="174">
        <f>AH66-(AI66+AJ66)</f>
        <v/>
      </c>
      <c r="AL66" s="41">
        <f>'Dec2026-COLLECTION'!K65</f>
        <v/>
      </c>
      <c r="AM66" s="174">
        <f>'Dec2026-EXPENSE'!R69</f>
        <v/>
      </c>
      <c r="AN66" s="174" t="n"/>
      <c r="AO66" s="174">
        <f>AL66-(AM66+AN66)</f>
        <v/>
      </c>
      <c r="AP66" s="7">
        <f>'Jan2027-COLLECTION'!K65</f>
        <v/>
      </c>
      <c r="AQ66" s="10">
        <f>'Jan2027-EXPENSE'!R69</f>
        <v/>
      </c>
      <c r="AR66" s="10" t="n"/>
      <c r="AS66" s="174">
        <f>AP66-(AQ66+AR66)</f>
        <v/>
      </c>
      <c r="AT66" s="7">
        <f>'Feb2027-COLLECTION'!K65</f>
        <v/>
      </c>
      <c r="AU66" s="10">
        <f>'Feb2027-EXPENSE'!R69</f>
        <v/>
      </c>
      <c r="AV66" s="10" t="n"/>
      <c r="AW66" s="174">
        <f>AT66-(AU66+AV66)</f>
        <v/>
      </c>
      <c r="AX66" s="7">
        <f>'Mar2027-COLLECTION'!K65</f>
        <v/>
      </c>
      <c r="AY66" s="10">
        <f>'Mar2027-EXPENSE'!R69</f>
        <v/>
      </c>
      <c r="AZ66" s="10" t="n"/>
      <c r="BA66" s="174">
        <f>AX66-(AY66+AZ66)</f>
        <v/>
      </c>
      <c r="BB66" s="172">
        <f>SUM(F66,J66,N66,R66,V66,Z66,AD66,AH66,AL66,AP66,AT66,AX66)</f>
        <v/>
      </c>
      <c r="BC66" s="172">
        <f>SUM(G66,K66,O66,S66,W66,AA66,AE66,AI66,AM66,AQ66,AU66,AY66)</f>
        <v/>
      </c>
      <c r="BD66" s="172">
        <f>SUM(H66,L66,P66,T66,X66,AB66,AF66,AJ66,AN66,AR66,AV66,AZ66)</f>
        <v/>
      </c>
      <c r="BE66" s="172">
        <f>BB66-(BC66+BD66)</f>
        <v/>
      </c>
      <c r="BF66" s="172">
        <f>E66+BE66</f>
        <v/>
      </c>
      <c r="BG66" s="175" t="n">
        <v>0</v>
      </c>
    </row>
    <row r="67" ht="15.75" customHeight="1" s="251">
      <c r="A67" s="169" t="n"/>
      <c r="B67" s="156" t="n"/>
      <c r="C67" s="156" t="inlineStr">
        <is>
          <t>TOTAL</t>
        </is>
      </c>
      <c r="D67" s="177">
        <f>SUM(D3:D66)</f>
        <v/>
      </c>
      <c r="E67" s="143">
        <f>SUM(E3:E66)</f>
        <v/>
      </c>
      <c r="F67" s="178">
        <f>SUM(F3:F66)</f>
        <v/>
      </c>
      <c r="G67" s="174">
        <f>SUM(G3:G66)</f>
        <v/>
      </c>
      <c r="H67" s="174">
        <f>SUM(H3:H66)</f>
        <v/>
      </c>
      <c r="I67" s="174">
        <f>SUM(I3:I66)</f>
        <v/>
      </c>
      <c r="J67" s="174">
        <f>SUM(J3:J66)</f>
        <v/>
      </c>
      <c r="K67" s="174">
        <f>SUM(K3:K66)</f>
        <v/>
      </c>
      <c r="L67" s="174">
        <f>SUM(L3:L66)</f>
        <v/>
      </c>
      <c r="M67" s="174">
        <f>SUM(M3:M66)</f>
        <v/>
      </c>
      <c r="N67" s="174">
        <f>SUM(N3:N66)</f>
        <v/>
      </c>
      <c r="O67" s="174">
        <f>SUM(O3:O66)</f>
        <v/>
      </c>
      <c r="P67" s="174">
        <f>SUM(P3:P66)</f>
        <v/>
      </c>
      <c r="Q67" s="174">
        <f>SUM(Q3:Q66)</f>
        <v/>
      </c>
      <c r="R67" s="174">
        <f>SUM(R3:R66)</f>
        <v/>
      </c>
      <c r="S67" s="174">
        <f>SUM(S3:S66)</f>
        <v/>
      </c>
      <c r="T67" s="174">
        <f>SUM(T3:T66)</f>
        <v/>
      </c>
      <c r="U67" s="174">
        <f>SUM(U3:U66)</f>
        <v/>
      </c>
      <c r="V67" s="174">
        <f>SUM(V3:V66)</f>
        <v/>
      </c>
      <c r="W67" s="174">
        <f>SUM(W3:W66)</f>
        <v/>
      </c>
      <c r="X67" s="174">
        <f>SUM(X3:X66)</f>
        <v/>
      </c>
      <c r="Y67" s="174">
        <f>SUM(Y3:Y66)</f>
        <v/>
      </c>
      <c r="Z67" s="174">
        <f>SUM(Z3:Z66)</f>
        <v/>
      </c>
      <c r="AA67" s="174">
        <f>SUM(AA3:AA66)</f>
        <v/>
      </c>
      <c r="AB67" s="174">
        <f>SUM(AB3:AB66)</f>
        <v/>
      </c>
      <c r="AC67" s="174">
        <f>SUM(AC3:AC66)</f>
        <v/>
      </c>
      <c r="AD67" s="174">
        <f>SUM(AD3:AD66)</f>
        <v/>
      </c>
      <c r="AE67" s="174">
        <f>SUM(AE3:AE66)</f>
        <v/>
      </c>
      <c r="AF67" s="174">
        <f>SUM(AF3:AF66)</f>
        <v/>
      </c>
      <c r="AG67" s="174">
        <f>SUM(AG3:AG66)</f>
        <v/>
      </c>
      <c r="AH67" s="174">
        <f>SUM(AH3:AH66)</f>
        <v/>
      </c>
      <c r="AI67" s="174">
        <f>SUM(AI3:AI66)</f>
        <v/>
      </c>
      <c r="AJ67" s="174">
        <f>SUM(AJ3:AJ66)</f>
        <v/>
      </c>
      <c r="AK67" s="174">
        <f>SUM(AK3:AK66)</f>
        <v/>
      </c>
      <c r="AL67" s="174">
        <f>SUM(AL3:AL66)</f>
        <v/>
      </c>
      <c r="AM67" s="174">
        <f>SUM(AM3:AM66)</f>
        <v/>
      </c>
      <c r="AN67" s="174">
        <f>SUM(AN3:AN66)</f>
        <v/>
      </c>
      <c r="AO67" s="174">
        <f>SUM(AO3:AO66)</f>
        <v/>
      </c>
      <c r="AP67" s="7">
        <f>SUM(AP3:AP66)</f>
        <v/>
      </c>
      <c r="AQ67" s="10">
        <f>SUM(AQ3:AQ66)</f>
        <v/>
      </c>
      <c r="AR67" s="10">
        <f>SUM(AR3:AR66)</f>
        <v/>
      </c>
      <c r="AS67" s="10">
        <f>SUM(AS3:AS66)</f>
        <v/>
      </c>
      <c r="AT67" s="7">
        <f>SUM(AT3:AT66)</f>
        <v/>
      </c>
      <c r="AU67" s="10">
        <f>SUM(AU3:AU66)</f>
        <v/>
      </c>
      <c r="AV67" s="10">
        <f>SUM(AV3:AV66)</f>
        <v/>
      </c>
      <c r="AW67" s="10">
        <f>SUM(AW3:AW66)</f>
        <v/>
      </c>
      <c r="AX67" s="7">
        <f>SUM(AX3:AX66)</f>
        <v/>
      </c>
      <c r="AY67" s="10">
        <f>SUM(AY3:AY66)</f>
        <v/>
      </c>
      <c r="AZ67" s="10">
        <f>SUM(AZ3:AZ66)</f>
        <v/>
      </c>
      <c r="BA67" s="10">
        <f>SUM(BA3:BA66)</f>
        <v/>
      </c>
      <c r="BB67" s="174">
        <f>SUM(BB3:BB66)</f>
        <v/>
      </c>
      <c r="BC67" s="174">
        <f>SUM(BC3:BC66)</f>
        <v/>
      </c>
      <c r="BD67" s="174">
        <f>SUM(BD3:BD66)</f>
        <v/>
      </c>
      <c r="BE67" s="174">
        <f>SUM(BE3:BE66)</f>
        <v/>
      </c>
      <c r="BF67" s="174">
        <f>E67+BE67</f>
        <v/>
      </c>
      <c r="BG67" s="147" t="n"/>
    </row>
  </sheetData>
  <autoFilter ref="A2:BF67"/>
  <mergeCells count="12">
    <mergeCell ref="AH1:AK1"/>
    <mergeCell ref="F1:I1"/>
    <mergeCell ref="R1:U1"/>
    <mergeCell ref="AL1:AO1"/>
    <mergeCell ref="N1:Q1"/>
    <mergeCell ref="AX1:BA1"/>
    <mergeCell ref="V1:Y1"/>
    <mergeCell ref="Z1:AC1"/>
    <mergeCell ref="AD1:AG1"/>
    <mergeCell ref="J1:M1"/>
    <mergeCell ref="AP1:AS1"/>
    <mergeCell ref="AT1:AW1"/>
  </mergeCells>
  <conditionalFormatting sqref="H2:I66 L2:M66 P2:Q66 T2:U66 X2:Y66 AB2:AC66 AF2:AG66 AJ2:AK66 AN2:AO66 AP2:AR2 AS2:AS66 AT2:AV2 AW2:AW66 AX2:AZ2 BA2:BA66">
    <cfRule type="cellIs" priority="1" operator="lessThan" dxfId="2">
      <formula>0</formula>
    </cfRule>
  </conditionalFormatting>
  <conditionalFormatting sqref="E3:E66 AF2:AG66 AJ2:AK66 AN2:AO66 AP2:AR2 AS2:AS66 AT2:AV2 AW2:AW66 AX2:AZ2 BA2:BA66 BD1:BG66">
    <cfRule type="cellIs" priority="2" operator="lessThan" dxfId="5">
      <formula>0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D64"/>
  <sheetViews>
    <sheetView workbookViewId="0">
      <selection activeCell="A1" sqref="A1"/>
    </sheetView>
  </sheetViews>
  <sheetFormatPr baseColWidth="10" defaultColWidth="14.5" defaultRowHeight="15" customHeight="1"/>
  <cols>
    <col width="4.83203125" customWidth="1" style="251" min="1" max="1"/>
    <col width="57.1640625" customWidth="1" style="251" min="2" max="2"/>
  </cols>
  <sheetData>
    <row r="1" ht="15" customHeight="1" s="251">
      <c r="A1" s="169" t="inlineStr">
        <is>
          <t>F1</t>
        </is>
      </c>
      <c r="B1" s="13" t="inlineStr">
        <is>
          <t>Shailesh Srivastava / Azeem Nawaz</t>
        </is>
      </c>
      <c r="C1" s="175" t="n">
        <v>0</v>
      </c>
      <c r="D1" s="175" t="n">
        <v>0</v>
      </c>
    </row>
    <row r="2" ht="15" customHeight="1" s="251">
      <c r="A2" s="169" t="inlineStr">
        <is>
          <t>F2</t>
        </is>
      </c>
      <c r="B2" s="13" t="inlineStr">
        <is>
          <t>Ramamurthy Pachaiyappan</t>
        </is>
      </c>
      <c r="C2" s="175" t="n">
        <v>0</v>
      </c>
      <c r="D2" s="175" t="n">
        <v>0</v>
      </c>
    </row>
    <row r="3" ht="15" customHeight="1" s="251">
      <c r="A3" s="169" t="inlineStr">
        <is>
          <t>F3</t>
        </is>
      </c>
      <c r="B3" s="13" t="inlineStr">
        <is>
          <t>Samrat Kar</t>
        </is>
      </c>
      <c r="C3" s="175" t="n">
        <v>0</v>
      </c>
      <c r="D3" s="175" t="n">
        <v>0</v>
      </c>
    </row>
    <row r="4" ht="15" customHeight="1" s="251">
      <c r="A4" s="169" t="inlineStr">
        <is>
          <t>F4</t>
        </is>
      </c>
      <c r="B4" s="13" t="inlineStr">
        <is>
          <t>Renu R</t>
        </is>
      </c>
      <c r="C4" s="175" t="n">
        <v>0</v>
      </c>
      <c r="D4" s="175" t="n">
        <v>0</v>
      </c>
    </row>
    <row r="5" ht="15" customHeight="1" s="251">
      <c r="A5" s="169" t="inlineStr">
        <is>
          <t>F5</t>
        </is>
      </c>
      <c r="B5" s="13" t="inlineStr">
        <is>
          <t>Vamsidhar Bethanabatla / Madhuri Anumula</t>
        </is>
      </c>
      <c r="C5" s="175" t="n">
        <v>0</v>
      </c>
      <c r="D5" s="175" t="n">
        <v>0</v>
      </c>
    </row>
    <row r="6" ht="15" customHeight="1" s="251">
      <c r="A6" s="169" t="inlineStr">
        <is>
          <t>F6</t>
        </is>
      </c>
      <c r="B6" s="13" t="inlineStr">
        <is>
          <t>Meghana Viral Shah and Vviral Shah (Owner) / Sangeet and Swagat (Tenent)</t>
        </is>
      </c>
      <c r="C6" s="175" t="n">
        <v>0</v>
      </c>
      <c r="D6" s="175" t="n">
        <v>0</v>
      </c>
    </row>
    <row r="7" ht="15" customHeight="1" s="251">
      <c r="A7" s="169" t="inlineStr">
        <is>
          <t>F7</t>
        </is>
      </c>
      <c r="B7" s="13" t="inlineStr">
        <is>
          <t>Vimal NK</t>
        </is>
      </c>
      <c r="C7" s="175" t="n">
        <v>0</v>
      </c>
      <c r="D7" s="175" t="n">
        <v>0</v>
      </c>
    </row>
    <row r="8" ht="15" customHeight="1" s="251">
      <c r="A8" s="169" t="inlineStr">
        <is>
          <t>F8</t>
        </is>
      </c>
      <c r="B8" s="13" t="inlineStr">
        <is>
          <t>Sujeet Kumar (Tenant)/Sreejith Menon (Owner)</t>
        </is>
      </c>
      <c r="C8" s="175" t="n">
        <v>0</v>
      </c>
      <c r="D8" s="175" t="n">
        <v>0</v>
      </c>
    </row>
    <row r="9" ht="15" customHeight="1" s="251">
      <c r="A9" s="169" t="inlineStr">
        <is>
          <t>F9</t>
        </is>
      </c>
      <c r="B9" s="13" t="inlineStr">
        <is>
          <t>Vijay Suswaram (Owner)  /   Divya Shikha (Tenant)</t>
        </is>
      </c>
      <c r="C9" s="175" t="n">
        <v>0</v>
      </c>
      <c r="D9" s="175" t="n">
        <v>0</v>
      </c>
    </row>
    <row r="10" ht="15" customHeight="1" s="251">
      <c r="A10" s="169" t="inlineStr">
        <is>
          <t>F10</t>
        </is>
      </c>
      <c r="B10" s="13" t="inlineStr">
        <is>
          <t>Aby Thomas</t>
        </is>
      </c>
      <c r="C10" s="175" t="n">
        <v>0</v>
      </c>
      <c r="D10" s="175" t="n">
        <v>0</v>
      </c>
    </row>
    <row r="11" ht="15" customHeight="1" s="251">
      <c r="A11" s="169" t="inlineStr">
        <is>
          <t>F11</t>
        </is>
      </c>
      <c r="B11" s="13" t="inlineStr">
        <is>
          <t>Niwin Anto</t>
        </is>
      </c>
      <c r="C11" s="175" t="n">
        <v>0</v>
      </c>
      <c r="D11" s="175" t="n">
        <v>0</v>
      </c>
    </row>
    <row r="12" ht="15" customHeight="1" s="251">
      <c r="A12" s="169" t="inlineStr">
        <is>
          <t>F12</t>
        </is>
      </c>
      <c r="B12" s="13" t="inlineStr">
        <is>
          <t>Anirudh Singh</t>
        </is>
      </c>
      <c r="C12" s="175" t="n">
        <v>0</v>
      </c>
      <c r="D12" s="175" t="n">
        <v>0</v>
      </c>
    </row>
    <row r="13" ht="15" customHeight="1" s="251">
      <c r="A13" s="169" t="inlineStr">
        <is>
          <t>F13</t>
        </is>
      </c>
      <c r="B13" s="13" t="inlineStr">
        <is>
          <t>Sanchay Saxena</t>
        </is>
      </c>
      <c r="C13" s="175" t="n">
        <v>0</v>
      </c>
      <c r="D13" s="175" t="n">
        <v>0</v>
      </c>
    </row>
    <row r="14" ht="15" customHeight="1" s="251">
      <c r="A14" s="169" t="inlineStr">
        <is>
          <t>F14</t>
        </is>
      </c>
      <c r="B14" s="13" t="inlineStr">
        <is>
          <t>Hemant Patel</t>
        </is>
      </c>
      <c r="C14" s="175" t="n">
        <v>0</v>
      </c>
      <c r="D14" s="175" t="n">
        <v>0</v>
      </c>
    </row>
    <row r="15" ht="15" customHeight="1" s="251">
      <c r="A15" s="169" t="inlineStr">
        <is>
          <t>F15</t>
        </is>
      </c>
      <c r="B15" s="13" t="inlineStr">
        <is>
          <t>Senthil.Vijayaragavan</t>
        </is>
      </c>
      <c r="C15" s="175" t="n">
        <v>0</v>
      </c>
      <c r="D15" s="175" t="n">
        <v>0</v>
      </c>
    </row>
    <row r="16" ht="15" customHeight="1" s="251">
      <c r="A16" s="169" t="inlineStr">
        <is>
          <t>F16</t>
        </is>
      </c>
      <c r="B16" s="13" t="inlineStr">
        <is>
          <t>Sreeja Sudharma</t>
        </is>
      </c>
      <c r="C16" s="175" t="n">
        <v>0</v>
      </c>
      <c r="D16" s="175" t="n">
        <v>0</v>
      </c>
    </row>
    <row r="17" ht="15" customHeight="1" s="251">
      <c r="A17" s="169" t="inlineStr">
        <is>
          <t>G1</t>
        </is>
      </c>
      <c r="B17" s="13" t="inlineStr">
        <is>
          <t>Venkataramanan C</t>
        </is>
      </c>
      <c r="C17" s="175" t="n">
        <v>0</v>
      </c>
      <c r="D17" s="175" t="n">
        <v>0</v>
      </c>
    </row>
    <row r="18" ht="15" customHeight="1" s="251">
      <c r="A18" s="169" t="inlineStr">
        <is>
          <t>G2</t>
        </is>
      </c>
      <c r="B18" s="13" t="inlineStr">
        <is>
          <t>Kaushik Kasibhatla</t>
        </is>
      </c>
      <c r="C18" s="175" t="n">
        <v>0</v>
      </c>
      <c r="D18" s="175" t="n">
        <v>0</v>
      </c>
    </row>
    <row r="19" ht="15" customHeight="1" s="251">
      <c r="A19" s="169" t="inlineStr">
        <is>
          <t>G3</t>
        </is>
      </c>
      <c r="B19" s="13" t="inlineStr">
        <is>
          <t>Balakrishnan</t>
        </is>
      </c>
      <c r="C19" s="175" t="n">
        <v>0</v>
      </c>
      <c r="D19" s="175" t="n">
        <v>0</v>
      </c>
    </row>
    <row r="20" ht="16" customHeight="1" s="251">
      <c r="A20" s="169" t="inlineStr">
        <is>
          <t>G4</t>
        </is>
      </c>
      <c r="B20" s="13" t="inlineStr">
        <is>
          <t>Ashwin Pandith</t>
        </is>
      </c>
      <c r="C20" s="175" t="n">
        <v>0</v>
      </c>
      <c r="D20" s="175" t="n">
        <v>0</v>
      </c>
    </row>
    <row r="21" ht="16" customHeight="1" s="251">
      <c r="A21" s="169" t="inlineStr">
        <is>
          <t>G5</t>
        </is>
      </c>
      <c r="B21" s="13" t="inlineStr">
        <is>
          <t>Mayank Phophaliya</t>
        </is>
      </c>
      <c r="C21" s="175" t="n">
        <v>0</v>
      </c>
      <c r="D21" s="175" t="n">
        <v>0</v>
      </c>
    </row>
    <row r="22" ht="16" customHeight="1" s="251">
      <c r="A22" s="169" t="inlineStr">
        <is>
          <t>G6</t>
        </is>
      </c>
      <c r="B22" s="13" t="inlineStr">
        <is>
          <t>Srinath / Tenant - Mohit Daga</t>
        </is>
      </c>
      <c r="C22" s="175" t="n">
        <v>0</v>
      </c>
      <c r="D22" s="175" t="n">
        <v>0</v>
      </c>
    </row>
    <row r="23" ht="16" customHeight="1" s="251">
      <c r="A23" s="169" t="inlineStr">
        <is>
          <t>G7</t>
        </is>
      </c>
      <c r="B23" s="13" t="inlineStr">
        <is>
          <t>Prince Richfield</t>
        </is>
      </c>
      <c r="C23" s="175" t="n">
        <v>0</v>
      </c>
      <c r="D23" s="175" t="n">
        <v>0</v>
      </c>
    </row>
    <row r="24" ht="16" customHeight="1" s="251">
      <c r="A24" s="169" t="inlineStr">
        <is>
          <t>G8</t>
        </is>
      </c>
      <c r="B24" s="13" t="inlineStr">
        <is>
          <t>Ranjithkumar R / Sameer (tenant) / Princy (tenant)</t>
        </is>
      </c>
      <c r="C24" s="175" t="n">
        <v>0</v>
      </c>
      <c r="D24" s="175" t="n">
        <v>0</v>
      </c>
    </row>
    <row r="25" ht="16" customHeight="1" s="251">
      <c r="A25" s="169" t="inlineStr">
        <is>
          <t>G9</t>
        </is>
      </c>
      <c r="B25" s="13" t="inlineStr">
        <is>
          <t>Chandramouli</t>
        </is>
      </c>
      <c r="C25" s="175" t="n">
        <v>0</v>
      </c>
      <c r="D25" s="175" t="n">
        <v>0</v>
      </c>
    </row>
    <row r="26" ht="16" customHeight="1" s="251">
      <c r="A26" s="169" t="inlineStr">
        <is>
          <t>G10</t>
        </is>
      </c>
      <c r="B26" s="13" t="inlineStr">
        <is>
          <t xml:space="preserve">Cijo Jacob / Thara Joy </t>
        </is>
      </c>
      <c r="C26" s="175" t="n">
        <v>0</v>
      </c>
      <c r="D26" s="175" t="n">
        <v>0</v>
      </c>
    </row>
    <row r="27" ht="16" customHeight="1" s="251">
      <c r="A27" s="169" t="inlineStr">
        <is>
          <t>G11</t>
        </is>
      </c>
      <c r="B27" s="13" t="inlineStr">
        <is>
          <t>Ketan Verlekar</t>
        </is>
      </c>
      <c r="C27" s="175" t="n">
        <v>0</v>
      </c>
      <c r="D27" s="175" t="n">
        <v>0</v>
      </c>
    </row>
    <row r="28" ht="16" customHeight="1" s="251">
      <c r="A28" s="169" t="inlineStr">
        <is>
          <t>G12</t>
        </is>
      </c>
      <c r="B28" s="13" t="inlineStr">
        <is>
          <t>Shyam Nair</t>
        </is>
      </c>
      <c r="C28" s="175" t="n">
        <v>0</v>
      </c>
      <c r="D28" s="175" t="n">
        <v>0</v>
      </c>
    </row>
    <row r="29" ht="16" customHeight="1" s="251">
      <c r="A29" s="169" t="inlineStr">
        <is>
          <t>G13</t>
        </is>
      </c>
      <c r="B29" s="13" t="inlineStr">
        <is>
          <t>Ajai.B</t>
        </is>
      </c>
      <c r="C29" s="175" t="n">
        <v>0</v>
      </c>
      <c r="D29" s="175" t="n">
        <v>0</v>
      </c>
    </row>
    <row r="30" ht="16" customHeight="1" s="251">
      <c r="A30" s="169" t="inlineStr">
        <is>
          <t>G14</t>
        </is>
      </c>
      <c r="B30" s="13" t="inlineStr">
        <is>
          <t>Surajit Borah</t>
        </is>
      </c>
      <c r="C30" s="175" t="n">
        <v>0</v>
      </c>
      <c r="D30" s="175" t="n">
        <v>0</v>
      </c>
    </row>
    <row r="31" ht="16" customHeight="1" s="251">
      <c r="A31" s="169" t="inlineStr">
        <is>
          <t>G15</t>
        </is>
      </c>
      <c r="B31" s="13" t="inlineStr">
        <is>
          <t>Suresh Nallusamy / Antriksh (tenant)</t>
        </is>
      </c>
      <c r="C31" s="175" t="n">
        <v>0</v>
      </c>
      <c r="D31" s="175" t="n">
        <v>0</v>
      </c>
    </row>
    <row r="32" ht="16" customHeight="1" s="251">
      <c r="A32" s="169" t="inlineStr">
        <is>
          <t>G16</t>
        </is>
      </c>
      <c r="B32" s="13" t="inlineStr">
        <is>
          <t>Praveen Ganesan</t>
        </is>
      </c>
      <c r="C32" s="175" t="n">
        <v>0</v>
      </c>
      <c r="D32" s="175" t="n">
        <v>0</v>
      </c>
    </row>
    <row r="33" ht="16" customHeight="1" s="251">
      <c r="A33" s="169" t="inlineStr">
        <is>
          <t>S1</t>
        </is>
      </c>
      <c r="B33" s="13" t="inlineStr">
        <is>
          <t>S.N.Behera</t>
        </is>
      </c>
      <c r="C33" s="175" t="n">
        <v>0</v>
      </c>
      <c r="D33" s="175" t="n">
        <v>0</v>
      </c>
    </row>
    <row r="34" ht="16" customHeight="1" s="251">
      <c r="A34" s="169" t="inlineStr">
        <is>
          <t>S2</t>
        </is>
      </c>
      <c r="B34" s="13" t="inlineStr">
        <is>
          <t>Sonal Singhal</t>
        </is>
      </c>
      <c r="C34" s="175" t="n">
        <v>0</v>
      </c>
      <c r="D34" s="175" t="n">
        <v>0</v>
      </c>
    </row>
    <row r="35" ht="16" customHeight="1" s="251">
      <c r="A35" s="169" t="inlineStr">
        <is>
          <t>S3</t>
        </is>
      </c>
      <c r="B35" s="13" t="inlineStr">
        <is>
          <t>Manikandan NG</t>
        </is>
      </c>
      <c r="C35" s="175" t="n">
        <v>0</v>
      </c>
      <c r="D35" s="175" t="n">
        <v>0</v>
      </c>
    </row>
    <row r="36" ht="16" customHeight="1" s="251">
      <c r="A36" s="169" t="inlineStr">
        <is>
          <t>S4</t>
        </is>
      </c>
      <c r="B36" s="13" t="inlineStr">
        <is>
          <t xml:space="preserve">Swaminathan </t>
        </is>
      </c>
      <c r="C36" s="175" t="n">
        <v>0</v>
      </c>
      <c r="D36" s="175" t="n">
        <v>0</v>
      </c>
    </row>
    <row r="37" ht="16" customHeight="1" s="251">
      <c r="A37" s="169" t="inlineStr">
        <is>
          <t>S5</t>
        </is>
      </c>
      <c r="B37" s="13" t="inlineStr">
        <is>
          <t>Abhishek Gopalakrishnan</t>
        </is>
      </c>
      <c r="C37" s="175" t="n">
        <v>0</v>
      </c>
      <c r="D37" s="175" t="n">
        <v>0</v>
      </c>
    </row>
    <row r="38" ht="16" customHeight="1" s="251">
      <c r="A38" s="169" t="inlineStr">
        <is>
          <t>S6</t>
        </is>
      </c>
      <c r="B38" s="30" t="inlineStr">
        <is>
          <t>Vivek Dhingra / Pratyush Das</t>
        </is>
      </c>
      <c r="C38" s="175" t="n">
        <v>0</v>
      </c>
      <c r="D38" s="175" t="n">
        <v>0</v>
      </c>
    </row>
    <row r="39" ht="16" customHeight="1" s="251">
      <c r="A39" s="169" t="inlineStr">
        <is>
          <t>S7</t>
        </is>
      </c>
      <c r="B39" s="13" t="inlineStr">
        <is>
          <t>Harish B</t>
        </is>
      </c>
      <c r="C39" s="175" t="n">
        <v>0</v>
      </c>
      <c r="D39" s="175" t="n">
        <v>0</v>
      </c>
    </row>
    <row r="40" ht="16" customHeight="1" s="251">
      <c r="A40" s="169" t="inlineStr">
        <is>
          <t>S8</t>
        </is>
      </c>
      <c r="B40" s="13" t="inlineStr">
        <is>
          <t>Irudayaraj Alwin</t>
        </is>
      </c>
      <c r="C40" s="175" t="n">
        <v>0</v>
      </c>
      <c r="D40" s="175" t="n">
        <v>0</v>
      </c>
    </row>
    <row r="41" ht="16" customHeight="1" s="251">
      <c r="A41" s="169" t="inlineStr">
        <is>
          <t>S9</t>
        </is>
      </c>
      <c r="B41" s="13" t="inlineStr">
        <is>
          <t>Pawan GS</t>
        </is>
      </c>
      <c r="C41" s="175" t="n">
        <v>0</v>
      </c>
      <c r="D41" s="175" t="n">
        <v>0</v>
      </c>
    </row>
    <row r="42" ht="16" customHeight="1" s="251">
      <c r="A42" s="169" t="inlineStr">
        <is>
          <t>S10</t>
        </is>
      </c>
      <c r="B42" s="13" t="inlineStr">
        <is>
          <t>Previous owner - Rohith. New owner name not known</t>
        </is>
      </c>
      <c r="C42" s="175" t="n">
        <v>0</v>
      </c>
      <c r="D42" s="175" t="n">
        <v>0</v>
      </c>
    </row>
    <row r="43" ht="16" customHeight="1" s="251">
      <c r="A43" s="169" t="inlineStr">
        <is>
          <t>S11</t>
        </is>
      </c>
      <c r="B43" s="13" t="inlineStr">
        <is>
          <t>Gowrish Patnaik / Somananth GM</t>
        </is>
      </c>
      <c r="C43" s="175" t="n">
        <v>0</v>
      </c>
      <c r="D43" s="175" t="n">
        <v>0</v>
      </c>
    </row>
    <row r="44" ht="16" customHeight="1" s="251">
      <c r="A44" s="169" t="inlineStr">
        <is>
          <t>S12</t>
        </is>
      </c>
      <c r="B44" s="13" t="inlineStr">
        <is>
          <t>Saovik Mondal</t>
        </is>
      </c>
      <c r="C44" s="175" t="n">
        <v>0</v>
      </c>
      <c r="D44" s="175" t="n">
        <v>0</v>
      </c>
    </row>
    <row r="45" ht="16" customHeight="1" s="251">
      <c r="A45" s="169" t="inlineStr">
        <is>
          <t>S13</t>
        </is>
      </c>
      <c r="B45" s="13" t="inlineStr">
        <is>
          <t>Ramadevi S.</t>
        </is>
      </c>
      <c r="C45" s="175" t="n">
        <v>0</v>
      </c>
      <c r="D45" s="175" t="n">
        <v>0</v>
      </c>
    </row>
    <row r="46" ht="16" customHeight="1" s="251">
      <c r="A46" s="169" t="inlineStr">
        <is>
          <t>S14</t>
        </is>
      </c>
      <c r="B46" s="13" t="inlineStr">
        <is>
          <t>Nishant Upadhyay(Owner)/ Fabian (Tenant)</t>
        </is>
      </c>
      <c r="C46" s="175" t="n">
        <v>0</v>
      </c>
      <c r="D46" s="175" t="n">
        <v>0</v>
      </c>
    </row>
    <row r="47" ht="16" customHeight="1" s="251">
      <c r="A47" s="169" t="inlineStr">
        <is>
          <t>S15</t>
        </is>
      </c>
      <c r="B47" s="13" t="inlineStr">
        <is>
          <t>Manas Dasgupta</t>
        </is>
      </c>
      <c r="C47" s="175" t="n">
        <v>0</v>
      </c>
      <c r="D47" s="175" t="n">
        <v>0</v>
      </c>
    </row>
    <row r="48" ht="16" customHeight="1" s="251">
      <c r="A48" s="169" t="inlineStr">
        <is>
          <t>S16</t>
        </is>
      </c>
      <c r="B48" s="13" t="inlineStr">
        <is>
          <t>Devendra Singh Rawat / Nancy</t>
        </is>
      </c>
      <c r="C48" s="175" t="n">
        <v>0</v>
      </c>
      <c r="D48" s="175" t="n">
        <v>0</v>
      </c>
    </row>
    <row r="49" ht="16" customHeight="1" s="251">
      <c r="A49" s="169" t="inlineStr">
        <is>
          <t>T1</t>
        </is>
      </c>
      <c r="B49" s="13" t="inlineStr">
        <is>
          <t>Prashant Sikdar</t>
        </is>
      </c>
      <c r="C49" s="175" t="n">
        <v>0</v>
      </c>
      <c r="D49" s="175" t="n">
        <v>0</v>
      </c>
    </row>
    <row r="50" ht="16" customHeight="1" s="251">
      <c r="A50" s="169" t="inlineStr">
        <is>
          <t>T2</t>
        </is>
      </c>
      <c r="B50" s="13" t="inlineStr">
        <is>
          <t>Kunal Mehta</t>
        </is>
      </c>
      <c r="C50" s="175" t="n">
        <v>0</v>
      </c>
      <c r="D50" s="175" t="n">
        <v>0</v>
      </c>
    </row>
    <row r="51" ht="16" customHeight="1" s="251">
      <c r="A51" s="169" t="inlineStr">
        <is>
          <t>T3</t>
        </is>
      </c>
      <c r="B51" s="13" t="inlineStr">
        <is>
          <t>Kapil Garg</t>
        </is>
      </c>
      <c r="C51" s="175" t="n">
        <v>0</v>
      </c>
      <c r="D51" s="175" t="n">
        <v>0</v>
      </c>
    </row>
    <row r="52" ht="16" customHeight="1" s="251">
      <c r="A52" s="169" t="inlineStr">
        <is>
          <t>T4</t>
        </is>
      </c>
      <c r="B52" s="13" t="inlineStr">
        <is>
          <t>Vijet Alva (Owner)    -    Masood (Tenant)</t>
        </is>
      </c>
      <c r="C52" s="175" t="n">
        <v>0</v>
      </c>
      <c r="D52" s="175" t="n">
        <v>0</v>
      </c>
    </row>
    <row r="53" ht="16" customHeight="1" s="251">
      <c r="A53" s="169" t="inlineStr">
        <is>
          <t>T5</t>
        </is>
      </c>
      <c r="B53" s="13" t="inlineStr">
        <is>
          <t>Ganesh Iyer and Latha Iyer( owner) Richa (Tenant)</t>
        </is>
      </c>
      <c r="C53" s="175" t="n">
        <v>0</v>
      </c>
      <c r="D53" s="175" t="n">
        <v>0</v>
      </c>
    </row>
    <row r="54" ht="16" customHeight="1" s="251">
      <c r="A54" s="169" t="inlineStr">
        <is>
          <t>T6</t>
        </is>
      </c>
      <c r="B54" s="13" t="inlineStr">
        <is>
          <t>Mythili Ramesh</t>
        </is>
      </c>
      <c r="C54" s="175" t="n">
        <v>0</v>
      </c>
      <c r="D54" s="175" t="n">
        <v>0</v>
      </c>
    </row>
    <row r="55" ht="32" customHeight="1" s="251">
      <c r="A55" s="169" t="inlineStr">
        <is>
          <t>T7</t>
        </is>
      </c>
      <c r="B55" s="13" t="inlineStr">
        <is>
          <t>Vinyas Ramachandra / Shwetha Marnamikatta / Katari Siva Rama Raju</t>
        </is>
      </c>
      <c r="C55" s="175" t="n">
        <v>0</v>
      </c>
      <c r="D55" s="175" t="n">
        <v>0</v>
      </c>
    </row>
    <row r="56" ht="16" customHeight="1" s="251">
      <c r="A56" s="169" t="inlineStr">
        <is>
          <t>T8</t>
        </is>
      </c>
      <c r="B56" s="13" t="inlineStr">
        <is>
          <t>Lalit Kumar Sharma</t>
        </is>
      </c>
      <c r="C56" s="175" t="n">
        <v>0</v>
      </c>
      <c r="D56" s="175" t="n">
        <v>0</v>
      </c>
    </row>
    <row r="57" ht="16" customHeight="1" s="251">
      <c r="A57" s="169" t="inlineStr">
        <is>
          <t>T9</t>
        </is>
      </c>
      <c r="B57" s="13" t="inlineStr">
        <is>
          <t>Nishith Sahu and Priyanka Rani (Owner)/ Anmol Verma (Tenant)</t>
        </is>
      </c>
      <c r="C57" s="175" t="n">
        <v>0</v>
      </c>
      <c r="D57" s="175" t="n">
        <v>0</v>
      </c>
    </row>
    <row r="58" ht="16" customHeight="1" s="251">
      <c r="A58" s="169" t="inlineStr">
        <is>
          <t>T10</t>
        </is>
      </c>
      <c r="B58" s="13" t="inlineStr">
        <is>
          <t>Vamsidhar Bethanabatla / Madhuri Anumula</t>
        </is>
      </c>
      <c r="C58" s="175" t="n">
        <v>0</v>
      </c>
      <c r="D58" s="175" t="n">
        <v>0</v>
      </c>
    </row>
    <row r="59" ht="16" customHeight="1" s="251">
      <c r="A59" s="169" t="inlineStr">
        <is>
          <t>T11</t>
        </is>
      </c>
      <c r="B59" s="13" t="inlineStr">
        <is>
          <t>Arvind Balasubramanian</t>
        </is>
      </c>
      <c r="C59" s="175" t="n">
        <v>0</v>
      </c>
      <c r="D59" s="175" t="n">
        <v>0</v>
      </c>
    </row>
    <row r="60" ht="16" customHeight="1" s="251">
      <c r="A60" s="169" t="inlineStr">
        <is>
          <t>T12</t>
        </is>
      </c>
      <c r="B60" s="13" t="inlineStr">
        <is>
          <t>Prasenjit</t>
        </is>
      </c>
      <c r="C60" s="175" t="n">
        <v>0</v>
      </c>
      <c r="D60" s="175" t="n">
        <v>0</v>
      </c>
    </row>
    <row r="61" ht="16" customHeight="1" s="251">
      <c r="A61" s="169" t="inlineStr">
        <is>
          <t>T13</t>
        </is>
      </c>
      <c r="B61" s="13" t="inlineStr">
        <is>
          <t>Rahul Kumar</t>
        </is>
      </c>
      <c r="C61" s="175" t="n">
        <v>0</v>
      </c>
      <c r="D61" s="175" t="n">
        <v>0</v>
      </c>
    </row>
    <row r="62" ht="16" customHeight="1" s="251">
      <c r="A62" s="169" t="inlineStr">
        <is>
          <t>T14</t>
        </is>
      </c>
      <c r="B62" s="13" t="inlineStr">
        <is>
          <t>Jeya / Kanda / Satya (tenant)/Vinuta (tenant)</t>
        </is>
      </c>
      <c r="C62" s="175" t="n">
        <v>0</v>
      </c>
      <c r="D62" s="175" t="n">
        <v>0</v>
      </c>
    </row>
    <row r="63" ht="16" customHeight="1" s="251">
      <c r="A63" s="169" t="inlineStr">
        <is>
          <t>T15</t>
        </is>
      </c>
      <c r="B63" s="13" t="inlineStr">
        <is>
          <t>Trevor</t>
        </is>
      </c>
      <c r="C63" s="175" t="n">
        <v>0</v>
      </c>
      <c r="D63" s="175" t="n">
        <v>0</v>
      </c>
    </row>
    <row r="64" ht="16" customHeight="1" s="251">
      <c r="A64" s="169" t="inlineStr">
        <is>
          <t>T16</t>
        </is>
      </c>
      <c r="B64" s="13" t="inlineStr">
        <is>
          <t>Madhusoodanan P.R.</t>
        </is>
      </c>
      <c r="C64" s="175" t="n">
        <v>0</v>
      </c>
      <c r="D64" s="175" t="n">
        <v>0</v>
      </c>
    </row>
  </sheetData>
  <conditionalFormatting sqref="C1:D64">
    <cfRule type="cellIs" priority="1" operator="lessThan" dxfId="5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 fitToPage="1"/>
  </sheetPr>
  <dimension ref="A1:I1119"/>
  <sheetViews>
    <sheetView workbookViewId="0">
      <selection activeCell="A1" sqref="A1"/>
    </sheetView>
  </sheetViews>
  <sheetFormatPr baseColWidth="10" defaultColWidth="14.5" defaultRowHeight="15" customHeight="1"/>
  <sheetData>
    <row r="1">
      <c r="A1" s="180" t="inlineStr">
        <is>
          <t>F1</t>
        </is>
      </c>
      <c r="B1" s="181" t="inlineStr">
        <is>
          <t>G1</t>
        </is>
      </c>
      <c r="C1" s="181" t="inlineStr">
        <is>
          <t>S1</t>
        </is>
      </c>
      <c r="D1" s="181" t="inlineStr">
        <is>
          <t>T1</t>
        </is>
      </c>
      <c r="E1" s="40" t="n"/>
      <c r="F1" s="182" t="n"/>
      <c r="G1" s="40" t="n"/>
      <c r="H1" s="40" t="n"/>
      <c r="I1" s="40" t="n"/>
    </row>
    <row r="2">
      <c r="A2" s="182" t="n"/>
      <c r="B2" s="183" t="n"/>
      <c r="C2" s="40" t="n"/>
      <c r="D2" s="40" t="n"/>
      <c r="E2" s="40" t="n"/>
      <c r="F2" s="182" t="n"/>
      <c r="G2" s="40" t="n"/>
      <c r="H2" s="40" t="n"/>
      <c r="I2" s="40" t="n"/>
    </row>
    <row r="3">
      <c r="A3" s="180" t="inlineStr">
        <is>
          <t>F2</t>
        </is>
      </c>
      <c r="B3" s="181" t="inlineStr">
        <is>
          <t>G2</t>
        </is>
      </c>
      <c r="C3" s="181" t="inlineStr">
        <is>
          <t>S2</t>
        </is>
      </c>
      <c r="D3" s="181" t="inlineStr">
        <is>
          <t>T2</t>
        </is>
      </c>
      <c r="E3" s="40" t="n"/>
      <c r="F3" s="182" t="n"/>
      <c r="G3" s="40" t="n"/>
      <c r="H3" s="40" t="n"/>
      <c r="I3" s="40" t="n"/>
    </row>
    <row r="4">
      <c r="A4" s="182" t="n"/>
      <c r="B4" s="183" t="n"/>
      <c r="C4" s="40" t="n"/>
      <c r="D4" s="40" t="n"/>
      <c r="E4" s="40" t="n"/>
      <c r="F4" s="182" t="n"/>
      <c r="G4" s="40" t="n"/>
      <c r="H4" s="40" t="n"/>
      <c r="I4" s="40" t="n"/>
    </row>
    <row r="5">
      <c r="A5" s="180" t="inlineStr">
        <is>
          <t>F3</t>
        </is>
      </c>
      <c r="B5" s="181" t="inlineStr">
        <is>
          <t>G3</t>
        </is>
      </c>
      <c r="C5" s="181" t="inlineStr">
        <is>
          <t>S3</t>
        </is>
      </c>
      <c r="D5" s="181" t="inlineStr">
        <is>
          <t>T3</t>
        </is>
      </c>
      <c r="E5" s="40" t="n"/>
      <c r="F5" s="182" t="n"/>
      <c r="G5" s="40" t="n"/>
      <c r="H5" s="40" t="n"/>
      <c r="I5" s="40" t="n"/>
    </row>
    <row r="6">
      <c r="A6" s="182" t="n"/>
      <c r="B6" s="183" t="n"/>
      <c r="C6" s="40" t="n"/>
      <c r="D6" s="40" t="n"/>
      <c r="E6" s="40" t="n"/>
      <c r="F6" s="182" t="n"/>
      <c r="G6" s="40" t="n"/>
      <c r="H6" s="40" t="n"/>
      <c r="I6" s="40" t="n"/>
    </row>
    <row r="7">
      <c r="A7" s="180" t="inlineStr">
        <is>
          <t>F4</t>
        </is>
      </c>
      <c r="B7" s="181" t="inlineStr">
        <is>
          <t>G4</t>
        </is>
      </c>
      <c r="C7" s="181" t="inlineStr">
        <is>
          <t>S4</t>
        </is>
      </c>
      <c r="D7" s="181" t="inlineStr">
        <is>
          <t>T4</t>
        </is>
      </c>
      <c r="E7" s="40" t="n"/>
      <c r="F7" s="182" t="n"/>
      <c r="G7" s="40" t="n"/>
      <c r="H7" s="40" t="n"/>
      <c r="I7" s="40" t="n"/>
    </row>
    <row r="8">
      <c r="A8" s="182" t="n"/>
      <c r="B8" s="183" t="n"/>
      <c r="C8" s="40" t="n"/>
      <c r="D8" s="40" t="n"/>
      <c r="E8" s="40" t="n"/>
      <c r="F8" s="182" t="n"/>
      <c r="G8" s="40" t="n"/>
      <c r="H8" s="40" t="n"/>
      <c r="I8" s="40" t="n"/>
    </row>
    <row r="9">
      <c r="A9" s="180" t="inlineStr">
        <is>
          <t>F5</t>
        </is>
      </c>
      <c r="B9" s="181" t="inlineStr">
        <is>
          <t>G5</t>
        </is>
      </c>
      <c r="C9" s="181" t="inlineStr">
        <is>
          <t>S5</t>
        </is>
      </c>
      <c r="D9" s="181" t="inlineStr">
        <is>
          <t>T5</t>
        </is>
      </c>
      <c r="E9" s="40" t="n"/>
      <c r="F9" s="182" t="n"/>
      <c r="G9" s="40" t="n"/>
      <c r="H9" s="40" t="n"/>
      <c r="I9" s="40" t="n"/>
    </row>
    <row r="10">
      <c r="A10" s="182" t="n"/>
      <c r="B10" s="40" t="n"/>
      <c r="C10" s="40" t="n"/>
      <c r="D10" s="40" t="n"/>
      <c r="E10" s="40" t="n"/>
      <c r="F10" s="182" t="n"/>
      <c r="G10" s="40" t="n"/>
      <c r="H10" s="40" t="n"/>
      <c r="I10" s="40" t="n"/>
    </row>
    <row r="11">
      <c r="A11" s="180" t="inlineStr">
        <is>
          <t>F6</t>
        </is>
      </c>
      <c r="B11" s="181" t="inlineStr">
        <is>
          <t>G6</t>
        </is>
      </c>
      <c r="C11" s="181" t="inlineStr">
        <is>
          <t>S6</t>
        </is>
      </c>
      <c r="D11" s="181" t="inlineStr">
        <is>
          <t>T6</t>
        </is>
      </c>
      <c r="E11" s="40" t="n"/>
      <c r="F11" s="182" t="n"/>
      <c r="G11" s="40" t="n"/>
      <c r="H11" s="40" t="n"/>
      <c r="I11" s="40" t="n"/>
    </row>
    <row r="12">
      <c r="A12" s="182" t="n"/>
      <c r="B12" s="40" t="n"/>
      <c r="C12" s="40" t="n"/>
      <c r="D12" s="40" t="n"/>
      <c r="E12" s="40" t="n"/>
      <c r="F12" s="182" t="n"/>
      <c r="G12" s="40" t="n"/>
      <c r="H12" s="40" t="n"/>
      <c r="I12" s="40" t="n"/>
    </row>
    <row r="13">
      <c r="A13" s="180" t="inlineStr">
        <is>
          <t>F7</t>
        </is>
      </c>
      <c r="B13" s="181" t="inlineStr">
        <is>
          <t>G7</t>
        </is>
      </c>
      <c r="C13" s="181" t="inlineStr">
        <is>
          <t>S7</t>
        </is>
      </c>
      <c r="D13" s="181" t="inlineStr">
        <is>
          <t>T7</t>
        </is>
      </c>
      <c r="E13" s="40" t="n"/>
      <c r="F13" s="182" t="n"/>
      <c r="G13" s="40" t="n"/>
      <c r="H13" s="40" t="n"/>
      <c r="I13" s="40" t="n"/>
    </row>
    <row r="14">
      <c r="A14" s="40" t="n"/>
      <c r="B14" s="40" t="n"/>
      <c r="C14" s="40" t="n"/>
      <c r="D14" s="40" t="n"/>
      <c r="E14" s="40" t="n"/>
      <c r="F14" s="182" t="n"/>
      <c r="G14" s="40" t="n"/>
      <c r="H14" s="40" t="n"/>
      <c r="I14" s="40" t="n"/>
    </row>
    <row r="15">
      <c r="A15" s="181" t="inlineStr">
        <is>
          <t>F8</t>
        </is>
      </c>
      <c r="B15" s="181" t="inlineStr">
        <is>
          <t>G8</t>
        </is>
      </c>
      <c r="C15" s="181" t="inlineStr">
        <is>
          <t>S8</t>
        </is>
      </c>
      <c r="D15" s="181" t="inlineStr">
        <is>
          <t>T8</t>
        </is>
      </c>
      <c r="E15" s="40" t="n"/>
      <c r="F15" s="182" t="n"/>
      <c r="G15" s="40" t="n"/>
      <c r="H15" s="40" t="n"/>
      <c r="I15" s="40" t="n"/>
    </row>
    <row r="16">
      <c r="A16" s="40" t="n"/>
      <c r="B16" s="40" t="n"/>
      <c r="C16" s="40" t="n"/>
      <c r="D16" s="40" t="n"/>
      <c r="E16" s="40" t="n"/>
      <c r="F16" s="182" t="n"/>
      <c r="G16" s="40" t="n"/>
      <c r="H16" s="40" t="n"/>
      <c r="I16" s="40" t="n"/>
    </row>
    <row r="17">
      <c r="A17" s="181" t="inlineStr">
        <is>
          <t>F9</t>
        </is>
      </c>
      <c r="B17" s="181" t="inlineStr">
        <is>
          <t>G9</t>
        </is>
      </c>
      <c r="C17" s="181" t="inlineStr">
        <is>
          <t>S9</t>
        </is>
      </c>
      <c r="D17" s="181" t="inlineStr">
        <is>
          <t>T9</t>
        </is>
      </c>
      <c r="E17" s="40" t="n"/>
      <c r="F17" s="182" t="n"/>
      <c r="G17" s="40" t="n"/>
      <c r="H17" s="40" t="n"/>
      <c r="I17" s="40" t="n"/>
    </row>
    <row r="18">
      <c r="A18" s="40" t="n"/>
      <c r="B18" s="40" t="n"/>
      <c r="C18" s="40" t="n"/>
      <c r="D18" s="40" t="n"/>
      <c r="E18" s="40" t="n"/>
      <c r="F18" s="182" t="n"/>
      <c r="G18" s="40" t="n"/>
      <c r="H18" s="40" t="n"/>
      <c r="I18" s="40" t="n"/>
    </row>
    <row r="19">
      <c r="A19" s="181" t="inlineStr">
        <is>
          <t>F10</t>
        </is>
      </c>
      <c r="B19" s="181" t="inlineStr">
        <is>
          <t>G10</t>
        </is>
      </c>
      <c r="C19" s="181" t="inlineStr">
        <is>
          <t>S10</t>
        </is>
      </c>
      <c r="D19" s="181" t="inlineStr">
        <is>
          <t>T10</t>
        </is>
      </c>
      <c r="E19" s="40" t="n"/>
      <c r="F19" s="182" t="n"/>
      <c r="G19" s="40" t="n"/>
      <c r="H19" s="40" t="n"/>
      <c r="I19" s="40" t="n"/>
    </row>
    <row r="20">
      <c r="A20" s="40" t="n"/>
      <c r="B20" s="40" t="n"/>
      <c r="C20" s="40" t="n"/>
      <c r="D20" s="40" t="n"/>
      <c r="E20" s="40" t="n"/>
      <c r="F20" s="182" t="n"/>
      <c r="G20" s="40" t="n"/>
      <c r="H20" s="40" t="n"/>
      <c r="I20" s="40" t="n"/>
    </row>
    <row r="21">
      <c r="A21" s="181" t="inlineStr">
        <is>
          <t>F11</t>
        </is>
      </c>
      <c r="B21" s="181" t="inlineStr">
        <is>
          <t>G11</t>
        </is>
      </c>
      <c r="C21" s="181" t="inlineStr">
        <is>
          <t>S11</t>
        </is>
      </c>
      <c r="D21" s="181" t="inlineStr">
        <is>
          <t>T11</t>
        </is>
      </c>
      <c r="E21" s="40" t="n"/>
      <c r="F21" s="182" t="n"/>
      <c r="G21" s="40" t="n"/>
      <c r="H21" s="40" t="n"/>
      <c r="I21" s="40" t="n"/>
    </row>
    <row r="22">
      <c r="A22" s="40" t="n"/>
      <c r="B22" s="40" t="n"/>
      <c r="C22" s="40" t="n"/>
      <c r="D22" s="40" t="n"/>
      <c r="E22" s="40" t="n"/>
      <c r="F22" s="182" t="n"/>
      <c r="G22" s="40" t="n"/>
      <c r="H22" s="40" t="n"/>
      <c r="I22" s="40" t="n"/>
    </row>
    <row r="23">
      <c r="A23" s="181" t="inlineStr">
        <is>
          <t>F12</t>
        </is>
      </c>
      <c r="B23" s="181" t="inlineStr">
        <is>
          <t>G12</t>
        </is>
      </c>
      <c r="C23" s="181" t="inlineStr">
        <is>
          <t>S12</t>
        </is>
      </c>
      <c r="D23" s="181" t="inlineStr">
        <is>
          <t>T12</t>
        </is>
      </c>
      <c r="E23" s="40" t="n"/>
      <c r="F23" s="182" t="n"/>
      <c r="G23" s="40" t="n"/>
      <c r="H23" s="40" t="n"/>
      <c r="I23" s="40" t="n"/>
    </row>
    <row r="24">
      <c r="A24" s="40" t="n"/>
      <c r="B24" s="40" t="n"/>
      <c r="C24" s="40" t="n"/>
      <c r="D24" s="40" t="n"/>
      <c r="E24" s="40" t="n"/>
      <c r="F24" s="182" t="n"/>
      <c r="G24" s="40" t="n"/>
      <c r="H24" s="40" t="n"/>
      <c r="I24" s="40" t="n"/>
    </row>
    <row r="25">
      <c r="A25" s="181" t="inlineStr">
        <is>
          <t>F13</t>
        </is>
      </c>
      <c r="B25" s="181" t="inlineStr">
        <is>
          <t>G13</t>
        </is>
      </c>
      <c r="C25" s="181" t="inlineStr">
        <is>
          <t>S13</t>
        </is>
      </c>
      <c r="D25" s="181" t="inlineStr">
        <is>
          <t>T13</t>
        </is>
      </c>
      <c r="E25" s="40" t="n"/>
      <c r="F25" s="182" t="n"/>
      <c r="G25" s="40" t="n"/>
      <c r="H25" s="40" t="n"/>
      <c r="I25" s="40" t="n"/>
    </row>
    <row r="26">
      <c r="A26" s="40" t="n"/>
      <c r="B26" s="40" t="n"/>
      <c r="C26" s="40" t="n"/>
      <c r="D26" s="40" t="n"/>
      <c r="E26" s="40" t="n"/>
      <c r="F26" s="182" t="n"/>
      <c r="G26" s="40" t="n"/>
      <c r="H26" s="40" t="n"/>
      <c r="I26" s="40" t="n"/>
    </row>
    <row r="27">
      <c r="A27" s="181" t="inlineStr">
        <is>
          <t>F14</t>
        </is>
      </c>
      <c r="B27" s="181" t="inlineStr">
        <is>
          <t>G14</t>
        </is>
      </c>
      <c r="C27" s="181" t="inlineStr">
        <is>
          <t>S14</t>
        </is>
      </c>
      <c r="D27" s="181" t="inlineStr">
        <is>
          <t>T14</t>
        </is>
      </c>
      <c r="E27" s="40" t="n"/>
      <c r="F27" s="182" t="n"/>
      <c r="G27" s="40" t="n"/>
      <c r="H27" s="40" t="n"/>
      <c r="I27" s="40" t="n"/>
    </row>
    <row r="28">
      <c r="A28" s="40" t="n"/>
      <c r="B28" s="40" t="n"/>
      <c r="C28" s="40" t="n"/>
      <c r="D28" s="40" t="n"/>
      <c r="E28" s="40" t="n"/>
      <c r="F28" s="182" t="n"/>
      <c r="G28" s="40" t="n"/>
      <c r="H28" s="40" t="n"/>
      <c r="I28" s="40" t="n"/>
    </row>
    <row r="29">
      <c r="A29" s="181" t="inlineStr">
        <is>
          <t>F15</t>
        </is>
      </c>
      <c r="B29" s="181" t="inlineStr">
        <is>
          <t>G15</t>
        </is>
      </c>
      <c r="C29" s="181" t="inlineStr">
        <is>
          <t>S15</t>
        </is>
      </c>
      <c r="D29" s="181" t="inlineStr">
        <is>
          <t>T15</t>
        </is>
      </c>
      <c r="E29" s="40" t="n"/>
      <c r="F29" s="182" t="n"/>
      <c r="G29" s="40" t="n"/>
      <c r="H29" s="40" t="n"/>
      <c r="I29" s="40" t="n"/>
    </row>
    <row r="30">
      <c r="A30" s="40" t="n"/>
      <c r="B30" s="40" t="n"/>
      <c r="C30" s="40" t="n"/>
      <c r="D30" s="40" t="n"/>
      <c r="E30" s="40" t="n"/>
      <c r="F30" s="182" t="n"/>
      <c r="G30" s="40" t="n"/>
      <c r="H30" s="40" t="n"/>
      <c r="I30" s="40" t="n"/>
    </row>
    <row r="31">
      <c r="A31" s="181" t="inlineStr">
        <is>
          <t>F16</t>
        </is>
      </c>
      <c r="B31" s="181" t="inlineStr">
        <is>
          <t>G16</t>
        </is>
      </c>
      <c r="C31" s="181" t="inlineStr">
        <is>
          <t>S16</t>
        </is>
      </c>
      <c r="D31" s="181" t="inlineStr">
        <is>
          <t>T16</t>
        </is>
      </c>
      <c r="E31" s="40" t="n"/>
      <c r="F31" s="182" t="n"/>
      <c r="G31" s="40" t="n"/>
      <c r="H31" s="40" t="n"/>
      <c r="I31" s="40" t="n"/>
    </row>
    <row r="32">
      <c r="E32" s="40" t="n"/>
    </row>
    <row r="33">
      <c r="E33" s="40" t="n"/>
    </row>
    <row r="34">
      <c r="B34" s="40">
        <f>Expense!A1</f>
        <v/>
      </c>
      <c r="C34" s="40">
        <f>Income!A1</f>
        <v/>
      </c>
      <c r="E34" s="40" t="n"/>
    </row>
    <row r="35">
      <c r="A35" s="40" t="inlineStr">
        <is>
          <t>Apr</t>
        </is>
      </c>
      <c r="B35" s="46">
        <f>Expense!A2</f>
        <v/>
      </c>
      <c r="C35" s="40">
        <f>Income!A2</f>
        <v/>
      </c>
    </row>
    <row r="36">
      <c r="A36" s="40" t="inlineStr">
        <is>
          <t>May</t>
        </is>
      </c>
      <c r="B36" s="46">
        <f>Expense!A3</f>
        <v/>
      </c>
      <c r="C36" s="40">
        <f>Income!A3</f>
        <v/>
      </c>
    </row>
    <row r="37">
      <c r="A37" s="40" t="inlineStr">
        <is>
          <t>Jun</t>
        </is>
      </c>
      <c r="B37" s="46">
        <f>Expense!A4</f>
        <v/>
      </c>
      <c r="C37" s="40">
        <f>Income!A4</f>
        <v/>
      </c>
    </row>
    <row r="38">
      <c r="A38" s="40" t="inlineStr">
        <is>
          <t>Jul</t>
        </is>
      </c>
      <c r="B38" s="46">
        <f>Expense!A5</f>
        <v/>
      </c>
      <c r="C38" s="40">
        <f>Income!A5</f>
        <v/>
      </c>
    </row>
    <row r="39">
      <c r="A39" s="40" t="inlineStr">
        <is>
          <t>Aug</t>
        </is>
      </c>
      <c r="B39" s="46">
        <f>Expense!A6</f>
        <v/>
      </c>
      <c r="C39" s="40">
        <f>Income!A6</f>
        <v/>
      </c>
    </row>
    <row r="40">
      <c r="A40" s="40" t="inlineStr">
        <is>
          <t>Sep</t>
        </is>
      </c>
      <c r="B40" s="46">
        <f>Expense!A7</f>
        <v/>
      </c>
      <c r="C40" s="40">
        <f>Income!A7</f>
        <v/>
      </c>
    </row>
    <row r="41">
      <c r="A41" s="40" t="inlineStr">
        <is>
          <t>Oct</t>
        </is>
      </c>
      <c r="B41" s="46">
        <f>Expense!A8</f>
        <v/>
      </c>
      <c r="C41" s="40">
        <f>Income!A8</f>
        <v/>
      </c>
    </row>
    <row r="42">
      <c r="A42" s="40" t="inlineStr">
        <is>
          <t>Nov</t>
        </is>
      </c>
      <c r="B42" s="46">
        <f>Expense!A9</f>
        <v/>
      </c>
      <c r="C42" s="40">
        <f>Income!A9</f>
        <v/>
      </c>
    </row>
    <row r="43">
      <c r="A43" s="40" t="inlineStr">
        <is>
          <t>Dec</t>
        </is>
      </c>
      <c r="B43" s="46">
        <f>Expense!A10</f>
        <v/>
      </c>
      <c r="C43" s="40">
        <f>Income!A10</f>
        <v/>
      </c>
    </row>
    <row r="44">
      <c r="A44" s="40" t="inlineStr">
        <is>
          <t>Jan</t>
        </is>
      </c>
      <c r="B44" s="46">
        <f>Expense!A11</f>
        <v/>
      </c>
      <c r="C44" s="40">
        <f>Income!A11</f>
        <v/>
      </c>
    </row>
    <row r="45">
      <c r="A45" s="40" t="inlineStr">
        <is>
          <t>Feb</t>
        </is>
      </c>
      <c r="B45" s="46">
        <f>Expense!A12</f>
        <v/>
      </c>
      <c r="C45" s="40">
        <f>Income!A12</f>
        <v/>
      </c>
    </row>
    <row r="46">
      <c r="A46" s="40" t="inlineStr">
        <is>
          <t>Mar</t>
        </is>
      </c>
      <c r="B46" s="46">
        <f>Expense!A13</f>
        <v/>
      </c>
      <c r="C46" s="40">
        <f>Income!A13</f>
        <v/>
      </c>
    </row>
    <row r="47">
      <c r="B47" s="46">
        <f>Expense!A14</f>
        <v/>
      </c>
      <c r="C47" s="40">
        <f>Income!A14</f>
        <v/>
      </c>
    </row>
    <row r="48">
      <c r="B48" s="40">
        <f>Expense!A15</f>
        <v/>
      </c>
      <c r="C48" s="46">
        <f>Income!A15</f>
        <v/>
      </c>
    </row>
    <row r="49">
      <c r="B49" s="40">
        <f>Expense!A16</f>
        <v/>
      </c>
      <c r="C49" s="40">
        <f>Income!A16</f>
        <v/>
      </c>
    </row>
    <row r="50">
      <c r="B50" s="40">
        <f>Expense!A17</f>
        <v/>
      </c>
      <c r="C50" s="40">
        <f>Income!A17</f>
        <v/>
      </c>
    </row>
    <row r="51">
      <c r="B51" s="40">
        <f>Expense!A18</f>
        <v/>
      </c>
      <c r="C51" s="40">
        <f>Income!A18</f>
        <v/>
      </c>
    </row>
    <row r="52">
      <c r="A52" s="40" t="inlineStr">
        <is>
          <t>Apr</t>
        </is>
      </c>
      <c r="B52" s="46">
        <f>Expense!A19</f>
        <v/>
      </c>
      <c r="C52" s="40">
        <f>Income!A19</f>
        <v/>
      </c>
    </row>
    <row r="53">
      <c r="A53" s="40" t="inlineStr">
        <is>
          <t>May</t>
        </is>
      </c>
      <c r="B53" s="46">
        <f>Expense!A20</f>
        <v/>
      </c>
      <c r="C53" s="40">
        <f>Income!A20</f>
        <v/>
      </c>
    </row>
    <row r="54">
      <c r="A54" s="40" t="inlineStr">
        <is>
          <t>Jun</t>
        </is>
      </c>
      <c r="B54" s="46">
        <f>Expense!A21</f>
        <v/>
      </c>
      <c r="C54" s="40">
        <f>Income!A21</f>
        <v/>
      </c>
    </row>
    <row r="55">
      <c r="A55" s="40" t="inlineStr">
        <is>
          <t>Jul</t>
        </is>
      </c>
      <c r="B55" s="46">
        <f>Expense!A22</f>
        <v/>
      </c>
      <c r="C55" s="40">
        <f>Income!A22</f>
        <v/>
      </c>
    </row>
    <row r="56">
      <c r="A56" s="40" t="inlineStr">
        <is>
          <t>Aug</t>
        </is>
      </c>
      <c r="B56" s="46">
        <f>Expense!A23</f>
        <v/>
      </c>
      <c r="C56" s="40">
        <f>Income!A23</f>
        <v/>
      </c>
    </row>
    <row r="57">
      <c r="A57" s="40" t="inlineStr">
        <is>
          <t>Sep</t>
        </is>
      </c>
      <c r="B57" s="46">
        <f>Expense!A24</f>
        <v/>
      </c>
      <c r="C57" s="40">
        <f>Income!A24</f>
        <v/>
      </c>
    </row>
    <row r="58">
      <c r="A58" s="40" t="inlineStr">
        <is>
          <t>Oct</t>
        </is>
      </c>
      <c r="B58" s="46">
        <f>Expense!A25</f>
        <v/>
      </c>
      <c r="C58" s="40">
        <f>Income!A25</f>
        <v/>
      </c>
    </row>
    <row r="59">
      <c r="A59" s="40" t="inlineStr">
        <is>
          <t>Nov</t>
        </is>
      </c>
      <c r="B59" s="46">
        <f>Expense!A26</f>
        <v/>
      </c>
      <c r="C59" s="40">
        <f>Income!A26</f>
        <v/>
      </c>
    </row>
    <row r="60">
      <c r="A60" s="40" t="inlineStr">
        <is>
          <t>Dec</t>
        </is>
      </c>
      <c r="B60" s="46">
        <f>Expense!A27</f>
        <v/>
      </c>
      <c r="C60" s="40">
        <f>Income!A27</f>
        <v/>
      </c>
    </row>
    <row r="61">
      <c r="A61" s="40" t="inlineStr">
        <is>
          <t>Jan</t>
        </is>
      </c>
      <c r="B61" s="46">
        <f>Expense!A28</f>
        <v/>
      </c>
      <c r="C61" s="40">
        <f>Income!A28</f>
        <v/>
      </c>
    </row>
    <row r="62">
      <c r="A62" s="40" t="inlineStr">
        <is>
          <t>Feb</t>
        </is>
      </c>
      <c r="B62" s="46">
        <f>Expense!A29</f>
        <v/>
      </c>
      <c r="C62" s="40">
        <f>Income!A29</f>
        <v/>
      </c>
    </row>
    <row r="63">
      <c r="A63" s="40" t="inlineStr">
        <is>
          <t>Mar</t>
        </is>
      </c>
      <c r="B63" s="46">
        <f>Expense!A30</f>
        <v/>
      </c>
      <c r="C63" s="40">
        <f>Income!A30</f>
        <v/>
      </c>
    </row>
    <row r="64">
      <c r="B64" s="46">
        <f>Expense!A31</f>
        <v/>
      </c>
      <c r="C64" s="40">
        <f>Income!A31</f>
        <v/>
      </c>
    </row>
    <row r="65">
      <c r="B65" s="40">
        <f>Expense!A32</f>
        <v/>
      </c>
      <c r="C65" s="46">
        <f>Income!A32</f>
        <v/>
      </c>
    </row>
    <row r="66">
      <c r="B66" s="40">
        <f>Expense!A33</f>
        <v/>
      </c>
      <c r="C66" s="40">
        <f>Income!A33</f>
        <v/>
      </c>
    </row>
    <row r="67">
      <c r="B67" s="40">
        <f>Expense!A34</f>
        <v/>
      </c>
      <c r="C67" s="40">
        <f>Income!A34</f>
        <v/>
      </c>
    </row>
    <row r="68">
      <c r="B68" s="40">
        <f>Expense!A35</f>
        <v/>
      </c>
      <c r="C68" s="40">
        <f>Income!A35</f>
        <v/>
      </c>
    </row>
    <row r="69">
      <c r="A69" s="40" t="inlineStr">
        <is>
          <t>Apr</t>
        </is>
      </c>
      <c r="B69" s="46">
        <f>Expense!A36</f>
        <v/>
      </c>
      <c r="C69" s="40">
        <f>Income!A36</f>
        <v/>
      </c>
    </row>
    <row r="70">
      <c r="A70" s="40" t="inlineStr">
        <is>
          <t>May</t>
        </is>
      </c>
      <c r="B70" s="46">
        <f>Expense!A37</f>
        <v/>
      </c>
      <c r="C70" s="40">
        <f>Income!A37</f>
        <v/>
      </c>
    </row>
    <row r="71">
      <c r="A71" s="40" t="inlineStr">
        <is>
          <t>Jun</t>
        </is>
      </c>
      <c r="B71" s="46">
        <f>Expense!A38</f>
        <v/>
      </c>
      <c r="C71" s="40">
        <f>Income!A38</f>
        <v/>
      </c>
    </row>
    <row r="72">
      <c r="A72" s="40" t="inlineStr">
        <is>
          <t>Jul</t>
        </is>
      </c>
      <c r="B72" s="46">
        <f>Expense!A39</f>
        <v/>
      </c>
      <c r="C72" s="40">
        <f>Income!A39</f>
        <v/>
      </c>
    </row>
    <row r="73">
      <c r="A73" s="40" t="inlineStr">
        <is>
          <t>Aug</t>
        </is>
      </c>
      <c r="B73" s="46">
        <f>Expense!A40</f>
        <v/>
      </c>
      <c r="C73" s="40">
        <f>Income!A40</f>
        <v/>
      </c>
    </row>
    <row r="74">
      <c r="A74" s="40" t="inlineStr">
        <is>
          <t>Sep</t>
        </is>
      </c>
      <c r="B74" s="46">
        <f>Expense!A41</f>
        <v/>
      </c>
      <c r="C74" s="40">
        <f>Income!A41</f>
        <v/>
      </c>
    </row>
    <row r="75">
      <c r="A75" s="40" t="inlineStr">
        <is>
          <t>Oct</t>
        </is>
      </c>
      <c r="B75" s="46">
        <f>Expense!A42</f>
        <v/>
      </c>
      <c r="C75" s="40">
        <f>Income!A42</f>
        <v/>
      </c>
    </row>
    <row r="76">
      <c r="A76" s="40" t="inlineStr">
        <is>
          <t>Nov</t>
        </is>
      </c>
      <c r="B76" s="46">
        <f>Expense!A43</f>
        <v/>
      </c>
      <c r="C76" s="46">
        <f>Income!A43</f>
        <v/>
      </c>
    </row>
    <row r="77">
      <c r="A77" s="40" t="inlineStr">
        <is>
          <t>Dec</t>
        </is>
      </c>
      <c r="B77" s="46">
        <f>Expense!A44</f>
        <v/>
      </c>
      <c r="C77" s="40">
        <f>Income!A44</f>
        <v/>
      </c>
    </row>
    <row r="78">
      <c r="A78" s="40" t="inlineStr">
        <is>
          <t>Jan</t>
        </is>
      </c>
      <c r="B78" s="46">
        <f>Expense!A45</f>
        <v/>
      </c>
      <c r="C78" s="40">
        <f>Income!A45</f>
        <v/>
      </c>
    </row>
    <row r="79">
      <c r="A79" s="40" t="inlineStr">
        <is>
          <t>Feb</t>
        </is>
      </c>
      <c r="B79" s="46">
        <f>Expense!A46</f>
        <v/>
      </c>
      <c r="C79" s="40">
        <f>Income!A46</f>
        <v/>
      </c>
    </row>
    <row r="80">
      <c r="A80" s="40" t="inlineStr">
        <is>
          <t>Mar</t>
        </is>
      </c>
      <c r="B80" s="46">
        <f>Expense!A47</f>
        <v/>
      </c>
      <c r="C80" s="46">
        <f>Income!A47</f>
        <v/>
      </c>
    </row>
    <row r="81">
      <c r="B81" s="46">
        <f>Expense!A48</f>
        <v/>
      </c>
      <c r="C81" s="40">
        <f>Income!A48</f>
        <v/>
      </c>
    </row>
    <row r="82">
      <c r="B82" s="40">
        <f>Expense!A49</f>
        <v/>
      </c>
      <c r="C82" s="46">
        <f>Income!A49</f>
        <v/>
      </c>
    </row>
    <row r="83">
      <c r="B83" s="40">
        <f>Expense!A50</f>
        <v/>
      </c>
      <c r="C83" s="40">
        <f>Income!A50</f>
        <v/>
      </c>
    </row>
    <row r="84">
      <c r="B84" s="40">
        <f>Expense!A51</f>
        <v/>
      </c>
      <c r="C84" s="40">
        <f>Income!A51</f>
        <v/>
      </c>
    </row>
    <row r="85">
      <c r="B85" s="40">
        <f>Expense!A52</f>
        <v/>
      </c>
      <c r="C85" s="40">
        <f>Income!A52</f>
        <v/>
      </c>
    </row>
    <row r="86">
      <c r="A86" s="40" t="inlineStr">
        <is>
          <t>Apr</t>
        </is>
      </c>
      <c r="B86" s="46">
        <f>Expense!A53</f>
        <v/>
      </c>
      <c r="C86" s="40">
        <f>Income!A53</f>
        <v/>
      </c>
    </row>
    <row r="87">
      <c r="A87" s="40" t="inlineStr">
        <is>
          <t>May</t>
        </is>
      </c>
      <c r="B87" s="46">
        <f>Expense!A54</f>
        <v/>
      </c>
      <c r="C87" s="46">
        <f>Income!A54</f>
        <v/>
      </c>
    </row>
    <row r="88">
      <c r="A88" s="40" t="inlineStr">
        <is>
          <t>Jun</t>
        </is>
      </c>
      <c r="B88" s="46">
        <f>Expense!A55</f>
        <v/>
      </c>
      <c r="C88" s="46">
        <f>Income!A55</f>
        <v/>
      </c>
    </row>
    <row r="89">
      <c r="A89" s="40" t="inlineStr">
        <is>
          <t>Jul</t>
        </is>
      </c>
      <c r="B89" s="46">
        <f>Expense!A56</f>
        <v/>
      </c>
      <c r="C89" s="46">
        <f>Income!A56</f>
        <v/>
      </c>
    </row>
    <row r="90">
      <c r="A90" s="40" t="inlineStr">
        <is>
          <t>Aug</t>
        </is>
      </c>
      <c r="B90" s="46">
        <f>Expense!A57</f>
        <v/>
      </c>
      <c r="C90" s="46">
        <f>Income!A57</f>
        <v/>
      </c>
    </row>
    <row r="91">
      <c r="A91" s="40" t="inlineStr">
        <is>
          <t>Sep</t>
        </is>
      </c>
      <c r="B91" s="46">
        <f>Expense!A58</f>
        <v/>
      </c>
      <c r="C91" s="46">
        <f>Income!A58</f>
        <v/>
      </c>
    </row>
    <row r="92">
      <c r="A92" s="40" t="inlineStr">
        <is>
          <t>Oct</t>
        </is>
      </c>
      <c r="B92" s="46">
        <f>Expense!A59</f>
        <v/>
      </c>
      <c r="C92" s="46">
        <f>Income!A59</f>
        <v/>
      </c>
    </row>
    <row r="93">
      <c r="A93" s="40" t="inlineStr">
        <is>
          <t>Nov</t>
        </is>
      </c>
      <c r="B93" s="46">
        <f>Expense!A60</f>
        <v/>
      </c>
      <c r="C93" s="46">
        <f>Income!A60</f>
        <v/>
      </c>
    </row>
    <row r="94">
      <c r="A94" s="40" t="inlineStr">
        <is>
          <t>Dec</t>
        </is>
      </c>
      <c r="B94" s="46">
        <f>Expense!A61</f>
        <v/>
      </c>
      <c r="C94" s="46">
        <f>Income!A61</f>
        <v/>
      </c>
    </row>
    <row r="95">
      <c r="A95" s="40" t="inlineStr">
        <is>
          <t>Jan</t>
        </is>
      </c>
      <c r="B95" s="46">
        <f>Expense!A62</f>
        <v/>
      </c>
      <c r="C95" s="46">
        <f>Income!A62</f>
        <v/>
      </c>
    </row>
    <row r="96">
      <c r="A96" s="40" t="inlineStr">
        <is>
          <t>Feb</t>
        </is>
      </c>
      <c r="B96" s="46">
        <f>Expense!A63</f>
        <v/>
      </c>
      <c r="C96" s="46">
        <f>Income!A63</f>
        <v/>
      </c>
    </row>
    <row r="97">
      <c r="A97" s="40" t="inlineStr">
        <is>
          <t>Mar</t>
        </is>
      </c>
      <c r="B97" s="46">
        <f>Expense!A64</f>
        <v/>
      </c>
      <c r="C97" s="40">
        <f>Income!A64</f>
        <v/>
      </c>
    </row>
    <row r="98">
      <c r="B98" s="46">
        <f>Expense!A65</f>
        <v/>
      </c>
      <c r="C98" s="40">
        <f>Income!A65</f>
        <v/>
      </c>
    </row>
    <row r="99">
      <c r="B99" s="40">
        <f>Expense!A66</f>
        <v/>
      </c>
      <c r="C99" s="46">
        <f>Income!A66</f>
        <v/>
      </c>
    </row>
    <row r="100">
      <c r="B100" s="40">
        <f>Expense!A67</f>
        <v/>
      </c>
      <c r="C100" s="40">
        <f>Income!A67</f>
        <v/>
      </c>
    </row>
    <row r="101">
      <c r="B101" s="40">
        <f>Expense!A68</f>
        <v/>
      </c>
      <c r="C101" s="40">
        <f>Income!A68</f>
        <v/>
      </c>
    </row>
    <row r="102">
      <c r="B102" s="40">
        <f>Expense!A69</f>
        <v/>
      </c>
      <c r="C102" s="40">
        <f>Income!A69</f>
        <v/>
      </c>
    </row>
    <row r="103">
      <c r="A103" s="40" t="inlineStr">
        <is>
          <t>Apr</t>
        </is>
      </c>
      <c r="B103" s="46">
        <f>Expense!A70</f>
        <v/>
      </c>
      <c r="C103" s="40">
        <f>Income!A70</f>
        <v/>
      </c>
    </row>
    <row r="104">
      <c r="A104" s="40" t="inlineStr">
        <is>
          <t>May</t>
        </is>
      </c>
      <c r="B104" s="46">
        <f>Expense!A71</f>
        <v/>
      </c>
      <c r="C104" s="40">
        <f>Income!A71</f>
        <v/>
      </c>
    </row>
    <row r="105">
      <c r="A105" s="40" t="inlineStr">
        <is>
          <t>Jun</t>
        </is>
      </c>
      <c r="B105" s="46">
        <f>Expense!A72</f>
        <v/>
      </c>
      <c r="C105" s="40">
        <f>Income!A72</f>
        <v/>
      </c>
    </row>
    <row r="106">
      <c r="A106" s="40" t="inlineStr">
        <is>
          <t>Jul</t>
        </is>
      </c>
      <c r="B106" s="46">
        <f>Expense!A73</f>
        <v/>
      </c>
      <c r="C106" s="40">
        <f>Income!A73</f>
        <v/>
      </c>
    </row>
    <row r="107">
      <c r="A107" s="40" t="inlineStr">
        <is>
          <t>Aug</t>
        </is>
      </c>
      <c r="B107" s="46">
        <f>Expense!A74</f>
        <v/>
      </c>
      <c r="C107" s="40">
        <f>Income!A74</f>
        <v/>
      </c>
    </row>
    <row r="108">
      <c r="A108" s="40" t="inlineStr">
        <is>
          <t>Sep</t>
        </is>
      </c>
      <c r="B108" s="46">
        <f>Expense!A75</f>
        <v/>
      </c>
      <c r="C108" s="40">
        <f>Income!A75</f>
        <v/>
      </c>
    </row>
    <row r="109">
      <c r="A109" s="40" t="inlineStr">
        <is>
          <t>Oct</t>
        </is>
      </c>
      <c r="B109" s="46">
        <f>Expense!A76</f>
        <v/>
      </c>
      <c r="C109" s="46">
        <f>Income!A76</f>
        <v/>
      </c>
    </row>
    <row r="110">
      <c r="A110" s="40" t="inlineStr">
        <is>
          <t>Nov</t>
        </is>
      </c>
      <c r="B110" s="46">
        <f>Expense!A77</f>
        <v/>
      </c>
      <c r="C110" s="40">
        <f>Income!A77</f>
        <v/>
      </c>
    </row>
    <row r="111">
      <c r="A111" s="40" t="inlineStr">
        <is>
          <t>Dec</t>
        </is>
      </c>
      <c r="B111" s="46">
        <f>Expense!A78</f>
        <v/>
      </c>
      <c r="C111" s="40">
        <f>Income!A78</f>
        <v/>
      </c>
    </row>
    <row r="112">
      <c r="A112" s="40" t="inlineStr">
        <is>
          <t>Jan</t>
        </is>
      </c>
      <c r="B112" s="46">
        <f>Expense!A79</f>
        <v/>
      </c>
      <c r="C112" s="40">
        <f>Income!A79</f>
        <v/>
      </c>
    </row>
    <row r="113">
      <c r="A113" s="40" t="inlineStr">
        <is>
          <t>Feb</t>
        </is>
      </c>
      <c r="B113" s="46">
        <f>Expense!A80</f>
        <v/>
      </c>
      <c r="C113" s="40">
        <f>Income!A80</f>
        <v/>
      </c>
    </row>
    <row r="114">
      <c r="A114" s="40" t="inlineStr">
        <is>
          <t>Mar</t>
        </is>
      </c>
      <c r="B114" s="46">
        <f>Expense!A81</f>
        <v/>
      </c>
      <c r="C114" s="40">
        <f>Income!A81</f>
        <v/>
      </c>
    </row>
    <row r="115">
      <c r="B115" s="46">
        <f>Expense!A82</f>
        <v/>
      </c>
      <c r="C115" s="40">
        <f>Income!A82</f>
        <v/>
      </c>
    </row>
    <row r="116">
      <c r="B116" s="40">
        <f>Expense!A83</f>
        <v/>
      </c>
      <c r="C116" s="46">
        <f>Income!A83</f>
        <v/>
      </c>
    </row>
    <row r="117">
      <c r="B117" s="40">
        <f>Expense!A84</f>
        <v/>
      </c>
      <c r="C117" s="40">
        <f>Income!A84</f>
        <v/>
      </c>
    </row>
    <row r="118">
      <c r="B118" s="40">
        <f>Expense!A85</f>
        <v/>
      </c>
      <c r="C118" s="40">
        <f>Income!A85</f>
        <v/>
      </c>
    </row>
    <row r="119">
      <c r="B119" s="40">
        <f>Expense!A86</f>
        <v/>
      </c>
      <c r="C119" s="40">
        <f>Income!A86</f>
        <v/>
      </c>
    </row>
    <row r="120">
      <c r="A120" s="40" t="inlineStr">
        <is>
          <t>Apr</t>
        </is>
      </c>
      <c r="B120" s="46">
        <f>Expense!A87</f>
        <v/>
      </c>
      <c r="C120" s="40">
        <f>Income!A87</f>
        <v/>
      </c>
    </row>
    <row r="121">
      <c r="A121" s="40" t="inlineStr">
        <is>
          <t>May</t>
        </is>
      </c>
      <c r="B121" s="46">
        <f>Expense!A88</f>
        <v/>
      </c>
      <c r="C121" s="40">
        <f>Income!A88</f>
        <v/>
      </c>
    </row>
    <row r="122">
      <c r="A122" s="40" t="inlineStr">
        <is>
          <t>Jun</t>
        </is>
      </c>
      <c r="B122" s="46">
        <f>Expense!A89</f>
        <v/>
      </c>
      <c r="C122" s="40">
        <f>Income!A89</f>
        <v/>
      </c>
    </row>
    <row r="123">
      <c r="A123" s="40" t="inlineStr">
        <is>
          <t>Jul</t>
        </is>
      </c>
      <c r="B123" s="46">
        <f>Expense!A90</f>
        <v/>
      </c>
      <c r="C123" s="40">
        <f>Income!A90</f>
        <v/>
      </c>
    </row>
    <row r="124">
      <c r="A124" s="40" t="inlineStr">
        <is>
          <t>Aug</t>
        </is>
      </c>
      <c r="B124" s="46">
        <f>Expense!A91</f>
        <v/>
      </c>
      <c r="C124" s="40">
        <f>Income!A91</f>
        <v/>
      </c>
    </row>
    <row r="125">
      <c r="A125" s="40" t="inlineStr">
        <is>
          <t>Sep</t>
        </is>
      </c>
      <c r="B125" s="46">
        <f>Expense!A92</f>
        <v/>
      </c>
      <c r="C125" s="40">
        <f>Income!A92</f>
        <v/>
      </c>
    </row>
    <row r="126">
      <c r="A126" s="40" t="inlineStr">
        <is>
          <t>Oct</t>
        </is>
      </c>
      <c r="B126" s="46">
        <f>Expense!A93</f>
        <v/>
      </c>
      <c r="C126" s="46">
        <f>Income!A93</f>
        <v/>
      </c>
    </row>
    <row r="127">
      <c r="A127" s="40" t="inlineStr">
        <is>
          <t>Nov</t>
        </is>
      </c>
      <c r="B127" s="46">
        <f>Expense!A94</f>
        <v/>
      </c>
      <c r="C127" s="40">
        <f>Income!A94</f>
        <v/>
      </c>
    </row>
    <row r="128">
      <c r="A128" s="40" t="inlineStr">
        <is>
          <t>Dec</t>
        </is>
      </c>
      <c r="B128" s="46">
        <f>Expense!A95</f>
        <v/>
      </c>
      <c r="C128" s="40">
        <f>Income!A95</f>
        <v/>
      </c>
    </row>
    <row r="129">
      <c r="A129" s="40" t="inlineStr">
        <is>
          <t>Jan</t>
        </is>
      </c>
      <c r="B129" s="46">
        <f>Expense!A96</f>
        <v/>
      </c>
      <c r="C129" s="40">
        <f>Income!A96</f>
        <v/>
      </c>
    </row>
    <row r="130">
      <c r="A130" s="40" t="inlineStr">
        <is>
          <t>Feb</t>
        </is>
      </c>
      <c r="B130" s="46">
        <f>Expense!A97</f>
        <v/>
      </c>
      <c r="C130" s="40">
        <f>Income!A97</f>
        <v/>
      </c>
    </row>
    <row r="131">
      <c r="A131" s="40" t="inlineStr">
        <is>
          <t>Mar</t>
        </is>
      </c>
      <c r="B131" s="46">
        <f>Expense!A98</f>
        <v/>
      </c>
      <c r="C131" s="40">
        <f>Income!A98</f>
        <v/>
      </c>
    </row>
    <row r="132">
      <c r="B132" s="46">
        <f>Expense!A99</f>
        <v/>
      </c>
      <c r="C132" s="40">
        <f>Income!A99</f>
        <v/>
      </c>
    </row>
    <row r="133">
      <c r="B133" s="40">
        <f>Expense!A100</f>
        <v/>
      </c>
      <c r="C133" s="46">
        <f>Income!A100</f>
        <v/>
      </c>
    </row>
    <row r="134">
      <c r="B134" s="40">
        <f>Expense!A101</f>
        <v/>
      </c>
      <c r="C134" s="40">
        <f>Income!A101</f>
        <v/>
      </c>
    </row>
    <row r="135">
      <c r="B135" s="40">
        <f>Expense!A102</f>
        <v/>
      </c>
      <c r="C135" s="40">
        <f>Income!A102</f>
        <v/>
      </c>
    </row>
    <row r="136">
      <c r="B136" s="40">
        <f>Expense!A103</f>
        <v/>
      </c>
      <c r="C136" s="40">
        <f>Income!A103</f>
        <v/>
      </c>
    </row>
    <row r="137">
      <c r="A137" s="40" t="inlineStr">
        <is>
          <t>Apr</t>
        </is>
      </c>
      <c r="B137" s="46">
        <f>Expense!A104</f>
        <v/>
      </c>
      <c r="C137" s="40">
        <f>Income!A104</f>
        <v/>
      </c>
    </row>
    <row r="138">
      <c r="A138" s="40" t="inlineStr">
        <is>
          <t>May</t>
        </is>
      </c>
      <c r="B138" s="46">
        <f>Expense!A105</f>
        <v/>
      </c>
      <c r="C138" s="40">
        <f>Income!A105</f>
        <v/>
      </c>
    </row>
    <row r="139">
      <c r="A139" s="40" t="inlineStr">
        <is>
          <t>Jun</t>
        </is>
      </c>
      <c r="B139" s="46">
        <f>Expense!A106</f>
        <v/>
      </c>
      <c r="C139" s="40">
        <f>Income!A106</f>
        <v/>
      </c>
    </row>
    <row r="140">
      <c r="A140" s="40" t="inlineStr">
        <is>
          <t>Jul</t>
        </is>
      </c>
      <c r="B140" s="46">
        <f>Expense!A107</f>
        <v/>
      </c>
      <c r="C140" s="40">
        <f>Income!A107</f>
        <v/>
      </c>
    </row>
    <row r="141">
      <c r="A141" s="40" t="inlineStr">
        <is>
          <t>Aug</t>
        </is>
      </c>
      <c r="B141" s="46">
        <f>Expense!A108</f>
        <v/>
      </c>
      <c r="C141" s="40">
        <f>Income!A108</f>
        <v/>
      </c>
    </row>
    <row r="142">
      <c r="A142" s="40" t="inlineStr">
        <is>
          <t>Sep</t>
        </is>
      </c>
      <c r="B142" s="46">
        <f>Expense!A109</f>
        <v/>
      </c>
      <c r="C142" s="40">
        <f>Income!A109</f>
        <v/>
      </c>
    </row>
    <row r="143">
      <c r="A143" s="40" t="inlineStr">
        <is>
          <t>Oct</t>
        </is>
      </c>
      <c r="B143" s="46">
        <f>Expense!A110</f>
        <v/>
      </c>
      <c r="C143" s="40">
        <f>Income!A110</f>
        <v/>
      </c>
    </row>
    <row r="144">
      <c r="A144" s="40" t="inlineStr">
        <is>
          <t>Nov</t>
        </is>
      </c>
      <c r="B144" s="46">
        <f>Expense!A111</f>
        <v/>
      </c>
      <c r="C144" s="46">
        <f>Income!A111</f>
        <v/>
      </c>
    </row>
    <row r="145">
      <c r="A145" s="40" t="inlineStr">
        <is>
          <t>Dec</t>
        </is>
      </c>
      <c r="B145" s="46">
        <f>Expense!A112</f>
        <v/>
      </c>
      <c r="C145" s="40">
        <f>Income!A112</f>
        <v/>
      </c>
    </row>
    <row r="146">
      <c r="A146" s="40" t="inlineStr">
        <is>
          <t>Jan</t>
        </is>
      </c>
      <c r="B146" s="46">
        <f>Expense!A113</f>
        <v/>
      </c>
      <c r="C146" s="40">
        <f>Income!A113</f>
        <v/>
      </c>
    </row>
    <row r="147">
      <c r="A147" s="40" t="inlineStr">
        <is>
          <t>Feb</t>
        </is>
      </c>
      <c r="B147" s="46">
        <f>Expense!A114</f>
        <v/>
      </c>
      <c r="C147" s="40">
        <f>Income!A114</f>
        <v/>
      </c>
    </row>
    <row r="148">
      <c r="A148" s="40" t="inlineStr">
        <is>
          <t>Mar</t>
        </is>
      </c>
      <c r="B148" s="46">
        <f>Expense!A115</f>
        <v/>
      </c>
      <c r="C148" s="40">
        <f>Income!A115</f>
        <v/>
      </c>
    </row>
    <row r="149">
      <c r="B149" s="46">
        <f>Expense!A116</f>
        <v/>
      </c>
      <c r="C149" s="40">
        <f>Income!A116</f>
        <v/>
      </c>
    </row>
    <row r="150">
      <c r="B150" s="40">
        <f>Expense!A117</f>
        <v/>
      </c>
      <c r="C150" s="46">
        <f>Income!A117</f>
        <v/>
      </c>
    </row>
    <row r="151">
      <c r="B151" s="40">
        <f>Expense!A118</f>
        <v/>
      </c>
      <c r="C151" s="40">
        <f>Income!A118</f>
        <v/>
      </c>
    </row>
    <row r="152">
      <c r="B152" s="40">
        <f>Expense!A119</f>
        <v/>
      </c>
      <c r="C152" s="40">
        <f>Income!A119</f>
        <v/>
      </c>
    </row>
    <row r="153">
      <c r="B153" s="40">
        <f>Expense!A120</f>
        <v/>
      </c>
      <c r="C153" s="40">
        <f>Income!A120</f>
        <v/>
      </c>
    </row>
    <row r="154">
      <c r="A154" s="40" t="inlineStr">
        <is>
          <t>Apr</t>
        </is>
      </c>
      <c r="B154" s="46">
        <f>Expense!A121</f>
        <v/>
      </c>
      <c r="C154" s="40">
        <f>Income!A121</f>
        <v/>
      </c>
    </row>
    <row r="155">
      <c r="A155" s="40" t="inlineStr">
        <is>
          <t>May</t>
        </is>
      </c>
      <c r="B155" s="46">
        <f>Expense!A122</f>
        <v/>
      </c>
      <c r="C155" s="46">
        <f>Income!A122</f>
        <v/>
      </c>
    </row>
    <row r="156">
      <c r="A156" s="40" t="inlineStr">
        <is>
          <t>Jun</t>
        </is>
      </c>
      <c r="B156" s="46">
        <f>Expense!A123</f>
        <v/>
      </c>
      <c r="C156" s="46">
        <f>Income!A123</f>
        <v/>
      </c>
    </row>
    <row r="157">
      <c r="A157" s="40" t="inlineStr">
        <is>
          <t>Jul</t>
        </is>
      </c>
      <c r="B157" s="46">
        <f>Expense!A124</f>
        <v/>
      </c>
      <c r="C157" s="46">
        <f>Income!A124</f>
        <v/>
      </c>
    </row>
    <row r="158">
      <c r="A158" s="40" t="inlineStr">
        <is>
          <t>Aug</t>
        </is>
      </c>
      <c r="B158" s="46">
        <f>Expense!A125</f>
        <v/>
      </c>
      <c r="C158" s="46">
        <f>Income!A125</f>
        <v/>
      </c>
    </row>
    <row r="159">
      <c r="A159" s="40" t="inlineStr">
        <is>
          <t>Sep</t>
        </is>
      </c>
      <c r="B159" s="46">
        <f>Expense!A126</f>
        <v/>
      </c>
      <c r="C159" s="46">
        <f>Income!A126</f>
        <v/>
      </c>
    </row>
    <row r="160">
      <c r="A160" s="40" t="inlineStr">
        <is>
          <t>Oct</t>
        </is>
      </c>
      <c r="B160" s="46">
        <f>Expense!A127</f>
        <v/>
      </c>
      <c r="C160" s="46">
        <f>Income!A127</f>
        <v/>
      </c>
    </row>
    <row r="161">
      <c r="A161" s="40" t="inlineStr">
        <is>
          <t>Nov</t>
        </is>
      </c>
      <c r="B161" s="46">
        <f>Expense!A128</f>
        <v/>
      </c>
      <c r="C161" s="40">
        <f>Income!A128</f>
        <v/>
      </c>
    </row>
    <row r="162">
      <c r="A162" s="40" t="inlineStr">
        <is>
          <t>Dec</t>
        </is>
      </c>
      <c r="B162" s="46">
        <f>Expense!A129</f>
        <v/>
      </c>
      <c r="C162" s="46">
        <f>Income!A129</f>
        <v/>
      </c>
    </row>
    <row r="163">
      <c r="A163" s="40" t="inlineStr">
        <is>
          <t>Jan</t>
        </is>
      </c>
      <c r="B163" s="46">
        <f>Expense!A130</f>
        <v/>
      </c>
      <c r="C163" s="46">
        <f>Income!A130</f>
        <v/>
      </c>
    </row>
    <row r="164">
      <c r="A164" s="40" t="inlineStr">
        <is>
          <t>Feb</t>
        </is>
      </c>
      <c r="B164" s="46">
        <f>Expense!A131</f>
        <v/>
      </c>
      <c r="C164" s="46">
        <f>Income!A131</f>
        <v/>
      </c>
    </row>
    <row r="165">
      <c r="A165" s="40" t="inlineStr">
        <is>
          <t>Mar</t>
        </is>
      </c>
      <c r="B165" s="46">
        <f>Expense!A132</f>
        <v/>
      </c>
      <c r="C165" s="40">
        <f>Income!A132</f>
        <v/>
      </c>
    </row>
    <row r="166">
      <c r="B166" s="46">
        <f>Expense!A133</f>
        <v/>
      </c>
      <c r="C166" s="40">
        <f>Income!A133</f>
        <v/>
      </c>
    </row>
    <row r="167">
      <c r="B167" s="40">
        <f>Expense!A134</f>
        <v/>
      </c>
      <c r="C167" s="46">
        <f>Income!A134</f>
        <v/>
      </c>
    </row>
    <row r="168">
      <c r="B168" s="40">
        <f>Expense!A135</f>
        <v/>
      </c>
      <c r="C168" s="40">
        <f>Income!A135</f>
        <v/>
      </c>
    </row>
    <row r="169">
      <c r="B169" s="40">
        <f>Expense!A136</f>
        <v/>
      </c>
      <c r="C169" s="40">
        <f>Income!A136</f>
        <v/>
      </c>
    </row>
    <row r="170">
      <c r="B170" s="40">
        <f>Expense!A137</f>
        <v/>
      </c>
      <c r="C170" s="40">
        <f>Income!A137</f>
        <v/>
      </c>
    </row>
    <row r="171">
      <c r="A171" s="40" t="inlineStr">
        <is>
          <t>Apr</t>
        </is>
      </c>
      <c r="B171" s="46">
        <f>Expense!A138</f>
        <v/>
      </c>
      <c r="C171" s="40">
        <f>Income!A138</f>
        <v/>
      </c>
    </row>
    <row r="172">
      <c r="A172" s="40" t="inlineStr">
        <is>
          <t>May</t>
        </is>
      </c>
      <c r="B172" s="46">
        <f>Expense!A139</f>
        <v/>
      </c>
      <c r="C172" s="46">
        <f>Income!A139</f>
        <v/>
      </c>
    </row>
    <row r="173">
      <c r="A173" s="40" t="inlineStr">
        <is>
          <t>Jun</t>
        </is>
      </c>
      <c r="B173" s="46">
        <f>Expense!A140</f>
        <v/>
      </c>
      <c r="C173" s="46">
        <f>Income!A140</f>
        <v/>
      </c>
    </row>
    <row r="174">
      <c r="A174" s="40" t="inlineStr">
        <is>
          <t>Jul</t>
        </is>
      </c>
      <c r="B174" s="46">
        <f>Expense!A141</f>
        <v/>
      </c>
      <c r="C174" s="46">
        <f>Income!A141</f>
        <v/>
      </c>
    </row>
    <row r="175">
      <c r="A175" s="40" t="inlineStr">
        <is>
          <t>Aug</t>
        </is>
      </c>
      <c r="B175" s="46">
        <f>Expense!A142</f>
        <v/>
      </c>
      <c r="C175" s="46">
        <f>Income!A142</f>
        <v/>
      </c>
    </row>
    <row r="176">
      <c r="A176" s="40" t="inlineStr">
        <is>
          <t>Sep</t>
        </is>
      </c>
      <c r="B176" s="46">
        <f>Expense!A143</f>
        <v/>
      </c>
      <c r="C176" s="46">
        <f>Income!A143</f>
        <v/>
      </c>
    </row>
    <row r="177">
      <c r="A177" s="40" t="inlineStr">
        <is>
          <t>Oct</t>
        </is>
      </c>
      <c r="B177" s="46">
        <f>Expense!A144</f>
        <v/>
      </c>
      <c r="C177" s="46">
        <f>Income!A144</f>
        <v/>
      </c>
    </row>
    <row r="178">
      <c r="A178" s="40" t="inlineStr">
        <is>
          <t>Nov</t>
        </is>
      </c>
      <c r="B178" s="46">
        <f>Expense!A145</f>
        <v/>
      </c>
      <c r="C178" s="40">
        <f>Income!A145</f>
        <v/>
      </c>
    </row>
    <row r="179">
      <c r="A179" s="40" t="inlineStr">
        <is>
          <t>Dec</t>
        </is>
      </c>
      <c r="B179" s="46">
        <f>Expense!A146</f>
        <v/>
      </c>
      <c r="C179" s="46">
        <f>Income!A146</f>
        <v/>
      </c>
    </row>
    <row r="180">
      <c r="A180" s="40" t="inlineStr">
        <is>
          <t>Jan</t>
        </is>
      </c>
      <c r="B180" s="46">
        <f>Expense!A147</f>
        <v/>
      </c>
      <c r="C180" s="46">
        <f>Income!A147</f>
        <v/>
      </c>
    </row>
    <row r="181">
      <c r="A181" s="40" t="inlineStr">
        <is>
          <t>Feb</t>
        </is>
      </c>
      <c r="B181" s="46">
        <f>Expense!A148</f>
        <v/>
      </c>
      <c r="C181" s="46">
        <f>Income!A148</f>
        <v/>
      </c>
    </row>
    <row r="182">
      <c r="A182" s="40" t="inlineStr">
        <is>
          <t>Mar</t>
        </is>
      </c>
      <c r="B182" s="46">
        <f>Expense!A149</f>
        <v/>
      </c>
      <c r="C182" s="40">
        <f>Income!A149</f>
        <v/>
      </c>
    </row>
    <row r="183">
      <c r="B183" s="46">
        <f>Expense!A150</f>
        <v/>
      </c>
      <c r="C183" s="40">
        <f>Income!A150</f>
        <v/>
      </c>
    </row>
    <row r="184">
      <c r="B184" s="40">
        <f>Expense!A151</f>
        <v/>
      </c>
      <c r="C184" s="46">
        <f>Income!A151</f>
        <v/>
      </c>
    </row>
    <row r="185">
      <c r="B185" s="40">
        <f>Expense!A152</f>
        <v/>
      </c>
      <c r="C185" s="40">
        <f>Income!A152</f>
        <v/>
      </c>
    </row>
    <row r="186">
      <c r="B186" s="40">
        <f>Expense!A153</f>
        <v/>
      </c>
      <c r="C186" s="40">
        <f>Income!A153</f>
        <v/>
      </c>
    </row>
    <row r="187">
      <c r="B187" s="40">
        <f>Expense!A154</f>
        <v/>
      </c>
      <c r="C187" s="40">
        <f>Income!A154</f>
        <v/>
      </c>
    </row>
    <row r="188">
      <c r="A188" s="40" t="inlineStr">
        <is>
          <t>Apr</t>
        </is>
      </c>
      <c r="B188" s="46">
        <f>Expense!A155</f>
        <v/>
      </c>
      <c r="C188" s="40">
        <f>Income!A155</f>
        <v/>
      </c>
    </row>
    <row r="189">
      <c r="A189" s="40" t="inlineStr">
        <is>
          <t>May</t>
        </is>
      </c>
      <c r="B189" s="46">
        <f>Expense!A156</f>
        <v/>
      </c>
      <c r="C189" s="46">
        <f>Income!A156</f>
        <v/>
      </c>
    </row>
    <row r="190">
      <c r="A190" s="40" t="inlineStr">
        <is>
          <t>Jun</t>
        </is>
      </c>
      <c r="B190" s="46">
        <f>Expense!A157</f>
        <v/>
      </c>
      <c r="C190" s="46">
        <f>Income!A157</f>
        <v/>
      </c>
    </row>
    <row r="191">
      <c r="A191" s="40" t="inlineStr">
        <is>
          <t>Jul</t>
        </is>
      </c>
      <c r="B191" s="46">
        <f>Expense!A158</f>
        <v/>
      </c>
      <c r="C191" s="46">
        <f>Income!A158</f>
        <v/>
      </c>
    </row>
    <row r="192">
      <c r="A192" s="40" t="inlineStr">
        <is>
          <t>Aug</t>
        </is>
      </c>
      <c r="B192" s="46">
        <f>Expense!A159</f>
        <v/>
      </c>
      <c r="C192" s="46">
        <f>Income!A159</f>
        <v/>
      </c>
    </row>
    <row r="193">
      <c r="A193" s="40" t="inlineStr">
        <is>
          <t>Sep</t>
        </is>
      </c>
      <c r="B193" s="46">
        <f>Expense!A160</f>
        <v/>
      </c>
      <c r="C193" s="46">
        <f>Income!A160</f>
        <v/>
      </c>
    </row>
    <row r="194">
      <c r="A194" s="40" t="inlineStr">
        <is>
          <t>Oct</t>
        </is>
      </c>
      <c r="B194" s="46">
        <f>Expense!A161</f>
        <v/>
      </c>
      <c r="C194" s="46">
        <f>Income!A161</f>
        <v/>
      </c>
    </row>
    <row r="195">
      <c r="A195" s="40" t="inlineStr">
        <is>
          <t>Nov</t>
        </is>
      </c>
      <c r="B195" s="46">
        <f>Expense!A162</f>
        <v/>
      </c>
      <c r="C195" s="40">
        <f>Income!A162</f>
        <v/>
      </c>
    </row>
    <row r="196">
      <c r="A196" s="40" t="inlineStr">
        <is>
          <t>Dec</t>
        </is>
      </c>
      <c r="B196" s="46">
        <f>Expense!A163</f>
        <v/>
      </c>
      <c r="C196" s="46">
        <f>Income!A163</f>
        <v/>
      </c>
    </row>
    <row r="197">
      <c r="A197" s="40" t="inlineStr">
        <is>
          <t>Jan</t>
        </is>
      </c>
      <c r="B197" s="46">
        <f>Expense!A164</f>
        <v/>
      </c>
      <c r="C197" s="46">
        <f>Income!A164</f>
        <v/>
      </c>
    </row>
    <row r="198">
      <c r="A198" s="40" t="inlineStr">
        <is>
          <t>Feb</t>
        </is>
      </c>
      <c r="B198" s="46">
        <f>Expense!A165</f>
        <v/>
      </c>
      <c r="C198" s="40">
        <f>Income!A165</f>
        <v/>
      </c>
    </row>
    <row r="199">
      <c r="A199" s="40" t="inlineStr">
        <is>
          <t>Mar</t>
        </is>
      </c>
      <c r="B199" s="46">
        <f>Expense!A166</f>
        <v/>
      </c>
      <c r="C199" s="46">
        <f>Income!A166</f>
        <v/>
      </c>
    </row>
    <row r="200">
      <c r="B200" s="46">
        <f>Expense!A167</f>
        <v/>
      </c>
      <c r="C200" s="40">
        <f>Income!A167</f>
        <v/>
      </c>
    </row>
    <row r="201">
      <c r="B201" s="40">
        <f>Expense!A168</f>
        <v/>
      </c>
      <c r="C201" s="46">
        <f>Income!A168</f>
        <v/>
      </c>
    </row>
    <row r="202">
      <c r="B202" s="40">
        <f>Expense!A169</f>
        <v/>
      </c>
      <c r="C202" s="40">
        <f>Income!A169</f>
        <v/>
      </c>
    </row>
    <row r="203">
      <c r="B203" s="40">
        <f>Expense!A170</f>
        <v/>
      </c>
      <c r="C203" s="40">
        <f>Income!A170</f>
        <v/>
      </c>
    </row>
    <row r="204">
      <c r="B204" s="40">
        <f>Expense!A171</f>
        <v/>
      </c>
      <c r="C204" s="40">
        <f>Income!A171</f>
        <v/>
      </c>
    </row>
    <row r="205">
      <c r="A205" s="40" t="inlineStr">
        <is>
          <t>Apr</t>
        </is>
      </c>
      <c r="B205" s="46">
        <f>Expense!A172</f>
        <v/>
      </c>
      <c r="C205" s="40">
        <f>Income!A172</f>
        <v/>
      </c>
    </row>
    <row r="206">
      <c r="A206" s="40" t="inlineStr">
        <is>
          <t>May</t>
        </is>
      </c>
      <c r="B206" s="46">
        <f>Expense!A173</f>
        <v/>
      </c>
      <c r="C206" s="46">
        <f>Income!A173</f>
        <v/>
      </c>
    </row>
    <row r="207">
      <c r="A207" s="40" t="inlineStr">
        <is>
          <t>Jun</t>
        </is>
      </c>
      <c r="B207" s="46">
        <f>Expense!A174</f>
        <v/>
      </c>
      <c r="C207" s="46">
        <f>Income!A174</f>
        <v/>
      </c>
    </row>
    <row r="208">
      <c r="A208" s="40" t="inlineStr">
        <is>
          <t>Jul</t>
        </is>
      </c>
      <c r="B208" s="46">
        <f>Expense!A175</f>
        <v/>
      </c>
      <c r="C208" s="46">
        <f>Income!A175</f>
        <v/>
      </c>
    </row>
    <row r="209">
      <c r="A209" s="40" t="inlineStr">
        <is>
          <t>Aug</t>
        </is>
      </c>
      <c r="B209" s="46">
        <f>Expense!A176</f>
        <v/>
      </c>
      <c r="C209" s="46">
        <f>Income!A176</f>
        <v/>
      </c>
    </row>
    <row r="210">
      <c r="A210" s="40" t="inlineStr">
        <is>
          <t>Sep</t>
        </is>
      </c>
      <c r="B210" s="46">
        <f>Expense!A177</f>
        <v/>
      </c>
      <c r="C210" s="46">
        <f>Income!A177</f>
        <v/>
      </c>
    </row>
    <row r="211">
      <c r="A211" s="40" t="inlineStr">
        <is>
          <t>Oct</t>
        </is>
      </c>
      <c r="B211" s="46">
        <f>Expense!A178</f>
        <v/>
      </c>
      <c r="C211" s="46">
        <f>Income!A178</f>
        <v/>
      </c>
    </row>
    <row r="212">
      <c r="A212" s="40" t="inlineStr">
        <is>
          <t>Nov</t>
        </is>
      </c>
      <c r="B212" s="46">
        <f>Expense!A179</f>
        <v/>
      </c>
      <c r="C212" s="46">
        <f>Income!A179</f>
        <v/>
      </c>
    </row>
    <row r="213">
      <c r="A213" s="40" t="inlineStr">
        <is>
          <t>Dec</t>
        </is>
      </c>
      <c r="B213" s="46">
        <f>Expense!A180</f>
        <v/>
      </c>
      <c r="C213" s="46">
        <f>Income!A180</f>
        <v/>
      </c>
    </row>
    <row r="214">
      <c r="A214" s="40" t="inlineStr">
        <is>
          <t>Jan</t>
        </is>
      </c>
      <c r="B214" s="46">
        <f>Expense!A181</f>
        <v/>
      </c>
      <c r="C214" s="46">
        <f>Income!A181</f>
        <v/>
      </c>
    </row>
    <row r="215">
      <c r="A215" s="40" t="inlineStr">
        <is>
          <t>Feb</t>
        </is>
      </c>
      <c r="B215" s="46">
        <f>Expense!A182</f>
        <v/>
      </c>
      <c r="C215" s="46">
        <f>Income!A182</f>
        <v/>
      </c>
    </row>
    <row r="216">
      <c r="A216" s="40" t="inlineStr">
        <is>
          <t>Mar</t>
        </is>
      </c>
      <c r="B216" s="46">
        <f>Expense!A183</f>
        <v/>
      </c>
      <c r="C216" s="40">
        <f>Income!A183</f>
        <v/>
      </c>
    </row>
    <row r="217">
      <c r="B217" s="46">
        <f>Expense!A184</f>
        <v/>
      </c>
      <c r="C217" s="40">
        <f>Income!A184</f>
        <v/>
      </c>
    </row>
    <row r="218">
      <c r="B218" s="40">
        <f>Expense!A185</f>
        <v/>
      </c>
      <c r="C218" s="46">
        <f>Income!A185</f>
        <v/>
      </c>
    </row>
    <row r="219">
      <c r="B219" s="40">
        <f>Expense!A186</f>
        <v/>
      </c>
      <c r="C219" s="40">
        <f>Income!A186</f>
        <v/>
      </c>
    </row>
    <row r="220">
      <c r="B220" s="40">
        <f>Expense!A187</f>
        <v/>
      </c>
      <c r="C220" s="40">
        <f>Income!A187</f>
        <v/>
      </c>
    </row>
    <row r="221">
      <c r="B221" s="40">
        <f>Expense!A188</f>
        <v/>
      </c>
      <c r="C221" s="40">
        <f>Income!A188</f>
        <v/>
      </c>
    </row>
    <row r="222">
      <c r="A222" s="40" t="inlineStr">
        <is>
          <t>Apr</t>
        </is>
      </c>
      <c r="B222" s="46">
        <f>Expense!A189</f>
        <v/>
      </c>
      <c r="C222" s="40">
        <f>Income!A189</f>
        <v/>
      </c>
    </row>
    <row r="223">
      <c r="A223" s="40" t="inlineStr">
        <is>
          <t>May</t>
        </is>
      </c>
      <c r="B223" s="46">
        <f>Expense!A190</f>
        <v/>
      </c>
      <c r="C223" s="46">
        <f>Income!A190</f>
        <v/>
      </c>
    </row>
    <row r="224">
      <c r="A224" s="40" t="inlineStr">
        <is>
          <t>Jun</t>
        </is>
      </c>
      <c r="B224" s="46">
        <f>Expense!A191</f>
        <v/>
      </c>
      <c r="C224" s="46">
        <f>Income!A191</f>
        <v/>
      </c>
    </row>
    <row r="225">
      <c r="A225" s="40" t="inlineStr">
        <is>
          <t>Jul</t>
        </is>
      </c>
      <c r="B225" s="46">
        <f>Expense!A192</f>
        <v/>
      </c>
      <c r="C225" s="46">
        <f>Income!A192</f>
        <v/>
      </c>
    </row>
    <row r="226">
      <c r="A226" s="40" t="inlineStr">
        <is>
          <t>Aug</t>
        </is>
      </c>
      <c r="B226" s="46">
        <f>Expense!A193</f>
        <v/>
      </c>
      <c r="C226" s="46">
        <f>Income!A193</f>
        <v/>
      </c>
    </row>
    <row r="227">
      <c r="A227" s="40" t="inlineStr">
        <is>
          <t>Sep</t>
        </is>
      </c>
      <c r="B227" s="46">
        <f>Expense!A194</f>
        <v/>
      </c>
      <c r="C227" s="46">
        <f>Income!A194</f>
        <v/>
      </c>
    </row>
    <row r="228">
      <c r="A228" s="40" t="inlineStr">
        <is>
          <t>Oct</t>
        </is>
      </c>
      <c r="B228" s="46">
        <f>Expense!A195</f>
        <v/>
      </c>
      <c r="C228" s="46">
        <f>Income!A195</f>
        <v/>
      </c>
    </row>
    <row r="229">
      <c r="A229" s="40" t="inlineStr">
        <is>
          <t>Nov</t>
        </is>
      </c>
      <c r="B229" s="46">
        <f>Expense!A196</f>
        <v/>
      </c>
      <c r="C229" s="46">
        <f>Income!A196</f>
        <v/>
      </c>
    </row>
    <row r="230">
      <c r="A230" s="40" t="inlineStr">
        <is>
          <t>Dec</t>
        </is>
      </c>
      <c r="B230" s="46">
        <f>Expense!A197</f>
        <v/>
      </c>
      <c r="C230" s="46">
        <f>Income!A197</f>
        <v/>
      </c>
    </row>
    <row r="231">
      <c r="A231" s="40" t="inlineStr">
        <is>
          <t>Jan</t>
        </is>
      </c>
      <c r="B231" s="46">
        <f>Expense!A198</f>
        <v/>
      </c>
      <c r="C231" s="46">
        <f>Income!A198</f>
        <v/>
      </c>
    </row>
    <row r="232">
      <c r="A232" s="40" t="inlineStr">
        <is>
          <t>Feb</t>
        </is>
      </c>
      <c r="B232" s="46">
        <f>Expense!A199</f>
        <v/>
      </c>
      <c r="C232" s="46">
        <f>Income!A199</f>
        <v/>
      </c>
    </row>
    <row r="233">
      <c r="A233" s="40" t="inlineStr">
        <is>
          <t>Mar</t>
        </is>
      </c>
      <c r="B233" s="46">
        <f>Expense!A200</f>
        <v/>
      </c>
      <c r="C233" s="40">
        <f>Income!A200</f>
        <v/>
      </c>
    </row>
    <row r="234">
      <c r="B234" s="46">
        <f>Expense!A201</f>
        <v/>
      </c>
      <c r="C234" s="40">
        <f>Income!A201</f>
        <v/>
      </c>
    </row>
    <row r="235">
      <c r="B235" s="40">
        <f>Expense!A202</f>
        <v/>
      </c>
      <c r="C235" s="46">
        <f>Income!A202</f>
        <v/>
      </c>
    </row>
    <row r="236">
      <c r="B236" s="40">
        <f>Expense!A203</f>
        <v/>
      </c>
      <c r="C236" s="40">
        <f>Income!A203</f>
        <v/>
      </c>
    </row>
    <row r="237">
      <c r="B237" s="40">
        <f>Expense!A204</f>
        <v/>
      </c>
      <c r="C237" s="40">
        <f>Income!A204</f>
        <v/>
      </c>
    </row>
    <row r="238">
      <c r="B238" s="40">
        <f>Expense!A205</f>
        <v/>
      </c>
      <c r="C238" s="40">
        <f>Income!A205</f>
        <v/>
      </c>
    </row>
    <row r="239">
      <c r="A239" s="40" t="inlineStr">
        <is>
          <t>Apr</t>
        </is>
      </c>
      <c r="B239" s="46">
        <f>Expense!A206</f>
        <v/>
      </c>
      <c r="C239" s="40">
        <f>Income!A206</f>
        <v/>
      </c>
    </row>
    <row r="240">
      <c r="A240" s="40" t="inlineStr">
        <is>
          <t>May</t>
        </is>
      </c>
      <c r="B240" s="46">
        <f>Expense!A207</f>
        <v/>
      </c>
      <c r="C240" s="40">
        <f>Income!A207</f>
        <v/>
      </c>
    </row>
    <row r="241">
      <c r="A241" s="40" t="inlineStr">
        <is>
          <t>Jun</t>
        </is>
      </c>
      <c r="B241" s="46">
        <f>Expense!A208</f>
        <v/>
      </c>
      <c r="C241" s="40">
        <f>Income!A208</f>
        <v/>
      </c>
    </row>
    <row r="242">
      <c r="A242" s="40" t="inlineStr">
        <is>
          <t>Jul</t>
        </is>
      </c>
      <c r="B242" s="46">
        <f>Expense!A209</f>
        <v/>
      </c>
      <c r="C242" s="40">
        <f>Income!A209</f>
        <v/>
      </c>
    </row>
    <row r="243">
      <c r="A243" s="40" t="inlineStr">
        <is>
          <t>Aug</t>
        </is>
      </c>
      <c r="B243" s="46">
        <f>Expense!A210</f>
        <v/>
      </c>
      <c r="C243" s="40">
        <f>Income!A210</f>
        <v/>
      </c>
    </row>
    <row r="244">
      <c r="A244" s="40" t="inlineStr">
        <is>
          <t>Sep</t>
        </is>
      </c>
      <c r="B244" s="46">
        <f>Expense!A211</f>
        <v/>
      </c>
      <c r="C244" s="40">
        <f>Income!A211</f>
        <v/>
      </c>
    </row>
    <row r="245">
      <c r="A245" s="40" t="inlineStr">
        <is>
          <t>Oct</t>
        </is>
      </c>
      <c r="B245" s="46">
        <f>Expense!A212</f>
        <v/>
      </c>
      <c r="C245" s="46">
        <f>Income!A212</f>
        <v/>
      </c>
    </row>
    <row r="246">
      <c r="A246" s="40" t="inlineStr">
        <is>
          <t>Nov</t>
        </is>
      </c>
      <c r="B246" s="46">
        <f>Expense!A213</f>
        <v/>
      </c>
      <c r="C246" s="40">
        <f>Income!A213</f>
        <v/>
      </c>
    </row>
    <row r="247">
      <c r="A247" s="40" t="inlineStr">
        <is>
          <t>Dec</t>
        </is>
      </c>
      <c r="B247" s="46">
        <f>Expense!A214</f>
        <v/>
      </c>
      <c r="C247" s="40">
        <f>Income!A214</f>
        <v/>
      </c>
    </row>
    <row r="248">
      <c r="A248" s="40" t="inlineStr">
        <is>
          <t>Jan</t>
        </is>
      </c>
      <c r="B248" s="46">
        <f>Expense!A215</f>
        <v/>
      </c>
      <c r="C248" s="40">
        <f>Income!A215</f>
        <v/>
      </c>
    </row>
    <row r="249">
      <c r="A249" s="40" t="inlineStr">
        <is>
          <t>Feb</t>
        </is>
      </c>
      <c r="B249" s="46">
        <f>Expense!A216</f>
        <v/>
      </c>
      <c r="C249" s="40">
        <f>Income!A216</f>
        <v/>
      </c>
    </row>
    <row r="250">
      <c r="A250" s="40" t="inlineStr">
        <is>
          <t>Mar</t>
        </is>
      </c>
      <c r="B250" s="46">
        <f>Expense!A217</f>
        <v/>
      </c>
      <c r="C250" s="40">
        <f>Income!A217</f>
        <v/>
      </c>
    </row>
    <row r="251">
      <c r="B251" s="46">
        <f>Expense!A218</f>
        <v/>
      </c>
      <c r="C251" s="40">
        <f>Income!A218</f>
        <v/>
      </c>
    </row>
    <row r="252">
      <c r="B252" s="40">
        <f>Expense!A219</f>
        <v/>
      </c>
      <c r="C252" s="46">
        <f>Income!A219</f>
        <v/>
      </c>
    </row>
    <row r="253">
      <c r="B253" s="40">
        <f>Expense!A220</f>
        <v/>
      </c>
      <c r="C253" s="40">
        <f>Income!A220</f>
        <v/>
      </c>
    </row>
    <row r="254">
      <c r="B254" s="40">
        <f>Expense!A221</f>
        <v/>
      </c>
      <c r="C254" s="40">
        <f>Income!A221</f>
        <v/>
      </c>
    </row>
    <row r="255">
      <c r="B255" s="40">
        <f>Expense!A222</f>
        <v/>
      </c>
      <c r="C255" s="40">
        <f>Income!A222</f>
        <v/>
      </c>
    </row>
    <row r="256">
      <c r="A256" s="40" t="inlineStr">
        <is>
          <t>Apr</t>
        </is>
      </c>
      <c r="B256" s="46">
        <f>Expense!A223</f>
        <v/>
      </c>
      <c r="C256" s="40">
        <f>Income!A223</f>
        <v/>
      </c>
    </row>
    <row r="257">
      <c r="A257" s="40" t="inlineStr">
        <is>
          <t>May</t>
        </is>
      </c>
      <c r="B257" s="46">
        <f>Expense!A224</f>
        <v/>
      </c>
      <c r="C257" s="46">
        <f>Income!A224</f>
        <v/>
      </c>
    </row>
    <row r="258">
      <c r="A258" s="40" t="inlineStr">
        <is>
          <t>Jun</t>
        </is>
      </c>
      <c r="B258" s="46">
        <f>Expense!A225</f>
        <v/>
      </c>
      <c r="C258" s="46">
        <f>Income!A225</f>
        <v/>
      </c>
    </row>
    <row r="259">
      <c r="A259" s="40" t="inlineStr">
        <is>
          <t>Jul</t>
        </is>
      </c>
      <c r="B259" s="46">
        <f>Expense!A226</f>
        <v/>
      </c>
      <c r="C259" s="46">
        <f>Income!A226</f>
        <v/>
      </c>
    </row>
    <row r="260">
      <c r="A260" s="40" t="inlineStr">
        <is>
          <t>Aug</t>
        </is>
      </c>
      <c r="B260" s="46">
        <f>Expense!A227</f>
        <v/>
      </c>
      <c r="C260" s="46">
        <f>Income!A227</f>
        <v/>
      </c>
    </row>
    <row r="261">
      <c r="A261" s="40" t="inlineStr">
        <is>
          <t>Sep</t>
        </is>
      </c>
      <c r="B261" s="46">
        <f>Expense!A228</f>
        <v/>
      </c>
      <c r="C261" s="46">
        <f>Income!A228</f>
        <v/>
      </c>
    </row>
    <row r="262">
      <c r="A262" s="40" t="inlineStr">
        <is>
          <t>Oct</t>
        </is>
      </c>
      <c r="B262" s="46">
        <f>Expense!A229</f>
        <v/>
      </c>
      <c r="C262" s="46">
        <f>Income!A229</f>
        <v/>
      </c>
    </row>
    <row r="263">
      <c r="A263" s="40" t="inlineStr">
        <is>
          <t>Nov</t>
        </is>
      </c>
      <c r="B263" s="46">
        <f>Expense!A230</f>
        <v/>
      </c>
      <c r="C263" s="40">
        <f>Income!A230</f>
        <v/>
      </c>
    </row>
    <row r="264">
      <c r="A264" s="40" t="inlineStr">
        <is>
          <t>Dec</t>
        </is>
      </c>
      <c r="B264" s="46">
        <f>Expense!A231</f>
        <v/>
      </c>
      <c r="C264" s="46">
        <f>Income!A231</f>
        <v/>
      </c>
    </row>
    <row r="265">
      <c r="A265" s="40" t="inlineStr">
        <is>
          <t>Jan</t>
        </is>
      </c>
      <c r="B265" s="46">
        <f>Expense!A232</f>
        <v/>
      </c>
      <c r="C265" s="46">
        <f>Income!A232</f>
        <v/>
      </c>
    </row>
    <row r="266">
      <c r="A266" s="40" t="inlineStr">
        <is>
          <t>Feb</t>
        </is>
      </c>
      <c r="B266" s="46">
        <f>Expense!A233</f>
        <v/>
      </c>
      <c r="C266" s="46">
        <f>Income!A233</f>
        <v/>
      </c>
    </row>
    <row r="267">
      <c r="A267" s="40" t="inlineStr">
        <is>
          <t>Mar</t>
        </is>
      </c>
      <c r="B267" s="46">
        <f>Expense!A234</f>
        <v/>
      </c>
      <c r="C267" s="40">
        <f>Income!A234</f>
        <v/>
      </c>
    </row>
    <row r="268">
      <c r="B268" s="46">
        <f>Expense!A235</f>
        <v/>
      </c>
      <c r="C268" s="40">
        <f>Income!A235</f>
        <v/>
      </c>
    </row>
    <row r="269">
      <c r="B269" s="40">
        <f>Expense!A236</f>
        <v/>
      </c>
      <c r="C269" s="46">
        <f>Income!A236</f>
        <v/>
      </c>
    </row>
    <row r="270">
      <c r="B270" s="40">
        <f>Expense!A237</f>
        <v/>
      </c>
      <c r="C270" s="40">
        <f>Income!A237</f>
        <v/>
      </c>
    </row>
    <row r="271">
      <c r="B271" s="40">
        <f>Expense!A238</f>
        <v/>
      </c>
      <c r="C271" s="40">
        <f>Income!A238</f>
        <v/>
      </c>
    </row>
    <row r="272">
      <c r="B272" s="40">
        <f>Expense!A239</f>
        <v/>
      </c>
      <c r="C272" s="40">
        <f>Income!A239</f>
        <v/>
      </c>
    </row>
    <row r="273">
      <c r="A273" s="40" t="inlineStr">
        <is>
          <t>Apr</t>
        </is>
      </c>
      <c r="B273" s="46">
        <f>Expense!A240</f>
        <v/>
      </c>
      <c r="C273" s="40">
        <f>Income!A240</f>
        <v/>
      </c>
    </row>
    <row r="274">
      <c r="A274" s="40" t="inlineStr">
        <is>
          <t>May</t>
        </is>
      </c>
      <c r="B274" s="46">
        <f>Expense!A241</f>
        <v/>
      </c>
      <c r="C274" s="40">
        <f>Income!A241</f>
        <v/>
      </c>
    </row>
    <row r="275">
      <c r="A275" s="40" t="inlineStr">
        <is>
          <t>Jun</t>
        </is>
      </c>
      <c r="B275" s="46">
        <f>Expense!A242</f>
        <v/>
      </c>
      <c r="C275" s="40">
        <f>Income!A242</f>
        <v/>
      </c>
    </row>
    <row r="276">
      <c r="A276" s="40" t="inlineStr">
        <is>
          <t>Jul</t>
        </is>
      </c>
      <c r="B276" s="46">
        <f>Expense!A243</f>
        <v/>
      </c>
      <c r="C276" s="40">
        <f>Income!A243</f>
        <v/>
      </c>
    </row>
    <row r="277">
      <c r="A277" s="40" t="inlineStr">
        <is>
          <t>Aug</t>
        </is>
      </c>
      <c r="B277" s="46">
        <f>Expense!A244</f>
        <v/>
      </c>
      <c r="C277" s="40">
        <f>Income!A244</f>
        <v/>
      </c>
    </row>
    <row r="278">
      <c r="A278" s="40" t="inlineStr">
        <is>
          <t>Sep</t>
        </is>
      </c>
      <c r="B278" s="46">
        <f>Expense!A245</f>
        <v/>
      </c>
      <c r="C278" s="40">
        <f>Income!A245</f>
        <v/>
      </c>
    </row>
    <row r="279">
      <c r="A279" s="40" t="inlineStr">
        <is>
          <t>Oct</t>
        </is>
      </c>
      <c r="B279" s="46">
        <f>Expense!A246</f>
        <v/>
      </c>
      <c r="C279" s="46">
        <f>Income!A246</f>
        <v/>
      </c>
    </row>
    <row r="280">
      <c r="A280" s="40" t="inlineStr">
        <is>
          <t>Nov</t>
        </is>
      </c>
      <c r="B280" s="46">
        <f>Expense!A247</f>
        <v/>
      </c>
      <c r="C280" s="40">
        <f>Income!A247</f>
        <v/>
      </c>
    </row>
    <row r="281">
      <c r="A281" s="40" t="inlineStr">
        <is>
          <t>Dec</t>
        </is>
      </c>
      <c r="B281" s="46">
        <f>Expense!A248</f>
        <v/>
      </c>
      <c r="C281" s="40">
        <f>Income!A248</f>
        <v/>
      </c>
    </row>
    <row r="282">
      <c r="A282" s="40" t="inlineStr">
        <is>
          <t>Jan</t>
        </is>
      </c>
      <c r="B282" s="46">
        <f>Expense!A249</f>
        <v/>
      </c>
      <c r="C282" s="40">
        <f>Income!A249</f>
        <v/>
      </c>
    </row>
    <row r="283">
      <c r="A283" s="40" t="inlineStr">
        <is>
          <t>Feb</t>
        </is>
      </c>
      <c r="B283" s="46">
        <f>Expense!A250</f>
        <v/>
      </c>
      <c r="C283" s="40">
        <f>Income!A250</f>
        <v/>
      </c>
    </row>
    <row r="284">
      <c r="A284" s="40" t="inlineStr">
        <is>
          <t>Mar</t>
        </is>
      </c>
      <c r="B284" s="46">
        <f>Expense!A251</f>
        <v/>
      </c>
      <c r="C284" s="40">
        <f>Income!A251</f>
        <v/>
      </c>
    </row>
    <row r="285">
      <c r="B285" s="46">
        <f>Expense!A252</f>
        <v/>
      </c>
      <c r="C285" s="40">
        <f>Income!A252</f>
        <v/>
      </c>
    </row>
    <row r="286">
      <c r="B286" s="40">
        <f>Expense!A253</f>
        <v/>
      </c>
      <c r="C286" s="46">
        <f>Income!A253</f>
        <v/>
      </c>
    </row>
    <row r="287">
      <c r="B287" s="40">
        <f>Expense!A254</f>
        <v/>
      </c>
      <c r="C287" s="40">
        <f>Income!A254</f>
        <v/>
      </c>
    </row>
    <row r="288">
      <c r="B288" s="40">
        <f>Expense!A255</f>
        <v/>
      </c>
      <c r="C288" s="40">
        <f>Income!A255</f>
        <v/>
      </c>
    </row>
    <row r="289">
      <c r="B289" s="40">
        <f>Expense!A256</f>
        <v/>
      </c>
      <c r="C289" s="40">
        <f>Income!A256</f>
        <v/>
      </c>
    </row>
    <row r="290">
      <c r="A290" s="40" t="inlineStr">
        <is>
          <t>Apr</t>
        </is>
      </c>
      <c r="B290" s="46">
        <f>Expense!A257</f>
        <v/>
      </c>
      <c r="C290" s="40">
        <f>Income!A257</f>
        <v/>
      </c>
    </row>
    <row r="291">
      <c r="A291" s="40" t="inlineStr">
        <is>
          <t>May</t>
        </is>
      </c>
      <c r="B291" s="46">
        <f>Expense!A258</f>
        <v/>
      </c>
      <c r="C291" s="40">
        <f>Income!A258</f>
        <v/>
      </c>
    </row>
    <row r="292">
      <c r="A292" s="40" t="inlineStr">
        <is>
          <t>Jun</t>
        </is>
      </c>
      <c r="B292" s="46">
        <f>Expense!A259</f>
        <v/>
      </c>
      <c r="C292" s="40">
        <f>Income!A259</f>
        <v/>
      </c>
    </row>
    <row r="293">
      <c r="A293" s="40" t="inlineStr">
        <is>
          <t>Jul</t>
        </is>
      </c>
      <c r="B293" s="46">
        <f>Expense!A260</f>
        <v/>
      </c>
      <c r="C293" s="40">
        <f>Income!A260</f>
        <v/>
      </c>
    </row>
    <row r="294">
      <c r="A294" s="40" t="inlineStr">
        <is>
          <t>Aug</t>
        </is>
      </c>
      <c r="B294" s="46">
        <f>Expense!A261</f>
        <v/>
      </c>
      <c r="C294" s="40">
        <f>Income!A261</f>
        <v/>
      </c>
    </row>
    <row r="295">
      <c r="A295" s="40" t="inlineStr">
        <is>
          <t>Sep</t>
        </is>
      </c>
      <c r="B295" s="46">
        <f>Expense!A262</f>
        <v/>
      </c>
      <c r="C295" s="40">
        <f>Income!A262</f>
        <v/>
      </c>
    </row>
    <row r="296">
      <c r="A296" s="40" t="inlineStr">
        <is>
          <t>Oct</t>
        </is>
      </c>
      <c r="B296" s="46">
        <f>Expense!A263</f>
        <v/>
      </c>
      <c r="C296" s="40">
        <f>Income!A263</f>
        <v/>
      </c>
    </row>
    <row r="297">
      <c r="A297" s="40" t="inlineStr">
        <is>
          <t>Nov</t>
        </is>
      </c>
      <c r="B297" s="46">
        <f>Expense!A264</f>
        <v/>
      </c>
      <c r="C297" s="40">
        <f>Income!A264</f>
        <v/>
      </c>
    </row>
    <row r="298">
      <c r="A298" s="40" t="inlineStr">
        <is>
          <t>Dec</t>
        </is>
      </c>
      <c r="B298" s="46">
        <f>Expense!A265</f>
        <v/>
      </c>
      <c r="C298" s="40">
        <f>Income!A265</f>
        <v/>
      </c>
    </row>
    <row r="299">
      <c r="A299" s="40" t="inlineStr">
        <is>
          <t>Jan</t>
        </is>
      </c>
      <c r="B299" s="46">
        <f>Expense!A266</f>
        <v/>
      </c>
      <c r="C299" s="40">
        <f>Income!A266</f>
        <v/>
      </c>
    </row>
    <row r="300">
      <c r="A300" s="40" t="inlineStr">
        <is>
          <t>Feb</t>
        </is>
      </c>
      <c r="B300" s="46">
        <f>Expense!A267</f>
        <v/>
      </c>
      <c r="C300" s="40">
        <f>Income!A267</f>
        <v/>
      </c>
    </row>
    <row r="301">
      <c r="A301" s="40" t="inlineStr">
        <is>
          <t>Mar</t>
        </is>
      </c>
      <c r="B301" s="46">
        <f>Expense!A268</f>
        <v/>
      </c>
      <c r="C301" s="40">
        <f>Income!A268</f>
        <v/>
      </c>
    </row>
    <row r="302">
      <c r="B302" s="46">
        <f>Expense!A269</f>
        <v/>
      </c>
      <c r="C302" s="40">
        <f>Income!A269</f>
        <v/>
      </c>
    </row>
    <row r="303">
      <c r="B303" s="40">
        <f>Expense!A270</f>
        <v/>
      </c>
      <c r="C303" s="46">
        <f>Income!A270</f>
        <v/>
      </c>
    </row>
    <row r="304">
      <c r="B304" s="40">
        <f>Expense!A271</f>
        <v/>
      </c>
      <c r="C304" s="40">
        <f>Income!A271</f>
        <v/>
      </c>
    </row>
    <row r="305">
      <c r="B305" s="40">
        <f>Expense!A272</f>
        <v/>
      </c>
      <c r="C305" s="40">
        <f>Income!A272</f>
        <v/>
      </c>
    </row>
    <row r="306">
      <c r="B306" s="40">
        <f>Expense!A273</f>
        <v/>
      </c>
      <c r="C306" s="40">
        <f>Income!A273</f>
        <v/>
      </c>
    </row>
    <row r="307">
      <c r="A307" s="40" t="inlineStr">
        <is>
          <t>Apr</t>
        </is>
      </c>
      <c r="B307" s="46">
        <f>Expense!A274</f>
        <v/>
      </c>
      <c r="C307" s="40">
        <f>Income!A274</f>
        <v/>
      </c>
    </row>
    <row r="308">
      <c r="A308" s="40" t="inlineStr">
        <is>
          <t>May</t>
        </is>
      </c>
      <c r="B308" s="46">
        <f>Expense!A275</f>
        <v/>
      </c>
      <c r="C308" s="46">
        <f>Income!A275</f>
        <v/>
      </c>
    </row>
    <row r="309">
      <c r="A309" s="40" t="inlineStr">
        <is>
          <t>Jun</t>
        </is>
      </c>
      <c r="B309" s="46">
        <f>Expense!A276</f>
        <v/>
      </c>
      <c r="C309" s="46">
        <f>Income!A276</f>
        <v/>
      </c>
    </row>
    <row r="310">
      <c r="A310" s="40" t="inlineStr">
        <is>
          <t>Jul</t>
        </is>
      </c>
      <c r="B310" s="46">
        <f>Expense!A277</f>
        <v/>
      </c>
      <c r="C310" s="46">
        <f>Income!A277</f>
        <v/>
      </c>
    </row>
    <row r="311">
      <c r="A311" s="40" t="inlineStr">
        <is>
          <t>Aug</t>
        </is>
      </c>
      <c r="B311" s="46">
        <f>Expense!A278</f>
        <v/>
      </c>
      <c r="C311" s="46">
        <f>Income!A278</f>
        <v/>
      </c>
    </row>
    <row r="312">
      <c r="A312" s="40" t="inlineStr">
        <is>
          <t>Sep</t>
        </is>
      </c>
      <c r="B312" s="46">
        <f>Expense!A279</f>
        <v/>
      </c>
      <c r="C312" s="46">
        <f>Income!A279</f>
        <v/>
      </c>
    </row>
    <row r="313">
      <c r="A313" s="40" t="inlineStr">
        <is>
          <t>Oct</t>
        </is>
      </c>
      <c r="B313" s="46">
        <f>Expense!A280</f>
        <v/>
      </c>
      <c r="C313" s="46">
        <f>Income!A280</f>
        <v/>
      </c>
    </row>
    <row r="314">
      <c r="A314" s="40" t="inlineStr">
        <is>
          <t>Nov</t>
        </is>
      </c>
      <c r="B314" s="46">
        <f>Expense!A281</f>
        <v/>
      </c>
      <c r="C314" s="40">
        <f>Income!A281</f>
        <v/>
      </c>
    </row>
    <row r="315">
      <c r="A315" s="40" t="inlineStr">
        <is>
          <t>Dec</t>
        </is>
      </c>
      <c r="B315" s="46">
        <f>Expense!A282</f>
        <v/>
      </c>
      <c r="C315" s="46">
        <f>Income!A282</f>
        <v/>
      </c>
    </row>
    <row r="316">
      <c r="A316" s="40" t="inlineStr">
        <is>
          <t>Jan</t>
        </is>
      </c>
      <c r="B316" s="46">
        <f>Expense!A283</f>
        <v/>
      </c>
      <c r="C316" s="46">
        <f>Income!A283</f>
        <v/>
      </c>
    </row>
    <row r="317">
      <c r="A317" s="40" t="inlineStr">
        <is>
          <t>Feb</t>
        </is>
      </c>
      <c r="B317" s="46">
        <f>Expense!A284</f>
        <v/>
      </c>
      <c r="C317" s="40">
        <f>Income!A284</f>
        <v/>
      </c>
    </row>
    <row r="318">
      <c r="A318" s="40" t="inlineStr">
        <is>
          <t>Mar</t>
        </is>
      </c>
      <c r="B318" s="46">
        <f>Expense!A285</f>
        <v/>
      </c>
      <c r="C318" s="46">
        <f>Income!A285</f>
        <v/>
      </c>
    </row>
    <row r="319">
      <c r="B319" s="46">
        <f>Expense!A286</f>
        <v/>
      </c>
      <c r="C319" s="40">
        <f>Income!A286</f>
        <v/>
      </c>
    </row>
    <row r="320">
      <c r="B320" s="40">
        <f>Expense!A287</f>
        <v/>
      </c>
      <c r="C320" s="46">
        <f>Income!A287</f>
        <v/>
      </c>
    </row>
    <row r="321">
      <c r="B321" s="40">
        <f>Expense!A288</f>
        <v/>
      </c>
      <c r="C321" s="40">
        <f>Income!A288</f>
        <v/>
      </c>
    </row>
    <row r="322">
      <c r="B322" s="40">
        <f>Expense!A289</f>
        <v/>
      </c>
      <c r="C322" s="40">
        <f>Income!A289</f>
        <v/>
      </c>
    </row>
    <row r="323">
      <c r="B323" s="40">
        <f>Expense!A290</f>
        <v/>
      </c>
      <c r="C323" s="40">
        <f>Income!A290</f>
        <v/>
      </c>
    </row>
    <row r="324">
      <c r="A324" s="40" t="inlineStr">
        <is>
          <t>Apr</t>
        </is>
      </c>
      <c r="B324" s="46">
        <f>Expense!A291</f>
        <v/>
      </c>
      <c r="C324" s="40">
        <f>Income!A291</f>
        <v/>
      </c>
    </row>
    <row r="325">
      <c r="A325" s="40" t="inlineStr">
        <is>
          <t>May</t>
        </is>
      </c>
      <c r="B325" s="46">
        <f>Expense!A292</f>
        <v/>
      </c>
      <c r="C325" s="46">
        <f>Income!A292</f>
        <v/>
      </c>
    </row>
    <row r="326">
      <c r="A326" s="40" t="inlineStr">
        <is>
          <t>Jun</t>
        </is>
      </c>
      <c r="B326" s="46">
        <f>Expense!A293</f>
        <v/>
      </c>
      <c r="C326" s="46">
        <f>Income!A293</f>
        <v/>
      </c>
    </row>
    <row r="327">
      <c r="A327" s="40" t="inlineStr">
        <is>
          <t>Jul</t>
        </is>
      </c>
      <c r="B327" s="46">
        <f>Expense!A294</f>
        <v/>
      </c>
      <c r="C327" s="46">
        <f>Income!A294</f>
        <v/>
      </c>
    </row>
    <row r="328">
      <c r="A328" s="40" t="inlineStr">
        <is>
          <t>Aug</t>
        </is>
      </c>
      <c r="B328" s="46">
        <f>Expense!A295</f>
        <v/>
      </c>
      <c r="C328" s="46">
        <f>Income!A295</f>
        <v/>
      </c>
    </row>
    <row r="329">
      <c r="A329" s="40" t="inlineStr">
        <is>
          <t>Sep</t>
        </is>
      </c>
      <c r="B329" s="46">
        <f>Expense!A296</f>
        <v/>
      </c>
      <c r="C329" s="46">
        <f>Income!A296</f>
        <v/>
      </c>
    </row>
    <row r="330">
      <c r="A330" s="40" t="inlineStr">
        <is>
          <t>Oct</t>
        </is>
      </c>
      <c r="B330" s="46">
        <f>Expense!A297</f>
        <v/>
      </c>
      <c r="C330" s="46">
        <f>Income!A297</f>
        <v/>
      </c>
    </row>
    <row r="331">
      <c r="A331" s="40" t="inlineStr">
        <is>
          <t>Nov</t>
        </is>
      </c>
      <c r="B331" s="46">
        <f>Expense!A298</f>
        <v/>
      </c>
      <c r="C331" s="46">
        <f>Income!A298</f>
        <v/>
      </c>
    </row>
    <row r="332">
      <c r="A332" s="40" t="inlineStr">
        <is>
          <t>Dec</t>
        </is>
      </c>
      <c r="B332" s="46">
        <f>Expense!A299</f>
        <v/>
      </c>
      <c r="C332" s="46">
        <f>Income!A299</f>
        <v/>
      </c>
    </row>
    <row r="333">
      <c r="A333" s="40" t="inlineStr">
        <is>
          <t>Jan</t>
        </is>
      </c>
      <c r="B333" s="46">
        <f>Expense!A300</f>
        <v/>
      </c>
      <c r="C333" s="46">
        <f>Income!A300</f>
        <v/>
      </c>
    </row>
    <row r="334">
      <c r="A334" s="40" t="inlineStr">
        <is>
          <t>Feb</t>
        </is>
      </c>
      <c r="B334" s="46">
        <f>Expense!A301</f>
        <v/>
      </c>
      <c r="C334" s="46">
        <f>Income!A301</f>
        <v/>
      </c>
    </row>
    <row r="335">
      <c r="A335" s="40" t="inlineStr">
        <is>
          <t>Mar</t>
        </is>
      </c>
      <c r="B335" s="46">
        <f>Expense!A302</f>
        <v/>
      </c>
      <c r="C335" s="40">
        <f>Income!A302</f>
        <v/>
      </c>
    </row>
    <row r="336">
      <c r="B336" s="46">
        <f>Expense!A303</f>
        <v/>
      </c>
      <c r="C336" s="40">
        <f>Income!A303</f>
        <v/>
      </c>
    </row>
    <row r="337">
      <c r="B337" s="40">
        <f>Expense!A304</f>
        <v/>
      </c>
      <c r="C337" s="46">
        <f>Income!A304</f>
        <v/>
      </c>
    </row>
    <row r="338">
      <c r="B338" s="40">
        <f>Expense!A305</f>
        <v/>
      </c>
      <c r="C338" s="40">
        <f>Income!A305</f>
        <v/>
      </c>
    </row>
    <row r="339">
      <c r="B339" s="40">
        <f>Expense!A306</f>
        <v/>
      </c>
      <c r="C339" s="40">
        <f>Income!A306</f>
        <v/>
      </c>
    </row>
    <row r="340">
      <c r="B340" s="40">
        <f>Expense!A307</f>
        <v/>
      </c>
      <c r="C340" s="40">
        <f>Income!A307</f>
        <v/>
      </c>
    </row>
    <row r="341">
      <c r="A341" s="40" t="inlineStr">
        <is>
          <t>Apr</t>
        </is>
      </c>
      <c r="B341" s="46">
        <f>Expense!A308</f>
        <v/>
      </c>
      <c r="C341" s="40">
        <f>Income!A308</f>
        <v/>
      </c>
    </row>
    <row r="342">
      <c r="A342" s="40" t="inlineStr">
        <is>
          <t>May</t>
        </is>
      </c>
      <c r="B342" s="46">
        <f>Expense!A309</f>
        <v/>
      </c>
      <c r="C342" s="46">
        <f>Income!A309</f>
        <v/>
      </c>
    </row>
    <row r="343">
      <c r="A343" s="40" t="inlineStr">
        <is>
          <t>Jun</t>
        </is>
      </c>
      <c r="B343" s="46">
        <f>Expense!A310</f>
        <v/>
      </c>
      <c r="C343" s="46">
        <f>Income!A310</f>
        <v/>
      </c>
    </row>
    <row r="344">
      <c r="A344" s="40" t="inlineStr">
        <is>
          <t>Jul</t>
        </is>
      </c>
      <c r="B344" s="46">
        <f>Expense!A311</f>
        <v/>
      </c>
      <c r="C344" s="46">
        <f>Income!A311</f>
        <v/>
      </c>
    </row>
    <row r="345">
      <c r="A345" s="40" t="inlineStr">
        <is>
          <t>Aug</t>
        </is>
      </c>
      <c r="B345" s="46">
        <f>Expense!A312</f>
        <v/>
      </c>
      <c r="C345" s="46">
        <f>Income!A312</f>
        <v/>
      </c>
    </row>
    <row r="346">
      <c r="A346" s="40" t="inlineStr">
        <is>
          <t>Sep</t>
        </is>
      </c>
      <c r="B346" s="46">
        <f>Expense!A313</f>
        <v/>
      </c>
      <c r="C346" s="46">
        <f>Income!A313</f>
        <v/>
      </c>
    </row>
    <row r="347">
      <c r="A347" s="40" t="inlineStr">
        <is>
          <t>Oct</t>
        </is>
      </c>
      <c r="B347" s="46">
        <f>Expense!A314</f>
        <v/>
      </c>
      <c r="C347" s="46">
        <f>Income!A314</f>
        <v/>
      </c>
    </row>
    <row r="348">
      <c r="A348" s="40" t="inlineStr">
        <is>
          <t>Nov</t>
        </is>
      </c>
      <c r="B348" s="46">
        <f>Expense!A315</f>
        <v/>
      </c>
      <c r="C348" s="46">
        <f>Income!A315</f>
        <v/>
      </c>
    </row>
    <row r="349">
      <c r="A349" s="40" t="inlineStr">
        <is>
          <t>Dec</t>
        </is>
      </c>
      <c r="B349" s="46">
        <f>Expense!A316</f>
        <v/>
      </c>
      <c r="C349" s="46">
        <f>Income!A316</f>
        <v/>
      </c>
    </row>
    <row r="350">
      <c r="A350" s="40" t="inlineStr">
        <is>
          <t>Jan</t>
        </is>
      </c>
      <c r="B350" s="46">
        <f>Expense!A317</f>
        <v/>
      </c>
      <c r="C350" s="46">
        <f>Income!A317</f>
        <v/>
      </c>
    </row>
    <row r="351">
      <c r="A351" s="40" t="inlineStr">
        <is>
          <t>Feb</t>
        </is>
      </c>
      <c r="B351" s="46">
        <f>Expense!A318</f>
        <v/>
      </c>
      <c r="C351" s="46">
        <f>Income!A318</f>
        <v/>
      </c>
    </row>
    <row r="352">
      <c r="A352" s="40" t="inlineStr">
        <is>
          <t>Mar</t>
        </is>
      </c>
      <c r="B352" s="46">
        <f>Expense!A319</f>
        <v/>
      </c>
      <c r="C352" s="40">
        <f>Income!A319</f>
        <v/>
      </c>
    </row>
    <row r="353">
      <c r="B353" s="46">
        <f>Expense!A320</f>
        <v/>
      </c>
      <c r="C353" s="40">
        <f>Income!A320</f>
        <v/>
      </c>
    </row>
    <row r="354">
      <c r="B354" s="40">
        <f>Expense!A321</f>
        <v/>
      </c>
      <c r="C354" s="46">
        <f>Income!A321</f>
        <v/>
      </c>
    </row>
    <row r="355">
      <c r="B355" s="40">
        <f>Expense!A322</f>
        <v/>
      </c>
      <c r="C355" s="40">
        <f>Income!A322</f>
        <v/>
      </c>
    </row>
    <row r="356">
      <c r="B356" s="40">
        <f>Expense!A323</f>
        <v/>
      </c>
      <c r="C356" s="40">
        <f>Income!A323</f>
        <v/>
      </c>
    </row>
    <row r="357">
      <c r="B357" s="40">
        <f>Expense!A324</f>
        <v/>
      </c>
      <c r="C357" s="40">
        <f>Income!A324</f>
        <v/>
      </c>
    </row>
    <row r="358">
      <c r="A358" s="40" t="inlineStr">
        <is>
          <t>Apr</t>
        </is>
      </c>
      <c r="B358" s="46">
        <f>Expense!A325</f>
        <v/>
      </c>
      <c r="C358" s="40">
        <f>Income!A325</f>
        <v/>
      </c>
    </row>
    <row r="359">
      <c r="A359" s="40" t="inlineStr">
        <is>
          <t>May</t>
        </is>
      </c>
      <c r="B359" s="46">
        <f>Expense!A326</f>
        <v/>
      </c>
      <c r="C359" s="46">
        <f>Income!A326</f>
        <v/>
      </c>
    </row>
    <row r="360">
      <c r="A360" s="40" t="inlineStr">
        <is>
          <t>Jun</t>
        </is>
      </c>
      <c r="B360" s="46">
        <f>Expense!A327</f>
        <v/>
      </c>
      <c r="C360" s="46">
        <f>Income!A327</f>
        <v/>
      </c>
    </row>
    <row r="361">
      <c r="A361" s="40" t="inlineStr">
        <is>
          <t>Jul</t>
        </is>
      </c>
      <c r="B361" s="46">
        <f>Expense!A328</f>
        <v/>
      </c>
      <c r="C361" s="46">
        <f>Income!A328</f>
        <v/>
      </c>
    </row>
    <row r="362">
      <c r="A362" s="40" t="inlineStr">
        <is>
          <t>Aug</t>
        </is>
      </c>
      <c r="B362" s="46">
        <f>Expense!A329</f>
        <v/>
      </c>
      <c r="C362" s="46">
        <f>Income!A329</f>
        <v/>
      </c>
    </row>
    <row r="363">
      <c r="A363" s="40" t="inlineStr">
        <is>
          <t>Sep</t>
        </is>
      </c>
      <c r="B363" s="46">
        <f>Expense!A330</f>
        <v/>
      </c>
      <c r="C363" s="46">
        <f>Income!A330</f>
        <v/>
      </c>
    </row>
    <row r="364">
      <c r="A364" s="40" t="inlineStr">
        <is>
          <t>Oct</t>
        </is>
      </c>
      <c r="B364" s="46">
        <f>Expense!A331</f>
        <v/>
      </c>
      <c r="C364" s="46">
        <f>Income!A331</f>
        <v/>
      </c>
    </row>
    <row r="365">
      <c r="A365" s="40" t="inlineStr">
        <is>
          <t>Nov</t>
        </is>
      </c>
      <c r="B365" s="46">
        <f>Expense!A332</f>
        <v/>
      </c>
      <c r="C365" s="46">
        <f>Income!A332</f>
        <v/>
      </c>
    </row>
    <row r="366">
      <c r="A366" s="40" t="inlineStr">
        <is>
          <t>Dec</t>
        </is>
      </c>
      <c r="B366" s="46">
        <f>Expense!A333</f>
        <v/>
      </c>
      <c r="C366" s="46">
        <f>Income!A333</f>
        <v/>
      </c>
    </row>
    <row r="367">
      <c r="A367" s="40" t="inlineStr">
        <is>
          <t>Jan</t>
        </is>
      </c>
      <c r="B367" s="46">
        <f>Expense!A334</f>
        <v/>
      </c>
      <c r="C367" s="46">
        <f>Income!A334</f>
        <v/>
      </c>
    </row>
    <row r="368">
      <c r="A368" s="40" t="inlineStr">
        <is>
          <t>Feb</t>
        </is>
      </c>
      <c r="B368" s="46">
        <f>Expense!A335</f>
        <v/>
      </c>
      <c r="C368" s="46">
        <f>Income!A335</f>
        <v/>
      </c>
    </row>
    <row r="369">
      <c r="A369" s="40" t="inlineStr">
        <is>
          <t>Mar</t>
        </is>
      </c>
      <c r="B369" s="46">
        <f>Expense!A336</f>
        <v/>
      </c>
      <c r="C369" s="40">
        <f>Income!A336</f>
        <v/>
      </c>
    </row>
    <row r="370">
      <c r="B370" s="46">
        <f>Expense!A337</f>
        <v/>
      </c>
      <c r="C370" s="40">
        <f>Income!A337</f>
        <v/>
      </c>
    </row>
    <row r="371">
      <c r="B371" s="40">
        <f>Expense!A338</f>
        <v/>
      </c>
      <c r="C371" s="46">
        <f>Income!A338</f>
        <v/>
      </c>
    </row>
    <row r="372">
      <c r="B372" s="40">
        <f>Expense!A339</f>
        <v/>
      </c>
      <c r="C372" s="40">
        <f>Income!A339</f>
        <v/>
      </c>
    </row>
    <row r="373">
      <c r="B373" s="40">
        <f>Expense!A340</f>
        <v/>
      </c>
      <c r="C373" s="40">
        <f>Income!A340</f>
        <v/>
      </c>
    </row>
    <row r="374">
      <c r="B374" s="40">
        <f>Expense!A341</f>
        <v/>
      </c>
      <c r="C374" s="40">
        <f>Income!A341</f>
        <v/>
      </c>
    </row>
    <row r="375">
      <c r="A375" s="40" t="inlineStr">
        <is>
          <t>Apr</t>
        </is>
      </c>
      <c r="B375" s="46">
        <f>Expense!A342</f>
        <v/>
      </c>
      <c r="C375" s="40">
        <f>Income!A342</f>
        <v/>
      </c>
    </row>
    <row r="376">
      <c r="A376" s="40" t="inlineStr">
        <is>
          <t>May</t>
        </is>
      </c>
      <c r="B376" s="46">
        <f>Expense!A343</f>
        <v/>
      </c>
      <c r="C376" s="46">
        <f>Income!A343</f>
        <v/>
      </c>
    </row>
    <row r="377">
      <c r="A377" s="40" t="inlineStr">
        <is>
          <t>Jun</t>
        </is>
      </c>
      <c r="B377" s="46">
        <f>Expense!A344</f>
        <v/>
      </c>
      <c r="C377" s="46">
        <f>Income!A344</f>
        <v/>
      </c>
    </row>
    <row r="378">
      <c r="A378" s="40" t="inlineStr">
        <is>
          <t>Jul</t>
        </is>
      </c>
      <c r="B378" s="46">
        <f>Expense!A345</f>
        <v/>
      </c>
      <c r="C378" s="46">
        <f>Income!A345</f>
        <v/>
      </c>
    </row>
    <row r="379">
      <c r="A379" s="40" t="inlineStr">
        <is>
          <t>Aug</t>
        </is>
      </c>
      <c r="B379" s="46">
        <f>Expense!A346</f>
        <v/>
      </c>
      <c r="C379" s="46">
        <f>Income!A346</f>
        <v/>
      </c>
    </row>
    <row r="380">
      <c r="A380" s="40" t="inlineStr">
        <is>
          <t>Sep</t>
        </is>
      </c>
      <c r="B380" s="46">
        <f>Expense!A347</f>
        <v/>
      </c>
      <c r="C380" s="46">
        <f>Income!A347</f>
        <v/>
      </c>
    </row>
    <row r="381">
      <c r="A381" s="40" t="inlineStr">
        <is>
          <t>Oct</t>
        </is>
      </c>
      <c r="B381" s="46">
        <f>Expense!A348</f>
        <v/>
      </c>
      <c r="C381" s="46">
        <f>Income!A348</f>
        <v/>
      </c>
    </row>
    <row r="382">
      <c r="A382" s="40" t="inlineStr">
        <is>
          <t>Nov</t>
        </is>
      </c>
      <c r="B382" s="46">
        <f>Expense!A349</f>
        <v/>
      </c>
      <c r="C382" s="46">
        <f>Income!A349</f>
        <v/>
      </c>
    </row>
    <row r="383">
      <c r="A383" s="40" t="inlineStr">
        <is>
          <t>Dec</t>
        </is>
      </c>
      <c r="B383" s="46">
        <f>Expense!A350</f>
        <v/>
      </c>
      <c r="C383" s="46">
        <f>Income!A350</f>
        <v/>
      </c>
    </row>
    <row r="384">
      <c r="A384" s="40" t="inlineStr">
        <is>
          <t>Jan</t>
        </is>
      </c>
      <c r="B384" s="46">
        <f>Expense!A351</f>
        <v/>
      </c>
      <c r="C384" s="46">
        <f>Income!A351</f>
        <v/>
      </c>
    </row>
    <row r="385">
      <c r="A385" s="40" t="inlineStr">
        <is>
          <t>Feb</t>
        </is>
      </c>
      <c r="B385" s="46">
        <f>Expense!A352</f>
        <v/>
      </c>
      <c r="C385" s="46">
        <f>Income!A352</f>
        <v/>
      </c>
    </row>
    <row r="386">
      <c r="A386" s="40" t="inlineStr">
        <is>
          <t>Mar</t>
        </is>
      </c>
      <c r="B386" s="46">
        <f>Expense!A353</f>
        <v/>
      </c>
      <c r="C386" s="40">
        <f>Income!A353</f>
        <v/>
      </c>
    </row>
    <row r="387">
      <c r="B387" s="46">
        <f>Expense!A354</f>
        <v/>
      </c>
      <c r="C387" s="40">
        <f>Income!A354</f>
        <v/>
      </c>
    </row>
    <row r="388">
      <c r="B388" s="40">
        <f>Expense!A355</f>
        <v/>
      </c>
      <c r="C388" s="46">
        <f>Income!A355</f>
        <v/>
      </c>
    </row>
    <row r="389">
      <c r="B389" s="40">
        <f>Expense!A356</f>
        <v/>
      </c>
      <c r="C389" s="40">
        <f>Income!A356</f>
        <v/>
      </c>
    </row>
    <row r="390">
      <c r="B390" s="40">
        <f>Expense!A357</f>
        <v/>
      </c>
      <c r="C390" s="40">
        <f>Income!A357</f>
        <v/>
      </c>
    </row>
    <row r="391">
      <c r="B391" s="40">
        <f>Expense!A358</f>
        <v/>
      </c>
      <c r="C391" s="40">
        <f>Income!A358</f>
        <v/>
      </c>
    </row>
    <row r="392">
      <c r="A392" s="40" t="inlineStr">
        <is>
          <t>Apr</t>
        </is>
      </c>
      <c r="B392" s="46">
        <f>Expense!A359</f>
        <v/>
      </c>
      <c r="C392" s="40">
        <f>Income!A359</f>
        <v/>
      </c>
    </row>
    <row r="393">
      <c r="A393" s="40" t="inlineStr">
        <is>
          <t>May</t>
        </is>
      </c>
      <c r="B393" s="46">
        <f>Expense!A360</f>
        <v/>
      </c>
      <c r="C393" s="40">
        <f>Income!A360</f>
        <v/>
      </c>
    </row>
    <row r="394">
      <c r="A394" s="40" t="inlineStr">
        <is>
          <t>Jun</t>
        </is>
      </c>
      <c r="B394" s="46">
        <f>Expense!A361</f>
        <v/>
      </c>
      <c r="C394" s="40">
        <f>Income!A361</f>
        <v/>
      </c>
    </row>
    <row r="395">
      <c r="A395" s="40" t="inlineStr">
        <is>
          <t>Jul</t>
        </is>
      </c>
      <c r="B395" s="46">
        <f>Expense!A362</f>
        <v/>
      </c>
      <c r="C395" s="40">
        <f>Income!A362</f>
        <v/>
      </c>
    </row>
    <row r="396">
      <c r="A396" s="40" t="inlineStr">
        <is>
          <t>Aug</t>
        </is>
      </c>
      <c r="B396" s="46">
        <f>Expense!A363</f>
        <v/>
      </c>
      <c r="C396" s="40">
        <f>Income!A363</f>
        <v/>
      </c>
    </row>
    <row r="397">
      <c r="A397" s="40" t="inlineStr">
        <is>
          <t>Sep</t>
        </is>
      </c>
      <c r="B397" s="46">
        <f>Expense!A364</f>
        <v/>
      </c>
      <c r="C397" s="40">
        <f>Income!A364</f>
        <v/>
      </c>
    </row>
    <row r="398">
      <c r="A398" s="40" t="inlineStr">
        <is>
          <t>Oct</t>
        </is>
      </c>
      <c r="B398" s="46">
        <f>Expense!A365</f>
        <v/>
      </c>
      <c r="C398" s="40">
        <f>Income!A365</f>
        <v/>
      </c>
    </row>
    <row r="399">
      <c r="A399" s="40" t="inlineStr">
        <is>
          <t>Nov</t>
        </is>
      </c>
      <c r="B399" s="46">
        <f>Expense!A366</f>
        <v/>
      </c>
      <c r="C399" s="40">
        <f>Income!A366</f>
        <v/>
      </c>
    </row>
    <row r="400">
      <c r="A400" s="40" t="inlineStr">
        <is>
          <t>Dec</t>
        </is>
      </c>
      <c r="B400" s="46">
        <f>Expense!A367</f>
        <v/>
      </c>
      <c r="C400" s="40">
        <f>Income!A367</f>
        <v/>
      </c>
    </row>
    <row r="401">
      <c r="A401" s="40" t="inlineStr">
        <is>
          <t>Jan</t>
        </is>
      </c>
      <c r="B401" s="46">
        <f>Expense!A368</f>
        <v/>
      </c>
      <c r="C401" s="40">
        <f>Income!A368</f>
        <v/>
      </c>
    </row>
    <row r="402">
      <c r="A402" s="40" t="inlineStr">
        <is>
          <t>Feb</t>
        </is>
      </c>
      <c r="B402" s="46">
        <f>Expense!A369</f>
        <v/>
      </c>
      <c r="C402" s="40">
        <f>Income!A369</f>
        <v/>
      </c>
    </row>
    <row r="403">
      <c r="A403" s="40" t="inlineStr">
        <is>
          <t>Mar</t>
        </is>
      </c>
      <c r="B403" s="46">
        <f>Expense!A370</f>
        <v/>
      </c>
      <c r="C403" s="40">
        <f>Income!A370</f>
        <v/>
      </c>
    </row>
    <row r="404">
      <c r="B404" s="46">
        <f>Expense!A371</f>
        <v/>
      </c>
      <c r="C404" s="40">
        <f>Income!A371</f>
        <v/>
      </c>
    </row>
    <row r="405">
      <c r="B405" s="40">
        <f>Expense!A372</f>
        <v/>
      </c>
      <c r="C405" s="46">
        <f>Income!A372</f>
        <v/>
      </c>
    </row>
    <row r="406">
      <c r="B406" s="40">
        <f>Expense!A373</f>
        <v/>
      </c>
      <c r="C406" s="40">
        <f>Income!A373</f>
        <v/>
      </c>
    </row>
    <row r="407">
      <c r="B407" s="40">
        <f>Expense!A374</f>
        <v/>
      </c>
      <c r="C407" s="40">
        <f>Income!A374</f>
        <v/>
      </c>
    </row>
    <row r="408">
      <c r="B408" s="40">
        <f>Expense!A375</f>
        <v/>
      </c>
      <c r="C408" s="40">
        <f>Income!A375</f>
        <v/>
      </c>
    </row>
    <row r="409">
      <c r="A409" s="40" t="inlineStr">
        <is>
          <t>Apr</t>
        </is>
      </c>
      <c r="B409" s="46">
        <f>Expense!A376</f>
        <v/>
      </c>
      <c r="C409" s="40">
        <f>Income!A376</f>
        <v/>
      </c>
    </row>
    <row r="410">
      <c r="A410" s="40" t="inlineStr">
        <is>
          <t>May</t>
        </is>
      </c>
      <c r="B410" s="46">
        <f>Expense!A377</f>
        <v/>
      </c>
      <c r="C410" s="46">
        <f>Income!A377</f>
        <v/>
      </c>
    </row>
    <row r="411">
      <c r="A411" s="40" t="inlineStr">
        <is>
          <t>Jun</t>
        </is>
      </c>
      <c r="B411" s="46">
        <f>Expense!A378</f>
        <v/>
      </c>
      <c r="C411" s="46">
        <f>Income!A378</f>
        <v/>
      </c>
    </row>
    <row r="412">
      <c r="A412" s="40" t="inlineStr">
        <is>
          <t>Jul</t>
        </is>
      </c>
      <c r="B412" s="46">
        <f>Expense!A379</f>
        <v/>
      </c>
      <c r="C412" s="46">
        <f>Income!A379</f>
        <v/>
      </c>
    </row>
    <row r="413">
      <c r="A413" s="40" t="inlineStr">
        <is>
          <t>Aug</t>
        </is>
      </c>
      <c r="B413" s="46">
        <f>Expense!A380</f>
        <v/>
      </c>
      <c r="C413" s="46">
        <f>Income!A380</f>
        <v/>
      </c>
    </row>
    <row r="414">
      <c r="A414" s="40" t="inlineStr">
        <is>
          <t>Sep</t>
        </is>
      </c>
      <c r="B414" s="46">
        <f>Expense!A381</f>
        <v/>
      </c>
      <c r="C414" s="46">
        <f>Income!A381</f>
        <v/>
      </c>
    </row>
    <row r="415">
      <c r="A415" s="40" t="inlineStr">
        <is>
          <t>Oct</t>
        </is>
      </c>
      <c r="B415" s="46">
        <f>Expense!A382</f>
        <v/>
      </c>
      <c r="C415" s="46">
        <f>Income!A382</f>
        <v/>
      </c>
    </row>
    <row r="416">
      <c r="A416" s="40" t="inlineStr">
        <is>
          <t>Nov</t>
        </is>
      </c>
      <c r="B416" s="46">
        <f>Expense!A383</f>
        <v/>
      </c>
      <c r="C416" s="40">
        <f>Income!A383</f>
        <v/>
      </c>
    </row>
    <row r="417">
      <c r="A417" s="40" t="inlineStr">
        <is>
          <t>Dec</t>
        </is>
      </c>
      <c r="B417" s="46">
        <f>Expense!A384</f>
        <v/>
      </c>
      <c r="C417" s="46">
        <f>Income!A384</f>
        <v/>
      </c>
    </row>
    <row r="418">
      <c r="A418" s="40" t="inlineStr">
        <is>
          <t>Jan</t>
        </is>
      </c>
      <c r="B418" s="46">
        <f>Expense!A385</f>
        <v/>
      </c>
      <c r="C418" s="46">
        <f>Income!A385</f>
        <v/>
      </c>
    </row>
    <row r="419">
      <c r="A419" s="40" t="inlineStr">
        <is>
          <t>Feb</t>
        </is>
      </c>
      <c r="B419" s="46">
        <f>Expense!A386</f>
        <v/>
      </c>
      <c r="C419" s="46">
        <f>Income!A386</f>
        <v/>
      </c>
    </row>
    <row r="420">
      <c r="A420" s="40" t="inlineStr">
        <is>
          <t>Mar</t>
        </is>
      </c>
      <c r="B420" s="46">
        <f>Expense!A387</f>
        <v/>
      </c>
      <c r="C420" s="40">
        <f>Income!A387</f>
        <v/>
      </c>
    </row>
    <row r="421">
      <c r="B421" s="46">
        <f>Expense!A388</f>
        <v/>
      </c>
      <c r="C421" s="40">
        <f>Income!A388</f>
        <v/>
      </c>
    </row>
    <row r="422">
      <c r="B422" s="40">
        <f>Expense!A389</f>
        <v/>
      </c>
      <c r="C422" s="46">
        <f>Income!A389</f>
        <v/>
      </c>
    </row>
    <row r="423">
      <c r="B423" s="40">
        <f>Expense!A390</f>
        <v/>
      </c>
      <c r="C423" s="40">
        <f>Income!A390</f>
        <v/>
      </c>
    </row>
    <row r="424">
      <c r="B424" s="40">
        <f>Expense!A391</f>
        <v/>
      </c>
      <c r="C424" s="40">
        <f>Income!A391</f>
        <v/>
      </c>
    </row>
    <row r="425">
      <c r="B425" s="40">
        <f>Expense!A392</f>
        <v/>
      </c>
      <c r="C425" s="40">
        <f>Income!A392</f>
        <v/>
      </c>
    </row>
    <row r="426">
      <c r="A426" s="40" t="inlineStr">
        <is>
          <t>Apr</t>
        </is>
      </c>
      <c r="B426" s="46">
        <f>Expense!A393</f>
        <v/>
      </c>
      <c r="C426" s="40">
        <f>Income!A393</f>
        <v/>
      </c>
    </row>
    <row r="427">
      <c r="A427" s="40" t="inlineStr">
        <is>
          <t>May</t>
        </is>
      </c>
      <c r="B427" s="46">
        <f>Expense!A394</f>
        <v/>
      </c>
      <c r="C427" s="40">
        <f>Income!A394</f>
        <v/>
      </c>
    </row>
    <row r="428">
      <c r="A428" s="40" t="inlineStr">
        <is>
          <t>Jun</t>
        </is>
      </c>
      <c r="B428" s="46">
        <f>Expense!A395</f>
        <v/>
      </c>
      <c r="C428" s="40">
        <f>Income!A395</f>
        <v/>
      </c>
    </row>
    <row r="429">
      <c r="A429" s="40" t="inlineStr">
        <is>
          <t>Jul</t>
        </is>
      </c>
      <c r="B429" s="46">
        <f>Expense!A396</f>
        <v/>
      </c>
      <c r="C429" s="40">
        <f>Income!A396</f>
        <v/>
      </c>
    </row>
    <row r="430">
      <c r="A430" s="40" t="inlineStr">
        <is>
          <t>Aug</t>
        </is>
      </c>
      <c r="B430" s="46">
        <f>Expense!A397</f>
        <v/>
      </c>
      <c r="C430" s="40">
        <f>Income!A397</f>
        <v/>
      </c>
    </row>
    <row r="431">
      <c r="A431" s="40" t="inlineStr">
        <is>
          <t>Sep</t>
        </is>
      </c>
      <c r="B431" s="46">
        <f>Expense!A398</f>
        <v/>
      </c>
      <c r="C431" s="40">
        <f>Income!A398</f>
        <v/>
      </c>
    </row>
    <row r="432">
      <c r="A432" s="40" t="inlineStr">
        <is>
          <t>Oct</t>
        </is>
      </c>
      <c r="B432" s="46">
        <f>Expense!A399</f>
        <v/>
      </c>
      <c r="C432" s="40">
        <f>Income!A399</f>
        <v/>
      </c>
    </row>
    <row r="433">
      <c r="A433" s="40" t="inlineStr">
        <is>
          <t>Nov</t>
        </is>
      </c>
      <c r="B433" s="46">
        <f>Expense!A400</f>
        <v/>
      </c>
      <c r="C433" s="40">
        <f>Income!A400</f>
        <v/>
      </c>
    </row>
    <row r="434">
      <c r="A434" s="40" t="inlineStr">
        <is>
          <t>Dec</t>
        </is>
      </c>
      <c r="B434" s="46">
        <f>Expense!A401</f>
        <v/>
      </c>
      <c r="C434" s="40">
        <f>Income!A401</f>
        <v/>
      </c>
    </row>
    <row r="435">
      <c r="A435" s="40" t="inlineStr">
        <is>
          <t>Jan</t>
        </is>
      </c>
      <c r="B435" s="46">
        <f>Expense!A402</f>
        <v/>
      </c>
      <c r="C435" s="40">
        <f>Income!A402</f>
        <v/>
      </c>
    </row>
    <row r="436">
      <c r="A436" s="40" t="inlineStr">
        <is>
          <t>Feb</t>
        </is>
      </c>
      <c r="B436" s="46">
        <f>Expense!A403</f>
        <v/>
      </c>
      <c r="C436" s="40">
        <f>Income!A403</f>
        <v/>
      </c>
    </row>
    <row r="437">
      <c r="A437" s="40" t="inlineStr">
        <is>
          <t>Mar</t>
        </is>
      </c>
      <c r="B437" s="46">
        <f>Expense!A404</f>
        <v/>
      </c>
      <c r="C437" s="40">
        <f>Income!A404</f>
        <v/>
      </c>
    </row>
    <row r="438">
      <c r="B438" s="46">
        <f>Expense!A405</f>
        <v/>
      </c>
      <c r="C438" s="40">
        <f>Income!A405</f>
        <v/>
      </c>
    </row>
    <row r="439">
      <c r="B439" s="40">
        <f>Expense!A406</f>
        <v/>
      </c>
      <c r="C439" s="46">
        <f>Income!A406</f>
        <v/>
      </c>
    </row>
    <row r="440">
      <c r="B440" s="40">
        <f>Expense!A407</f>
        <v/>
      </c>
      <c r="C440" s="40">
        <f>Income!A407</f>
        <v/>
      </c>
    </row>
    <row r="441">
      <c r="B441" s="40">
        <f>Expense!A408</f>
        <v/>
      </c>
      <c r="C441" s="40">
        <f>Income!A408</f>
        <v/>
      </c>
    </row>
    <row r="442">
      <c r="B442" s="40">
        <f>Expense!A409</f>
        <v/>
      </c>
      <c r="C442" s="40">
        <f>Income!A409</f>
        <v/>
      </c>
    </row>
    <row r="443">
      <c r="A443" s="40" t="inlineStr">
        <is>
          <t>Apr</t>
        </is>
      </c>
      <c r="B443" s="46">
        <f>Expense!A410</f>
        <v/>
      </c>
      <c r="C443" s="40">
        <f>Income!A410</f>
        <v/>
      </c>
    </row>
    <row r="444">
      <c r="A444" s="40" t="inlineStr">
        <is>
          <t>May</t>
        </is>
      </c>
      <c r="B444" s="46">
        <f>Expense!A411</f>
        <v/>
      </c>
      <c r="C444" s="46">
        <f>Income!A411</f>
        <v/>
      </c>
    </row>
    <row r="445">
      <c r="A445" s="40" t="inlineStr">
        <is>
          <t>Jun</t>
        </is>
      </c>
      <c r="B445" s="46">
        <f>Expense!A412</f>
        <v/>
      </c>
      <c r="C445" s="46">
        <f>Income!A412</f>
        <v/>
      </c>
    </row>
    <row r="446">
      <c r="A446" s="40" t="inlineStr">
        <is>
          <t>Jul</t>
        </is>
      </c>
      <c r="B446" s="46">
        <f>Expense!A413</f>
        <v/>
      </c>
      <c r="C446" s="46">
        <f>Income!A413</f>
        <v/>
      </c>
    </row>
    <row r="447">
      <c r="A447" s="40" t="inlineStr">
        <is>
          <t>Aug</t>
        </is>
      </c>
      <c r="B447" s="46">
        <f>Expense!A414</f>
        <v/>
      </c>
      <c r="C447" s="46">
        <f>Income!A414</f>
        <v/>
      </c>
    </row>
    <row r="448">
      <c r="A448" s="40" t="inlineStr">
        <is>
          <t>Sep</t>
        </is>
      </c>
      <c r="B448" s="46">
        <f>Expense!A415</f>
        <v/>
      </c>
      <c r="C448" s="46">
        <f>Income!A415</f>
        <v/>
      </c>
    </row>
    <row r="449">
      <c r="A449" s="40" t="inlineStr">
        <is>
          <t>Oct</t>
        </is>
      </c>
      <c r="B449" s="46">
        <f>Expense!A416</f>
        <v/>
      </c>
      <c r="C449" s="46">
        <f>Income!A416</f>
        <v/>
      </c>
    </row>
    <row r="450">
      <c r="A450" s="40" t="inlineStr">
        <is>
          <t>Nov</t>
        </is>
      </c>
      <c r="B450" s="46">
        <f>Expense!A417</f>
        <v/>
      </c>
      <c r="C450" s="46">
        <f>Income!A417</f>
        <v/>
      </c>
    </row>
    <row r="451">
      <c r="A451" s="40" t="inlineStr">
        <is>
          <t>Dec</t>
        </is>
      </c>
      <c r="B451" s="46">
        <f>Expense!A418</f>
        <v/>
      </c>
      <c r="C451" s="46">
        <f>Income!A418</f>
        <v/>
      </c>
    </row>
    <row r="452">
      <c r="A452" s="40" t="inlineStr">
        <is>
          <t>Jan</t>
        </is>
      </c>
      <c r="B452" s="46">
        <f>Expense!A419</f>
        <v/>
      </c>
      <c r="C452" s="46">
        <f>Income!A419</f>
        <v/>
      </c>
    </row>
    <row r="453">
      <c r="A453" s="40" t="inlineStr">
        <is>
          <t>Feb</t>
        </is>
      </c>
      <c r="B453" s="46">
        <f>Expense!A420</f>
        <v/>
      </c>
      <c r="C453" s="46">
        <f>Income!A420</f>
        <v/>
      </c>
    </row>
    <row r="454">
      <c r="A454" s="40" t="inlineStr">
        <is>
          <t>Mar</t>
        </is>
      </c>
      <c r="B454" s="46">
        <f>Expense!A421</f>
        <v/>
      </c>
      <c r="C454" s="40">
        <f>Income!A421</f>
        <v/>
      </c>
    </row>
    <row r="455">
      <c r="B455" s="46">
        <f>Expense!A422</f>
        <v/>
      </c>
      <c r="C455" s="40">
        <f>Income!A422</f>
        <v/>
      </c>
    </row>
    <row r="456">
      <c r="B456" s="40">
        <f>Expense!A423</f>
        <v/>
      </c>
      <c r="C456" s="46">
        <f>Income!A423</f>
        <v/>
      </c>
    </row>
    <row r="457">
      <c r="B457" s="40">
        <f>Expense!A424</f>
        <v/>
      </c>
      <c r="C457" s="40">
        <f>Income!A424</f>
        <v/>
      </c>
    </row>
    <row r="458">
      <c r="B458" s="40">
        <f>Expense!A425</f>
        <v/>
      </c>
      <c r="C458" s="40">
        <f>Income!A425</f>
        <v/>
      </c>
    </row>
    <row r="459">
      <c r="B459" s="40">
        <f>Expense!A426</f>
        <v/>
      </c>
      <c r="C459" s="40">
        <f>Income!A426</f>
        <v/>
      </c>
    </row>
    <row r="460">
      <c r="A460" s="40" t="inlineStr">
        <is>
          <t>Apr</t>
        </is>
      </c>
      <c r="B460" s="46">
        <f>Expense!A427</f>
        <v/>
      </c>
      <c r="C460" s="40">
        <f>Income!A427</f>
        <v/>
      </c>
    </row>
    <row r="461">
      <c r="A461" s="40" t="inlineStr">
        <is>
          <t>May</t>
        </is>
      </c>
      <c r="B461" s="46">
        <f>Expense!A428</f>
        <v/>
      </c>
      <c r="C461" s="46">
        <f>Income!A428</f>
        <v/>
      </c>
    </row>
    <row r="462">
      <c r="A462" s="40" t="inlineStr">
        <is>
          <t>Jun</t>
        </is>
      </c>
      <c r="B462" s="46">
        <f>Expense!A429</f>
        <v/>
      </c>
      <c r="C462" s="46">
        <f>Income!A429</f>
        <v/>
      </c>
    </row>
    <row r="463">
      <c r="A463" s="40" t="inlineStr">
        <is>
          <t>Jul</t>
        </is>
      </c>
      <c r="B463" s="46">
        <f>Expense!A430</f>
        <v/>
      </c>
      <c r="C463" s="46">
        <f>Income!A430</f>
        <v/>
      </c>
    </row>
    <row r="464">
      <c r="A464" s="40" t="inlineStr">
        <is>
          <t>Aug</t>
        </is>
      </c>
      <c r="B464" s="46">
        <f>Expense!A431</f>
        <v/>
      </c>
      <c r="C464" s="46">
        <f>Income!A431</f>
        <v/>
      </c>
    </row>
    <row r="465">
      <c r="A465" s="40" t="inlineStr">
        <is>
          <t>Sep</t>
        </is>
      </c>
      <c r="B465" s="46">
        <f>Expense!A432</f>
        <v/>
      </c>
      <c r="C465" s="46">
        <f>Income!A432</f>
        <v/>
      </c>
    </row>
    <row r="466">
      <c r="A466" s="40" t="inlineStr">
        <is>
          <t>Oct</t>
        </is>
      </c>
      <c r="B466" s="46">
        <f>Expense!A433</f>
        <v/>
      </c>
      <c r="C466" s="46">
        <f>Income!A433</f>
        <v/>
      </c>
    </row>
    <row r="467">
      <c r="A467" s="40" t="inlineStr">
        <is>
          <t>Nov</t>
        </is>
      </c>
      <c r="B467" s="46">
        <f>Expense!A434</f>
        <v/>
      </c>
      <c r="C467" s="46">
        <f>Income!A434</f>
        <v/>
      </c>
    </row>
    <row r="468">
      <c r="A468" s="40" t="inlineStr">
        <is>
          <t>Dec</t>
        </is>
      </c>
      <c r="B468" s="46">
        <f>Expense!A435</f>
        <v/>
      </c>
      <c r="C468" s="46">
        <f>Income!A435</f>
        <v/>
      </c>
    </row>
    <row r="469">
      <c r="A469" s="40" t="inlineStr">
        <is>
          <t>Jan</t>
        </is>
      </c>
      <c r="B469" s="46">
        <f>Expense!A436</f>
        <v/>
      </c>
      <c r="C469" s="46">
        <f>Income!A436</f>
        <v/>
      </c>
    </row>
    <row r="470">
      <c r="A470" s="40" t="inlineStr">
        <is>
          <t>Feb</t>
        </is>
      </c>
      <c r="B470" s="46">
        <f>Expense!A437</f>
        <v/>
      </c>
      <c r="C470" s="46">
        <f>Income!A437</f>
        <v/>
      </c>
    </row>
    <row r="471">
      <c r="A471" s="40" t="inlineStr">
        <is>
          <t>Mar</t>
        </is>
      </c>
      <c r="B471" s="46">
        <f>Expense!A438</f>
        <v/>
      </c>
      <c r="C471" s="40">
        <f>Income!A438</f>
        <v/>
      </c>
    </row>
    <row r="472">
      <c r="B472" s="46">
        <f>Expense!A439</f>
        <v/>
      </c>
      <c r="C472" s="40">
        <f>Income!A439</f>
        <v/>
      </c>
    </row>
    <row r="473">
      <c r="B473" s="40">
        <f>Expense!A440</f>
        <v/>
      </c>
      <c r="C473" s="46">
        <f>Income!A440</f>
        <v/>
      </c>
    </row>
    <row r="474">
      <c r="B474" s="40">
        <f>Expense!A441</f>
        <v/>
      </c>
      <c r="C474" s="40">
        <f>Income!A441</f>
        <v/>
      </c>
    </row>
    <row r="475">
      <c r="B475" s="40">
        <f>Expense!A442</f>
        <v/>
      </c>
      <c r="C475" s="40">
        <f>Income!A442</f>
        <v/>
      </c>
    </row>
    <row r="476">
      <c r="B476" s="40">
        <f>Expense!A443</f>
        <v/>
      </c>
      <c r="C476" s="40">
        <f>Income!A443</f>
        <v/>
      </c>
    </row>
    <row r="477">
      <c r="A477" s="40" t="inlineStr">
        <is>
          <t>Apr</t>
        </is>
      </c>
      <c r="B477" s="46">
        <f>Expense!A444</f>
        <v/>
      </c>
      <c r="C477" s="40">
        <f>Income!A444</f>
        <v/>
      </c>
    </row>
    <row r="478">
      <c r="A478" s="40" t="inlineStr">
        <is>
          <t>May</t>
        </is>
      </c>
      <c r="B478" s="46">
        <f>Expense!A445</f>
        <v/>
      </c>
      <c r="C478" s="46">
        <f>Income!A445</f>
        <v/>
      </c>
    </row>
    <row r="479">
      <c r="A479" s="40" t="inlineStr">
        <is>
          <t>Jun</t>
        </is>
      </c>
      <c r="B479" s="46">
        <f>Expense!A446</f>
        <v/>
      </c>
      <c r="C479" s="46">
        <f>Income!A446</f>
        <v/>
      </c>
    </row>
    <row r="480">
      <c r="A480" s="40" t="inlineStr">
        <is>
          <t>Jul</t>
        </is>
      </c>
      <c r="B480" s="46">
        <f>Expense!A447</f>
        <v/>
      </c>
      <c r="C480" s="46">
        <f>Income!A447</f>
        <v/>
      </c>
    </row>
    <row r="481">
      <c r="A481" s="40" t="inlineStr">
        <is>
          <t>Aug</t>
        </is>
      </c>
      <c r="B481" s="46">
        <f>Expense!A448</f>
        <v/>
      </c>
      <c r="C481" s="46">
        <f>Income!A448</f>
        <v/>
      </c>
    </row>
    <row r="482">
      <c r="A482" s="40" t="inlineStr">
        <is>
          <t>Sep</t>
        </is>
      </c>
      <c r="B482" s="46">
        <f>Expense!A449</f>
        <v/>
      </c>
      <c r="C482" s="46">
        <f>Income!A449</f>
        <v/>
      </c>
    </row>
    <row r="483">
      <c r="A483" s="40" t="inlineStr">
        <is>
          <t>Oct</t>
        </is>
      </c>
      <c r="B483" s="46">
        <f>Expense!A450</f>
        <v/>
      </c>
      <c r="C483" s="46">
        <f>Income!A450</f>
        <v/>
      </c>
    </row>
    <row r="484">
      <c r="A484" s="40" t="inlineStr">
        <is>
          <t>Nov</t>
        </is>
      </c>
      <c r="B484" s="46">
        <f>Expense!A451</f>
        <v/>
      </c>
      <c r="C484" s="40">
        <f>Income!A451</f>
        <v/>
      </c>
    </row>
    <row r="485">
      <c r="A485" s="40" t="inlineStr">
        <is>
          <t>Dec</t>
        </is>
      </c>
      <c r="B485" s="46">
        <f>Expense!A452</f>
        <v/>
      </c>
      <c r="C485" s="46">
        <f>Income!A452</f>
        <v/>
      </c>
    </row>
    <row r="486">
      <c r="A486" s="40" t="inlineStr">
        <is>
          <t>Jan</t>
        </is>
      </c>
      <c r="B486" s="46">
        <f>Expense!A453</f>
        <v/>
      </c>
      <c r="C486" s="46">
        <f>Income!A453</f>
        <v/>
      </c>
    </row>
    <row r="487">
      <c r="A487" s="40" t="inlineStr">
        <is>
          <t>Feb</t>
        </is>
      </c>
      <c r="B487" s="46">
        <f>Expense!A454</f>
        <v/>
      </c>
      <c r="C487" s="46">
        <f>Income!A454</f>
        <v/>
      </c>
    </row>
    <row r="488">
      <c r="A488" s="40" t="inlineStr">
        <is>
          <t>Mar</t>
        </is>
      </c>
      <c r="B488" s="46">
        <f>Expense!A455</f>
        <v/>
      </c>
      <c r="C488" s="40">
        <f>Income!A455</f>
        <v/>
      </c>
    </row>
    <row r="489">
      <c r="B489" s="46">
        <f>Expense!A456</f>
        <v/>
      </c>
      <c r="C489" s="40">
        <f>Income!A456</f>
        <v/>
      </c>
    </row>
    <row r="490">
      <c r="B490" s="40">
        <f>Expense!A457</f>
        <v/>
      </c>
      <c r="C490" s="46">
        <f>Income!A457</f>
        <v/>
      </c>
    </row>
    <row r="491">
      <c r="B491" s="40">
        <f>Expense!A458</f>
        <v/>
      </c>
      <c r="C491" s="40">
        <f>Income!A458</f>
        <v/>
      </c>
    </row>
    <row r="492">
      <c r="B492" s="40">
        <f>Expense!A459</f>
        <v/>
      </c>
      <c r="C492" s="40">
        <f>Income!A459</f>
        <v/>
      </c>
    </row>
    <row r="493">
      <c r="B493" s="40">
        <f>Expense!A460</f>
        <v/>
      </c>
      <c r="C493" s="40">
        <f>Income!A460</f>
        <v/>
      </c>
    </row>
    <row r="494">
      <c r="A494" s="40" t="inlineStr">
        <is>
          <t>Apr</t>
        </is>
      </c>
      <c r="B494" s="46">
        <f>Expense!A461</f>
        <v/>
      </c>
      <c r="C494" s="40">
        <f>Income!A461</f>
        <v/>
      </c>
    </row>
    <row r="495">
      <c r="A495" s="40" t="inlineStr">
        <is>
          <t>May</t>
        </is>
      </c>
      <c r="B495" s="46">
        <f>Expense!A462</f>
        <v/>
      </c>
      <c r="C495" s="46">
        <f>Income!A462</f>
        <v/>
      </c>
    </row>
    <row r="496">
      <c r="A496" s="40" t="inlineStr">
        <is>
          <t>Jun</t>
        </is>
      </c>
      <c r="B496" s="46">
        <f>Expense!A463</f>
        <v/>
      </c>
      <c r="C496" s="46">
        <f>Income!A463</f>
        <v/>
      </c>
    </row>
    <row r="497">
      <c r="A497" s="40" t="inlineStr">
        <is>
          <t>Jul</t>
        </is>
      </c>
      <c r="B497" s="46">
        <f>Expense!A464</f>
        <v/>
      </c>
      <c r="C497" s="46">
        <f>Income!A464</f>
        <v/>
      </c>
    </row>
    <row r="498">
      <c r="A498" s="40" t="inlineStr">
        <is>
          <t>Aug</t>
        </is>
      </c>
      <c r="B498" s="46">
        <f>Expense!A465</f>
        <v/>
      </c>
      <c r="C498" s="46">
        <f>Income!A465</f>
        <v/>
      </c>
    </row>
    <row r="499">
      <c r="A499" s="40" t="inlineStr">
        <is>
          <t>Sep</t>
        </is>
      </c>
      <c r="B499" s="46">
        <f>Expense!A466</f>
        <v/>
      </c>
      <c r="C499" s="46">
        <f>Income!A466</f>
        <v/>
      </c>
    </row>
    <row r="500">
      <c r="A500" s="40" t="inlineStr">
        <is>
          <t>Oct</t>
        </is>
      </c>
      <c r="B500" s="46">
        <f>Expense!A467</f>
        <v/>
      </c>
      <c r="C500" s="46">
        <f>Income!A467</f>
        <v/>
      </c>
    </row>
    <row r="501">
      <c r="A501" s="40" t="inlineStr">
        <is>
          <t>Nov</t>
        </is>
      </c>
      <c r="B501" s="46">
        <f>Expense!A468</f>
        <v/>
      </c>
      <c r="C501" s="46">
        <f>Income!A468</f>
        <v/>
      </c>
    </row>
    <row r="502">
      <c r="A502" s="40" t="inlineStr">
        <is>
          <t>Dec</t>
        </is>
      </c>
      <c r="B502" s="46">
        <f>Expense!A469</f>
        <v/>
      </c>
      <c r="C502" s="46">
        <f>Income!A469</f>
        <v/>
      </c>
    </row>
    <row r="503">
      <c r="A503" s="40" t="inlineStr">
        <is>
          <t>Jan</t>
        </is>
      </c>
      <c r="B503" s="46">
        <f>Expense!A470</f>
        <v/>
      </c>
      <c r="C503" s="46">
        <f>Income!A470</f>
        <v/>
      </c>
    </row>
    <row r="504">
      <c r="A504" s="40" t="inlineStr">
        <is>
          <t>Feb</t>
        </is>
      </c>
      <c r="B504" s="46">
        <f>Expense!A471</f>
        <v/>
      </c>
      <c r="C504" s="40">
        <f>Income!A471</f>
        <v/>
      </c>
    </row>
    <row r="505">
      <c r="A505" s="40" t="inlineStr">
        <is>
          <t>Mar</t>
        </is>
      </c>
      <c r="B505" s="46">
        <f>Expense!A472</f>
        <v/>
      </c>
      <c r="C505" s="46">
        <f>Income!A472</f>
        <v/>
      </c>
    </row>
    <row r="506">
      <c r="B506" s="46">
        <f>Expense!A473</f>
        <v/>
      </c>
      <c r="C506" s="40">
        <f>Income!A473</f>
        <v/>
      </c>
    </row>
    <row r="507">
      <c r="B507" s="40">
        <f>Expense!A474</f>
        <v/>
      </c>
      <c r="C507" s="46">
        <f>Income!A474</f>
        <v/>
      </c>
    </row>
    <row r="508">
      <c r="B508" s="40">
        <f>Expense!A475</f>
        <v/>
      </c>
      <c r="C508" s="40">
        <f>Income!A475</f>
        <v/>
      </c>
    </row>
    <row r="509">
      <c r="B509" s="40">
        <f>Expense!A476</f>
        <v/>
      </c>
      <c r="C509" s="40">
        <f>Income!A476</f>
        <v/>
      </c>
    </row>
    <row r="510">
      <c r="B510" s="40">
        <f>Expense!A477</f>
        <v/>
      </c>
      <c r="C510" s="40">
        <f>Income!A477</f>
        <v/>
      </c>
    </row>
    <row r="511">
      <c r="A511" s="40" t="inlineStr">
        <is>
          <t>Apr</t>
        </is>
      </c>
      <c r="B511" s="46">
        <f>Expense!A478</f>
        <v/>
      </c>
      <c r="C511" s="40">
        <f>Income!A478</f>
        <v/>
      </c>
    </row>
    <row r="512">
      <c r="A512" s="40" t="inlineStr">
        <is>
          <t>May</t>
        </is>
      </c>
      <c r="B512" s="46">
        <f>Expense!A479</f>
        <v/>
      </c>
      <c r="C512" s="40">
        <f>Income!A479</f>
        <v/>
      </c>
    </row>
    <row r="513">
      <c r="A513" s="40" t="inlineStr">
        <is>
          <t>Jun</t>
        </is>
      </c>
      <c r="B513" s="46">
        <f>Expense!A480</f>
        <v/>
      </c>
      <c r="C513" s="40">
        <f>Income!A480</f>
        <v/>
      </c>
    </row>
    <row r="514">
      <c r="A514" s="40" t="inlineStr">
        <is>
          <t>Jul</t>
        </is>
      </c>
      <c r="B514" s="46">
        <f>Expense!A481</f>
        <v/>
      </c>
      <c r="C514" s="40">
        <f>Income!A481</f>
        <v/>
      </c>
    </row>
    <row r="515">
      <c r="A515" s="40" t="inlineStr">
        <is>
          <t>Aug</t>
        </is>
      </c>
      <c r="B515" s="46">
        <f>Expense!A482</f>
        <v/>
      </c>
      <c r="C515" s="40">
        <f>Income!A482</f>
        <v/>
      </c>
    </row>
    <row r="516">
      <c r="A516" s="40" t="inlineStr">
        <is>
          <t>Sep</t>
        </is>
      </c>
      <c r="B516" s="46">
        <f>Expense!A483</f>
        <v/>
      </c>
      <c r="C516" s="117">
        <f>Income!A483</f>
        <v/>
      </c>
    </row>
    <row r="517">
      <c r="A517" s="40" t="inlineStr">
        <is>
          <t>Oct</t>
        </is>
      </c>
      <c r="B517" s="46">
        <f>Expense!A484</f>
        <v/>
      </c>
      <c r="C517" s="40">
        <f>Income!A484</f>
        <v/>
      </c>
    </row>
    <row r="518">
      <c r="A518" s="40" t="inlineStr">
        <is>
          <t>Nov</t>
        </is>
      </c>
      <c r="B518" s="46">
        <f>Expense!A485</f>
        <v/>
      </c>
      <c r="C518" s="40">
        <f>Income!A485</f>
        <v/>
      </c>
    </row>
    <row r="519">
      <c r="A519" s="40" t="inlineStr">
        <is>
          <t>Dec</t>
        </is>
      </c>
      <c r="B519" s="46">
        <f>Expense!A486</f>
        <v/>
      </c>
      <c r="C519" s="40">
        <f>Income!A486</f>
        <v/>
      </c>
    </row>
    <row r="520">
      <c r="A520" s="40" t="inlineStr">
        <is>
          <t>Jan</t>
        </is>
      </c>
      <c r="B520" s="46">
        <f>Expense!A487</f>
        <v/>
      </c>
      <c r="C520" s="40">
        <f>Income!A487</f>
        <v/>
      </c>
    </row>
    <row r="521">
      <c r="A521" s="40" t="inlineStr">
        <is>
          <t>Feb</t>
        </is>
      </c>
      <c r="B521" s="46">
        <f>Expense!A488</f>
        <v/>
      </c>
      <c r="C521" s="40">
        <f>Income!A488</f>
        <v/>
      </c>
    </row>
    <row r="522">
      <c r="A522" s="40" t="inlineStr">
        <is>
          <t>Mar</t>
        </is>
      </c>
      <c r="B522" s="46">
        <f>Expense!A489</f>
        <v/>
      </c>
      <c r="C522" s="40">
        <f>Income!A489</f>
        <v/>
      </c>
    </row>
    <row r="523">
      <c r="B523" s="46">
        <f>Expense!A490</f>
        <v/>
      </c>
      <c r="C523" s="40">
        <f>Income!A490</f>
        <v/>
      </c>
    </row>
    <row r="524">
      <c r="B524" s="40">
        <f>Expense!A491</f>
        <v/>
      </c>
      <c r="C524" s="46">
        <f>Income!A491</f>
        <v/>
      </c>
    </row>
    <row r="525">
      <c r="B525" s="40">
        <f>Expense!A492</f>
        <v/>
      </c>
      <c r="C525" s="40">
        <f>Income!A492</f>
        <v/>
      </c>
    </row>
    <row r="526">
      <c r="B526" s="40">
        <f>Expense!A493</f>
        <v/>
      </c>
      <c r="C526" s="40">
        <f>Income!A493</f>
        <v/>
      </c>
    </row>
    <row r="527">
      <c r="B527" s="40">
        <f>Expense!A494</f>
        <v/>
      </c>
      <c r="C527" s="40">
        <f>Income!A494</f>
        <v/>
      </c>
    </row>
    <row r="528">
      <c r="A528" s="40" t="inlineStr">
        <is>
          <t>Apr</t>
        </is>
      </c>
      <c r="B528" s="46">
        <f>Expense!A495</f>
        <v/>
      </c>
      <c r="C528" s="40">
        <f>Income!A495</f>
        <v/>
      </c>
    </row>
    <row r="529">
      <c r="A529" s="40" t="inlineStr">
        <is>
          <t>May</t>
        </is>
      </c>
      <c r="B529" s="46">
        <f>Expense!A496</f>
        <v/>
      </c>
      <c r="C529" s="40">
        <f>Income!A496</f>
        <v/>
      </c>
    </row>
    <row r="530">
      <c r="A530" s="40" t="inlineStr">
        <is>
          <t>Jun</t>
        </is>
      </c>
      <c r="B530" s="46">
        <f>Expense!A497</f>
        <v/>
      </c>
      <c r="C530" s="40">
        <f>Income!A497</f>
        <v/>
      </c>
    </row>
    <row r="531">
      <c r="A531" s="40" t="inlineStr">
        <is>
          <t>Jul</t>
        </is>
      </c>
      <c r="B531" s="46">
        <f>Expense!A498</f>
        <v/>
      </c>
      <c r="C531" s="40">
        <f>Income!A498</f>
        <v/>
      </c>
    </row>
    <row r="532">
      <c r="A532" s="40" t="inlineStr">
        <is>
          <t>Aug</t>
        </is>
      </c>
      <c r="B532" s="46">
        <f>Expense!A499</f>
        <v/>
      </c>
      <c r="C532" s="40">
        <f>Income!A499</f>
        <v/>
      </c>
    </row>
    <row r="533">
      <c r="A533" s="40" t="inlineStr">
        <is>
          <t>Sep</t>
        </is>
      </c>
      <c r="B533" s="46">
        <f>Expense!A500</f>
        <v/>
      </c>
      <c r="C533" s="40">
        <f>Income!A500</f>
        <v/>
      </c>
    </row>
    <row r="534">
      <c r="A534" s="40" t="inlineStr">
        <is>
          <t>Oct</t>
        </is>
      </c>
      <c r="B534" s="46">
        <f>Expense!A501</f>
        <v/>
      </c>
      <c r="C534" s="46">
        <f>Income!A501</f>
        <v/>
      </c>
    </row>
    <row r="535">
      <c r="A535" s="40" t="inlineStr">
        <is>
          <t>Nov</t>
        </is>
      </c>
      <c r="B535" s="46">
        <f>Expense!A502</f>
        <v/>
      </c>
      <c r="C535" s="40">
        <f>Income!A502</f>
        <v/>
      </c>
    </row>
    <row r="536">
      <c r="A536" s="40" t="inlineStr">
        <is>
          <t>Dec</t>
        </is>
      </c>
      <c r="B536" s="46">
        <f>Expense!A503</f>
        <v/>
      </c>
      <c r="C536" s="40">
        <f>Income!A503</f>
        <v/>
      </c>
    </row>
    <row r="537">
      <c r="A537" s="40" t="inlineStr">
        <is>
          <t>Jan</t>
        </is>
      </c>
      <c r="B537" s="46">
        <f>Expense!A504</f>
        <v/>
      </c>
      <c r="C537" s="40">
        <f>Income!A504</f>
        <v/>
      </c>
    </row>
    <row r="538">
      <c r="A538" s="40" t="inlineStr">
        <is>
          <t>Feb</t>
        </is>
      </c>
      <c r="B538" s="46">
        <f>Expense!A505</f>
        <v/>
      </c>
      <c r="C538" s="40">
        <f>Income!A505</f>
        <v/>
      </c>
    </row>
    <row r="539">
      <c r="A539" s="40" t="inlineStr">
        <is>
          <t>Mar</t>
        </is>
      </c>
      <c r="B539" s="46">
        <f>Expense!A506</f>
        <v/>
      </c>
      <c r="C539" s="40">
        <f>Income!A506</f>
        <v/>
      </c>
    </row>
    <row r="540">
      <c r="B540" s="46">
        <f>Expense!A507</f>
        <v/>
      </c>
      <c r="C540" s="40">
        <f>Income!A507</f>
        <v/>
      </c>
    </row>
    <row r="541">
      <c r="B541" s="40">
        <f>Expense!A508</f>
        <v/>
      </c>
      <c r="C541" s="46">
        <f>Income!A508</f>
        <v/>
      </c>
    </row>
    <row r="542">
      <c r="B542" s="40">
        <f>Expense!A509</f>
        <v/>
      </c>
      <c r="C542" s="40">
        <f>Income!A509</f>
        <v/>
      </c>
    </row>
    <row r="543">
      <c r="B543" s="40">
        <f>Expense!A510</f>
        <v/>
      </c>
      <c r="C543" s="40">
        <f>Income!A510</f>
        <v/>
      </c>
    </row>
    <row r="544">
      <c r="B544" s="40">
        <f>Expense!A511</f>
        <v/>
      </c>
      <c r="C544" s="40">
        <f>Income!A511</f>
        <v/>
      </c>
    </row>
    <row r="545">
      <c r="A545" s="40" t="inlineStr">
        <is>
          <t>Apr</t>
        </is>
      </c>
      <c r="B545" s="46">
        <f>Expense!A512</f>
        <v/>
      </c>
      <c r="C545" s="40">
        <f>Income!A512</f>
        <v/>
      </c>
    </row>
    <row r="546">
      <c r="A546" s="40" t="inlineStr">
        <is>
          <t>May</t>
        </is>
      </c>
      <c r="B546" s="46">
        <f>Expense!A513</f>
        <v/>
      </c>
      <c r="C546" s="46">
        <f>Income!A513</f>
        <v/>
      </c>
    </row>
    <row r="547">
      <c r="A547" s="40" t="inlineStr">
        <is>
          <t>Jun</t>
        </is>
      </c>
      <c r="B547" s="46">
        <f>Expense!A514</f>
        <v/>
      </c>
      <c r="C547" s="46">
        <f>Income!A514</f>
        <v/>
      </c>
    </row>
    <row r="548">
      <c r="A548" s="40" t="inlineStr">
        <is>
          <t>Jul</t>
        </is>
      </c>
      <c r="B548" s="46">
        <f>Expense!A515</f>
        <v/>
      </c>
      <c r="C548" s="46">
        <f>Income!A515</f>
        <v/>
      </c>
    </row>
    <row r="549">
      <c r="A549" s="40" t="inlineStr">
        <is>
          <t>Aug</t>
        </is>
      </c>
      <c r="B549" s="46">
        <f>Expense!A516</f>
        <v/>
      </c>
      <c r="C549" s="46">
        <f>Income!A516</f>
        <v/>
      </c>
    </row>
    <row r="550">
      <c r="A550" s="40" t="inlineStr">
        <is>
          <t>Sep</t>
        </is>
      </c>
      <c r="B550" s="46">
        <f>Expense!A517</f>
        <v/>
      </c>
      <c r="C550" s="46">
        <f>Income!A517</f>
        <v/>
      </c>
    </row>
    <row r="551">
      <c r="A551" s="40" t="inlineStr">
        <is>
          <t>Oct</t>
        </is>
      </c>
      <c r="B551" s="46">
        <f>Expense!A518</f>
        <v/>
      </c>
      <c r="C551" s="46">
        <f>Income!A518</f>
        <v/>
      </c>
    </row>
    <row r="552">
      <c r="A552" s="40" t="inlineStr">
        <is>
          <t>Nov</t>
        </is>
      </c>
      <c r="B552" s="46">
        <f>Expense!A519</f>
        <v/>
      </c>
      <c r="C552" s="46">
        <f>Income!A519</f>
        <v/>
      </c>
    </row>
    <row r="553">
      <c r="A553" s="40" t="inlineStr">
        <is>
          <t>Dec</t>
        </is>
      </c>
      <c r="B553" s="46">
        <f>Expense!A520</f>
        <v/>
      </c>
      <c r="C553" s="46">
        <f>Income!A520</f>
        <v/>
      </c>
    </row>
    <row r="554">
      <c r="A554" s="40" t="inlineStr">
        <is>
          <t>Jan</t>
        </is>
      </c>
      <c r="B554" s="46">
        <f>Expense!A521</f>
        <v/>
      </c>
      <c r="C554" s="46">
        <f>Income!A521</f>
        <v/>
      </c>
    </row>
    <row r="555">
      <c r="A555" s="40" t="inlineStr">
        <is>
          <t>Feb</t>
        </is>
      </c>
      <c r="B555" s="46">
        <f>Expense!A522</f>
        <v/>
      </c>
      <c r="C555" s="46">
        <f>Income!A522</f>
        <v/>
      </c>
    </row>
    <row r="556">
      <c r="A556" s="40" t="inlineStr">
        <is>
          <t>Mar</t>
        </is>
      </c>
      <c r="B556" s="46">
        <f>Expense!A523</f>
        <v/>
      </c>
      <c r="C556" s="40">
        <f>Income!A523</f>
        <v/>
      </c>
    </row>
    <row r="557">
      <c r="B557" s="46">
        <f>Expense!A524</f>
        <v/>
      </c>
      <c r="C557" s="40">
        <f>Income!A524</f>
        <v/>
      </c>
    </row>
    <row r="558">
      <c r="B558" s="40">
        <f>Expense!A525</f>
        <v/>
      </c>
      <c r="C558" s="46">
        <f>Income!A525</f>
        <v/>
      </c>
    </row>
    <row r="559">
      <c r="B559" s="40">
        <f>Expense!A526</f>
        <v/>
      </c>
      <c r="C559" s="40">
        <f>Income!A526</f>
        <v/>
      </c>
    </row>
    <row r="560">
      <c r="B560" s="40">
        <f>Expense!A527</f>
        <v/>
      </c>
      <c r="C560" s="40">
        <f>Income!A527</f>
        <v/>
      </c>
    </row>
    <row r="561">
      <c r="B561" s="40">
        <f>Expense!A528</f>
        <v/>
      </c>
      <c r="C561" s="40">
        <f>Income!A528</f>
        <v/>
      </c>
    </row>
    <row r="562">
      <c r="A562" s="40" t="inlineStr">
        <is>
          <t>Apr</t>
        </is>
      </c>
      <c r="B562" s="46">
        <f>Expense!A529</f>
        <v/>
      </c>
      <c r="C562" s="40">
        <f>Income!A529</f>
        <v/>
      </c>
    </row>
    <row r="563">
      <c r="A563" s="40" t="inlineStr">
        <is>
          <t>May</t>
        </is>
      </c>
      <c r="B563" s="46">
        <f>Expense!A530</f>
        <v/>
      </c>
      <c r="C563" s="40">
        <f>Income!A530</f>
        <v/>
      </c>
    </row>
    <row r="564">
      <c r="A564" s="40" t="inlineStr">
        <is>
          <t>Jun</t>
        </is>
      </c>
      <c r="B564" s="46">
        <f>Expense!A531</f>
        <v/>
      </c>
      <c r="C564" s="40">
        <f>Income!A531</f>
        <v/>
      </c>
    </row>
    <row r="565">
      <c r="A565" s="40" t="inlineStr">
        <is>
          <t>Jul</t>
        </is>
      </c>
      <c r="B565" s="46">
        <f>Expense!A532</f>
        <v/>
      </c>
      <c r="C565" s="40">
        <f>Income!A532</f>
        <v/>
      </c>
    </row>
    <row r="566">
      <c r="A566" s="40" t="inlineStr">
        <is>
          <t>Aug</t>
        </is>
      </c>
      <c r="B566" s="46">
        <f>Expense!A533</f>
        <v/>
      </c>
      <c r="C566" s="40">
        <f>Income!A533</f>
        <v/>
      </c>
    </row>
    <row r="567">
      <c r="A567" s="40" t="inlineStr">
        <is>
          <t>Sep</t>
        </is>
      </c>
      <c r="B567" s="46">
        <f>Expense!A534</f>
        <v/>
      </c>
      <c r="C567" s="40">
        <f>Income!A534</f>
        <v/>
      </c>
    </row>
    <row r="568">
      <c r="A568" s="40" t="inlineStr">
        <is>
          <t>Oct</t>
        </is>
      </c>
      <c r="B568" s="46">
        <f>Expense!A535</f>
        <v/>
      </c>
      <c r="C568" s="46">
        <f>Income!A535</f>
        <v/>
      </c>
    </row>
    <row r="569">
      <c r="A569" s="40" t="inlineStr">
        <is>
          <t>Nov</t>
        </is>
      </c>
      <c r="B569" s="46">
        <f>Expense!A536</f>
        <v/>
      </c>
      <c r="C569" s="40">
        <f>Income!A536</f>
        <v/>
      </c>
    </row>
    <row r="570">
      <c r="A570" s="40" t="inlineStr">
        <is>
          <t>Dec</t>
        </is>
      </c>
      <c r="B570" s="46">
        <f>Expense!A537</f>
        <v/>
      </c>
      <c r="C570" s="40">
        <f>Income!A537</f>
        <v/>
      </c>
    </row>
    <row r="571">
      <c r="A571" s="40" t="inlineStr">
        <is>
          <t>Jan</t>
        </is>
      </c>
      <c r="B571" s="46">
        <f>Expense!A538</f>
        <v/>
      </c>
      <c r="C571" s="40">
        <f>Income!A538</f>
        <v/>
      </c>
    </row>
    <row r="572">
      <c r="A572" s="40" t="inlineStr">
        <is>
          <t>Feb</t>
        </is>
      </c>
      <c r="B572" s="46">
        <f>Expense!A539</f>
        <v/>
      </c>
      <c r="C572" s="40">
        <f>Income!A539</f>
        <v/>
      </c>
    </row>
    <row r="573">
      <c r="A573" s="40" t="inlineStr">
        <is>
          <t>Mar</t>
        </is>
      </c>
      <c r="B573" s="46">
        <f>Expense!A540</f>
        <v/>
      </c>
      <c r="C573" s="40">
        <f>Income!A540</f>
        <v/>
      </c>
    </row>
    <row r="574">
      <c r="B574" s="46">
        <f>Expense!A541</f>
        <v/>
      </c>
      <c r="C574" s="40">
        <f>Income!A541</f>
        <v/>
      </c>
    </row>
    <row r="575">
      <c r="B575" s="40">
        <f>Expense!A542</f>
        <v/>
      </c>
      <c r="C575" s="46">
        <f>Income!A542</f>
        <v/>
      </c>
    </row>
    <row r="576">
      <c r="B576" s="40">
        <f>Expense!A543</f>
        <v/>
      </c>
      <c r="C576" s="40">
        <f>Income!A543</f>
        <v/>
      </c>
    </row>
    <row r="577">
      <c r="B577" s="40">
        <f>Expense!A544</f>
        <v/>
      </c>
      <c r="C577" s="40">
        <f>Income!A544</f>
        <v/>
      </c>
    </row>
    <row r="578">
      <c r="B578" s="40">
        <f>Expense!A545</f>
        <v/>
      </c>
      <c r="C578" s="40">
        <f>Income!A545</f>
        <v/>
      </c>
    </row>
    <row r="579">
      <c r="A579" s="40" t="inlineStr">
        <is>
          <t>Apr</t>
        </is>
      </c>
      <c r="B579" s="46">
        <f>Expense!A546</f>
        <v/>
      </c>
      <c r="C579" s="40">
        <f>Income!A546</f>
        <v/>
      </c>
    </row>
    <row r="580">
      <c r="A580" s="40" t="inlineStr">
        <is>
          <t>May</t>
        </is>
      </c>
      <c r="B580" s="46">
        <f>Expense!A547</f>
        <v/>
      </c>
      <c r="C580" s="46">
        <f>Income!A547</f>
        <v/>
      </c>
    </row>
    <row r="581">
      <c r="A581" s="40" t="inlineStr">
        <is>
          <t>Jun</t>
        </is>
      </c>
      <c r="B581" s="46">
        <f>Expense!A548</f>
        <v/>
      </c>
      <c r="C581" s="46">
        <f>Income!A548</f>
        <v/>
      </c>
    </row>
    <row r="582">
      <c r="A582" s="40" t="inlineStr">
        <is>
          <t>Jul</t>
        </is>
      </c>
      <c r="B582" s="46">
        <f>Expense!A549</f>
        <v/>
      </c>
      <c r="C582" s="46">
        <f>Income!A549</f>
        <v/>
      </c>
    </row>
    <row r="583">
      <c r="A583" s="40" t="inlineStr">
        <is>
          <t>Aug</t>
        </is>
      </c>
      <c r="B583" s="46">
        <f>Expense!A550</f>
        <v/>
      </c>
      <c r="C583" s="46">
        <f>Income!A550</f>
        <v/>
      </c>
    </row>
    <row r="584">
      <c r="A584" s="40" t="inlineStr">
        <is>
          <t>Sep</t>
        </is>
      </c>
      <c r="B584" s="46">
        <f>Expense!A551</f>
        <v/>
      </c>
      <c r="C584" s="46">
        <f>Income!A551</f>
        <v/>
      </c>
    </row>
    <row r="585">
      <c r="A585" s="40" t="inlineStr">
        <is>
          <t>Oct</t>
        </is>
      </c>
      <c r="B585" s="46">
        <f>Expense!A552</f>
        <v/>
      </c>
      <c r="C585" s="46">
        <f>Income!A552</f>
        <v/>
      </c>
    </row>
    <row r="586">
      <c r="A586" s="40" t="inlineStr">
        <is>
          <t>Nov</t>
        </is>
      </c>
      <c r="B586" s="46">
        <f>Expense!A553</f>
        <v/>
      </c>
      <c r="C586" s="46">
        <f>Income!A553</f>
        <v/>
      </c>
    </row>
    <row r="587">
      <c r="A587" s="40" t="inlineStr">
        <is>
          <t>Dec</t>
        </is>
      </c>
      <c r="B587" s="46">
        <f>Expense!A554</f>
        <v/>
      </c>
      <c r="C587" s="46">
        <f>Income!A554</f>
        <v/>
      </c>
    </row>
    <row r="588">
      <c r="A588" s="40" t="inlineStr">
        <is>
          <t>Jan</t>
        </is>
      </c>
      <c r="B588" s="46">
        <f>Expense!A555</f>
        <v/>
      </c>
      <c r="C588" s="46">
        <f>Income!A555</f>
        <v/>
      </c>
    </row>
    <row r="589">
      <c r="A589" s="40" t="inlineStr">
        <is>
          <t>Feb</t>
        </is>
      </c>
      <c r="B589" s="46">
        <f>Expense!A556</f>
        <v/>
      </c>
      <c r="C589" s="46">
        <f>Income!A556</f>
        <v/>
      </c>
    </row>
    <row r="590">
      <c r="A590" s="40" t="inlineStr">
        <is>
          <t>Mar</t>
        </is>
      </c>
      <c r="B590" s="46">
        <f>Expense!A557</f>
        <v/>
      </c>
      <c r="C590" s="40">
        <f>Income!A557</f>
        <v/>
      </c>
    </row>
    <row r="591">
      <c r="B591" s="46">
        <f>Expense!A558</f>
        <v/>
      </c>
      <c r="C591" s="40">
        <f>Income!A558</f>
        <v/>
      </c>
    </row>
    <row r="592">
      <c r="B592" s="40">
        <f>Expense!A559</f>
        <v/>
      </c>
      <c r="C592" s="46">
        <f>Income!A559</f>
        <v/>
      </c>
    </row>
    <row r="593">
      <c r="B593" s="40">
        <f>Expense!A560</f>
        <v/>
      </c>
      <c r="C593" s="40">
        <f>Income!A560</f>
        <v/>
      </c>
    </row>
    <row r="594">
      <c r="B594" s="40">
        <f>Expense!A561</f>
        <v/>
      </c>
      <c r="C594" s="40">
        <f>Income!A561</f>
        <v/>
      </c>
    </row>
    <row r="595">
      <c r="B595" s="40">
        <f>Expense!A562</f>
        <v/>
      </c>
      <c r="C595" s="40">
        <f>Income!A562</f>
        <v/>
      </c>
    </row>
    <row r="596">
      <c r="A596" s="40" t="inlineStr">
        <is>
          <t>Apr</t>
        </is>
      </c>
      <c r="B596" s="46">
        <f>Expense!A563</f>
        <v/>
      </c>
      <c r="C596" s="40">
        <f>Income!A563</f>
        <v/>
      </c>
    </row>
    <row r="597">
      <c r="A597" s="40" t="inlineStr">
        <is>
          <t>May</t>
        </is>
      </c>
      <c r="B597" s="46">
        <f>Expense!A564</f>
        <v/>
      </c>
      <c r="C597" s="40">
        <f>Income!A564</f>
        <v/>
      </c>
    </row>
    <row r="598">
      <c r="A598" s="40" t="inlineStr">
        <is>
          <t>Jun</t>
        </is>
      </c>
      <c r="B598" s="46">
        <f>Expense!A565</f>
        <v/>
      </c>
      <c r="C598" s="46">
        <f>Income!A565</f>
        <v/>
      </c>
    </row>
    <row r="599">
      <c r="A599" s="40" t="inlineStr">
        <is>
          <t>Jul</t>
        </is>
      </c>
      <c r="B599" s="46">
        <f>Expense!A566</f>
        <v/>
      </c>
      <c r="C599" s="46">
        <f>Income!A566</f>
        <v/>
      </c>
    </row>
    <row r="600">
      <c r="A600" s="40" t="inlineStr">
        <is>
          <t>Aug</t>
        </is>
      </c>
      <c r="B600" s="46">
        <f>Expense!A567</f>
        <v/>
      </c>
      <c r="C600" s="46">
        <f>Income!A567</f>
        <v/>
      </c>
    </row>
    <row r="601">
      <c r="A601" s="40" t="inlineStr">
        <is>
          <t>Sep</t>
        </is>
      </c>
      <c r="B601" s="46">
        <f>Expense!A568</f>
        <v/>
      </c>
      <c r="C601" s="46">
        <f>Income!A568</f>
        <v/>
      </c>
    </row>
    <row r="602">
      <c r="A602" s="40" t="inlineStr">
        <is>
          <t>Oct</t>
        </is>
      </c>
      <c r="B602" s="46">
        <f>Expense!A569</f>
        <v/>
      </c>
      <c r="C602" s="46">
        <f>Income!A569</f>
        <v/>
      </c>
    </row>
    <row r="603">
      <c r="A603" s="40" t="inlineStr">
        <is>
          <t>Nov</t>
        </is>
      </c>
      <c r="B603" s="46">
        <f>Expense!A570</f>
        <v/>
      </c>
      <c r="C603" s="46">
        <f>Income!A570</f>
        <v/>
      </c>
    </row>
    <row r="604">
      <c r="A604" s="40" t="inlineStr">
        <is>
          <t>Dec</t>
        </is>
      </c>
      <c r="B604" s="46">
        <f>Expense!A571</f>
        <v/>
      </c>
      <c r="C604" s="46">
        <f>Income!A571</f>
        <v/>
      </c>
    </row>
    <row r="605">
      <c r="A605" s="40" t="inlineStr">
        <is>
          <t>Jan</t>
        </is>
      </c>
      <c r="B605" s="46">
        <f>Expense!A572</f>
        <v/>
      </c>
      <c r="C605" s="46">
        <f>Income!A572</f>
        <v/>
      </c>
    </row>
    <row r="606">
      <c r="A606" s="40" t="inlineStr">
        <is>
          <t>Feb</t>
        </is>
      </c>
      <c r="B606" s="46">
        <f>Expense!A573</f>
        <v/>
      </c>
      <c r="C606" s="40">
        <f>Income!A573</f>
        <v/>
      </c>
    </row>
    <row r="607">
      <c r="A607" s="40" t="inlineStr">
        <is>
          <t>Mar</t>
        </is>
      </c>
      <c r="B607" s="46">
        <f>Expense!A574</f>
        <v/>
      </c>
      <c r="C607" s="46">
        <f>Income!A574</f>
        <v/>
      </c>
    </row>
    <row r="608">
      <c r="B608" s="46">
        <f>Expense!A575</f>
        <v/>
      </c>
      <c r="C608" s="40">
        <f>Income!A575</f>
        <v/>
      </c>
    </row>
    <row r="609">
      <c r="B609" s="40">
        <f>Expense!A576</f>
        <v/>
      </c>
      <c r="C609" s="46">
        <f>Income!A576</f>
        <v/>
      </c>
    </row>
    <row r="610">
      <c r="B610" s="40">
        <f>Expense!A577</f>
        <v/>
      </c>
      <c r="C610" s="40">
        <f>Income!A577</f>
        <v/>
      </c>
    </row>
    <row r="611">
      <c r="B611" s="40">
        <f>Expense!A578</f>
        <v/>
      </c>
      <c r="C611" s="40">
        <f>Income!A578</f>
        <v/>
      </c>
    </row>
    <row r="612">
      <c r="B612" s="40">
        <f>Expense!A579</f>
        <v/>
      </c>
      <c r="C612" s="40">
        <f>Income!A579</f>
        <v/>
      </c>
    </row>
    <row r="613">
      <c r="A613" s="40" t="inlineStr">
        <is>
          <t>Apr</t>
        </is>
      </c>
      <c r="B613" s="46">
        <f>Expense!A580</f>
        <v/>
      </c>
      <c r="C613" s="40">
        <f>Income!A580</f>
        <v/>
      </c>
    </row>
    <row r="614">
      <c r="A614" s="40" t="inlineStr">
        <is>
          <t>May</t>
        </is>
      </c>
      <c r="B614" s="46">
        <f>Expense!A581</f>
        <v/>
      </c>
      <c r="C614" s="40">
        <f>Income!A581</f>
        <v/>
      </c>
    </row>
    <row r="615">
      <c r="A615" s="40" t="inlineStr">
        <is>
          <t>Jun</t>
        </is>
      </c>
      <c r="B615" s="46">
        <f>Expense!A582</f>
        <v/>
      </c>
      <c r="C615" s="40">
        <f>Income!A582</f>
        <v/>
      </c>
    </row>
    <row r="616">
      <c r="A616" s="40" t="inlineStr">
        <is>
          <t>Jul</t>
        </is>
      </c>
      <c r="B616" s="46">
        <f>Expense!A583</f>
        <v/>
      </c>
      <c r="C616" s="40">
        <f>Income!A583</f>
        <v/>
      </c>
    </row>
    <row r="617">
      <c r="A617" s="40" t="inlineStr">
        <is>
          <t>Aug</t>
        </is>
      </c>
      <c r="B617" s="46">
        <f>Expense!A584</f>
        <v/>
      </c>
      <c r="C617" s="40">
        <f>Income!A584</f>
        <v/>
      </c>
    </row>
    <row r="618">
      <c r="A618" s="40" t="inlineStr">
        <is>
          <t>Sep</t>
        </is>
      </c>
      <c r="B618" s="46">
        <f>Expense!A585</f>
        <v/>
      </c>
      <c r="C618" s="40">
        <f>Income!A585</f>
        <v/>
      </c>
    </row>
    <row r="619">
      <c r="A619" s="40" t="inlineStr">
        <is>
          <t>Oct</t>
        </is>
      </c>
      <c r="B619" s="46">
        <f>Expense!A586</f>
        <v/>
      </c>
      <c r="C619" s="46">
        <f>Income!A586</f>
        <v/>
      </c>
    </row>
    <row r="620">
      <c r="A620" s="40" t="inlineStr">
        <is>
          <t>Nov</t>
        </is>
      </c>
      <c r="B620" s="46">
        <f>Expense!A587</f>
        <v/>
      </c>
      <c r="C620" s="40">
        <f>Income!A587</f>
        <v/>
      </c>
    </row>
    <row r="621">
      <c r="A621" s="40" t="inlineStr">
        <is>
          <t>Dec</t>
        </is>
      </c>
      <c r="B621" s="46">
        <f>Expense!A588</f>
        <v/>
      </c>
      <c r="C621" s="40">
        <f>Income!A588</f>
        <v/>
      </c>
    </row>
    <row r="622">
      <c r="A622" s="40" t="inlineStr">
        <is>
          <t>Jan</t>
        </is>
      </c>
      <c r="B622" s="46">
        <f>Expense!A589</f>
        <v/>
      </c>
      <c r="C622" s="40">
        <f>Income!A589</f>
        <v/>
      </c>
    </row>
    <row r="623">
      <c r="A623" s="40" t="inlineStr">
        <is>
          <t>Feb</t>
        </is>
      </c>
      <c r="B623" s="46">
        <f>Expense!A590</f>
        <v/>
      </c>
      <c r="C623" s="40">
        <f>Income!A590</f>
        <v/>
      </c>
    </row>
    <row r="624">
      <c r="A624" s="40" t="inlineStr">
        <is>
          <t>Mar</t>
        </is>
      </c>
      <c r="B624" s="46">
        <f>Expense!A591</f>
        <v/>
      </c>
      <c r="C624" s="40">
        <f>Income!A591</f>
        <v/>
      </c>
    </row>
    <row r="625">
      <c r="B625" s="46">
        <f>Expense!A592</f>
        <v/>
      </c>
      <c r="C625" s="40">
        <f>Income!A592</f>
        <v/>
      </c>
    </row>
    <row r="626">
      <c r="B626" s="40">
        <f>Expense!A593</f>
        <v/>
      </c>
      <c r="C626" s="46">
        <f>Income!A593</f>
        <v/>
      </c>
    </row>
    <row r="627">
      <c r="B627" s="40">
        <f>Expense!A594</f>
        <v/>
      </c>
      <c r="C627" s="40">
        <f>Income!A594</f>
        <v/>
      </c>
    </row>
    <row r="628">
      <c r="B628" s="40">
        <f>Expense!A595</f>
        <v/>
      </c>
      <c r="C628" s="40">
        <f>Income!A595</f>
        <v/>
      </c>
    </row>
    <row r="629">
      <c r="B629" s="40">
        <f>Expense!A596</f>
        <v/>
      </c>
      <c r="C629" s="40">
        <f>Income!A596</f>
        <v/>
      </c>
    </row>
    <row r="630">
      <c r="A630" s="40" t="inlineStr">
        <is>
          <t>Apr</t>
        </is>
      </c>
      <c r="B630" s="46">
        <f>Expense!A597</f>
        <v/>
      </c>
      <c r="C630" s="40">
        <f>Income!A597</f>
        <v/>
      </c>
    </row>
    <row r="631">
      <c r="A631" s="40" t="inlineStr">
        <is>
          <t>May</t>
        </is>
      </c>
      <c r="B631" s="46">
        <f>Expense!A598</f>
        <v/>
      </c>
      <c r="C631" s="46">
        <f>Income!A598</f>
        <v/>
      </c>
    </row>
    <row r="632">
      <c r="A632" s="40" t="inlineStr">
        <is>
          <t>Jun</t>
        </is>
      </c>
      <c r="B632" s="46">
        <f>Expense!A599</f>
        <v/>
      </c>
      <c r="C632" s="46">
        <f>Income!A599</f>
        <v/>
      </c>
    </row>
    <row r="633">
      <c r="A633" s="40" t="inlineStr">
        <is>
          <t>Jul</t>
        </is>
      </c>
      <c r="B633" s="46">
        <f>Expense!A600</f>
        <v/>
      </c>
      <c r="C633" s="46">
        <f>Income!A600</f>
        <v/>
      </c>
    </row>
    <row r="634">
      <c r="A634" s="40" t="inlineStr">
        <is>
          <t>Aug</t>
        </is>
      </c>
      <c r="B634" s="46">
        <f>Expense!A601</f>
        <v/>
      </c>
      <c r="C634" s="46">
        <f>Income!A601</f>
        <v/>
      </c>
    </row>
    <row r="635">
      <c r="A635" s="40" t="inlineStr">
        <is>
          <t>Sep</t>
        </is>
      </c>
      <c r="B635" s="46">
        <f>Expense!A602</f>
        <v/>
      </c>
      <c r="C635" s="46">
        <f>Income!A602</f>
        <v/>
      </c>
    </row>
    <row r="636">
      <c r="A636" s="40" t="inlineStr">
        <is>
          <t>Oct</t>
        </is>
      </c>
      <c r="B636" s="46">
        <f>Expense!A603</f>
        <v/>
      </c>
      <c r="C636" s="46">
        <f>Income!A603</f>
        <v/>
      </c>
    </row>
    <row r="637">
      <c r="A637" s="40" t="inlineStr">
        <is>
          <t>Nov</t>
        </is>
      </c>
      <c r="B637" s="46">
        <f>Expense!A604</f>
        <v/>
      </c>
      <c r="C637" s="46">
        <f>Income!A604</f>
        <v/>
      </c>
    </row>
    <row r="638">
      <c r="A638" s="40" t="inlineStr">
        <is>
          <t>Dec</t>
        </is>
      </c>
      <c r="B638" s="46">
        <f>Expense!A605</f>
        <v/>
      </c>
      <c r="C638" s="46">
        <f>Income!A605</f>
        <v/>
      </c>
    </row>
    <row r="639">
      <c r="A639" s="40" t="inlineStr">
        <is>
          <t>Jan</t>
        </is>
      </c>
      <c r="B639" s="46">
        <f>Expense!A606</f>
        <v/>
      </c>
      <c r="C639" s="46">
        <f>Income!A606</f>
        <v/>
      </c>
    </row>
    <row r="640">
      <c r="A640" s="40" t="inlineStr">
        <is>
          <t>Feb</t>
        </is>
      </c>
      <c r="B640" s="46">
        <f>Expense!A607</f>
        <v/>
      </c>
      <c r="C640" s="46">
        <f>Income!A607</f>
        <v/>
      </c>
    </row>
    <row r="641">
      <c r="A641" s="40" t="inlineStr">
        <is>
          <t>Mar</t>
        </is>
      </c>
      <c r="B641" s="46">
        <f>Expense!A608</f>
        <v/>
      </c>
      <c r="C641" s="40">
        <f>Income!A608</f>
        <v/>
      </c>
    </row>
    <row r="642">
      <c r="B642" s="46">
        <f>Expense!A609</f>
        <v/>
      </c>
      <c r="C642" s="40">
        <f>Income!A609</f>
        <v/>
      </c>
    </row>
    <row r="643">
      <c r="B643" s="40">
        <f>Expense!A610</f>
        <v/>
      </c>
      <c r="C643" s="46">
        <f>Income!A610</f>
        <v/>
      </c>
    </row>
    <row r="644">
      <c r="B644" s="40">
        <f>Expense!A611</f>
        <v/>
      </c>
      <c r="C644" s="40">
        <f>Income!A611</f>
        <v/>
      </c>
    </row>
    <row r="645">
      <c r="B645" s="40">
        <f>Expense!A612</f>
        <v/>
      </c>
      <c r="C645" s="40">
        <f>Income!A612</f>
        <v/>
      </c>
    </row>
    <row r="646">
      <c r="B646" s="40">
        <f>Expense!A613</f>
        <v/>
      </c>
      <c r="C646" s="40">
        <f>Income!A613</f>
        <v/>
      </c>
    </row>
    <row r="647">
      <c r="A647" s="40" t="inlineStr">
        <is>
          <t>Apr</t>
        </is>
      </c>
      <c r="B647" s="46">
        <f>Expense!A614</f>
        <v/>
      </c>
      <c r="C647" s="40">
        <f>Income!A614</f>
        <v/>
      </c>
    </row>
    <row r="648">
      <c r="A648" s="40" t="inlineStr">
        <is>
          <t>May</t>
        </is>
      </c>
      <c r="B648" s="46">
        <f>Expense!A615</f>
        <v/>
      </c>
      <c r="C648" s="40">
        <f>Income!A615</f>
        <v/>
      </c>
    </row>
    <row r="649">
      <c r="A649" s="40" t="inlineStr">
        <is>
          <t>Jun</t>
        </is>
      </c>
      <c r="B649" s="46">
        <f>Expense!A616</f>
        <v/>
      </c>
      <c r="C649" s="40">
        <f>Income!A616</f>
        <v/>
      </c>
    </row>
    <row r="650">
      <c r="A650" s="40" t="inlineStr">
        <is>
          <t>Jul</t>
        </is>
      </c>
      <c r="B650" s="46">
        <f>Expense!A617</f>
        <v/>
      </c>
      <c r="C650" s="40">
        <f>Income!A617</f>
        <v/>
      </c>
    </row>
    <row r="651">
      <c r="A651" s="40" t="inlineStr">
        <is>
          <t>Aug</t>
        </is>
      </c>
      <c r="B651" s="46">
        <f>Expense!A618</f>
        <v/>
      </c>
      <c r="C651" s="40">
        <f>Income!A618</f>
        <v/>
      </c>
    </row>
    <row r="652">
      <c r="A652" s="40" t="inlineStr">
        <is>
          <t>Sep</t>
        </is>
      </c>
      <c r="B652" s="46">
        <f>Expense!A619</f>
        <v/>
      </c>
      <c r="C652" s="40">
        <f>Income!A619</f>
        <v/>
      </c>
    </row>
    <row r="653">
      <c r="A653" s="40" t="inlineStr">
        <is>
          <t>Oct</t>
        </is>
      </c>
      <c r="B653" s="46">
        <f>Expense!A620</f>
        <v/>
      </c>
      <c r="C653" s="46">
        <f>Income!A620</f>
        <v/>
      </c>
    </row>
    <row r="654">
      <c r="A654" s="40" t="inlineStr">
        <is>
          <t>Nov</t>
        </is>
      </c>
      <c r="B654" s="46">
        <f>Expense!A621</f>
        <v/>
      </c>
      <c r="C654" s="40">
        <f>Income!A621</f>
        <v/>
      </c>
    </row>
    <row r="655">
      <c r="A655" s="40" t="inlineStr">
        <is>
          <t>Dec</t>
        </is>
      </c>
      <c r="B655" s="46">
        <f>Expense!A622</f>
        <v/>
      </c>
      <c r="C655" s="40">
        <f>Income!A622</f>
        <v/>
      </c>
    </row>
    <row r="656">
      <c r="A656" s="40" t="inlineStr">
        <is>
          <t>Jan</t>
        </is>
      </c>
      <c r="B656" s="46">
        <f>Expense!A623</f>
        <v/>
      </c>
      <c r="C656" s="40">
        <f>Income!A623</f>
        <v/>
      </c>
    </row>
    <row r="657">
      <c r="A657" s="40" t="inlineStr">
        <is>
          <t>Feb</t>
        </is>
      </c>
      <c r="B657" s="46">
        <f>Expense!A624</f>
        <v/>
      </c>
      <c r="C657" s="40">
        <f>Income!A624</f>
        <v/>
      </c>
    </row>
    <row r="658">
      <c r="A658" s="40" t="inlineStr">
        <is>
          <t>Mar</t>
        </is>
      </c>
      <c r="B658" s="46">
        <f>Expense!A625</f>
        <v/>
      </c>
      <c r="C658" s="40">
        <f>Income!A625</f>
        <v/>
      </c>
    </row>
    <row r="659">
      <c r="B659" s="46">
        <f>Expense!A626</f>
        <v/>
      </c>
      <c r="C659" s="40">
        <f>Income!A626</f>
        <v/>
      </c>
    </row>
    <row r="660">
      <c r="B660" s="40">
        <f>Expense!A627</f>
        <v/>
      </c>
      <c r="C660" s="46">
        <f>Income!A627</f>
        <v/>
      </c>
    </row>
    <row r="661">
      <c r="B661" s="40">
        <f>Expense!A628</f>
        <v/>
      </c>
      <c r="C661" s="40">
        <f>Income!A628</f>
        <v/>
      </c>
    </row>
    <row r="662">
      <c r="B662" s="40">
        <f>Expense!A629</f>
        <v/>
      </c>
      <c r="C662" s="40">
        <f>Income!A629</f>
        <v/>
      </c>
    </row>
    <row r="663">
      <c r="B663" s="40">
        <f>Expense!A630</f>
        <v/>
      </c>
      <c r="C663" s="40">
        <f>Income!A630</f>
        <v/>
      </c>
    </row>
    <row r="664">
      <c r="A664" s="40" t="inlineStr">
        <is>
          <t>Apr</t>
        </is>
      </c>
      <c r="B664" s="46">
        <f>Expense!A631</f>
        <v/>
      </c>
      <c r="C664" s="40">
        <f>Income!A631</f>
        <v/>
      </c>
    </row>
    <row r="665">
      <c r="A665" s="40" t="inlineStr">
        <is>
          <t>May</t>
        </is>
      </c>
      <c r="B665" s="46">
        <f>Expense!A632</f>
        <v/>
      </c>
      <c r="C665" s="40">
        <f>Income!A632</f>
        <v/>
      </c>
    </row>
    <row r="666">
      <c r="A666" s="40" t="inlineStr">
        <is>
          <t>Jun</t>
        </is>
      </c>
      <c r="B666" s="46">
        <f>Expense!A633</f>
        <v/>
      </c>
      <c r="C666" s="40">
        <f>Income!A633</f>
        <v/>
      </c>
    </row>
    <row r="667">
      <c r="A667" s="40" t="inlineStr">
        <is>
          <t>Jul</t>
        </is>
      </c>
      <c r="B667" s="46">
        <f>Expense!A634</f>
        <v/>
      </c>
      <c r="C667" s="40">
        <f>Income!A634</f>
        <v/>
      </c>
    </row>
    <row r="668">
      <c r="A668" s="40" t="inlineStr">
        <is>
          <t>Aug</t>
        </is>
      </c>
      <c r="B668" s="46">
        <f>Expense!A635</f>
        <v/>
      </c>
      <c r="C668" s="40">
        <f>Income!A635</f>
        <v/>
      </c>
    </row>
    <row r="669">
      <c r="A669" s="40" t="inlineStr">
        <is>
          <t>Sep</t>
        </is>
      </c>
      <c r="B669" s="46">
        <f>Expense!A636</f>
        <v/>
      </c>
      <c r="C669" s="40">
        <f>Income!A636</f>
        <v/>
      </c>
    </row>
    <row r="670">
      <c r="A670" s="40" t="inlineStr">
        <is>
          <t>Oct</t>
        </is>
      </c>
      <c r="B670" s="46">
        <f>Expense!A637</f>
        <v/>
      </c>
      <c r="C670" s="40">
        <f>Income!A637</f>
        <v/>
      </c>
    </row>
    <row r="671">
      <c r="A671" s="40" t="inlineStr">
        <is>
          <t>Nov</t>
        </is>
      </c>
      <c r="B671" s="46">
        <f>Expense!A638</f>
        <v/>
      </c>
      <c r="C671" s="40">
        <f>Income!A638</f>
        <v/>
      </c>
    </row>
    <row r="672">
      <c r="A672" s="40" t="inlineStr">
        <is>
          <t>Dec</t>
        </is>
      </c>
      <c r="B672" s="46">
        <f>Expense!A639</f>
        <v/>
      </c>
      <c r="C672" s="40">
        <f>Income!A639</f>
        <v/>
      </c>
    </row>
    <row r="673">
      <c r="A673" s="40" t="inlineStr">
        <is>
          <t>Jan</t>
        </is>
      </c>
      <c r="B673" s="46">
        <f>Expense!A640</f>
        <v/>
      </c>
      <c r="C673" s="40">
        <f>Income!A640</f>
        <v/>
      </c>
    </row>
    <row r="674">
      <c r="A674" s="40" t="inlineStr">
        <is>
          <t>Feb</t>
        </is>
      </c>
      <c r="B674" s="46">
        <f>Expense!A641</f>
        <v/>
      </c>
      <c r="C674" s="40">
        <f>Income!A641</f>
        <v/>
      </c>
    </row>
    <row r="675">
      <c r="A675" s="40" t="inlineStr">
        <is>
          <t>Mar</t>
        </is>
      </c>
      <c r="B675" s="46">
        <f>Expense!A642</f>
        <v/>
      </c>
      <c r="C675" s="40">
        <f>Income!A642</f>
        <v/>
      </c>
    </row>
    <row r="676">
      <c r="B676" s="46">
        <f>Expense!A643</f>
        <v/>
      </c>
      <c r="C676" s="40">
        <f>Income!A643</f>
        <v/>
      </c>
    </row>
    <row r="677">
      <c r="B677" s="40">
        <f>Expense!A644</f>
        <v/>
      </c>
      <c r="C677" s="46">
        <f>Income!A644</f>
        <v/>
      </c>
    </row>
    <row r="678">
      <c r="B678" s="40">
        <f>Expense!A645</f>
        <v/>
      </c>
      <c r="C678" s="40">
        <f>Income!A645</f>
        <v/>
      </c>
    </row>
    <row r="679">
      <c r="B679" s="40">
        <f>Expense!A646</f>
        <v/>
      </c>
      <c r="C679" s="40">
        <f>Income!A646</f>
        <v/>
      </c>
    </row>
    <row r="680">
      <c r="B680" s="40">
        <f>Expense!A647</f>
        <v/>
      </c>
      <c r="C680" s="40">
        <f>Income!A647</f>
        <v/>
      </c>
    </row>
    <row r="681">
      <c r="A681" s="40" t="inlineStr">
        <is>
          <t>Apr</t>
        </is>
      </c>
      <c r="B681" s="46">
        <f>Expense!A648</f>
        <v/>
      </c>
      <c r="C681" s="40">
        <f>Income!A648</f>
        <v/>
      </c>
    </row>
    <row r="682">
      <c r="A682" s="40" t="inlineStr">
        <is>
          <t>May</t>
        </is>
      </c>
      <c r="B682" s="46">
        <f>Expense!A649</f>
        <v/>
      </c>
      <c r="C682" s="46">
        <f>Income!A649</f>
        <v/>
      </c>
    </row>
    <row r="683">
      <c r="A683" s="40" t="inlineStr">
        <is>
          <t>Jun</t>
        </is>
      </c>
      <c r="B683" s="46">
        <f>Expense!A650</f>
        <v/>
      </c>
      <c r="C683" s="46">
        <f>Income!A650</f>
        <v/>
      </c>
    </row>
    <row r="684">
      <c r="A684" s="40" t="inlineStr">
        <is>
          <t>Jul</t>
        </is>
      </c>
      <c r="B684" s="46">
        <f>Expense!A651</f>
        <v/>
      </c>
      <c r="C684" s="46">
        <f>Income!A651</f>
        <v/>
      </c>
    </row>
    <row r="685">
      <c r="A685" s="40" t="inlineStr">
        <is>
          <t>Aug</t>
        </is>
      </c>
      <c r="B685" s="46">
        <f>Expense!A652</f>
        <v/>
      </c>
      <c r="C685" s="46">
        <f>Income!A652</f>
        <v/>
      </c>
    </row>
    <row r="686">
      <c r="A686" s="40" t="inlineStr">
        <is>
          <t>Sep</t>
        </is>
      </c>
      <c r="B686" s="46">
        <f>Expense!A653</f>
        <v/>
      </c>
      <c r="C686" s="46">
        <f>Income!A653</f>
        <v/>
      </c>
    </row>
    <row r="687">
      <c r="A687" s="40" t="inlineStr">
        <is>
          <t>Oct</t>
        </is>
      </c>
      <c r="B687" s="46">
        <f>Expense!A654</f>
        <v/>
      </c>
      <c r="C687" s="46">
        <f>Income!A654</f>
        <v/>
      </c>
    </row>
    <row r="688">
      <c r="A688" s="40" t="inlineStr">
        <is>
          <t>Nov</t>
        </is>
      </c>
      <c r="B688" s="46">
        <f>Expense!A655</f>
        <v/>
      </c>
      <c r="C688" s="40">
        <f>Income!A655</f>
        <v/>
      </c>
    </row>
    <row r="689">
      <c r="A689" s="40" t="inlineStr">
        <is>
          <t>Dec</t>
        </is>
      </c>
      <c r="B689" s="46">
        <f>Expense!A656</f>
        <v/>
      </c>
      <c r="C689" s="46">
        <f>Income!A656</f>
        <v/>
      </c>
    </row>
    <row r="690">
      <c r="A690" s="40" t="inlineStr">
        <is>
          <t>Jan</t>
        </is>
      </c>
      <c r="B690" s="46">
        <f>Expense!A657</f>
        <v/>
      </c>
      <c r="C690" s="46">
        <f>Income!A657</f>
        <v/>
      </c>
    </row>
    <row r="691">
      <c r="A691" s="40" t="inlineStr">
        <is>
          <t>Feb</t>
        </is>
      </c>
      <c r="B691" s="46">
        <f>Expense!A658</f>
        <v/>
      </c>
      <c r="C691" s="46">
        <f>Income!A658</f>
        <v/>
      </c>
    </row>
    <row r="692">
      <c r="A692" s="40" t="inlineStr">
        <is>
          <t>Mar</t>
        </is>
      </c>
      <c r="B692" s="46">
        <f>Expense!A659</f>
        <v/>
      </c>
      <c r="C692" s="40">
        <f>Income!A659</f>
        <v/>
      </c>
    </row>
    <row r="693">
      <c r="B693" s="46">
        <f>Expense!A660</f>
        <v/>
      </c>
      <c r="C693" s="40">
        <f>Income!A660</f>
        <v/>
      </c>
    </row>
    <row r="694">
      <c r="B694" s="40">
        <f>Expense!A661</f>
        <v/>
      </c>
      <c r="C694" s="46">
        <f>Income!A661</f>
        <v/>
      </c>
    </row>
    <row r="695">
      <c r="B695" s="40">
        <f>Expense!A662</f>
        <v/>
      </c>
      <c r="C695" s="40">
        <f>Income!A662</f>
        <v/>
      </c>
    </row>
    <row r="696">
      <c r="B696" s="40">
        <f>Expense!A663</f>
        <v/>
      </c>
      <c r="C696" s="40">
        <f>Income!A663</f>
        <v/>
      </c>
    </row>
    <row r="697">
      <c r="B697" s="40">
        <f>Expense!A664</f>
        <v/>
      </c>
      <c r="C697" s="40">
        <f>Income!A664</f>
        <v/>
      </c>
    </row>
    <row r="698">
      <c r="A698" s="40" t="inlineStr">
        <is>
          <t>Apr</t>
        </is>
      </c>
      <c r="B698" s="46">
        <f>Expense!A665</f>
        <v/>
      </c>
      <c r="C698" s="40">
        <f>Income!A665</f>
        <v/>
      </c>
    </row>
    <row r="699">
      <c r="A699" s="40" t="inlineStr">
        <is>
          <t>May</t>
        </is>
      </c>
      <c r="B699" s="46">
        <f>Expense!A666</f>
        <v/>
      </c>
      <c r="C699" s="46">
        <f>Income!A666</f>
        <v/>
      </c>
    </row>
    <row r="700">
      <c r="A700" s="40" t="inlineStr">
        <is>
          <t>Jun</t>
        </is>
      </c>
      <c r="B700" s="46">
        <f>Expense!A667</f>
        <v/>
      </c>
      <c r="C700" s="46">
        <f>Income!A667</f>
        <v/>
      </c>
    </row>
    <row r="701">
      <c r="A701" s="40" t="inlineStr">
        <is>
          <t>Jul</t>
        </is>
      </c>
      <c r="B701" s="46">
        <f>Expense!A668</f>
        <v/>
      </c>
      <c r="C701" s="46">
        <f>Income!A668</f>
        <v/>
      </c>
    </row>
    <row r="702">
      <c r="A702" s="40" t="inlineStr">
        <is>
          <t>Aug</t>
        </is>
      </c>
      <c r="B702" s="46">
        <f>Expense!A669</f>
        <v/>
      </c>
      <c r="C702" s="46">
        <f>Income!A669</f>
        <v/>
      </c>
    </row>
    <row r="703">
      <c r="A703" s="40" t="inlineStr">
        <is>
          <t>Sep</t>
        </is>
      </c>
      <c r="B703" s="46">
        <f>Expense!A670</f>
        <v/>
      </c>
      <c r="C703" s="46">
        <f>Income!A670</f>
        <v/>
      </c>
    </row>
    <row r="704">
      <c r="A704" s="40" t="inlineStr">
        <is>
          <t>Oct</t>
        </is>
      </c>
      <c r="B704" s="46">
        <f>Expense!A671</f>
        <v/>
      </c>
      <c r="C704" s="46">
        <f>Income!A671</f>
        <v/>
      </c>
    </row>
    <row r="705">
      <c r="A705" s="40" t="inlineStr">
        <is>
          <t>Nov</t>
        </is>
      </c>
      <c r="B705" s="46">
        <f>Expense!A672</f>
        <v/>
      </c>
      <c r="C705" s="46">
        <f>Income!A672</f>
        <v/>
      </c>
    </row>
    <row r="706">
      <c r="A706" s="40" t="inlineStr">
        <is>
          <t>Dec</t>
        </is>
      </c>
      <c r="B706" s="46">
        <f>Expense!A673</f>
        <v/>
      </c>
      <c r="C706" s="46">
        <f>Income!A673</f>
        <v/>
      </c>
    </row>
    <row r="707">
      <c r="A707" s="40" t="inlineStr">
        <is>
          <t>Jan</t>
        </is>
      </c>
      <c r="B707" s="46">
        <f>Expense!A674</f>
        <v/>
      </c>
      <c r="C707" s="46">
        <f>Income!A674</f>
        <v/>
      </c>
    </row>
    <row r="708">
      <c r="A708" s="40" t="inlineStr">
        <is>
          <t>Feb</t>
        </is>
      </c>
      <c r="B708" s="46">
        <f>Expense!A675</f>
        <v/>
      </c>
      <c r="C708" s="46">
        <f>Income!A675</f>
        <v/>
      </c>
    </row>
    <row r="709">
      <c r="A709" s="40" t="inlineStr">
        <is>
          <t>Mar</t>
        </is>
      </c>
      <c r="B709" s="46">
        <f>Expense!A676</f>
        <v/>
      </c>
      <c r="C709" s="40">
        <f>Income!A676</f>
        <v/>
      </c>
    </row>
    <row r="710">
      <c r="B710" s="46">
        <f>Expense!A677</f>
        <v/>
      </c>
      <c r="C710" s="40">
        <f>Income!A677</f>
        <v/>
      </c>
    </row>
    <row r="711">
      <c r="B711" s="40">
        <f>Expense!A678</f>
        <v/>
      </c>
      <c r="C711" s="46">
        <f>Income!A678</f>
        <v/>
      </c>
    </row>
    <row r="712">
      <c r="B712" s="40">
        <f>Expense!A679</f>
        <v/>
      </c>
      <c r="C712" s="40">
        <f>Income!A679</f>
        <v/>
      </c>
    </row>
    <row r="713">
      <c r="B713" s="40">
        <f>Expense!A680</f>
        <v/>
      </c>
      <c r="C713" s="40">
        <f>Income!A680</f>
        <v/>
      </c>
    </row>
    <row r="714">
      <c r="B714" s="40">
        <f>Expense!A681</f>
        <v/>
      </c>
      <c r="C714" s="40">
        <f>Income!A681</f>
        <v/>
      </c>
    </row>
    <row r="715">
      <c r="A715" s="40" t="inlineStr">
        <is>
          <t>Apr</t>
        </is>
      </c>
      <c r="B715" s="46">
        <f>Expense!A682</f>
        <v/>
      </c>
      <c r="C715" s="40">
        <f>Income!A682</f>
        <v/>
      </c>
    </row>
    <row r="716">
      <c r="A716" s="40" t="inlineStr">
        <is>
          <t>May</t>
        </is>
      </c>
      <c r="B716" s="46">
        <f>Expense!A683</f>
        <v/>
      </c>
      <c r="C716" s="46">
        <f>Income!A683</f>
        <v/>
      </c>
    </row>
    <row r="717">
      <c r="A717" s="40" t="inlineStr">
        <is>
          <t>Jun</t>
        </is>
      </c>
      <c r="B717" s="46">
        <f>Expense!A684</f>
        <v/>
      </c>
      <c r="C717" s="46">
        <f>Income!A684</f>
        <v/>
      </c>
    </row>
    <row r="718">
      <c r="A718" s="40" t="inlineStr">
        <is>
          <t>Jul</t>
        </is>
      </c>
      <c r="B718" s="46">
        <f>Expense!A685</f>
        <v/>
      </c>
      <c r="C718" s="46">
        <f>Income!A685</f>
        <v/>
      </c>
    </row>
    <row r="719">
      <c r="A719" s="40" t="inlineStr">
        <is>
          <t>Aug</t>
        </is>
      </c>
      <c r="B719" s="46">
        <f>Expense!A686</f>
        <v/>
      </c>
      <c r="C719" s="46">
        <f>Income!A686</f>
        <v/>
      </c>
    </row>
    <row r="720">
      <c r="A720" s="40" t="inlineStr">
        <is>
          <t>Sep</t>
        </is>
      </c>
      <c r="B720" s="46">
        <f>Expense!A687</f>
        <v/>
      </c>
      <c r="C720" s="46">
        <f>Income!A687</f>
        <v/>
      </c>
    </row>
    <row r="721">
      <c r="A721" s="40" t="inlineStr">
        <is>
          <t>Oct</t>
        </is>
      </c>
      <c r="B721" s="46">
        <f>Expense!A688</f>
        <v/>
      </c>
      <c r="C721" s="46">
        <f>Income!A688</f>
        <v/>
      </c>
    </row>
    <row r="722">
      <c r="A722" s="40" t="inlineStr">
        <is>
          <t>Nov</t>
        </is>
      </c>
      <c r="B722" s="46">
        <f>Expense!A689</f>
        <v/>
      </c>
      <c r="C722" s="46">
        <f>Income!A689</f>
        <v/>
      </c>
    </row>
    <row r="723">
      <c r="A723" s="40" t="inlineStr">
        <is>
          <t>Dec</t>
        </is>
      </c>
      <c r="B723" s="46">
        <f>Expense!A690</f>
        <v/>
      </c>
      <c r="C723" s="46">
        <f>Income!A690</f>
        <v/>
      </c>
    </row>
    <row r="724">
      <c r="A724" s="40" t="inlineStr">
        <is>
          <t>Jan</t>
        </is>
      </c>
      <c r="B724" s="46">
        <f>Expense!A691</f>
        <v/>
      </c>
      <c r="C724" s="46">
        <f>Income!A691</f>
        <v/>
      </c>
    </row>
    <row r="725">
      <c r="A725" s="40" t="inlineStr">
        <is>
          <t>Feb</t>
        </is>
      </c>
      <c r="B725" s="46">
        <f>Expense!A692</f>
        <v/>
      </c>
      <c r="C725" s="46">
        <f>Income!A692</f>
        <v/>
      </c>
    </row>
    <row r="726">
      <c r="A726" s="40" t="inlineStr">
        <is>
          <t>Mar</t>
        </is>
      </c>
      <c r="B726" s="46">
        <f>Expense!A693</f>
        <v/>
      </c>
      <c r="C726" s="40">
        <f>Income!A693</f>
        <v/>
      </c>
    </row>
    <row r="727">
      <c r="B727" s="46">
        <f>Expense!A694</f>
        <v/>
      </c>
      <c r="C727" s="40">
        <f>Income!A694</f>
        <v/>
      </c>
    </row>
    <row r="728">
      <c r="B728" s="40">
        <f>Expense!A695</f>
        <v/>
      </c>
      <c r="C728" s="46">
        <f>Income!A695</f>
        <v/>
      </c>
    </row>
    <row r="729">
      <c r="B729" s="40">
        <f>Expense!A696</f>
        <v/>
      </c>
      <c r="C729" s="40">
        <f>Income!A696</f>
        <v/>
      </c>
    </row>
    <row r="730">
      <c r="B730" s="40">
        <f>Expense!A697</f>
        <v/>
      </c>
      <c r="C730" s="40">
        <f>Income!A697</f>
        <v/>
      </c>
    </row>
    <row r="731">
      <c r="B731" s="40">
        <f>Expense!A698</f>
        <v/>
      </c>
      <c r="C731" s="40">
        <f>Income!A698</f>
        <v/>
      </c>
    </row>
    <row r="732">
      <c r="A732" s="40" t="inlineStr">
        <is>
          <t>Apr</t>
        </is>
      </c>
      <c r="B732" s="46">
        <f>Expense!A699</f>
        <v/>
      </c>
      <c r="C732" s="40">
        <f>Income!A699</f>
        <v/>
      </c>
    </row>
    <row r="733">
      <c r="A733" s="40" t="inlineStr">
        <is>
          <t>May</t>
        </is>
      </c>
      <c r="B733" s="46">
        <f>Expense!A700</f>
        <v/>
      </c>
      <c r="C733" s="46">
        <f>Income!A700</f>
        <v/>
      </c>
    </row>
    <row r="734">
      <c r="A734" s="40" t="inlineStr">
        <is>
          <t>Jun</t>
        </is>
      </c>
      <c r="B734" s="46">
        <f>Expense!A701</f>
        <v/>
      </c>
      <c r="C734" s="46">
        <f>Income!A701</f>
        <v/>
      </c>
    </row>
    <row r="735">
      <c r="A735" s="40" t="inlineStr">
        <is>
          <t>Jul</t>
        </is>
      </c>
      <c r="B735" s="46">
        <f>Expense!A702</f>
        <v/>
      </c>
      <c r="C735" s="46">
        <f>Income!A702</f>
        <v/>
      </c>
    </row>
    <row r="736">
      <c r="A736" s="40" t="inlineStr">
        <is>
          <t>Aug</t>
        </is>
      </c>
      <c r="B736" s="46">
        <f>Expense!A703</f>
        <v/>
      </c>
      <c r="C736" s="46">
        <f>Income!A703</f>
        <v/>
      </c>
    </row>
    <row r="737">
      <c r="A737" s="40" t="inlineStr">
        <is>
          <t>Sep</t>
        </is>
      </c>
      <c r="B737" s="46">
        <f>Expense!A704</f>
        <v/>
      </c>
      <c r="C737" s="46">
        <f>Income!A704</f>
        <v/>
      </c>
    </row>
    <row r="738">
      <c r="A738" s="40" t="inlineStr">
        <is>
          <t>Oct</t>
        </is>
      </c>
      <c r="B738" s="46">
        <f>Expense!A705</f>
        <v/>
      </c>
      <c r="C738" s="46">
        <f>Income!A705</f>
        <v/>
      </c>
    </row>
    <row r="739">
      <c r="A739" s="40" t="inlineStr">
        <is>
          <t>Nov</t>
        </is>
      </c>
      <c r="B739" s="46">
        <f>Expense!A706</f>
        <v/>
      </c>
      <c r="C739" s="46">
        <f>Income!A706</f>
        <v/>
      </c>
    </row>
    <row r="740">
      <c r="A740" s="40" t="inlineStr">
        <is>
          <t>Dec</t>
        </is>
      </c>
      <c r="B740" s="46">
        <f>Expense!A707</f>
        <v/>
      </c>
      <c r="C740" s="46">
        <f>Income!A707</f>
        <v/>
      </c>
    </row>
    <row r="741">
      <c r="A741" s="40" t="inlineStr">
        <is>
          <t>Jan</t>
        </is>
      </c>
      <c r="B741" s="46">
        <f>Expense!A708</f>
        <v/>
      </c>
      <c r="C741" s="46">
        <f>Income!A708</f>
        <v/>
      </c>
    </row>
    <row r="742">
      <c r="A742" s="40" t="inlineStr">
        <is>
          <t>Feb</t>
        </is>
      </c>
      <c r="B742" s="46">
        <f>Expense!A709</f>
        <v/>
      </c>
      <c r="C742" s="46">
        <f>Income!A709</f>
        <v/>
      </c>
    </row>
    <row r="743">
      <c r="A743" s="40" t="inlineStr">
        <is>
          <t>Mar</t>
        </is>
      </c>
      <c r="B743" s="46">
        <f>Expense!A710</f>
        <v/>
      </c>
      <c r="C743" s="40">
        <f>Income!A710</f>
        <v/>
      </c>
    </row>
    <row r="744">
      <c r="B744" s="46">
        <f>Expense!A711</f>
        <v/>
      </c>
      <c r="C744" s="40">
        <f>Income!A711</f>
        <v/>
      </c>
    </row>
    <row r="745">
      <c r="B745" s="40">
        <f>Expense!A712</f>
        <v/>
      </c>
      <c r="C745" s="46">
        <f>Income!A712</f>
        <v/>
      </c>
    </row>
    <row r="746">
      <c r="B746" s="40">
        <f>Expense!A713</f>
        <v/>
      </c>
      <c r="C746" s="40">
        <f>Income!A713</f>
        <v/>
      </c>
    </row>
    <row r="747">
      <c r="B747" s="40">
        <f>Expense!A714</f>
        <v/>
      </c>
      <c r="C747" s="40">
        <f>Income!A714</f>
        <v/>
      </c>
    </row>
    <row r="748">
      <c r="B748" s="40">
        <f>Expense!A715</f>
        <v/>
      </c>
      <c r="C748" s="40">
        <f>Income!A715</f>
        <v/>
      </c>
    </row>
    <row r="749">
      <c r="A749" s="40" t="inlineStr">
        <is>
          <t>Apr</t>
        </is>
      </c>
      <c r="B749" s="46">
        <f>Expense!A716</f>
        <v/>
      </c>
      <c r="C749" s="40">
        <f>Income!A716</f>
        <v/>
      </c>
    </row>
    <row r="750">
      <c r="A750" s="40" t="inlineStr">
        <is>
          <t>May</t>
        </is>
      </c>
      <c r="B750" s="46">
        <f>Expense!A717</f>
        <v/>
      </c>
      <c r="C750" s="40">
        <f>Income!A717</f>
        <v/>
      </c>
    </row>
    <row r="751">
      <c r="A751" s="40" t="inlineStr">
        <is>
          <t>Jun</t>
        </is>
      </c>
      <c r="B751" s="46">
        <f>Expense!A718</f>
        <v/>
      </c>
      <c r="C751" s="40">
        <f>Income!A718</f>
        <v/>
      </c>
    </row>
    <row r="752">
      <c r="A752" s="40" t="inlineStr">
        <is>
          <t>Jul</t>
        </is>
      </c>
      <c r="B752" s="46">
        <f>Expense!A719</f>
        <v/>
      </c>
      <c r="C752" s="40">
        <f>Income!A719</f>
        <v/>
      </c>
    </row>
    <row r="753">
      <c r="A753" s="40" t="inlineStr">
        <is>
          <t>Aug</t>
        </is>
      </c>
      <c r="B753" s="46">
        <f>Expense!A720</f>
        <v/>
      </c>
      <c r="C753" s="40">
        <f>Income!A720</f>
        <v/>
      </c>
    </row>
    <row r="754">
      <c r="A754" s="40" t="inlineStr">
        <is>
          <t>Sep</t>
        </is>
      </c>
      <c r="B754" s="46">
        <f>Expense!A721</f>
        <v/>
      </c>
      <c r="C754" s="40">
        <f>Income!A721</f>
        <v/>
      </c>
    </row>
    <row r="755">
      <c r="A755" s="40" t="inlineStr">
        <is>
          <t>Oct</t>
        </is>
      </c>
      <c r="B755" s="46">
        <f>Expense!A722</f>
        <v/>
      </c>
      <c r="C755" s="46">
        <f>Income!A722</f>
        <v/>
      </c>
    </row>
    <row r="756">
      <c r="A756" s="40" t="inlineStr">
        <is>
          <t>Nov</t>
        </is>
      </c>
      <c r="B756" s="46">
        <f>Expense!A723</f>
        <v/>
      </c>
      <c r="C756" s="40">
        <f>Income!A723</f>
        <v/>
      </c>
    </row>
    <row r="757">
      <c r="A757" s="40" t="inlineStr">
        <is>
          <t>Dec</t>
        </is>
      </c>
      <c r="B757" s="46">
        <f>Expense!A724</f>
        <v/>
      </c>
      <c r="C757" s="40">
        <f>Income!A724</f>
        <v/>
      </c>
    </row>
    <row r="758">
      <c r="A758" s="40" t="inlineStr">
        <is>
          <t>Jan</t>
        </is>
      </c>
      <c r="B758" s="46">
        <f>Expense!A725</f>
        <v/>
      </c>
      <c r="C758" s="40">
        <f>Income!A725</f>
        <v/>
      </c>
    </row>
    <row r="759">
      <c r="A759" s="40" t="inlineStr">
        <is>
          <t>Feb</t>
        </is>
      </c>
      <c r="B759" s="46">
        <f>Expense!A726</f>
        <v/>
      </c>
      <c r="C759" s="40">
        <f>Income!A726</f>
        <v/>
      </c>
    </row>
    <row r="760">
      <c r="A760" s="40" t="inlineStr">
        <is>
          <t>Mar</t>
        </is>
      </c>
      <c r="B760" s="46">
        <f>Expense!A727</f>
        <v/>
      </c>
      <c r="C760" s="40">
        <f>Income!A727</f>
        <v/>
      </c>
    </row>
    <row r="761">
      <c r="B761" s="46">
        <f>Expense!A728</f>
        <v/>
      </c>
      <c r="C761" s="40">
        <f>Income!A728</f>
        <v/>
      </c>
    </row>
    <row r="762">
      <c r="B762" s="40">
        <f>Expense!A729</f>
        <v/>
      </c>
      <c r="C762" s="46">
        <f>Income!A729</f>
        <v/>
      </c>
    </row>
    <row r="763">
      <c r="B763" s="40">
        <f>Expense!A730</f>
        <v/>
      </c>
      <c r="C763" s="40">
        <f>Income!A730</f>
        <v/>
      </c>
    </row>
    <row r="764">
      <c r="B764" s="40">
        <f>Expense!A731</f>
        <v/>
      </c>
      <c r="C764" s="40">
        <f>Income!A731</f>
        <v/>
      </c>
    </row>
    <row r="765">
      <c r="B765" s="40">
        <f>Expense!A732</f>
        <v/>
      </c>
      <c r="C765" s="40">
        <f>Income!A732</f>
        <v/>
      </c>
    </row>
    <row r="766">
      <c r="A766" s="40" t="inlineStr">
        <is>
          <t>Apr</t>
        </is>
      </c>
      <c r="B766" s="46">
        <f>Expense!A733</f>
        <v/>
      </c>
      <c r="C766" s="40">
        <f>Income!A733</f>
        <v/>
      </c>
    </row>
    <row r="767">
      <c r="A767" s="40" t="inlineStr">
        <is>
          <t>May</t>
        </is>
      </c>
      <c r="B767" s="46">
        <f>Expense!A734</f>
        <v/>
      </c>
      <c r="C767" s="46">
        <f>Income!A734</f>
        <v/>
      </c>
    </row>
    <row r="768">
      <c r="A768" s="40" t="inlineStr">
        <is>
          <t>Jun</t>
        </is>
      </c>
      <c r="B768" s="46">
        <f>Expense!A735</f>
        <v/>
      </c>
      <c r="C768" s="46">
        <f>Income!A735</f>
        <v/>
      </c>
    </row>
    <row r="769">
      <c r="A769" s="40" t="inlineStr">
        <is>
          <t>Jul</t>
        </is>
      </c>
      <c r="B769" s="46">
        <f>Expense!A736</f>
        <v/>
      </c>
      <c r="C769" s="46">
        <f>Income!A736</f>
        <v/>
      </c>
    </row>
    <row r="770">
      <c r="A770" s="40" t="inlineStr">
        <is>
          <t>Aug</t>
        </is>
      </c>
      <c r="B770" s="46">
        <f>Expense!A737</f>
        <v/>
      </c>
      <c r="C770" s="46">
        <f>Income!A737</f>
        <v/>
      </c>
    </row>
    <row r="771">
      <c r="A771" s="40" t="inlineStr">
        <is>
          <t>Sep</t>
        </is>
      </c>
      <c r="B771" s="46">
        <f>Expense!A738</f>
        <v/>
      </c>
      <c r="C771" s="46">
        <f>Income!A738</f>
        <v/>
      </c>
    </row>
    <row r="772">
      <c r="A772" s="40" t="inlineStr">
        <is>
          <t>Oct</t>
        </is>
      </c>
      <c r="B772" s="46">
        <f>Expense!A739</f>
        <v/>
      </c>
      <c r="C772" s="46">
        <f>Income!A739</f>
        <v/>
      </c>
    </row>
    <row r="773">
      <c r="A773" s="40" t="inlineStr">
        <is>
          <t>Nov</t>
        </is>
      </c>
      <c r="B773" s="46">
        <f>Expense!A740</f>
        <v/>
      </c>
      <c r="C773" s="46">
        <f>Income!A740</f>
        <v/>
      </c>
    </row>
    <row r="774">
      <c r="A774" s="40" t="inlineStr">
        <is>
          <t>Dec</t>
        </is>
      </c>
      <c r="B774" s="46">
        <f>Expense!A741</f>
        <v/>
      </c>
      <c r="C774" s="46">
        <f>Income!A741</f>
        <v/>
      </c>
    </row>
    <row r="775">
      <c r="A775" s="40" t="inlineStr">
        <is>
          <t>Jan</t>
        </is>
      </c>
      <c r="B775" s="46">
        <f>Expense!A742</f>
        <v/>
      </c>
      <c r="C775" s="46">
        <f>Income!A742</f>
        <v/>
      </c>
    </row>
    <row r="776">
      <c r="A776" s="40" t="inlineStr">
        <is>
          <t>Feb</t>
        </is>
      </c>
      <c r="B776" s="46">
        <f>Expense!A743</f>
        <v/>
      </c>
      <c r="C776" s="46">
        <f>Income!A743</f>
        <v/>
      </c>
    </row>
    <row r="777">
      <c r="A777" s="40" t="inlineStr">
        <is>
          <t>Mar</t>
        </is>
      </c>
      <c r="B777" s="46">
        <f>Expense!A744</f>
        <v/>
      </c>
      <c r="C777" s="40">
        <f>Income!A744</f>
        <v/>
      </c>
    </row>
    <row r="778">
      <c r="B778" s="46">
        <f>Expense!A745</f>
        <v/>
      </c>
      <c r="C778" s="40">
        <f>Income!A745</f>
        <v/>
      </c>
    </row>
    <row r="779">
      <c r="B779" s="40">
        <f>Expense!A746</f>
        <v/>
      </c>
      <c r="C779" s="46">
        <f>Income!A746</f>
        <v/>
      </c>
    </row>
    <row r="780">
      <c r="B780" s="40">
        <f>Expense!A747</f>
        <v/>
      </c>
      <c r="C780" s="40">
        <f>Income!A747</f>
        <v/>
      </c>
    </row>
    <row r="781">
      <c r="B781" s="40">
        <f>Expense!A748</f>
        <v/>
      </c>
      <c r="C781" s="40">
        <f>Income!A748</f>
        <v/>
      </c>
    </row>
    <row r="782">
      <c r="B782" s="40">
        <f>Expense!A749</f>
        <v/>
      </c>
      <c r="C782" s="40">
        <f>Income!A749</f>
        <v/>
      </c>
    </row>
    <row r="783">
      <c r="A783" s="40" t="inlineStr">
        <is>
          <t>Apr</t>
        </is>
      </c>
      <c r="B783" s="46">
        <f>Expense!A750</f>
        <v/>
      </c>
      <c r="C783" s="40">
        <f>Income!A750</f>
        <v/>
      </c>
    </row>
    <row r="784">
      <c r="A784" s="40" t="inlineStr">
        <is>
          <t>May</t>
        </is>
      </c>
      <c r="B784" s="46">
        <f>Expense!A751</f>
        <v/>
      </c>
      <c r="C784" s="40">
        <f>Income!A751</f>
        <v/>
      </c>
    </row>
    <row r="785">
      <c r="A785" s="40" t="inlineStr">
        <is>
          <t>Jun</t>
        </is>
      </c>
      <c r="B785" s="46">
        <f>Expense!A752</f>
        <v/>
      </c>
      <c r="C785" s="40">
        <f>Income!A752</f>
        <v/>
      </c>
    </row>
    <row r="786">
      <c r="A786" s="40" t="inlineStr">
        <is>
          <t>Jul</t>
        </is>
      </c>
      <c r="B786" s="46">
        <f>Expense!A753</f>
        <v/>
      </c>
      <c r="C786" s="40">
        <f>Income!A753</f>
        <v/>
      </c>
    </row>
    <row r="787">
      <c r="A787" s="40" t="inlineStr">
        <is>
          <t>Aug</t>
        </is>
      </c>
      <c r="B787" s="46">
        <f>Expense!A754</f>
        <v/>
      </c>
      <c r="C787" s="40">
        <f>Income!A754</f>
        <v/>
      </c>
    </row>
    <row r="788">
      <c r="A788" s="40" t="inlineStr">
        <is>
          <t>Sep</t>
        </is>
      </c>
      <c r="B788" s="46">
        <f>Expense!A755</f>
        <v/>
      </c>
      <c r="C788" s="40">
        <f>Income!A755</f>
        <v/>
      </c>
    </row>
    <row r="789">
      <c r="A789" s="40" t="inlineStr">
        <is>
          <t>Oct</t>
        </is>
      </c>
      <c r="B789" s="46">
        <f>Expense!A756</f>
        <v/>
      </c>
      <c r="C789" s="46">
        <f>Income!A756</f>
        <v/>
      </c>
    </row>
    <row r="790">
      <c r="A790" s="40" t="inlineStr">
        <is>
          <t>Nov</t>
        </is>
      </c>
      <c r="B790" s="46">
        <f>Expense!A757</f>
        <v/>
      </c>
      <c r="C790" s="40">
        <f>Income!A757</f>
        <v/>
      </c>
    </row>
    <row r="791">
      <c r="A791" s="40" t="inlineStr">
        <is>
          <t>Dec</t>
        </is>
      </c>
      <c r="B791" s="46">
        <f>Expense!A758</f>
        <v/>
      </c>
      <c r="C791" s="40">
        <f>Income!A758</f>
        <v/>
      </c>
    </row>
    <row r="792">
      <c r="A792" s="40" t="inlineStr">
        <is>
          <t>Jan</t>
        </is>
      </c>
      <c r="B792" s="46">
        <f>Expense!A759</f>
        <v/>
      </c>
      <c r="C792" s="40">
        <f>Income!A759</f>
        <v/>
      </c>
    </row>
    <row r="793">
      <c r="A793" s="40" t="inlineStr">
        <is>
          <t>Feb</t>
        </is>
      </c>
      <c r="B793" s="46">
        <f>Expense!A760</f>
        <v/>
      </c>
      <c r="C793" s="40">
        <f>Income!A760</f>
        <v/>
      </c>
    </row>
    <row r="794">
      <c r="A794" s="40" t="inlineStr">
        <is>
          <t>Mar</t>
        </is>
      </c>
      <c r="B794" s="46">
        <f>Expense!A761</f>
        <v/>
      </c>
      <c r="C794" s="40">
        <f>Income!A761</f>
        <v/>
      </c>
    </row>
    <row r="795">
      <c r="B795" s="46">
        <f>Expense!A762</f>
        <v/>
      </c>
      <c r="C795" s="40">
        <f>Income!A762</f>
        <v/>
      </c>
    </row>
    <row r="796">
      <c r="B796" s="40">
        <f>Expense!A763</f>
        <v/>
      </c>
      <c r="C796" s="46">
        <f>Income!A763</f>
        <v/>
      </c>
    </row>
    <row r="797">
      <c r="B797" s="40">
        <f>Expense!A764</f>
        <v/>
      </c>
      <c r="C797" s="40">
        <f>Income!A764</f>
        <v/>
      </c>
    </row>
    <row r="798">
      <c r="B798" s="40">
        <f>Expense!A765</f>
        <v/>
      </c>
      <c r="C798" s="40">
        <f>Income!A765</f>
        <v/>
      </c>
    </row>
    <row r="799">
      <c r="B799" s="40">
        <f>Expense!A766</f>
        <v/>
      </c>
      <c r="C799" s="40">
        <f>Income!A766</f>
        <v/>
      </c>
    </row>
    <row r="800">
      <c r="A800" s="40" t="inlineStr">
        <is>
          <t>Apr</t>
        </is>
      </c>
      <c r="B800" s="46">
        <f>Expense!A767</f>
        <v/>
      </c>
      <c r="C800" s="40">
        <f>Income!A767</f>
        <v/>
      </c>
    </row>
    <row r="801">
      <c r="A801" s="40" t="inlineStr">
        <is>
          <t>May</t>
        </is>
      </c>
      <c r="B801" s="46">
        <f>Expense!A768</f>
        <v/>
      </c>
      <c r="C801" s="40">
        <f>Income!A768</f>
        <v/>
      </c>
    </row>
    <row r="802">
      <c r="A802" s="40" t="inlineStr">
        <is>
          <t>Jun</t>
        </is>
      </c>
      <c r="B802" s="46">
        <f>Expense!A769</f>
        <v/>
      </c>
      <c r="C802" s="40">
        <f>Income!A769</f>
        <v/>
      </c>
    </row>
    <row r="803">
      <c r="A803" s="40" t="inlineStr">
        <is>
          <t>Jul</t>
        </is>
      </c>
      <c r="B803" s="46">
        <f>Expense!A770</f>
        <v/>
      </c>
      <c r="C803" s="40">
        <f>Income!A770</f>
        <v/>
      </c>
    </row>
    <row r="804">
      <c r="A804" s="40" t="inlineStr">
        <is>
          <t>Aug</t>
        </is>
      </c>
      <c r="B804" s="46">
        <f>Expense!A771</f>
        <v/>
      </c>
      <c r="C804" s="40">
        <f>Income!A771</f>
        <v/>
      </c>
    </row>
    <row r="805">
      <c r="A805" s="40" t="inlineStr">
        <is>
          <t>Sep</t>
        </is>
      </c>
      <c r="B805" s="46">
        <f>Expense!A772</f>
        <v/>
      </c>
      <c r="C805" s="40">
        <f>Income!A772</f>
        <v/>
      </c>
    </row>
    <row r="806">
      <c r="A806" s="40" t="inlineStr">
        <is>
          <t>Oct</t>
        </is>
      </c>
      <c r="B806" s="46">
        <f>Expense!A773</f>
        <v/>
      </c>
      <c r="C806" s="40">
        <f>Income!A773</f>
        <v/>
      </c>
    </row>
    <row r="807">
      <c r="A807" s="40" t="inlineStr">
        <is>
          <t>Nov</t>
        </is>
      </c>
      <c r="B807" s="46">
        <f>Expense!A774</f>
        <v/>
      </c>
      <c r="C807" s="40">
        <f>Income!A774</f>
        <v/>
      </c>
    </row>
    <row r="808">
      <c r="A808" s="40" t="inlineStr">
        <is>
          <t>Dec</t>
        </is>
      </c>
      <c r="B808" s="46">
        <f>Expense!A775</f>
        <v/>
      </c>
      <c r="C808" s="40">
        <f>Income!A775</f>
        <v/>
      </c>
    </row>
    <row r="809">
      <c r="A809" s="40" t="inlineStr">
        <is>
          <t>Jan</t>
        </is>
      </c>
      <c r="B809" s="46">
        <f>Expense!A776</f>
        <v/>
      </c>
      <c r="C809" s="40">
        <f>Income!A776</f>
        <v/>
      </c>
    </row>
    <row r="810">
      <c r="A810" s="40" t="inlineStr">
        <is>
          <t>Feb</t>
        </is>
      </c>
      <c r="B810" s="46">
        <f>Expense!A777</f>
        <v/>
      </c>
      <c r="C810" s="40">
        <f>Income!A777</f>
        <v/>
      </c>
    </row>
    <row r="811">
      <c r="A811" s="40" t="inlineStr">
        <is>
          <t>Mar</t>
        </is>
      </c>
      <c r="B811" s="46">
        <f>Expense!A778</f>
        <v/>
      </c>
      <c r="C811" s="40">
        <f>Income!A778</f>
        <v/>
      </c>
    </row>
    <row r="812">
      <c r="B812" s="46">
        <f>Expense!A779</f>
        <v/>
      </c>
      <c r="C812" s="40">
        <f>Income!A779</f>
        <v/>
      </c>
    </row>
    <row r="813">
      <c r="B813" s="40">
        <f>Expense!A780</f>
        <v/>
      </c>
      <c r="C813" s="46">
        <f>Income!A780</f>
        <v/>
      </c>
    </row>
    <row r="814">
      <c r="B814" s="40">
        <f>Expense!A781</f>
        <v/>
      </c>
      <c r="C814" s="40">
        <f>Income!A781</f>
        <v/>
      </c>
    </row>
    <row r="815">
      <c r="B815" s="40">
        <f>Expense!A782</f>
        <v/>
      </c>
      <c r="C815" s="40">
        <f>Income!A782</f>
        <v/>
      </c>
    </row>
    <row r="816">
      <c r="B816" s="40">
        <f>Expense!A783</f>
        <v/>
      </c>
      <c r="C816" s="40">
        <f>Income!A783</f>
        <v/>
      </c>
    </row>
    <row r="817">
      <c r="A817" s="40" t="inlineStr">
        <is>
          <t>Apr</t>
        </is>
      </c>
      <c r="B817" s="46">
        <f>Expense!A784</f>
        <v/>
      </c>
      <c r="C817" s="40">
        <f>Income!A784</f>
        <v/>
      </c>
    </row>
    <row r="818">
      <c r="A818" s="40" t="inlineStr">
        <is>
          <t>May</t>
        </is>
      </c>
      <c r="B818" s="46">
        <f>Expense!A785</f>
        <v/>
      </c>
      <c r="C818" s="46">
        <f>Income!A785</f>
        <v/>
      </c>
    </row>
    <row r="819">
      <c r="A819" s="40" t="inlineStr">
        <is>
          <t>Jun</t>
        </is>
      </c>
      <c r="B819" s="46">
        <f>Expense!A786</f>
        <v/>
      </c>
      <c r="C819" s="46">
        <f>Income!A786</f>
        <v/>
      </c>
    </row>
    <row r="820">
      <c r="A820" s="40" t="inlineStr">
        <is>
          <t>Jul</t>
        </is>
      </c>
      <c r="B820" s="46">
        <f>Expense!A787</f>
        <v/>
      </c>
      <c r="C820" s="46">
        <f>Income!A787</f>
        <v/>
      </c>
    </row>
    <row r="821">
      <c r="A821" s="40" t="inlineStr">
        <is>
          <t>Aug</t>
        </is>
      </c>
      <c r="B821" s="46">
        <f>Expense!A788</f>
        <v/>
      </c>
      <c r="C821" s="46">
        <f>Income!A788</f>
        <v/>
      </c>
    </row>
    <row r="822">
      <c r="A822" s="40" t="inlineStr">
        <is>
          <t>Sep</t>
        </is>
      </c>
      <c r="B822" s="46">
        <f>Expense!A789</f>
        <v/>
      </c>
      <c r="C822" s="46">
        <f>Income!A789</f>
        <v/>
      </c>
    </row>
    <row r="823">
      <c r="A823" s="40" t="inlineStr">
        <is>
          <t>Oct</t>
        </is>
      </c>
      <c r="B823" s="46">
        <f>Expense!A790</f>
        <v/>
      </c>
      <c r="C823" s="46">
        <f>Income!A790</f>
        <v/>
      </c>
    </row>
    <row r="824">
      <c r="A824" s="40" t="inlineStr">
        <is>
          <t>Nov</t>
        </is>
      </c>
      <c r="B824" s="46">
        <f>Expense!A791</f>
        <v/>
      </c>
      <c r="C824" s="40">
        <f>Income!A791</f>
        <v/>
      </c>
    </row>
    <row r="825">
      <c r="A825" s="40" t="inlineStr">
        <is>
          <t>Dec</t>
        </is>
      </c>
      <c r="B825" s="46">
        <f>Expense!A792</f>
        <v/>
      </c>
      <c r="C825" s="46">
        <f>Income!A792</f>
        <v/>
      </c>
    </row>
    <row r="826">
      <c r="A826" s="40" t="inlineStr">
        <is>
          <t>Jan</t>
        </is>
      </c>
      <c r="B826" s="46">
        <f>Expense!A793</f>
        <v/>
      </c>
      <c r="C826" s="46">
        <f>Income!A793</f>
        <v/>
      </c>
    </row>
    <row r="827">
      <c r="A827" s="40" t="inlineStr">
        <is>
          <t>Feb</t>
        </is>
      </c>
      <c r="B827" s="46">
        <f>Expense!A794</f>
        <v/>
      </c>
      <c r="C827" s="40">
        <f>Income!A794</f>
        <v/>
      </c>
    </row>
    <row r="828">
      <c r="A828" s="40" t="inlineStr">
        <is>
          <t>Mar</t>
        </is>
      </c>
      <c r="B828" s="46">
        <f>Expense!A795</f>
        <v/>
      </c>
      <c r="C828" s="46">
        <f>Income!A795</f>
        <v/>
      </c>
    </row>
    <row r="829">
      <c r="B829" s="46">
        <f>Expense!A796</f>
        <v/>
      </c>
      <c r="C829" s="40">
        <f>Income!A796</f>
        <v/>
      </c>
    </row>
    <row r="830">
      <c r="B830" s="40">
        <f>Expense!A797</f>
        <v/>
      </c>
      <c r="C830" s="46">
        <f>Income!A797</f>
        <v/>
      </c>
    </row>
    <row r="831">
      <c r="B831" s="40">
        <f>Expense!A798</f>
        <v/>
      </c>
      <c r="C831" s="40">
        <f>Income!A798</f>
        <v/>
      </c>
    </row>
    <row r="832">
      <c r="B832" s="40">
        <f>Expense!A799</f>
        <v/>
      </c>
      <c r="C832" s="40">
        <f>Income!A799</f>
        <v/>
      </c>
    </row>
    <row r="833">
      <c r="B833" s="40">
        <f>Expense!A800</f>
        <v/>
      </c>
      <c r="C833" s="40">
        <f>Income!A800</f>
        <v/>
      </c>
    </row>
    <row r="834">
      <c r="A834" s="40" t="inlineStr">
        <is>
          <t>Apr</t>
        </is>
      </c>
      <c r="B834" s="46">
        <f>Expense!A801</f>
        <v/>
      </c>
      <c r="C834" s="40">
        <f>Income!A801</f>
        <v/>
      </c>
    </row>
    <row r="835">
      <c r="A835" s="40" t="inlineStr">
        <is>
          <t>May</t>
        </is>
      </c>
      <c r="B835" s="46">
        <f>Expense!A802</f>
        <v/>
      </c>
      <c r="C835" s="40">
        <f>Income!A802</f>
        <v/>
      </c>
    </row>
    <row r="836">
      <c r="A836" s="40" t="inlineStr">
        <is>
          <t>Jun</t>
        </is>
      </c>
      <c r="B836" s="46">
        <f>Expense!A803</f>
        <v/>
      </c>
      <c r="C836" s="40">
        <f>Income!A803</f>
        <v/>
      </c>
    </row>
    <row r="837">
      <c r="A837" s="40" t="inlineStr">
        <is>
          <t>Jul</t>
        </is>
      </c>
      <c r="B837" s="46">
        <f>Expense!A804</f>
        <v/>
      </c>
      <c r="C837" s="40">
        <f>Income!A804</f>
        <v/>
      </c>
    </row>
    <row r="838">
      <c r="A838" s="40" t="inlineStr">
        <is>
          <t>Aug</t>
        </is>
      </c>
      <c r="B838" s="46">
        <f>Expense!A805</f>
        <v/>
      </c>
      <c r="C838" s="40">
        <f>Income!A805</f>
        <v/>
      </c>
    </row>
    <row r="839">
      <c r="A839" s="40" t="inlineStr">
        <is>
          <t>Sep</t>
        </is>
      </c>
      <c r="B839" s="46">
        <f>Expense!A806</f>
        <v/>
      </c>
      <c r="C839" s="40">
        <f>Income!A806</f>
        <v/>
      </c>
    </row>
    <row r="840">
      <c r="A840" s="40" t="inlineStr">
        <is>
          <t>Oct</t>
        </is>
      </c>
      <c r="B840" s="46">
        <f>Expense!A807</f>
        <v/>
      </c>
      <c r="C840" s="46">
        <f>Income!A807</f>
        <v/>
      </c>
    </row>
    <row r="841">
      <c r="A841" s="40" t="inlineStr">
        <is>
          <t>Nov</t>
        </is>
      </c>
      <c r="B841" s="46">
        <f>Expense!A808</f>
        <v/>
      </c>
      <c r="C841" s="40">
        <f>Income!A808</f>
        <v/>
      </c>
    </row>
    <row r="842">
      <c r="A842" s="40" t="inlineStr">
        <is>
          <t>Dec</t>
        </is>
      </c>
      <c r="B842" s="46">
        <f>Expense!A809</f>
        <v/>
      </c>
      <c r="C842" s="40">
        <f>Income!A809</f>
        <v/>
      </c>
    </row>
    <row r="843">
      <c r="A843" s="40" t="inlineStr">
        <is>
          <t>Jan</t>
        </is>
      </c>
      <c r="B843" s="46">
        <f>Expense!A810</f>
        <v/>
      </c>
      <c r="C843" s="40">
        <f>Income!A810</f>
        <v/>
      </c>
    </row>
    <row r="844">
      <c r="A844" s="40" t="inlineStr">
        <is>
          <t>Feb</t>
        </is>
      </c>
      <c r="B844" s="46">
        <f>Expense!A811</f>
        <v/>
      </c>
      <c r="C844" s="40">
        <f>Income!A811</f>
        <v/>
      </c>
    </row>
    <row r="845">
      <c r="A845" s="40" t="inlineStr">
        <is>
          <t>Mar</t>
        </is>
      </c>
      <c r="B845" s="46">
        <f>Expense!A812</f>
        <v/>
      </c>
      <c r="C845" s="40">
        <f>Income!A812</f>
        <v/>
      </c>
    </row>
    <row r="846">
      <c r="B846" s="46">
        <f>Expense!A813</f>
        <v/>
      </c>
      <c r="C846" s="40">
        <f>Income!A813</f>
        <v/>
      </c>
    </row>
    <row r="847">
      <c r="B847" s="40">
        <f>Expense!A814</f>
        <v/>
      </c>
      <c r="C847" s="46">
        <f>Income!A814</f>
        <v/>
      </c>
    </row>
    <row r="848">
      <c r="B848" s="40">
        <f>Expense!A815</f>
        <v/>
      </c>
      <c r="C848" s="40">
        <f>Income!A815</f>
        <v/>
      </c>
    </row>
    <row r="849">
      <c r="B849" s="40">
        <f>Expense!A816</f>
        <v/>
      </c>
      <c r="C849" s="40">
        <f>Income!A816</f>
        <v/>
      </c>
    </row>
    <row r="850">
      <c r="B850" s="40">
        <f>Expense!A817</f>
        <v/>
      </c>
      <c r="C850" s="40">
        <f>Income!A817</f>
        <v/>
      </c>
    </row>
    <row r="851">
      <c r="A851" s="40" t="inlineStr">
        <is>
          <t>Apr</t>
        </is>
      </c>
      <c r="B851" s="46">
        <f>Expense!A818</f>
        <v/>
      </c>
      <c r="C851" s="40">
        <f>Income!A818</f>
        <v/>
      </c>
    </row>
    <row r="852">
      <c r="A852" s="40" t="inlineStr">
        <is>
          <t>May</t>
        </is>
      </c>
      <c r="B852" s="46">
        <f>Expense!A819</f>
        <v/>
      </c>
      <c r="C852" s="40">
        <f>Income!A819</f>
        <v/>
      </c>
    </row>
    <row r="853">
      <c r="A853" s="40" t="inlineStr">
        <is>
          <t>Jun</t>
        </is>
      </c>
      <c r="B853" s="46">
        <f>Expense!A820</f>
        <v/>
      </c>
      <c r="C853" s="40">
        <f>Income!A820</f>
        <v/>
      </c>
    </row>
    <row r="854">
      <c r="A854" s="40" t="inlineStr">
        <is>
          <t>Jul</t>
        </is>
      </c>
      <c r="B854" s="46">
        <f>Expense!A821</f>
        <v/>
      </c>
      <c r="C854" s="40">
        <f>Income!A821</f>
        <v/>
      </c>
    </row>
    <row r="855">
      <c r="A855" s="40" t="inlineStr">
        <is>
          <t>Aug</t>
        </is>
      </c>
      <c r="B855" s="46">
        <f>Expense!A822</f>
        <v/>
      </c>
      <c r="C855" s="40">
        <f>Income!A822</f>
        <v/>
      </c>
    </row>
    <row r="856">
      <c r="A856" s="40" t="inlineStr">
        <is>
          <t>Sep</t>
        </is>
      </c>
      <c r="B856" s="46">
        <f>Expense!A823</f>
        <v/>
      </c>
      <c r="C856" s="40">
        <f>Income!A823</f>
        <v/>
      </c>
    </row>
    <row r="857">
      <c r="A857" s="40" t="inlineStr">
        <is>
          <t>Oct</t>
        </is>
      </c>
      <c r="B857" s="46">
        <f>Expense!A824</f>
        <v/>
      </c>
      <c r="C857" s="46">
        <f>Income!A824</f>
        <v/>
      </c>
    </row>
    <row r="858">
      <c r="A858" s="40" t="inlineStr">
        <is>
          <t>Nov</t>
        </is>
      </c>
      <c r="B858" s="46">
        <f>Expense!A825</f>
        <v/>
      </c>
      <c r="C858" s="40">
        <f>Income!A825</f>
        <v/>
      </c>
    </row>
    <row r="859">
      <c r="A859" s="40" t="inlineStr">
        <is>
          <t>Dec</t>
        </is>
      </c>
      <c r="B859" s="46">
        <f>Expense!A826</f>
        <v/>
      </c>
      <c r="C859" s="40">
        <f>Income!A826</f>
        <v/>
      </c>
    </row>
    <row r="860">
      <c r="A860" s="40" t="inlineStr">
        <is>
          <t>Jan</t>
        </is>
      </c>
      <c r="B860" s="46">
        <f>Expense!A827</f>
        <v/>
      </c>
      <c r="C860" s="40">
        <f>Income!A827</f>
        <v/>
      </c>
    </row>
    <row r="861">
      <c r="A861" s="40" t="inlineStr">
        <is>
          <t>Feb</t>
        </is>
      </c>
      <c r="B861" s="46">
        <f>Expense!A828</f>
        <v/>
      </c>
      <c r="C861" s="40">
        <f>Income!A828</f>
        <v/>
      </c>
    </row>
    <row r="862">
      <c r="A862" s="40" t="inlineStr">
        <is>
          <t>Mar</t>
        </is>
      </c>
      <c r="B862" s="46">
        <f>Expense!A829</f>
        <v/>
      </c>
      <c r="C862" s="40">
        <f>Income!A829</f>
        <v/>
      </c>
    </row>
    <row r="863">
      <c r="B863" s="46">
        <f>Expense!A830</f>
        <v/>
      </c>
      <c r="C863" s="40">
        <f>Income!A830</f>
        <v/>
      </c>
    </row>
    <row r="864">
      <c r="B864" s="40">
        <f>Expense!A831</f>
        <v/>
      </c>
      <c r="C864" s="46">
        <f>Income!A831</f>
        <v/>
      </c>
    </row>
    <row r="865">
      <c r="B865" s="40">
        <f>Expense!A832</f>
        <v/>
      </c>
      <c r="C865" s="40">
        <f>Income!A832</f>
        <v/>
      </c>
    </row>
    <row r="866">
      <c r="B866" s="40">
        <f>Expense!A833</f>
        <v/>
      </c>
      <c r="C866" s="40">
        <f>Income!A833</f>
        <v/>
      </c>
    </row>
    <row r="867">
      <c r="B867" s="40">
        <f>Expense!A834</f>
        <v/>
      </c>
      <c r="C867" s="40">
        <f>Income!A834</f>
        <v/>
      </c>
    </row>
    <row r="868">
      <c r="A868" s="40" t="inlineStr">
        <is>
          <t>Apr</t>
        </is>
      </c>
      <c r="B868" s="46">
        <f>Expense!A835</f>
        <v/>
      </c>
      <c r="C868" s="40">
        <f>Income!A835</f>
        <v/>
      </c>
    </row>
    <row r="869">
      <c r="A869" s="40" t="inlineStr">
        <is>
          <t>May</t>
        </is>
      </c>
      <c r="B869" s="46">
        <f>Expense!A836</f>
        <v/>
      </c>
      <c r="C869" s="46">
        <f>Income!A836</f>
        <v/>
      </c>
    </row>
    <row r="870">
      <c r="A870" s="40" t="inlineStr">
        <is>
          <t>Jun</t>
        </is>
      </c>
      <c r="B870" s="46">
        <f>Expense!A837</f>
        <v/>
      </c>
      <c r="C870" s="46">
        <f>Income!A837</f>
        <v/>
      </c>
    </row>
    <row r="871">
      <c r="A871" s="40" t="inlineStr">
        <is>
          <t>Jul</t>
        </is>
      </c>
      <c r="B871" s="46">
        <f>Expense!A838</f>
        <v/>
      </c>
      <c r="C871" s="46">
        <f>Income!A838</f>
        <v/>
      </c>
    </row>
    <row r="872">
      <c r="A872" s="40" t="inlineStr">
        <is>
          <t>Aug</t>
        </is>
      </c>
      <c r="B872" s="46">
        <f>Expense!A839</f>
        <v/>
      </c>
      <c r="C872" s="46">
        <f>Income!A839</f>
        <v/>
      </c>
    </row>
    <row r="873">
      <c r="A873" s="40" t="inlineStr">
        <is>
          <t>Sep</t>
        </is>
      </c>
      <c r="B873" s="46">
        <f>Expense!A840</f>
        <v/>
      </c>
      <c r="C873" s="46">
        <f>Income!A840</f>
        <v/>
      </c>
    </row>
    <row r="874">
      <c r="A874" s="40" t="inlineStr">
        <is>
          <t>Oct</t>
        </is>
      </c>
      <c r="B874" s="46">
        <f>Expense!A841</f>
        <v/>
      </c>
      <c r="C874" s="46">
        <f>Income!A841</f>
        <v/>
      </c>
    </row>
    <row r="875">
      <c r="A875" s="40" t="inlineStr">
        <is>
          <t>Nov</t>
        </is>
      </c>
      <c r="B875" s="46">
        <f>Expense!A842</f>
        <v/>
      </c>
      <c r="C875" s="40">
        <f>Income!A842</f>
        <v/>
      </c>
    </row>
    <row r="876">
      <c r="A876" s="40" t="inlineStr">
        <is>
          <t>Dec</t>
        </is>
      </c>
      <c r="B876" s="46">
        <f>Expense!A843</f>
        <v/>
      </c>
      <c r="C876" s="46">
        <f>Income!A843</f>
        <v/>
      </c>
    </row>
    <row r="877">
      <c r="A877" s="40" t="inlineStr">
        <is>
          <t>Jan</t>
        </is>
      </c>
      <c r="B877" s="46">
        <f>Expense!A844</f>
        <v/>
      </c>
      <c r="C877" s="46">
        <f>Income!A844</f>
        <v/>
      </c>
    </row>
    <row r="878">
      <c r="A878" s="40" t="inlineStr">
        <is>
          <t>Feb</t>
        </is>
      </c>
      <c r="B878" s="46">
        <f>Expense!A845</f>
        <v/>
      </c>
      <c r="C878" s="46">
        <f>Income!A845</f>
        <v/>
      </c>
    </row>
    <row r="879">
      <c r="A879" s="40" t="inlineStr">
        <is>
          <t>Mar</t>
        </is>
      </c>
      <c r="B879" s="46">
        <f>Expense!A846</f>
        <v/>
      </c>
      <c r="C879" s="40">
        <f>Income!A846</f>
        <v/>
      </c>
    </row>
    <row r="880">
      <c r="B880" s="46">
        <f>Expense!A847</f>
        <v/>
      </c>
      <c r="C880" s="40">
        <f>Income!A847</f>
        <v/>
      </c>
    </row>
    <row r="881">
      <c r="B881" s="40">
        <f>Expense!A848</f>
        <v/>
      </c>
      <c r="C881" s="46">
        <f>Income!A848</f>
        <v/>
      </c>
    </row>
    <row r="882">
      <c r="B882" s="40">
        <f>Expense!A849</f>
        <v/>
      </c>
      <c r="C882" s="40">
        <f>Income!A849</f>
        <v/>
      </c>
    </row>
    <row r="883">
      <c r="B883" s="40">
        <f>Expense!A850</f>
        <v/>
      </c>
      <c r="C883" s="40">
        <f>Income!A850</f>
        <v/>
      </c>
    </row>
    <row r="884">
      <c r="B884" s="40">
        <f>Expense!A851</f>
        <v/>
      </c>
      <c r="C884" s="40">
        <f>Income!A851</f>
        <v/>
      </c>
    </row>
    <row r="885">
      <c r="A885" s="40" t="inlineStr">
        <is>
          <t>Apr</t>
        </is>
      </c>
      <c r="B885" s="46">
        <f>Expense!A852</f>
        <v/>
      </c>
      <c r="C885" s="40">
        <f>Income!A852</f>
        <v/>
      </c>
    </row>
    <row r="886">
      <c r="A886" s="40" t="inlineStr">
        <is>
          <t>May</t>
        </is>
      </c>
      <c r="B886" s="46">
        <f>Expense!A853</f>
        <v/>
      </c>
      <c r="C886" s="46">
        <f>Income!A853</f>
        <v/>
      </c>
    </row>
    <row r="887">
      <c r="A887" s="40" t="inlineStr">
        <is>
          <t>Jun</t>
        </is>
      </c>
      <c r="B887" s="46">
        <f>Expense!A854</f>
        <v/>
      </c>
      <c r="C887" s="46">
        <f>Income!A854</f>
        <v/>
      </c>
    </row>
    <row r="888">
      <c r="A888" s="40" t="inlineStr">
        <is>
          <t>Jul</t>
        </is>
      </c>
      <c r="B888" s="46">
        <f>Expense!A855</f>
        <v/>
      </c>
      <c r="C888" s="46">
        <f>Income!A855</f>
        <v/>
      </c>
    </row>
    <row r="889">
      <c r="A889" s="40" t="inlineStr">
        <is>
          <t>Aug</t>
        </is>
      </c>
      <c r="B889" s="46">
        <f>Expense!A856</f>
        <v/>
      </c>
      <c r="C889" s="46">
        <f>Income!A856</f>
        <v/>
      </c>
    </row>
    <row r="890">
      <c r="A890" s="40" t="inlineStr">
        <is>
          <t>Sep</t>
        </is>
      </c>
      <c r="B890" s="46">
        <f>Expense!A857</f>
        <v/>
      </c>
      <c r="C890" s="46">
        <f>Income!A857</f>
        <v/>
      </c>
    </row>
    <row r="891">
      <c r="A891" s="40" t="inlineStr">
        <is>
          <t>Oct</t>
        </is>
      </c>
      <c r="B891" s="46">
        <f>Expense!A858</f>
        <v/>
      </c>
      <c r="C891" s="46">
        <f>Income!A858</f>
        <v/>
      </c>
    </row>
    <row r="892">
      <c r="A892" s="40" t="inlineStr">
        <is>
          <t>Nov</t>
        </is>
      </c>
      <c r="B892" s="46">
        <f>Expense!A859</f>
        <v/>
      </c>
      <c r="C892" s="40">
        <f>Income!A859</f>
        <v/>
      </c>
    </row>
    <row r="893">
      <c r="A893" s="40" t="inlineStr">
        <is>
          <t>Dec</t>
        </is>
      </c>
      <c r="B893" s="46">
        <f>Expense!A860</f>
        <v/>
      </c>
      <c r="C893" s="46">
        <f>Income!A860</f>
        <v/>
      </c>
    </row>
    <row r="894">
      <c r="A894" s="40" t="inlineStr">
        <is>
          <t>Jan</t>
        </is>
      </c>
      <c r="B894" s="46">
        <f>Expense!A861</f>
        <v/>
      </c>
      <c r="C894" s="46">
        <f>Income!A861</f>
        <v/>
      </c>
    </row>
    <row r="895">
      <c r="A895" s="40" t="inlineStr">
        <is>
          <t>Feb</t>
        </is>
      </c>
      <c r="B895" s="46">
        <f>Expense!A862</f>
        <v/>
      </c>
      <c r="C895" s="46">
        <f>Income!A862</f>
        <v/>
      </c>
    </row>
    <row r="896">
      <c r="A896" s="40" t="inlineStr">
        <is>
          <t>Mar</t>
        </is>
      </c>
      <c r="B896" s="46">
        <f>Expense!A863</f>
        <v/>
      </c>
      <c r="C896" s="40">
        <f>Income!A863</f>
        <v/>
      </c>
    </row>
    <row r="897">
      <c r="B897" s="46">
        <f>Expense!A864</f>
        <v/>
      </c>
      <c r="C897" s="40">
        <f>Income!A864</f>
        <v/>
      </c>
    </row>
    <row r="898">
      <c r="B898" s="40">
        <f>Expense!A865</f>
        <v/>
      </c>
      <c r="C898" s="46">
        <f>Income!A865</f>
        <v/>
      </c>
    </row>
    <row r="899">
      <c r="B899" s="40">
        <f>Expense!A866</f>
        <v/>
      </c>
      <c r="C899" s="40">
        <f>Income!A866</f>
        <v/>
      </c>
    </row>
    <row r="900">
      <c r="B900" s="40">
        <f>Expense!A867</f>
        <v/>
      </c>
      <c r="C900" s="40">
        <f>Income!A867</f>
        <v/>
      </c>
    </row>
    <row r="901">
      <c r="B901" s="40">
        <f>Expense!A868</f>
        <v/>
      </c>
      <c r="C901" s="40">
        <f>Income!A868</f>
        <v/>
      </c>
    </row>
    <row r="902">
      <c r="A902" s="40" t="inlineStr">
        <is>
          <t>Apr</t>
        </is>
      </c>
      <c r="B902" s="46">
        <f>Expense!A869</f>
        <v/>
      </c>
      <c r="C902" s="40">
        <f>Income!A869</f>
        <v/>
      </c>
    </row>
    <row r="903">
      <c r="A903" s="40" t="inlineStr">
        <is>
          <t>May</t>
        </is>
      </c>
      <c r="B903" s="46">
        <f>Expense!A870</f>
        <v/>
      </c>
      <c r="C903" s="46">
        <f>Income!A870</f>
        <v/>
      </c>
    </row>
    <row r="904">
      <c r="A904" s="40" t="inlineStr">
        <is>
          <t>Jun</t>
        </is>
      </c>
      <c r="B904" s="46">
        <f>Expense!A871</f>
        <v/>
      </c>
      <c r="C904" s="46">
        <f>Income!A871</f>
        <v/>
      </c>
    </row>
    <row r="905">
      <c r="A905" s="40" t="inlineStr">
        <is>
          <t>Jul</t>
        </is>
      </c>
      <c r="B905" s="46">
        <f>Expense!A872</f>
        <v/>
      </c>
      <c r="C905" s="46">
        <f>Income!A872</f>
        <v/>
      </c>
    </row>
    <row r="906">
      <c r="A906" s="40" t="inlineStr">
        <is>
          <t>Aug</t>
        </is>
      </c>
      <c r="B906" s="46">
        <f>Expense!A873</f>
        <v/>
      </c>
      <c r="C906" s="46">
        <f>Income!A873</f>
        <v/>
      </c>
    </row>
    <row r="907">
      <c r="A907" s="40" t="inlineStr">
        <is>
          <t>Sep</t>
        </is>
      </c>
      <c r="B907" s="46">
        <f>Expense!A874</f>
        <v/>
      </c>
      <c r="C907" s="46">
        <f>Income!A874</f>
        <v/>
      </c>
    </row>
    <row r="908">
      <c r="A908" s="40" t="inlineStr">
        <is>
          <t>Oct</t>
        </is>
      </c>
      <c r="B908" s="46">
        <f>Expense!A875</f>
        <v/>
      </c>
      <c r="C908" s="46">
        <f>Income!A875</f>
        <v/>
      </c>
    </row>
    <row r="909">
      <c r="A909" s="40" t="inlineStr">
        <is>
          <t>Nov</t>
        </is>
      </c>
      <c r="B909" s="46">
        <f>Expense!A876</f>
        <v/>
      </c>
      <c r="C909" s="46">
        <f>Income!A876</f>
        <v/>
      </c>
    </row>
    <row r="910">
      <c r="A910" s="40" t="inlineStr">
        <is>
          <t>Dec</t>
        </is>
      </c>
      <c r="B910" s="46">
        <f>Expense!A877</f>
        <v/>
      </c>
      <c r="C910" s="46">
        <f>Income!A877</f>
        <v/>
      </c>
    </row>
    <row r="911">
      <c r="A911" s="40" t="inlineStr">
        <is>
          <t>Jan</t>
        </is>
      </c>
      <c r="B911" s="46">
        <f>Expense!A878</f>
        <v/>
      </c>
      <c r="C911" s="46">
        <f>Income!A878</f>
        <v/>
      </c>
    </row>
    <row r="912">
      <c r="A912" s="40" t="inlineStr">
        <is>
          <t>Feb</t>
        </is>
      </c>
      <c r="B912" s="46">
        <f>Expense!A879</f>
        <v/>
      </c>
      <c r="C912" s="46">
        <f>Income!A879</f>
        <v/>
      </c>
    </row>
    <row r="913">
      <c r="A913" s="40" t="inlineStr">
        <is>
          <t>Mar</t>
        </is>
      </c>
      <c r="B913" s="46">
        <f>Expense!A880</f>
        <v/>
      </c>
      <c r="C913" s="40">
        <f>Income!A880</f>
        <v/>
      </c>
    </row>
    <row r="914">
      <c r="B914" s="46">
        <f>Expense!A881</f>
        <v/>
      </c>
      <c r="C914" s="40">
        <f>Income!A881</f>
        <v/>
      </c>
    </row>
    <row r="915">
      <c r="B915" s="40">
        <f>Expense!A882</f>
        <v/>
      </c>
      <c r="C915" s="46">
        <f>Income!A882</f>
        <v/>
      </c>
    </row>
    <row r="916">
      <c r="B916" s="40">
        <f>Expense!A883</f>
        <v/>
      </c>
      <c r="C916" s="40">
        <f>Income!A883</f>
        <v/>
      </c>
    </row>
    <row r="917">
      <c r="B917" s="40">
        <f>Expense!A884</f>
        <v/>
      </c>
      <c r="C917" s="40">
        <f>Income!A884</f>
        <v/>
      </c>
    </row>
    <row r="918">
      <c r="B918" s="40">
        <f>Expense!A885</f>
        <v/>
      </c>
      <c r="C918" s="40">
        <f>Income!A885</f>
        <v/>
      </c>
    </row>
    <row r="919">
      <c r="A919" s="40" t="inlineStr">
        <is>
          <t>Apr</t>
        </is>
      </c>
      <c r="B919" s="46">
        <f>Expense!A886</f>
        <v/>
      </c>
      <c r="C919" s="40">
        <f>Income!A886</f>
        <v/>
      </c>
    </row>
    <row r="920">
      <c r="A920" s="40" t="inlineStr">
        <is>
          <t>May</t>
        </is>
      </c>
      <c r="B920" s="46">
        <f>Expense!A887</f>
        <v/>
      </c>
      <c r="C920" s="40">
        <f>Income!A887</f>
        <v/>
      </c>
    </row>
    <row r="921">
      <c r="A921" s="40" t="inlineStr">
        <is>
          <t>Jun</t>
        </is>
      </c>
      <c r="B921" s="46">
        <f>Expense!A888</f>
        <v/>
      </c>
      <c r="C921" s="40">
        <f>Income!A888</f>
        <v/>
      </c>
    </row>
    <row r="922">
      <c r="A922" s="40" t="inlineStr">
        <is>
          <t>Jul</t>
        </is>
      </c>
      <c r="B922" s="46">
        <f>Expense!A889</f>
        <v/>
      </c>
      <c r="C922" s="40">
        <f>Income!A889</f>
        <v/>
      </c>
    </row>
    <row r="923">
      <c r="A923" s="40" t="inlineStr">
        <is>
          <t>Aug</t>
        </is>
      </c>
      <c r="B923" s="46">
        <f>Expense!A890</f>
        <v/>
      </c>
      <c r="C923" s="40">
        <f>Income!A890</f>
        <v/>
      </c>
    </row>
    <row r="924">
      <c r="A924" s="40" t="inlineStr">
        <is>
          <t>Sep</t>
        </is>
      </c>
      <c r="B924" s="46">
        <f>Expense!A891</f>
        <v/>
      </c>
      <c r="C924" s="40">
        <f>Income!A891</f>
        <v/>
      </c>
    </row>
    <row r="925">
      <c r="A925" s="40" t="inlineStr">
        <is>
          <t>Oct</t>
        </is>
      </c>
      <c r="B925" s="46">
        <f>Expense!A892</f>
        <v/>
      </c>
      <c r="C925" s="46">
        <f>Income!A892</f>
        <v/>
      </c>
    </row>
    <row r="926">
      <c r="A926" s="40" t="inlineStr">
        <is>
          <t>Nov</t>
        </is>
      </c>
      <c r="B926" s="46">
        <f>Expense!A893</f>
        <v/>
      </c>
      <c r="C926" s="40">
        <f>Income!A893</f>
        <v/>
      </c>
    </row>
    <row r="927">
      <c r="A927" s="40" t="inlineStr">
        <is>
          <t>Dec</t>
        </is>
      </c>
      <c r="B927" s="46">
        <f>Expense!A894</f>
        <v/>
      </c>
      <c r="C927" s="40">
        <f>Income!A894</f>
        <v/>
      </c>
    </row>
    <row r="928">
      <c r="A928" s="40" t="inlineStr">
        <is>
          <t>Jan</t>
        </is>
      </c>
      <c r="B928" s="46">
        <f>Expense!A895</f>
        <v/>
      </c>
      <c r="C928" s="40">
        <f>Income!A895</f>
        <v/>
      </c>
    </row>
    <row r="929">
      <c r="A929" s="40" t="inlineStr">
        <is>
          <t>Feb</t>
        </is>
      </c>
      <c r="B929" s="46">
        <f>Expense!A896</f>
        <v/>
      </c>
      <c r="C929" s="40">
        <f>Income!A896</f>
        <v/>
      </c>
    </row>
    <row r="930">
      <c r="A930" s="40" t="inlineStr">
        <is>
          <t>Mar</t>
        </is>
      </c>
      <c r="B930" s="46">
        <f>Expense!A897</f>
        <v/>
      </c>
      <c r="C930" s="40">
        <f>Income!A897</f>
        <v/>
      </c>
    </row>
    <row r="931">
      <c r="B931" s="46">
        <f>Expense!A898</f>
        <v/>
      </c>
      <c r="C931" s="40">
        <f>Income!A898</f>
        <v/>
      </c>
    </row>
    <row r="932">
      <c r="B932" s="40">
        <f>Expense!A899</f>
        <v/>
      </c>
      <c r="C932" s="46">
        <f>Income!A899</f>
        <v/>
      </c>
    </row>
    <row r="933">
      <c r="B933" s="40">
        <f>Expense!A900</f>
        <v/>
      </c>
      <c r="C933" s="40">
        <f>Income!A900</f>
        <v/>
      </c>
    </row>
    <row r="934">
      <c r="B934" s="40">
        <f>Expense!A901</f>
        <v/>
      </c>
      <c r="C934" s="40">
        <f>Income!A901</f>
        <v/>
      </c>
    </row>
    <row r="935">
      <c r="B935" s="40">
        <f>Expense!A902</f>
        <v/>
      </c>
      <c r="C935" s="40">
        <f>Income!A902</f>
        <v/>
      </c>
    </row>
    <row r="936">
      <c r="A936" s="40" t="inlineStr">
        <is>
          <t>Apr</t>
        </is>
      </c>
      <c r="B936" s="46">
        <f>Expense!A903</f>
        <v/>
      </c>
      <c r="C936" s="40">
        <f>Income!A903</f>
        <v/>
      </c>
    </row>
    <row r="937">
      <c r="A937" s="40" t="inlineStr">
        <is>
          <t>May</t>
        </is>
      </c>
      <c r="B937" s="46">
        <f>Expense!A904</f>
        <v/>
      </c>
      <c r="C937" s="46">
        <f>Income!A904</f>
        <v/>
      </c>
    </row>
    <row r="938">
      <c r="A938" s="40" t="inlineStr">
        <is>
          <t>Jun</t>
        </is>
      </c>
      <c r="B938" s="46">
        <f>Expense!A905</f>
        <v/>
      </c>
      <c r="C938" s="46">
        <f>Income!A905</f>
        <v/>
      </c>
    </row>
    <row r="939">
      <c r="A939" s="40" t="inlineStr">
        <is>
          <t>Jul</t>
        </is>
      </c>
      <c r="B939" s="46">
        <f>Expense!A906</f>
        <v/>
      </c>
      <c r="C939" s="46">
        <f>Income!A906</f>
        <v/>
      </c>
    </row>
    <row r="940">
      <c r="A940" s="40" t="inlineStr">
        <is>
          <t>Aug</t>
        </is>
      </c>
      <c r="B940" s="46">
        <f>Expense!A907</f>
        <v/>
      </c>
      <c r="C940" s="46">
        <f>Income!A907</f>
        <v/>
      </c>
    </row>
    <row r="941">
      <c r="A941" s="40" t="inlineStr">
        <is>
          <t>Sep</t>
        </is>
      </c>
      <c r="B941" s="46">
        <f>Expense!A908</f>
        <v/>
      </c>
      <c r="C941" s="46">
        <f>Income!A908</f>
        <v/>
      </c>
    </row>
    <row r="942">
      <c r="A942" s="40" t="inlineStr">
        <is>
          <t>Oct</t>
        </is>
      </c>
      <c r="B942" s="46">
        <f>Expense!A909</f>
        <v/>
      </c>
      <c r="C942" s="46">
        <f>Income!A909</f>
        <v/>
      </c>
    </row>
    <row r="943">
      <c r="A943" s="40" t="inlineStr">
        <is>
          <t>Nov</t>
        </is>
      </c>
      <c r="B943" s="46">
        <f>Expense!A910</f>
        <v/>
      </c>
      <c r="C943" s="46">
        <f>Income!A910</f>
        <v/>
      </c>
    </row>
    <row r="944">
      <c r="A944" s="40" t="inlineStr">
        <is>
          <t>Dec</t>
        </is>
      </c>
      <c r="B944" s="46">
        <f>Expense!A911</f>
        <v/>
      </c>
      <c r="C944" s="46">
        <f>Income!A911</f>
        <v/>
      </c>
    </row>
    <row r="945">
      <c r="A945" s="40" t="inlineStr">
        <is>
          <t>Jan</t>
        </is>
      </c>
      <c r="B945" s="46">
        <f>Expense!A912</f>
        <v/>
      </c>
      <c r="C945" s="46">
        <f>Income!A912</f>
        <v/>
      </c>
    </row>
    <row r="946">
      <c r="A946" s="40" t="inlineStr">
        <is>
          <t>Feb</t>
        </is>
      </c>
      <c r="B946" s="46">
        <f>Expense!A913</f>
        <v/>
      </c>
      <c r="C946" s="46">
        <f>Income!A913</f>
        <v/>
      </c>
    </row>
    <row r="947">
      <c r="A947" s="40" t="inlineStr">
        <is>
          <t>Mar</t>
        </is>
      </c>
      <c r="B947" s="46">
        <f>Expense!A914</f>
        <v/>
      </c>
      <c r="C947" s="40">
        <f>Income!A914</f>
        <v/>
      </c>
    </row>
    <row r="948">
      <c r="B948" s="46">
        <f>Expense!A915</f>
        <v/>
      </c>
      <c r="C948" s="40">
        <f>Income!A915</f>
        <v/>
      </c>
    </row>
    <row r="949">
      <c r="B949" s="40">
        <f>Expense!A916</f>
        <v/>
      </c>
      <c r="C949" s="46">
        <f>Income!A916</f>
        <v/>
      </c>
    </row>
    <row r="950">
      <c r="B950" s="40">
        <f>Expense!A917</f>
        <v/>
      </c>
      <c r="C950" s="40">
        <f>Income!A917</f>
        <v/>
      </c>
    </row>
    <row r="951">
      <c r="B951" s="40">
        <f>Expense!A918</f>
        <v/>
      </c>
      <c r="C951" s="40">
        <f>Income!A918</f>
        <v/>
      </c>
    </row>
    <row r="952">
      <c r="B952" s="40">
        <f>Expense!A919</f>
        <v/>
      </c>
      <c r="C952" s="40">
        <f>Income!A919</f>
        <v/>
      </c>
    </row>
    <row r="953">
      <c r="A953" s="40" t="inlineStr">
        <is>
          <t>Apr</t>
        </is>
      </c>
      <c r="B953" s="46">
        <f>Expense!A920</f>
        <v/>
      </c>
      <c r="C953" s="40">
        <f>Income!A920</f>
        <v/>
      </c>
    </row>
    <row r="954">
      <c r="A954" s="40" t="inlineStr">
        <is>
          <t>May</t>
        </is>
      </c>
      <c r="B954" s="46">
        <f>Expense!A921</f>
        <v/>
      </c>
      <c r="C954" s="40">
        <f>Income!A921</f>
        <v/>
      </c>
    </row>
    <row r="955">
      <c r="A955" s="40" t="inlineStr">
        <is>
          <t>Jun</t>
        </is>
      </c>
      <c r="B955" s="46">
        <f>Expense!A922</f>
        <v/>
      </c>
      <c r="C955" s="40">
        <f>Income!A922</f>
        <v/>
      </c>
    </row>
    <row r="956">
      <c r="A956" s="40" t="inlineStr">
        <is>
          <t>Jul</t>
        </is>
      </c>
      <c r="B956" s="46">
        <f>Expense!A923</f>
        <v/>
      </c>
      <c r="C956" s="40">
        <f>Income!A923</f>
        <v/>
      </c>
    </row>
    <row r="957">
      <c r="A957" s="40" t="inlineStr">
        <is>
          <t>Aug</t>
        </is>
      </c>
      <c r="B957" s="46">
        <f>Expense!A924</f>
        <v/>
      </c>
      <c r="C957" s="40">
        <f>Income!A924</f>
        <v/>
      </c>
    </row>
    <row r="958">
      <c r="A958" s="40" t="inlineStr">
        <is>
          <t>Sep</t>
        </is>
      </c>
      <c r="B958" s="46">
        <f>Expense!A925</f>
        <v/>
      </c>
      <c r="C958" s="40">
        <f>Income!A925</f>
        <v/>
      </c>
    </row>
    <row r="959">
      <c r="A959" s="40" t="inlineStr">
        <is>
          <t>Oct</t>
        </is>
      </c>
      <c r="B959" s="46">
        <f>Expense!A926</f>
        <v/>
      </c>
      <c r="C959" s="40">
        <f>Income!A926</f>
        <v/>
      </c>
    </row>
    <row r="960">
      <c r="A960" s="40" t="inlineStr">
        <is>
          <t>Nov</t>
        </is>
      </c>
      <c r="B960" s="46">
        <f>Expense!A927</f>
        <v/>
      </c>
      <c r="C960" s="40">
        <f>Income!A927</f>
        <v/>
      </c>
    </row>
    <row r="961">
      <c r="A961" s="40" t="inlineStr">
        <is>
          <t>Dec</t>
        </is>
      </c>
      <c r="B961" s="46">
        <f>Expense!A928</f>
        <v/>
      </c>
      <c r="C961" s="40">
        <f>Income!A928</f>
        <v/>
      </c>
    </row>
    <row r="962">
      <c r="A962" s="40" t="inlineStr">
        <is>
          <t>Jan</t>
        </is>
      </c>
      <c r="B962" s="46">
        <f>Expense!A929</f>
        <v/>
      </c>
      <c r="C962" s="40">
        <f>Income!A929</f>
        <v/>
      </c>
    </row>
    <row r="963">
      <c r="A963" s="40" t="inlineStr">
        <is>
          <t>Feb</t>
        </is>
      </c>
      <c r="B963" s="46">
        <f>Expense!A930</f>
        <v/>
      </c>
      <c r="C963" s="40">
        <f>Income!A930</f>
        <v/>
      </c>
    </row>
    <row r="964">
      <c r="A964" s="40" t="inlineStr">
        <is>
          <t>Mar</t>
        </is>
      </c>
      <c r="B964" s="46">
        <f>Expense!A931</f>
        <v/>
      </c>
      <c r="C964" s="40">
        <f>Income!A931</f>
        <v/>
      </c>
    </row>
    <row r="965">
      <c r="B965" s="46">
        <f>Expense!A932</f>
        <v/>
      </c>
      <c r="C965" s="40">
        <f>Income!A932</f>
        <v/>
      </c>
    </row>
    <row r="966">
      <c r="B966" s="40">
        <f>Expense!A933</f>
        <v/>
      </c>
      <c r="C966" s="46">
        <f>Income!A933</f>
        <v/>
      </c>
    </row>
    <row r="967">
      <c r="B967" s="40">
        <f>Expense!A934</f>
        <v/>
      </c>
      <c r="C967" s="40">
        <f>Income!A934</f>
        <v/>
      </c>
    </row>
    <row r="968">
      <c r="B968" s="40">
        <f>Expense!A935</f>
        <v/>
      </c>
      <c r="C968" s="40">
        <f>Income!A935</f>
        <v/>
      </c>
    </row>
    <row r="969">
      <c r="B969" s="40">
        <f>Expense!A936</f>
        <v/>
      </c>
      <c r="C969" s="40">
        <f>Income!A936</f>
        <v/>
      </c>
    </row>
    <row r="970">
      <c r="A970" s="40" t="inlineStr">
        <is>
          <t>Apr</t>
        </is>
      </c>
      <c r="B970" s="46">
        <f>Expense!A937</f>
        <v/>
      </c>
      <c r="C970" s="40">
        <f>Income!A937</f>
        <v/>
      </c>
    </row>
    <row r="971">
      <c r="A971" s="40" t="inlineStr">
        <is>
          <t>May</t>
        </is>
      </c>
      <c r="B971" s="46">
        <f>Expense!A938</f>
        <v/>
      </c>
      <c r="C971" s="46">
        <f>Income!A938</f>
        <v/>
      </c>
    </row>
    <row r="972">
      <c r="A972" s="40" t="inlineStr">
        <is>
          <t>Jun</t>
        </is>
      </c>
      <c r="B972" s="46">
        <f>Expense!A939</f>
        <v/>
      </c>
      <c r="C972" s="46">
        <f>Income!A939</f>
        <v/>
      </c>
    </row>
    <row r="973">
      <c r="A973" s="40" t="inlineStr">
        <is>
          <t>Jul</t>
        </is>
      </c>
      <c r="B973" s="46">
        <f>Expense!A940</f>
        <v/>
      </c>
      <c r="C973" s="46">
        <f>Income!A940</f>
        <v/>
      </c>
    </row>
    <row r="974">
      <c r="A974" s="40" t="inlineStr">
        <is>
          <t>Aug</t>
        </is>
      </c>
      <c r="B974" s="46">
        <f>Expense!A941</f>
        <v/>
      </c>
      <c r="C974" s="46">
        <f>Income!A941</f>
        <v/>
      </c>
    </row>
    <row r="975">
      <c r="A975" s="40" t="inlineStr">
        <is>
          <t>Sep</t>
        </is>
      </c>
      <c r="B975" s="46">
        <f>Expense!A942</f>
        <v/>
      </c>
      <c r="C975" s="46">
        <f>Income!A942</f>
        <v/>
      </c>
    </row>
    <row r="976">
      <c r="A976" s="40" t="inlineStr">
        <is>
          <t>Oct</t>
        </is>
      </c>
      <c r="B976" s="46">
        <f>Expense!A943</f>
        <v/>
      </c>
      <c r="C976" s="46">
        <f>Income!A943</f>
        <v/>
      </c>
    </row>
    <row r="977">
      <c r="A977" s="40" t="inlineStr">
        <is>
          <t>Nov</t>
        </is>
      </c>
      <c r="B977" s="46">
        <f>Expense!A944</f>
        <v/>
      </c>
      <c r="C977" s="40">
        <f>Income!A944</f>
        <v/>
      </c>
    </row>
    <row r="978">
      <c r="A978" s="40" t="inlineStr">
        <is>
          <t>Dec</t>
        </is>
      </c>
      <c r="B978" s="46">
        <f>Expense!A945</f>
        <v/>
      </c>
      <c r="C978" s="46">
        <f>Income!A945</f>
        <v/>
      </c>
    </row>
    <row r="979">
      <c r="A979" s="40" t="inlineStr">
        <is>
          <t>Jan</t>
        </is>
      </c>
      <c r="B979" s="46">
        <f>Expense!A946</f>
        <v/>
      </c>
      <c r="C979" s="46">
        <f>Income!A946</f>
        <v/>
      </c>
    </row>
    <row r="980">
      <c r="A980" s="40" t="inlineStr">
        <is>
          <t>Feb</t>
        </is>
      </c>
      <c r="B980" s="46">
        <f>Expense!A947</f>
        <v/>
      </c>
      <c r="C980" s="46">
        <f>Income!A947</f>
        <v/>
      </c>
    </row>
    <row r="981">
      <c r="A981" s="40" t="inlineStr">
        <is>
          <t>Mar</t>
        </is>
      </c>
      <c r="B981" s="46">
        <f>Expense!A948</f>
        <v/>
      </c>
      <c r="C981" s="40">
        <f>Income!A948</f>
        <v/>
      </c>
    </row>
    <row r="982">
      <c r="B982" s="46">
        <f>Expense!A949</f>
        <v/>
      </c>
      <c r="C982" s="40">
        <f>Income!A949</f>
        <v/>
      </c>
    </row>
    <row r="983">
      <c r="B983" s="40">
        <f>Expense!A950</f>
        <v/>
      </c>
      <c r="C983" s="46">
        <f>Income!A950</f>
        <v/>
      </c>
    </row>
    <row r="984">
      <c r="B984" s="40">
        <f>Expense!A951</f>
        <v/>
      </c>
      <c r="C984" s="40">
        <f>Income!A951</f>
        <v/>
      </c>
    </row>
    <row r="985">
      <c r="B985" s="40">
        <f>Expense!A952</f>
        <v/>
      </c>
      <c r="C985" s="40">
        <f>Income!A952</f>
        <v/>
      </c>
    </row>
    <row r="986">
      <c r="B986" s="40">
        <f>Expense!A953</f>
        <v/>
      </c>
      <c r="C986" s="40">
        <f>Income!A953</f>
        <v/>
      </c>
    </row>
    <row r="987">
      <c r="A987" s="40" t="inlineStr">
        <is>
          <t>Apr</t>
        </is>
      </c>
      <c r="B987" s="46">
        <f>Expense!A954</f>
        <v/>
      </c>
      <c r="C987" s="40">
        <f>Income!A954</f>
        <v/>
      </c>
    </row>
    <row r="988">
      <c r="A988" s="40" t="inlineStr">
        <is>
          <t>May</t>
        </is>
      </c>
      <c r="B988" s="46">
        <f>Expense!A955</f>
        <v/>
      </c>
      <c r="C988" s="40">
        <f>Income!A955</f>
        <v/>
      </c>
    </row>
    <row r="989">
      <c r="A989" s="40" t="inlineStr">
        <is>
          <t>Jun</t>
        </is>
      </c>
      <c r="B989" s="46">
        <f>Expense!A956</f>
        <v/>
      </c>
      <c r="C989" s="40">
        <f>Income!A956</f>
        <v/>
      </c>
    </row>
    <row r="990">
      <c r="A990" s="40" t="inlineStr">
        <is>
          <t>Jul</t>
        </is>
      </c>
      <c r="B990" s="46">
        <f>Expense!A957</f>
        <v/>
      </c>
      <c r="C990" s="40">
        <f>Income!A957</f>
        <v/>
      </c>
    </row>
    <row r="991">
      <c r="A991" s="40" t="inlineStr">
        <is>
          <t>Aug</t>
        </is>
      </c>
      <c r="B991" s="46">
        <f>Expense!A958</f>
        <v/>
      </c>
      <c r="C991" s="40">
        <f>Income!A958</f>
        <v/>
      </c>
    </row>
    <row r="992">
      <c r="A992" s="40" t="inlineStr">
        <is>
          <t>Sep</t>
        </is>
      </c>
      <c r="B992" s="46">
        <f>Expense!A959</f>
        <v/>
      </c>
      <c r="C992" s="40">
        <f>Income!A959</f>
        <v/>
      </c>
    </row>
    <row r="993">
      <c r="A993" s="40" t="inlineStr">
        <is>
          <t>Oct</t>
        </is>
      </c>
      <c r="B993" s="46">
        <f>Expense!A960</f>
        <v/>
      </c>
      <c r="C993" s="46">
        <f>Income!A960</f>
        <v/>
      </c>
    </row>
    <row r="994">
      <c r="A994" s="40" t="inlineStr">
        <is>
          <t>Nov</t>
        </is>
      </c>
      <c r="B994" s="46">
        <f>Expense!A961</f>
        <v/>
      </c>
      <c r="C994" s="40">
        <f>Income!A961</f>
        <v/>
      </c>
    </row>
    <row r="995">
      <c r="A995" s="40" t="inlineStr">
        <is>
          <t>Dec</t>
        </is>
      </c>
      <c r="B995" s="46">
        <f>Expense!A962</f>
        <v/>
      </c>
      <c r="C995" s="40">
        <f>Income!A962</f>
        <v/>
      </c>
    </row>
    <row r="996">
      <c r="A996" s="40" t="inlineStr">
        <is>
          <t>Jan</t>
        </is>
      </c>
      <c r="B996" s="46">
        <f>Expense!A963</f>
        <v/>
      </c>
      <c r="C996" s="40">
        <f>Income!A963</f>
        <v/>
      </c>
    </row>
    <row r="997">
      <c r="A997" s="40" t="inlineStr">
        <is>
          <t>Feb</t>
        </is>
      </c>
      <c r="B997" s="46">
        <f>Expense!A964</f>
        <v/>
      </c>
      <c r="C997" s="40">
        <f>Income!A964</f>
        <v/>
      </c>
    </row>
    <row r="998">
      <c r="A998" s="40" t="inlineStr">
        <is>
          <t>Mar</t>
        </is>
      </c>
      <c r="B998" s="46">
        <f>Expense!A965</f>
        <v/>
      </c>
      <c r="C998" s="40">
        <f>Income!A965</f>
        <v/>
      </c>
    </row>
    <row r="999">
      <c r="B999" s="46">
        <f>Expense!A966</f>
        <v/>
      </c>
      <c r="C999" s="40">
        <f>Income!A966</f>
        <v/>
      </c>
    </row>
    <row r="1000">
      <c r="B1000" s="40">
        <f>Expense!A967</f>
        <v/>
      </c>
      <c r="C1000" s="46">
        <f>Income!A967</f>
        <v/>
      </c>
    </row>
    <row r="1001">
      <c r="B1001" s="40">
        <f>Expense!A968</f>
        <v/>
      </c>
      <c r="C1001" s="40">
        <f>Income!A968</f>
        <v/>
      </c>
    </row>
    <row r="1002">
      <c r="B1002" s="40">
        <f>Expense!A969</f>
        <v/>
      </c>
      <c r="C1002" s="40">
        <f>Income!A969</f>
        <v/>
      </c>
    </row>
    <row r="1003">
      <c r="B1003" s="40">
        <f>Expense!A970</f>
        <v/>
      </c>
      <c r="C1003" s="40">
        <f>Income!A970</f>
        <v/>
      </c>
    </row>
    <row r="1004">
      <c r="A1004" s="40" t="inlineStr">
        <is>
          <t>Apr</t>
        </is>
      </c>
      <c r="B1004" s="46">
        <f>Expense!A971</f>
        <v/>
      </c>
      <c r="C1004" s="40">
        <f>Income!A971</f>
        <v/>
      </c>
    </row>
    <row r="1005">
      <c r="A1005" s="40" t="inlineStr">
        <is>
          <t>May</t>
        </is>
      </c>
      <c r="B1005" s="46">
        <f>Expense!A972</f>
        <v/>
      </c>
      <c r="C1005" s="46">
        <f>Income!A972</f>
        <v/>
      </c>
    </row>
    <row r="1006">
      <c r="A1006" s="40" t="inlineStr">
        <is>
          <t>Jun</t>
        </is>
      </c>
      <c r="B1006" s="46">
        <f>Expense!A973</f>
        <v/>
      </c>
      <c r="C1006" s="46">
        <f>Income!A973</f>
        <v/>
      </c>
    </row>
    <row r="1007">
      <c r="A1007" s="40" t="inlineStr">
        <is>
          <t>Jul</t>
        </is>
      </c>
      <c r="B1007" s="46">
        <f>Expense!A974</f>
        <v/>
      </c>
      <c r="C1007" s="46">
        <f>Income!A974</f>
        <v/>
      </c>
    </row>
    <row r="1008">
      <c r="A1008" s="40" t="inlineStr">
        <is>
          <t>Aug</t>
        </is>
      </c>
      <c r="B1008" s="46">
        <f>Expense!A975</f>
        <v/>
      </c>
      <c r="C1008" s="46">
        <f>Income!A975</f>
        <v/>
      </c>
    </row>
    <row r="1009">
      <c r="A1009" s="40" t="inlineStr">
        <is>
          <t>Sep</t>
        </is>
      </c>
      <c r="B1009" s="46">
        <f>Expense!A976</f>
        <v/>
      </c>
      <c r="C1009" s="46">
        <f>Income!A976</f>
        <v/>
      </c>
    </row>
    <row r="1010">
      <c r="A1010" s="40" t="inlineStr">
        <is>
          <t>Oct</t>
        </is>
      </c>
      <c r="B1010" s="46">
        <f>Expense!A977</f>
        <v/>
      </c>
      <c r="C1010" s="46">
        <f>Income!A977</f>
        <v/>
      </c>
    </row>
    <row r="1011">
      <c r="A1011" s="40" t="inlineStr">
        <is>
          <t>Nov</t>
        </is>
      </c>
      <c r="B1011" s="46">
        <f>Expense!A978</f>
        <v/>
      </c>
      <c r="C1011" s="46">
        <f>Income!A978</f>
        <v/>
      </c>
    </row>
    <row r="1012">
      <c r="A1012" s="40" t="inlineStr">
        <is>
          <t>Dec</t>
        </is>
      </c>
      <c r="B1012" s="46">
        <f>Expense!A979</f>
        <v/>
      </c>
      <c r="C1012" s="46">
        <f>Income!A979</f>
        <v/>
      </c>
    </row>
    <row r="1013">
      <c r="A1013" s="40" t="inlineStr">
        <is>
          <t>Jan</t>
        </is>
      </c>
      <c r="B1013" s="46">
        <f>Expense!A980</f>
        <v/>
      </c>
      <c r="C1013" s="46">
        <f>Income!A980</f>
        <v/>
      </c>
    </row>
    <row r="1014">
      <c r="A1014" s="40" t="inlineStr">
        <is>
          <t>Feb</t>
        </is>
      </c>
      <c r="B1014" s="46">
        <f>Expense!A981</f>
        <v/>
      </c>
      <c r="C1014" s="46">
        <f>Income!A981</f>
        <v/>
      </c>
    </row>
    <row r="1015">
      <c r="A1015" s="40" t="inlineStr">
        <is>
          <t>Mar</t>
        </is>
      </c>
      <c r="B1015" s="46">
        <f>Expense!A982</f>
        <v/>
      </c>
      <c r="C1015" s="40">
        <f>Income!A982</f>
        <v/>
      </c>
    </row>
    <row r="1016">
      <c r="B1016" s="46">
        <f>Expense!A983</f>
        <v/>
      </c>
      <c r="C1016" s="40">
        <f>Income!A983</f>
        <v/>
      </c>
    </row>
    <row r="1017">
      <c r="B1017" s="40">
        <f>Expense!A984</f>
        <v/>
      </c>
      <c r="C1017" s="46">
        <f>Income!A984</f>
        <v/>
      </c>
    </row>
    <row r="1018">
      <c r="B1018" s="40">
        <f>Expense!A985</f>
        <v/>
      </c>
      <c r="C1018" s="40">
        <f>Income!A985</f>
        <v/>
      </c>
    </row>
    <row r="1019">
      <c r="B1019" s="40">
        <f>Expense!A986</f>
        <v/>
      </c>
      <c r="C1019" s="40">
        <f>Income!A986</f>
        <v/>
      </c>
    </row>
    <row r="1020">
      <c r="B1020" s="40">
        <f>Expense!A987</f>
        <v/>
      </c>
      <c r="C1020" s="40">
        <f>Income!A987</f>
        <v/>
      </c>
    </row>
    <row r="1021">
      <c r="A1021" s="40" t="inlineStr">
        <is>
          <t>Apr</t>
        </is>
      </c>
      <c r="B1021" s="46">
        <f>Expense!A988</f>
        <v/>
      </c>
      <c r="C1021" s="40">
        <f>Income!A988</f>
        <v/>
      </c>
    </row>
    <row r="1022">
      <c r="A1022" s="40" t="inlineStr">
        <is>
          <t>May</t>
        </is>
      </c>
      <c r="B1022" s="46">
        <f>Expense!A989</f>
        <v/>
      </c>
      <c r="C1022" s="46">
        <f>Income!A989</f>
        <v/>
      </c>
    </row>
    <row r="1023">
      <c r="A1023" s="40" t="inlineStr">
        <is>
          <t>Jun</t>
        </is>
      </c>
      <c r="B1023" s="46">
        <f>Expense!A990</f>
        <v/>
      </c>
      <c r="C1023" s="46">
        <f>Income!A990</f>
        <v/>
      </c>
    </row>
    <row r="1024">
      <c r="A1024" s="40" t="inlineStr">
        <is>
          <t>Jul</t>
        </is>
      </c>
      <c r="B1024" s="46">
        <f>Expense!A991</f>
        <v/>
      </c>
      <c r="C1024" s="46">
        <f>Income!A991</f>
        <v/>
      </c>
    </row>
    <row r="1025">
      <c r="A1025" s="40" t="inlineStr">
        <is>
          <t>Aug</t>
        </is>
      </c>
      <c r="B1025" s="46">
        <f>Expense!A992</f>
        <v/>
      </c>
      <c r="C1025" s="46">
        <f>Income!A992</f>
        <v/>
      </c>
    </row>
    <row r="1026">
      <c r="A1026" s="40" t="inlineStr">
        <is>
          <t>Sep</t>
        </is>
      </c>
      <c r="B1026" s="46">
        <f>Expense!A993</f>
        <v/>
      </c>
      <c r="C1026" s="46">
        <f>Income!A993</f>
        <v/>
      </c>
    </row>
    <row r="1027">
      <c r="A1027" s="40" t="inlineStr">
        <is>
          <t>Oct</t>
        </is>
      </c>
      <c r="B1027" s="46">
        <f>Expense!A994</f>
        <v/>
      </c>
      <c r="C1027" s="46">
        <f>Income!A994</f>
        <v/>
      </c>
    </row>
    <row r="1028">
      <c r="A1028" s="40" t="inlineStr">
        <is>
          <t>Nov</t>
        </is>
      </c>
      <c r="B1028" s="46">
        <f>Expense!A995</f>
        <v/>
      </c>
      <c r="C1028" s="46">
        <f>Income!A995</f>
        <v/>
      </c>
    </row>
    <row r="1029">
      <c r="A1029" s="40" t="inlineStr">
        <is>
          <t>Dec</t>
        </is>
      </c>
      <c r="B1029" s="46">
        <f>Expense!A996</f>
        <v/>
      </c>
      <c r="C1029" s="46">
        <f>Income!A996</f>
        <v/>
      </c>
    </row>
    <row r="1030">
      <c r="A1030" s="40" t="inlineStr">
        <is>
          <t>Jan</t>
        </is>
      </c>
      <c r="B1030" s="46">
        <f>Expense!A997</f>
        <v/>
      </c>
      <c r="C1030" s="46">
        <f>Income!A997</f>
        <v/>
      </c>
    </row>
    <row r="1031">
      <c r="A1031" s="40" t="inlineStr">
        <is>
          <t>Feb</t>
        </is>
      </c>
      <c r="B1031" s="46">
        <f>Expense!A998</f>
        <v/>
      </c>
      <c r="C1031" s="46">
        <f>Income!A998</f>
        <v/>
      </c>
    </row>
    <row r="1032">
      <c r="A1032" s="40" t="inlineStr">
        <is>
          <t>Mar</t>
        </is>
      </c>
      <c r="B1032" s="46">
        <f>Expense!A999</f>
        <v/>
      </c>
      <c r="C1032" s="40">
        <f>Income!A999</f>
        <v/>
      </c>
    </row>
    <row r="1033">
      <c r="B1033" s="46">
        <f>Expense!A1000</f>
        <v/>
      </c>
      <c r="C1033" s="40">
        <f>Income!A1000</f>
        <v/>
      </c>
    </row>
    <row r="1034">
      <c r="B1034" s="40">
        <f>Expense!A1001</f>
        <v/>
      </c>
      <c r="C1034" s="46">
        <f>Income!A1001</f>
        <v/>
      </c>
    </row>
    <row r="1035">
      <c r="B1035" s="40">
        <f>Expense!A1002</f>
        <v/>
      </c>
      <c r="C1035" s="40">
        <f>Income!A1002</f>
        <v/>
      </c>
    </row>
    <row r="1036">
      <c r="B1036" s="40">
        <f>Expense!A1003</f>
        <v/>
      </c>
      <c r="C1036" s="40">
        <f>Income!A1003</f>
        <v/>
      </c>
    </row>
    <row r="1037">
      <c r="B1037" s="40">
        <f>Expense!A1004</f>
        <v/>
      </c>
      <c r="C1037" s="40">
        <f>Income!A1004</f>
        <v/>
      </c>
    </row>
    <row r="1038">
      <c r="A1038" s="40" t="inlineStr">
        <is>
          <t>Apr</t>
        </is>
      </c>
      <c r="B1038" s="46">
        <f>Expense!A1005</f>
        <v/>
      </c>
      <c r="C1038" s="40">
        <f>Income!A1005</f>
        <v/>
      </c>
    </row>
    <row r="1039">
      <c r="A1039" s="40" t="inlineStr">
        <is>
          <t>May</t>
        </is>
      </c>
      <c r="B1039" s="46">
        <f>Expense!A1006</f>
        <v/>
      </c>
      <c r="C1039" s="46">
        <f>Income!A1006</f>
        <v/>
      </c>
    </row>
    <row r="1040">
      <c r="A1040" s="40" t="inlineStr">
        <is>
          <t>Jun</t>
        </is>
      </c>
      <c r="B1040" s="46">
        <f>Expense!A1007</f>
        <v/>
      </c>
      <c r="C1040" s="46">
        <f>Income!A1007</f>
        <v/>
      </c>
    </row>
    <row r="1041">
      <c r="A1041" s="40" t="inlineStr">
        <is>
          <t>Jul</t>
        </is>
      </c>
      <c r="B1041" s="46">
        <f>Expense!A1008</f>
        <v/>
      </c>
      <c r="C1041" s="46">
        <f>Income!A1008</f>
        <v/>
      </c>
    </row>
    <row r="1042">
      <c r="A1042" s="40" t="inlineStr">
        <is>
          <t>Aug</t>
        </is>
      </c>
      <c r="B1042" s="46">
        <f>Expense!A1009</f>
        <v/>
      </c>
      <c r="C1042" s="46">
        <f>Income!A1009</f>
        <v/>
      </c>
    </row>
    <row r="1043">
      <c r="A1043" s="40" t="inlineStr">
        <is>
          <t>Sep</t>
        </is>
      </c>
      <c r="B1043" s="46">
        <f>Expense!A1010</f>
        <v/>
      </c>
      <c r="C1043" s="46">
        <f>Income!A1010</f>
        <v/>
      </c>
    </row>
    <row r="1044">
      <c r="A1044" s="40" t="inlineStr">
        <is>
          <t>Oct</t>
        </is>
      </c>
      <c r="B1044" s="46">
        <f>Expense!A1011</f>
        <v/>
      </c>
      <c r="C1044" s="46">
        <f>Income!A1011</f>
        <v/>
      </c>
    </row>
    <row r="1045">
      <c r="A1045" s="40" t="inlineStr">
        <is>
          <t>Nov</t>
        </is>
      </c>
      <c r="B1045" s="46">
        <f>Expense!A1012</f>
        <v/>
      </c>
      <c r="C1045" s="46">
        <f>Income!A1012</f>
        <v/>
      </c>
    </row>
    <row r="1046">
      <c r="A1046" s="40" t="inlineStr">
        <is>
          <t>Dec</t>
        </is>
      </c>
      <c r="B1046" s="46">
        <f>Expense!A1013</f>
        <v/>
      </c>
      <c r="C1046" s="46">
        <f>Income!A1013</f>
        <v/>
      </c>
    </row>
    <row r="1047">
      <c r="A1047" s="40" t="inlineStr">
        <is>
          <t>Jan</t>
        </is>
      </c>
      <c r="B1047" s="46">
        <f>Expense!A1014</f>
        <v/>
      </c>
      <c r="C1047" s="46">
        <f>Income!A1014</f>
        <v/>
      </c>
    </row>
    <row r="1048">
      <c r="A1048" s="40" t="inlineStr">
        <is>
          <t>Feb</t>
        </is>
      </c>
      <c r="B1048" s="46">
        <f>Expense!A1015</f>
        <v/>
      </c>
      <c r="C1048" s="46">
        <f>Income!A1015</f>
        <v/>
      </c>
    </row>
    <row r="1049">
      <c r="A1049" s="40" t="inlineStr">
        <is>
          <t>Mar</t>
        </is>
      </c>
      <c r="B1049" s="46">
        <f>Expense!A1016</f>
        <v/>
      </c>
      <c r="C1049" s="40">
        <f>Income!A1016</f>
        <v/>
      </c>
    </row>
    <row r="1050">
      <c r="B1050" s="46">
        <f>Expense!A1017</f>
        <v/>
      </c>
      <c r="C1050" s="40">
        <f>Income!A1017</f>
        <v/>
      </c>
    </row>
    <row r="1051">
      <c r="B1051" s="40">
        <f>Expense!A1018</f>
        <v/>
      </c>
      <c r="C1051" s="46">
        <f>Income!A1018</f>
        <v/>
      </c>
    </row>
    <row r="1052">
      <c r="B1052" s="40">
        <f>Expense!A1019</f>
        <v/>
      </c>
      <c r="C1052" s="40">
        <f>Income!A1019</f>
        <v/>
      </c>
    </row>
    <row r="1053">
      <c r="B1053" s="40">
        <f>Expense!A1020</f>
        <v/>
      </c>
      <c r="C1053" s="40">
        <f>Income!A1020</f>
        <v/>
      </c>
    </row>
    <row r="1054">
      <c r="B1054" s="40">
        <f>Expense!A1021</f>
        <v/>
      </c>
      <c r="C1054" s="40">
        <f>Income!A1021</f>
        <v/>
      </c>
    </row>
    <row r="1055">
      <c r="A1055" s="40" t="inlineStr">
        <is>
          <t>Apr</t>
        </is>
      </c>
      <c r="B1055" s="46">
        <f>Expense!A1022</f>
        <v/>
      </c>
      <c r="C1055" s="40">
        <f>Income!A1022</f>
        <v/>
      </c>
    </row>
    <row r="1056">
      <c r="A1056" s="40" t="inlineStr">
        <is>
          <t>May</t>
        </is>
      </c>
      <c r="B1056" s="46">
        <f>Expense!A1023</f>
        <v/>
      </c>
      <c r="C1056" s="46">
        <f>Income!A1023</f>
        <v/>
      </c>
    </row>
    <row r="1057">
      <c r="A1057" s="40" t="inlineStr">
        <is>
          <t>Jun</t>
        </is>
      </c>
      <c r="B1057" s="46">
        <f>Expense!A1024</f>
        <v/>
      </c>
      <c r="C1057" s="40">
        <f>Income!A1024</f>
        <v/>
      </c>
    </row>
    <row r="1058">
      <c r="A1058" s="40" t="inlineStr">
        <is>
          <t>Jul</t>
        </is>
      </c>
      <c r="B1058" s="46">
        <f>Expense!A1025</f>
        <v/>
      </c>
      <c r="C1058" s="40">
        <f>Income!A1025</f>
        <v/>
      </c>
    </row>
    <row r="1059">
      <c r="A1059" s="40" t="inlineStr">
        <is>
          <t>Aug</t>
        </is>
      </c>
      <c r="B1059" s="46">
        <f>Expense!A1026</f>
        <v/>
      </c>
      <c r="C1059" s="40">
        <f>Income!A1026</f>
        <v/>
      </c>
    </row>
    <row r="1060">
      <c r="A1060" s="40" t="inlineStr">
        <is>
          <t>Sep</t>
        </is>
      </c>
      <c r="B1060" s="46">
        <f>Expense!A1027</f>
        <v/>
      </c>
      <c r="C1060" s="40">
        <f>Income!A1027</f>
        <v/>
      </c>
    </row>
    <row r="1061">
      <c r="A1061" s="40" t="inlineStr">
        <is>
          <t>Oct</t>
        </is>
      </c>
      <c r="B1061" s="46">
        <f>Expense!A1028</f>
        <v/>
      </c>
      <c r="C1061" s="40">
        <f>Income!A1028</f>
        <v/>
      </c>
    </row>
    <row r="1062">
      <c r="A1062" s="40" t="inlineStr">
        <is>
          <t>Nov</t>
        </is>
      </c>
      <c r="B1062" s="46">
        <f>Expense!A1029</f>
        <v/>
      </c>
      <c r="C1062" s="46">
        <f>Income!A1029</f>
        <v/>
      </c>
    </row>
    <row r="1063">
      <c r="A1063" s="40" t="inlineStr">
        <is>
          <t>Dec</t>
        </is>
      </c>
      <c r="B1063" s="46">
        <f>Expense!A1030</f>
        <v/>
      </c>
      <c r="C1063" s="40">
        <f>Income!A1030</f>
        <v/>
      </c>
    </row>
    <row r="1064">
      <c r="A1064" s="40" t="inlineStr">
        <is>
          <t>Jan</t>
        </is>
      </c>
      <c r="B1064" s="46">
        <f>Expense!A1031</f>
        <v/>
      </c>
      <c r="C1064" s="40">
        <f>Income!A1031</f>
        <v/>
      </c>
    </row>
    <row r="1065">
      <c r="A1065" s="40" t="inlineStr">
        <is>
          <t>Feb</t>
        </is>
      </c>
      <c r="B1065" s="46">
        <f>Expense!A1032</f>
        <v/>
      </c>
      <c r="C1065" s="40">
        <f>Income!A1032</f>
        <v/>
      </c>
    </row>
    <row r="1066">
      <c r="A1066" s="40" t="inlineStr">
        <is>
          <t>Mar</t>
        </is>
      </c>
      <c r="B1066" s="46">
        <f>Expense!A1033</f>
        <v/>
      </c>
      <c r="C1066" s="40">
        <f>Income!A1033</f>
        <v/>
      </c>
    </row>
    <row r="1067">
      <c r="B1067" s="46">
        <f>Expense!A1034</f>
        <v/>
      </c>
      <c r="C1067" s="40">
        <f>Income!A1034</f>
        <v/>
      </c>
    </row>
    <row r="1068">
      <c r="B1068" s="40">
        <f>Expense!A1035</f>
        <v/>
      </c>
      <c r="C1068" s="46">
        <f>Income!A1035</f>
        <v/>
      </c>
    </row>
    <row r="1069">
      <c r="B1069" s="40">
        <f>Expense!A1036</f>
        <v/>
      </c>
      <c r="C1069" s="40">
        <f>Income!A1036</f>
        <v/>
      </c>
    </row>
    <row r="1070">
      <c r="B1070" s="40">
        <f>Expense!A1037</f>
        <v/>
      </c>
      <c r="C1070" s="40">
        <f>Income!A1037</f>
        <v/>
      </c>
    </row>
    <row r="1071">
      <c r="B1071" s="40">
        <f>Expense!A1038</f>
        <v/>
      </c>
      <c r="C1071" s="40">
        <f>Income!A1038</f>
        <v/>
      </c>
    </row>
    <row r="1072">
      <c r="A1072" s="40" t="inlineStr">
        <is>
          <t>Apr</t>
        </is>
      </c>
      <c r="B1072" s="46">
        <f>Expense!A1039</f>
        <v/>
      </c>
      <c r="C1072" s="40">
        <f>Income!A1039</f>
        <v/>
      </c>
    </row>
    <row r="1073">
      <c r="A1073" s="40" t="inlineStr">
        <is>
          <t>May</t>
        </is>
      </c>
      <c r="B1073" s="46">
        <f>Expense!A1040</f>
        <v/>
      </c>
      <c r="C1073" s="46">
        <f>Income!A1040</f>
        <v/>
      </c>
    </row>
    <row r="1074">
      <c r="A1074" s="40" t="inlineStr">
        <is>
          <t>Jun</t>
        </is>
      </c>
      <c r="B1074" s="46">
        <f>Expense!A1041</f>
        <v/>
      </c>
      <c r="C1074" s="46">
        <f>Income!A1041</f>
        <v/>
      </c>
    </row>
    <row r="1075">
      <c r="A1075" s="40" t="inlineStr">
        <is>
          <t>Jul</t>
        </is>
      </c>
      <c r="B1075" s="46">
        <f>Expense!A1042</f>
        <v/>
      </c>
      <c r="C1075" s="46">
        <f>Income!A1042</f>
        <v/>
      </c>
    </row>
    <row r="1076">
      <c r="A1076" s="40" t="inlineStr">
        <is>
          <t>Aug</t>
        </is>
      </c>
      <c r="B1076" s="46">
        <f>Expense!A1043</f>
        <v/>
      </c>
      <c r="C1076" s="46">
        <f>Income!A1043</f>
        <v/>
      </c>
    </row>
    <row r="1077">
      <c r="A1077" s="40" t="inlineStr">
        <is>
          <t>Sep</t>
        </is>
      </c>
      <c r="B1077" s="46">
        <f>Expense!A1044</f>
        <v/>
      </c>
      <c r="C1077" s="46">
        <f>Income!A1044</f>
        <v/>
      </c>
    </row>
    <row r="1078">
      <c r="A1078" s="40" t="inlineStr">
        <is>
          <t>Oct</t>
        </is>
      </c>
      <c r="B1078" s="46">
        <f>Expense!A1045</f>
        <v/>
      </c>
      <c r="C1078" s="46">
        <f>Income!A1045</f>
        <v/>
      </c>
    </row>
    <row r="1079">
      <c r="A1079" s="40" t="inlineStr">
        <is>
          <t>Nov</t>
        </is>
      </c>
      <c r="B1079" s="46">
        <f>Expense!A1046</f>
        <v/>
      </c>
      <c r="C1079" s="46">
        <f>Income!A1046</f>
        <v/>
      </c>
    </row>
    <row r="1080">
      <c r="A1080" s="40" t="inlineStr">
        <is>
          <t>Dec</t>
        </is>
      </c>
      <c r="B1080" s="46">
        <f>Expense!A1047</f>
        <v/>
      </c>
      <c r="C1080" s="46">
        <f>Income!A1047</f>
        <v/>
      </c>
    </row>
    <row r="1081">
      <c r="A1081" s="40" t="inlineStr">
        <is>
          <t>Jan</t>
        </is>
      </c>
      <c r="B1081" s="46">
        <f>Expense!A1048</f>
        <v/>
      </c>
      <c r="C1081" s="46">
        <f>Income!A1048</f>
        <v/>
      </c>
    </row>
    <row r="1082">
      <c r="A1082" s="40" t="inlineStr">
        <is>
          <t>Feb</t>
        </is>
      </c>
      <c r="B1082" s="46">
        <f>Expense!A1049</f>
        <v/>
      </c>
      <c r="C1082" s="46">
        <f>Income!A1049</f>
        <v/>
      </c>
    </row>
    <row r="1083">
      <c r="A1083" s="40" t="inlineStr">
        <is>
          <t>Mar</t>
        </is>
      </c>
      <c r="B1083" s="46">
        <f>Expense!A1050</f>
        <v/>
      </c>
      <c r="C1083" s="40">
        <f>Income!A1050</f>
        <v/>
      </c>
    </row>
    <row r="1084">
      <c r="B1084" s="46">
        <f>Expense!A1051</f>
        <v/>
      </c>
      <c r="C1084" s="40">
        <f>Income!A1051</f>
        <v/>
      </c>
    </row>
    <row r="1085">
      <c r="B1085" s="40">
        <f>Expense!A1052</f>
        <v/>
      </c>
      <c r="C1085" s="46">
        <f>Income!A1052</f>
        <v/>
      </c>
    </row>
    <row r="1086">
      <c r="B1086" s="40">
        <f>Expense!A1053</f>
        <v/>
      </c>
      <c r="C1086" s="40">
        <f>Income!A1053</f>
        <v/>
      </c>
    </row>
    <row r="1087">
      <c r="B1087" s="40">
        <f>Expense!A1054</f>
        <v/>
      </c>
      <c r="C1087" s="40">
        <f>Income!A1054</f>
        <v/>
      </c>
    </row>
    <row r="1088">
      <c r="B1088" s="40">
        <f>Expense!A1055</f>
        <v/>
      </c>
      <c r="C1088" s="40">
        <f>Income!A1055</f>
        <v/>
      </c>
    </row>
    <row r="1089">
      <c r="A1089" s="40" t="inlineStr">
        <is>
          <t>Apr</t>
        </is>
      </c>
      <c r="B1089" s="46">
        <f>Expense!A1056</f>
        <v/>
      </c>
      <c r="C1089" s="40">
        <f>Income!A1056</f>
        <v/>
      </c>
    </row>
    <row r="1090">
      <c r="A1090" s="40" t="inlineStr">
        <is>
          <t>May</t>
        </is>
      </c>
      <c r="B1090" s="46">
        <f>Expense!A1057</f>
        <v/>
      </c>
      <c r="C1090" s="46">
        <f>Income!A1057</f>
        <v/>
      </c>
    </row>
    <row r="1091">
      <c r="A1091" s="40" t="inlineStr">
        <is>
          <t>Jun</t>
        </is>
      </c>
      <c r="B1091" s="46">
        <f>Expense!A1058</f>
        <v/>
      </c>
      <c r="C1091" s="46">
        <f>Income!A1058</f>
        <v/>
      </c>
    </row>
    <row r="1092">
      <c r="A1092" s="40" t="inlineStr">
        <is>
          <t>Jul</t>
        </is>
      </c>
      <c r="B1092" s="46">
        <f>Expense!A1059</f>
        <v/>
      </c>
      <c r="C1092" s="46">
        <f>Income!A1059</f>
        <v/>
      </c>
    </row>
    <row r="1093">
      <c r="A1093" s="40" t="inlineStr">
        <is>
          <t>Aug</t>
        </is>
      </c>
      <c r="B1093" s="46">
        <f>Expense!A1060</f>
        <v/>
      </c>
      <c r="C1093" s="46">
        <f>Income!A1060</f>
        <v/>
      </c>
    </row>
    <row r="1094">
      <c r="A1094" s="40" t="inlineStr">
        <is>
          <t>Sep</t>
        </is>
      </c>
      <c r="B1094" s="46">
        <f>Expense!A1061</f>
        <v/>
      </c>
      <c r="C1094" s="46">
        <f>Income!A1061</f>
        <v/>
      </c>
    </row>
    <row r="1095">
      <c r="A1095" s="40" t="inlineStr">
        <is>
          <t>Oct</t>
        </is>
      </c>
      <c r="B1095" s="46">
        <f>Expense!A1062</f>
        <v/>
      </c>
      <c r="C1095" s="46">
        <f>Income!A1062</f>
        <v/>
      </c>
    </row>
    <row r="1096">
      <c r="A1096" s="40" t="inlineStr">
        <is>
          <t>Nov</t>
        </is>
      </c>
      <c r="B1096" s="46">
        <f>Expense!A1063</f>
        <v/>
      </c>
      <c r="C1096" s="46">
        <f>Income!A1063</f>
        <v/>
      </c>
    </row>
    <row r="1097">
      <c r="A1097" s="40" t="inlineStr">
        <is>
          <t>Dec</t>
        </is>
      </c>
      <c r="B1097" s="46">
        <f>Expense!A1064</f>
        <v/>
      </c>
      <c r="C1097" s="46">
        <f>Income!A1064</f>
        <v/>
      </c>
    </row>
    <row r="1098">
      <c r="A1098" s="40" t="inlineStr">
        <is>
          <t>Jan</t>
        </is>
      </c>
      <c r="B1098" s="46">
        <f>Expense!A1065</f>
        <v/>
      </c>
      <c r="C1098" s="46">
        <f>Income!A1065</f>
        <v/>
      </c>
    </row>
    <row r="1099">
      <c r="A1099" s="40" t="inlineStr">
        <is>
          <t>Feb</t>
        </is>
      </c>
      <c r="B1099" s="46">
        <f>Expense!A1066</f>
        <v/>
      </c>
      <c r="C1099" s="46">
        <f>Income!A1066</f>
        <v/>
      </c>
    </row>
    <row r="1100">
      <c r="A1100" s="40" t="inlineStr">
        <is>
          <t>Mar</t>
        </is>
      </c>
      <c r="B1100" s="46">
        <f>Expense!A1067</f>
        <v/>
      </c>
      <c r="C1100" s="40">
        <f>Income!A1067</f>
        <v/>
      </c>
    </row>
    <row r="1101">
      <c r="B1101" s="46">
        <f>Expense!A1068</f>
        <v/>
      </c>
      <c r="C1101" s="40">
        <f>Income!A1068</f>
        <v/>
      </c>
    </row>
    <row r="1102">
      <c r="B1102" s="40">
        <f>Expense!A1069</f>
        <v/>
      </c>
      <c r="C1102" s="46">
        <f>Income!A1069</f>
        <v/>
      </c>
    </row>
    <row r="1103">
      <c r="B1103" s="40">
        <f>Expense!A1070</f>
        <v/>
      </c>
      <c r="C1103" s="40">
        <f>Income!A1070</f>
        <v/>
      </c>
    </row>
    <row r="1104">
      <c r="B1104" s="40">
        <f>Expense!A1071</f>
        <v/>
      </c>
      <c r="C1104" s="40">
        <f>Income!A1071</f>
        <v/>
      </c>
    </row>
    <row r="1105">
      <c r="B1105" s="40">
        <f>Expense!A1072</f>
        <v/>
      </c>
      <c r="C1105" s="40">
        <f>Income!A1072</f>
        <v/>
      </c>
    </row>
    <row r="1106">
      <c r="A1106" s="40" t="inlineStr">
        <is>
          <t>Apr</t>
        </is>
      </c>
      <c r="B1106" s="46">
        <f>Expense!A1073</f>
        <v/>
      </c>
      <c r="C1106" s="40">
        <f>Income!A1073</f>
        <v/>
      </c>
    </row>
    <row r="1107">
      <c r="A1107" s="40" t="inlineStr">
        <is>
          <t>May</t>
        </is>
      </c>
      <c r="B1107" s="46">
        <f>Expense!A1074</f>
        <v/>
      </c>
      <c r="C1107" s="40">
        <f>Income!A1074</f>
        <v/>
      </c>
    </row>
    <row r="1108">
      <c r="A1108" s="40" t="inlineStr">
        <is>
          <t>Jun</t>
        </is>
      </c>
      <c r="B1108" s="46">
        <f>Expense!A1075</f>
        <v/>
      </c>
      <c r="C1108" s="40">
        <f>Income!A1075</f>
        <v/>
      </c>
    </row>
    <row r="1109">
      <c r="A1109" s="40" t="inlineStr">
        <is>
          <t>Jul</t>
        </is>
      </c>
      <c r="B1109" s="46">
        <f>Expense!A1076</f>
        <v/>
      </c>
      <c r="C1109" s="40">
        <f>Income!A1076</f>
        <v/>
      </c>
    </row>
    <row r="1110">
      <c r="A1110" s="40" t="inlineStr">
        <is>
          <t>Aug</t>
        </is>
      </c>
      <c r="B1110" s="46">
        <f>Expense!A1077</f>
        <v/>
      </c>
      <c r="C1110" s="40">
        <f>Income!A1077</f>
        <v/>
      </c>
    </row>
    <row r="1111">
      <c r="A1111" s="40" t="inlineStr">
        <is>
          <t>Sep</t>
        </is>
      </c>
      <c r="B1111" s="46">
        <f>Expense!A1078</f>
        <v/>
      </c>
      <c r="C1111" s="40">
        <f>Income!A1078</f>
        <v/>
      </c>
    </row>
    <row r="1112">
      <c r="A1112" s="40" t="inlineStr">
        <is>
          <t>Oct</t>
        </is>
      </c>
      <c r="B1112" s="46">
        <f>Expense!A1079</f>
        <v/>
      </c>
      <c r="C1112" s="46">
        <f>Income!A1079</f>
        <v/>
      </c>
    </row>
    <row r="1113">
      <c r="A1113" s="40" t="inlineStr">
        <is>
          <t>Nov</t>
        </is>
      </c>
      <c r="B1113" s="46">
        <f>Expense!A1080</f>
        <v/>
      </c>
      <c r="C1113" s="46">
        <f>Income!A1080</f>
        <v/>
      </c>
    </row>
    <row r="1114">
      <c r="A1114" s="40" t="inlineStr">
        <is>
          <t>Dec</t>
        </is>
      </c>
      <c r="B1114" s="46">
        <f>Expense!A1081</f>
        <v/>
      </c>
      <c r="C1114" s="40">
        <f>Income!A1081</f>
        <v/>
      </c>
    </row>
    <row r="1115">
      <c r="A1115" s="40" t="inlineStr">
        <is>
          <t>Jan</t>
        </is>
      </c>
      <c r="B1115" s="46">
        <f>Expense!A1082</f>
        <v/>
      </c>
      <c r="C1115" s="40">
        <f>Income!A1082</f>
        <v/>
      </c>
    </row>
    <row r="1116">
      <c r="A1116" s="40" t="inlineStr">
        <is>
          <t>Feb</t>
        </is>
      </c>
      <c r="B1116" s="46">
        <f>Expense!A1083</f>
        <v/>
      </c>
      <c r="C1116" s="40">
        <f>Income!A1083</f>
        <v/>
      </c>
    </row>
    <row r="1117">
      <c r="A1117" s="40" t="inlineStr">
        <is>
          <t>Mar</t>
        </is>
      </c>
      <c r="B1117" s="46">
        <f>Expense!A1084</f>
        <v/>
      </c>
      <c r="C1117" s="40">
        <f>Income!A1084</f>
        <v/>
      </c>
    </row>
    <row r="1118">
      <c r="B1118" s="46">
        <f>Expense!A1085</f>
        <v/>
      </c>
      <c r="C1118" s="40">
        <f>Income!A1085</f>
        <v/>
      </c>
    </row>
    <row r="1119">
      <c r="C1119" s="46">
        <f>Income!A1086</f>
        <v/>
      </c>
    </row>
  </sheetData>
  <conditionalFormatting sqref="C32:C1119">
    <cfRule type="cellIs" priority="1" operator="lessThan" dxfId="3">
      <formula>0</formula>
    </cfRule>
  </conditionalFormatting>
  <hyperlinks>
    <hyperlink ref="A1" location="'Flatwise Income Expense'!B34" display="F1"/>
    <hyperlink ref="B1" location="'Flatwise Income Expense'!A306" display="G1"/>
    <hyperlink ref="C1" location="'Flatwise Income Expense'!A578" display="S1"/>
    <hyperlink ref="D1" location="'Flatwise Income Expense'!A850" display="T1"/>
    <hyperlink ref="A3" location="'Flatwise Income Expense'!B51" display="F2"/>
    <hyperlink ref="B3" location="'Flatwise Income Expense'!A323" display="G2"/>
    <hyperlink ref="C3" location="'Flatwise Income Expense'!A595" display="S2"/>
    <hyperlink ref="D3" location="'Flatwise Income Expense'!A867" display="T2"/>
    <hyperlink ref="A5" location="'Flatwise Income Expense'!B68" display="F3"/>
    <hyperlink ref="B5" location="'Flatwise Income Expense'!A340" display="G3"/>
    <hyperlink ref="C5" location="'Flatwise Income Expense'!A612" display="S3"/>
    <hyperlink ref="D5" location="'Flatwise Income Expense'!A884" display="T3"/>
    <hyperlink ref="A7" location="'Flatwise Income Expense'!B85" display="F4"/>
    <hyperlink ref="B7" location="'Flatwise Income Expense'!A357" display="G4"/>
    <hyperlink ref="C7" location="'Flatwise Income Expense'!A629" display="S4"/>
    <hyperlink ref="D7" location="'Flatwise Income Expense'!A901" display="T4"/>
    <hyperlink ref="A9" location="'Flatwise Income Expense'!A102" display="F5"/>
    <hyperlink ref="B9" location="'Flatwise Income Expense'!A374" display="G5"/>
    <hyperlink ref="C9" location="'Flatwise Income Expense'!A646" display="S5"/>
    <hyperlink ref="D9" location="'Flatwise Income Expense'!A918" display="T5"/>
    <hyperlink ref="A11" location="'Flatwise Income Expense'!A119" display="F6"/>
    <hyperlink ref="B11" location="'Flatwise Income Expense'!A391" display="G6"/>
    <hyperlink ref="C11" location="'Flatwise Income Expense'!A663" display="S6"/>
    <hyperlink ref="D11" location="'Flatwise Income Expense'!A935" display="T6"/>
    <hyperlink ref="A13" location="'Flatwise Income Expense'!A136" display="F7"/>
    <hyperlink ref="B13" location="'Flatwise Income Expense'!A408" display="G7"/>
    <hyperlink ref="C13" location="'Flatwise Income Expense'!A680" display="S7"/>
    <hyperlink ref="D13" location="'Flatwise Income Expense'!A952" display="T7"/>
    <hyperlink ref="A15" location="'Flatwise Income Expense'!A153" display="F8"/>
    <hyperlink ref="B15" location="'Flatwise Income Expense'!A425" display="G8"/>
    <hyperlink ref="C15" location="'Flatwise Income Expense'!A697" display="S8"/>
    <hyperlink ref="D15" location="'Flatwise Income Expense'!A969" display="T8"/>
    <hyperlink ref="A17" location="'Flatwise Income Expense'!A170" display="F9"/>
    <hyperlink ref="B17" location="'Flatwise Income Expense'!A442" display="G9"/>
    <hyperlink ref="C17" location="'Flatwise Income Expense'!A714" display="S9"/>
    <hyperlink ref="D17" location="'Flatwise Income Expense'!A986" display="T9"/>
    <hyperlink ref="A19" location="'Flatwise Income Expense'!A187" display="F10"/>
    <hyperlink ref="B19" location="'Flatwise Income Expense'!A459" display="G10"/>
    <hyperlink ref="C19" location="'Flatwise Income Expense'!A731" display="S10"/>
    <hyperlink ref="D19" location="'Flatwise Income Expense'!A1003" display="T10"/>
    <hyperlink ref="A21" location="'Flatwise Income Expense'!A204" display="F11"/>
    <hyperlink ref="B21" location="'Flatwise Income Expense'!A476" display="G11"/>
    <hyperlink ref="C21" location="'Flatwise Income Expense'!A748" display="S11"/>
    <hyperlink ref="D21" location="'Flatwise Income Expense'!A1020" display="T11"/>
    <hyperlink ref="A23" location="'Flatwise Income Expense'!A221" display="F12"/>
    <hyperlink ref="B23" location="'Flatwise Income Expense'!A493" display="G12"/>
    <hyperlink ref="C23" location="'Flatwise Income Expense'!A765" display="S12"/>
    <hyperlink ref="D23" location="'Flatwise Income Expense'!A1037" display="T12"/>
    <hyperlink ref="A25" location="'Flatwise Income Expense'!A238" display="F13"/>
    <hyperlink ref="B25" location="'Flatwise Income Expense'!A510" display="G13"/>
    <hyperlink ref="C25" location="'Flatwise Income Expense'!A782" display="S13"/>
    <hyperlink ref="D25" location="'Flatwise Income Expense'!A1054" display="T13"/>
    <hyperlink ref="A27" location="'Flatwise Income Expense'!A255" display="F14"/>
    <hyperlink ref="B27" location="'Flatwise Income Expense'!A527" display="G14"/>
    <hyperlink ref="C27" location="'Flatwise Income Expense'!A799" display="S14"/>
    <hyperlink ref="D27" location="'Flatwise Income Expense'!A1071" display="T14"/>
    <hyperlink ref="A29" location="'Flatwise Income Expense'!A272" display="F15"/>
    <hyperlink ref="B29" location="'Flatwise Income Expense'!A544" display="G15"/>
    <hyperlink ref="C29" location="'Flatwise Income Expense'!A816" display="S15"/>
    <hyperlink ref="D29" location="'Flatwise Income Expense'!A1088" display="T15"/>
    <hyperlink ref="A31" location="'Flatwise Income Expense'!A289" display="F16"/>
    <hyperlink ref="B31" location="'Flatwise Income Expense'!A561" display="G16"/>
    <hyperlink ref="C31" location="'Flatwise Income Expense'!A833" display="S16"/>
    <hyperlink ref="D31" location="'Flatwise Income Expense'!A1105" display="T16"/>
  </hyperlink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O1585"/>
  <sheetViews>
    <sheetView workbookViewId="0">
      <selection activeCell="A1" sqref="A1"/>
    </sheetView>
  </sheetViews>
  <sheetFormatPr baseColWidth="10" defaultColWidth="14.5" defaultRowHeight="15" customHeight="1"/>
  <sheetData>
    <row r="1">
      <c r="A1" s="40">
        <f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/>
      </c>
      <c r="B1" s="161" t="inlineStr">
        <is>
          <t>F1</t>
        </is>
      </c>
      <c r="C1" s="46">
        <f>'Apr2026-EXPENSE'!R6</f>
        <v/>
      </c>
      <c r="D1" s="46">
        <f>'May2026-EXPENSE'!R6</f>
        <v/>
      </c>
      <c r="E1" s="46">
        <f>'June2026-EXPENSE'!R6</f>
        <v/>
      </c>
      <c r="F1" s="46">
        <f>'July2026-EXPENSE'!R6</f>
        <v/>
      </c>
      <c r="G1" s="46">
        <f>'Aug2026-EXPENSE'!R6</f>
        <v/>
      </c>
      <c r="H1" s="46">
        <f>'Sep2026-EXPENSE'!R6</f>
        <v/>
      </c>
      <c r="I1" s="46">
        <f>'Oct2026-EXPENSE'!R6</f>
        <v/>
      </c>
      <c r="J1" s="46">
        <f>'Nov2026-EXPENSE'!R6</f>
        <v/>
      </c>
      <c r="K1" s="46">
        <f>'Dec2026-EXPENSE'!R6</f>
        <v/>
      </c>
      <c r="L1" s="46">
        <f>'Jan2027-EXPENSE'!R6</f>
        <v/>
      </c>
      <c r="M1" s="46">
        <f>'Feb2027-EXPENSE'!R6</f>
        <v/>
      </c>
      <c r="N1" s="46">
        <f>'Mar2027-EXPENSE'!R6</f>
        <v/>
      </c>
      <c r="O1" s="122">
        <f>SUM(C1:N1)</f>
        <v/>
      </c>
    </row>
    <row r="2">
      <c r="A2" s="46">
        <f>IFERROR(__xludf.DUMMYFUNCTION("""COMPUTED_VALUE"""),5554.83178051903)</f>
        <v/>
      </c>
      <c r="B2" s="161" t="inlineStr">
        <is>
          <t>F2</t>
        </is>
      </c>
      <c r="C2" s="46">
        <f>'Apr2026-EXPENSE'!R7</f>
        <v/>
      </c>
      <c r="D2" s="46">
        <f>'May2026-EXPENSE'!R7</f>
        <v/>
      </c>
      <c r="E2" s="46">
        <f>'June2026-EXPENSE'!R7</f>
        <v/>
      </c>
      <c r="F2" s="46">
        <f>'July2026-EXPENSE'!R7</f>
        <v/>
      </c>
      <c r="G2" s="46">
        <f>'Aug2026-EXPENSE'!R7</f>
        <v/>
      </c>
      <c r="H2" s="46">
        <f>'Sep2026-EXPENSE'!R7</f>
        <v/>
      </c>
      <c r="I2" s="46">
        <f>'Oct2026-EXPENSE'!R7</f>
        <v/>
      </c>
      <c r="J2" s="46">
        <f>'Nov2026-EXPENSE'!R7</f>
        <v/>
      </c>
      <c r="K2" s="46">
        <f>'Dec2026-EXPENSE'!R7</f>
        <v/>
      </c>
      <c r="L2" s="46">
        <f>'Jan2027-EXPENSE'!R7</f>
        <v/>
      </c>
      <c r="M2" s="46">
        <f>'Feb2027-EXPENSE'!R7</f>
        <v/>
      </c>
      <c r="N2" s="46">
        <f>'Mar2027-EXPENSE'!R7</f>
        <v/>
      </c>
      <c r="O2" s="122">
        <f>SUM(C2:N2)</f>
        <v/>
      </c>
    </row>
    <row r="3">
      <c r="A3" s="46">
        <f>IFERROR(__xludf.DUMMYFUNCTION("""COMPUTED_VALUE"""),4390.75983424942)</f>
        <v/>
      </c>
      <c r="B3" s="161" t="inlineStr">
        <is>
          <t>F3</t>
        </is>
      </c>
      <c r="C3" s="46">
        <f>'Apr2026-EXPENSE'!R8</f>
        <v/>
      </c>
      <c r="D3" s="46">
        <f>'May2026-EXPENSE'!R8</f>
        <v/>
      </c>
      <c r="E3" s="46">
        <f>'June2026-EXPENSE'!R8</f>
        <v/>
      </c>
      <c r="F3" s="46">
        <f>'July2026-EXPENSE'!R8</f>
        <v/>
      </c>
      <c r="G3" s="46">
        <f>'Aug2026-EXPENSE'!R8</f>
        <v/>
      </c>
      <c r="H3" s="46">
        <f>'Sep2026-EXPENSE'!R8</f>
        <v/>
      </c>
      <c r="I3" s="46">
        <f>'Oct2026-EXPENSE'!R8</f>
        <v/>
      </c>
      <c r="J3" s="46">
        <f>'Nov2026-EXPENSE'!R8</f>
        <v/>
      </c>
      <c r="K3" s="46">
        <f>'Dec2026-EXPENSE'!R8</f>
        <v/>
      </c>
      <c r="L3" s="46">
        <f>'Jan2027-EXPENSE'!R8</f>
        <v/>
      </c>
      <c r="M3" s="46">
        <f>'Feb2027-EXPENSE'!R8</f>
        <v/>
      </c>
      <c r="N3" s="46">
        <f>'Mar2027-EXPENSE'!R8</f>
        <v/>
      </c>
      <c r="O3" s="122">
        <f>SUM(C3:N3)</f>
        <v/>
      </c>
    </row>
    <row r="4">
      <c r="A4" s="46">
        <f>IFERROR(__xludf.DUMMYFUNCTION("""COMPUTED_VALUE"""),4546.3443403691)</f>
        <v/>
      </c>
      <c r="B4" s="161" t="inlineStr">
        <is>
          <t>F4</t>
        </is>
      </c>
      <c r="C4" s="46">
        <f>'Apr2026-EXPENSE'!R9</f>
        <v/>
      </c>
      <c r="D4" s="46">
        <f>'May2026-EXPENSE'!R9</f>
        <v/>
      </c>
      <c r="E4" s="46">
        <f>'June2026-EXPENSE'!R9</f>
        <v/>
      </c>
      <c r="F4" s="46">
        <f>'July2026-EXPENSE'!R9</f>
        <v/>
      </c>
      <c r="G4" s="46">
        <f>'Aug2026-EXPENSE'!R9</f>
        <v/>
      </c>
      <c r="H4" s="46">
        <f>'Sep2026-EXPENSE'!R9</f>
        <v/>
      </c>
      <c r="I4" s="46">
        <f>'Oct2026-EXPENSE'!R9</f>
        <v/>
      </c>
      <c r="J4" s="46">
        <f>'Nov2026-EXPENSE'!R9</f>
        <v/>
      </c>
      <c r="K4" s="46">
        <f>'Dec2026-EXPENSE'!R9</f>
        <v/>
      </c>
      <c r="L4" s="46">
        <f>'Jan2027-EXPENSE'!R9</f>
        <v/>
      </c>
      <c r="M4" s="46">
        <f>'Feb2027-EXPENSE'!R9</f>
        <v/>
      </c>
      <c r="N4" s="46">
        <f>'Mar2027-EXPENSE'!R9</f>
        <v/>
      </c>
      <c r="O4" s="122">
        <f>SUM(C4:N4)</f>
        <v/>
      </c>
    </row>
    <row r="5">
      <c r="A5" s="46">
        <f>IFERROR(__xludf.DUMMYFUNCTION("""COMPUTED_VALUE"""),5496.71492292777)</f>
        <v/>
      </c>
      <c r="B5" s="161" t="inlineStr">
        <is>
          <t>F5</t>
        </is>
      </c>
      <c r="C5" s="46">
        <f>'Apr2026-EXPENSE'!R10</f>
        <v/>
      </c>
      <c r="D5" s="46">
        <f>'May2026-EXPENSE'!R10</f>
        <v/>
      </c>
      <c r="E5" s="46">
        <f>'June2026-EXPENSE'!R10</f>
        <v/>
      </c>
      <c r="F5" s="46">
        <f>'July2026-EXPENSE'!R10</f>
        <v/>
      </c>
      <c r="G5" s="46">
        <f>'Aug2026-EXPENSE'!R10</f>
        <v/>
      </c>
      <c r="H5" s="46">
        <f>'Sep2026-EXPENSE'!R10</f>
        <v/>
      </c>
      <c r="I5" s="46">
        <f>'Oct2026-EXPENSE'!R10</f>
        <v/>
      </c>
      <c r="J5" s="46">
        <f>'Nov2026-EXPENSE'!R10</f>
        <v/>
      </c>
      <c r="K5" s="46">
        <f>'Dec2026-EXPENSE'!R10</f>
        <v/>
      </c>
      <c r="L5" s="46">
        <f>'Jan2027-EXPENSE'!R10</f>
        <v/>
      </c>
      <c r="M5" s="46">
        <f>'Feb2027-EXPENSE'!R10</f>
        <v/>
      </c>
      <c r="N5" s="46">
        <f>'Mar2027-EXPENSE'!R10</f>
        <v/>
      </c>
      <c r="O5" s="122">
        <f>SUM(C5:N5)</f>
        <v/>
      </c>
    </row>
    <row r="6">
      <c r="A6" s="46">
        <f>IFERROR(__xludf.DUMMYFUNCTION("""COMPUTED_VALUE"""),5912.55850205883)</f>
        <v/>
      </c>
      <c r="B6" s="161" t="inlineStr">
        <is>
          <t>F6</t>
        </is>
      </c>
      <c r="C6" s="46">
        <f>'Apr2026-EXPENSE'!R11</f>
        <v/>
      </c>
      <c r="D6" s="46">
        <f>'May2026-EXPENSE'!R11</f>
        <v/>
      </c>
      <c r="E6" s="46">
        <f>'June2026-EXPENSE'!R11</f>
        <v/>
      </c>
      <c r="F6" s="46">
        <f>'July2026-EXPENSE'!R11</f>
        <v/>
      </c>
      <c r="G6" s="46">
        <f>'Aug2026-EXPENSE'!R11</f>
        <v/>
      </c>
      <c r="H6" s="46">
        <f>'Sep2026-EXPENSE'!R11</f>
        <v/>
      </c>
      <c r="I6" s="46">
        <f>'Oct2026-EXPENSE'!R11</f>
        <v/>
      </c>
      <c r="J6" s="46">
        <f>'Nov2026-EXPENSE'!R11</f>
        <v/>
      </c>
      <c r="K6" s="46">
        <f>'Dec2026-EXPENSE'!R11</f>
        <v/>
      </c>
      <c r="L6" s="46">
        <f>'Jan2027-EXPENSE'!R11</f>
        <v/>
      </c>
      <c r="M6" s="46">
        <f>'Feb2027-EXPENSE'!R11</f>
        <v/>
      </c>
      <c r="N6" s="46">
        <f>'Mar2027-EXPENSE'!R11</f>
        <v/>
      </c>
      <c r="O6" s="122">
        <f>SUM(C6:N6)</f>
        <v/>
      </c>
    </row>
    <row r="7">
      <c r="A7" s="46">
        <f>IFERROR(__xludf.DUMMYFUNCTION("""COMPUTED_VALUE"""),4939.93836863847)</f>
        <v/>
      </c>
      <c r="B7" s="161" t="inlineStr">
        <is>
          <t>F7</t>
        </is>
      </c>
      <c r="C7" s="46">
        <f>'Apr2026-EXPENSE'!R12</f>
        <v/>
      </c>
      <c r="D7" s="46">
        <f>'May2026-EXPENSE'!R12</f>
        <v/>
      </c>
      <c r="E7" s="46">
        <f>'June2026-EXPENSE'!R12</f>
        <v/>
      </c>
      <c r="F7" s="46">
        <f>'July2026-EXPENSE'!R12</f>
        <v/>
      </c>
      <c r="G7" s="46">
        <f>'Aug2026-EXPENSE'!R12</f>
        <v/>
      </c>
      <c r="H7" s="46">
        <f>'Sep2026-EXPENSE'!R12</f>
        <v/>
      </c>
      <c r="I7" s="46">
        <f>'Oct2026-EXPENSE'!R12</f>
        <v/>
      </c>
      <c r="J7" s="46">
        <f>'Nov2026-EXPENSE'!R12</f>
        <v/>
      </c>
      <c r="K7" s="46">
        <f>'Dec2026-EXPENSE'!R12</f>
        <v/>
      </c>
      <c r="L7" s="46">
        <f>'Jan2027-EXPENSE'!R12</f>
        <v/>
      </c>
      <c r="M7" s="46">
        <f>'Feb2027-EXPENSE'!R12</f>
        <v/>
      </c>
      <c r="N7" s="46">
        <f>'Mar2027-EXPENSE'!R12</f>
        <v/>
      </c>
      <c r="O7" s="122">
        <f>SUM(C7:N7)</f>
        <v/>
      </c>
    </row>
    <row r="8">
      <c r="A8" s="46">
        <f>IFERROR(__xludf.DUMMYFUNCTION("""COMPUTED_VALUE"""),6395.80220973273)</f>
        <v/>
      </c>
      <c r="B8" s="161" t="inlineStr">
        <is>
          <t>F8</t>
        </is>
      </c>
      <c r="C8" s="46">
        <f>'Apr2026-EXPENSE'!R13</f>
        <v/>
      </c>
      <c r="D8" s="46">
        <f>'May2026-EXPENSE'!R13</f>
        <v/>
      </c>
      <c r="E8" s="46">
        <f>'June2026-EXPENSE'!R13</f>
        <v/>
      </c>
      <c r="F8" s="46">
        <f>'July2026-EXPENSE'!R13</f>
        <v/>
      </c>
      <c r="G8" s="46">
        <f>'Aug2026-EXPENSE'!R13</f>
        <v/>
      </c>
      <c r="H8" s="46">
        <f>'Sep2026-EXPENSE'!R13</f>
        <v/>
      </c>
      <c r="I8" s="46">
        <f>'Oct2026-EXPENSE'!R13</f>
        <v/>
      </c>
      <c r="J8" s="46">
        <f>'Nov2026-EXPENSE'!R13</f>
        <v/>
      </c>
      <c r="K8" s="46">
        <f>'Dec2026-EXPENSE'!R13</f>
        <v/>
      </c>
      <c r="L8" s="46">
        <f>'Jan2027-EXPENSE'!R13</f>
        <v/>
      </c>
      <c r="M8" s="46">
        <f>'Feb2027-EXPENSE'!R13</f>
        <v/>
      </c>
      <c r="N8" s="46">
        <f>'Mar2027-EXPENSE'!R13</f>
        <v/>
      </c>
      <c r="O8" s="122">
        <f>SUM(C8:N8)</f>
        <v/>
      </c>
    </row>
    <row r="9">
      <c r="A9" s="46">
        <f>IFERROR(__xludf.DUMMYFUNCTION("""COMPUTED_VALUE"""),6623.29395653294)</f>
        <v/>
      </c>
      <c r="B9" s="161" t="inlineStr">
        <is>
          <t>F9</t>
        </is>
      </c>
      <c r="C9" s="46">
        <f>'Apr2026-EXPENSE'!R14</f>
        <v/>
      </c>
      <c r="D9" s="46">
        <f>'May2026-EXPENSE'!R14</f>
        <v/>
      </c>
      <c r="E9" s="46">
        <f>'June2026-EXPENSE'!R14</f>
        <v/>
      </c>
      <c r="F9" s="46">
        <f>'July2026-EXPENSE'!R14</f>
        <v/>
      </c>
      <c r="G9" s="46">
        <f>'Aug2026-EXPENSE'!R14</f>
        <v/>
      </c>
      <c r="H9" s="46">
        <f>'Sep2026-EXPENSE'!R14</f>
        <v/>
      </c>
      <c r="I9" s="46">
        <f>'Oct2026-EXPENSE'!R14</f>
        <v/>
      </c>
      <c r="J9" s="46">
        <f>'Nov2026-EXPENSE'!R14</f>
        <v/>
      </c>
      <c r="K9" s="46">
        <f>'Dec2026-EXPENSE'!R14</f>
        <v/>
      </c>
      <c r="L9" s="46">
        <f>'Jan2027-EXPENSE'!R14</f>
        <v/>
      </c>
      <c r="M9" s="46">
        <f>'Feb2027-EXPENSE'!R14</f>
        <v/>
      </c>
      <c r="N9" s="46">
        <f>'Mar2027-EXPENSE'!R14</f>
        <v/>
      </c>
      <c r="O9" s="122">
        <f>SUM(C9:N9)</f>
        <v/>
      </c>
    </row>
    <row r="10">
      <c r="A10" s="46">
        <f>IFERROR(__xludf.DUMMYFUNCTION("""COMPUTED_VALUE"""),5110.5418091419)</f>
        <v/>
      </c>
      <c r="B10" s="161" t="inlineStr">
        <is>
          <t>F10</t>
        </is>
      </c>
      <c r="C10" s="46">
        <f>'Apr2026-EXPENSE'!R15</f>
        <v/>
      </c>
      <c r="D10" s="46">
        <f>'May2026-EXPENSE'!R15</f>
        <v/>
      </c>
      <c r="E10" s="46">
        <f>'June2026-EXPENSE'!R15</f>
        <v/>
      </c>
      <c r="F10" s="46">
        <f>'July2026-EXPENSE'!R15</f>
        <v/>
      </c>
      <c r="G10" s="46">
        <f>'Aug2026-EXPENSE'!R15</f>
        <v/>
      </c>
      <c r="H10" s="46">
        <f>'Sep2026-EXPENSE'!R15</f>
        <v/>
      </c>
      <c r="I10" s="46">
        <f>'Oct2026-EXPENSE'!R15</f>
        <v/>
      </c>
      <c r="J10" s="46">
        <f>'Nov2026-EXPENSE'!R15</f>
        <v/>
      </c>
      <c r="K10" s="46">
        <f>'Dec2026-EXPENSE'!R15</f>
        <v/>
      </c>
      <c r="L10" s="46">
        <f>'Jan2027-EXPENSE'!R15</f>
        <v/>
      </c>
      <c r="M10" s="46">
        <f>'Feb2027-EXPENSE'!R15</f>
        <v/>
      </c>
      <c r="N10" s="46">
        <f>'Mar2027-EXPENSE'!R15</f>
        <v/>
      </c>
      <c r="O10" s="122">
        <f>SUM(C10:N10)</f>
        <v/>
      </c>
    </row>
    <row r="11">
      <c r="A11" s="46">
        <f>IFERROR(__xludf.DUMMYFUNCTION("""COMPUTED_VALUE"""),5091.33980177815)</f>
        <v/>
      </c>
      <c r="B11" s="161" t="inlineStr">
        <is>
          <t>F11</t>
        </is>
      </c>
      <c r="C11" s="46">
        <f>'Apr2026-EXPENSE'!R16</f>
        <v/>
      </c>
      <c r="D11" s="46">
        <f>'May2026-EXPENSE'!R16</f>
        <v/>
      </c>
      <c r="E11" s="46">
        <f>'June2026-EXPENSE'!R16</f>
        <v/>
      </c>
      <c r="F11" s="46">
        <f>'July2026-EXPENSE'!R16</f>
        <v/>
      </c>
      <c r="G11" s="46">
        <f>'Aug2026-EXPENSE'!R16</f>
        <v/>
      </c>
      <c r="H11" s="46">
        <f>'Sep2026-EXPENSE'!R16</f>
        <v/>
      </c>
      <c r="I11" s="46">
        <f>'Oct2026-EXPENSE'!R16</f>
        <v/>
      </c>
      <c r="J11" s="46">
        <f>'Nov2026-EXPENSE'!R16</f>
        <v/>
      </c>
      <c r="K11" s="46">
        <f>'Dec2026-EXPENSE'!R16</f>
        <v/>
      </c>
      <c r="L11" s="46">
        <f>'Jan2027-EXPENSE'!R16</f>
        <v/>
      </c>
      <c r="M11" s="46">
        <f>'Feb2027-EXPENSE'!R16</f>
        <v/>
      </c>
      <c r="N11" s="46">
        <f>'Mar2027-EXPENSE'!R16</f>
        <v/>
      </c>
      <c r="O11" s="122">
        <f>SUM(C11:N11)</f>
        <v/>
      </c>
    </row>
    <row r="12">
      <c r="A12" s="46">
        <f>IFERROR(__xludf.DUMMYFUNCTION("""COMPUTED_VALUE"""),4755.02974661684)</f>
        <v/>
      </c>
      <c r="B12" s="161" t="inlineStr">
        <is>
          <t>F12</t>
        </is>
      </c>
      <c r="C12" s="46">
        <f>'Apr2026-EXPENSE'!R17</f>
        <v/>
      </c>
      <c r="D12" s="46">
        <f>'May2026-EXPENSE'!R17</f>
        <v/>
      </c>
      <c r="E12" s="46">
        <f>'June2026-EXPENSE'!R17</f>
        <v/>
      </c>
      <c r="F12" s="46">
        <f>'July2026-EXPENSE'!R17</f>
        <v/>
      </c>
      <c r="G12" s="46">
        <f>'Aug2026-EXPENSE'!R17</f>
        <v/>
      </c>
      <c r="H12" s="46">
        <f>'Sep2026-EXPENSE'!R17</f>
        <v/>
      </c>
      <c r="I12" s="46">
        <f>'Oct2026-EXPENSE'!R17</f>
        <v/>
      </c>
      <c r="J12" s="46">
        <f>'Nov2026-EXPENSE'!R17</f>
        <v/>
      </c>
      <c r="K12" s="46">
        <f>'Dec2026-EXPENSE'!R17</f>
        <v/>
      </c>
      <c r="L12" s="46">
        <f>'Jan2027-EXPENSE'!R17</f>
        <v/>
      </c>
      <c r="M12" s="46">
        <f>'Feb2027-EXPENSE'!R17</f>
        <v/>
      </c>
      <c r="N12" s="46">
        <f>'Mar2027-EXPENSE'!R17</f>
        <v/>
      </c>
      <c r="O12" s="122">
        <f>SUM(C12:N12)</f>
        <v/>
      </c>
    </row>
    <row r="13">
      <c r="A13" s="46">
        <f>IFERROR(__xludf.DUMMYFUNCTION("""COMPUTED_VALUE"""),4967.55096484189)</f>
        <v/>
      </c>
      <c r="B13" s="161" t="inlineStr">
        <is>
          <t>F13</t>
        </is>
      </c>
      <c r="C13" s="46">
        <f>'Apr2026-EXPENSE'!R18</f>
        <v/>
      </c>
      <c r="D13" s="46">
        <f>'May2026-EXPENSE'!R18</f>
        <v/>
      </c>
      <c r="E13" s="46">
        <f>'June2026-EXPENSE'!R18</f>
        <v/>
      </c>
      <c r="F13" s="46">
        <f>'July2026-EXPENSE'!R18</f>
        <v/>
      </c>
      <c r="G13" s="46">
        <f>'Aug2026-EXPENSE'!R18</f>
        <v/>
      </c>
      <c r="H13" s="46">
        <f>'Sep2026-EXPENSE'!R18</f>
        <v/>
      </c>
      <c r="I13" s="46">
        <f>'Oct2026-EXPENSE'!R18</f>
        <v/>
      </c>
      <c r="J13" s="46">
        <f>'Nov2026-EXPENSE'!R18</f>
        <v/>
      </c>
      <c r="K13" s="46">
        <f>'Dec2026-EXPENSE'!R18</f>
        <v/>
      </c>
      <c r="L13" s="46">
        <f>'Jan2027-EXPENSE'!R18</f>
        <v/>
      </c>
      <c r="M13" s="46">
        <f>'Feb2027-EXPENSE'!R18</f>
        <v/>
      </c>
      <c r="N13" s="46">
        <f>'Mar2027-EXPENSE'!R18</f>
        <v/>
      </c>
      <c r="O13" s="122">
        <f>SUM(C13:N13)</f>
        <v/>
      </c>
    </row>
    <row r="14">
      <c r="A14" s="46">
        <f>IFERROR(__xludf.DUMMYFUNCTION("""COMPUTED_VALUE"""),63784.7062374071)</f>
        <v/>
      </c>
      <c r="B14" s="161" t="inlineStr">
        <is>
          <t>F14</t>
        </is>
      </c>
      <c r="C14" s="46">
        <f>'Apr2026-EXPENSE'!R19</f>
        <v/>
      </c>
      <c r="D14" s="46">
        <f>'May2026-EXPENSE'!R19</f>
        <v/>
      </c>
      <c r="E14" s="46">
        <f>'June2026-EXPENSE'!R19</f>
        <v/>
      </c>
      <c r="F14" s="46">
        <f>'July2026-EXPENSE'!R19</f>
        <v/>
      </c>
      <c r="G14" s="46">
        <f>'Aug2026-EXPENSE'!R19</f>
        <v/>
      </c>
      <c r="H14" s="46">
        <f>'Sep2026-EXPENSE'!R19</f>
        <v/>
      </c>
      <c r="I14" s="46">
        <f>'Oct2026-EXPENSE'!R19</f>
        <v/>
      </c>
      <c r="J14" s="46">
        <f>'Nov2026-EXPENSE'!R19</f>
        <v/>
      </c>
      <c r="K14" s="46">
        <f>'Dec2026-EXPENSE'!R19</f>
        <v/>
      </c>
      <c r="L14" s="46">
        <f>'Jan2027-EXPENSE'!R19</f>
        <v/>
      </c>
      <c r="M14" s="46">
        <f>'Feb2027-EXPENSE'!R19</f>
        <v/>
      </c>
      <c r="N14" s="46">
        <f>'Mar2027-EXPENSE'!R19</f>
        <v/>
      </c>
      <c r="O14" s="122">
        <f>SUM(C14:N14)</f>
        <v/>
      </c>
    </row>
    <row r="15">
      <c r="A15" s="40" t="n"/>
      <c r="B15" s="161" t="inlineStr">
        <is>
          <t>F15</t>
        </is>
      </c>
      <c r="C15" s="46">
        <f>'Apr2026-EXPENSE'!R20</f>
        <v/>
      </c>
      <c r="D15" s="46">
        <f>'May2026-EXPENSE'!R20</f>
        <v/>
      </c>
      <c r="E15" s="46">
        <f>'June2026-EXPENSE'!R20</f>
        <v/>
      </c>
      <c r="F15" s="46">
        <f>'July2026-EXPENSE'!R20</f>
        <v/>
      </c>
      <c r="G15" s="46">
        <f>'Aug2026-EXPENSE'!R20</f>
        <v/>
      </c>
      <c r="H15" s="46">
        <f>'Sep2026-EXPENSE'!R20</f>
        <v/>
      </c>
      <c r="I15" s="46">
        <f>'Oct2026-EXPENSE'!R20</f>
        <v/>
      </c>
      <c r="J15" s="46">
        <f>'Nov2026-EXPENSE'!R20</f>
        <v/>
      </c>
      <c r="K15" s="46">
        <f>'Dec2026-EXPENSE'!R20</f>
        <v/>
      </c>
      <c r="L15" s="46">
        <f>'Jan2027-EXPENSE'!R20</f>
        <v/>
      </c>
      <c r="M15" s="46">
        <f>'Feb2027-EXPENSE'!R20</f>
        <v/>
      </c>
      <c r="N15" s="46">
        <f>'Mar2027-EXPENSE'!R20</f>
        <v/>
      </c>
      <c r="O15" s="122">
        <f>SUM(C15:N15)</f>
        <v/>
      </c>
    </row>
    <row r="16">
      <c r="A16" s="40" t="n"/>
      <c r="B16" s="161" t="inlineStr">
        <is>
          <t>F16</t>
        </is>
      </c>
      <c r="C16" s="46">
        <f>'Apr2026-EXPENSE'!R21</f>
        <v/>
      </c>
      <c r="D16" s="46">
        <f>'May2026-EXPENSE'!R21</f>
        <v/>
      </c>
      <c r="E16" s="46">
        <f>'June2026-EXPENSE'!R21</f>
        <v/>
      </c>
      <c r="F16" s="46">
        <f>'July2026-EXPENSE'!R21</f>
        <v/>
      </c>
      <c r="G16" s="46">
        <f>'Aug2026-EXPENSE'!R21</f>
        <v/>
      </c>
      <c r="H16" s="46">
        <f>'Sep2026-EXPENSE'!R21</f>
        <v/>
      </c>
      <c r="I16" s="46">
        <f>'Oct2026-EXPENSE'!R21</f>
        <v/>
      </c>
      <c r="J16" s="46">
        <f>'Nov2026-EXPENSE'!R21</f>
        <v/>
      </c>
      <c r="K16" s="46">
        <f>'Dec2026-EXPENSE'!R21</f>
        <v/>
      </c>
      <c r="L16" s="46">
        <f>'Jan2027-EXPENSE'!R21</f>
        <v/>
      </c>
      <c r="M16" s="46">
        <f>'Feb2027-EXPENSE'!R21</f>
        <v/>
      </c>
      <c r="N16" s="46">
        <f>'Mar2027-EXPENSE'!R21</f>
        <v/>
      </c>
      <c r="O16" s="122">
        <f>SUM(C16:N16)</f>
        <v/>
      </c>
    </row>
    <row r="17">
      <c r="A17" s="40" t="n"/>
      <c r="B17" s="161" t="inlineStr">
        <is>
          <t>G1</t>
        </is>
      </c>
      <c r="C17" s="46">
        <f>'Apr2026-EXPENSE'!R22</f>
        <v/>
      </c>
      <c r="D17" s="46">
        <f>'May2026-EXPENSE'!R22</f>
        <v/>
      </c>
      <c r="E17" s="46">
        <f>'June2026-EXPENSE'!R22</f>
        <v/>
      </c>
      <c r="F17" s="46">
        <f>'July2026-EXPENSE'!R22</f>
        <v/>
      </c>
      <c r="G17" s="46">
        <f>'Aug2026-EXPENSE'!R22</f>
        <v/>
      </c>
      <c r="H17" s="46">
        <f>'Sep2026-EXPENSE'!R22</f>
        <v/>
      </c>
      <c r="I17" s="46">
        <f>'Oct2026-EXPENSE'!R22</f>
        <v/>
      </c>
      <c r="J17" s="46">
        <f>'Nov2026-EXPENSE'!R22</f>
        <v/>
      </c>
      <c r="K17" s="46">
        <f>'Dec2026-EXPENSE'!R22</f>
        <v/>
      </c>
      <c r="L17" s="46">
        <f>'Jan2027-EXPENSE'!R22</f>
        <v/>
      </c>
      <c r="M17" s="46">
        <f>'Feb2027-EXPENSE'!R22</f>
        <v/>
      </c>
      <c r="N17" s="46">
        <f>'Mar2027-EXPENSE'!R22</f>
        <v/>
      </c>
      <c r="O17" s="122">
        <f>SUM(C17:N17)</f>
        <v/>
      </c>
    </row>
    <row r="18">
      <c r="A18" s="40">
        <f>IFERROR(__xludf.DUMMYFUNCTION("""COMPUTED_VALUE"""),"F2")</f>
        <v/>
      </c>
      <c r="B18" s="161" t="inlineStr">
        <is>
          <t>G2</t>
        </is>
      </c>
      <c r="C18" s="46">
        <f>'Apr2026-EXPENSE'!R23</f>
        <v/>
      </c>
      <c r="D18" s="46">
        <f>'May2026-EXPENSE'!R23</f>
        <v/>
      </c>
      <c r="E18" s="46">
        <f>'June2026-EXPENSE'!R23</f>
        <v/>
      </c>
      <c r="F18" s="46">
        <f>'July2026-EXPENSE'!R23</f>
        <v/>
      </c>
      <c r="G18" s="46">
        <f>'Aug2026-EXPENSE'!R23</f>
        <v/>
      </c>
      <c r="H18" s="46">
        <f>'Sep2026-EXPENSE'!R23</f>
        <v/>
      </c>
      <c r="I18" s="46">
        <f>'Oct2026-EXPENSE'!R23</f>
        <v/>
      </c>
      <c r="J18" s="46">
        <f>'Nov2026-EXPENSE'!R23</f>
        <v/>
      </c>
      <c r="K18" s="46">
        <f>'Dec2026-EXPENSE'!R23</f>
        <v/>
      </c>
      <c r="L18" s="46">
        <f>'Jan2027-EXPENSE'!R23</f>
        <v/>
      </c>
      <c r="M18" s="46">
        <f>'Feb2027-EXPENSE'!R23</f>
        <v/>
      </c>
      <c r="N18" s="46">
        <f>'Mar2027-EXPENSE'!R23</f>
        <v/>
      </c>
      <c r="O18" s="122">
        <f>SUM(C18:N18)</f>
        <v/>
      </c>
    </row>
    <row r="19">
      <c r="A19" s="46">
        <f>IFERROR(__xludf.DUMMYFUNCTION("""COMPUTED_VALUE"""),6880.66248777838)</f>
        <v/>
      </c>
      <c r="B19" s="161" t="inlineStr">
        <is>
          <t>G3</t>
        </is>
      </c>
      <c r="C19" s="46">
        <f>'Apr2026-EXPENSE'!R24</f>
        <v/>
      </c>
      <c r="D19" s="46">
        <f>'May2026-EXPENSE'!R24</f>
        <v/>
      </c>
      <c r="E19" s="46">
        <f>'June2026-EXPENSE'!R24</f>
        <v/>
      </c>
      <c r="F19" s="46">
        <f>'July2026-EXPENSE'!R24</f>
        <v/>
      </c>
      <c r="G19" s="46">
        <f>'Aug2026-EXPENSE'!R24</f>
        <v/>
      </c>
      <c r="H19" s="46">
        <f>'Sep2026-EXPENSE'!R24</f>
        <v/>
      </c>
      <c r="I19" s="46">
        <f>'Oct2026-EXPENSE'!R24</f>
        <v/>
      </c>
      <c r="J19" s="46">
        <f>'Nov2026-EXPENSE'!R24</f>
        <v/>
      </c>
      <c r="K19" s="46">
        <f>'Dec2026-EXPENSE'!R24</f>
        <v/>
      </c>
      <c r="L19" s="46">
        <f>'Jan2027-EXPENSE'!R24</f>
        <v/>
      </c>
      <c r="M19" s="46">
        <f>'Feb2027-EXPENSE'!R24</f>
        <v/>
      </c>
      <c r="N19" s="46">
        <f>'Mar2027-EXPENSE'!R24</f>
        <v/>
      </c>
      <c r="O19" s="122">
        <f>SUM(C19:N19)</f>
        <v/>
      </c>
    </row>
    <row r="20">
      <c r="A20" s="46">
        <f>IFERROR(__xludf.DUMMYFUNCTION("""COMPUTED_VALUE"""),5570.84846978718)</f>
        <v/>
      </c>
      <c r="B20" s="161" t="inlineStr">
        <is>
          <t>G4</t>
        </is>
      </c>
      <c r="C20" s="46">
        <f>'Apr2026-EXPENSE'!R25</f>
        <v/>
      </c>
      <c r="D20" s="46">
        <f>'May2026-EXPENSE'!R25</f>
        <v/>
      </c>
      <c r="E20" s="46">
        <f>'June2026-EXPENSE'!R25</f>
        <v/>
      </c>
      <c r="F20" s="46">
        <f>'July2026-EXPENSE'!R25</f>
        <v/>
      </c>
      <c r="G20" s="46">
        <f>'Aug2026-EXPENSE'!R25</f>
        <v/>
      </c>
      <c r="H20" s="46">
        <f>'Sep2026-EXPENSE'!R25</f>
        <v/>
      </c>
      <c r="I20" s="46">
        <f>'Oct2026-EXPENSE'!R25</f>
        <v/>
      </c>
      <c r="J20" s="46">
        <f>'Nov2026-EXPENSE'!R25</f>
        <v/>
      </c>
      <c r="K20" s="46">
        <f>'Dec2026-EXPENSE'!R25</f>
        <v/>
      </c>
      <c r="L20" s="46">
        <f>'Jan2027-EXPENSE'!R25</f>
        <v/>
      </c>
      <c r="M20" s="46">
        <f>'Feb2027-EXPENSE'!R25</f>
        <v/>
      </c>
      <c r="N20" s="46">
        <f>'Mar2027-EXPENSE'!R25</f>
        <v/>
      </c>
      <c r="O20" s="122">
        <f>SUM(C20:N20)</f>
        <v/>
      </c>
    </row>
    <row r="21">
      <c r="A21" s="46">
        <f>IFERROR(__xludf.DUMMYFUNCTION("""COMPUTED_VALUE"""),5614.10635731444)</f>
        <v/>
      </c>
      <c r="B21" s="161" t="inlineStr">
        <is>
          <t>G5</t>
        </is>
      </c>
      <c r="C21" s="46">
        <f>'Apr2026-EXPENSE'!R26</f>
        <v/>
      </c>
      <c r="D21" s="46">
        <f>'May2026-EXPENSE'!R26</f>
        <v/>
      </c>
      <c r="E21" s="46">
        <f>'June2026-EXPENSE'!R26</f>
        <v/>
      </c>
      <c r="F21" s="46">
        <f>'July2026-EXPENSE'!R26</f>
        <v/>
      </c>
      <c r="G21" s="46">
        <f>'Aug2026-EXPENSE'!R26</f>
        <v/>
      </c>
      <c r="H21" s="46">
        <f>'Sep2026-EXPENSE'!R26</f>
        <v/>
      </c>
      <c r="I21" s="46">
        <f>'Oct2026-EXPENSE'!R26</f>
        <v/>
      </c>
      <c r="J21" s="46">
        <f>'Nov2026-EXPENSE'!R26</f>
        <v/>
      </c>
      <c r="K21" s="46">
        <f>'Dec2026-EXPENSE'!R26</f>
        <v/>
      </c>
      <c r="L21" s="46">
        <f>'Jan2027-EXPENSE'!R26</f>
        <v/>
      </c>
      <c r="M21" s="46">
        <f>'Feb2027-EXPENSE'!R26</f>
        <v/>
      </c>
      <c r="N21" s="46">
        <f>'Mar2027-EXPENSE'!R26</f>
        <v/>
      </c>
      <c r="O21" s="122">
        <f>SUM(C21:N21)</f>
        <v/>
      </c>
    </row>
    <row r="22">
      <c r="A22" s="46">
        <f>IFERROR(__xludf.DUMMYFUNCTION("""COMPUTED_VALUE"""),6759.73257350367)</f>
        <v/>
      </c>
      <c r="B22" s="161" t="inlineStr">
        <is>
          <t>G6</t>
        </is>
      </c>
      <c r="C22" s="46">
        <f>'Apr2026-EXPENSE'!R27</f>
        <v/>
      </c>
      <c r="D22" s="46">
        <f>'May2026-EXPENSE'!R27</f>
        <v/>
      </c>
      <c r="E22" s="46">
        <f>'June2026-EXPENSE'!R27</f>
        <v/>
      </c>
      <c r="F22" s="46">
        <f>'July2026-EXPENSE'!R27</f>
        <v/>
      </c>
      <c r="G22" s="46">
        <f>'Aug2026-EXPENSE'!R27</f>
        <v/>
      </c>
      <c r="H22" s="46">
        <f>'Sep2026-EXPENSE'!R27</f>
        <v/>
      </c>
      <c r="I22" s="46">
        <f>'Oct2026-EXPENSE'!R27</f>
        <v/>
      </c>
      <c r="J22" s="46">
        <f>'Nov2026-EXPENSE'!R27</f>
        <v/>
      </c>
      <c r="K22" s="46">
        <f>'Dec2026-EXPENSE'!R27</f>
        <v/>
      </c>
      <c r="L22" s="46">
        <f>'Jan2027-EXPENSE'!R27</f>
        <v/>
      </c>
      <c r="M22" s="46">
        <f>'Feb2027-EXPENSE'!R27</f>
        <v/>
      </c>
      <c r="N22" s="46">
        <f>'Mar2027-EXPENSE'!R27</f>
        <v/>
      </c>
      <c r="O22" s="122">
        <f>SUM(C22:N22)</f>
        <v/>
      </c>
    </row>
    <row r="23">
      <c r="A23" s="46">
        <f>IFERROR(__xludf.DUMMYFUNCTION("""COMPUTED_VALUE"""),7197.26623489814)</f>
        <v/>
      </c>
      <c r="B23" s="161" t="inlineStr">
        <is>
          <t>G7</t>
        </is>
      </c>
      <c r="C23" s="46">
        <f>'Apr2026-EXPENSE'!R28</f>
        <v/>
      </c>
      <c r="D23" s="46">
        <f>'May2026-EXPENSE'!R28</f>
        <v/>
      </c>
      <c r="E23" s="46">
        <f>'June2026-EXPENSE'!R28</f>
        <v/>
      </c>
      <c r="F23" s="46">
        <f>'July2026-EXPENSE'!R28</f>
        <v/>
      </c>
      <c r="G23" s="46">
        <f>'Aug2026-EXPENSE'!R28</f>
        <v/>
      </c>
      <c r="H23" s="46">
        <f>'Sep2026-EXPENSE'!R28</f>
        <v/>
      </c>
      <c r="I23" s="46">
        <f>'Oct2026-EXPENSE'!R28</f>
        <v/>
      </c>
      <c r="J23" s="46">
        <f>'Nov2026-EXPENSE'!R28</f>
        <v/>
      </c>
      <c r="K23" s="46">
        <f>'Dec2026-EXPENSE'!R28</f>
        <v/>
      </c>
      <c r="L23" s="46">
        <f>'Jan2027-EXPENSE'!R28</f>
        <v/>
      </c>
      <c r="M23" s="46">
        <f>'Feb2027-EXPENSE'!R28</f>
        <v/>
      </c>
      <c r="N23" s="46">
        <f>'Mar2027-EXPENSE'!R28</f>
        <v/>
      </c>
      <c r="O23" s="122">
        <f>SUM(C23:N23)</f>
        <v/>
      </c>
    </row>
    <row r="24">
      <c r="A24" s="46">
        <f>IFERROR(__xludf.DUMMYFUNCTION("""COMPUTED_VALUE"""),5914.70054407884)</f>
        <v/>
      </c>
      <c r="B24" s="161" t="inlineStr">
        <is>
          <t>G8</t>
        </is>
      </c>
      <c r="C24" s="46">
        <f>'Apr2026-EXPENSE'!R29</f>
        <v/>
      </c>
      <c r="D24" s="46">
        <f>'May2026-EXPENSE'!R29</f>
        <v/>
      </c>
      <c r="E24" s="46">
        <f>'June2026-EXPENSE'!R29</f>
        <v/>
      </c>
      <c r="F24" s="46">
        <f>'July2026-EXPENSE'!R29</f>
        <v/>
      </c>
      <c r="G24" s="46">
        <f>'Aug2026-EXPENSE'!R29</f>
        <v/>
      </c>
      <c r="H24" s="46">
        <f>'Sep2026-EXPENSE'!R29</f>
        <v/>
      </c>
      <c r="I24" s="46">
        <f>'Oct2026-EXPENSE'!R29</f>
        <v/>
      </c>
      <c r="J24" s="46">
        <f>'Nov2026-EXPENSE'!R29</f>
        <v/>
      </c>
      <c r="K24" s="46">
        <f>'Dec2026-EXPENSE'!R29</f>
        <v/>
      </c>
      <c r="L24" s="46">
        <f>'Jan2027-EXPENSE'!R29</f>
        <v/>
      </c>
      <c r="M24" s="46">
        <f>'Feb2027-EXPENSE'!R29</f>
        <v/>
      </c>
      <c r="N24" s="46">
        <f>'Mar2027-EXPENSE'!R29</f>
        <v/>
      </c>
      <c r="O24" s="122">
        <f>SUM(C24:N24)</f>
        <v/>
      </c>
    </row>
    <row r="25">
      <c r="A25" s="46">
        <f>IFERROR(__xludf.DUMMYFUNCTION("""COMPUTED_VALUE"""),7049.74505947421)</f>
        <v/>
      </c>
      <c r="B25" s="161" t="inlineStr">
        <is>
          <t>G9</t>
        </is>
      </c>
      <c r="C25" s="46">
        <f>'Apr2026-EXPENSE'!R30</f>
        <v/>
      </c>
      <c r="D25" s="46">
        <f>'May2026-EXPENSE'!R30</f>
        <v/>
      </c>
      <c r="E25" s="46">
        <f>'June2026-EXPENSE'!R30</f>
        <v/>
      </c>
      <c r="F25" s="46">
        <f>'July2026-EXPENSE'!R30</f>
        <v/>
      </c>
      <c r="G25" s="46">
        <f>'Aug2026-EXPENSE'!R30</f>
        <v/>
      </c>
      <c r="H25" s="46">
        <f>'Sep2026-EXPENSE'!R30</f>
        <v/>
      </c>
      <c r="I25" s="46">
        <f>'Oct2026-EXPENSE'!R30</f>
        <v/>
      </c>
      <c r="J25" s="46">
        <f>'Nov2026-EXPENSE'!R30</f>
        <v/>
      </c>
      <c r="K25" s="46">
        <f>'Dec2026-EXPENSE'!R30</f>
        <v/>
      </c>
      <c r="L25" s="46">
        <f>'Jan2027-EXPENSE'!R30</f>
        <v/>
      </c>
      <c r="M25" s="46">
        <f>'Feb2027-EXPENSE'!R30</f>
        <v/>
      </c>
      <c r="N25" s="46">
        <f>'Mar2027-EXPENSE'!R30</f>
        <v/>
      </c>
      <c r="O25" s="122">
        <f>SUM(C25:N25)</f>
        <v/>
      </c>
    </row>
    <row r="26">
      <c r="A26" s="46">
        <f>IFERROR(__xludf.DUMMYFUNCTION("""COMPUTED_VALUE"""),7177.89786062803)</f>
        <v/>
      </c>
      <c r="B26" s="161" t="inlineStr">
        <is>
          <t>G10</t>
        </is>
      </c>
      <c r="C26" s="46">
        <f>'Apr2026-EXPENSE'!R31</f>
        <v/>
      </c>
      <c r="D26" s="46">
        <f>'May2026-EXPENSE'!R31</f>
        <v/>
      </c>
      <c r="E26" s="46">
        <f>'June2026-EXPENSE'!R31</f>
        <v/>
      </c>
      <c r="F26" s="46">
        <f>'July2026-EXPENSE'!R31</f>
        <v/>
      </c>
      <c r="G26" s="46">
        <f>'Aug2026-EXPENSE'!R31</f>
        <v/>
      </c>
      <c r="H26" s="46">
        <f>'Sep2026-EXPENSE'!R31</f>
        <v/>
      </c>
      <c r="I26" s="46">
        <f>'Oct2026-EXPENSE'!R31</f>
        <v/>
      </c>
      <c r="J26" s="46">
        <f>'Nov2026-EXPENSE'!R31</f>
        <v/>
      </c>
      <c r="K26" s="46">
        <f>'Dec2026-EXPENSE'!R31</f>
        <v/>
      </c>
      <c r="L26" s="46">
        <f>'Jan2027-EXPENSE'!R31</f>
        <v/>
      </c>
      <c r="M26" s="46">
        <f>'Feb2027-EXPENSE'!R31</f>
        <v/>
      </c>
      <c r="N26" s="46">
        <f>'Mar2027-EXPENSE'!R31</f>
        <v/>
      </c>
      <c r="O26" s="122">
        <f>SUM(C26:N26)</f>
        <v/>
      </c>
    </row>
    <row r="27">
      <c r="A27" s="46">
        <f>IFERROR(__xludf.DUMMYFUNCTION("""COMPUTED_VALUE"""),5885.35386036057)</f>
        <v/>
      </c>
      <c r="B27" s="161" t="inlineStr">
        <is>
          <t>G11</t>
        </is>
      </c>
      <c r="C27" s="46">
        <f>'Apr2026-EXPENSE'!R32</f>
        <v/>
      </c>
      <c r="D27" s="46">
        <f>'May2026-EXPENSE'!R32</f>
        <v/>
      </c>
      <c r="E27" s="46">
        <f>'June2026-EXPENSE'!R32</f>
        <v/>
      </c>
      <c r="F27" s="46">
        <f>'July2026-EXPENSE'!R32</f>
        <v/>
      </c>
      <c r="G27" s="46">
        <f>'Aug2026-EXPENSE'!R32</f>
        <v/>
      </c>
      <c r="H27" s="46">
        <f>'Sep2026-EXPENSE'!R32</f>
        <v/>
      </c>
      <c r="I27" s="46">
        <f>'Oct2026-EXPENSE'!R32</f>
        <v/>
      </c>
      <c r="J27" s="46">
        <f>'Nov2026-EXPENSE'!R32</f>
        <v/>
      </c>
      <c r="K27" s="46">
        <f>'Dec2026-EXPENSE'!R32</f>
        <v/>
      </c>
      <c r="L27" s="46">
        <f>'Jan2027-EXPENSE'!R32</f>
        <v/>
      </c>
      <c r="M27" s="46">
        <f>'Feb2027-EXPENSE'!R32</f>
        <v/>
      </c>
      <c r="N27" s="46">
        <f>'Mar2027-EXPENSE'!R32</f>
        <v/>
      </c>
      <c r="O27" s="122">
        <f>SUM(C27:N27)</f>
        <v/>
      </c>
    </row>
    <row r="28">
      <c r="A28" s="46">
        <f>IFERROR(__xludf.DUMMYFUNCTION("""COMPUTED_VALUE"""),5677.10147277273)</f>
        <v/>
      </c>
      <c r="B28" s="161" t="inlineStr">
        <is>
          <t>G12</t>
        </is>
      </c>
      <c r="C28" s="46">
        <f>'Apr2026-EXPENSE'!R33</f>
        <v/>
      </c>
      <c r="D28" s="46">
        <f>'May2026-EXPENSE'!R33</f>
        <v/>
      </c>
      <c r="E28" s="46">
        <f>'June2026-EXPENSE'!R33</f>
        <v/>
      </c>
      <c r="F28" s="46">
        <f>'July2026-EXPENSE'!R33</f>
        <v/>
      </c>
      <c r="G28" s="46">
        <f>'Aug2026-EXPENSE'!R33</f>
        <v/>
      </c>
      <c r="H28" s="46">
        <f>'Sep2026-EXPENSE'!R33</f>
        <v/>
      </c>
      <c r="I28" s="46">
        <f>'Oct2026-EXPENSE'!R33</f>
        <v/>
      </c>
      <c r="J28" s="46">
        <f>'Nov2026-EXPENSE'!R33</f>
        <v/>
      </c>
      <c r="K28" s="46">
        <f>'Dec2026-EXPENSE'!R33</f>
        <v/>
      </c>
      <c r="L28" s="46">
        <f>'Jan2027-EXPENSE'!R33</f>
        <v/>
      </c>
      <c r="M28" s="46">
        <f>'Feb2027-EXPENSE'!R33</f>
        <v/>
      </c>
      <c r="N28" s="46">
        <f>'Mar2027-EXPENSE'!R33</f>
        <v/>
      </c>
      <c r="O28" s="122">
        <f>SUM(C28:N28)</f>
        <v/>
      </c>
    </row>
    <row r="29">
      <c r="A29" s="46">
        <f>IFERROR(__xludf.DUMMYFUNCTION("""COMPUTED_VALUE"""),5234.65047944122)</f>
        <v/>
      </c>
      <c r="B29" s="161" t="inlineStr">
        <is>
          <t>G13</t>
        </is>
      </c>
      <c r="C29" s="46">
        <f>'Apr2026-EXPENSE'!R34</f>
        <v/>
      </c>
      <c r="D29" s="46">
        <f>'May2026-EXPENSE'!R34</f>
        <v/>
      </c>
      <c r="E29" s="46">
        <f>'June2026-EXPENSE'!R34</f>
        <v/>
      </c>
      <c r="F29" s="46">
        <f>'July2026-EXPENSE'!R34</f>
        <v/>
      </c>
      <c r="G29" s="46">
        <f>'Aug2026-EXPENSE'!R34</f>
        <v/>
      </c>
      <c r="H29" s="46">
        <f>'Sep2026-EXPENSE'!R34</f>
        <v/>
      </c>
      <c r="I29" s="46">
        <f>'Oct2026-EXPENSE'!R34</f>
        <v/>
      </c>
      <c r="J29" s="46">
        <f>'Nov2026-EXPENSE'!R34</f>
        <v/>
      </c>
      <c r="K29" s="46">
        <f>'Dec2026-EXPENSE'!R34</f>
        <v/>
      </c>
      <c r="L29" s="46">
        <f>'Jan2027-EXPENSE'!R34</f>
        <v/>
      </c>
      <c r="M29" s="46">
        <f>'Feb2027-EXPENSE'!R34</f>
        <v/>
      </c>
      <c r="N29" s="46">
        <f>'Mar2027-EXPENSE'!R34</f>
        <v/>
      </c>
      <c r="O29" s="122">
        <f>SUM(C29:N29)</f>
        <v/>
      </c>
    </row>
    <row r="30">
      <c r="A30" s="46">
        <f>IFERROR(__xludf.DUMMYFUNCTION("""COMPUTED_VALUE"""),5467.41662969176)</f>
        <v/>
      </c>
      <c r="B30" s="161" t="inlineStr">
        <is>
          <t>G14</t>
        </is>
      </c>
      <c r="C30" s="46">
        <f>'Apr2026-EXPENSE'!R35</f>
        <v/>
      </c>
      <c r="D30" s="46">
        <f>'May2026-EXPENSE'!R35</f>
        <v/>
      </c>
      <c r="E30" s="46">
        <f>'June2026-EXPENSE'!R35</f>
        <v/>
      </c>
      <c r="F30" s="46">
        <f>'July2026-EXPENSE'!R35</f>
        <v/>
      </c>
      <c r="G30" s="46">
        <f>'Aug2026-EXPENSE'!R35</f>
        <v/>
      </c>
      <c r="H30" s="46">
        <f>'Sep2026-EXPENSE'!R35</f>
        <v/>
      </c>
      <c r="I30" s="46">
        <f>'Oct2026-EXPENSE'!R35</f>
        <v/>
      </c>
      <c r="J30" s="46">
        <f>'Nov2026-EXPENSE'!R35</f>
        <v/>
      </c>
      <c r="K30" s="46">
        <f>'Dec2026-EXPENSE'!R35</f>
        <v/>
      </c>
      <c r="L30" s="46">
        <f>'Jan2027-EXPENSE'!R35</f>
        <v/>
      </c>
      <c r="M30" s="46">
        <f>'Feb2027-EXPENSE'!R35</f>
        <v/>
      </c>
      <c r="N30" s="46">
        <f>'Mar2027-EXPENSE'!R35</f>
        <v/>
      </c>
      <c r="O30" s="122">
        <f>SUM(C30:N30)</f>
        <v/>
      </c>
    </row>
    <row r="31">
      <c r="A31" s="46">
        <f>IFERROR(__xludf.DUMMYFUNCTION("""COMPUTED_VALUE"""),74429.4820297292)</f>
        <v/>
      </c>
      <c r="B31" s="161" t="inlineStr">
        <is>
          <t>G15</t>
        </is>
      </c>
      <c r="C31" s="46">
        <f>'Apr2026-EXPENSE'!R36</f>
        <v/>
      </c>
      <c r="D31" s="46">
        <f>'May2026-EXPENSE'!R36</f>
        <v/>
      </c>
      <c r="E31" s="46">
        <f>'June2026-EXPENSE'!R36</f>
        <v/>
      </c>
      <c r="F31" s="46">
        <f>'July2026-EXPENSE'!R36</f>
        <v/>
      </c>
      <c r="G31" s="46">
        <f>'Aug2026-EXPENSE'!R36</f>
        <v/>
      </c>
      <c r="H31" s="46">
        <f>'Sep2026-EXPENSE'!R36</f>
        <v/>
      </c>
      <c r="I31" s="46">
        <f>'Oct2026-EXPENSE'!R36</f>
        <v/>
      </c>
      <c r="J31" s="46">
        <f>'Nov2026-EXPENSE'!R36</f>
        <v/>
      </c>
      <c r="K31" s="46">
        <f>'Dec2026-EXPENSE'!R36</f>
        <v/>
      </c>
      <c r="L31" s="46">
        <f>'Jan2027-EXPENSE'!R36</f>
        <v/>
      </c>
      <c r="M31" s="46">
        <f>'Feb2027-EXPENSE'!R36</f>
        <v/>
      </c>
      <c r="N31" s="46">
        <f>'Mar2027-EXPENSE'!R36</f>
        <v/>
      </c>
      <c r="O31" s="122">
        <f>SUM(C31:N31)</f>
        <v/>
      </c>
    </row>
    <row r="32">
      <c r="A32" s="40" t="n"/>
      <c r="B32" s="161" t="inlineStr">
        <is>
          <t>G16</t>
        </is>
      </c>
      <c r="C32" s="46">
        <f>'Apr2026-EXPENSE'!R37</f>
        <v/>
      </c>
      <c r="D32" s="46">
        <f>'May2026-EXPENSE'!R37</f>
        <v/>
      </c>
      <c r="E32" s="46">
        <f>'June2026-EXPENSE'!R37</f>
        <v/>
      </c>
      <c r="F32" s="46">
        <f>'July2026-EXPENSE'!R37</f>
        <v/>
      </c>
      <c r="G32" s="46">
        <f>'Aug2026-EXPENSE'!R37</f>
        <v/>
      </c>
      <c r="H32" s="46">
        <f>'Sep2026-EXPENSE'!R37</f>
        <v/>
      </c>
      <c r="I32" s="46">
        <f>'Oct2026-EXPENSE'!R37</f>
        <v/>
      </c>
      <c r="J32" s="46">
        <f>'Nov2026-EXPENSE'!R37</f>
        <v/>
      </c>
      <c r="K32" s="46">
        <f>'Dec2026-EXPENSE'!R37</f>
        <v/>
      </c>
      <c r="L32" s="46">
        <f>'Jan2027-EXPENSE'!R37</f>
        <v/>
      </c>
      <c r="M32" s="46">
        <f>'Feb2027-EXPENSE'!R37</f>
        <v/>
      </c>
      <c r="N32" s="46">
        <f>'Mar2027-EXPENSE'!R37</f>
        <v/>
      </c>
      <c r="O32" s="122">
        <f>SUM(C32:N32)</f>
        <v/>
      </c>
    </row>
    <row r="33">
      <c r="A33" s="40" t="n"/>
      <c r="B33" s="161" t="inlineStr">
        <is>
          <t>S1</t>
        </is>
      </c>
      <c r="C33" s="46">
        <f>'Apr2026-EXPENSE'!R38</f>
        <v/>
      </c>
      <c r="D33" s="46">
        <f>'May2026-EXPENSE'!R38</f>
        <v/>
      </c>
      <c r="E33" s="46">
        <f>'June2026-EXPENSE'!R38</f>
        <v/>
      </c>
      <c r="F33" s="46">
        <f>'July2026-EXPENSE'!R38</f>
        <v/>
      </c>
      <c r="G33" s="46">
        <f>'Aug2026-EXPENSE'!R38</f>
        <v/>
      </c>
      <c r="H33" s="46">
        <f>'Sep2026-EXPENSE'!R38</f>
        <v/>
      </c>
      <c r="I33" s="46">
        <f>'Oct2026-EXPENSE'!R38</f>
        <v/>
      </c>
      <c r="J33" s="46">
        <f>'Nov2026-EXPENSE'!R38</f>
        <v/>
      </c>
      <c r="K33" s="46">
        <f>'Dec2026-EXPENSE'!R38</f>
        <v/>
      </c>
      <c r="L33" s="46">
        <f>'Jan2027-EXPENSE'!R38</f>
        <v/>
      </c>
      <c r="M33" s="46">
        <f>'Feb2027-EXPENSE'!R38</f>
        <v/>
      </c>
      <c r="N33" s="46">
        <f>'Mar2027-EXPENSE'!R38</f>
        <v/>
      </c>
      <c r="O33" s="122">
        <f>SUM(C33:N33)</f>
        <v/>
      </c>
    </row>
    <row r="34">
      <c r="A34" s="40" t="n"/>
      <c r="B34" s="161" t="inlineStr">
        <is>
          <t>S2</t>
        </is>
      </c>
      <c r="C34" s="46">
        <f>'Apr2026-EXPENSE'!R39</f>
        <v/>
      </c>
      <c r="D34" s="46">
        <f>'May2026-EXPENSE'!R39</f>
        <v/>
      </c>
      <c r="E34" s="46">
        <f>'June2026-EXPENSE'!R39</f>
        <v/>
      </c>
      <c r="F34" s="46">
        <f>'July2026-EXPENSE'!R39</f>
        <v/>
      </c>
      <c r="G34" s="46">
        <f>'Aug2026-EXPENSE'!R39</f>
        <v/>
      </c>
      <c r="H34" s="46">
        <f>'Sep2026-EXPENSE'!R39</f>
        <v/>
      </c>
      <c r="I34" s="46">
        <f>'Oct2026-EXPENSE'!R39</f>
        <v/>
      </c>
      <c r="J34" s="46">
        <f>'Nov2026-EXPENSE'!R39</f>
        <v/>
      </c>
      <c r="K34" s="46">
        <f>'Dec2026-EXPENSE'!R39</f>
        <v/>
      </c>
      <c r="L34" s="46">
        <f>'Jan2027-EXPENSE'!R39</f>
        <v/>
      </c>
      <c r="M34" s="46">
        <f>'Feb2027-EXPENSE'!R39</f>
        <v/>
      </c>
      <c r="N34" s="46">
        <f>'Mar2027-EXPENSE'!R39</f>
        <v/>
      </c>
      <c r="O34" s="122">
        <f>SUM(C34:N34)</f>
        <v/>
      </c>
    </row>
    <row r="35">
      <c r="A35" s="40">
        <f>IFERROR(__xludf.DUMMYFUNCTION("""COMPUTED_VALUE"""),"F3")</f>
        <v/>
      </c>
      <c r="B35" s="161" t="inlineStr">
        <is>
          <t>S3</t>
        </is>
      </c>
      <c r="C35" s="46">
        <f>'Apr2026-EXPENSE'!R40</f>
        <v/>
      </c>
      <c r="D35" s="46">
        <f>'May2026-EXPENSE'!R40</f>
        <v/>
      </c>
      <c r="E35" s="46">
        <f>'June2026-EXPENSE'!R40</f>
        <v/>
      </c>
      <c r="F35" s="46">
        <f>'July2026-EXPENSE'!R40</f>
        <v/>
      </c>
      <c r="G35" s="46">
        <f>'Aug2026-EXPENSE'!R40</f>
        <v/>
      </c>
      <c r="H35" s="46">
        <f>'Sep2026-EXPENSE'!R40</f>
        <v/>
      </c>
      <c r="I35" s="46">
        <f>'Oct2026-EXPENSE'!R40</f>
        <v/>
      </c>
      <c r="J35" s="46">
        <f>'Nov2026-EXPENSE'!R40</f>
        <v/>
      </c>
      <c r="K35" s="46">
        <f>'Dec2026-EXPENSE'!R40</f>
        <v/>
      </c>
      <c r="L35" s="46">
        <f>'Jan2027-EXPENSE'!R40</f>
        <v/>
      </c>
      <c r="M35" s="46">
        <f>'Feb2027-EXPENSE'!R40</f>
        <v/>
      </c>
      <c r="N35" s="46">
        <f>'Mar2027-EXPENSE'!R40</f>
        <v/>
      </c>
      <c r="O35" s="122">
        <f>SUM(C35:N35)</f>
        <v/>
      </c>
    </row>
    <row r="36">
      <c r="A36" s="46">
        <f>IFERROR(__xludf.DUMMYFUNCTION("""COMPUTED_VALUE"""),7497.99907896976)</f>
        <v/>
      </c>
      <c r="B36" s="161" t="inlineStr">
        <is>
          <t>S4</t>
        </is>
      </c>
      <c r="C36" s="46">
        <f>'Apr2026-EXPENSE'!R41</f>
        <v/>
      </c>
      <c r="D36" s="46">
        <f>'May2026-EXPENSE'!R41</f>
        <v/>
      </c>
      <c r="E36" s="46">
        <f>'June2026-EXPENSE'!R41</f>
        <v/>
      </c>
      <c r="F36" s="46">
        <f>'July2026-EXPENSE'!R41</f>
        <v/>
      </c>
      <c r="G36" s="46">
        <f>'Aug2026-EXPENSE'!R41</f>
        <v/>
      </c>
      <c r="H36" s="46">
        <f>'Sep2026-EXPENSE'!R41</f>
        <v/>
      </c>
      <c r="I36" s="46">
        <f>'Oct2026-EXPENSE'!R41</f>
        <v/>
      </c>
      <c r="J36" s="46">
        <f>'Nov2026-EXPENSE'!R41</f>
        <v/>
      </c>
      <c r="K36" s="46">
        <f>'Dec2026-EXPENSE'!R41</f>
        <v/>
      </c>
      <c r="L36" s="46">
        <f>'Jan2027-EXPENSE'!R41</f>
        <v/>
      </c>
      <c r="M36" s="46">
        <f>'Feb2027-EXPENSE'!R41</f>
        <v/>
      </c>
      <c r="N36" s="46">
        <f>'Mar2027-EXPENSE'!R41</f>
        <v/>
      </c>
      <c r="O36" s="122">
        <f>SUM(C36:N36)</f>
        <v/>
      </c>
    </row>
    <row r="37">
      <c r="A37" s="46">
        <f>IFERROR(__xludf.DUMMYFUNCTION("""COMPUTED_VALUE"""),5970.644064401)</f>
        <v/>
      </c>
      <c r="B37" s="161" t="inlineStr">
        <is>
          <t>S5</t>
        </is>
      </c>
      <c r="C37" s="46">
        <f>'Apr2026-EXPENSE'!R42</f>
        <v/>
      </c>
      <c r="D37" s="46">
        <f>'May2026-EXPENSE'!R42</f>
        <v/>
      </c>
      <c r="E37" s="46">
        <f>'June2026-EXPENSE'!R42</f>
        <v/>
      </c>
      <c r="F37" s="46">
        <f>'July2026-EXPENSE'!R42</f>
        <v/>
      </c>
      <c r="G37" s="46">
        <f>'Aug2026-EXPENSE'!R42</f>
        <v/>
      </c>
      <c r="H37" s="46">
        <f>'Sep2026-EXPENSE'!R42</f>
        <v/>
      </c>
      <c r="I37" s="46">
        <f>'Oct2026-EXPENSE'!R42</f>
        <v/>
      </c>
      <c r="J37" s="46">
        <f>'Nov2026-EXPENSE'!R42</f>
        <v/>
      </c>
      <c r="K37" s="46">
        <f>'Dec2026-EXPENSE'!R42</f>
        <v/>
      </c>
      <c r="L37" s="46">
        <f>'Jan2027-EXPENSE'!R42</f>
        <v/>
      </c>
      <c r="M37" s="46">
        <f>'Feb2027-EXPENSE'!R42</f>
        <v/>
      </c>
      <c r="N37" s="46">
        <f>'Mar2027-EXPENSE'!R42</f>
        <v/>
      </c>
      <c r="O37" s="122">
        <f>SUM(C37:N37)</f>
        <v/>
      </c>
    </row>
    <row r="38">
      <c r="A38" s="46">
        <f>IFERROR(__xludf.DUMMYFUNCTION("""COMPUTED_VALUE"""),6093.38471860409)</f>
        <v/>
      </c>
      <c r="B38" s="161" t="inlineStr">
        <is>
          <t>S6</t>
        </is>
      </c>
      <c r="C38" s="46">
        <f>'Apr2026-EXPENSE'!R43</f>
        <v/>
      </c>
      <c r="D38" s="46">
        <f>'May2026-EXPENSE'!R43</f>
        <v/>
      </c>
      <c r="E38" s="46">
        <f>'June2026-EXPENSE'!R43</f>
        <v/>
      </c>
      <c r="F38" s="46">
        <f>'July2026-EXPENSE'!R43</f>
        <v/>
      </c>
      <c r="G38" s="46">
        <f>'Aug2026-EXPENSE'!R43</f>
        <v/>
      </c>
      <c r="H38" s="46">
        <f>'Sep2026-EXPENSE'!R43</f>
        <v/>
      </c>
      <c r="I38" s="46">
        <f>'Oct2026-EXPENSE'!R43</f>
        <v/>
      </c>
      <c r="J38" s="46">
        <f>'Nov2026-EXPENSE'!R43</f>
        <v/>
      </c>
      <c r="K38" s="46">
        <f>'Dec2026-EXPENSE'!R43</f>
        <v/>
      </c>
      <c r="L38" s="46">
        <f>'Jan2027-EXPENSE'!R43</f>
        <v/>
      </c>
      <c r="M38" s="46">
        <f>'Feb2027-EXPENSE'!R43</f>
        <v/>
      </c>
      <c r="N38" s="46">
        <f>'Mar2027-EXPENSE'!R43</f>
        <v/>
      </c>
      <c r="O38" s="122">
        <f>SUM(C38:N38)</f>
        <v/>
      </c>
    </row>
    <row r="39">
      <c r="A39" s="46">
        <f>IFERROR(__xludf.DUMMYFUNCTION("""COMPUTED_VALUE"""),7529.57156859377)</f>
        <v/>
      </c>
      <c r="B39" s="161" t="inlineStr">
        <is>
          <t>S7</t>
        </is>
      </c>
      <c r="C39" s="46">
        <f>'Apr2026-EXPENSE'!R44</f>
        <v/>
      </c>
      <c r="D39" s="46">
        <f>'May2026-EXPENSE'!R44</f>
        <v/>
      </c>
      <c r="E39" s="46">
        <f>'June2026-EXPENSE'!R44</f>
        <v/>
      </c>
      <c r="F39" s="46">
        <f>'July2026-EXPENSE'!R44</f>
        <v/>
      </c>
      <c r="G39" s="46">
        <f>'Aug2026-EXPENSE'!R44</f>
        <v/>
      </c>
      <c r="H39" s="46">
        <f>'Sep2026-EXPENSE'!R44</f>
        <v/>
      </c>
      <c r="I39" s="46">
        <f>'Oct2026-EXPENSE'!R44</f>
        <v/>
      </c>
      <c r="J39" s="46">
        <f>'Nov2026-EXPENSE'!R44</f>
        <v/>
      </c>
      <c r="K39" s="46">
        <f>'Dec2026-EXPENSE'!R44</f>
        <v/>
      </c>
      <c r="L39" s="46">
        <f>'Jan2027-EXPENSE'!R44</f>
        <v/>
      </c>
      <c r="M39" s="46">
        <f>'Feb2027-EXPENSE'!R44</f>
        <v/>
      </c>
      <c r="N39" s="46">
        <f>'Mar2027-EXPENSE'!R44</f>
        <v/>
      </c>
      <c r="O39" s="122">
        <f>SUM(C39:N39)</f>
        <v/>
      </c>
    </row>
    <row r="40">
      <c r="A40" s="46">
        <f>IFERROR(__xludf.DUMMYFUNCTION("""COMPUTED_VALUE"""),7722.72801786187)</f>
        <v/>
      </c>
      <c r="B40" s="161" t="inlineStr">
        <is>
          <t>S8</t>
        </is>
      </c>
      <c r="C40" s="46">
        <f>'Apr2026-EXPENSE'!R45</f>
        <v/>
      </c>
      <c r="D40" s="46">
        <f>'May2026-EXPENSE'!R45</f>
        <v/>
      </c>
      <c r="E40" s="46">
        <f>'June2026-EXPENSE'!R45</f>
        <v/>
      </c>
      <c r="F40" s="46">
        <f>'July2026-EXPENSE'!R45</f>
        <v/>
      </c>
      <c r="G40" s="46">
        <f>'Aug2026-EXPENSE'!R45</f>
        <v/>
      </c>
      <c r="H40" s="46">
        <f>'Sep2026-EXPENSE'!R45</f>
        <v/>
      </c>
      <c r="I40" s="46">
        <f>'Oct2026-EXPENSE'!R45</f>
        <v/>
      </c>
      <c r="J40" s="46">
        <f>'Nov2026-EXPENSE'!R45</f>
        <v/>
      </c>
      <c r="K40" s="46">
        <f>'Dec2026-EXPENSE'!R45</f>
        <v/>
      </c>
      <c r="L40" s="46">
        <f>'Jan2027-EXPENSE'!R45</f>
        <v/>
      </c>
      <c r="M40" s="46">
        <f>'Feb2027-EXPENSE'!R45</f>
        <v/>
      </c>
      <c r="N40" s="46">
        <f>'Mar2027-EXPENSE'!R45</f>
        <v/>
      </c>
      <c r="O40" s="122">
        <f>SUM(C40:N40)</f>
        <v/>
      </c>
    </row>
    <row r="41">
      <c r="A41" s="46">
        <f>IFERROR(__xludf.DUMMYFUNCTION("""COMPUTED_VALUE"""),6599.69050490061)</f>
        <v/>
      </c>
      <c r="B41" s="161" t="inlineStr">
        <is>
          <t>S9</t>
        </is>
      </c>
      <c r="C41" s="46">
        <f>'Apr2026-EXPENSE'!R46</f>
        <v/>
      </c>
      <c r="D41" s="46">
        <f>'May2026-EXPENSE'!R46</f>
        <v/>
      </c>
      <c r="E41" s="46">
        <f>'June2026-EXPENSE'!R46</f>
        <v/>
      </c>
      <c r="F41" s="46">
        <f>'July2026-EXPENSE'!R46</f>
        <v/>
      </c>
      <c r="G41" s="46">
        <f>'Aug2026-EXPENSE'!R46</f>
        <v/>
      </c>
      <c r="H41" s="46">
        <f>'Sep2026-EXPENSE'!R46</f>
        <v/>
      </c>
      <c r="I41" s="46">
        <f>'Oct2026-EXPENSE'!R46</f>
        <v/>
      </c>
      <c r="J41" s="46">
        <f>'Nov2026-EXPENSE'!R46</f>
        <v/>
      </c>
      <c r="K41" s="46">
        <f>'Dec2026-EXPENSE'!R46</f>
        <v/>
      </c>
      <c r="L41" s="46">
        <f>'Jan2027-EXPENSE'!R46</f>
        <v/>
      </c>
      <c r="M41" s="46">
        <f>'Feb2027-EXPENSE'!R46</f>
        <v/>
      </c>
      <c r="N41" s="46">
        <f>'Mar2027-EXPENSE'!R46</f>
        <v/>
      </c>
      <c r="O41" s="122">
        <f>SUM(C41:N41)</f>
        <v/>
      </c>
    </row>
    <row r="42">
      <c r="A42" s="46">
        <f>IFERROR(__xludf.DUMMYFUNCTION("""COMPUTED_VALUE"""),8217.5034137305)</f>
        <v/>
      </c>
      <c r="B42" s="161" t="inlineStr">
        <is>
          <t>S10</t>
        </is>
      </c>
      <c r="C42" s="46">
        <f>'Apr2026-EXPENSE'!R47</f>
        <v/>
      </c>
      <c r="D42" s="46">
        <f>'May2026-EXPENSE'!R47</f>
        <v/>
      </c>
      <c r="E42" s="46">
        <f>'June2026-EXPENSE'!R47</f>
        <v/>
      </c>
      <c r="F42" s="46">
        <f>'July2026-EXPENSE'!R47</f>
        <v/>
      </c>
      <c r="G42" s="46">
        <f>'Aug2026-EXPENSE'!R47</f>
        <v/>
      </c>
      <c r="H42" s="46">
        <f>'Sep2026-EXPENSE'!R47</f>
        <v/>
      </c>
      <c r="I42" s="46">
        <f>'Oct2026-EXPENSE'!R47</f>
        <v/>
      </c>
      <c r="J42" s="46">
        <f>'Nov2026-EXPENSE'!R47</f>
        <v/>
      </c>
      <c r="K42" s="46">
        <f>'Dec2026-EXPENSE'!R47</f>
        <v/>
      </c>
      <c r="L42" s="46">
        <f>'Jan2027-EXPENSE'!R47</f>
        <v/>
      </c>
      <c r="M42" s="46">
        <f>'Feb2027-EXPENSE'!R47</f>
        <v/>
      </c>
      <c r="N42" s="46">
        <f>'Mar2027-EXPENSE'!R47</f>
        <v/>
      </c>
      <c r="O42" s="122">
        <f>SUM(C42:N42)</f>
        <v/>
      </c>
    </row>
    <row r="43">
      <c r="A43" s="46">
        <f>IFERROR(__xludf.DUMMYFUNCTION("""COMPUTED_VALUE"""),8585.24089570297)</f>
        <v/>
      </c>
      <c r="B43" s="161" t="inlineStr">
        <is>
          <t>S11</t>
        </is>
      </c>
      <c r="C43" s="46">
        <f>'Apr2026-EXPENSE'!R48</f>
        <v/>
      </c>
      <c r="D43" s="46">
        <f>'May2026-EXPENSE'!R48</f>
        <v/>
      </c>
      <c r="E43" s="46">
        <f>'June2026-EXPENSE'!R48</f>
        <v/>
      </c>
      <c r="F43" s="46">
        <f>'July2026-EXPENSE'!R48</f>
        <v/>
      </c>
      <c r="G43" s="46">
        <f>'Aug2026-EXPENSE'!R48</f>
        <v/>
      </c>
      <c r="H43" s="46">
        <f>'Sep2026-EXPENSE'!R48</f>
        <v/>
      </c>
      <c r="I43" s="46">
        <f>'Oct2026-EXPENSE'!R48</f>
        <v/>
      </c>
      <c r="J43" s="46">
        <f>'Nov2026-EXPENSE'!R48</f>
        <v/>
      </c>
      <c r="K43" s="46">
        <f>'Dec2026-EXPENSE'!R48</f>
        <v/>
      </c>
      <c r="L43" s="46">
        <f>'Jan2027-EXPENSE'!R48</f>
        <v/>
      </c>
      <c r="M43" s="46">
        <f>'Feb2027-EXPENSE'!R48</f>
        <v/>
      </c>
      <c r="N43" s="46">
        <f>'Mar2027-EXPENSE'!R48</f>
        <v/>
      </c>
      <c r="O43" s="122">
        <f>SUM(C43:N43)</f>
        <v/>
      </c>
    </row>
    <row r="44">
      <c r="A44" s="46">
        <f>IFERROR(__xludf.DUMMYFUNCTION("""COMPUTED_VALUE"""),6916.43363479336)</f>
        <v/>
      </c>
      <c r="B44" s="161" t="inlineStr">
        <is>
          <t>S12</t>
        </is>
      </c>
      <c r="C44" s="46">
        <f>'Apr2026-EXPENSE'!R49</f>
        <v/>
      </c>
      <c r="D44" s="46">
        <f>'May2026-EXPENSE'!R49</f>
        <v/>
      </c>
      <c r="E44" s="46">
        <f>'June2026-EXPENSE'!R49</f>
        <v/>
      </c>
      <c r="F44" s="46">
        <f>'July2026-EXPENSE'!R49</f>
        <v/>
      </c>
      <c r="G44" s="46">
        <f>'Aug2026-EXPENSE'!R49</f>
        <v/>
      </c>
      <c r="H44" s="46">
        <f>'Sep2026-EXPENSE'!R49</f>
        <v/>
      </c>
      <c r="I44" s="46">
        <f>'Oct2026-EXPENSE'!R49</f>
        <v/>
      </c>
      <c r="J44" s="46">
        <f>'Nov2026-EXPENSE'!R49</f>
        <v/>
      </c>
      <c r="K44" s="46">
        <f>'Dec2026-EXPENSE'!R49</f>
        <v/>
      </c>
      <c r="L44" s="46">
        <f>'Jan2027-EXPENSE'!R49</f>
        <v/>
      </c>
      <c r="M44" s="46">
        <f>'Feb2027-EXPENSE'!R49</f>
        <v/>
      </c>
      <c r="N44" s="46">
        <f>'Mar2027-EXPENSE'!R49</f>
        <v/>
      </c>
      <c r="O44" s="122">
        <f>SUM(C44:N44)</f>
        <v/>
      </c>
    </row>
    <row r="45">
      <c r="A45" s="46">
        <f>IFERROR(__xludf.DUMMYFUNCTION("""COMPUTED_VALUE"""),6594.26889457029)</f>
        <v/>
      </c>
      <c r="B45" s="161" t="inlineStr">
        <is>
          <t>S13</t>
        </is>
      </c>
      <c r="C45" s="46">
        <f>'Apr2026-EXPENSE'!R50</f>
        <v/>
      </c>
      <c r="D45" s="46">
        <f>'May2026-EXPENSE'!R50</f>
        <v/>
      </c>
      <c r="E45" s="46">
        <f>'June2026-EXPENSE'!R50</f>
        <v/>
      </c>
      <c r="F45" s="46">
        <f>'July2026-EXPENSE'!R50</f>
        <v/>
      </c>
      <c r="G45" s="46">
        <f>'Aug2026-EXPENSE'!R50</f>
        <v/>
      </c>
      <c r="H45" s="46">
        <f>'Sep2026-EXPENSE'!R50</f>
        <v/>
      </c>
      <c r="I45" s="46">
        <f>'Oct2026-EXPENSE'!R50</f>
        <v/>
      </c>
      <c r="J45" s="46">
        <f>'Nov2026-EXPENSE'!R50</f>
        <v/>
      </c>
      <c r="K45" s="46">
        <f>'Dec2026-EXPENSE'!R50</f>
        <v/>
      </c>
      <c r="L45" s="46">
        <f>'Jan2027-EXPENSE'!R50</f>
        <v/>
      </c>
      <c r="M45" s="46">
        <f>'Feb2027-EXPENSE'!R50</f>
        <v/>
      </c>
      <c r="N45" s="46">
        <f>'Mar2027-EXPENSE'!R50</f>
        <v/>
      </c>
      <c r="O45" s="122">
        <f>SUM(C45:N45)</f>
        <v/>
      </c>
    </row>
    <row r="46">
      <c r="A46" s="46">
        <f>IFERROR(__xludf.DUMMYFUNCTION("""COMPUTED_VALUE"""),6667.57071038327)</f>
        <v/>
      </c>
      <c r="B46" s="161" t="inlineStr">
        <is>
          <t>S14</t>
        </is>
      </c>
      <c r="C46" s="46">
        <f>'Apr2026-EXPENSE'!R51</f>
        <v/>
      </c>
      <c r="D46" s="46">
        <f>'May2026-EXPENSE'!R51</f>
        <v/>
      </c>
      <c r="E46" s="46">
        <f>'June2026-EXPENSE'!R51</f>
        <v/>
      </c>
      <c r="F46" s="46">
        <f>'July2026-EXPENSE'!R51</f>
        <v/>
      </c>
      <c r="G46" s="46">
        <f>'Aug2026-EXPENSE'!R51</f>
        <v/>
      </c>
      <c r="H46" s="46">
        <f>'Sep2026-EXPENSE'!R51</f>
        <v/>
      </c>
      <c r="I46" s="46">
        <f>'Oct2026-EXPENSE'!R51</f>
        <v/>
      </c>
      <c r="J46" s="46">
        <f>'Nov2026-EXPENSE'!R51</f>
        <v/>
      </c>
      <c r="K46" s="46">
        <f>'Dec2026-EXPENSE'!R51</f>
        <v/>
      </c>
      <c r="L46" s="46">
        <f>'Jan2027-EXPENSE'!R51</f>
        <v/>
      </c>
      <c r="M46" s="46">
        <f>'Feb2027-EXPENSE'!R51</f>
        <v/>
      </c>
      <c r="N46" s="46">
        <f>'Mar2027-EXPENSE'!R51</f>
        <v/>
      </c>
      <c r="O46" s="122">
        <f>SUM(C46:N46)</f>
        <v/>
      </c>
    </row>
    <row r="47">
      <c r="A47" s="46">
        <f>IFERROR(__xludf.DUMMYFUNCTION("""COMPUTED_VALUE"""),6559.22331850397)</f>
        <v/>
      </c>
      <c r="B47" s="161" t="inlineStr">
        <is>
          <t>S15</t>
        </is>
      </c>
      <c r="C47" s="46">
        <f>'Apr2026-EXPENSE'!R52</f>
        <v/>
      </c>
      <c r="D47" s="46">
        <f>'May2026-EXPENSE'!R52</f>
        <v/>
      </c>
      <c r="E47" s="46">
        <f>'June2026-EXPENSE'!R52</f>
        <v/>
      </c>
      <c r="F47" s="46">
        <f>'July2026-EXPENSE'!R52</f>
        <v/>
      </c>
      <c r="G47" s="46">
        <f>'Aug2026-EXPENSE'!R52</f>
        <v/>
      </c>
      <c r="H47" s="46">
        <f>'Sep2026-EXPENSE'!R52</f>
        <v/>
      </c>
      <c r="I47" s="46">
        <f>'Oct2026-EXPENSE'!R52</f>
        <v/>
      </c>
      <c r="J47" s="46">
        <f>'Nov2026-EXPENSE'!R52</f>
        <v/>
      </c>
      <c r="K47" s="46">
        <f>'Dec2026-EXPENSE'!R52</f>
        <v/>
      </c>
      <c r="L47" s="46">
        <f>'Jan2027-EXPENSE'!R52</f>
        <v/>
      </c>
      <c r="M47" s="46">
        <f>'Feb2027-EXPENSE'!R52</f>
        <v/>
      </c>
      <c r="N47" s="46">
        <f>'Mar2027-EXPENSE'!R52</f>
        <v/>
      </c>
      <c r="O47" s="122">
        <f>SUM(C47:N47)</f>
        <v/>
      </c>
    </row>
    <row r="48">
      <c r="A48" s="46">
        <f>IFERROR(__xludf.DUMMYFUNCTION("""COMPUTED_VALUE"""),84954.2588210155)</f>
        <v/>
      </c>
      <c r="B48" s="161" t="inlineStr">
        <is>
          <t>S16</t>
        </is>
      </c>
      <c r="C48" s="46">
        <f>'Apr2026-EXPENSE'!R53</f>
        <v/>
      </c>
      <c r="D48" s="46">
        <f>'May2026-EXPENSE'!R53</f>
        <v/>
      </c>
      <c r="E48" s="46">
        <f>'June2026-EXPENSE'!R53</f>
        <v/>
      </c>
      <c r="F48" s="46">
        <f>'July2026-EXPENSE'!R53</f>
        <v/>
      </c>
      <c r="G48" s="46">
        <f>'Aug2026-EXPENSE'!R53</f>
        <v/>
      </c>
      <c r="H48" s="46">
        <f>'Sep2026-EXPENSE'!R53</f>
        <v/>
      </c>
      <c r="I48" s="46">
        <f>'Oct2026-EXPENSE'!R53</f>
        <v/>
      </c>
      <c r="J48" s="46">
        <f>'Nov2026-EXPENSE'!R53</f>
        <v/>
      </c>
      <c r="K48" s="46">
        <f>'Dec2026-EXPENSE'!R53</f>
        <v/>
      </c>
      <c r="L48" s="46">
        <f>'Jan2027-EXPENSE'!R53</f>
        <v/>
      </c>
      <c r="M48" s="46">
        <f>'Feb2027-EXPENSE'!R53</f>
        <v/>
      </c>
      <c r="N48" s="46">
        <f>'Mar2027-EXPENSE'!R53</f>
        <v/>
      </c>
      <c r="O48" s="122">
        <f>SUM(C48:N48)</f>
        <v/>
      </c>
    </row>
    <row r="49">
      <c r="A49" s="40" t="n"/>
      <c r="B49" s="161" t="inlineStr">
        <is>
          <t>T1</t>
        </is>
      </c>
      <c r="C49" s="46">
        <f>'Apr2026-EXPENSE'!R54</f>
        <v/>
      </c>
      <c r="D49" s="46">
        <f>'May2026-EXPENSE'!R54</f>
        <v/>
      </c>
      <c r="E49" s="46">
        <f>'June2026-EXPENSE'!R54</f>
        <v/>
      </c>
      <c r="F49" s="46">
        <f>'July2026-EXPENSE'!R54</f>
        <v/>
      </c>
      <c r="G49" s="46">
        <f>'Aug2026-EXPENSE'!R54</f>
        <v/>
      </c>
      <c r="H49" s="46">
        <f>'Sep2026-EXPENSE'!R54</f>
        <v/>
      </c>
      <c r="I49" s="46">
        <f>'Oct2026-EXPENSE'!R54</f>
        <v/>
      </c>
      <c r="J49" s="46">
        <f>'Nov2026-EXPENSE'!R54</f>
        <v/>
      </c>
      <c r="K49" s="46">
        <f>'Dec2026-EXPENSE'!R54</f>
        <v/>
      </c>
      <c r="L49" s="46">
        <f>'Jan2027-EXPENSE'!R54</f>
        <v/>
      </c>
      <c r="M49" s="46">
        <f>'Feb2027-EXPENSE'!R54</f>
        <v/>
      </c>
      <c r="N49" s="46">
        <f>'Mar2027-EXPENSE'!R54</f>
        <v/>
      </c>
      <c r="O49" s="122">
        <f>SUM(C49:N49)</f>
        <v/>
      </c>
    </row>
    <row r="50">
      <c r="A50" s="40" t="n"/>
      <c r="B50" s="161" t="inlineStr">
        <is>
          <t>T2</t>
        </is>
      </c>
      <c r="C50" s="46">
        <f>'Apr2026-EXPENSE'!R55</f>
        <v/>
      </c>
      <c r="D50" s="46">
        <f>'May2026-EXPENSE'!R55</f>
        <v/>
      </c>
      <c r="E50" s="46">
        <f>'June2026-EXPENSE'!R55</f>
        <v/>
      </c>
      <c r="F50" s="46">
        <f>'July2026-EXPENSE'!R55</f>
        <v/>
      </c>
      <c r="G50" s="46">
        <f>'Aug2026-EXPENSE'!R55</f>
        <v/>
      </c>
      <c r="H50" s="46">
        <f>'Sep2026-EXPENSE'!R55</f>
        <v/>
      </c>
      <c r="I50" s="46">
        <f>'Oct2026-EXPENSE'!R55</f>
        <v/>
      </c>
      <c r="J50" s="46">
        <f>'Nov2026-EXPENSE'!R55</f>
        <v/>
      </c>
      <c r="K50" s="46">
        <f>'Dec2026-EXPENSE'!R55</f>
        <v/>
      </c>
      <c r="L50" s="46">
        <f>'Jan2027-EXPENSE'!R55</f>
        <v/>
      </c>
      <c r="M50" s="46">
        <f>'Feb2027-EXPENSE'!R55</f>
        <v/>
      </c>
      <c r="N50" s="46">
        <f>'Mar2027-EXPENSE'!R55</f>
        <v/>
      </c>
      <c r="O50" s="122">
        <f>SUM(C50:N50)</f>
        <v/>
      </c>
    </row>
    <row r="51">
      <c r="A51" s="40" t="n"/>
      <c r="B51" s="161" t="inlineStr">
        <is>
          <t>T3</t>
        </is>
      </c>
      <c r="C51" s="46">
        <f>'Apr2026-EXPENSE'!R56</f>
        <v/>
      </c>
      <c r="D51" s="46">
        <f>'May2026-EXPENSE'!R56</f>
        <v/>
      </c>
      <c r="E51" s="46">
        <f>'June2026-EXPENSE'!R56</f>
        <v/>
      </c>
      <c r="F51" s="46">
        <f>'July2026-EXPENSE'!R56</f>
        <v/>
      </c>
      <c r="G51" s="46">
        <f>'Aug2026-EXPENSE'!R56</f>
        <v/>
      </c>
      <c r="H51" s="46">
        <f>'Sep2026-EXPENSE'!R56</f>
        <v/>
      </c>
      <c r="I51" s="46">
        <f>'Oct2026-EXPENSE'!R56</f>
        <v/>
      </c>
      <c r="J51" s="46">
        <f>'Nov2026-EXPENSE'!R56</f>
        <v/>
      </c>
      <c r="K51" s="46">
        <f>'Dec2026-EXPENSE'!R56</f>
        <v/>
      </c>
      <c r="L51" s="46">
        <f>'Jan2027-EXPENSE'!R56</f>
        <v/>
      </c>
      <c r="M51" s="46">
        <f>'Feb2027-EXPENSE'!R56</f>
        <v/>
      </c>
      <c r="N51" s="46">
        <f>'Mar2027-EXPENSE'!R56</f>
        <v/>
      </c>
      <c r="O51" s="122">
        <f>SUM(C51:N51)</f>
        <v/>
      </c>
    </row>
    <row r="52">
      <c r="A52" s="40">
        <f>IFERROR(__xludf.DUMMYFUNCTION("""COMPUTED_VALUE"""),"F4")</f>
        <v/>
      </c>
      <c r="B52" s="161" t="inlineStr">
        <is>
          <t>T4</t>
        </is>
      </c>
      <c r="C52" s="46">
        <f>'Apr2026-EXPENSE'!R57</f>
        <v/>
      </c>
      <c r="D52" s="46">
        <f>'May2026-EXPENSE'!R57</f>
        <v/>
      </c>
      <c r="E52" s="46">
        <f>'June2026-EXPENSE'!R57</f>
        <v/>
      </c>
      <c r="F52" s="46">
        <f>'July2026-EXPENSE'!R57</f>
        <v/>
      </c>
      <c r="G52" s="46">
        <f>'Aug2026-EXPENSE'!R57</f>
        <v/>
      </c>
      <c r="H52" s="46">
        <f>'Sep2026-EXPENSE'!R57</f>
        <v/>
      </c>
      <c r="I52" s="46">
        <f>'Oct2026-EXPENSE'!R57</f>
        <v/>
      </c>
      <c r="J52" s="46">
        <f>'Nov2026-EXPENSE'!R57</f>
        <v/>
      </c>
      <c r="K52" s="46">
        <f>'Dec2026-EXPENSE'!R57</f>
        <v/>
      </c>
      <c r="L52" s="46">
        <f>'Jan2027-EXPENSE'!R57</f>
        <v/>
      </c>
      <c r="M52" s="46">
        <f>'Feb2027-EXPENSE'!R57</f>
        <v/>
      </c>
      <c r="N52" s="46">
        <f>'Mar2027-EXPENSE'!R57</f>
        <v/>
      </c>
      <c r="O52" s="122">
        <f>SUM(C52:N52)</f>
        <v/>
      </c>
    </row>
    <row r="53">
      <c r="A53" s="46">
        <f>IFERROR(__xludf.DUMMYFUNCTION("""COMPUTED_VALUE"""),5749.60276196061)</f>
        <v/>
      </c>
      <c r="B53" s="161" t="inlineStr">
        <is>
          <t>T5</t>
        </is>
      </c>
      <c r="C53" s="46">
        <f>'Apr2026-EXPENSE'!R58</f>
        <v/>
      </c>
      <c r="D53" s="46">
        <f>'May2026-EXPENSE'!R58</f>
        <v/>
      </c>
      <c r="E53" s="46">
        <f>'June2026-EXPENSE'!R58</f>
        <v/>
      </c>
      <c r="F53" s="46">
        <f>'July2026-EXPENSE'!R58</f>
        <v/>
      </c>
      <c r="G53" s="46">
        <f>'Aug2026-EXPENSE'!R58</f>
        <v/>
      </c>
      <c r="H53" s="46">
        <f>'Sep2026-EXPENSE'!R58</f>
        <v/>
      </c>
      <c r="I53" s="46">
        <f>'Oct2026-EXPENSE'!R58</f>
        <v/>
      </c>
      <c r="J53" s="46">
        <f>'Nov2026-EXPENSE'!R58</f>
        <v/>
      </c>
      <c r="K53" s="46">
        <f>'Dec2026-EXPENSE'!R58</f>
        <v/>
      </c>
      <c r="L53" s="46">
        <f>'Jan2027-EXPENSE'!R58</f>
        <v/>
      </c>
      <c r="M53" s="46">
        <f>'Feb2027-EXPENSE'!R58</f>
        <v/>
      </c>
      <c r="N53" s="46">
        <f>'Mar2027-EXPENSE'!R58</f>
        <v/>
      </c>
      <c r="O53" s="122">
        <f>SUM(C53:N53)</f>
        <v/>
      </c>
    </row>
    <row r="54">
      <c r="A54" s="46">
        <f>IFERROR(__xludf.DUMMYFUNCTION("""COMPUTED_VALUE"""),4456.76495756504)</f>
        <v/>
      </c>
      <c r="B54" s="161" t="inlineStr">
        <is>
          <t>T6</t>
        </is>
      </c>
      <c r="C54" s="46">
        <f>'Apr2026-EXPENSE'!R59</f>
        <v/>
      </c>
      <c r="D54" s="46">
        <f>'May2026-EXPENSE'!R59</f>
        <v/>
      </c>
      <c r="E54" s="46">
        <f>'June2026-EXPENSE'!R59</f>
        <v/>
      </c>
      <c r="F54" s="46">
        <f>'July2026-EXPENSE'!R59</f>
        <v/>
      </c>
      <c r="G54" s="46">
        <f>'Aug2026-EXPENSE'!R59</f>
        <v/>
      </c>
      <c r="H54" s="46">
        <f>'Sep2026-EXPENSE'!R59</f>
        <v/>
      </c>
      <c r="I54" s="46">
        <f>'Oct2026-EXPENSE'!R59</f>
        <v/>
      </c>
      <c r="J54" s="46">
        <f>'Nov2026-EXPENSE'!R59</f>
        <v/>
      </c>
      <c r="K54" s="46">
        <f>'Dec2026-EXPENSE'!R59</f>
        <v/>
      </c>
      <c r="L54" s="46">
        <f>'Jan2027-EXPENSE'!R59</f>
        <v/>
      </c>
      <c r="M54" s="46">
        <f>'Feb2027-EXPENSE'!R59</f>
        <v/>
      </c>
      <c r="N54" s="46">
        <f>'Mar2027-EXPENSE'!R59</f>
        <v/>
      </c>
      <c r="O54" s="122">
        <f>SUM(C54:N54)</f>
        <v/>
      </c>
    </row>
    <row r="55">
      <c r="A55" s="46">
        <f>IFERROR(__xludf.DUMMYFUNCTION("""COMPUTED_VALUE"""),4663.61254950757)</f>
        <v/>
      </c>
      <c r="B55" s="161" t="inlineStr">
        <is>
          <t>T7</t>
        </is>
      </c>
      <c r="C55" s="46">
        <f>'Apr2026-EXPENSE'!R60</f>
        <v/>
      </c>
      <c r="D55" s="46">
        <f>'May2026-EXPENSE'!R60</f>
        <v/>
      </c>
      <c r="E55" s="46">
        <f>'June2026-EXPENSE'!R60</f>
        <v/>
      </c>
      <c r="F55" s="46">
        <f>'July2026-EXPENSE'!R60</f>
        <v/>
      </c>
      <c r="G55" s="46">
        <f>'Aug2026-EXPENSE'!R60</f>
        <v/>
      </c>
      <c r="H55" s="46">
        <f>'Sep2026-EXPENSE'!R60</f>
        <v/>
      </c>
      <c r="I55" s="46">
        <f>'Oct2026-EXPENSE'!R60</f>
        <v/>
      </c>
      <c r="J55" s="46">
        <f>'Nov2026-EXPENSE'!R60</f>
        <v/>
      </c>
      <c r="K55" s="46">
        <f>'Dec2026-EXPENSE'!R60</f>
        <v/>
      </c>
      <c r="L55" s="46">
        <f>'Jan2027-EXPENSE'!R60</f>
        <v/>
      </c>
      <c r="M55" s="46">
        <f>'Feb2027-EXPENSE'!R60</f>
        <v/>
      </c>
      <c r="N55" s="46">
        <f>'Mar2027-EXPENSE'!R60</f>
        <v/>
      </c>
      <c r="O55" s="122">
        <f>SUM(C55:N55)</f>
        <v/>
      </c>
    </row>
    <row r="56">
      <c r="A56" s="46">
        <f>IFERROR(__xludf.DUMMYFUNCTION("""COMPUTED_VALUE"""),5553.56676065092)</f>
        <v/>
      </c>
      <c r="B56" s="161" t="inlineStr">
        <is>
          <t>T8</t>
        </is>
      </c>
      <c r="C56" s="46">
        <f>'Apr2026-EXPENSE'!R61</f>
        <v/>
      </c>
      <c r="D56" s="46">
        <f>'May2026-EXPENSE'!R61</f>
        <v/>
      </c>
      <c r="E56" s="46">
        <f>'June2026-EXPENSE'!R61</f>
        <v/>
      </c>
      <c r="F56" s="46">
        <f>'July2026-EXPENSE'!R61</f>
        <v/>
      </c>
      <c r="G56" s="46">
        <f>'Aug2026-EXPENSE'!R61</f>
        <v/>
      </c>
      <c r="H56" s="46">
        <f>'Sep2026-EXPENSE'!R61</f>
        <v/>
      </c>
      <c r="I56" s="46">
        <f>'Oct2026-EXPENSE'!R61</f>
        <v/>
      </c>
      <c r="J56" s="46">
        <f>'Nov2026-EXPENSE'!R61</f>
        <v/>
      </c>
      <c r="K56" s="46">
        <f>'Dec2026-EXPENSE'!R61</f>
        <v/>
      </c>
      <c r="L56" s="46">
        <f>'Jan2027-EXPENSE'!R61</f>
        <v/>
      </c>
      <c r="M56" s="46">
        <f>'Feb2027-EXPENSE'!R61</f>
        <v/>
      </c>
      <c r="N56" s="46">
        <f>'Mar2027-EXPENSE'!R61</f>
        <v/>
      </c>
      <c r="O56" s="122">
        <f>SUM(C56:N56)</f>
        <v/>
      </c>
    </row>
    <row r="57">
      <c r="A57" s="46">
        <f>IFERROR(__xludf.DUMMYFUNCTION("""COMPUTED_VALUE"""),6049.98223349159)</f>
        <v/>
      </c>
      <c r="B57" s="161" t="inlineStr">
        <is>
          <t>T9</t>
        </is>
      </c>
      <c r="C57" s="46">
        <f>'Apr2026-EXPENSE'!R62</f>
        <v/>
      </c>
      <c r="D57" s="46">
        <f>'May2026-EXPENSE'!R62</f>
        <v/>
      </c>
      <c r="E57" s="46">
        <f>'June2026-EXPENSE'!R62</f>
        <v/>
      </c>
      <c r="F57" s="46">
        <f>'July2026-EXPENSE'!R62</f>
        <v/>
      </c>
      <c r="G57" s="46">
        <f>'Aug2026-EXPENSE'!R62</f>
        <v/>
      </c>
      <c r="H57" s="46">
        <f>'Sep2026-EXPENSE'!R62</f>
        <v/>
      </c>
      <c r="I57" s="46">
        <f>'Oct2026-EXPENSE'!R62</f>
        <v/>
      </c>
      <c r="J57" s="46">
        <f>'Nov2026-EXPENSE'!R62</f>
        <v/>
      </c>
      <c r="K57" s="46">
        <f>'Dec2026-EXPENSE'!R62</f>
        <v/>
      </c>
      <c r="L57" s="46">
        <f>'Jan2027-EXPENSE'!R62</f>
        <v/>
      </c>
      <c r="M57" s="46">
        <f>'Feb2027-EXPENSE'!R62</f>
        <v/>
      </c>
      <c r="N57" s="46">
        <f>'Mar2027-EXPENSE'!R62</f>
        <v/>
      </c>
      <c r="O57" s="122">
        <f>SUM(C57:N57)</f>
        <v/>
      </c>
    </row>
    <row r="58">
      <c r="A58" s="46">
        <f>IFERROR(__xludf.DUMMYFUNCTION("""COMPUTED_VALUE"""),5147.58208177566)</f>
        <v/>
      </c>
      <c r="B58" s="161" t="inlineStr">
        <is>
          <t>T10</t>
        </is>
      </c>
      <c r="C58" s="46">
        <f>'Apr2026-EXPENSE'!R63</f>
        <v/>
      </c>
      <c r="D58" s="46">
        <f>'May2026-EXPENSE'!R63</f>
        <v/>
      </c>
      <c r="E58" s="46">
        <f>'June2026-EXPENSE'!R63</f>
        <v/>
      </c>
      <c r="F58" s="46">
        <f>'July2026-EXPENSE'!R63</f>
        <v/>
      </c>
      <c r="G58" s="46">
        <f>'Aug2026-EXPENSE'!R63</f>
        <v/>
      </c>
      <c r="H58" s="46">
        <f>'Sep2026-EXPENSE'!R63</f>
        <v/>
      </c>
      <c r="I58" s="46">
        <f>'Oct2026-EXPENSE'!R63</f>
        <v/>
      </c>
      <c r="J58" s="46">
        <f>'Nov2026-EXPENSE'!R63</f>
        <v/>
      </c>
      <c r="K58" s="46">
        <f>'Dec2026-EXPENSE'!R63</f>
        <v/>
      </c>
      <c r="L58" s="46">
        <f>'Jan2027-EXPENSE'!R63</f>
        <v/>
      </c>
      <c r="M58" s="46">
        <f>'Feb2027-EXPENSE'!R63</f>
        <v/>
      </c>
      <c r="N58" s="46">
        <f>'Mar2027-EXPENSE'!R63</f>
        <v/>
      </c>
      <c r="O58" s="122">
        <f>SUM(C58:N58)</f>
        <v/>
      </c>
    </row>
    <row r="59">
      <c r="A59" s="46">
        <f>IFERROR(__xludf.DUMMYFUNCTION("""COMPUTED_VALUE"""),6692.71388300183)</f>
        <v/>
      </c>
      <c r="B59" s="161" t="inlineStr">
        <is>
          <t>T11</t>
        </is>
      </c>
      <c r="C59" s="46">
        <f>'Apr2026-EXPENSE'!R64</f>
        <v/>
      </c>
      <c r="D59" s="46">
        <f>'May2026-EXPENSE'!R64</f>
        <v/>
      </c>
      <c r="E59" s="46">
        <f>'June2026-EXPENSE'!R64</f>
        <v/>
      </c>
      <c r="F59" s="46">
        <f>'July2026-EXPENSE'!R64</f>
        <v/>
      </c>
      <c r="G59" s="46">
        <f>'Aug2026-EXPENSE'!R64</f>
        <v/>
      </c>
      <c r="H59" s="46">
        <f>'Sep2026-EXPENSE'!R64</f>
        <v/>
      </c>
      <c r="I59" s="46">
        <f>'Oct2026-EXPENSE'!R64</f>
        <v/>
      </c>
      <c r="J59" s="46">
        <f>'Nov2026-EXPENSE'!R64</f>
        <v/>
      </c>
      <c r="K59" s="46">
        <f>'Dec2026-EXPENSE'!R64</f>
        <v/>
      </c>
      <c r="L59" s="46">
        <f>'Jan2027-EXPENSE'!R64</f>
        <v/>
      </c>
      <c r="M59" s="46">
        <f>'Feb2027-EXPENSE'!R64</f>
        <v/>
      </c>
      <c r="N59" s="46">
        <f>'Mar2027-EXPENSE'!R64</f>
        <v/>
      </c>
      <c r="O59" s="122">
        <f>SUM(C59:N59)</f>
        <v/>
      </c>
    </row>
    <row r="60">
      <c r="A60" s="46">
        <f>IFERROR(__xludf.DUMMYFUNCTION("""COMPUTED_VALUE"""),6982.28310947138)</f>
        <v/>
      </c>
      <c r="B60" s="161" t="inlineStr">
        <is>
          <t>T12</t>
        </is>
      </c>
      <c r="C60" s="46">
        <f>'Apr2026-EXPENSE'!R65</f>
        <v/>
      </c>
      <c r="D60" s="46">
        <f>'May2026-EXPENSE'!R65</f>
        <v/>
      </c>
      <c r="E60" s="46">
        <f>'June2026-EXPENSE'!R65</f>
        <v/>
      </c>
      <c r="F60" s="46">
        <f>'July2026-EXPENSE'!R65</f>
        <v/>
      </c>
      <c r="G60" s="46">
        <f>'Aug2026-EXPENSE'!R65</f>
        <v/>
      </c>
      <c r="H60" s="46">
        <f>'Sep2026-EXPENSE'!R65</f>
        <v/>
      </c>
      <c r="I60" s="46">
        <f>'Oct2026-EXPENSE'!R65</f>
        <v/>
      </c>
      <c r="J60" s="46">
        <f>'Nov2026-EXPENSE'!R65</f>
        <v/>
      </c>
      <c r="K60" s="46">
        <f>'Dec2026-EXPENSE'!R65</f>
        <v/>
      </c>
      <c r="L60" s="46">
        <f>'Jan2027-EXPENSE'!R65</f>
        <v/>
      </c>
      <c r="M60" s="46">
        <f>'Feb2027-EXPENSE'!R65</f>
        <v/>
      </c>
      <c r="N60" s="46">
        <f>'Mar2027-EXPENSE'!R65</f>
        <v/>
      </c>
      <c r="O60" s="122">
        <f>SUM(C60:N60)</f>
        <v/>
      </c>
    </row>
    <row r="61">
      <c r="A61" s="46">
        <f>IFERROR(__xludf.DUMMYFUNCTION("""COMPUTED_VALUE"""),5286.88031379142)</f>
        <v/>
      </c>
      <c r="B61" s="161" t="inlineStr">
        <is>
          <t>T13</t>
        </is>
      </c>
      <c r="C61" s="46">
        <f>'Apr2026-EXPENSE'!R66</f>
        <v/>
      </c>
      <c r="D61" s="46">
        <f>'May2026-EXPENSE'!R66</f>
        <v/>
      </c>
      <c r="E61" s="46">
        <f>'June2026-EXPENSE'!R66</f>
        <v/>
      </c>
      <c r="F61" s="46">
        <f>'July2026-EXPENSE'!R66</f>
        <v/>
      </c>
      <c r="G61" s="46">
        <f>'Aug2026-EXPENSE'!R66</f>
        <v/>
      </c>
      <c r="H61" s="46">
        <f>'Sep2026-EXPENSE'!R66</f>
        <v/>
      </c>
      <c r="I61" s="46">
        <f>'Oct2026-EXPENSE'!R66</f>
        <v/>
      </c>
      <c r="J61" s="46">
        <f>'Nov2026-EXPENSE'!R66</f>
        <v/>
      </c>
      <c r="K61" s="46">
        <f>'Dec2026-EXPENSE'!R66</f>
        <v/>
      </c>
      <c r="L61" s="46">
        <f>'Jan2027-EXPENSE'!R66</f>
        <v/>
      </c>
      <c r="M61" s="46">
        <f>'Feb2027-EXPENSE'!R66</f>
        <v/>
      </c>
      <c r="N61" s="46">
        <f>'Mar2027-EXPENSE'!R66</f>
        <v/>
      </c>
      <c r="O61" s="122">
        <f>SUM(C61:N61)</f>
        <v/>
      </c>
    </row>
    <row r="62">
      <c r="A62" s="46">
        <f>IFERROR(__xludf.DUMMYFUNCTION("""COMPUTED_VALUE"""),5176.15593724839)</f>
        <v/>
      </c>
      <c r="B62" s="161" t="inlineStr">
        <is>
          <t>T14</t>
        </is>
      </c>
      <c r="C62" s="46">
        <f>'Apr2026-EXPENSE'!R67</f>
        <v/>
      </c>
      <c r="D62" s="46">
        <f>'May2026-EXPENSE'!R67</f>
        <v/>
      </c>
      <c r="E62" s="46">
        <f>'June2026-EXPENSE'!R67</f>
        <v/>
      </c>
      <c r="F62" s="46">
        <f>'July2026-EXPENSE'!R67</f>
        <v/>
      </c>
      <c r="G62" s="46">
        <f>'Aug2026-EXPENSE'!R67</f>
        <v/>
      </c>
      <c r="H62" s="46">
        <f>'Sep2026-EXPENSE'!R67</f>
        <v/>
      </c>
      <c r="I62" s="46">
        <f>'Oct2026-EXPENSE'!R67</f>
        <v/>
      </c>
      <c r="J62" s="46">
        <f>'Nov2026-EXPENSE'!R67</f>
        <v/>
      </c>
      <c r="K62" s="46">
        <f>'Dec2026-EXPENSE'!R67</f>
        <v/>
      </c>
      <c r="L62" s="46">
        <f>'Jan2027-EXPENSE'!R67</f>
        <v/>
      </c>
      <c r="M62" s="46">
        <f>'Feb2027-EXPENSE'!R67</f>
        <v/>
      </c>
      <c r="N62" s="46">
        <f>'Mar2027-EXPENSE'!R67</f>
        <v/>
      </c>
      <c r="O62" s="122">
        <f>SUM(C62:N62)</f>
        <v/>
      </c>
    </row>
    <row r="63">
      <c r="A63" s="46">
        <f>IFERROR(__xludf.DUMMYFUNCTION("""COMPUTED_VALUE"""),4924.66829336369)</f>
        <v/>
      </c>
      <c r="B63" s="161" t="inlineStr">
        <is>
          <t>T15</t>
        </is>
      </c>
      <c r="C63" s="46">
        <f>'Apr2026-EXPENSE'!R68</f>
        <v/>
      </c>
      <c r="D63" s="46">
        <f>'May2026-EXPENSE'!R68</f>
        <v/>
      </c>
      <c r="E63" s="46">
        <f>'June2026-EXPENSE'!R68</f>
        <v/>
      </c>
      <c r="F63" s="46">
        <f>'July2026-EXPENSE'!R68</f>
        <v/>
      </c>
      <c r="G63" s="46">
        <f>'Aug2026-EXPENSE'!R68</f>
        <v/>
      </c>
      <c r="H63" s="46">
        <f>'Sep2026-EXPENSE'!R68</f>
        <v/>
      </c>
      <c r="I63" s="46">
        <f>'Oct2026-EXPENSE'!R68</f>
        <v/>
      </c>
      <c r="J63" s="46">
        <f>'Nov2026-EXPENSE'!R68</f>
        <v/>
      </c>
      <c r="K63" s="46">
        <f>'Dec2026-EXPENSE'!R68</f>
        <v/>
      </c>
      <c r="L63" s="46">
        <f>'Jan2027-EXPENSE'!R68</f>
        <v/>
      </c>
      <c r="M63" s="46">
        <f>'Feb2027-EXPENSE'!R68</f>
        <v/>
      </c>
      <c r="N63" s="46">
        <f>'Mar2027-EXPENSE'!R68</f>
        <v/>
      </c>
      <c r="O63" s="122">
        <f>SUM(C63:N63)</f>
        <v/>
      </c>
    </row>
    <row r="64">
      <c r="A64" s="46">
        <f>IFERROR(__xludf.DUMMYFUNCTION("""COMPUTED_VALUE"""),5011.40900007818)</f>
        <v/>
      </c>
      <c r="B64" s="161" t="inlineStr">
        <is>
          <t>T16</t>
        </is>
      </c>
      <c r="C64" s="46">
        <f>'Apr2026-EXPENSE'!R69</f>
        <v/>
      </c>
      <c r="D64" s="46">
        <f>'May2026-EXPENSE'!R69</f>
        <v/>
      </c>
      <c r="E64" s="46">
        <f>'June2026-EXPENSE'!R69</f>
        <v/>
      </c>
      <c r="F64" s="46">
        <f>'July2026-EXPENSE'!R69</f>
        <v/>
      </c>
      <c r="G64" s="46">
        <f>'Aug2026-EXPENSE'!R69</f>
        <v/>
      </c>
      <c r="H64" s="46">
        <f>'Sep2026-EXPENSE'!R69</f>
        <v/>
      </c>
      <c r="I64" s="46">
        <f>'Oct2026-EXPENSE'!R69</f>
        <v/>
      </c>
      <c r="J64" s="46">
        <f>'Nov2026-EXPENSE'!R69</f>
        <v/>
      </c>
      <c r="K64" s="46">
        <f>'Dec2026-EXPENSE'!R69</f>
        <v/>
      </c>
      <c r="L64" s="46">
        <f>'Jan2027-EXPENSE'!R69</f>
        <v/>
      </c>
      <c r="M64" s="46">
        <f>'Feb2027-EXPENSE'!R69</f>
        <v/>
      </c>
      <c r="N64" s="46">
        <f>'Mar2027-EXPENSE'!R69</f>
        <v/>
      </c>
      <c r="O64" s="122">
        <f>SUM(C64:N64)</f>
        <v/>
      </c>
    </row>
    <row r="65">
      <c r="A65" s="46">
        <f>IFERROR(__xludf.DUMMYFUNCTION("""COMPUTED_VALUE"""),65695.2218819063)</f>
        <v/>
      </c>
      <c r="B65" s="184" t="n"/>
      <c r="O65" s="184">
        <f>SUM(C65:N65)</f>
        <v/>
      </c>
    </row>
    <row r="66">
      <c r="A66" s="40" t="n"/>
      <c r="B66" s="184" t="n"/>
      <c r="O66" s="184">
        <f>SUM(C66:N66)</f>
        <v/>
      </c>
    </row>
    <row r="67">
      <c r="A67" s="40" t="n"/>
      <c r="B67" s="184" t="n"/>
      <c r="O67" s="184">
        <f>SUM(C67:N67)</f>
        <v/>
      </c>
    </row>
    <row r="68">
      <c r="A68" s="40" t="n"/>
      <c r="B68" s="184" t="n"/>
      <c r="O68" s="184">
        <f>SUM(C68:N68)</f>
        <v/>
      </c>
    </row>
    <row r="69">
      <c r="A69" s="40">
        <f>IFERROR(__xludf.DUMMYFUNCTION("""COMPUTED_VALUE"""),"F5")</f>
        <v/>
      </c>
      <c r="B69" s="184" t="n"/>
      <c r="O69" s="184">
        <f>SUM(C69:N69)</f>
        <v/>
      </c>
    </row>
    <row r="70">
      <c r="A70" s="46">
        <f>IFERROR(__xludf.DUMMYFUNCTION("""COMPUTED_VALUE"""),5400.92370795005)</f>
        <v/>
      </c>
      <c r="B70" s="184" t="n"/>
      <c r="O70" s="184">
        <f>SUM(C70:N70)</f>
        <v/>
      </c>
    </row>
    <row r="71">
      <c r="A71" s="46">
        <f>IFERROR(__xludf.DUMMYFUNCTION("""COMPUTED_VALUE"""),4039.04885981426)</f>
        <v/>
      </c>
      <c r="B71" s="184" t="n"/>
      <c r="O71" s="184">
        <f>SUM(C71:N71)</f>
        <v/>
      </c>
    </row>
    <row r="72">
      <c r="A72" s="46">
        <f>IFERROR(__xludf.DUMMYFUNCTION("""COMPUTED_VALUE"""),4272.86364851562)</f>
        <v/>
      </c>
      <c r="B72" s="184" t="n"/>
      <c r="O72" s="184">
        <f>SUM(C72:N72)</f>
        <v/>
      </c>
    </row>
    <row r="73">
      <c r="A73" s="46">
        <f>IFERROR(__xludf.DUMMYFUNCTION("""COMPUTED_VALUE"""),5172.39244182987)</f>
        <v/>
      </c>
      <c r="B73" s="184" t="n"/>
      <c r="O73" s="184">
        <f>SUM(C73:N73)</f>
        <v/>
      </c>
    </row>
    <row r="74">
      <c r="A74" s="46">
        <f>IFERROR(__xludf.DUMMYFUNCTION("""COMPUTED_VALUE"""),7049.57617817068)</f>
        <v/>
      </c>
      <c r="B74" s="184" t="n"/>
      <c r="O74" s="184">
        <f>SUM(C74:N74)</f>
        <v/>
      </c>
    </row>
    <row r="75">
      <c r="A75" s="46">
        <f>IFERROR(__xludf.DUMMYFUNCTION("""COMPUTED_VALUE"""),5209.98613138248)</f>
        <v/>
      </c>
      <c r="B75" s="184" t="n"/>
      <c r="O75" s="184">
        <f>SUM(C75:N75)</f>
        <v/>
      </c>
    </row>
    <row r="76">
      <c r="A76" s="46">
        <f>IFERROR(__xludf.DUMMYFUNCTION("""COMPUTED_VALUE"""),6530.43271586085)</f>
        <v/>
      </c>
      <c r="B76" s="184" t="n"/>
      <c r="O76" s="184">
        <f>SUM(C76:N76)</f>
        <v/>
      </c>
    </row>
    <row r="77">
      <c r="A77" s="46">
        <f>IFERROR(__xludf.DUMMYFUNCTION("""COMPUTED_VALUE"""),6987.98957675866)</f>
        <v/>
      </c>
      <c r="B77" s="184" t="n"/>
      <c r="O77" s="184">
        <f>SUM(C77:N77)</f>
        <v/>
      </c>
    </row>
    <row r="78">
      <c r="A78" s="46">
        <f>IFERROR(__xludf.DUMMYFUNCTION("""COMPUTED_VALUE"""),5357.47699352615)</f>
        <v/>
      </c>
      <c r="B78" s="184" t="n"/>
      <c r="O78" s="184">
        <f>SUM(C78:N78)</f>
        <v/>
      </c>
    </row>
    <row r="79">
      <c r="A79" s="46">
        <f>IFERROR(__xludf.DUMMYFUNCTION("""COMPUTED_VALUE"""),5143.8208706995)</f>
        <v/>
      </c>
      <c r="B79" s="184" t="n"/>
      <c r="O79" s="184">
        <f>SUM(C79:N79)</f>
        <v/>
      </c>
    </row>
    <row r="80">
      <c r="A80" s="46">
        <f>IFERROR(__xludf.DUMMYFUNCTION("""COMPUTED_VALUE"""),4698.8491844943)</f>
        <v/>
      </c>
      <c r="B80" s="184" t="n"/>
      <c r="O80" s="184">
        <f>SUM(C80:N80)</f>
        <v/>
      </c>
    </row>
    <row r="81">
      <c r="A81" s="46">
        <f>IFERROR(__xludf.DUMMYFUNCTION("""COMPUTED_VALUE"""),5020.49384870683)</f>
        <v/>
      </c>
      <c r="B81" s="184" t="n"/>
      <c r="O81" s="184">
        <f>SUM(C81:N81)</f>
        <v/>
      </c>
    </row>
    <row r="82">
      <c r="A82" s="46">
        <f>IFERROR(__xludf.DUMMYFUNCTION("""COMPUTED_VALUE"""),64883.8541577092)</f>
        <v/>
      </c>
      <c r="B82" s="184" t="n"/>
      <c r="O82" s="184">
        <f>SUM(C82:N82)</f>
        <v/>
      </c>
    </row>
    <row r="83">
      <c r="A83" s="40" t="n"/>
      <c r="B83" s="184" t="n"/>
      <c r="O83" s="184">
        <f>SUM(C83:N83)</f>
        <v/>
      </c>
    </row>
    <row r="84">
      <c r="A84" s="40" t="n"/>
      <c r="B84" s="184" t="n"/>
      <c r="O84" s="184">
        <f>SUM(C84:N84)</f>
        <v/>
      </c>
    </row>
    <row r="85">
      <c r="A85" s="40" t="n"/>
      <c r="B85" s="184" t="n"/>
      <c r="O85" s="184">
        <f>SUM(C85:N85)</f>
        <v/>
      </c>
    </row>
    <row r="86">
      <c r="A86" s="40">
        <f>IFERROR(__xludf.DUMMYFUNCTION("""COMPUTED_VALUE"""),"F6")</f>
        <v/>
      </c>
      <c r="B86" s="184" t="n"/>
      <c r="O86" s="184">
        <f>SUM(C86:N86)</f>
        <v/>
      </c>
    </row>
    <row r="87">
      <c r="A87" s="46">
        <f>IFERROR(__xludf.DUMMYFUNCTION("""COMPUTED_VALUE"""),5895.41511891449)</f>
        <v/>
      </c>
      <c r="B87" s="184" t="n"/>
      <c r="O87" s="184">
        <f>SUM(C87:N87)</f>
        <v/>
      </c>
    </row>
    <row r="88">
      <c r="A88" s="46">
        <f>IFERROR(__xludf.DUMMYFUNCTION("""COMPUTED_VALUE"""),4348.47870287474)</f>
        <v/>
      </c>
      <c r="B88" s="184" t="n"/>
      <c r="O88" s="184">
        <f>SUM(C88:N88)</f>
        <v/>
      </c>
    </row>
    <row r="89">
      <c r="A89" s="46">
        <f>IFERROR(__xludf.DUMMYFUNCTION("""COMPUTED_VALUE"""),4628.27985795284)</f>
        <v/>
      </c>
      <c r="B89" s="184" t="n"/>
      <c r="O89" s="184">
        <f>SUM(C89:N89)</f>
        <v/>
      </c>
    </row>
    <row r="90">
      <c r="A90" s="46">
        <f>IFERROR(__xludf.DUMMYFUNCTION("""COMPUTED_VALUE"""),5465.19797390964)</f>
        <v/>
      </c>
      <c r="B90" s="184" t="n"/>
      <c r="O90" s="184">
        <f>SUM(C90:N90)</f>
        <v/>
      </c>
    </row>
    <row r="91">
      <c r="A91" s="46">
        <f>IFERROR(__xludf.DUMMYFUNCTION("""COMPUTED_VALUE"""),6089.55634396898)</f>
        <v/>
      </c>
      <c r="B91" s="184" t="n"/>
      <c r="O91" s="184">
        <f>SUM(C91:N91)</f>
        <v/>
      </c>
    </row>
    <row r="92">
      <c r="A92" s="46">
        <f>IFERROR(__xludf.DUMMYFUNCTION("""COMPUTED_VALUE"""),5134.85028610194)</f>
        <v/>
      </c>
      <c r="B92" s="184" t="n"/>
      <c r="O92" s="184">
        <f>SUM(C92:N92)</f>
        <v/>
      </c>
    </row>
    <row r="93">
      <c r="A93" s="46">
        <f>IFERROR(__xludf.DUMMYFUNCTION("""COMPUTED_VALUE"""),6606.88626689415)</f>
        <v/>
      </c>
      <c r="B93" s="184" t="n"/>
      <c r="O93" s="184">
        <f>SUM(C93:N93)</f>
        <v/>
      </c>
    </row>
    <row r="94">
      <c r="A94" s="46">
        <f>IFERROR(__xludf.DUMMYFUNCTION("""COMPUTED_VALUE"""),6993.2188819876)</f>
        <v/>
      </c>
      <c r="B94" s="184" t="n"/>
      <c r="O94" s="184">
        <f>SUM(C94:N94)</f>
        <v/>
      </c>
    </row>
    <row r="95">
      <c r="A95" s="46">
        <f>IFERROR(__xludf.DUMMYFUNCTION("""COMPUTED_VALUE"""),5157.93865030045)</f>
        <v/>
      </c>
      <c r="B95" s="184" t="n"/>
      <c r="O95" s="184">
        <f>SUM(C95:N95)</f>
        <v/>
      </c>
    </row>
    <row r="96">
      <c r="A96" s="46">
        <f>IFERROR(__xludf.DUMMYFUNCTION("""COMPUTED_VALUE"""),5083.58269894607)</f>
        <v/>
      </c>
      <c r="B96" s="184" t="n"/>
      <c r="O96" s="184">
        <f>SUM(C96:N96)</f>
        <v/>
      </c>
    </row>
    <row r="97">
      <c r="A97" s="46">
        <f>IFERROR(__xludf.DUMMYFUNCTION("""COMPUTED_VALUE"""),4867.34141614174)</f>
        <v/>
      </c>
      <c r="B97" s="184" t="n"/>
      <c r="O97" s="184">
        <f>SUM(C97:N97)</f>
        <v/>
      </c>
    </row>
    <row r="98">
      <c r="A98" s="46">
        <f>IFERROR(__xludf.DUMMYFUNCTION("""COMPUTED_VALUE"""),4863.08054571994)</f>
        <v/>
      </c>
      <c r="B98" s="184" t="n"/>
      <c r="O98" s="184">
        <f>SUM(C98:N98)</f>
        <v/>
      </c>
    </row>
    <row r="99">
      <c r="A99" s="46">
        <f>IFERROR(__xludf.DUMMYFUNCTION("""COMPUTED_VALUE"""),65133.8267437126)</f>
        <v/>
      </c>
      <c r="B99" s="184" t="n"/>
      <c r="O99" s="184">
        <f>SUM(C99:N99)</f>
        <v/>
      </c>
    </row>
    <row r="100">
      <c r="A100" s="40" t="n"/>
      <c r="B100" s="184" t="n"/>
      <c r="O100" s="184">
        <f>SUM(C100:N100)</f>
        <v/>
      </c>
    </row>
    <row r="101">
      <c r="A101" s="40" t="n"/>
      <c r="B101" s="184" t="n"/>
      <c r="O101" s="184">
        <f>SUM(C101:N101)</f>
        <v/>
      </c>
    </row>
    <row r="102">
      <c r="A102" s="40" t="n"/>
      <c r="B102" s="184" t="n"/>
      <c r="O102" s="184">
        <f>SUM(C102:N102)</f>
        <v/>
      </c>
    </row>
    <row r="103">
      <c r="A103" s="40">
        <f>IFERROR(__xludf.DUMMYFUNCTION("""COMPUTED_VALUE"""),"F7")</f>
        <v/>
      </c>
      <c r="B103" s="184" t="n"/>
      <c r="O103" s="184">
        <f>SUM(C103:N103)</f>
        <v/>
      </c>
    </row>
    <row r="104">
      <c r="A104" s="46">
        <f>IFERROR(__xludf.DUMMYFUNCTION("""COMPUTED_VALUE"""),6181.01602828857)</f>
        <v/>
      </c>
      <c r="B104" s="184" t="n"/>
      <c r="O104" s="184">
        <f>SUM(C104:N104)</f>
        <v/>
      </c>
    </row>
    <row r="105">
      <c r="A105" s="46">
        <f>IFERROR(__xludf.DUMMYFUNCTION("""COMPUTED_VALUE"""),4817.23628073072)</f>
        <v/>
      </c>
      <c r="B105" s="184" t="n"/>
      <c r="O105" s="184">
        <f>SUM(C105:N105)</f>
        <v/>
      </c>
    </row>
    <row r="106">
      <c r="A106" s="46">
        <f>IFERROR(__xludf.DUMMYFUNCTION("""COMPUTED_VALUE"""),5050.9140221374)</f>
        <v/>
      </c>
      <c r="B106" s="184" t="n"/>
      <c r="O106" s="184">
        <f>SUM(C106:N106)</f>
        <v/>
      </c>
    </row>
    <row r="107">
      <c r="A107" s="46">
        <f>IFERROR(__xludf.DUMMYFUNCTION("""COMPUTED_VALUE"""),5938.62434690359)</f>
        <v/>
      </c>
      <c r="B107" s="184" t="n"/>
      <c r="O107" s="184">
        <f>SUM(C107:N107)</f>
        <v/>
      </c>
    </row>
    <row r="108">
      <c r="A108" s="46">
        <f>IFERROR(__xludf.DUMMYFUNCTION("""COMPUTED_VALUE"""),6331.91052351562)</f>
        <v/>
      </c>
      <c r="B108" s="184" t="n"/>
      <c r="O108" s="184">
        <f>SUM(C108:N108)</f>
        <v/>
      </c>
    </row>
    <row r="109">
      <c r="A109" s="46">
        <f>IFERROR(__xludf.DUMMYFUNCTION("""COMPUTED_VALUE"""),5504.83705708734)</f>
        <v/>
      </c>
      <c r="B109" s="184" t="n"/>
      <c r="O109" s="184">
        <f>SUM(C109:N109)</f>
        <v/>
      </c>
    </row>
    <row r="110">
      <c r="A110" s="46">
        <f>IFERROR(__xludf.DUMMYFUNCTION("""COMPUTED_VALUE"""),6883.18240239598)</f>
        <v/>
      </c>
      <c r="B110" s="184" t="n"/>
      <c r="O110" s="184">
        <f>SUM(C110:N110)</f>
        <v/>
      </c>
    </row>
    <row r="111">
      <c r="A111" s="46">
        <f>IFERROR(__xludf.DUMMYFUNCTION("""COMPUTED_VALUE"""),7220.67571503646)</f>
        <v/>
      </c>
      <c r="B111" s="184" t="n"/>
      <c r="O111" s="184">
        <f>SUM(C111:N111)</f>
        <v/>
      </c>
    </row>
    <row r="112">
      <c r="A112" s="46">
        <f>IFERROR(__xludf.DUMMYFUNCTION("""COMPUTED_VALUE"""),5568.99228472185)</f>
        <v/>
      </c>
      <c r="B112" s="184" t="n"/>
      <c r="O112" s="184">
        <f>SUM(C112:N112)</f>
        <v/>
      </c>
    </row>
    <row r="113">
      <c r="A113" s="46">
        <f>IFERROR(__xludf.DUMMYFUNCTION("""COMPUTED_VALUE"""),5486.73999097578)</f>
        <v/>
      </c>
      <c r="B113" s="184" t="n"/>
      <c r="O113" s="184">
        <f>SUM(C113:N113)</f>
        <v/>
      </c>
    </row>
    <row r="114">
      <c r="A114" s="46">
        <f>IFERROR(__xludf.DUMMYFUNCTION("""COMPUTED_VALUE"""),5213.09853340437)</f>
        <v/>
      </c>
      <c r="B114" s="184" t="n"/>
      <c r="O114" s="184">
        <f>SUM(C114:N114)</f>
        <v/>
      </c>
    </row>
    <row r="115">
      <c r="A115" s="46">
        <f>IFERROR(__xludf.DUMMYFUNCTION("""COMPUTED_VALUE"""),5384.1479083892)</f>
        <v/>
      </c>
      <c r="B115" s="184" t="n"/>
      <c r="O115" s="184">
        <f>SUM(C115:N115)</f>
        <v/>
      </c>
    </row>
    <row r="116">
      <c r="A116" s="46">
        <f>IFERROR(__xludf.DUMMYFUNCTION("""COMPUTED_VALUE"""),69581.3750935869)</f>
        <v/>
      </c>
      <c r="B116" s="184" t="n"/>
      <c r="O116" s="184">
        <f>SUM(C116:N116)</f>
        <v/>
      </c>
    </row>
    <row r="117">
      <c r="A117" s="40" t="n"/>
      <c r="B117" s="184" t="n"/>
      <c r="O117" s="184">
        <f>SUM(C117:N117)</f>
        <v/>
      </c>
    </row>
    <row r="118">
      <c r="A118" s="40" t="n"/>
      <c r="B118" s="184" t="n"/>
      <c r="O118" s="184">
        <f>SUM(C118:N118)</f>
        <v/>
      </c>
    </row>
    <row r="119">
      <c r="A119" s="40" t="n"/>
      <c r="B119" s="184" t="n"/>
      <c r="O119" s="184">
        <f>SUM(C119:N119)</f>
        <v/>
      </c>
    </row>
    <row r="120">
      <c r="A120" s="40">
        <f>IFERROR(__xludf.DUMMYFUNCTION("""COMPUTED_VALUE"""),"F8")</f>
        <v/>
      </c>
      <c r="B120" s="184" t="n"/>
      <c r="O120" s="184">
        <f>SUM(C120:N120)</f>
        <v/>
      </c>
    </row>
    <row r="121">
      <c r="A121" s="46">
        <f>IFERROR(__xludf.DUMMYFUNCTION("""COMPUTED_VALUE"""),5360.13189593561)</f>
        <v/>
      </c>
      <c r="B121" s="184" t="n"/>
      <c r="O121" s="184">
        <f>SUM(C121:N121)</f>
        <v/>
      </c>
    </row>
    <row r="122">
      <c r="A122" s="46">
        <f>IFERROR(__xludf.DUMMYFUNCTION("""COMPUTED_VALUE"""),4061.25860353636)</f>
        <v/>
      </c>
      <c r="B122" s="184" t="n"/>
      <c r="O122" s="184">
        <f>SUM(C122:N122)</f>
        <v/>
      </c>
    </row>
    <row r="123">
      <c r="A123" s="46">
        <f>IFERROR(__xludf.DUMMYFUNCTION("""COMPUTED_VALUE"""),4291.29913997196)</f>
        <v/>
      </c>
      <c r="B123" s="184" t="n"/>
      <c r="O123" s="184">
        <f>SUM(C123:N123)</f>
        <v/>
      </c>
    </row>
    <row r="124">
      <c r="A124" s="46">
        <f>IFERROR(__xludf.DUMMYFUNCTION("""COMPUTED_VALUE"""),5121.26194084766)</f>
        <v/>
      </c>
      <c r="B124" s="184" t="n"/>
      <c r="O124" s="184">
        <f>SUM(C124:N124)</f>
        <v/>
      </c>
    </row>
    <row r="125">
      <c r="A125" s="46">
        <f>IFERROR(__xludf.DUMMYFUNCTION("""COMPUTED_VALUE"""),5608.37125616299)</f>
        <v/>
      </c>
      <c r="B125" s="184" t="n"/>
      <c r="O125" s="184">
        <f>SUM(C125:N125)</f>
        <v/>
      </c>
    </row>
    <row r="126">
      <c r="A126" s="46">
        <f>IFERROR(__xludf.DUMMYFUNCTION("""COMPUTED_VALUE"""),4769.09986568281)</f>
        <v/>
      </c>
      <c r="B126" s="184" t="n"/>
      <c r="O126" s="184">
        <f>SUM(C126:N126)</f>
        <v/>
      </c>
    </row>
    <row r="127">
      <c r="A127" s="46">
        <f>IFERROR(__xludf.DUMMYFUNCTION("""COMPUTED_VALUE"""),6140.62055190582)</f>
        <v/>
      </c>
      <c r="B127" s="184" t="n"/>
      <c r="O127" s="184">
        <f>SUM(C127:N127)</f>
        <v/>
      </c>
    </row>
    <row r="128">
      <c r="A128" s="46">
        <f>IFERROR(__xludf.DUMMYFUNCTION("""COMPUTED_VALUE"""),7447.39372501964)</f>
        <v/>
      </c>
      <c r="B128" s="184" t="n"/>
      <c r="O128" s="184">
        <f>SUM(C128:N128)</f>
        <v/>
      </c>
    </row>
    <row r="129">
      <c r="A129" s="46">
        <f>IFERROR(__xludf.DUMMYFUNCTION("""COMPUTED_VALUE"""),6953.68941725976)</f>
        <v/>
      </c>
      <c r="B129" s="184" t="n"/>
      <c r="O129" s="184">
        <f>SUM(C129:N129)</f>
        <v/>
      </c>
    </row>
    <row r="130">
      <c r="A130" s="46">
        <f>IFERROR(__xludf.DUMMYFUNCTION("""COMPUTED_VALUE"""),6136.35887996022)</f>
        <v/>
      </c>
      <c r="B130" s="184" t="n"/>
      <c r="O130" s="184">
        <f>SUM(C130:N130)</f>
        <v/>
      </c>
    </row>
    <row r="131">
      <c r="A131" s="46">
        <f>IFERROR(__xludf.DUMMYFUNCTION("""COMPUTED_VALUE"""),6094.90648040732)</f>
        <v/>
      </c>
      <c r="B131" s="184" t="n"/>
      <c r="O131" s="184">
        <f>SUM(C131:N131)</f>
        <v/>
      </c>
    </row>
    <row r="132">
      <c r="A132" s="46">
        <f>IFERROR(__xludf.DUMMYFUNCTION("""COMPUTED_VALUE"""),6070.10753041003)</f>
        <v/>
      </c>
      <c r="B132" s="184" t="n"/>
      <c r="O132" s="184">
        <f>SUM(C132:N132)</f>
        <v/>
      </c>
    </row>
    <row r="133">
      <c r="A133" s="46">
        <f>IFERROR(__xludf.DUMMYFUNCTION("""COMPUTED_VALUE"""),68054.4992871002)</f>
        <v/>
      </c>
      <c r="B133" s="184" t="n"/>
      <c r="O133" s="184">
        <f>SUM(C133:N133)</f>
        <v/>
      </c>
    </row>
    <row r="134">
      <c r="A134" s="40" t="n"/>
      <c r="B134" s="184" t="n"/>
      <c r="O134" s="184">
        <f>SUM(C134:N134)</f>
        <v/>
      </c>
    </row>
    <row r="135">
      <c r="A135" s="40" t="n"/>
      <c r="B135" s="184" t="n"/>
      <c r="O135" s="184">
        <f>SUM(C135:N135)</f>
        <v/>
      </c>
    </row>
    <row r="136">
      <c r="A136" s="40" t="n"/>
      <c r="B136" s="184" t="n"/>
      <c r="O136" s="184">
        <f>SUM(C136:N136)</f>
        <v/>
      </c>
    </row>
    <row r="137">
      <c r="A137" s="40">
        <f>IFERROR(__xludf.DUMMYFUNCTION("""COMPUTED_VALUE"""),"F9")</f>
        <v/>
      </c>
      <c r="B137" s="184" t="n"/>
      <c r="O137" s="184">
        <f>SUM(C137:N137)</f>
        <v/>
      </c>
    </row>
    <row r="138">
      <c r="A138" s="46">
        <f>IFERROR(__xludf.DUMMYFUNCTION("""COMPUTED_VALUE"""),5560.86990158107)</f>
        <v/>
      </c>
      <c r="B138" s="184" t="n"/>
      <c r="O138" s="184">
        <f>SUM(C138:N138)</f>
        <v/>
      </c>
    </row>
    <row r="139">
      <c r="A139" s="46">
        <f>IFERROR(__xludf.DUMMYFUNCTION("""COMPUTED_VALUE"""),4332.20571651525)</f>
        <v/>
      </c>
      <c r="B139" s="184" t="n"/>
      <c r="O139" s="184">
        <f>SUM(C139:N139)</f>
        <v/>
      </c>
    </row>
    <row r="140">
      <c r="A140" s="46">
        <f>IFERROR(__xludf.DUMMYFUNCTION("""COMPUTED_VALUE"""),4566.83667032066)</f>
        <v/>
      </c>
      <c r="B140" s="184" t="n"/>
      <c r="O140" s="184">
        <f>SUM(C140:N140)</f>
        <v/>
      </c>
    </row>
    <row r="141">
      <c r="A141" s="46">
        <f>IFERROR(__xludf.DUMMYFUNCTION("""COMPUTED_VALUE"""),5433.81137210706)</f>
        <v/>
      </c>
      <c r="B141" s="184" t="n"/>
      <c r="O141" s="184">
        <f>SUM(C141:N141)</f>
        <v/>
      </c>
    </row>
    <row r="142">
      <c r="A142" s="46">
        <f>IFERROR(__xludf.DUMMYFUNCTION("""COMPUTED_VALUE"""),5943.91694380422)</f>
        <v/>
      </c>
      <c r="B142" s="184" t="n"/>
      <c r="O142" s="184">
        <f>SUM(C142:N142)</f>
        <v/>
      </c>
    </row>
    <row r="143">
      <c r="A143" s="46">
        <f>IFERROR(__xludf.DUMMYFUNCTION("""COMPUTED_VALUE"""),5031.07621156352)</f>
        <v/>
      </c>
      <c r="B143" s="184" t="n"/>
      <c r="O143" s="184">
        <f>SUM(C143:N143)</f>
        <v/>
      </c>
    </row>
    <row r="144">
      <c r="A144" s="46">
        <f>IFERROR(__xludf.DUMMYFUNCTION("""COMPUTED_VALUE"""),6457.34958065472)</f>
        <v/>
      </c>
      <c r="B144" s="184" t="n"/>
      <c r="O144" s="184">
        <f>SUM(C144:N144)</f>
        <v/>
      </c>
    </row>
    <row r="145">
      <c r="A145" s="46">
        <f>IFERROR(__xludf.DUMMYFUNCTION("""COMPUTED_VALUE"""),6751.75790396226)</f>
        <v/>
      </c>
      <c r="B145" s="184" t="n"/>
      <c r="O145" s="184">
        <f>SUM(C145:N145)</f>
        <v/>
      </c>
    </row>
    <row r="146">
      <c r="A146" s="46">
        <f>IFERROR(__xludf.DUMMYFUNCTION("""COMPUTED_VALUE"""),5113.04473517409)</f>
        <v/>
      </c>
      <c r="B146" s="184" t="n"/>
      <c r="O146" s="184">
        <f>SUM(C146:N146)</f>
        <v/>
      </c>
    </row>
    <row r="147">
      <c r="A147" s="46">
        <f>IFERROR(__xludf.DUMMYFUNCTION("""COMPUTED_VALUE"""),5018.7498458089)</f>
        <v/>
      </c>
      <c r="B147" s="184" t="n"/>
      <c r="O147" s="184">
        <f>SUM(C147:N147)</f>
        <v/>
      </c>
    </row>
    <row r="148">
      <c r="A148" s="46">
        <f>IFERROR(__xludf.DUMMYFUNCTION("""COMPUTED_VALUE"""),4824.37412084211)</f>
        <v/>
      </c>
      <c r="B148" s="184" t="n"/>
      <c r="O148" s="184">
        <f>SUM(C148:N148)</f>
        <v/>
      </c>
    </row>
    <row r="149">
      <c r="A149" s="46">
        <f>IFERROR(__xludf.DUMMYFUNCTION("""COMPUTED_VALUE"""),4867.26459029052)</f>
        <v/>
      </c>
      <c r="B149" s="184" t="n"/>
      <c r="O149" s="184">
        <f>SUM(C149:N149)</f>
        <v/>
      </c>
    </row>
    <row r="150">
      <c r="A150" s="46">
        <f>IFERROR(__xludf.DUMMYFUNCTION("""COMPUTED_VALUE"""),63901.2575926244)</f>
        <v/>
      </c>
      <c r="B150" s="184" t="n"/>
      <c r="O150" s="184">
        <f>SUM(C150:N150)</f>
        <v/>
      </c>
    </row>
    <row r="151">
      <c r="A151" s="40" t="n"/>
      <c r="B151" s="184" t="n"/>
      <c r="O151" s="184">
        <f>SUM(C151:N151)</f>
        <v/>
      </c>
    </row>
    <row r="152">
      <c r="A152" s="40" t="n"/>
      <c r="B152" s="184" t="n"/>
      <c r="O152" s="184">
        <f>SUM(C152:N152)</f>
        <v/>
      </c>
    </row>
    <row r="153">
      <c r="A153" s="40" t="n"/>
      <c r="B153" s="184" t="n"/>
      <c r="O153" s="184">
        <f>SUM(C153:N153)</f>
        <v/>
      </c>
    </row>
    <row r="154">
      <c r="A154" s="40">
        <f>IFERROR(__xludf.DUMMYFUNCTION("""COMPUTED_VALUE"""),"F10")</f>
        <v/>
      </c>
      <c r="B154" s="184" t="n"/>
      <c r="O154" s="184">
        <f>SUM(C154:N154)</f>
        <v/>
      </c>
    </row>
    <row r="155">
      <c r="A155" s="46">
        <f>IFERROR(__xludf.DUMMYFUNCTION("""COMPUTED_VALUE"""),6639.14171733071)</f>
        <v/>
      </c>
      <c r="B155" s="184" t="n"/>
      <c r="O155" s="184">
        <f>SUM(C155:N155)</f>
        <v/>
      </c>
    </row>
    <row r="156">
      <c r="A156" s="46">
        <f>IFERROR(__xludf.DUMMYFUNCTION("""COMPUTED_VALUE"""),4263.09025709851)</f>
        <v/>
      </c>
      <c r="B156" s="184" t="n"/>
      <c r="O156" s="184">
        <f>SUM(C156:N156)</f>
        <v/>
      </c>
    </row>
    <row r="157">
      <c r="A157" s="46">
        <f>IFERROR(__xludf.DUMMYFUNCTION("""COMPUTED_VALUE"""),4536.43683135515)</f>
        <v/>
      </c>
      <c r="B157" s="184" t="n"/>
      <c r="O157" s="184">
        <f>SUM(C157:N157)</f>
        <v/>
      </c>
    </row>
    <row r="158">
      <c r="A158" s="46">
        <f>IFERROR(__xludf.DUMMYFUNCTION("""COMPUTED_VALUE"""),5398.33154273097)</f>
        <v/>
      </c>
      <c r="B158" s="184" t="n"/>
      <c r="O158" s="184">
        <f>SUM(C158:N158)</f>
        <v/>
      </c>
    </row>
    <row r="159">
      <c r="A159" s="46">
        <f>IFERROR(__xludf.DUMMYFUNCTION("""COMPUTED_VALUE"""),5793.81874379247)</f>
        <v/>
      </c>
      <c r="B159" s="184" t="n"/>
      <c r="O159" s="184">
        <f>SUM(C159:N159)</f>
        <v/>
      </c>
    </row>
    <row r="160">
      <c r="A160" s="46">
        <f>IFERROR(__xludf.DUMMYFUNCTION("""COMPUTED_VALUE"""),5053.96203735472)</f>
        <v/>
      </c>
      <c r="B160" s="184" t="n"/>
      <c r="O160" s="184">
        <f>SUM(C160:N160)</f>
        <v/>
      </c>
    </row>
    <row r="161">
      <c r="A161" s="46">
        <f>IFERROR(__xludf.DUMMYFUNCTION("""COMPUTED_VALUE"""),6328.3275677506)</f>
        <v/>
      </c>
      <c r="B161" s="184" t="n"/>
      <c r="O161" s="184">
        <f>SUM(C161:N161)</f>
        <v/>
      </c>
    </row>
    <row r="162">
      <c r="A162" s="46">
        <f>IFERROR(__xludf.DUMMYFUNCTION("""COMPUTED_VALUE"""),6735.57876047657)</f>
        <v/>
      </c>
      <c r="B162" s="184" t="n"/>
      <c r="O162" s="184">
        <f>SUM(C162:N162)</f>
        <v/>
      </c>
    </row>
    <row r="163">
      <c r="A163" s="46">
        <f>IFERROR(__xludf.DUMMYFUNCTION("""COMPUTED_VALUE"""),5048.57220786595)</f>
        <v/>
      </c>
      <c r="B163" s="184" t="n"/>
      <c r="O163" s="184">
        <f>SUM(C163:N163)</f>
        <v/>
      </c>
    </row>
    <row r="164">
      <c r="A164" s="46">
        <f>IFERROR(__xludf.DUMMYFUNCTION("""COMPUTED_VALUE"""),5596.4422536527)</f>
        <v/>
      </c>
      <c r="B164" s="184" t="n"/>
      <c r="O164" s="184">
        <f>SUM(C164:N164)</f>
        <v/>
      </c>
    </row>
    <row r="165">
      <c r="A165" s="46">
        <f>IFERROR(__xludf.DUMMYFUNCTION("""COMPUTED_VALUE"""),5596.55126517066)</f>
        <v/>
      </c>
      <c r="B165" s="184" t="n"/>
      <c r="O165" s="184">
        <f>SUM(C165:N165)</f>
        <v/>
      </c>
    </row>
    <row r="166">
      <c r="A166" s="46">
        <f>IFERROR(__xludf.DUMMYFUNCTION("""COMPUTED_VALUE"""),5107.2724102298)</f>
        <v/>
      </c>
      <c r="B166" s="184" t="n"/>
      <c r="O166" s="184">
        <f>SUM(C166:N166)</f>
        <v/>
      </c>
    </row>
    <row r="167">
      <c r="A167" s="46">
        <f>IFERROR(__xludf.DUMMYFUNCTION("""COMPUTED_VALUE"""),66097.5255948088)</f>
        <v/>
      </c>
      <c r="B167" s="184" t="n"/>
      <c r="O167" s="184">
        <f>SUM(C167:N167)</f>
        <v/>
      </c>
    </row>
    <row r="168">
      <c r="A168" s="40" t="n"/>
      <c r="B168" s="184" t="n"/>
      <c r="O168" s="184">
        <f>SUM(C168:N168)</f>
        <v/>
      </c>
    </row>
    <row r="169">
      <c r="A169" s="40" t="n"/>
      <c r="B169" s="184" t="n"/>
      <c r="O169" s="184">
        <f>SUM(C169:N169)</f>
        <v/>
      </c>
    </row>
    <row r="170">
      <c r="A170" s="40" t="n"/>
      <c r="B170" s="184" t="n"/>
      <c r="O170" s="184">
        <f>SUM(C170:N170)</f>
        <v/>
      </c>
    </row>
    <row r="171">
      <c r="A171" s="40">
        <f>IFERROR(__xludf.DUMMYFUNCTION("""COMPUTED_VALUE"""),"F11")</f>
        <v/>
      </c>
      <c r="B171" s="184" t="n"/>
      <c r="O171" s="184">
        <f>SUM(C171:N171)</f>
        <v/>
      </c>
    </row>
    <row r="172">
      <c r="A172" s="46">
        <f>IFERROR(__xludf.DUMMYFUNCTION("""COMPUTED_VALUE"""),5386.8806251254)</f>
        <v/>
      </c>
      <c r="B172" s="184" t="n"/>
      <c r="O172" s="184">
        <f>SUM(C172:N172)</f>
        <v/>
      </c>
    </row>
    <row r="173">
      <c r="A173" s="46">
        <f>IFERROR(__xludf.DUMMYFUNCTION("""COMPUTED_VALUE"""),4288.7505299328)</f>
        <v/>
      </c>
      <c r="B173" s="184" t="n"/>
      <c r="O173" s="184">
        <f>SUM(C173:N173)</f>
        <v/>
      </c>
    </row>
    <row r="174">
      <c r="A174" s="46">
        <f>IFERROR(__xludf.DUMMYFUNCTION("""COMPUTED_VALUE"""),4584.26041916933)</f>
        <v/>
      </c>
      <c r="B174" s="184" t="n"/>
      <c r="O174" s="184">
        <f>SUM(C174:N174)</f>
        <v/>
      </c>
    </row>
    <row r="175">
      <c r="A175" s="46">
        <f>IFERROR(__xludf.DUMMYFUNCTION("""COMPUTED_VALUE"""),5217.93195328669)</f>
        <v/>
      </c>
      <c r="B175" s="184" t="n"/>
      <c r="O175" s="184">
        <f>SUM(C175:N175)</f>
        <v/>
      </c>
    </row>
    <row r="176">
      <c r="A176" s="46">
        <f>IFERROR(__xludf.DUMMYFUNCTION("""COMPUTED_VALUE"""),5706.29820286806)</f>
        <v/>
      </c>
      <c r="B176" s="184" t="n"/>
      <c r="O176" s="184">
        <f>SUM(C176:N176)</f>
        <v/>
      </c>
    </row>
    <row r="177">
      <c r="A177" s="46">
        <f>IFERROR(__xludf.DUMMYFUNCTION("""COMPUTED_VALUE"""),4795.77368175776)</f>
        <v/>
      </c>
      <c r="B177" s="184" t="n"/>
      <c r="O177" s="184">
        <f>SUM(C177:N177)</f>
        <v/>
      </c>
    </row>
    <row r="178">
      <c r="A178" s="46">
        <f>IFERROR(__xludf.DUMMYFUNCTION("""COMPUTED_VALUE"""),6113.68382475233)</f>
        <v/>
      </c>
      <c r="B178" s="184" t="n"/>
      <c r="O178" s="184">
        <f>SUM(C178:N178)</f>
        <v/>
      </c>
    </row>
    <row r="179">
      <c r="A179" s="46">
        <f>IFERROR(__xludf.DUMMYFUNCTION("""COMPUTED_VALUE"""),6521.85511899007)</f>
        <v/>
      </c>
      <c r="B179" s="184" t="n"/>
      <c r="O179" s="184">
        <f>SUM(C179:N179)</f>
        <v/>
      </c>
    </row>
    <row r="180">
      <c r="A180" s="46">
        <f>IFERROR(__xludf.DUMMYFUNCTION("""COMPUTED_VALUE"""),4910.86198280827)</f>
        <v/>
      </c>
      <c r="B180" s="184" t="n"/>
      <c r="O180" s="184">
        <f>SUM(C180:N180)</f>
        <v/>
      </c>
    </row>
    <row r="181">
      <c r="A181" s="46">
        <f>IFERROR(__xludf.DUMMYFUNCTION("""COMPUTED_VALUE"""),4777.64107863584)</f>
        <v/>
      </c>
      <c r="B181" s="184" t="n"/>
      <c r="O181" s="184">
        <f>SUM(C181:N181)</f>
        <v/>
      </c>
    </row>
    <row r="182">
      <c r="A182" s="46">
        <f>IFERROR(__xludf.DUMMYFUNCTION("""COMPUTED_VALUE"""),4568.93163458592)</f>
        <v/>
      </c>
      <c r="B182" s="184" t="n"/>
      <c r="O182" s="184">
        <f>SUM(C182:N182)</f>
        <v/>
      </c>
    </row>
    <row r="183">
      <c r="A183" s="46">
        <f>IFERROR(__xludf.DUMMYFUNCTION("""COMPUTED_VALUE"""),4690.09840804596)</f>
        <v/>
      </c>
      <c r="B183" s="184" t="n"/>
      <c r="O183" s="184">
        <f>SUM(C183:N183)</f>
        <v/>
      </c>
    </row>
    <row r="184">
      <c r="A184" s="46">
        <f>IFERROR(__xludf.DUMMYFUNCTION("""COMPUTED_VALUE"""),61562.9674599584)</f>
        <v/>
      </c>
      <c r="B184" s="184" t="n"/>
      <c r="O184" s="184">
        <f>SUM(C184:N184)</f>
        <v/>
      </c>
    </row>
    <row r="185">
      <c r="A185" s="40" t="n"/>
      <c r="B185" s="184" t="n"/>
      <c r="O185" s="184">
        <f>SUM(C185:N185)</f>
        <v/>
      </c>
    </row>
    <row r="186">
      <c r="A186" s="40" t="n"/>
      <c r="B186" s="184" t="n"/>
      <c r="O186" s="184">
        <f>SUM(C186:N186)</f>
        <v/>
      </c>
    </row>
    <row r="187">
      <c r="A187" s="40" t="n"/>
      <c r="B187" s="184" t="n"/>
      <c r="O187" s="184">
        <f>SUM(C187:N187)</f>
        <v/>
      </c>
    </row>
    <row r="188">
      <c r="A188" s="40">
        <f>IFERROR(__xludf.DUMMYFUNCTION("""COMPUTED_VALUE"""),"F12")</f>
        <v/>
      </c>
      <c r="B188" s="184" t="n"/>
      <c r="O188" s="184">
        <f>SUM(C188:N188)</f>
        <v/>
      </c>
    </row>
    <row r="189">
      <c r="A189" s="46">
        <f>IFERROR(__xludf.DUMMYFUNCTION("""COMPUTED_VALUE"""),5334.51484375)</f>
        <v/>
      </c>
      <c r="B189" s="184" t="n"/>
      <c r="O189" s="184">
        <f>SUM(C189:N189)</f>
        <v/>
      </c>
    </row>
    <row r="190">
      <c r="A190" s="46">
        <f>IFERROR(__xludf.DUMMYFUNCTION("""COMPUTED_VALUE"""),4030.49543553616)</f>
        <v/>
      </c>
      <c r="B190" s="184" t="n"/>
      <c r="O190" s="184">
        <f>SUM(C190:N190)</f>
        <v/>
      </c>
    </row>
    <row r="191">
      <c r="A191" s="46">
        <f>IFERROR(__xludf.DUMMYFUNCTION("""COMPUTED_VALUE"""),4272.86364851562)</f>
        <v/>
      </c>
      <c r="B191" s="184" t="n"/>
      <c r="O191" s="184">
        <f>SUM(C191:N191)</f>
        <v/>
      </c>
    </row>
    <row r="192">
      <c r="A192" s="46">
        <f>IFERROR(__xludf.DUMMYFUNCTION("""COMPUTED_VALUE"""),5108.00588503746)</f>
        <v/>
      </c>
      <c r="B192" s="184" t="n"/>
      <c r="O192" s="184">
        <f>SUM(C192:N192)</f>
        <v/>
      </c>
    </row>
    <row r="193">
      <c r="A193" s="46">
        <f>IFERROR(__xludf.DUMMYFUNCTION("""COMPUTED_VALUE"""),5588.00316279745)</f>
        <v/>
      </c>
      <c r="B193" s="184" t="n"/>
      <c r="O193" s="184">
        <f>SUM(C193:N193)</f>
        <v/>
      </c>
    </row>
    <row r="194">
      <c r="A194" s="46">
        <f>IFERROR(__xludf.DUMMYFUNCTION("""COMPUTED_VALUE"""),4740.65304853937)</f>
        <v/>
      </c>
      <c r="B194" s="184" t="n"/>
      <c r="O194" s="184">
        <f>SUM(C194:N194)</f>
        <v/>
      </c>
    </row>
    <row r="195">
      <c r="A195" s="46">
        <f>IFERROR(__xludf.DUMMYFUNCTION("""COMPUTED_VALUE"""),6113.68382475233)</f>
        <v/>
      </c>
      <c r="B195" s="184" t="n"/>
      <c r="O195" s="184">
        <f>SUM(C195:N195)</f>
        <v/>
      </c>
    </row>
    <row r="196">
      <c r="A196" s="46">
        <f>IFERROR(__xludf.DUMMYFUNCTION("""COMPUTED_VALUE"""),7232.8469521545)</f>
        <v/>
      </c>
      <c r="B196" s="184" t="n"/>
      <c r="O196" s="184">
        <f>SUM(C196:N196)</f>
        <v/>
      </c>
    </row>
    <row r="197">
      <c r="A197" s="46">
        <f>IFERROR(__xludf.DUMMYFUNCTION("""COMPUTED_VALUE"""),4867.99260110367)</f>
        <v/>
      </c>
      <c r="B197" s="184" t="n"/>
      <c r="O197" s="184">
        <f>SUM(C197:N197)</f>
        <v/>
      </c>
    </row>
    <row r="198">
      <c r="A198" s="46">
        <f>IFERROR(__xludf.DUMMYFUNCTION("""COMPUTED_VALUE"""),4735.21826266901)</f>
        <v/>
      </c>
      <c r="B198" s="184" t="n"/>
      <c r="O198" s="184">
        <f>SUM(C198:N198)</f>
        <v/>
      </c>
    </row>
    <row r="199">
      <c r="A199" s="46">
        <f>IFERROR(__xludf.DUMMYFUNCTION("""COMPUTED_VALUE"""),4448.95448343338)</f>
        <v/>
      </c>
      <c r="B199" s="184" t="n"/>
      <c r="O199" s="184">
        <f>SUM(C199:N199)</f>
        <v/>
      </c>
    </row>
    <row r="200">
      <c r="A200" s="46">
        <f>IFERROR(__xludf.DUMMYFUNCTION("""COMPUTED_VALUE"""),5959.15962463761)</f>
        <v/>
      </c>
      <c r="B200" s="184" t="n"/>
      <c r="O200" s="184">
        <f>SUM(C200:N200)</f>
        <v/>
      </c>
    </row>
    <row r="201">
      <c r="A201" s="46">
        <f>IFERROR(__xludf.DUMMYFUNCTION("""COMPUTED_VALUE"""),62432.3917729266)</f>
        <v/>
      </c>
      <c r="B201" s="184" t="n"/>
      <c r="O201" s="184">
        <f>SUM(C201:N201)</f>
        <v/>
      </c>
    </row>
    <row r="202">
      <c r="A202" s="40" t="n"/>
      <c r="B202" s="184" t="n"/>
      <c r="O202" s="184">
        <f>SUM(C202:N202)</f>
        <v/>
      </c>
    </row>
    <row r="203">
      <c r="A203" s="40" t="n"/>
      <c r="B203" s="184" t="n"/>
      <c r="O203" s="184">
        <f>SUM(C203:N203)</f>
        <v/>
      </c>
    </row>
    <row r="204">
      <c r="A204" s="40" t="n"/>
      <c r="B204" s="184" t="n"/>
      <c r="O204" s="184">
        <f>SUM(C204:N204)</f>
        <v/>
      </c>
    </row>
    <row r="205">
      <c r="A205" s="40">
        <f>IFERROR(__xludf.DUMMYFUNCTION("""COMPUTED_VALUE"""),"F13")</f>
        <v/>
      </c>
      <c r="B205" s="184" t="n"/>
      <c r="O205" s="184">
        <f>SUM(C205:N205)</f>
        <v/>
      </c>
    </row>
    <row r="206">
      <c r="A206" s="46">
        <f>IFERROR(__xludf.DUMMYFUNCTION("""COMPUTED_VALUE"""),5473.62789253127)</f>
        <v/>
      </c>
      <c r="B206" s="184" t="n"/>
      <c r="O206" s="184">
        <f>SUM(C206:N206)</f>
        <v/>
      </c>
    </row>
    <row r="207">
      <c r="A207" s="46">
        <f>IFERROR(__xludf.DUMMYFUNCTION("""COMPUTED_VALUE"""),6298.01367491652)</f>
        <v/>
      </c>
      <c r="B207" s="184" t="n"/>
      <c r="O207" s="184">
        <f>SUM(C207:N207)</f>
        <v/>
      </c>
    </row>
    <row r="208">
      <c r="A208" s="46">
        <f>IFERROR(__xludf.DUMMYFUNCTION("""COMPUTED_VALUE"""),5598.22089982371)</f>
        <v/>
      </c>
      <c r="B208" s="184" t="n"/>
      <c r="O208" s="184">
        <f>SUM(C208:N208)</f>
        <v/>
      </c>
    </row>
    <row r="209">
      <c r="A209" s="46">
        <f>IFERROR(__xludf.DUMMYFUNCTION("""COMPUTED_VALUE"""),6235.71257137386)</f>
        <v/>
      </c>
      <c r="B209" s="184" t="n"/>
      <c r="O209" s="184">
        <f>SUM(C209:N209)</f>
        <v/>
      </c>
    </row>
    <row r="210">
      <c r="A210" s="46">
        <f>IFERROR(__xludf.DUMMYFUNCTION("""COMPUTED_VALUE"""),6252.77373075548)</f>
        <v/>
      </c>
      <c r="B210" s="184" t="n"/>
      <c r="O210" s="184">
        <f>SUM(C210:N210)</f>
        <v/>
      </c>
    </row>
    <row r="211">
      <c r="A211" s="46">
        <f>IFERROR(__xludf.DUMMYFUNCTION("""COMPUTED_VALUE"""),5225.79112890827)</f>
        <v/>
      </c>
      <c r="B211" s="184" t="n"/>
      <c r="O211" s="184">
        <f>SUM(C211:N211)</f>
        <v/>
      </c>
    </row>
    <row r="212">
      <c r="A212" s="46">
        <f>IFERROR(__xludf.DUMMYFUNCTION("""COMPUTED_VALUE"""),6402.94482995416)</f>
        <v/>
      </c>
      <c r="B212" s="184" t="n"/>
      <c r="O212" s="184">
        <f>SUM(C212:N212)</f>
        <v/>
      </c>
    </row>
    <row r="213">
      <c r="A213" s="46">
        <f>IFERROR(__xludf.DUMMYFUNCTION("""COMPUTED_VALUE"""),7071.95601024913)</f>
        <v/>
      </c>
      <c r="B213" s="184" t="n"/>
      <c r="O213" s="184">
        <f>SUM(C213:N213)</f>
        <v/>
      </c>
    </row>
    <row r="214">
      <c r="A214" s="46">
        <f>IFERROR(__xludf.DUMMYFUNCTION("""COMPUTED_VALUE"""),5145.86881621523)</f>
        <v/>
      </c>
      <c r="B214" s="184" t="n"/>
      <c r="O214" s="184">
        <f>SUM(C214:N214)</f>
        <v/>
      </c>
    </row>
    <row r="215">
      <c r="A215" s="46">
        <f>IFERROR(__xludf.DUMMYFUNCTION("""COMPUTED_VALUE"""),4968.01319714166)</f>
        <v/>
      </c>
      <c r="B215" s="184" t="n"/>
      <c r="O215" s="184">
        <f>SUM(C215:N215)</f>
        <v/>
      </c>
    </row>
    <row r="216">
      <c r="A216" s="46">
        <f>IFERROR(__xludf.DUMMYFUNCTION("""COMPUTED_VALUE"""),4751.23058969841)</f>
        <v/>
      </c>
      <c r="B216" s="184" t="n"/>
      <c r="O216" s="184">
        <f>SUM(C216:N216)</f>
        <v/>
      </c>
    </row>
    <row r="217">
      <c r="A217" s="46">
        <f>IFERROR(__xludf.DUMMYFUNCTION("""COMPUTED_VALUE"""),4933.69751557468)</f>
        <v/>
      </c>
      <c r="B217" s="184" t="n"/>
      <c r="O217" s="184">
        <f>SUM(C217:N217)</f>
        <v/>
      </c>
    </row>
    <row r="218">
      <c r="A218" s="46">
        <f>IFERROR(__xludf.DUMMYFUNCTION("""COMPUTED_VALUE"""),68357.8508571424)</f>
        <v/>
      </c>
      <c r="B218" s="184" t="n"/>
      <c r="O218" s="184">
        <f>SUM(C218:N218)</f>
        <v/>
      </c>
    </row>
    <row r="219">
      <c r="A219" s="40" t="n"/>
      <c r="B219" s="184" t="n"/>
      <c r="O219" s="184">
        <f>SUM(C219:N219)</f>
        <v/>
      </c>
    </row>
    <row r="220">
      <c r="A220" s="40" t="n"/>
      <c r="B220" s="184" t="n"/>
      <c r="O220" s="184">
        <f>SUM(C220:N220)</f>
        <v/>
      </c>
    </row>
    <row r="221">
      <c r="A221" s="40" t="n"/>
      <c r="B221" s="184" t="n"/>
      <c r="O221" s="184">
        <f>SUM(C221:N221)</f>
        <v/>
      </c>
    </row>
    <row r="222">
      <c r="A222" s="40">
        <f>IFERROR(__xludf.DUMMYFUNCTION("""COMPUTED_VALUE"""),"F14")</f>
        <v/>
      </c>
      <c r="B222" s="184" t="n"/>
      <c r="O222" s="184">
        <f>SUM(C222:N222)</f>
        <v/>
      </c>
    </row>
    <row r="223">
      <c r="A223" s="46">
        <f>IFERROR(__xludf.DUMMYFUNCTION("""COMPUTED_VALUE"""),6196.82772347765)</f>
        <v/>
      </c>
      <c r="B223" s="184" t="n"/>
      <c r="O223" s="184">
        <f>SUM(C223:N223)</f>
        <v/>
      </c>
    </row>
    <row r="224">
      <c r="A224" s="46">
        <f>IFERROR(__xludf.DUMMYFUNCTION("""COMPUTED_VALUE"""),4914.10177004969)</f>
        <v/>
      </c>
      <c r="B224" s="184" t="n"/>
      <c r="O224" s="184">
        <f>SUM(C224:N224)</f>
        <v/>
      </c>
    </row>
    <row r="225">
      <c r="A225" s="46">
        <f>IFERROR(__xludf.DUMMYFUNCTION("""COMPUTED_VALUE"""),5391.20569367855)</f>
        <v/>
      </c>
      <c r="B225" s="184" t="n"/>
      <c r="O225" s="184">
        <f>SUM(C225:N225)</f>
        <v/>
      </c>
    </row>
    <row r="226">
      <c r="A226" s="46">
        <f>IFERROR(__xludf.DUMMYFUNCTION("""COMPUTED_VALUE"""),5438.81620950479)</f>
        <v/>
      </c>
      <c r="B226" s="184" t="n"/>
      <c r="O226" s="184">
        <f>SUM(C226:N226)</f>
        <v/>
      </c>
    </row>
    <row r="227">
      <c r="A227" s="46">
        <f>IFERROR(__xludf.DUMMYFUNCTION("""COMPUTED_VALUE"""),5882.54583279015)</f>
        <v/>
      </c>
      <c r="B227" s="184" t="n"/>
      <c r="O227" s="184">
        <f>SUM(C227:N227)</f>
        <v/>
      </c>
    </row>
    <row r="228">
      <c r="A228" s="46">
        <f>IFERROR(__xludf.DUMMYFUNCTION("""COMPUTED_VALUE"""),4974.85237768028)</f>
        <v/>
      </c>
      <c r="B228" s="184" t="n"/>
      <c r="O228" s="184">
        <f>SUM(C228:N228)</f>
        <v/>
      </c>
    </row>
    <row r="229">
      <c r="A229" s="46">
        <f>IFERROR(__xludf.DUMMYFUNCTION("""COMPUTED_VALUE"""),6442.6326705531)</f>
        <v/>
      </c>
      <c r="B229" s="184" t="n"/>
      <c r="O229" s="184">
        <f>SUM(C229:N229)</f>
        <v/>
      </c>
    </row>
    <row r="230">
      <c r="A230" s="46">
        <f>IFERROR(__xludf.DUMMYFUNCTION("""COMPUTED_VALUE"""),7102.46029075128)</f>
        <v/>
      </c>
      <c r="B230" s="184" t="n"/>
      <c r="O230" s="184">
        <f>SUM(C230:N230)</f>
        <v/>
      </c>
    </row>
    <row r="231">
      <c r="A231" s="46">
        <f>IFERROR(__xludf.DUMMYFUNCTION("""COMPUTED_VALUE"""),5657.09444622387)</f>
        <v/>
      </c>
      <c r="B231" s="184" t="n"/>
      <c r="O231" s="184">
        <f>SUM(C231:N231)</f>
        <v/>
      </c>
    </row>
    <row r="232">
      <c r="A232" s="46">
        <f>IFERROR(__xludf.DUMMYFUNCTION("""COMPUTED_VALUE"""),5455.26317790506)</f>
        <v/>
      </c>
      <c r="B232" s="184" t="n"/>
      <c r="O232" s="184">
        <f>SUM(C232:N232)</f>
        <v/>
      </c>
    </row>
    <row r="233">
      <c r="A233" s="46">
        <f>IFERROR(__xludf.DUMMYFUNCTION("""COMPUTED_VALUE"""),5270.0106043687)</f>
        <v/>
      </c>
      <c r="B233" s="184" t="n"/>
      <c r="O233" s="184">
        <f>SUM(C233:N233)</f>
        <v/>
      </c>
    </row>
    <row r="234">
      <c r="A234" s="46">
        <f>IFERROR(__xludf.DUMMYFUNCTION("""COMPUTED_VALUE"""),5305.44767337315)</f>
        <v/>
      </c>
      <c r="B234" s="184" t="n"/>
      <c r="O234" s="184">
        <f>SUM(C234:N234)</f>
        <v/>
      </c>
    </row>
    <row r="235">
      <c r="A235" s="46">
        <f>IFERROR(__xludf.DUMMYFUNCTION("""COMPUTED_VALUE"""),68031.2584703563)</f>
        <v/>
      </c>
      <c r="B235" s="184" t="n"/>
      <c r="O235" s="184">
        <f>SUM(C235:N235)</f>
        <v/>
      </c>
    </row>
    <row r="236">
      <c r="A236" s="40" t="n"/>
      <c r="B236" s="184" t="n"/>
      <c r="O236" s="184">
        <f>SUM(C236:N236)</f>
        <v/>
      </c>
    </row>
    <row r="237">
      <c r="A237" s="40" t="n"/>
      <c r="B237" s="184" t="n"/>
      <c r="O237" s="184">
        <f>SUM(C237:N237)</f>
        <v/>
      </c>
    </row>
    <row r="238">
      <c r="A238" s="40" t="n"/>
      <c r="B238" s="184" t="n"/>
      <c r="O238" s="184">
        <f>SUM(C238:N238)</f>
        <v/>
      </c>
    </row>
    <row r="239">
      <c r="A239" s="40">
        <f>IFERROR(__xludf.DUMMYFUNCTION("""COMPUTED_VALUE"""),"F15")</f>
        <v/>
      </c>
      <c r="B239" s="184" t="n"/>
      <c r="O239" s="184">
        <f>SUM(C239:N239)</f>
        <v/>
      </c>
    </row>
    <row r="240">
      <c r="A240" s="46">
        <f>IFERROR(__xludf.DUMMYFUNCTION("""COMPUTED_VALUE"""),6504.59242875179)</f>
        <v/>
      </c>
      <c r="B240" s="184" t="n"/>
      <c r="O240" s="184">
        <f>SUM(C240:N240)</f>
        <v/>
      </c>
    </row>
    <row r="241">
      <c r="A241" s="46">
        <f>IFERROR(__xludf.DUMMYFUNCTION("""COMPUTED_VALUE"""),5488.34757272012)</f>
        <v/>
      </c>
      <c r="B241" s="184" t="n"/>
      <c r="O241" s="184">
        <f>SUM(C241:N241)</f>
        <v/>
      </c>
    </row>
    <row r="242">
      <c r="A242" s="46">
        <f>IFERROR(__xludf.DUMMYFUNCTION("""COMPUTED_VALUE"""),5711.67389663617)</f>
        <v/>
      </c>
      <c r="B242" s="184" t="n"/>
      <c r="O242" s="184">
        <f>SUM(C242:N242)</f>
        <v/>
      </c>
    </row>
    <row r="243">
      <c r="A243" s="46">
        <f>IFERROR(__xludf.DUMMYFUNCTION("""COMPUTED_VALUE"""),6486.53640173187)</f>
        <v/>
      </c>
      <c r="B243" s="184" t="n"/>
      <c r="O243" s="184">
        <f>SUM(C243:N243)</f>
        <v/>
      </c>
    </row>
    <row r="244">
      <c r="A244" s="46">
        <f>IFERROR(__xludf.DUMMYFUNCTION("""COMPUTED_VALUE"""),6873.53862306932)</f>
        <v/>
      </c>
      <c r="B244" s="184" t="n"/>
      <c r="O244" s="184">
        <f>SUM(C244:N244)</f>
        <v/>
      </c>
    </row>
    <row r="245">
      <c r="A245" s="46">
        <f>IFERROR(__xludf.DUMMYFUNCTION("""COMPUTED_VALUE"""),5910.58408961131)</f>
        <v/>
      </c>
      <c r="B245" s="184" t="n"/>
      <c r="O245" s="184">
        <f>SUM(C245:N245)</f>
        <v/>
      </c>
    </row>
    <row r="246">
      <c r="A246" s="46">
        <f>IFERROR(__xludf.DUMMYFUNCTION("""COMPUTED_VALUE"""),6982.39868762138)</f>
        <v/>
      </c>
      <c r="B246" s="184" t="n"/>
      <c r="O246" s="184">
        <f>SUM(C246:N246)</f>
        <v/>
      </c>
    </row>
    <row r="247">
      <c r="A247" s="46">
        <f>IFERROR(__xludf.DUMMYFUNCTION("""COMPUTED_VALUE"""),7556.714028359)</f>
        <v/>
      </c>
      <c r="B247" s="184" t="n"/>
      <c r="O247" s="184">
        <f>SUM(C247:N247)</f>
        <v/>
      </c>
    </row>
    <row r="248">
      <c r="A248" s="46">
        <f>IFERROR(__xludf.DUMMYFUNCTION("""COMPUTED_VALUE"""),6043.34137572049)</f>
        <v/>
      </c>
      <c r="B248" s="184" t="n"/>
      <c r="O248" s="184">
        <f>SUM(C248:N248)</f>
        <v/>
      </c>
    </row>
    <row r="249">
      <c r="A249" s="46">
        <f>IFERROR(__xludf.DUMMYFUNCTION("""COMPUTED_VALUE"""),5888.92926671932)</f>
        <v/>
      </c>
      <c r="B249" s="184" t="n"/>
      <c r="O249" s="184">
        <f>SUM(C249:N249)</f>
        <v/>
      </c>
    </row>
    <row r="250">
      <c r="A250" s="46">
        <f>IFERROR(__xludf.DUMMYFUNCTION("""COMPUTED_VALUE"""),5520.02338336617)</f>
        <v/>
      </c>
      <c r="B250" s="184" t="n"/>
      <c r="O250" s="184">
        <f>SUM(C250:N250)</f>
        <v/>
      </c>
    </row>
    <row r="251">
      <c r="A251" s="46">
        <f>IFERROR(__xludf.DUMMYFUNCTION("""COMPUTED_VALUE"""),5764.15123800602)</f>
        <v/>
      </c>
      <c r="B251" s="184" t="n"/>
      <c r="O251" s="184">
        <f>SUM(C251:N251)</f>
        <v/>
      </c>
    </row>
    <row r="252">
      <c r="A252" s="46">
        <f>IFERROR(__xludf.DUMMYFUNCTION("""COMPUTED_VALUE"""),74730.8309923129)</f>
        <v/>
      </c>
      <c r="B252" s="184" t="n"/>
      <c r="O252" s="184">
        <f>SUM(C252:N252)</f>
        <v/>
      </c>
    </row>
    <row r="253">
      <c r="A253" s="40" t="n"/>
      <c r="B253" s="184" t="n"/>
      <c r="O253" s="184">
        <f>SUM(C253:N253)</f>
        <v/>
      </c>
    </row>
    <row r="254">
      <c r="A254" s="40" t="n"/>
      <c r="B254" s="184" t="n"/>
      <c r="O254" s="184">
        <f>SUM(C254:N254)</f>
        <v/>
      </c>
    </row>
    <row r="255">
      <c r="A255" s="40" t="n"/>
      <c r="B255" s="184" t="n"/>
      <c r="O255" s="184">
        <f>SUM(C255:N255)</f>
        <v/>
      </c>
    </row>
    <row r="256">
      <c r="A256" s="40">
        <f>IFERROR(__xludf.DUMMYFUNCTION("""COMPUTED_VALUE"""),"F16")</f>
        <v/>
      </c>
      <c r="B256" s="184" t="n"/>
      <c r="O256" s="184">
        <f>SUM(C256:N256)</f>
        <v/>
      </c>
    </row>
    <row r="257">
      <c r="A257" s="46">
        <f>IFERROR(__xludf.DUMMYFUNCTION("""COMPUTED_VALUE"""),6525.03905215124)</f>
        <v/>
      </c>
      <c r="B257" s="184" t="n"/>
      <c r="O257" s="184">
        <f>SUM(C257:N257)</f>
        <v/>
      </c>
    </row>
    <row r="258">
      <c r="A258" s="46">
        <f>IFERROR(__xludf.DUMMYFUNCTION("""COMPUTED_VALUE"""),5395.83578592741)</f>
        <v/>
      </c>
      <c r="B258" s="184" t="n"/>
      <c r="O258" s="184">
        <f>SUM(C258:N258)</f>
        <v/>
      </c>
    </row>
    <row r="259">
      <c r="A259" s="46">
        <f>IFERROR(__xludf.DUMMYFUNCTION("""COMPUTED_VALUE"""),5474.68211535995)</f>
        <v/>
      </c>
      <c r="B259" s="184" t="n"/>
      <c r="O259" s="184">
        <f>SUM(C259:N259)</f>
        <v/>
      </c>
    </row>
    <row r="260">
      <c r="A260" s="46">
        <f>IFERROR(__xludf.DUMMYFUNCTION("""COMPUTED_VALUE"""),6265.07018504222)</f>
        <v/>
      </c>
      <c r="B260" s="184" t="n"/>
      <c r="O260" s="184">
        <f>SUM(C260:N260)</f>
        <v/>
      </c>
    </row>
    <row r="261">
      <c r="A261" s="46">
        <f>IFERROR(__xludf.DUMMYFUNCTION("""COMPUTED_VALUE"""),7143.84977064334)</f>
        <v/>
      </c>
      <c r="B261" s="184" t="n"/>
      <c r="O261" s="184">
        <f>SUM(C261:N261)</f>
        <v/>
      </c>
    </row>
    <row r="262">
      <c r="A262" s="46">
        <f>IFERROR(__xludf.DUMMYFUNCTION("""COMPUTED_VALUE"""),5924.58436203439)</f>
        <v/>
      </c>
      <c r="B262" s="184" t="n"/>
      <c r="O262" s="184">
        <f>SUM(C262:N262)</f>
        <v/>
      </c>
    </row>
    <row r="263">
      <c r="A263" s="46">
        <f>IFERROR(__xludf.DUMMYFUNCTION("""COMPUTED_VALUE"""),7483.57844590764)</f>
        <v/>
      </c>
      <c r="B263" s="184" t="n"/>
      <c r="O263" s="184">
        <f>SUM(C263:N263)</f>
        <v/>
      </c>
    </row>
    <row r="264">
      <c r="A264" s="46">
        <f>IFERROR(__xludf.DUMMYFUNCTION("""COMPUTED_VALUE"""),7797.61191688005)</f>
        <v/>
      </c>
      <c r="B264" s="184" t="n"/>
      <c r="O264" s="184">
        <f>SUM(C264:N264)</f>
        <v/>
      </c>
    </row>
    <row r="265">
      <c r="A265" s="46">
        <f>IFERROR(__xludf.DUMMYFUNCTION("""COMPUTED_VALUE"""),6641.76632529693)</f>
        <v/>
      </c>
      <c r="B265" s="184" t="n"/>
      <c r="O265" s="184">
        <f>SUM(C265:N265)</f>
        <v/>
      </c>
    </row>
    <row r="266">
      <c r="A266" s="46">
        <f>IFERROR(__xludf.DUMMYFUNCTION("""COMPUTED_VALUE"""),6039.74769014249)</f>
        <v/>
      </c>
      <c r="B266" s="184" t="n"/>
      <c r="O266" s="184">
        <f>SUM(C266:N266)</f>
        <v/>
      </c>
    </row>
    <row r="267">
      <c r="A267" s="46">
        <f>IFERROR(__xludf.DUMMYFUNCTION("""COMPUTED_VALUE"""),5903.1210755559)</f>
        <v/>
      </c>
      <c r="B267" s="184" t="n"/>
      <c r="O267" s="184">
        <f>SUM(C267:N267)</f>
        <v/>
      </c>
    </row>
    <row r="268">
      <c r="A268" s="46">
        <f>IFERROR(__xludf.DUMMYFUNCTION("""COMPUTED_VALUE"""),6071.92094581393)</f>
        <v/>
      </c>
      <c r="B268" s="184" t="n"/>
      <c r="O268" s="184">
        <f>SUM(C268:N268)</f>
        <v/>
      </c>
    </row>
    <row r="269">
      <c r="A269" s="46">
        <f>IFERROR(__xludf.DUMMYFUNCTION("""COMPUTED_VALUE"""),76666.8076707555)</f>
        <v/>
      </c>
      <c r="B269" s="184" t="n"/>
      <c r="O269" s="184">
        <f>SUM(C269:N269)</f>
        <v/>
      </c>
    </row>
    <row r="270">
      <c r="A270" s="40" t="n"/>
      <c r="B270" s="184" t="n"/>
      <c r="O270" s="184">
        <f>SUM(C270:N270)</f>
        <v/>
      </c>
    </row>
    <row r="271">
      <c r="A271" s="40" t="n"/>
      <c r="B271" s="184" t="n"/>
      <c r="O271" s="184">
        <f>SUM(C271:N271)</f>
        <v/>
      </c>
    </row>
    <row r="272">
      <c r="A272" s="40" t="n"/>
      <c r="B272" s="184" t="n"/>
      <c r="O272" s="184">
        <f>SUM(C272:N272)</f>
        <v/>
      </c>
    </row>
    <row r="273">
      <c r="A273" s="40">
        <f>IFERROR(__xludf.DUMMYFUNCTION("""COMPUTED_VALUE"""),"G1")</f>
        <v/>
      </c>
      <c r="B273" s="184" t="n"/>
      <c r="O273" s="184">
        <f>SUM(C273:N273)</f>
        <v/>
      </c>
    </row>
    <row r="274">
      <c r="A274" s="46">
        <f>IFERROR(__xludf.DUMMYFUNCTION("""COMPUTED_VALUE"""),6324.8865420022)</f>
        <v/>
      </c>
      <c r="B274" s="184" t="n"/>
      <c r="O274" s="184">
        <f>SUM(C274:N274)</f>
        <v/>
      </c>
    </row>
    <row r="275">
      <c r="A275" s="46">
        <f>IFERROR(__xludf.DUMMYFUNCTION("""COMPUTED_VALUE"""),5006.41198626609)</f>
        <v/>
      </c>
      <c r="B275" s="184" t="n"/>
      <c r="O275" s="184">
        <f>SUM(C275:N275)</f>
        <v/>
      </c>
    </row>
    <row r="276">
      <c r="A276" s="46">
        <f>IFERROR(__xludf.DUMMYFUNCTION("""COMPUTED_VALUE"""),5172.27316933916)</f>
        <v/>
      </c>
      <c r="B276" s="184" t="n"/>
      <c r="O276" s="184">
        <f>SUM(C276:N276)</f>
        <v/>
      </c>
    </row>
    <row r="277">
      <c r="A277" s="46">
        <f>IFERROR(__xludf.DUMMYFUNCTION("""COMPUTED_VALUE"""),6041.74622440301)</f>
        <v/>
      </c>
      <c r="B277" s="184" t="n"/>
      <c r="O277" s="184">
        <f>SUM(C277:N277)</f>
        <v/>
      </c>
    </row>
    <row r="278">
      <c r="A278" s="46">
        <f>IFERROR(__xludf.DUMMYFUNCTION("""COMPUTED_VALUE"""),6533.47404697077)</f>
        <v/>
      </c>
      <c r="B278" s="184" t="n"/>
      <c r="O278" s="184">
        <f>SUM(C278:N278)</f>
        <v/>
      </c>
    </row>
    <row r="279">
      <c r="A279" s="46">
        <f>IFERROR(__xludf.DUMMYFUNCTION("""COMPUTED_VALUE"""),5603.43476849391)</f>
        <v/>
      </c>
      <c r="B279" s="184" t="n"/>
      <c r="O279" s="184">
        <f>SUM(C279:N279)</f>
        <v/>
      </c>
    </row>
    <row r="280">
      <c r="A280" s="46">
        <f>IFERROR(__xludf.DUMMYFUNCTION("""COMPUTED_VALUE"""),7205.1260060428)</f>
        <v/>
      </c>
      <c r="B280" s="184" t="n"/>
      <c r="O280" s="184">
        <f>SUM(C280:N280)</f>
        <v/>
      </c>
    </row>
    <row r="281">
      <c r="A281" s="46">
        <f>IFERROR(__xludf.DUMMYFUNCTION("""COMPUTED_VALUE"""),7153.92317879179)</f>
        <v/>
      </c>
      <c r="B281" s="184" t="n"/>
      <c r="O281" s="184">
        <f>SUM(C281:N281)</f>
        <v/>
      </c>
    </row>
    <row r="282">
      <c r="A282" s="46">
        <f>IFERROR(__xludf.DUMMYFUNCTION("""COMPUTED_VALUE"""),5557.72275229152)</f>
        <v/>
      </c>
      <c r="B282" s="184" t="n"/>
      <c r="O282" s="184">
        <f>SUM(C282:N282)</f>
        <v/>
      </c>
    </row>
    <row r="283">
      <c r="A283" s="46">
        <f>IFERROR(__xludf.DUMMYFUNCTION("""COMPUTED_VALUE"""),5447.72114815918)</f>
        <v/>
      </c>
      <c r="B283" s="184" t="n"/>
      <c r="O283" s="184">
        <f>SUM(C283:N283)</f>
        <v/>
      </c>
    </row>
    <row r="284">
      <c r="A284" s="46">
        <f>IFERROR(__xludf.DUMMYFUNCTION("""COMPUTED_VALUE"""),5468.31517574835)</f>
        <v/>
      </c>
      <c r="B284" s="184" t="n"/>
      <c r="O284" s="184">
        <f>SUM(C284:N284)</f>
        <v/>
      </c>
    </row>
    <row r="285">
      <c r="A285" s="46">
        <f>IFERROR(__xludf.DUMMYFUNCTION("""COMPUTED_VALUE"""),7334.19129029836)</f>
        <v/>
      </c>
      <c r="B285" s="184" t="n"/>
      <c r="O285" s="184">
        <f>SUM(C285:N285)</f>
        <v/>
      </c>
    </row>
    <row r="286">
      <c r="A286" s="46">
        <f>IFERROR(__xludf.DUMMYFUNCTION("""COMPUTED_VALUE"""),72849.2262888071)</f>
        <v/>
      </c>
      <c r="B286" s="184" t="n"/>
      <c r="O286" s="184">
        <f>SUM(C286:N286)</f>
        <v/>
      </c>
    </row>
    <row r="287">
      <c r="A287" s="40" t="n"/>
      <c r="B287" s="184" t="n"/>
      <c r="O287" s="184">
        <f>SUM(C287:N287)</f>
        <v/>
      </c>
    </row>
    <row r="288">
      <c r="A288" s="40" t="n"/>
      <c r="B288" s="184" t="n"/>
      <c r="O288" s="184">
        <f>SUM(C288:N288)</f>
        <v/>
      </c>
    </row>
    <row r="289">
      <c r="A289" s="40" t="n"/>
      <c r="B289" s="184" t="n"/>
      <c r="O289" s="184">
        <f>SUM(C289:N289)</f>
        <v/>
      </c>
    </row>
    <row r="290">
      <c r="A290" s="40">
        <f>IFERROR(__xludf.DUMMYFUNCTION("""COMPUTED_VALUE"""),"G2")</f>
        <v/>
      </c>
      <c r="B290" s="184" t="n"/>
      <c r="O290" s="184">
        <f>SUM(C290:N290)</f>
        <v/>
      </c>
    </row>
    <row r="291">
      <c r="A291" s="46">
        <f>IFERROR(__xludf.DUMMYFUNCTION("""COMPUTED_VALUE"""),7311.21414800645)</f>
        <v/>
      </c>
      <c r="B291" s="184" t="n"/>
      <c r="O291" s="184">
        <f>SUM(C291:N291)</f>
        <v/>
      </c>
    </row>
    <row r="292">
      <c r="A292" s="46">
        <f>IFERROR(__xludf.DUMMYFUNCTION("""COMPUTED_VALUE"""),5182.05645714641)</f>
        <v/>
      </c>
      <c r="B292" s="184" t="n"/>
      <c r="O292" s="184">
        <f>SUM(C292:N292)</f>
        <v/>
      </c>
    </row>
    <row r="293">
      <c r="A293" s="46">
        <f>IFERROR(__xludf.DUMMYFUNCTION("""COMPUTED_VALUE"""),6087.95283272856)</f>
        <v/>
      </c>
      <c r="B293" s="184" t="n"/>
      <c r="O293" s="184">
        <f>SUM(C293:N293)</f>
        <v/>
      </c>
    </row>
    <row r="294">
      <c r="A294" s="46">
        <f>IFERROR(__xludf.DUMMYFUNCTION("""COMPUTED_VALUE"""),6478.87552710317)</f>
        <v/>
      </c>
      <c r="B294" s="184" t="n"/>
      <c r="O294" s="184">
        <f>SUM(C294:N294)</f>
        <v/>
      </c>
    </row>
    <row r="295">
      <c r="A295" s="46">
        <f>IFERROR(__xludf.DUMMYFUNCTION("""COMPUTED_VALUE"""),6772.91613250953)</f>
        <v/>
      </c>
      <c r="B295" s="184" t="n"/>
      <c r="O295" s="184">
        <f>SUM(C295:N295)</f>
        <v/>
      </c>
    </row>
    <row r="296">
      <c r="A296" s="46">
        <f>IFERROR(__xludf.DUMMYFUNCTION("""COMPUTED_VALUE"""),5693.23301061165)</f>
        <v/>
      </c>
      <c r="B296" s="184" t="n"/>
      <c r="O296" s="184">
        <f>SUM(C296:N296)</f>
        <v/>
      </c>
    </row>
    <row r="297">
      <c r="A297" s="46">
        <f>IFERROR(__xludf.DUMMYFUNCTION("""COMPUTED_VALUE"""),7449.97063274301)</f>
        <v/>
      </c>
      <c r="B297" s="184" t="n"/>
      <c r="O297" s="184">
        <f>SUM(C297:N297)</f>
        <v/>
      </c>
    </row>
    <row r="298">
      <c r="A298" s="46">
        <f>IFERROR(__xludf.DUMMYFUNCTION("""COMPUTED_VALUE"""),8138.68585746008)</f>
        <v/>
      </c>
      <c r="B298" s="184" t="n"/>
      <c r="O298" s="184">
        <f>SUM(C298:N298)</f>
        <v/>
      </c>
    </row>
    <row r="299">
      <c r="A299" s="46">
        <f>IFERROR(__xludf.DUMMYFUNCTION("""COMPUTED_VALUE"""),5650.35041807892)</f>
        <v/>
      </c>
      <c r="B299" s="184" t="n"/>
      <c r="O299" s="184">
        <f>SUM(C299:N299)</f>
        <v/>
      </c>
    </row>
    <row r="300">
      <c r="A300" s="46">
        <f>IFERROR(__xludf.DUMMYFUNCTION("""COMPUTED_VALUE"""),5794.08897577138)</f>
        <v/>
      </c>
      <c r="B300" s="184" t="n"/>
      <c r="O300" s="184">
        <f>SUM(C300:N300)</f>
        <v/>
      </c>
    </row>
    <row r="301">
      <c r="A301" s="46">
        <f>IFERROR(__xludf.DUMMYFUNCTION("""COMPUTED_VALUE"""),5984.58185622485)</f>
        <v/>
      </c>
      <c r="B301" s="184" t="n"/>
      <c r="O301" s="184">
        <f>SUM(C301:N301)</f>
        <v/>
      </c>
    </row>
    <row r="302">
      <c r="A302" s="46">
        <f>IFERROR(__xludf.DUMMYFUNCTION("""COMPUTED_VALUE"""),6120.51155295794)</f>
        <v/>
      </c>
      <c r="B302" s="184" t="n"/>
      <c r="O302" s="184">
        <f>SUM(C302:N302)</f>
        <v/>
      </c>
    </row>
    <row r="303">
      <c r="A303" s="46">
        <f>IFERROR(__xludf.DUMMYFUNCTION("""COMPUTED_VALUE"""),76664.437401342)</f>
        <v/>
      </c>
      <c r="B303" s="184" t="n"/>
      <c r="O303" s="184">
        <f>SUM(C303:N303)</f>
        <v/>
      </c>
    </row>
    <row r="304">
      <c r="A304" s="40" t="n"/>
      <c r="B304" s="184" t="n"/>
      <c r="O304" s="184">
        <f>SUM(C304:N304)</f>
        <v/>
      </c>
    </row>
    <row r="305">
      <c r="A305" s="40" t="n"/>
      <c r="B305" s="184" t="n"/>
      <c r="O305" s="184">
        <f>SUM(C305:N305)</f>
        <v/>
      </c>
    </row>
    <row r="306">
      <c r="A306" s="40" t="n"/>
      <c r="B306" s="184" t="n"/>
      <c r="O306" s="184">
        <f>SUM(C306:N306)</f>
        <v/>
      </c>
    </row>
    <row r="307">
      <c r="A307" s="40">
        <f>IFERROR(__xludf.DUMMYFUNCTION("""COMPUTED_VALUE"""),"G3")</f>
        <v/>
      </c>
      <c r="B307" s="184" t="n"/>
      <c r="O307" s="184">
        <f>SUM(C307:N307)</f>
        <v/>
      </c>
    </row>
    <row r="308">
      <c r="A308" s="46">
        <f>IFERROR(__xludf.DUMMYFUNCTION("""COMPUTED_VALUE"""),6559.26621859022)</f>
        <v/>
      </c>
      <c r="B308" s="184" t="n"/>
      <c r="O308" s="184">
        <f>SUM(C308:N308)</f>
        <v/>
      </c>
    </row>
    <row r="309">
      <c r="A309" s="46">
        <f>IFERROR(__xludf.DUMMYFUNCTION("""COMPUTED_VALUE"""),5171.80206781301)</f>
        <v/>
      </c>
      <c r="B309" s="184" t="n"/>
      <c r="O309" s="184">
        <f>SUM(C309:N309)</f>
        <v/>
      </c>
    </row>
    <row r="310">
      <c r="A310" s="46">
        <f>IFERROR(__xludf.DUMMYFUNCTION("""COMPUTED_VALUE"""),5119.19074880736)</f>
        <v/>
      </c>
      <c r="B310" s="184" t="n"/>
      <c r="O310" s="184">
        <f>SUM(C310:N310)</f>
        <v/>
      </c>
    </row>
    <row r="311">
      <c r="A311" s="46">
        <f>IFERROR(__xludf.DUMMYFUNCTION("""COMPUTED_VALUE"""),6557.69044396111)</f>
        <v/>
      </c>
      <c r="B311" s="184" t="n"/>
      <c r="O311" s="184">
        <f>SUM(C311:N311)</f>
        <v/>
      </c>
    </row>
    <row r="312">
      <c r="A312" s="46">
        <f>IFERROR(__xludf.DUMMYFUNCTION("""COMPUTED_VALUE"""),6768.86919692817)</f>
        <v/>
      </c>
      <c r="B312" s="184" t="n"/>
      <c r="O312" s="184">
        <f>SUM(C312:N312)</f>
        <v/>
      </c>
    </row>
    <row r="313">
      <c r="A313" s="46">
        <f>IFERROR(__xludf.DUMMYFUNCTION("""COMPUTED_VALUE"""),5741.06463943734)</f>
        <v/>
      </c>
      <c r="B313" s="184" t="n"/>
      <c r="O313" s="184">
        <f>SUM(C313:N313)</f>
        <v/>
      </c>
    </row>
    <row r="314">
      <c r="A314" s="46">
        <f>IFERROR(__xludf.DUMMYFUNCTION("""COMPUTED_VALUE"""),7976.42919314231)</f>
        <v/>
      </c>
      <c r="B314" s="184" t="n"/>
      <c r="O314" s="184">
        <f>SUM(C314:N314)</f>
        <v/>
      </c>
    </row>
    <row r="315">
      <c r="A315" s="46">
        <f>IFERROR(__xludf.DUMMYFUNCTION("""COMPUTED_VALUE"""),7286.59962209999)</f>
        <v/>
      </c>
      <c r="B315" s="184" t="n"/>
      <c r="O315" s="184">
        <f>SUM(C315:N315)</f>
        <v/>
      </c>
    </row>
    <row r="316">
      <c r="A316" s="46">
        <f>IFERROR(__xludf.DUMMYFUNCTION("""COMPUTED_VALUE"""),5820.74324106981)</f>
        <v/>
      </c>
      <c r="B316" s="184" t="n"/>
      <c r="O316" s="184">
        <f>SUM(C316:N316)</f>
        <v/>
      </c>
    </row>
    <row r="317">
      <c r="A317" s="46">
        <f>IFERROR(__xludf.DUMMYFUNCTION("""COMPUTED_VALUE"""),5764.32248547794)</f>
        <v/>
      </c>
      <c r="B317" s="184" t="n"/>
      <c r="O317" s="184">
        <f>SUM(C317:N317)</f>
        <v/>
      </c>
    </row>
    <row r="318">
      <c r="A318" s="46">
        <f>IFERROR(__xludf.DUMMYFUNCTION("""COMPUTED_VALUE"""),5355.02326835519)</f>
        <v/>
      </c>
      <c r="B318" s="184" t="n"/>
      <c r="O318" s="184">
        <f>SUM(C318:N318)</f>
        <v/>
      </c>
    </row>
    <row r="319">
      <c r="A319" s="46">
        <f>IFERROR(__xludf.DUMMYFUNCTION("""COMPUTED_VALUE"""),5796.44095138871)</f>
        <v/>
      </c>
      <c r="B319" s="184" t="n"/>
      <c r="O319" s="184">
        <f>SUM(C319:N319)</f>
        <v/>
      </c>
    </row>
    <row r="320">
      <c r="A320" s="46">
        <f>IFERROR(__xludf.DUMMYFUNCTION("""COMPUTED_VALUE"""),73917.4420770711)</f>
        <v/>
      </c>
      <c r="B320" s="184" t="n"/>
      <c r="O320" s="184">
        <f>SUM(C320:N320)</f>
        <v/>
      </c>
    </row>
    <row r="321">
      <c r="A321" s="40" t="n"/>
      <c r="B321" s="184" t="n"/>
      <c r="O321" s="184">
        <f>SUM(C321:N321)</f>
        <v/>
      </c>
    </row>
    <row r="322">
      <c r="A322" s="40" t="n"/>
      <c r="B322" s="184" t="n"/>
      <c r="O322" s="184">
        <f>SUM(C322:N322)</f>
        <v/>
      </c>
    </row>
    <row r="323">
      <c r="A323" s="40" t="n"/>
      <c r="B323" s="184" t="n"/>
      <c r="O323" s="184">
        <f>SUM(C323:N323)</f>
        <v/>
      </c>
    </row>
    <row r="324">
      <c r="A324" s="40">
        <f>IFERROR(__xludf.DUMMYFUNCTION("""COMPUTED_VALUE"""),"G4")</f>
        <v/>
      </c>
      <c r="B324" s="184" t="n"/>
      <c r="O324" s="184">
        <f>SUM(C324:N324)</f>
        <v/>
      </c>
    </row>
    <row r="325">
      <c r="A325" s="46">
        <f>IFERROR(__xludf.DUMMYFUNCTION("""COMPUTED_VALUE"""),6911.93792498491)</f>
        <v/>
      </c>
      <c r="B325" s="184" t="n"/>
      <c r="O325" s="184">
        <f>SUM(C325:N325)</f>
        <v/>
      </c>
    </row>
    <row r="326">
      <c r="A326" s="46">
        <f>IFERROR(__xludf.DUMMYFUNCTION("""COMPUTED_VALUE"""),5128.98634742094)</f>
        <v/>
      </c>
      <c r="B326" s="184" t="n"/>
      <c r="O326" s="184">
        <f>SUM(C326:N326)</f>
        <v/>
      </c>
    </row>
    <row r="327">
      <c r="A327" s="46">
        <f>IFERROR(__xludf.DUMMYFUNCTION("""COMPUTED_VALUE"""),5139.92545121631)</f>
        <v/>
      </c>
      <c r="B327" s="184" t="n"/>
      <c r="O327" s="184">
        <f>SUM(C327:N327)</f>
        <v/>
      </c>
    </row>
    <row r="328">
      <c r="A328" s="46">
        <f>IFERROR(__xludf.DUMMYFUNCTION("""COMPUTED_VALUE"""),7081.16938258846)</f>
        <v/>
      </c>
      <c r="B328" s="184" t="n"/>
      <c r="O328" s="184">
        <f>SUM(C328:N328)</f>
        <v/>
      </c>
    </row>
    <row r="329">
      <c r="A329" s="46">
        <f>IFERROR(__xludf.DUMMYFUNCTION("""COMPUTED_VALUE"""),7397.3894229875)</f>
        <v/>
      </c>
      <c r="B329" s="184" t="n"/>
      <c r="O329" s="184">
        <f>SUM(C329:N329)</f>
        <v/>
      </c>
    </row>
    <row r="330">
      <c r="A330" s="46">
        <f>IFERROR(__xludf.DUMMYFUNCTION("""COMPUTED_VALUE"""),6286.83376834456)</f>
        <v/>
      </c>
      <c r="B330" s="184" t="n"/>
      <c r="O330" s="184">
        <f>SUM(C330:N330)</f>
        <v/>
      </c>
    </row>
    <row r="331">
      <c r="A331" s="46">
        <f>IFERROR(__xludf.DUMMYFUNCTION("""COMPUTED_VALUE"""),8237.03311016292)</f>
        <v/>
      </c>
      <c r="B331" s="184" t="n"/>
      <c r="O331" s="184">
        <f>SUM(C331:N331)</f>
        <v/>
      </c>
    </row>
    <row r="332">
      <c r="A332" s="46">
        <f>IFERROR(__xludf.DUMMYFUNCTION("""COMPUTED_VALUE"""),7944.0879156535)</f>
        <v/>
      </c>
      <c r="B332" s="184" t="n"/>
      <c r="O332" s="184">
        <f>SUM(C332:N332)</f>
        <v/>
      </c>
    </row>
    <row r="333">
      <c r="A333" s="46">
        <f>IFERROR(__xludf.DUMMYFUNCTION("""COMPUTED_VALUE"""),6521.79204089254)</f>
        <v/>
      </c>
      <c r="B333" s="184" t="n"/>
      <c r="O333" s="184">
        <f>SUM(C333:N333)</f>
        <v/>
      </c>
    </row>
    <row r="334">
      <c r="A334" s="46">
        <f>IFERROR(__xludf.DUMMYFUNCTION("""COMPUTED_VALUE"""),6265.3422516514)</f>
        <v/>
      </c>
      <c r="B334" s="184" t="n"/>
      <c r="O334" s="184">
        <f>SUM(C334:N334)</f>
        <v/>
      </c>
    </row>
    <row r="335">
      <c r="A335" s="46">
        <f>IFERROR(__xludf.DUMMYFUNCTION("""COMPUTED_VALUE"""),5479.00625184217)</f>
        <v/>
      </c>
      <c r="B335" s="184" t="n"/>
      <c r="O335" s="184">
        <f>SUM(C335:N335)</f>
        <v/>
      </c>
    </row>
    <row r="336">
      <c r="A336" s="46">
        <f>IFERROR(__xludf.DUMMYFUNCTION("""COMPUTED_VALUE"""),5603.68816284787)</f>
        <v/>
      </c>
      <c r="B336" s="184" t="n"/>
      <c r="O336" s="184">
        <f>SUM(C336:N336)</f>
        <v/>
      </c>
    </row>
    <row r="337">
      <c r="A337" s="46">
        <f>IFERROR(__xludf.DUMMYFUNCTION("""COMPUTED_VALUE"""),77997.1920305931)</f>
        <v/>
      </c>
      <c r="B337" s="184" t="n"/>
      <c r="O337" s="184">
        <f>SUM(C337:N337)</f>
        <v/>
      </c>
    </row>
    <row r="338">
      <c r="A338" s="40" t="n"/>
      <c r="B338" s="184" t="n"/>
      <c r="O338" s="184">
        <f>SUM(C338:N338)</f>
        <v/>
      </c>
    </row>
    <row r="339">
      <c r="A339" s="40" t="n"/>
      <c r="B339" s="184" t="n"/>
      <c r="O339" s="184">
        <f>SUM(C339:N339)</f>
        <v/>
      </c>
    </row>
    <row r="340">
      <c r="A340" s="40" t="n"/>
      <c r="B340" s="184" t="n"/>
      <c r="O340" s="184">
        <f>SUM(C340:N340)</f>
        <v/>
      </c>
    </row>
    <row r="341">
      <c r="A341" s="40">
        <f>IFERROR(__xludf.DUMMYFUNCTION("""COMPUTED_VALUE"""),"G5")</f>
        <v/>
      </c>
      <c r="B341" s="184" t="n"/>
      <c r="O341" s="184">
        <f>SUM(C341:N341)</f>
        <v/>
      </c>
    </row>
    <row r="342">
      <c r="A342" s="46">
        <f>IFERROR(__xludf.DUMMYFUNCTION("""COMPUTED_VALUE"""),5526.74561486974)</f>
        <v/>
      </c>
      <c r="B342" s="184" t="n"/>
      <c r="O342" s="184">
        <f>SUM(C342:N342)</f>
        <v/>
      </c>
    </row>
    <row r="343">
      <c r="A343" s="46">
        <f>IFERROR(__xludf.DUMMYFUNCTION("""COMPUTED_VALUE"""),4343.03561469777)</f>
        <v/>
      </c>
      <c r="B343" s="184" t="n"/>
      <c r="O343" s="184">
        <f>SUM(C343:N343)</f>
        <v/>
      </c>
    </row>
    <row r="344">
      <c r="A344" s="46">
        <f>IFERROR(__xludf.DUMMYFUNCTION("""COMPUTED_VALUE"""),4523.93748454008)</f>
        <v/>
      </c>
      <c r="B344" s="184" t="n"/>
      <c r="O344" s="184">
        <f>SUM(C344:N344)</f>
        <v/>
      </c>
    </row>
    <row r="345">
      <c r="A345" s="46">
        <f>IFERROR(__xludf.DUMMYFUNCTION("""COMPUTED_VALUE"""),5495.94841629929)</f>
        <v/>
      </c>
      <c r="B345" s="184" t="n"/>
      <c r="O345" s="184">
        <f>SUM(C345:N345)</f>
        <v/>
      </c>
    </row>
    <row r="346">
      <c r="A346" s="46">
        <f>IFERROR(__xludf.DUMMYFUNCTION("""COMPUTED_VALUE"""),5873.42330083246)</f>
        <v/>
      </c>
      <c r="B346" s="184" t="n"/>
      <c r="O346" s="184">
        <f>SUM(C346:N346)</f>
        <v/>
      </c>
    </row>
    <row r="347">
      <c r="A347" s="46">
        <f>IFERROR(__xludf.DUMMYFUNCTION("""COMPUTED_VALUE"""),5078.54765217121)</f>
        <v/>
      </c>
      <c r="B347" s="184" t="n"/>
      <c r="O347" s="184">
        <f>SUM(C347:N347)</f>
        <v/>
      </c>
    </row>
    <row r="348">
      <c r="A348" s="46">
        <f>IFERROR(__xludf.DUMMYFUNCTION("""COMPUTED_VALUE"""),6417.42597295062)</f>
        <v/>
      </c>
      <c r="B348" s="184" t="n"/>
      <c r="O348" s="184">
        <f>SUM(C348:N348)</f>
        <v/>
      </c>
    </row>
    <row r="349">
      <c r="A349" s="46">
        <f>IFERROR(__xludf.DUMMYFUNCTION("""COMPUTED_VALUE"""),6927.31995220438)</f>
        <v/>
      </c>
      <c r="B349" s="184" t="n"/>
      <c r="O349" s="184">
        <f>SUM(C349:N349)</f>
        <v/>
      </c>
    </row>
    <row r="350">
      <c r="A350" s="46">
        <f>IFERROR(__xludf.DUMMYFUNCTION("""COMPUTED_VALUE"""),6053.66820664308)</f>
        <v/>
      </c>
      <c r="B350" s="184" t="n"/>
      <c r="O350" s="184">
        <f>SUM(C350:N350)</f>
        <v/>
      </c>
    </row>
    <row r="351">
      <c r="A351" s="46">
        <f>IFERROR(__xludf.DUMMYFUNCTION("""COMPUTED_VALUE"""),5518.24026481445)</f>
        <v/>
      </c>
      <c r="B351" s="184" t="n"/>
      <c r="O351" s="184">
        <f>SUM(C351:N351)</f>
        <v/>
      </c>
    </row>
    <row r="352">
      <c r="A352" s="46">
        <f>IFERROR(__xludf.DUMMYFUNCTION("""COMPUTED_VALUE"""),5353.92640797596)</f>
        <v/>
      </c>
      <c r="B352" s="184" t="n"/>
      <c r="O352" s="184">
        <f>SUM(C352:N352)</f>
        <v/>
      </c>
    </row>
    <row r="353">
      <c r="A353" s="46">
        <f>IFERROR(__xludf.DUMMYFUNCTION("""COMPUTED_VALUE"""),5740.06592690115)</f>
        <v/>
      </c>
      <c r="B353" s="184" t="n"/>
      <c r="O353" s="184">
        <f>SUM(C353:N353)</f>
        <v/>
      </c>
    </row>
    <row r="354">
      <c r="A354" s="46">
        <f>IFERROR(__xludf.DUMMYFUNCTION("""COMPUTED_VALUE"""),66852.2848149002)</f>
        <v/>
      </c>
      <c r="B354" s="184" t="n"/>
      <c r="O354" s="184">
        <f>SUM(C354:N354)</f>
        <v/>
      </c>
    </row>
    <row r="355">
      <c r="A355" s="40" t="n"/>
      <c r="B355" s="184" t="n"/>
      <c r="O355" s="184">
        <f>SUM(C355:N355)</f>
        <v/>
      </c>
    </row>
    <row r="356">
      <c r="A356" s="40" t="n"/>
      <c r="B356" s="184" t="n"/>
      <c r="O356" s="184">
        <f>SUM(C356:N356)</f>
        <v/>
      </c>
    </row>
    <row r="357">
      <c r="A357" s="40" t="n"/>
      <c r="B357" s="184" t="n"/>
      <c r="O357" s="184">
        <f>SUM(C357:N357)</f>
        <v/>
      </c>
    </row>
    <row r="358">
      <c r="A358" s="40">
        <f>IFERROR(__xludf.DUMMYFUNCTION("""COMPUTED_VALUE"""),"G6")</f>
        <v/>
      </c>
      <c r="B358" s="184" t="n"/>
      <c r="O358" s="184">
        <f>SUM(C358:N358)</f>
        <v/>
      </c>
    </row>
    <row r="359">
      <c r="A359" s="46">
        <f>IFERROR(__xludf.DUMMYFUNCTION("""COMPUTED_VALUE"""),6489.08258733649)</f>
        <v/>
      </c>
      <c r="B359" s="184" t="n"/>
      <c r="O359" s="184">
        <f>SUM(C359:N359)</f>
        <v/>
      </c>
    </row>
    <row r="360">
      <c r="A360" s="46">
        <f>IFERROR(__xludf.DUMMYFUNCTION("""COMPUTED_VALUE"""),4470.4135978392)</f>
        <v/>
      </c>
      <c r="B360" s="184" t="n"/>
      <c r="O360" s="184">
        <f>SUM(C360:N360)</f>
        <v/>
      </c>
    </row>
    <row r="361">
      <c r="A361" s="46">
        <f>IFERROR(__xludf.DUMMYFUNCTION("""COMPUTED_VALUE"""),5155.6352428094)</f>
        <v/>
      </c>
      <c r="B361" s="184" t="n"/>
      <c r="O361" s="184">
        <f>SUM(C361:N361)</f>
        <v/>
      </c>
    </row>
    <row r="362">
      <c r="A362" s="46">
        <f>IFERROR(__xludf.DUMMYFUNCTION("""COMPUTED_VALUE"""),5781.81030009752)</f>
        <v/>
      </c>
      <c r="B362" s="184" t="n"/>
      <c r="O362" s="184">
        <f>SUM(C362:N362)</f>
        <v/>
      </c>
    </row>
    <row r="363">
      <c r="A363" s="46">
        <f>IFERROR(__xludf.DUMMYFUNCTION("""COMPUTED_VALUE"""),6108.72369820598)</f>
        <v/>
      </c>
      <c r="B363" s="184" t="n"/>
      <c r="O363" s="184">
        <f>SUM(C363:N363)</f>
        <v/>
      </c>
    </row>
    <row r="364">
      <c r="A364" s="46">
        <f>IFERROR(__xludf.DUMMYFUNCTION("""COMPUTED_VALUE"""),5213.25633335327)</f>
        <v/>
      </c>
      <c r="B364" s="184" t="n"/>
      <c r="O364" s="184">
        <f>SUM(C364:N364)</f>
        <v/>
      </c>
    </row>
    <row r="365">
      <c r="A365" s="46">
        <f>IFERROR(__xludf.DUMMYFUNCTION("""COMPUTED_VALUE"""),6615.12136099433)</f>
        <v/>
      </c>
      <c r="B365" s="184" t="n"/>
      <c r="O365" s="184">
        <f>SUM(C365:N365)</f>
        <v/>
      </c>
    </row>
    <row r="366">
      <c r="A366" s="46">
        <f>IFERROR(__xludf.DUMMYFUNCTION("""COMPUTED_VALUE"""),6806.61015650301)</f>
        <v/>
      </c>
      <c r="B366" s="184" t="n"/>
      <c r="O366" s="184">
        <f>SUM(C366:N366)</f>
        <v/>
      </c>
    </row>
    <row r="367">
      <c r="A367" s="46">
        <f>IFERROR(__xludf.DUMMYFUNCTION("""COMPUTED_VALUE"""),5801.73395244509)</f>
        <v/>
      </c>
      <c r="B367" s="184" t="n"/>
      <c r="O367" s="184">
        <f>SUM(C367:N367)</f>
        <v/>
      </c>
    </row>
    <row r="368">
      <c r="A368" s="46">
        <f>IFERROR(__xludf.DUMMYFUNCTION("""COMPUTED_VALUE"""),5377.05357020568)</f>
        <v/>
      </c>
      <c r="B368" s="184" t="n"/>
      <c r="O368" s="184">
        <f>SUM(C368:N368)</f>
        <v/>
      </c>
    </row>
    <row r="369">
      <c r="A369" s="46">
        <f>IFERROR(__xludf.DUMMYFUNCTION("""COMPUTED_VALUE"""),5260.06134907756)</f>
        <v/>
      </c>
      <c r="B369" s="184" t="n"/>
      <c r="O369" s="184">
        <f>SUM(C369:N369)</f>
        <v/>
      </c>
    </row>
    <row r="370">
      <c r="A370" s="46">
        <f>IFERROR(__xludf.DUMMYFUNCTION("""COMPUTED_VALUE"""),5487.42620038778)</f>
        <v/>
      </c>
      <c r="B370" s="184" t="n"/>
      <c r="O370" s="184">
        <f>SUM(C370:N370)</f>
        <v/>
      </c>
    </row>
    <row r="371">
      <c r="A371" s="46">
        <f>IFERROR(__xludf.DUMMYFUNCTION("""COMPUTED_VALUE"""),68566.9283492553)</f>
        <v/>
      </c>
      <c r="B371" s="184" t="n"/>
      <c r="O371" s="184">
        <f>SUM(C371:N371)</f>
        <v/>
      </c>
    </row>
    <row r="372">
      <c r="A372" s="40" t="n"/>
      <c r="B372" s="184" t="n"/>
      <c r="O372" s="184">
        <f>SUM(C372:N372)</f>
        <v/>
      </c>
    </row>
    <row r="373">
      <c r="A373" s="40" t="n"/>
      <c r="B373" s="184" t="n"/>
      <c r="O373" s="184">
        <f>SUM(C373:N373)</f>
        <v/>
      </c>
    </row>
    <row r="374">
      <c r="A374" s="40" t="n"/>
      <c r="B374" s="184" t="n"/>
      <c r="O374" s="184">
        <f>SUM(C374:N374)</f>
        <v/>
      </c>
    </row>
    <row r="375">
      <c r="A375" s="40">
        <f>IFERROR(__xludf.DUMMYFUNCTION("""COMPUTED_VALUE"""),"G7")</f>
        <v/>
      </c>
      <c r="B375" s="184" t="n"/>
      <c r="O375" s="184">
        <f>SUM(C375:N375)</f>
        <v/>
      </c>
    </row>
    <row r="376">
      <c r="A376" s="46">
        <f>IFERROR(__xludf.DUMMYFUNCTION("""COMPUTED_VALUE"""),5787.4428447426)</f>
        <v/>
      </c>
      <c r="B376" s="184" t="n"/>
      <c r="O376" s="184">
        <f>SUM(C376:N376)</f>
        <v/>
      </c>
    </row>
    <row r="377">
      <c r="A377" s="46">
        <f>IFERROR(__xludf.DUMMYFUNCTION("""COMPUTED_VALUE"""),4099.84621079096)</f>
        <v/>
      </c>
      <c r="B377" s="184" t="n"/>
      <c r="O377" s="184">
        <f>SUM(C377:N377)</f>
        <v/>
      </c>
    </row>
    <row r="378">
      <c r="A378" s="46">
        <f>IFERROR(__xludf.DUMMYFUNCTION("""COMPUTED_VALUE"""),4603.82461418422)</f>
        <v/>
      </c>
      <c r="B378" s="184" t="n"/>
      <c r="O378" s="184">
        <f>SUM(C378:N378)</f>
        <v/>
      </c>
    </row>
    <row r="379">
      <c r="A379" s="46">
        <f>IFERROR(__xludf.DUMMYFUNCTION("""COMPUTED_VALUE"""),5634.77629330477)</f>
        <v/>
      </c>
      <c r="B379" s="184" t="n"/>
      <c r="O379" s="184">
        <f>SUM(C379:N379)</f>
        <v/>
      </c>
    </row>
    <row r="380">
      <c r="A380" s="46">
        <f>IFERROR(__xludf.DUMMYFUNCTION("""COMPUTED_VALUE"""),6103.34260803736)</f>
        <v/>
      </c>
      <c r="B380" s="184" t="n"/>
      <c r="O380" s="184">
        <f>SUM(C380:N380)</f>
        <v/>
      </c>
    </row>
    <row r="381">
      <c r="A381" s="46">
        <f>IFERROR(__xludf.DUMMYFUNCTION("""COMPUTED_VALUE"""),5263.80656381731)</f>
        <v/>
      </c>
      <c r="B381" s="184" t="n"/>
      <c r="O381" s="184">
        <f>SUM(C381:N381)</f>
        <v/>
      </c>
    </row>
    <row r="382">
      <c r="A382" s="46">
        <f>IFERROR(__xludf.DUMMYFUNCTION("""COMPUTED_VALUE"""),6635.04497575283)</f>
        <v/>
      </c>
      <c r="B382" s="184" t="n"/>
      <c r="O382" s="184">
        <f>SUM(C382:N382)</f>
        <v/>
      </c>
    </row>
    <row r="383">
      <c r="A383" s="46">
        <f>IFERROR(__xludf.DUMMYFUNCTION("""COMPUTED_VALUE"""),6756.06020595659)</f>
        <v/>
      </c>
      <c r="B383" s="184" t="n"/>
      <c r="O383" s="184">
        <f>SUM(C383:N383)</f>
        <v/>
      </c>
    </row>
    <row r="384">
      <c r="A384" s="46">
        <f>IFERROR(__xludf.DUMMYFUNCTION("""COMPUTED_VALUE"""),5367.94674351341)</f>
        <v/>
      </c>
      <c r="B384" s="184" t="n"/>
      <c r="O384" s="184">
        <f>SUM(C384:N384)</f>
        <v/>
      </c>
    </row>
    <row r="385">
      <c r="A385" s="46">
        <f>IFERROR(__xludf.DUMMYFUNCTION("""COMPUTED_VALUE"""),5046.98698893444)</f>
        <v/>
      </c>
      <c r="B385" s="184" t="n"/>
      <c r="O385" s="184">
        <f>SUM(C385:N385)</f>
        <v/>
      </c>
    </row>
    <row r="386">
      <c r="A386" s="46">
        <f>IFERROR(__xludf.DUMMYFUNCTION("""COMPUTED_VALUE"""),4840.63586724546)</f>
        <v/>
      </c>
      <c r="B386" s="184" t="n"/>
      <c r="O386" s="184">
        <f>SUM(C386:N386)</f>
        <v/>
      </c>
    </row>
    <row r="387">
      <c r="A387" s="46">
        <f>IFERROR(__xludf.DUMMYFUNCTION("""COMPUTED_VALUE"""),4816.99325667461)</f>
        <v/>
      </c>
      <c r="B387" s="184" t="n"/>
      <c r="O387" s="184">
        <f>SUM(C387:N387)</f>
        <v/>
      </c>
    </row>
    <row r="388">
      <c r="A388" s="46">
        <f>IFERROR(__xludf.DUMMYFUNCTION("""COMPUTED_VALUE"""),64956.7071729546)</f>
        <v/>
      </c>
      <c r="B388" s="184" t="n"/>
      <c r="O388" s="184">
        <f>SUM(C388:N388)</f>
        <v/>
      </c>
    </row>
    <row r="389">
      <c r="A389" s="40" t="n"/>
      <c r="B389" s="184" t="n"/>
      <c r="O389" s="184">
        <f>SUM(C389:N389)</f>
        <v/>
      </c>
    </row>
    <row r="390">
      <c r="A390" s="40" t="n"/>
      <c r="B390" s="184" t="n"/>
      <c r="O390" s="184">
        <f>SUM(C390:N390)</f>
        <v/>
      </c>
    </row>
    <row r="391">
      <c r="A391" s="40" t="n"/>
      <c r="B391" s="184" t="n"/>
      <c r="O391" s="184">
        <f>SUM(C391:N391)</f>
        <v/>
      </c>
    </row>
    <row r="392">
      <c r="A392" s="40">
        <f>IFERROR(__xludf.DUMMYFUNCTION("""COMPUTED_VALUE"""),"G8")</f>
        <v/>
      </c>
      <c r="B392" s="184" t="n"/>
      <c r="O392" s="184">
        <f>SUM(C392:N392)</f>
        <v/>
      </c>
    </row>
    <row r="393">
      <c r="A393" s="46">
        <f>IFERROR(__xludf.DUMMYFUNCTION("""COMPUTED_VALUE"""),6345.8225665796)</f>
        <v/>
      </c>
      <c r="B393" s="184" t="n"/>
      <c r="O393" s="184">
        <f>SUM(C393:N393)</f>
        <v/>
      </c>
    </row>
    <row r="394">
      <c r="A394" s="46">
        <f>IFERROR(__xludf.DUMMYFUNCTION("""COMPUTED_VALUE"""),4789.41744421096)</f>
        <v/>
      </c>
      <c r="B394" s="184" t="n"/>
      <c r="O394" s="184">
        <f>SUM(C394:N394)</f>
        <v/>
      </c>
    </row>
    <row r="395">
      <c r="A395" s="46">
        <f>IFERROR(__xludf.DUMMYFUNCTION("""COMPUTED_VALUE"""),4713.93591689624)</f>
        <v/>
      </c>
      <c r="B395" s="184" t="n"/>
      <c r="O395" s="184">
        <f>SUM(C395:N395)</f>
        <v/>
      </c>
    </row>
    <row r="396">
      <c r="A396" s="46">
        <f>IFERROR(__xludf.DUMMYFUNCTION("""COMPUTED_VALUE"""),5956.93452039284)</f>
        <v/>
      </c>
      <c r="B396" s="184" t="n"/>
      <c r="O396" s="184">
        <f>SUM(C396:N396)</f>
        <v/>
      </c>
    </row>
    <row r="397">
      <c r="A397" s="46">
        <f>IFERROR(__xludf.DUMMYFUNCTION("""COMPUTED_VALUE"""),6522.13373297904)</f>
        <v/>
      </c>
      <c r="B397" s="184" t="n"/>
      <c r="O397" s="184">
        <f>SUM(C397:N397)</f>
        <v/>
      </c>
    </row>
    <row r="398">
      <c r="A398" s="46">
        <f>IFERROR(__xludf.DUMMYFUNCTION("""COMPUTED_VALUE"""),5666.67180660365)</f>
        <v/>
      </c>
      <c r="B398" s="184" t="n"/>
      <c r="O398" s="184">
        <f>SUM(C398:N398)</f>
        <v/>
      </c>
    </row>
    <row r="399">
      <c r="A399" s="46">
        <f>IFERROR(__xludf.DUMMYFUNCTION("""COMPUTED_VALUE"""),7022.83821341234)</f>
        <v/>
      </c>
      <c r="B399" s="184" t="n"/>
      <c r="O399" s="184">
        <f>SUM(C399:N399)</f>
        <v/>
      </c>
    </row>
    <row r="400">
      <c r="A400" s="46">
        <f>IFERROR(__xludf.DUMMYFUNCTION("""COMPUTED_VALUE"""),7338.40144659052)</f>
        <v/>
      </c>
      <c r="B400" s="184" t="n"/>
      <c r="O400" s="184">
        <f>SUM(C400:N400)</f>
        <v/>
      </c>
    </row>
    <row r="401">
      <c r="A401" s="46">
        <f>IFERROR(__xludf.DUMMYFUNCTION("""COMPUTED_VALUE"""),5251.83627293396)</f>
        <v/>
      </c>
      <c r="B401" s="184" t="n"/>
      <c r="O401" s="184">
        <f>SUM(C401:N401)</f>
        <v/>
      </c>
    </row>
    <row r="402">
      <c r="A402" s="46">
        <f>IFERROR(__xludf.DUMMYFUNCTION("""COMPUTED_VALUE"""),5180.82484928124)</f>
        <v/>
      </c>
      <c r="B402" s="184" t="n"/>
      <c r="O402" s="184">
        <f>SUM(C402:N402)</f>
        <v/>
      </c>
    </row>
    <row r="403">
      <c r="A403" s="46">
        <f>IFERROR(__xludf.DUMMYFUNCTION("""COMPUTED_VALUE"""),5744.12415018269)</f>
        <v/>
      </c>
      <c r="B403" s="184" t="n"/>
      <c r="O403" s="184">
        <f>SUM(C403:N403)</f>
        <v/>
      </c>
    </row>
    <row r="404">
      <c r="A404" s="46">
        <f>IFERROR(__xludf.DUMMYFUNCTION("""COMPUTED_VALUE"""),5066.89074526014)</f>
        <v/>
      </c>
      <c r="B404" s="184" t="n"/>
      <c r="O404" s="184">
        <f>SUM(C404:N404)</f>
        <v/>
      </c>
    </row>
    <row r="405">
      <c r="A405" s="46">
        <f>IFERROR(__xludf.DUMMYFUNCTION("""COMPUTED_VALUE"""),69599.8316653232)</f>
        <v/>
      </c>
      <c r="B405" s="184" t="n"/>
      <c r="O405" s="184">
        <f>SUM(C405:N405)</f>
        <v/>
      </c>
    </row>
    <row r="406">
      <c r="A406" s="40" t="n"/>
      <c r="B406" s="184" t="n"/>
      <c r="O406" s="184">
        <f>SUM(C406:N406)</f>
        <v/>
      </c>
    </row>
    <row r="407">
      <c r="A407" s="40" t="n"/>
      <c r="B407" s="184" t="n"/>
      <c r="O407" s="184">
        <f>SUM(C407:N407)</f>
        <v/>
      </c>
    </row>
    <row r="408">
      <c r="A408" s="40" t="n"/>
      <c r="B408" s="184" t="n"/>
      <c r="O408" s="184">
        <f>SUM(C408:N408)</f>
        <v/>
      </c>
    </row>
    <row r="409">
      <c r="A409" s="40">
        <f>IFERROR(__xludf.DUMMYFUNCTION("""COMPUTED_VALUE"""),"G9")</f>
        <v/>
      </c>
      <c r="B409" s="184" t="n"/>
      <c r="O409" s="184">
        <f>SUM(C409:N409)</f>
        <v/>
      </c>
    </row>
    <row r="410">
      <c r="A410" s="46">
        <f>IFERROR(__xludf.DUMMYFUNCTION("""COMPUTED_VALUE"""),6245.50270624271)</f>
        <v/>
      </c>
      <c r="B410" s="184" t="n"/>
      <c r="O410" s="184">
        <f>SUM(C410:N410)</f>
        <v/>
      </c>
    </row>
    <row r="411">
      <c r="A411" s="46">
        <f>IFERROR(__xludf.DUMMYFUNCTION("""COMPUTED_VALUE"""),4729.60743160555)</f>
        <v/>
      </c>
      <c r="B411" s="184" t="n"/>
      <c r="O411" s="184">
        <f>SUM(C411:N411)</f>
        <v/>
      </c>
    </row>
    <row r="412">
      <c r="A412" s="46">
        <f>IFERROR(__xludf.DUMMYFUNCTION("""COMPUTED_VALUE"""),5202.59785118929)</f>
        <v/>
      </c>
      <c r="B412" s="184" t="n"/>
      <c r="O412" s="184">
        <f>SUM(C412:N412)</f>
        <v/>
      </c>
    </row>
    <row r="413">
      <c r="A413" s="46">
        <f>IFERROR(__xludf.DUMMYFUNCTION("""COMPUTED_VALUE"""),5869.09204117383)</f>
        <v/>
      </c>
      <c r="B413" s="184" t="n"/>
      <c r="O413" s="184">
        <f>SUM(C413:N413)</f>
        <v/>
      </c>
    </row>
    <row r="414">
      <c r="A414" s="46">
        <f>IFERROR(__xludf.DUMMYFUNCTION("""COMPUTED_VALUE"""),6284.66583433578)</f>
        <v/>
      </c>
      <c r="B414" s="184" t="n"/>
      <c r="O414" s="184">
        <f>SUM(C414:N414)</f>
        <v/>
      </c>
    </row>
    <row r="415">
      <c r="A415" s="46">
        <f>IFERROR(__xludf.DUMMYFUNCTION("""COMPUTED_VALUE"""),5381.78141091658)</f>
        <v/>
      </c>
      <c r="B415" s="184" t="n"/>
      <c r="O415" s="184">
        <f>SUM(C415:N415)</f>
        <v/>
      </c>
    </row>
    <row r="416">
      <c r="A416" s="46">
        <f>IFERROR(__xludf.DUMMYFUNCTION("""COMPUTED_VALUE"""),6907.69965238397)</f>
        <v/>
      </c>
      <c r="B416" s="184" t="n"/>
      <c r="O416" s="184">
        <f>SUM(C416:N416)</f>
        <v/>
      </c>
    </row>
    <row r="417">
      <c r="A417" s="46">
        <f>IFERROR(__xludf.DUMMYFUNCTION("""COMPUTED_VALUE"""),7029.25705041638)</f>
        <v/>
      </c>
      <c r="B417" s="184" t="n"/>
      <c r="O417" s="184">
        <f>SUM(C417:N417)</f>
        <v/>
      </c>
    </row>
    <row r="418">
      <c r="A418" s="46">
        <f>IFERROR(__xludf.DUMMYFUNCTION("""COMPUTED_VALUE"""),5714.53997917119)</f>
        <v/>
      </c>
      <c r="B418" s="184" t="n"/>
      <c r="O418" s="184">
        <f>SUM(C418:N418)</f>
        <v/>
      </c>
    </row>
    <row r="419">
      <c r="A419" s="46">
        <f>IFERROR(__xludf.DUMMYFUNCTION("""COMPUTED_VALUE"""),5562.90523797688)</f>
        <v/>
      </c>
      <c r="B419" s="184" t="n"/>
      <c r="O419" s="184">
        <f>SUM(C419:N419)</f>
        <v/>
      </c>
    </row>
    <row r="420">
      <c r="A420" s="46">
        <f>IFERROR(__xludf.DUMMYFUNCTION("""COMPUTED_VALUE"""),5123.53457973591)</f>
        <v/>
      </c>
      <c r="B420" s="184" t="n"/>
      <c r="O420" s="184">
        <f>SUM(C420:N420)</f>
        <v/>
      </c>
    </row>
    <row r="421">
      <c r="A421" s="46">
        <f>IFERROR(__xludf.DUMMYFUNCTION("""COMPUTED_VALUE"""),5589.91497195549)</f>
        <v/>
      </c>
      <c r="B421" s="184" t="n"/>
      <c r="O421" s="184">
        <f>SUM(C421:N421)</f>
        <v/>
      </c>
    </row>
    <row r="422">
      <c r="A422" s="46">
        <f>IFERROR(__xludf.DUMMYFUNCTION("""COMPUTED_VALUE"""),69641.0987471036)</f>
        <v/>
      </c>
      <c r="B422" s="184" t="n"/>
      <c r="O422" s="184">
        <f>SUM(C422:N422)</f>
        <v/>
      </c>
    </row>
    <row r="423">
      <c r="A423" s="40" t="n"/>
      <c r="B423" s="184" t="n"/>
      <c r="O423" s="184">
        <f>SUM(C423:N423)</f>
        <v/>
      </c>
    </row>
    <row r="424">
      <c r="A424" s="40" t="n"/>
      <c r="B424" s="184" t="n"/>
      <c r="O424" s="184">
        <f>SUM(C424:N424)</f>
        <v/>
      </c>
    </row>
    <row r="425">
      <c r="A425" s="40" t="n"/>
      <c r="B425" s="184" t="n"/>
      <c r="O425" s="184">
        <f>SUM(C425:N425)</f>
        <v/>
      </c>
    </row>
    <row r="426">
      <c r="A426" s="40">
        <f>IFERROR(__xludf.DUMMYFUNCTION("""COMPUTED_VALUE"""),"G10")</f>
        <v/>
      </c>
      <c r="B426" s="184" t="n"/>
      <c r="O426" s="184">
        <f>SUM(C426:N426)</f>
        <v/>
      </c>
    </row>
    <row r="427">
      <c r="A427" s="46">
        <f>IFERROR(__xludf.DUMMYFUNCTION("""COMPUTED_VALUE"""),6258.99207644042)</f>
        <v/>
      </c>
      <c r="B427" s="184" t="n"/>
      <c r="O427" s="184">
        <f>SUM(C427:N427)</f>
        <v/>
      </c>
    </row>
    <row r="428">
      <c r="A428" s="46">
        <f>IFERROR(__xludf.DUMMYFUNCTION("""COMPUTED_VALUE"""),4807.30187679243)</f>
        <v/>
      </c>
      <c r="B428" s="184" t="n"/>
      <c r="O428" s="184">
        <f>SUM(C428:N428)</f>
        <v/>
      </c>
    </row>
    <row r="429">
      <c r="A429" s="46">
        <f>IFERROR(__xludf.DUMMYFUNCTION("""COMPUTED_VALUE"""),5061.32578991709)</f>
        <v/>
      </c>
      <c r="B429" s="184" t="n"/>
      <c r="O429" s="184">
        <f>SUM(C429:N429)</f>
        <v/>
      </c>
    </row>
    <row r="430">
      <c r="A430" s="46">
        <f>IFERROR(__xludf.DUMMYFUNCTION("""COMPUTED_VALUE"""),6007.79448962382)</f>
        <v/>
      </c>
      <c r="B430" s="184" t="n"/>
      <c r="O430" s="184">
        <f>SUM(C430:N430)</f>
        <v/>
      </c>
    </row>
    <row r="431">
      <c r="A431" s="46">
        <f>IFERROR(__xludf.DUMMYFUNCTION("""COMPUTED_VALUE"""),6373.41996831885)</f>
        <v/>
      </c>
      <c r="B431" s="184" t="n"/>
      <c r="O431" s="184">
        <f>SUM(C431:N431)</f>
        <v/>
      </c>
    </row>
    <row r="432">
      <c r="A432" s="46">
        <f>IFERROR(__xludf.DUMMYFUNCTION("""COMPUTED_VALUE"""),5248.40115453326)</f>
        <v/>
      </c>
      <c r="B432" s="184" t="n"/>
      <c r="O432" s="184">
        <f>SUM(C432:N432)</f>
        <v/>
      </c>
    </row>
    <row r="433">
      <c r="A433" s="46">
        <f>IFERROR(__xludf.DUMMYFUNCTION("""COMPUTED_VALUE"""),6161.12859269724)</f>
        <v/>
      </c>
      <c r="B433" s="184" t="n"/>
      <c r="O433" s="184">
        <f>SUM(C433:N433)</f>
        <v/>
      </c>
    </row>
    <row r="434">
      <c r="A434" s="46">
        <f>IFERROR(__xludf.DUMMYFUNCTION("""COMPUTED_VALUE"""),7838.44502656723)</f>
        <v/>
      </c>
      <c r="B434" s="184" t="n"/>
      <c r="O434" s="184">
        <f>SUM(C434:N434)</f>
        <v/>
      </c>
    </row>
    <row r="435">
      <c r="A435" s="46">
        <f>IFERROR(__xludf.DUMMYFUNCTION("""COMPUTED_VALUE"""),5226.18066936157)</f>
        <v/>
      </c>
      <c r="B435" s="184" t="n"/>
      <c r="O435" s="184">
        <f>SUM(C435:N435)</f>
        <v/>
      </c>
    </row>
    <row r="436">
      <c r="A436" s="46">
        <f>IFERROR(__xludf.DUMMYFUNCTION("""COMPUTED_VALUE"""),5363.24666947107)</f>
        <v/>
      </c>
      <c r="B436" s="184" t="n"/>
      <c r="O436" s="184">
        <f>SUM(C436:N436)</f>
        <v/>
      </c>
    </row>
    <row r="437">
      <c r="A437" s="46">
        <f>IFERROR(__xludf.DUMMYFUNCTION("""COMPUTED_VALUE"""),4723.6754540238)</f>
        <v/>
      </c>
      <c r="B437" s="184" t="n"/>
      <c r="O437" s="184">
        <f>SUM(C437:N437)</f>
        <v/>
      </c>
    </row>
    <row r="438">
      <c r="A438" s="46">
        <f>IFERROR(__xludf.DUMMYFUNCTION("""COMPUTED_VALUE"""),4896.29700836202)</f>
        <v/>
      </c>
      <c r="B438" s="184" t="n"/>
      <c r="O438" s="184">
        <f>SUM(C438:N438)</f>
        <v/>
      </c>
    </row>
    <row r="439">
      <c r="A439" s="46">
        <f>IFERROR(__xludf.DUMMYFUNCTION("""COMPUTED_VALUE"""),67966.2087761088)</f>
        <v/>
      </c>
      <c r="B439" s="184" t="n"/>
      <c r="O439" s="184">
        <f>SUM(C439:N439)</f>
        <v/>
      </c>
    </row>
    <row r="440">
      <c r="A440" s="40" t="n"/>
      <c r="B440" s="184" t="n"/>
      <c r="O440" s="184">
        <f>SUM(C440:N440)</f>
        <v/>
      </c>
    </row>
    <row r="441">
      <c r="A441" s="40" t="n"/>
      <c r="B441" s="184" t="n"/>
      <c r="O441" s="184">
        <f>SUM(C441:N441)</f>
        <v/>
      </c>
    </row>
    <row r="442">
      <c r="A442" s="40" t="n"/>
      <c r="B442" s="184" t="n"/>
      <c r="O442" s="184">
        <f>SUM(C442:N442)</f>
        <v/>
      </c>
    </row>
    <row r="443">
      <c r="A443" s="40">
        <f>IFERROR(__xludf.DUMMYFUNCTION("""COMPUTED_VALUE"""),"G11")</f>
        <v/>
      </c>
      <c r="B443" s="184" t="n"/>
      <c r="O443" s="184">
        <f>SUM(C443:N443)</f>
        <v/>
      </c>
    </row>
    <row r="444">
      <c r="A444" s="46">
        <f>IFERROR(__xludf.DUMMYFUNCTION("""COMPUTED_VALUE"""),5638.7301984201)</f>
        <v/>
      </c>
      <c r="B444" s="184" t="n"/>
      <c r="O444" s="184">
        <f>SUM(C444:N444)</f>
        <v/>
      </c>
    </row>
    <row r="445">
      <c r="A445" s="46">
        <f>IFERROR(__xludf.DUMMYFUNCTION("""COMPUTED_VALUE"""),4416.46870608529)</f>
        <v/>
      </c>
      <c r="B445" s="184" t="n"/>
      <c r="O445" s="184">
        <f>SUM(C445:N445)</f>
        <v/>
      </c>
    </row>
    <row r="446">
      <c r="A446" s="46">
        <f>IFERROR(__xludf.DUMMYFUNCTION("""COMPUTED_VALUE"""),4540.99344942485)</f>
        <v/>
      </c>
      <c r="B446" s="184" t="n"/>
      <c r="O446" s="184">
        <f>SUM(C446:N446)</f>
        <v/>
      </c>
    </row>
    <row r="447">
      <c r="A447" s="46">
        <f>IFERROR(__xludf.DUMMYFUNCTION("""COMPUTED_VALUE"""),5376.77917988309)</f>
        <v/>
      </c>
      <c r="B447" s="184" t="n"/>
      <c r="O447" s="184">
        <f>SUM(C447:N447)</f>
        <v/>
      </c>
    </row>
    <row r="448">
      <c r="A448" s="46">
        <f>IFERROR(__xludf.DUMMYFUNCTION("""COMPUTED_VALUE"""),5757.39632356021)</f>
        <v/>
      </c>
      <c r="B448" s="184" t="n"/>
      <c r="O448" s="184">
        <f>SUM(C448:N448)</f>
        <v/>
      </c>
    </row>
    <row r="449">
      <c r="A449" s="46">
        <f>IFERROR(__xludf.DUMMYFUNCTION("""COMPUTED_VALUE"""),4934.61936543297)</f>
        <v/>
      </c>
      <c r="B449" s="184" t="n"/>
      <c r="O449" s="184">
        <f>SUM(C449:N449)</f>
        <v/>
      </c>
    </row>
    <row r="450">
      <c r="A450" s="46">
        <f>IFERROR(__xludf.DUMMYFUNCTION("""COMPUTED_VALUE"""),6180.94594817703)</f>
        <v/>
      </c>
      <c r="B450" s="184" t="n"/>
      <c r="O450" s="184">
        <f>SUM(C450:N450)</f>
        <v/>
      </c>
    </row>
    <row r="451">
      <c r="A451" s="46">
        <f>IFERROR(__xludf.DUMMYFUNCTION("""COMPUTED_VALUE"""),6627.65171089039)</f>
        <v/>
      </c>
      <c r="B451" s="184" t="n"/>
      <c r="O451" s="184">
        <f>SUM(C451:N451)</f>
        <v/>
      </c>
    </row>
    <row r="452">
      <c r="A452" s="46">
        <f>IFERROR(__xludf.DUMMYFUNCTION("""COMPUTED_VALUE"""),4919.91690171617)</f>
        <v/>
      </c>
      <c r="B452" s="184" t="n"/>
      <c r="O452" s="184">
        <f>SUM(C452:N452)</f>
        <v/>
      </c>
    </row>
    <row r="453">
      <c r="A453" s="46">
        <f>IFERROR(__xludf.DUMMYFUNCTION("""COMPUTED_VALUE"""),4755.18630727982)</f>
        <v/>
      </c>
      <c r="B453" s="184" t="n"/>
      <c r="O453" s="184">
        <f>SUM(C453:N453)</f>
        <v/>
      </c>
    </row>
    <row r="454">
      <c r="A454" s="46">
        <f>IFERROR(__xludf.DUMMYFUNCTION("""COMPUTED_VALUE"""),4530.2580434065)</f>
        <v/>
      </c>
      <c r="B454" s="184" t="n"/>
      <c r="O454" s="184">
        <f>SUM(C454:N454)</f>
        <v/>
      </c>
    </row>
    <row r="455">
      <c r="A455" s="46">
        <f>IFERROR(__xludf.DUMMYFUNCTION("""COMPUTED_VALUE"""),4928.05389275218)</f>
        <v/>
      </c>
      <c r="B455" s="184" t="n"/>
      <c r="O455" s="184">
        <f>SUM(C455:N455)</f>
        <v/>
      </c>
    </row>
    <row r="456">
      <c r="A456" s="46">
        <f>IFERROR(__xludf.DUMMYFUNCTION("""COMPUTED_VALUE"""),62607.0000270286)</f>
        <v/>
      </c>
      <c r="B456" s="184" t="n"/>
      <c r="O456" s="184">
        <f>SUM(C456:N456)</f>
        <v/>
      </c>
    </row>
    <row r="457">
      <c r="A457" s="40" t="n"/>
      <c r="B457" s="184" t="n"/>
      <c r="O457" s="184">
        <f>SUM(C457:N457)</f>
        <v/>
      </c>
    </row>
    <row r="458">
      <c r="A458" s="40" t="n"/>
      <c r="B458" s="184" t="n"/>
      <c r="O458" s="184">
        <f>SUM(C458:N458)</f>
        <v/>
      </c>
    </row>
    <row r="459">
      <c r="A459" s="40" t="n"/>
      <c r="B459" s="184" t="n"/>
      <c r="O459" s="184">
        <f>SUM(C459:N459)</f>
        <v/>
      </c>
    </row>
    <row r="460">
      <c r="A460" s="40">
        <f>IFERROR(__xludf.DUMMYFUNCTION("""COMPUTED_VALUE"""),"G12")</f>
        <v/>
      </c>
      <c r="B460" s="184" t="n"/>
      <c r="O460" s="184">
        <f>SUM(C460:N460)</f>
        <v/>
      </c>
    </row>
    <row r="461">
      <c r="A461" s="46">
        <f>IFERROR(__xludf.DUMMYFUNCTION("""COMPUTED_VALUE"""),5836.51647483311)</f>
        <v/>
      </c>
      <c r="B461" s="184" t="n"/>
      <c r="O461" s="184">
        <f>SUM(C461:N461)</f>
        <v/>
      </c>
    </row>
    <row r="462">
      <c r="A462" s="46">
        <f>IFERROR(__xludf.DUMMYFUNCTION("""COMPUTED_VALUE"""),5143.60696772671)</f>
        <v/>
      </c>
      <c r="B462" s="184" t="n"/>
      <c r="O462" s="184">
        <f>SUM(C462:N462)</f>
        <v/>
      </c>
    </row>
    <row r="463">
      <c r="A463" s="46">
        <f>IFERROR(__xludf.DUMMYFUNCTION("""COMPUTED_VALUE"""),5032.23032040777)</f>
        <v/>
      </c>
      <c r="B463" s="184" t="n"/>
      <c r="O463" s="184">
        <f>SUM(C463:N463)</f>
        <v/>
      </c>
    </row>
    <row r="464">
      <c r="A464" s="46">
        <f>IFERROR(__xludf.DUMMYFUNCTION("""COMPUTED_VALUE"""),6120.02007775848)</f>
        <v/>
      </c>
      <c r="B464" s="184" t="n"/>
      <c r="O464" s="184">
        <f>SUM(C464:N464)</f>
        <v/>
      </c>
    </row>
    <row r="465">
      <c r="A465" s="46">
        <f>IFERROR(__xludf.DUMMYFUNCTION("""COMPUTED_VALUE"""),6118.6409139713)</f>
        <v/>
      </c>
      <c r="B465" s="184" t="n"/>
      <c r="O465" s="184">
        <f>SUM(C465:N465)</f>
        <v/>
      </c>
    </row>
    <row r="466">
      <c r="A466" s="46">
        <f>IFERROR(__xludf.DUMMYFUNCTION("""COMPUTED_VALUE"""),4977.84119148056)</f>
        <v/>
      </c>
      <c r="B466" s="184" t="n"/>
      <c r="O466" s="184">
        <f>SUM(C466:N466)</f>
        <v/>
      </c>
    </row>
    <row r="467">
      <c r="A467" s="46">
        <f>IFERROR(__xludf.DUMMYFUNCTION("""COMPUTED_VALUE"""),6565.71079639324)</f>
        <v/>
      </c>
      <c r="B467" s="184" t="n"/>
      <c r="O467" s="184">
        <f>SUM(C467:N467)</f>
        <v/>
      </c>
    </row>
    <row r="468">
      <c r="A468" s="46">
        <f>IFERROR(__xludf.DUMMYFUNCTION("""COMPUTED_VALUE"""),7853.43959214827)</f>
        <v/>
      </c>
      <c r="B468" s="184" t="n"/>
      <c r="O468" s="184">
        <f>SUM(C468:N468)</f>
        <v/>
      </c>
    </row>
    <row r="469">
      <c r="A469" s="46">
        <f>IFERROR(__xludf.DUMMYFUNCTION("""COMPUTED_VALUE"""),5975.66385313438)</f>
        <v/>
      </c>
      <c r="B469" s="184" t="n"/>
      <c r="O469" s="184">
        <f>SUM(C469:N469)</f>
        <v/>
      </c>
    </row>
    <row r="470">
      <c r="A470" s="46">
        <f>IFERROR(__xludf.DUMMYFUNCTION("""COMPUTED_VALUE"""),5622.53432681515)</f>
        <v/>
      </c>
      <c r="B470" s="184" t="n"/>
      <c r="O470" s="184">
        <f>SUM(C470:N470)</f>
        <v/>
      </c>
    </row>
    <row r="471">
      <c r="A471" s="46">
        <f>IFERROR(__xludf.DUMMYFUNCTION("""COMPUTED_VALUE"""),5468.51299462906)</f>
        <v/>
      </c>
      <c r="B471" s="184" t="n"/>
      <c r="O471" s="184">
        <f>SUM(C471:N471)</f>
        <v/>
      </c>
    </row>
    <row r="472">
      <c r="A472" s="46">
        <f>IFERROR(__xludf.DUMMYFUNCTION("""COMPUTED_VALUE"""),5550.58613201612)</f>
        <v/>
      </c>
      <c r="B472" s="184" t="n"/>
      <c r="O472" s="184">
        <f>SUM(C472:N472)</f>
        <v/>
      </c>
    </row>
    <row r="473">
      <c r="A473" s="46">
        <f>IFERROR(__xludf.DUMMYFUNCTION("""COMPUTED_VALUE"""),70265.3036413142)</f>
        <v/>
      </c>
      <c r="B473" s="184" t="n"/>
      <c r="O473" s="184">
        <f>SUM(C473:N473)</f>
        <v/>
      </c>
    </row>
    <row r="474">
      <c r="A474" s="40" t="n"/>
      <c r="B474" s="184" t="n"/>
      <c r="O474" s="184">
        <f>SUM(C474:N474)</f>
        <v/>
      </c>
    </row>
    <row r="475">
      <c r="A475" s="40" t="n"/>
      <c r="B475" s="184" t="n"/>
      <c r="O475" s="184">
        <f>SUM(C475:N475)</f>
        <v/>
      </c>
    </row>
    <row r="476">
      <c r="A476" s="40" t="n"/>
      <c r="B476" s="184" t="n"/>
      <c r="O476" s="184">
        <f>SUM(C476:N476)</f>
        <v/>
      </c>
    </row>
    <row r="477">
      <c r="A477" s="40">
        <f>IFERROR(__xludf.DUMMYFUNCTION("""COMPUTED_VALUE"""),"G13")</f>
        <v/>
      </c>
      <c r="B477" s="184" t="n"/>
      <c r="O477" s="184">
        <f>SUM(C477:N477)</f>
        <v/>
      </c>
    </row>
    <row r="478">
      <c r="A478" s="46">
        <f>IFERROR(__xludf.DUMMYFUNCTION("""COMPUTED_VALUE"""),6399.18536236205)</f>
        <v/>
      </c>
      <c r="B478" s="184" t="n"/>
      <c r="O478" s="184">
        <f>SUM(C478:N478)</f>
        <v/>
      </c>
    </row>
    <row r="479">
      <c r="A479" s="46">
        <f>IFERROR(__xludf.DUMMYFUNCTION("""COMPUTED_VALUE"""),4704.57126662195)</f>
        <v/>
      </c>
      <c r="B479" s="184" t="n"/>
      <c r="O479" s="184">
        <f>SUM(C479:N479)</f>
        <v/>
      </c>
    </row>
    <row r="480">
      <c r="A480" s="46">
        <f>IFERROR(__xludf.DUMMYFUNCTION("""COMPUTED_VALUE"""),4724.93877618887)</f>
        <v/>
      </c>
      <c r="B480" s="184" t="n"/>
      <c r="O480" s="184">
        <f>SUM(C480:N480)</f>
        <v/>
      </c>
    </row>
    <row r="481">
      <c r="A481" s="46">
        <f>IFERROR(__xludf.DUMMYFUNCTION("""COMPUTED_VALUE"""),5925.0068550878)</f>
        <v/>
      </c>
      <c r="B481" s="184" t="n"/>
      <c r="O481" s="184">
        <f>SUM(C481:N481)</f>
        <v/>
      </c>
    </row>
    <row r="482">
      <c r="A482" s="46">
        <f>IFERROR(__xludf.DUMMYFUNCTION("""COMPUTED_VALUE"""),6282.74773714931)</f>
        <v/>
      </c>
      <c r="B482" s="184" t="n"/>
      <c r="O482" s="184">
        <f>SUM(C482:N482)</f>
        <v/>
      </c>
    </row>
    <row r="483">
      <c r="A483" s="46">
        <f>IFERROR(__xludf.DUMMYFUNCTION("""COMPUTED_VALUE"""),5187.02150554379)</f>
        <v/>
      </c>
      <c r="B483" s="184" t="n"/>
      <c r="O483" s="184">
        <f>SUM(C483:N483)</f>
        <v/>
      </c>
    </row>
    <row r="484">
      <c r="A484" s="46">
        <f>IFERROR(__xludf.DUMMYFUNCTION("""COMPUTED_VALUE"""),6825.9630185067)</f>
        <v/>
      </c>
      <c r="B484" s="184" t="n"/>
      <c r="O484" s="184">
        <f>SUM(C484:N484)</f>
        <v/>
      </c>
    </row>
    <row r="485">
      <c r="A485" s="46">
        <f>IFERROR(__xludf.DUMMYFUNCTION("""COMPUTED_VALUE"""),7750.70046116843)</f>
        <v/>
      </c>
      <c r="B485" s="184" t="n"/>
      <c r="O485" s="184">
        <f>SUM(C485:N485)</f>
        <v/>
      </c>
    </row>
    <row r="486">
      <c r="A486" s="46">
        <f>IFERROR(__xludf.DUMMYFUNCTION("""COMPUTED_VALUE"""),5575.22288776492)</f>
        <v/>
      </c>
      <c r="B486" s="184" t="n"/>
      <c r="O486" s="184">
        <f>SUM(C486:N486)</f>
        <v/>
      </c>
    </row>
    <row r="487">
      <c r="A487" s="46">
        <f>IFERROR(__xludf.DUMMYFUNCTION("""COMPUTED_VALUE"""),5381.92329658357)</f>
        <v/>
      </c>
      <c r="B487" s="184" t="n"/>
      <c r="O487" s="184">
        <f>SUM(C487:N487)</f>
        <v/>
      </c>
    </row>
    <row r="488">
      <c r="A488" s="46">
        <f>IFERROR(__xludf.DUMMYFUNCTION("""COMPUTED_VALUE"""),5345.13232431953)</f>
        <v/>
      </c>
      <c r="B488" s="184" t="n"/>
      <c r="O488" s="184">
        <f>SUM(C488:N488)</f>
        <v/>
      </c>
    </row>
    <row r="489">
      <c r="A489" s="46">
        <f>IFERROR(__xludf.DUMMYFUNCTION("""COMPUTED_VALUE"""),4936.7051313665)</f>
        <v/>
      </c>
      <c r="B489" s="184" t="n"/>
      <c r="O489" s="184">
        <f>SUM(C489:N489)</f>
        <v/>
      </c>
    </row>
    <row r="490">
      <c r="A490" s="46">
        <f>IFERROR(__xludf.DUMMYFUNCTION("""COMPUTED_VALUE"""),69039.1186226634)</f>
        <v/>
      </c>
      <c r="B490" s="184" t="n"/>
      <c r="O490" s="184">
        <f>SUM(C490:N490)</f>
        <v/>
      </c>
    </row>
    <row r="491">
      <c r="A491" s="40" t="n"/>
      <c r="B491" s="184" t="n"/>
      <c r="O491" s="184">
        <f>SUM(C491:N491)</f>
        <v/>
      </c>
    </row>
    <row r="492">
      <c r="A492" s="40" t="n"/>
      <c r="B492" s="184" t="n"/>
      <c r="O492" s="184">
        <f>SUM(C492:N492)</f>
        <v/>
      </c>
    </row>
    <row r="493">
      <c r="A493" s="40" t="n"/>
      <c r="B493" s="184" t="n"/>
      <c r="O493" s="184">
        <f>SUM(C493:N493)</f>
        <v/>
      </c>
    </row>
    <row r="494">
      <c r="A494" s="40">
        <f>IFERROR(__xludf.DUMMYFUNCTION("""COMPUTED_VALUE"""),"G14")</f>
        <v/>
      </c>
      <c r="B494" s="184" t="n"/>
      <c r="O494" s="184">
        <f>SUM(C494:N494)</f>
        <v/>
      </c>
    </row>
    <row r="495">
      <c r="A495" s="46">
        <f>IFERROR(__xludf.DUMMYFUNCTION("""COMPUTED_VALUE"""),5772.49350136342)</f>
        <v/>
      </c>
      <c r="B495" s="184" t="n"/>
      <c r="O495" s="184">
        <f>SUM(C495:N495)</f>
        <v/>
      </c>
    </row>
    <row r="496">
      <c r="A496" s="46">
        <f>IFERROR(__xludf.DUMMYFUNCTION("""COMPUTED_VALUE"""),5458.0771306077)</f>
        <v/>
      </c>
      <c r="B496" s="184" t="n"/>
      <c r="O496" s="184">
        <f>SUM(C496:N496)</f>
        <v/>
      </c>
    </row>
    <row r="497">
      <c r="A497" s="46">
        <f>IFERROR(__xludf.DUMMYFUNCTION("""COMPUTED_VALUE"""),4968.61333332949)</f>
        <v/>
      </c>
      <c r="B497" s="184" t="n"/>
      <c r="O497" s="184">
        <f>SUM(C497:N497)</f>
        <v/>
      </c>
    </row>
    <row r="498">
      <c r="A498" s="46">
        <f>IFERROR(__xludf.DUMMYFUNCTION("""COMPUTED_VALUE"""),5790.23695435075)</f>
        <v/>
      </c>
      <c r="B498" s="184" t="n"/>
      <c r="O498" s="184">
        <f>SUM(C498:N498)</f>
        <v/>
      </c>
    </row>
    <row r="499">
      <c r="A499" s="46">
        <f>IFERROR(__xludf.DUMMYFUNCTION("""COMPUTED_VALUE"""),6613.17335659464)</f>
        <v/>
      </c>
      <c r="B499" s="184" t="n"/>
      <c r="O499" s="184">
        <f>SUM(C499:N499)</f>
        <v/>
      </c>
    </row>
    <row r="500">
      <c r="A500" s="46">
        <f>IFERROR(__xludf.DUMMYFUNCTION("""COMPUTED_VALUE"""),5303.56677577968)</f>
        <v/>
      </c>
      <c r="B500" s="184" t="n"/>
      <c r="O500" s="184">
        <f>SUM(C500:N500)</f>
        <v/>
      </c>
    </row>
    <row r="501">
      <c r="A501" s="46">
        <f>IFERROR(__xludf.DUMMYFUNCTION("""COMPUTED_VALUE"""),6947.04546659904)</f>
        <v/>
      </c>
      <c r="B501" s="184" t="n"/>
      <c r="O501" s="184">
        <f>SUM(C501:N501)</f>
        <v/>
      </c>
    </row>
    <row r="502">
      <c r="A502" s="46">
        <f>IFERROR(__xludf.DUMMYFUNCTION("""COMPUTED_VALUE"""),7284.51758390698)</f>
        <v/>
      </c>
      <c r="B502" s="184" t="n"/>
      <c r="O502" s="184">
        <f>SUM(C502:N502)</f>
        <v/>
      </c>
    </row>
    <row r="503">
      <c r="A503" s="46">
        <f>IFERROR(__xludf.DUMMYFUNCTION("""COMPUTED_VALUE"""),6027.40290072828)</f>
        <v/>
      </c>
      <c r="B503" s="184" t="n"/>
      <c r="O503" s="184">
        <f>SUM(C503:N503)</f>
        <v/>
      </c>
    </row>
    <row r="504">
      <c r="A504" s="46">
        <f>IFERROR(__xludf.DUMMYFUNCTION("""COMPUTED_VALUE"""),5568.16799520261)</f>
        <v/>
      </c>
      <c r="B504" s="184" t="n"/>
      <c r="O504" s="184">
        <f>SUM(C504:N504)</f>
        <v/>
      </c>
    </row>
    <row r="505">
      <c r="A505" s="46">
        <f>IFERROR(__xludf.DUMMYFUNCTION("""COMPUTED_VALUE"""),5193.30633337217)</f>
        <v/>
      </c>
      <c r="B505" s="184" t="n"/>
      <c r="O505" s="184">
        <f>SUM(C505:N505)</f>
        <v/>
      </c>
    </row>
    <row r="506">
      <c r="A506" s="46">
        <f>IFERROR(__xludf.DUMMYFUNCTION("""COMPUTED_VALUE"""),5969.99807443466)</f>
        <v/>
      </c>
      <c r="B506" s="184" t="n"/>
      <c r="O506" s="184">
        <f>SUM(C506:N506)</f>
        <v/>
      </c>
    </row>
    <row r="507">
      <c r="A507" s="46">
        <f>IFERROR(__xludf.DUMMYFUNCTION("""COMPUTED_VALUE"""),70896.5994062695)</f>
        <v/>
      </c>
      <c r="B507" s="184" t="n"/>
      <c r="O507" s="184">
        <f>SUM(C507:N507)</f>
        <v/>
      </c>
    </row>
    <row r="508">
      <c r="A508" s="40" t="n"/>
      <c r="B508" s="184" t="n"/>
      <c r="O508" s="184">
        <f>SUM(C508:N508)</f>
        <v/>
      </c>
    </row>
    <row r="509">
      <c r="A509" s="40" t="n"/>
      <c r="B509" s="184" t="n"/>
      <c r="O509" s="184">
        <f>SUM(C509:N509)</f>
        <v/>
      </c>
    </row>
    <row r="510">
      <c r="A510" s="40" t="n"/>
      <c r="B510" s="184" t="n"/>
      <c r="O510" s="184">
        <f>SUM(C510:N510)</f>
        <v/>
      </c>
    </row>
    <row r="511">
      <c r="A511" s="40">
        <f>IFERROR(__xludf.DUMMYFUNCTION("""COMPUTED_VALUE"""),"G15")</f>
        <v/>
      </c>
      <c r="B511" s="184" t="n"/>
      <c r="O511" s="184">
        <f>SUM(C511:N511)</f>
        <v/>
      </c>
    </row>
    <row r="512">
      <c r="A512" s="46">
        <f>IFERROR(__xludf.DUMMYFUNCTION("""COMPUTED_VALUE"""),6113.6941181248)</f>
        <v/>
      </c>
      <c r="B512" s="184" t="n"/>
      <c r="O512" s="184">
        <f>SUM(C512:N512)</f>
        <v/>
      </c>
    </row>
    <row r="513">
      <c r="A513" s="46">
        <f>IFERROR(__xludf.DUMMYFUNCTION("""COMPUTED_VALUE"""),4590.21781590398)</f>
        <v/>
      </c>
      <c r="B513" s="184" t="n"/>
      <c r="O513" s="184">
        <f>SUM(C513:N513)</f>
        <v/>
      </c>
    </row>
    <row r="514">
      <c r="A514" s="46">
        <f>IFERROR(__xludf.DUMMYFUNCTION("""COMPUTED_VALUE"""),4414.46168991621)</f>
        <v/>
      </c>
      <c r="B514" s="184" t="n"/>
      <c r="O514" s="184">
        <f>SUM(C514:N514)</f>
        <v/>
      </c>
    </row>
    <row r="515">
      <c r="A515" s="46">
        <f>IFERROR(__xludf.DUMMYFUNCTION("""COMPUTED_VALUE"""),5225.68227816185)</f>
        <v/>
      </c>
      <c r="B515" s="184" t="n"/>
      <c r="O515" s="184">
        <f>SUM(C515:N515)</f>
        <v/>
      </c>
    </row>
    <row r="516">
      <c r="A516" s="46">
        <f>IFERROR(__xludf.DUMMYFUNCTION("""COMPUTED_VALUE"""),5699.72218251562)</f>
        <v/>
      </c>
      <c r="B516" s="184" t="n"/>
      <c r="O516" s="184">
        <f>SUM(C516:N516)</f>
        <v/>
      </c>
    </row>
    <row r="517">
      <c r="A517" s="46">
        <f>IFERROR(__xludf.DUMMYFUNCTION("""COMPUTED_VALUE"""),5011.21859959635)</f>
        <v/>
      </c>
      <c r="B517" s="184" t="n"/>
      <c r="O517" s="184">
        <f>SUM(C517:N517)</f>
        <v/>
      </c>
    </row>
    <row r="518">
      <c r="A518" s="46">
        <f>IFERROR(__xludf.DUMMYFUNCTION("""COMPUTED_VALUE"""),6578.59141766513)</f>
        <v/>
      </c>
      <c r="B518" s="184" t="n"/>
      <c r="O518" s="184">
        <f>SUM(C518:N518)</f>
        <v/>
      </c>
    </row>
    <row r="519">
      <c r="A519" s="46">
        <f>IFERROR(__xludf.DUMMYFUNCTION("""COMPUTED_VALUE"""),7575.13138005605)</f>
        <v/>
      </c>
      <c r="B519" s="184" t="n"/>
      <c r="O519" s="184">
        <f>SUM(C519:N519)</f>
        <v/>
      </c>
    </row>
    <row r="520">
      <c r="A520" s="46">
        <f>IFERROR(__xludf.DUMMYFUNCTION("""COMPUTED_VALUE"""),5604.84001835952)</f>
        <v/>
      </c>
      <c r="B520" s="184" t="n"/>
      <c r="O520" s="184">
        <f>SUM(C520:N520)</f>
        <v/>
      </c>
    </row>
    <row r="521">
      <c r="A521" s="46">
        <f>IFERROR(__xludf.DUMMYFUNCTION("""COMPUTED_VALUE"""),5258.14368919129)</f>
        <v/>
      </c>
      <c r="B521" s="184" t="n"/>
      <c r="O521" s="184">
        <f>SUM(C521:N521)</f>
        <v/>
      </c>
    </row>
    <row r="522">
      <c r="A522" s="46">
        <f>IFERROR(__xludf.DUMMYFUNCTION("""COMPUTED_VALUE"""),4807.06496877971)</f>
        <v/>
      </c>
      <c r="B522" s="184" t="n"/>
      <c r="O522" s="184">
        <f>SUM(C522:N522)</f>
        <v/>
      </c>
    </row>
    <row r="523">
      <c r="A523" s="46">
        <f>IFERROR(__xludf.DUMMYFUNCTION("""COMPUTED_VALUE"""),4867.92803495049)</f>
        <v/>
      </c>
      <c r="B523" s="184" t="n"/>
      <c r="O523" s="184">
        <f>SUM(C523:N523)</f>
        <v/>
      </c>
    </row>
    <row r="524">
      <c r="A524" s="46">
        <f>IFERROR(__xludf.DUMMYFUNCTION("""COMPUTED_VALUE"""),65746.696193221)</f>
        <v/>
      </c>
      <c r="B524" s="184" t="n"/>
      <c r="O524" s="184">
        <f>SUM(C524:N524)</f>
        <v/>
      </c>
    </row>
    <row r="525">
      <c r="A525" s="40" t="n"/>
      <c r="B525" s="184" t="n"/>
      <c r="O525" s="184">
        <f>SUM(C525:N525)</f>
        <v/>
      </c>
    </row>
    <row r="526">
      <c r="A526" s="40" t="n"/>
      <c r="B526" s="184" t="n"/>
      <c r="O526" s="184">
        <f>SUM(C526:N526)</f>
        <v/>
      </c>
    </row>
    <row r="527">
      <c r="A527" s="40" t="n"/>
      <c r="B527" s="184" t="n"/>
      <c r="O527" s="184">
        <f>SUM(C527:N527)</f>
        <v/>
      </c>
    </row>
    <row r="528">
      <c r="A528" s="40">
        <f>IFERROR(__xludf.DUMMYFUNCTION("""COMPUTED_VALUE"""),"G16")</f>
        <v/>
      </c>
      <c r="B528" s="184" t="n"/>
      <c r="O528" s="184">
        <f>SUM(C528:N528)</f>
        <v/>
      </c>
    </row>
    <row r="529">
      <c r="A529" s="46">
        <f>IFERROR(__xludf.DUMMYFUNCTION("""COMPUTED_VALUE"""),5469.95600520525)</f>
        <v/>
      </c>
      <c r="B529" s="184" t="n"/>
      <c r="O529" s="184">
        <f>SUM(C529:N529)</f>
        <v/>
      </c>
    </row>
    <row r="530">
      <c r="A530" s="46">
        <f>IFERROR(__xludf.DUMMYFUNCTION("""COMPUTED_VALUE"""),4750.10085193266)</f>
        <v/>
      </c>
      <c r="B530" s="184" t="n"/>
      <c r="O530" s="184">
        <f>SUM(C530:N530)</f>
        <v/>
      </c>
    </row>
    <row r="531">
      <c r="A531" s="46">
        <f>IFERROR(__xludf.DUMMYFUNCTION("""COMPUTED_VALUE"""),4519.04643578635)</f>
        <v/>
      </c>
      <c r="B531" s="184" t="n"/>
      <c r="O531" s="184">
        <f>SUM(C531:N531)</f>
        <v/>
      </c>
    </row>
    <row r="532">
      <c r="A532" s="46">
        <f>IFERROR(__xludf.DUMMYFUNCTION("""COMPUTED_VALUE"""),5297.37811089749)</f>
        <v/>
      </c>
      <c r="B532" s="184" t="n"/>
      <c r="O532" s="184">
        <f>SUM(C532:N532)</f>
        <v/>
      </c>
    </row>
    <row r="533">
      <c r="A533" s="46">
        <f>IFERROR(__xludf.DUMMYFUNCTION("""COMPUTED_VALUE"""),5766.20174383614)</f>
        <v/>
      </c>
      <c r="B533" s="184" t="n"/>
      <c r="O533" s="184">
        <f>SUM(C533:N533)</f>
        <v/>
      </c>
    </row>
    <row r="534">
      <c r="A534" s="46">
        <f>IFERROR(__xludf.DUMMYFUNCTION("""COMPUTED_VALUE"""),4944.2329712266)</f>
        <v/>
      </c>
      <c r="B534" s="184" t="n"/>
      <c r="O534" s="184">
        <f>SUM(C534:N534)</f>
        <v/>
      </c>
    </row>
    <row r="535">
      <c r="A535" s="46">
        <f>IFERROR(__xludf.DUMMYFUNCTION("""COMPUTED_VALUE"""),6366.63403772628)</f>
        <v/>
      </c>
      <c r="B535" s="184" t="n"/>
      <c r="O535" s="184">
        <f>SUM(C535:N535)</f>
        <v/>
      </c>
    </row>
    <row r="536">
      <c r="A536" s="46">
        <f>IFERROR(__xludf.DUMMYFUNCTION("""COMPUTED_VALUE"""),6756.01178646373)</f>
        <v/>
      </c>
      <c r="B536" s="184" t="n"/>
      <c r="O536" s="184">
        <f>SUM(C536:N536)</f>
        <v/>
      </c>
    </row>
    <row r="537">
      <c r="A537" s="46">
        <f>IFERROR(__xludf.DUMMYFUNCTION("""COMPUTED_VALUE"""),5298.99730891261)</f>
        <v/>
      </c>
      <c r="B537" s="184" t="n"/>
      <c r="O537" s="184">
        <f>SUM(C537:N537)</f>
        <v/>
      </c>
    </row>
    <row r="538">
      <c r="A538" s="46">
        <f>IFERROR(__xludf.DUMMYFUNCTION("""COMPUTED_VALUE"""),5126.37666815845)</f>
        <v/>
      </c>
      <c r="B538" s="184" t="n"/>
      <c r="O538" s="184">
        <f>SUM(C538:N538)</f>
        <v/>
      </c>
    </row>
    <row r="539">
      <c r="A539" s="46">
        <f>IFERROR(__xludf.DUMMYFUNCTION("""COMPUTED_VALUE"""),5165.70174297738)</f>
        <v/>
      </c>
      <c r="B539" s="184" t="n"/>
      <c r="O539" s="184">
        <f>SUM(C539:N539)</f>
        <v/>
      </c>
    </row>
    <row r="540">
      <c r="A540" s="46">
        <f>IFERROR(__xludf.DUMMYFUNCTION("""COMPUTED_VALUE"""),4819.02782029849)</f>
        <v/>
      </c>
      <c r="B540" s="184" t="n"/>
      <c r="O540" s="184">
        <f>SUM(C540:N540)</f>
        <v/>
      </c>
    </row>
    <row r="541">
      <c r="A541" s="46">
        <f>IFERROR(__xludf.DUMMYFUNCTION("""COMPUTED_VALUE"""),64279.6654834215)</f>
        <v/>
      </c>
      <c r="B541" s="184" t="n"/>
      <c r="O541" s="184">
        <f>SUM(C541:N541)</f>
        <v/>
      </c>
    </row>
    <row r="542">
      <c r="A542" s="40" t="n"/>
      <c r="B542" s="184" t="n"/>
      <c r="O542" s="184">
        <f>SUM(C542:N542)</f>
        <v/>
      </c>
    </row>
    <row r="543">
      <c r="A543" s="40" t="n"/>
      <c r="B543" s="184" t="n"/>
      <c r="O543" s="184">
        <f>SUM(C543:N543)</f>
        <v/>
      </c>
    </row>
    <row r="544">
      <c r="A544" s="40" t="n"/>
      <c r="B544" s="184" t="n"/>
      <c r="O544" s="184">
        <f>SUM(C544:N544)</f>
        <v/>
      </c>
    </row>
    <row r="545">
      <c r="A545" s="40">
        <f>IFERROR(__xludf.DUMMYFUNCTION("""COMPUTED_VALUE"""),"S1")</f>
        <v/>
      </c>
      <c r="B545" s="184" t="n"/>
      <c r="O545" s="184">
        <f>SUM(C545:N545)</f>
        <v/>
      </c>
    </row>
    <row r="546">
      <c r="A546" s="46">
        <f>IFERROR(__xludf.DUMMYFUNCTION("""COMPUTED_VALUE"""),5334.51484375)</f>
        <v/>
      </c>
      <c r="B546" s="184" t="n"/>
      <c r="O546" s="184">
        <f>SUM(C546:N546)</f>
        <v/>
      </c>
    </row>
    <row r="547">
      <c r="A547" s="46">
        <f>IFERROR(__xludf.DUMMYFUNCTION("""COMPUTED_VALUE"""),4029.86364851562)</f>
        <v/>
      </c>
      <c r="B547" s="184" t="n"/>
      <c r="O547" s="184">
        <f>SUM(C547:N547)</f>
        <v/>
      </c>
    </row>
    <row r="548">
      <c r="A548" s="46">
        <f>IFERROR(__xludf.DUMMYFUNCTION("""COMPUTED_VALUE"""),4365.16651730383)</f>
        <v/>
      </c>
      <c r="B548" s="184" t="n"/>
      <c r="O548" s="184">
        <f>SUM(C548:N548)</f>
        <v/>
      </c>
    </row>
    <row r="549">
      <c r="A549" s="46">
        <f>IFERROR(__xludf.DUMMYFUNCTION("""COMPUTED_VALUE"""),5177.80307685444)</f>
        <v/>
      </c>
      <c r="B549" s="184" t="n"/>
      <c r="O549" s="184">
        <f>SUM(C549:N549)</f>
        <v/>
      </c>
    </row>
    <row r="550">
      <c r="A550" s="46">
        <f>IFERROR(__xludf.DUMMYFUNCTION("""COMPUTED_VALUE"""),5581.91052351562)</f>
        <v/>
      </c>
      <c r="B550" s="184" t="n"/>
      <c r="O550" s="184">
        <f>SUM(C550:N550)</f>
        <v/>
      </c>
    </row>
    <row r="551">
      <c r="A551" s="46">
        <f>IFERROR(__xludf.DUMMYFUNCTION("""COMPUTED_VALUE"""),4841.04430904006)</f>
        <v/>
      </c>
      <c r="B551" s="184" t="n"/>
      <c r="O551" s="184">
        <f>SUM(C551:N551)</f>
        <v/>
      </c>
    </row>
    <row r="552">
      <c r="A552" s="46">
        <f>IFERROR(__xludf.DUMMYFUNCTION("""COMPUTED_VALUE"""),6315.5233246658)</f>
        <v/>
      </c>
      <c r="B552" s="184" t="n"/>
      <c r="O552" s="184">
        <f>SUM(C552:N552)</f>
        <v/>
      </c>
    </row>
    <row r="553">
      <c r="A553" s="46">
        <f>IFERROR(__xludf.DUMMYFUNCTION("""COMPUTED_VALUE"""),7163.75233584249)</f>
        <v/>
      </c>
      <c r="B553" s="184" t="n"/>
      <c r="O553" s="184">
        <f>SUM(C553:N553)</f>
        <v/>
      </c>
    </row>
    <row r="554">
      <c r="A554" s="46">
        <f>IFERROR(__xludf.DUMMYFUNCTION("""COMPUTED_VALUE"""),5209.39134055317)</f>
        <v/>
      </c>
      <c r="B554" s="184" t="n"/>
      <c r="O554" s="184">
        <f>SUM(C554:N554)</f>
        <v/>
      </c>
    </row>
    <row r="555">
      <c r="A555" s="46">
        <f>IFERROR(__xludf.DUMMYFUNCTION("""COMPUTED_VALUE"""),4877.11014844433)</f>
        <v/>
      </c>
      <c r="B555" s="184" t="n"/>
      <c r="O555" s="184">
        <f>SUM(C555:N555)</f>
        <v/>
      </c>
    </row>
    <row r="556">
      <c r="A556" s="46">
        <f>IFERROR(__xludf.DUMMYFUNCTION("""COMPUTED_VALUE"""),4572.78910275983)</f>
        <v/>
      </c>
      <c r="B556" s="184" t="n"/>
      <c r="O556" s="184">
        <f>SUM(C556:N556)</f>
        <v/>
      </c>
    </row>
    <row r="557">
      <c r="A557" s="46">
        <f>IFERROR(__xludf.DUMMYFUNCTION("""COMPUTED_VALUE"""),4890.01639891438)</f>
        <v/>
      </c>
      <c r="B557" s="184" t="n"/>
      <c r="O557" s="184">
        <f>SUM(C557:N557)</f>
        <v/>
      </c>
    </row>
    <row r="558">
      <c r="A558" s="46">
        <f>IFERROR(__xludf.DUMMYFUNCTION("""COMPUTED_VALUE"""),62358.8855701596)</f>
        <v/>
      </c>
      <c r="B558" s="184" t="n"/>
      <c r="O558" s="184">
        <f>SUM(C558:N558)</f>
        <v/>
      </c>
    </row>
    <row r="559">
      <c r="A559" s="40" t="n"/>
      <c r="B559" s="184" t="n"/>
      <c r="O559" s="184">
        <f>SUM(C559:N559)</f>
        <v/>
      </c>
    </row>
    <row r="560">
      <c r="A560" s="40" t="n"/>
      <c r="B560" s="184" t="n"/>
      <c r="O560" s="184">
        <f>SUM(C560:N560)</f>
        <v/>
      </c>
    </row>
    <row r="561">
      <c r="A561" s="40" t="n"/>
      <c r="B561" s="184" t="n"/>
      <c r="O561" s="184">
        <f>SUM(C561:N561)</f>
        <v/>
      </c>
    </row>
    <row r="562">
      <c r="A562" s="40">
        <f>IFERROR(__xludf.DUMMYFUNCTION("""COMPUTED_VALUE"""),"S2")</f>
        <v/>
      </c>
      <c r="B562" s="184" t="n"/>
      <c r="O562" s="184">
        <f>SUM(C562:N562)</f>
        <v/>
      </c>
    </row>
    <row r="563">
      <c r="A563" s="46">
        <f>IFERROR(__xludf.DUMMYFUNCTION("""COMPUTED_VALUE"""),8208.68545218794)</f>
        <v/>
      </c>
      <c r="B563" s="184" t="n"/>
      <c r="O563" s="184">
        <f>SUM(C563:N563)</f>
        <v/>
      </c>
    </row>
    <row r="564">
      <c r="A564" s="46">
        <f>IFERROR(__xludf.DUMMYFUNCTION("""COMPUTED_VALUE"""),7121.88560521598)</f>
        <v/>
      </c>
      <c r="B564" s="184" t="n"/>
      <c r="O564" s="184">
        <f>SUM(C564:N564)</f>
        <v/>
      </c>
    </row>
    <row r="565">
      <c r="A565" s="46">
        <f>IFERROR(__xludf.DUMMYFUNCTION("""COMPUTED_VALUE"""),7058.38707006983)</f>
        <v/>
      </c>
      <c r="B565" s="184" t="n"/>
      <c r="O565" s="184">
        <f>SUM(C565:N565)</f>
        <v/>
      </c>
    </row>
    <row r="566">
      <c r="A566" s="46">
        <f>IFERROR(__xludf.DUMMYFUNCTION("""COMPUTED_VALUE"""),8300.99704887826)</f>
        <v/>
      </c>
      <c r="B566" s="184" t="n"/>
      <c r="O566" s="184">
        <f>SUM(C566:N566)</f>
        <v/>
      </c>
    </row>
    <row r="567">
      <c r="A567" s="46">
        <f>IFERROR(__xludf.DUMMYFUNCTION("""COMPUTED_VALUE"""),9210.81680981419)</f>
        <v/>
      </c>
      <c r="B567" s="184" t="n"/>
      <c r="O567" s="184">
        <f>SUM(C567:N567)</f>
        <v/>
      </c>
    </row>
    <row r="568">
      <c r="A568" s="46">
        <f>IFERROR(__xludf.DUMMYFUNCTION("""COMPUTED_VALUE"""),7566.34953944347)</f>
        <v/>
      </c>
      <c r="B568" s="184" t="n"/>
      <c r="O568" s="184">
        <f>SUM(C568:N568)</f>
        <v/>
      </c>
    </row>
    <row r="569">
      <c r="A569" s="46">
        <f>IFERROR(__xludf.DUMMYFUNCTION("""COMPUTED_VALUE"""),9405.99143527381)</f>
        <v/>
      </c>
      <c r="B569" s="184" t="n"/>
      <c r="O569" s="184">
        <f>SUM(C569:N569)</f>
        <v/>
      </c>
    </row>
    <row r="570">
      <c r="A570" s="46">
        <f>IFERROR(__xludf.DUMMYFUNCTION("""COMPUTED_VALUE"""),8947.72716366715)</f>
        <v/>
      </c>
      <c r="B570" s="184" t="n"/>
      <c r="O570" s="184">
        <f>SUM(C570:N570)</f>
        <v/>
      </c>
    </row>
    <row r="571">
      <c r="A571" s="46">
        <f>IFERROR(__xludf.DUMMYFUNCTION("""COMPUTED_VALUE"""),5831.92040659675)</f>
        <v/>
      </c>
      <c r="B571" s="184" t="n"/>
      <c r="O571" s="184">
        <f>SUM(C571:N571)</f>
        <v/>
      </c>
    </row>
    <row r="572">
      <c r="A572" s="46">
        <f>IFERROR(__xludf.DUMMYFUNCTION("""COMPUTED_VALUE"""),5791.78782564895)</f>
        <v/>
      </c>
      <c r="B572" s="184" t="n"/>
      <c r="O572" s="184">
        <f>SUM(C572:N572)</f>
        <v/>
      </c>
    </row>
    <row r="573">
      <c r="A573" s="46">
        <f>IFERROR(__xludf.DUMMYFUNCTION("""COMPUTED_VALUE"""),5653.43304991101)</f>
        <v/>
      </c>
      <c r="B573" s="184" t="n"/>
      <c r="O573" s="184">
        <f>SUM(C573:N573)</f>
        <v/>
      </c>
    </row>
    <row r="574">
      <c r="A574" s="46">
        <f>IFERROR(__xludf.DUMMYFUNCTION("""COMPUTED_VALUE"""),6948.180881082)</f>
        <v/>
      </c>
      <c r="B574" s="184" t="n"/>
      <c r="O574" s="184">
        <f>SUM(C574:N574)</f>
        <v/>
      </c>
    </row>
    <row r="575">
      <c r="A575" s="46">
        <f>IFERROR(__xludf.DUMMYFUNCTION("""COMPUTED_VALUE"""),90046.1622877893)</f>
        <v/>
      </c>
      <c r="B575" s="184" t="n"/>
      <c r="O575" s="184">
        <f>SUM(C575:N575)</f>
        <v/>
      </c>
    </row>
    <row r="576">
      <c r="A576" s="40" t="n"/>
      <c r="B576" s="184" t="n"/>
      <c r="O576" s="184">
        <f>SUM(C576:N576)</f>
        <v/>
      </c>
    </row>
    <row r="577">
      <c r="A577" s="40" t="n"/>
      <c r="B577" s="184" t="n"/>
      <c r="O577" s="184">
        <f>SUM(C577:N577)</f>
        <v/>
      </c>
    </row>
    <row r="578">
      <c r="A578" s="40" t="n"/>
      <c r="B578" s="184" t="n"/>
      <c r="O578" s="184">
        <f>SUM(C578:N578)</f>
        <v/>
      </c>
    </row>
    <row r="579">
      <c r="A579" s="40">
        <f>IFERROR(__xludf.DUMMYFUNCTION("""COMPUTED_VALUE"""),"S3")</f>
        <v/>
      </c>
      <c r="B579" s="184" t="n"/>
      <c r="O579" s="184">
        <f>SUM(C579:N579)</f>
        <v/>
      </c>
    </row>
    <row r="580">
      <c r="A580" s="46">
        <f>IFERROR(__xludf.DUMMYFUNCTION("""COMPUTED_VALUE"""),5597.34076503408)</f>
        <v/>
      </c>
      <c r="B580" s="184" t="n"/>
      <c r="O580" s="184">
        <f>SUM(C580:N580)</f>
        <v/>
      </c>
    </row>
    <row r="581">
      <c r="A581" s="46">
        <f>IFERROR(__xludf.DUMMYFUNCTION("""COMPUTED_VALUE"""),4294.73588629699)</f>
        <v/>
      </c>
      <c r="B581" s="184" t="n"/>
      <c r="O581" s="184">
        <f>SUM(C581:N581)</f>
        <v/>
      </c>
    </row>
    <row r="582">
      <c r="A582" s="46">
        <f>IFERROR(__xludf.DUMMYFUNCTION("""COMPUTED_VALUE"""),4516.25402936335)</f>
        <v/>
      </c>
      <c r="B582" s="184" t="n"/>
      <c r="O582" s="184">
        <f>SUM(C582:N582)</f>
        <v/>
      </c>
    </row>
    <row r="583">
      <c r="A583" s="46">
        <f>IFERROR(__xludf.DUMMYFUNCTION("""COMPUTED_VALUE"""),5457.34763446395)</f>
        <v/>
      </c>
      <c r="B583" s="184" t="n"/>
      <c r="O583" s="184">
        <f>SUM(C583:N583)</f>
        <v/>
      </c>
    </row>
    <row r="584">
      <c r="A584" s="46">
        <f>IFERROR(__xludf.DUMMYFUNCTION("""COMPUTED_VALUE"""),5849.81457358265)</f>
        <v/>
      </c>
      <c r="B584" s="184" t="n"/>
      <c r="O584" s="184">
        <f>SUM(C584:N584)</f>
        <v/>
      </c>
    </row>
    <row r="585">
      <c r="A585" s="46">
        <f>IFERROR(__xludf.DUMMYFUNCTION("""COMPUTED_VALUE"""),4996.71939085841)</f>
        <v/>
      </c>
      <c r="B585" s="184" t="n"/>
      <c r="O585" s="184">
        <f>SUM(C585:N585)</f>
        <v/>
      </c>
    </row>
    <row r="586">
      <c r="A586" s="46">
        <f>IFERROR(__xludf.DUMMYFUNCTION("""COMPUTED_VALUE"""),6407.51397893878)</f>
        <v/>
      </c>
      <c r="B586" s="184" t="n"/>
      <c r="O586" s="184">
        <f>SUM(C586:N586)</f>
        <v/>
      </c>
    </row>
    <row r="587">
      <c r="A587" s="46">
        <f>IFERROR(__xludf.DUMMYFUNCTION("""COMPUTED_VALUE"""),6763.18490427735)</f>
        <v/>
      </c>
      <c r="B587" s="184" t="n"/>
      <c r="O587" s="184">
        <f>SUM(C587:N587)</f>
        <v/>
      </c>
    </row>
    <row r="588">
      <c r="A588" s="46">
        <f>IFERROR(__xludf.DUMMYFUNCTION("""COMPUTED_VALUE"""),5152.70716643214)</f>
        <v/>
      </c>
      <c r="B588" s="184" t="n"/>
      <c r="O588" s="184">
        <f>SUM(C588:N588)</f>
        <v/>
      </c>
    </row>
    <row r="589">
      <c r="A589" s="46">
        <f>IFERROR(__xludf.DUMMYFUNCTION("""COMPUTED_VALUE"""),5275.21673848677)</f>
        <v/>
      </c>
      <c r="B589" s="184" t="n"/>
      <c r="O589" s="184">
        <f>SUM(C589:N589)</f>
        <v/>
      </c>
    </row>
    <row r="590">
      <c r="A590" s="46">
        <f>IFERROR(__xludf.DUMMYFUNCTION("""COMPUTED_VALUE"""),4829.02286453887)</f>
        <v/>
      </c>
      <c r="B590" s="184" t="n"/>
      <c r="O590" s="184">
        <f>SUM(C590:N590)</f>
        <v/>
      </c>
    </row>
    <row r="591">
      <c r="A591" s="46">
        <f>IFERROR(__xludf.DUMMYFUNCTION("""COMPUTED_VALUE"""),5092.1723300175)</f>
        <v/>
      </c>
      <c r="B591" s="184" t="n"/>
      <c r="O591" s="184">
        <f>SUM(C591:N591)</f>
        <v/>
      </c>
    </row>
    <row r="592">
      <c r="A592" s="46">
        <f>IFERROR(__xludf.DUMMYFUNCTION("""COMPUTED_VALUE"""),64232.0302622908)</f>
        <v/>
      </c>
      <c r="B592" s="184" t="n"/>
      <c r="O592" s="184">
        <f>SUM(C592:N592)</f>
        <v/>
      </c>
    </row>
    <row r="593">
      <c r="A593" s="40" t="n"/>
      <c r="B593" s="184" t="n"/>
      <c r="O593" s="184">
        <f>SUM(C593:N593)</f>
        <v/>
      </c>
    </row>
    <row r="594">
      <c r="A594" s="40" t="n"/>
      <c r="B594" s="184" t="n"/>
      <c r="O594" s="184">
        <f>SUM(C594:N594)</f>
        <v/>
      </c>
    </row>
    <row r="595">
      <c r="A595" s="40" t="n"/>
      <c r="B595" s="184" t="n"/>
      <c r="O595" s="184">
        <f>SUM(C595:N595)</f>
        <v/>
      </c>
    </row>
    <row r="596">
      <c r="A596" s="40">
        <f>IFERROR(__xludf.DUMMYFUNCTION("""COMPUTED_VALUE"""),"S4")</f>
        <v/>
      </c>
      <c r="B596" s="184" t="n"/>
      <c r="O596" s="184">
        <f>SUM(C596:N596)</f>
        <v/>
      </c>
    </row>
    <row r="597">
      <c r="A597" s="46">
        <f>IFERROR(__xludf.DUMMYFUNCTION("""COMPUTED_VALUE"""),6855.84881641966)</f>
        <v/>
      </c>
      <c r="B597" s="184" t="n"/>
      <c r="O597" s="184">
        <f>SUM(C597:N597)</f>
        <v/>
      </c>
    </row>
    <row r="598">
      <c r="A598" s="46">
        <f>IFERROR(__xludf.DUMMYFUNCTION("""COMPUTED_VALUE"""),4913.92808625917)</f>
        <v/>
      </c>
      <c r="B598" s="184" t="n"/>
      <c r="O598" s="184">
        <f>SUM(C598:N598)</f>
        <v/>
      </c>
    </row>
    <row r="599">
      <c r="A599" s="46">
        <f>IFERROR(__xludf.DUMMYFUNCTION("""COMPUTED_VALUE"""),4515.53491360419)</f>
        <v/>
      </c>
      <c r="B599" s="184" t="n"/>
      <c r="O599" s="184">
        <f>SUM(C599:N599)</f>
        <v/>
      </c>
    </row>
    <row r="600">
      <c r="A600" s="46">
        <f>IFERROR(__xludf.DUMMYFUNCTION("""COMPUTED_VALUE"""),5289.84831048829)</f>
        <v/>
      </c>
      <c r="B600" s="184" t="n"/>
      <c r="O600" s="184">
        <f>SUM(C600:N600)</f>
        <v/>
      </c>
    </row>
    <row r="601">
      <c r="A601" s="46">
        <f>IFERROR(__xludf.DUMMYFUNCTION("""COMPUTED_VALUE"""),6420.73798434709)</f>
        <v/>
      </c>
      <c r="B601" s="184" t="n"/>
      <c r="O601" s="184">
        <f>SUM(C601:N601)</f>
        <v/>
      </c>
    </row>
    <row r="602">
      <c r="A602" s="46">
        <f>IFERROR(__xludf.DUMMYFUNCTION("""COMPUTED_VALUE"""),5637.20058884285)</f>
        <v/>
      </c>
      <c r="B602" s="184" t="n"/>
      <c r="O602" s="184">
        <f>SUM(C602:N602)</f>
        <v/>
      </c>
    </row>
    <row r="603">
      <c r="A603" s="46">
        <f>IFERROR(__xludf.DUMMYFUNCTION("""COMPUTED_VALUE"""),7696.30952188909)</f>
        <v/>
      </c>
      <c r="B603" s="184" t="n"/>
      <c r="O603" s="184">
        <f>SUM(C603:N603)</f>
        <v/>
      </c>
    </row>
    <row r="604">
      <c r="A604" s="46">
        <f>IFERROR(__xludf.DUMMYFUNCTION("""COMPUTED_VALUE"""),7688.13544352233)</f>
        <v/>
      </c>
      <c r="B604" s="184" t="n"/>
      <c r="O604" s="184">
        <f>SUM(C604:N604)</f>
        <v/>
      </c>
    </row>
    <row r="605">
      <c r="A605" s="46">
        <f>IFERROR(__xludf.DUMMYFUNCTION("""COMPUTED_VALUE"""),6321.07128064206)</f>
        <v/>
      </c>
      <c r="B605" s="184" t="n"/>
      <c r="O605" s="184">
        <f>SUM(C605:N605)</f>
        <v/>
      </c>
    </row>
    <row r="606">
      <c r="A606" s="46">
        <f>IFERROR(__xludf.DUMMYFUNCTION("""COMPUTED_VALUE"""),5842.10858688495)</f>
        <v/>
      </c>
      <c r="B606" s="184" t="n"/>
      <c r="O606" s="184">
        <f>SUM(C606:N606)</f>
        <v/>
      </c>
    </row>
    <row r="607">
      <c r="A607" s="46">
        <f>IFERROR(__xludf.DUMMYFUNCTION("""COMPUTED_VALUE"""),5361.19625184217)</f>
        <v/>
      </c>
      <c r="B607" s="184" t="n"/>
      <c r="O607" s="184">
        <f>SUM(C607:N607)</f>
        <v/>
      </c>
    </row>
    <row r="608">
      <c r="A608" s="46">
        <f>IFERROR(__xludf.DUMMYFUNCTION("""COMPUTED_VALUE"""),5779.82837685485)</f>
        <v/>
      </c>
      <c r="B608" s="184" t="n"/>
      <c r="O608" s="184">
        <f>SUM(C608:N608)</f>
        <v/>
      </c>
    </row>
    <row r="609">
      <c r="A609" s="46">
        <f>IFERROR(__xludf.DUMMYFUNCTION("""COMPUTED_VALUE"""),72321.7481615967)</f>
        <v/>
      </c>
      <c r="B609" s="184" t="n"/>
      <c r="O609" s="184">
        <f>SUM(C609:N609)</f>
        <v/>
      </c>
    </row>
    <row r="610">
      <c r="A610" s="40" t="n"/>
      <c r="B610" s="184" t="n"/>
      <c r="O610" s="184">
        <f>SUM(C610:N610)</f>
        <v/>
      </c>
    </row>
    <row r="611">
      <c r="A611" s="40" t="n"/>
      <c r="B611" s="184" t="n"/>
      <c r="O611" s="184">
        <f>SUM(C611:N611)</f>
        <v/>
      </c>
    </row>
    <row r="612">
      <c r="A612" s="40" t="n"/>
      <c r="B612" s="184" t="n"/>
      <c r="O612" s="184">
        <f>SUM(C612:N612)</f>
        <v/>
      </c>
    </row>
    <row r="613">
      <c r="A613" s="40">
        <f>IFERROR(__xludf.DUMMYFUNCTION("""COMPUTED_VALUE"""),"S5")</f>
        <v/>
      </c>
      <c r="B613" s="184" t="n"/>
      <c r="O613" s="184">
        <f>SUM(C613:N613)</f>
        <v/>
      </c>
    </row>
    <row r="614">
      <c r="A614" s="46">
        <f>IFERROR(__xludf.DUMMYFUNCTION("""COMPUTED_VALUE"""),6332.91116075914)</f>
        <v/>
      </c>
      <c r="B614" s="184" t="n"/>
      <c r="O614" s="184">
        <f>SUM(C614:N614)</f>
        <v/>
      </c>
    </row>
    <row r="615">
      <c r="A615" s="46">
        <f>IFERROR(__xludf.DUMMYFUNCTION("""COMPUTED_VALUE"""),4812.30757395518)</f>
        <v/>
      </c>
      <c r="B615" s="184" t="n"/>
      <c r="O615" s="184">
        <f>SUM(C615:N615)</f>
        <v/>
      </c>
    </row>
    <row r="616">
      <c r="A616" s="46">
        <f>IFERROR(__xludf.DUMMYFUNCTION("""COMPUTED_VALUE"""),4999.91595556479)</f>
        <v/>
      </c>
      <c r="B616" s="184" t="n"/>
      <c r="O616" s="184">
        <f>SUM(C616:N616)</f>
        <v/>
      </c>
    </row>
    <row r="617">
      <c r="A617" s="46">
        <f>IFERROR(__xludf.DUMMYFUNCTION("""COMPUTED_VALUE"""),5848.85708577701)</f>
        <v/>
      </c>
      <c r="B617" s="184" t="n"/>
      <c r="O617" s="184">
        <f>SUM(C617:N617)</f>
        <v/>
      </c>
    </row>
    <row r="618">
      <c r="A618" s="46">
        <f>IFERROR(__xludf.DUMMYFUNCTION("""COMPUTED_VALUE"""),6298.04023413852)</f>
        <v/>
      </c>
      <c r="B618" s="184" t="n"/>
      <c r="O618" s="184">
        <f>SUM(C618:N618)</f>
        <v/>
      </c>
    </row>
    <row r="619">
      <c r="A619" s="46">
        <f>IFERROR(__xludf.DUMMYFUNCTION("""COMPUTED_VALUE"""),4935.05276569416)</f>
        <v/>
      </c>
      <c r="B619" s="184" t="n"/>
      <c r="O619" s="184">
        <f>SUM(C619:N619)</f>
        <v/>
      </c>
    </row>
    <row r="620">
      <c r="A620" s="46">
        <f>IFERROR(__xludf.DUMMYFUNCTION("""COMPUTED_VALUE"""),6242.62945946936)</f>
        <v/>
      </c>
      <c r="B620" s="184" t="n"/>
      <c r="O620" s="184">
        <f>SUM(C620:N620)</f>
        <v/>
      </c>
    </row>
    <row r="621">
      <c r="A621" s="46">
        <f>IFERROR(__xludf.DUMMYFUNCTION("""COMPUTED_VALUE"""),6546.45222136323)</f>
        <v/>
      </c>
      <c r="B621" s="184" t="n"/>
      <c r="O621" s="184">
        <f>SUM(C621:N621)</f>
        <v/>
      </c>
    </row>
    <row r="622">
      <c r="A622" s="46">
        <f>IFERROR(__xludf.DUMMYFUNCTION("""COMPUTED_VALUE"""),5094.69570105307)</f>
        <v/>
      </c>
      <c r="B622" s="184" t="n"/>
      <c r="O622" s="184">
        <f>SUM(C622:N622)</f>
        <v/>
      </c>
    </row>
    <row r="623">
      <c r="A623" s="46">
        <f>IFERROR(__xludf.DUMMYFUNCTION("""COMPUTED_VALUE"""),4874.69765234823)</f>
        <v/>
      </c>
      <c r="B623" s="184" t="n"/>
      <c r="O623" s="184">
        <f>SUM(C623:N623)</f>
        <v/>
      </c>
    </row>
    <row r="624">
      <c r="A624" s="46">
        <f>IFERROR(__xludf.DUMMYFUNCTION("""COMPUTED_VALUE"""),4619.17763028707)</f>
        <v/>
      </c>
      <c r="B624" s="184" t="n"/>
      <c r="O624" s="184">
        <f>SUM(C624:N624)</f>
        <v/>
      </c>
    </row>
    <row r="625">
      <c r="A625" s="46">
        <f>IFERROR(__xludf.DUMMYFUNCTION("""COMPUTED_VALUE"""),5329.79174918091)</f>
        <v/>
      </c>
      <c r="B625" s="184" t="n"/>
      <c r="O625" s="184">
        <f>SUM(C625:N625)</f>
        <v/>
      </c>
    </row>
    <row r="626">
      <c r="A626" s="46">
        <f>IFERROR(__xludf.DUMMYFUNCTION("""COMPUTED_VALUE"""),65934.5291895907)</f>
        <v/>
      </c>
      <c r="B626" s="184" t="n"/>
      <c r="O626" s="184">
        <f>SUM(C626:N626)</f>
        <v/>
      </c>
    </row>
    <row r="627">
      <c r="A627" s="40" t="n"/>
      <c r="B627" s="184" t="n"/>
      <c r="O627" s="184">
        <f>SUM(C627:N627)</f>
        <v/>
      </c>
    </row>
    <row r="628">
      <c r="A628" s="40" t="n"/>
      <c r="B628" s="184" t="n"/>
      <c r="O628" s="184">
        <f>SUM(C628:N628)</f>
        <v/>
      </c>
    </row>
    <row r="629">
      <c r="A629" s="40" t="n"/>
      <c r="B629" s="184" t="n"/>
      <c r="O629" s="184">
        <f>SUM(C629:N629)</f>
        <v/>
      </c>
    </row>
    <row r="630">
      <c r="A630" s="40">
        <f>IFERROR(__xludf.DUMMYFUNCTION("""COMPUTED_VALUE"""),"S6")</f>
        <v/>
      </c>
      <c r="B630" s="184" t="n"/>
      <c r="O630" s="184">
        <f>SUM(C630:N630)</f>
        <v/>
      </c>
    </row>
    <row r="631">
      <c r="A631" s="46">
        <f>IFERROR(__xludf.DUMMYFUNCTION("""COMPUTED_VALUE"""),5368.20795455637)</f>
        <v/>
      </c>
      <c r="B631" s="184" t="n"/>
      <c r="O631" s="184">
        <f>SUM(C631:N631)</f>
        <v/>
      </c>
    </row>
    <row r="632">
      <c r="A632" s="46">
        <f>IFERROR(__xludf.DUMMYFUNCTION("""COMPUTED_VALUE"""),4093.09094957133)</f>
        <v/>
      </c>
      <c r="B632" s="184" t="n"/>
      <c r="O632" s="184">
        <f>SUM(C632:N632)</f>
        <v/>
      </c>
    </row>
    <row r="633">
      <c r="A633" s="46">
        <f>IFERROR(__xludf.DUMMYFUNCTION("""COMPUTED_VALUE"""),4299.45088789483)</f>
        <v/>
      </c>
      <c r="B633" s="184" t="n"/>
      <c r="O633" s="184">
        <f>SUM(C633:N633)</f>
        <v/>
      </c>
    </row>
    <row r="634">
      <c r="A634" s="46">
        <f>IFERROR(__xludf.DUMMYFUNCTION("""COMPUTED_VALUE"""),5134.92379428471)</f>
        <v/>
      </c>
      <c r="B634" s="184" t="n"/>
      <c r="O634" s="184">
        <f>SUM(C634:N634)</f>
        <v/>
      </c>
    </row>
    <row r="635">
      <c r="A635" s="46">
        <f>IFERROR(__xludf.DUMMYFUNCTION("""COMPUTED_VALUE"""),5582.26629807222)</f>
        <v/>
      </c>
      <c r="B635" s="184" t="n"/>
      <c r="O635" s="184">
        <f>SUM(C635:N635)</f>
        <v/>
      </c>
    </row>
    <row r="636">
      <c r="A636" s="46">
        <f>IFERROR(__xludf.DUMMYFUNCTION("""COMPUTED_VALUE"""),4758.14665908187)</f>
        <v/>
      </c>
      <c r="B636" s="184" t="n"/>
      <c r="O636" s="184">
        <f>SUM(C636:N636)</f>
        <v/>
      </c>
    </row>
    <row r="637">
      <c r="A637" s="46">
        <f>IFERROR(__xludf.DUMMYFUNCTION("""COMPUTED_VALUE"""),6130.20714259204)</f>
        <v/>
      </c>
      <c r="B637" s="184" t="n"/>
      <c r="O637" s="184">
        <f>SUM(C637:N637)</f>
        <v/>
      </c>
    </row>
    <row r="638">
      <c r="A638" s="46">
        <f>IFERROR(__xludf.DUMMYFUNCTION("""COMPUTED_VALUE"""),6464.28434197887)</f>
        <v/>
      </c>
      <c r="B638" s="184" t="n"/>
      <c r="O638" s="184">
        <f>SUM(C638:N638)</f>
        <v/>
      </c>
    </row>
    <row r="639">
      <c r="A639" s="46">
        <f>IFERROR(__xludf.DUMMYFUNCTION("""COMPUTED_VALUE"""),5014.80490610523)</f>
        <v/>
      </c>
      <c r="B639" s="184" t="n"/>
      <c r="O639" s="184">
        <f>SUM(C639:N639)</f>
        <v/>
      </c>
    </row>
    <row r="640">
      <c r="A640" s="46">
        <f>IFERROR(__xludf.DUMMYFUNCTION("""COMPUTED_VALUE"""),4793.37797624733)</f>
        <v/>
      </c>
      <c r="B640" s="184" t="n"/>
      <c r="O640" s="184">
        <f>SUM(C640:N640)</f>
        <v/>
      </c>
    </row>
    <row r="641">
      <c r="A641" s="46">
        <f>IFERROR(__xludf.DUMMYFUNCTION("""COMPUTED_VALUE"""),4559.83196607311)</f>
        <v/>
      </c>
      <c r="B641" s="184" t="n"/>
      <c r="O641" s="184">
        <f>SUM(C641:N641)</f>
        <v/>
      </c>
    </row>
    <row r="642">
      <c r="A642" s="46">
        <f>IFERROR(__xludf.DUMMYFUNCTION("""COMPUTED_VALUE"""),4903.4622106896)</f>
        <v/>
      </c>
      <c r="B642" s="184" t="n"/>
      <c r="O642" s="184">
        <f>SUM(C642:N642)</f>
        <v/>
      </c>
    </row>
    <row r="643">
      <c r="A643" s="46">
        <f>IFERROR(__xludf.DUMMYFUNCTION("""COMPUTED_VALUE"""),61102.0550871475)</f>
        <v/>
      </c>
      <c r="B643" s="184" t="n"/>
      <c r="O643" s="184">
        <f>SUM(C643:N643)</f>
        <v/>
      </c>
    </row>
    <row r="644">
      <c r="A644" s="40" t="n"/>
      <c r="B644" s="184" t="n"/>
      <c r="O644" s="184">
        <f>SUM(C644:N644)</f>
        <v/>
      </c>
    </row>
    <row r="645">
      <c r="A645" s="40" t="n"/>
      <c r="B645" s="184" t="n"/>
      <c r="O645" s="184">
        <f>SUM(C645:N645)</f>
        <v/>
      </c>
    </row>
    <row r="646">
      <c r="A646" s="40" t="n"/>
      <c r="B646" s="184" t="n"/>
      <c r="O646" s="184">
        <f>SUM(C646:N646)</f>
        <v/>
      </c>
    </row>
    <row r="647">
      <c r="A647" s="40">
        <f>IFERROR(__xludf.DUMMYFUNCTION("""COMPUTED_VALUE"""),"S7")</f>
        <v/>
      </c>
      <c r="B647" s="184" t="n"/>
      <c r="O647" s="184">
        <f>SUM(C647:N647)</f>
        <v/>
      </c>
    </row>
    <row r="648">
      <c r="A648" s="46">
        <f>IFERROR(__xludf.DUMMYFUNCTION("""COMPUTED_VALUE"""),5447.3739049854)</f>
        <v/>
      </c>
      <c r="B648" s="184" t="n"/>
      <c r="O648" s="184">
        <f>SUM(C648:N648)</f>
        <v/>
      </c>
    </row>
    <row r="649">
      <c r="A649" s="46">
        <f>IFERROR(__xludf.DUMMYFUNCTION("""COMPUTED_VALUE"""),4077.49067006412)</f>
        <v/>
      </c>
      <c r="B649" s="184" t="n"/>
      <c r="O649" s="184">
        <f>SUM(C649:N649)</f>
        <v/>
      </c>
    </row>
    <row r="650">
      <c r="A650" s="46">
        <f>IFERROR(__xludf.DUMMYFUNCTION("""COMPUTED_VALUE"""),4377.74947178991)</f>
        <v/>
      </c>
      <c r="B650" s="184" t="n"/>
      <c r="O650" s="184">
        <f>SUM(C650:N650)</f>
        <v/>
      </c>
    </row>
    <row r="651">
      <c r="A651" s="46">
        <f>IFERROR(__xludf.DUMMYFUNCTION("""COMPUTED_VALUE"""),5167.9286679346)</f>
        <v/>
      </c>
      <c r="B651" s="184" t="n"/>
      <c r="O651" s="184">
        <f>SUM(C651:N651)</f>
        <v/>
      </c>
    </row>
    <row r="652">
      <c r="A652" s="46">
        <f>IFERROR(__xludf.DUMMYFUNCTION("""COMPUTED_VALUE"""),5581.91052351562)</f>
        <v/>
      </c>
      <c r="B652" s="184" t="n"/>
      <c r="O652" s="184">
        <f>SUM(C652:N652)</f>
        <v/>
      </c>
    </row>
    <row r="653">
      <c r="A653" s="46">
        <f>IFERROR(__xludf.DUMMYFUNCTION("""COMPUTED_VALUE"""),4740.61364851562)</f>
        <v/>
      </c>
      <c r="B653" s="184" t="n"/>
      <c r="O653" s="184">
        <f>SUM(C653:N653)</f>
        <v/>
      </c>
    </row>
    <row r="654">
      <c r="A654" s="46">
        <f>IFERROR(__xludf.DUMMYFUNCTION("""COMPUTED_VALUE"""),6113.63069511297)</f>
        <v/>
      </c>
      <c r="B654" s="184" t="n"/>
      <c r="O654" s="184">
        <f>SUM(C654:N654)</f>
        <v/>
      </c>
    </row>
    <row r="655">
      <c r="A655" s="46">
        <f>IFERROR(__xludf.DUMMYFUNCTION("""COMPUTED_VALUE"""),6464.13908350029)</f>
        <v/>
      </c>
      <c r="B655" s="184" t="n"/>
      <c r="O655" s="184">
        <f>SUM(C655:N655)</f>
        <v/>
      </c>
    </row>
    <row r="656">
      <c r="A656" s="46">
        <f>IFERROR(__xludf.DUMMYFUNCTION("""COMPUTED_VALUE"""),4817.20016535466)</f>
        <v/>
      </c>
      <c r="B656" s="184" t="n"/>
      <c r="O656" s="184">
        <f>SUM(C656:N656)</f>
        <v/>
      </c>
    </row>
    <row r="657">
      <c r="A657" s="46">
        <f>IFERROR(__xludf.DUMMYFUNCTION("""COMPUTED_VALUE"""),5254.98126774294)</f>
        <v/>
      </c>
      <c r="B657" s="184" t="n"/>
      <c r="O657" s="184">
        <f>SUM(C657:N657)</f>
        <v/>
      </c>
    </row>
    <row r="658">
      <c r="A658" s="46">
        <f>IFERROR(__xludf.DUMMYFUNCTION("""COMPUTED_VALUE"""),4875.20471665009)</f>
        <v/>
      </c>
      <c r="B658" s="184" t="n"/>
      <c r="O658" s="184">
        <f>SUM(C658:N658)</f>
        <v/>
      </c>
    </row>
    <row r="659">
      <c r="A659" s="46">
        <f>IFERROR(__xludf.DUMMYFUNCTION("""COMPUTED_VALUE"""),4936.2806065357)</f>
        <v/>
      </c>
      <c r="B659" s="184" t="n"/>
      <c r="O659" s="184">
        <f>SUM(C659:N659)</f>
        <v/>
      </c>
    </row>
    <row r="660">
      <c r="A660" s="46">
        <f>IFERROR(__xludf.DUMMYFUNCTION("""COMPUTED_VALUE"""),61854.5034217019)</f>
        <v/>
      </c>
      <c r="B660" s="184" t="n"/>
      <c r="O660" s="184">
        <f>SUM(C660:N660)</f>
        <v/>
      </c>
    </row>
    <row r="661">
      <c r="A661" s="40" t="n"/>
      <c r="B661" s="184" t="n"/>
      <c r="O661" s="184">
        <f>SUM(C661:N661)</f>
        <v/>
      </c>
    </row>
    <row r="662">
      <c r="A662" s="40" t="n"/>
      <c r="B662" s="184" t="n"/>
      <c r="O662" s="184">
        <f>SUM(C662:N662)</f>
        <v/>
      </c>
    </row>
    <row r="663">
      <c r="A663" s="40" t="n"/>
      <c r="B663" s="184" t="n"/>
      <c r="O663" s="184">
        <f>SUM(C663:N663)</f>
        <v/>
      </c>
    </row>
    <row r="664">
      <c r="A664" s="40">
        <f>IFERROR(__xludf.DUMMYFUNCTION("""COMPUTED_VALUE"""),"S8")</f>
        <v/>
      </c>
      <c r="B664" s="184" t="n"/>
      <c r="O664" s="184">
        <f>SUM(C664:N664)</f>
        <v/>
      </c>
    </row>
    <row r="665">
      <c r="A665" s="46">
        <f>IFERROR(__xludf.DUMMYFUNCTION("""COMPUTED_VALUE"""),5475.71726995382)</f>
        <v/>
      </c>
      <c r="B665" s="184" t="n"/>
      <c r="O665" s="184">
        <f>SUM(C665:N665)</f>
        <v/>
      </c>
    </row>
    <row r="666">
      <c r="A666" s="46">
        <f>IFERROR(__xludf.DUMMYFUNCTION("""COMPUTED_VALUE"""),6855.94947737411)</f>
        <v/>
      </c>
      <c r="B666" s="184" t="n"/>
      <c r="O666" s="184">
        <f>SUM(C666:N666)</f>
        <v/>
      </c>
    </row>
    <row r="667">
      <c r="A667" s="46">
        <f>IFERROR(__xludf.DUMMYFUNCTION("""COMPUTED_VALUE"""),5922.8610357759)</f>
        <v/>
      </c>
      <c r="B667" s="184" t="n"/>
      <c r="O667" s="184">
        <f>SUM(C667:N667)</f>
        <v/>
      </c>
    </row>
    <row r="668">
      <c r="A668" s="46">
        <f>IFERROR(__xludf.DUMMYFUNCTION("""COMPUTED_VALUE"""),6830.03065885797)</f>
        <v/>
      </c>
      <c r="B668" s="184" t="n"/>
      <c r="O668" s="184">
        <f>SUM(C668:N668)</f>
        <v/>
      </c>
    </row>
    <row r="669">
      <c r="A669" s="46">
        <f>IFERROR(__xludf.DUMMYFUNCTION("""COMPUTED_VALUE"""),6981.26079827562)</f>
        <v/>
      </c>
      <c r="B669" s="184" t="n"/>
      <c r="O669" s="184">
        <f>SUM(C669:N669)</f>
        <v/>
      </c>
    </row>
    <row r="670">
      <c r="A670" s="46">
        <f>IFERROR(__xludf.DUMMYFUNCTION("""COMPUTED_VALUE"""),5862.4505245895)</f>
        <v/>
      </c>
      <c r="B670" s="184" t="n"/>
      <c r="O670" s="184">
        <f>SUM(C670:N670)</f>
        <v/>
      </c>
    </row>
    <row r="671">
      <c r="A671" s="46">
        <f>IFERROR(__xludf.DUMMYFUNCTION("""COMPUTED_VALUE"""),7718.78335933669)</f>
        <v/>
      </c>
      <c r="B671" s="184" t="n"/>
      <c r="O671" s="184">
        <f>SUM(C671:N671)</f>
        <v/>
      </c>
    </row>
    <row r="672">
      <c r="A672" s="46">
        <f>IFERROR(__xludf.DUMMYFUNCTION("""COMPUTED_VALUE"""),7866.1739187706)</f>
        <v/>
      </c>
      <c r="B672" s="184" t="n"/>
      <c r="O672" s="184">
        <f>SUM(C672:N672)</f>
        <v/>
      </c>
    </row>
    <row r="673">
      <c r="A673" s="46">
        <f>IFERROR(__xludf.DUMMYFUNCTION("""COMPUTED_VALUE"""),6148.60337206811)</f>
        <v/>
      </c>
      <c r="B673" s="184" t="n"/>
      <c r="O673" s="184">
        <f>SUM(C673:N673)</f>
        <v/>
      </c>
    </row>
    <row r="674">
      <c r="A674" s="46">
        <f>IFERROR(__xludf.DUMMYFUNCTION("""COMPUTED_VALUE"""),5726.08608232474)</f>
        <v/>
      </c>
      <c r="B674" s="184" t="n"/>
      <c r="O674" s="184">
        <f>SUM(C674:N674)</f>
        <v/>
      </c>
    </row>
    <row r="675">
      <c r="A675" s="46">
        <f>IFERROR(__xludf.DUMMYFUNCTION("""COMPUTED_VALUE"""),5558.91622311498)</f>
        <v/>
      </c>
      <c r="B675" s="184" t="n"/>
      <c r="O675" s="184">
        <f>SUM(C675:N675)</f>
        <v/>
      </c>
    </row>
    <row r="676">
      <c r="A676" s="46">
        <f>IFERROR(__xludf.DUMMYFUNCTION("""COMPUTED_VALUE"""),5436.87171729871)</f>
        <v/>
      </c>
      <c r="B676" s="184" t="n"/>
      <c r="O676" s="184">
        <f>SUM(C676:N676)</f>
        <v/>
      </c>
    </row>
    <row r="677">
      <c r="A677" s="46">
        <f>IFERROR(__xludf.DUMMYFUNCTION("""COMPUTED_VALUE"""),76383.7044377408)</f>
        <v/>
      </c>
      <c r="B677" s="184" t="n"/>
      <c r="O677" s="184">
        <f>SUM(C677:N677)</f>
        <v/>
      </c>
    </row>
    <row r="678">
      <c r="A678" s="40" t="n"/>
      <c r="B678" s="184" t="n"/>
      <c r="O678" s="184">
        <f>SUM(C678:N678)</f>
        <v/>
      </c>
    </row>
    <row r="679">
      <c r="A679" s="40" t="n"/>
      <c r="B679" s="184" t="n"/>
      <c r="O679" s="184">
        <f>SUM(C679:N679)</f>
        <v/>
      </c>
    </row>
    <row r="680">
      <c r="A680" s="40" t="n"/>
      <c r="B680" s="184" t="n"/>
      <c r="O680" s="184">
        <f>SUM(C680:N680)</f>
        <v/>
      </c>
    </row>
    <row r="681">
      <c r="A681" s="40">
        <f>IFERROR(__xludf.DUMMYFUNCTION("""COMPUTED_VALUE"""),"S9")</f>
        <v/>
      </c>
      <c r="B681" s="184" t="n"/>
      <c r="O681" s="184">
        <f>SUM(C681:N681)</f>
        <v/>
      </c>
    </row>
    <row r="682">
      <c r="A682" s="46">
        <f>IFERROR(__xludf.DUMMYFUNCTION("""COMPUTED_VALUE"""),6428.40320501552)</f>
        <v/>
      </c>
      <c r="B682" s="184" t="n"/>
      <c r="O682" s="184">
        <f>SUM(C682:N682)</f>
        <v/>
      </c>
    </row>
    <row r="683">
      <c r="A683" s="46">
        <f>IFERROR(__xludf.DUMMYFUNCTION("""COMPUTED_VALUE"""),5047.97181178692)</f>
        <v/>
      </c>
      <c r="B683" s="184" t="n"/>
      <c r="O683" s="184">
        <f>SUM(C683:N683)</f>
        <v/>
      </c>
    </row>
    <row r="684">
      <c r="A684" s="46">
        <f>IFERROR(__xludf.DUMMYFUNCTION("""COMPUTED_VALUE"""),4957.32629774397)</f>
        <v/>
      </c>
      <c r="B684" s="184" t="n"/>
      <c r="O684" s="184">
        <f>SUM(C684:N684)</f>
        <v/>
      </c>
    </row>
    <row r="685">
      <c r="A685" s="46">
        <f>IFERROR(__xludf.DUMMYFUNCTION("""COMPUTED_VALUE"""),5443.14471752445)</f>
        <v/>
      </c>
      <c r="B685" s="184" t="n"/>
      <c r="O685" s="184">
        <f>SUM(C685:N685)</f>
        <v/>
      </c>
    </row>
    <row r="686">
      <c r="A686" s="46">
        <f>IFERROR(__xludf.DUMMYFUNCTION("""COMPUTED_VALUE"""),6057.27561190196)</f>
        <v/>
      </c>
      <c r="B686" s="184" t="n"/>
      <c r="O686" s="184">
        <f>SUM(C686:N686)</f>
        <v/>
      </c>
    </row>
    <row r="687">
      <c r="A687" s="46">
        <f>IFERROR(__xludf.DUMMYFUNCTION("""COMPUTED_VALUE"""),5203.76651563516)</f>
        <v/>
      </c>
      <c r="B687" s="184" t="n"/>
      <c r="O687" s="184">
        <f>SUM(C687:N687)</f>
        <v/>
      </c>
    </row>
    <row r="688">
      <c r="A688" s="46">
        <f>IFERROR(__xludf.DUMMYFUNCTION("""COMPUTED_VALUE"""),6547.08554152701)</f>
        <v/>
      </c>
      <c r="B688" s="184" t="n"/>
      <c r="O688" s="184">
        <f>SUM(C688:N688)</f>
        <v/>
      </c>
    </row>
    <row r="689">
      <c r="A689" s="46">
        <f>IFERROR(__xludf.DUMMYFUNCTION("""COMPUTED_VALUE"""),7519.88473870215)</f>
        <v/>
      </c>
      <c r="B689" s="184" t="n"/>
      <c r="O689" s="184">
        <f>SUM(C689:N689)</f>
        <v/>
      </c>
    </row>
    <row r="690">
      <c r="A690" s="46">
        <f>IFERROR(__xludf.DUMMYFUNCTION("""COMPUTED_VALUE"""),5318.24240271722)</f>
        <v/>
      </c>
      <c r="B690" s="184" t="n"/>
      <c r="O690" s="184">
        <f>SUM(C690:N690)</f>
        <v/>
      </c>
    </row>
    <row r="691">
      <c r="A691" s="46">
        <f>IFERROR(__xludf.DUMMYFUNCTION("""COMPUTED_VALUE"""),5491.82177259214)</f>
        <v/>
      </c>
      <c r="B691" s="184" t="n"/>
      <c r="O691" s="184">
        <f>SUM(C691:N691)</f>
        <v/>
      </c>
    </row>
    <row r="692">
      <c r="A692" s="46">
        <f>IFERROR(__xludf.DUMMYFUNCTION("""COMPUTED_VALUE"""),5410.11582663381)</f>
        <v/>
      </c>
      <c r="B692" s="184" t="n"/>
      <c r="O692" s="184">
        <f>SUM(C692:N692)</f>
        <v/>
      </c>
    </row>
    <row r="693">
      <c r="A693" s="46">
        <f>IFERROR(__xludf.DUMMYFUNCTION("""COMPUTED_VALUE"""),5266.74673487539)</f>
        <v/>
      </c>
      <c r="B693" s="184" t="n"/>
      <c r="O693" s="184">
        <f>SUM(C693:N693)</f>
        <v/>
      </c>
    </row>
    <row r="694">
      <c r="A694" s="46">
        <f>IFERROR(__xludf.DUMMYFUNCTION("""COMPUTED_VALUE"""),68691.7851766557)</f>
        <v/>
      </c>
      <c r="B694" s="184" t="n"/>
      <c r="O694" s="184">
        <f>SUM(C694:N694)</f>
        <v/>
      </c>
    </row>
    <row r="695">
      <c r="A695" s="40" t="n"/>
      <c r="B695" s="184" t="n"/>
      <c r="O695" s="184">
        <f>SUM(C695:N695)</f>
        <v/>
      </c>
    </row>
    <row r="696">
      <c r="A696" s="40" t="n"/>
      <c r="B696" s="184" t="n"/>
      <c r="O696" s="184">
        <f>SUM(C696:N696)</f>
        <v/>
      </c>
    </row>
    <row r="697">
      <c r="A697" s="40" t="n"/>
      <c r="B697" s="184" t="n"/>
      <c r="O697" s="184">
        <f>SUM(C697:N697)</f>
        <v/>
      </c>
    </row>
    <row r="698">
      <c r="A698" s="40">
        <f>IFERROR(__xludf.DUMMYFUNCTION("""COMPUTED_VALUE"""),"S10")</f>
        <v/>
      </c>
      <c r="B698" s="184" t="n"/>
      <c r="O698" s="184">
        <f>SUM(C698:N698)</f>
        <v/>
      </c>
    </row>
    <row r="699">
      <c r="A699" s="46">
        <f>IFERROR(__xludf.DUMMYFUNCTION("""COMPUTED_VALUE"""),5399.94635053734)</f>
        <v/>
      </c>
      <c r="B699" s="184" t="n"/>
      <c r="O699" s="184">
        <f>SUM(C699:N699)</f>
        <v/>
      </c>
    </row>
    <row r="700">
      <c r="A700" s="46">
        <f>IFERROR(__xludf.DUMMYFUNCTION("""COMPUTED_VALUE"""),4099.21442377042)</f>
        <v/>
      </c>
      <c r="B700" s="184" t="n"/>
      <c r="O700" s="184">
        <f>SUM(C700:N700)</f>
        <v/>
      </c>
    </row>
    <row r="701">
      <c r="A701" s="46">
        <f>IFERROR(__xludf.DUMMYFUNCTION("""COMPUTED_VALUE"""),4325.0766390575)</f>
        <v/>
      </c>
      <c r="B701" s="184" t="n"/>
      <c r="O701" s="184">
        <f>SUM(C701:N701)</f>
        <v/>
      </c>
    </row>
    <row r="702">
      <c r="A702" s="46">
        <f>IFERROR(__xludf.DUMMYFUNCTION("""COMPUTED_VALUE"""),5156.52124575779)</f>
        <v/>
      </c>
      <c r="B702" s="184" t="n"/>
      <c r="O702" s="184">
        <f>SUM(C702:N702)</f>
        <v/>
      </c>
    </row>
    <row r="703">
      <c r="A703" s="46">
        <f>IFERROR(__xludf.DUMMYFUNCTION("""COMPUTED_VALUE"""),5645.63864096719)</f>
        <v/>
      </c>
      <c r="B703" s="184" t="n"/>
      <c r="O703" s="184">
        <f>SUM(C703:N703)</f>
        <v/>
      </c>
    </row>
    <row r="704">
      <c r="A704" s="46">
        <f>IFERROR(__xludf.DUMMYFUNCTION("""COMPUTED_VALUE"""),4795.93128185274)</f>
        <v/>
      </c>
      <c r="B704" s="184" t="n"/>
      <c r="O704" s="184">
        <f>SUM(C704:N704)</f>
        <v/>
      </c>
    </row>
    <row r="705">
      <c r="A705" s="46">
        <f>IFERROR(__xludf.DUMMYFUNCTION("""COMPUTED_VALUE"""),6185.9401342765)</f>
        <v/>
      </c>
      <c r="B705" s="184" t="n"/>
      <c r="O705" s="184">
        <f>SUM(C705:N705)</f>
        <v/>
      </c>
    </row>
    <row r="706">
      <c r="A706" s="46">
        <f>IFERROR(__xludf.DUMMYFUNCTION("""COMPUTED_VALUE"""),6507.57136859621)</f>
        <v/>
      </c>
      <c r="B706" s="184" t="n"/>
      <c r="O706" s="184">
        <f>SUM(C706:N706)</f>
        <v/>
      </c>
    </row>
    <row r="707">
      <c r="A707" s="46">
        <f>IFERROR(__xludf.DUMMYFUNCTION("""COMPUTED_VALUE"""),4871.62400087403)</f>
        <v/>
      </c>
      <c r="B707" s="184" t="n"/>
      <c r="O707" s="184">
        <f>SUM(C707:N707)</f>
        <v/>
      </c>
    </row>
    <row r="708">
      <c r="A708" s="46">
        <f>IFERROR(__xludf.DUMMYFUNCTION("""COMPUTED_VALUE"""),4780.98145784582)</f>
        <v/>
      </c>
      <c r="B708" s="184" t="n"/>
      <c r="O708" s="184">
        <f>SUM(C708:N708)</f>
        <v/>
      </c>
    </row>
    <row r="709">
      <c r="A709" s="46">
        <f>IFERROR(__xludf.DUMMYFUNCTION("""COMPUTED_VALUE"""),4461.81271067974)</f>
        <v/>
      </c>
      <c r="B709" s="184" t="n"/>
      <c r="O709" s="184">
        <f>SUM(C709:N709)</f>
        <v/>
      </c>
    </row>
    <row r="710">
      <c r="A710" s="46">
        <f>IFERROR(__xludf.DUMMYFUNCTION("""COMPUTED_VALUE"""),4632.24603369731)</f>
        <v/>
      </c>
      <c r="B710" s="184" t="n"/>
      <c r="O710" s="184">
        <f>SUM(C710:N710)</f>
        <v/>
      </c>
    </row>
    <row r="711">
      <c r="A711" s="46">
        <f>IFERROR(__xludf.DUMMYFUNCTION("""COMPUTED_VALUE"""),60862.5042879126)</f>
        <v/>
      </c>
      <c r="B711" s="184" t="n"/>
      <c r="O711" s="184">
        <f>SUM(C711:N711)</f>
        <v/>
      </c>
    </row>
    <row r="712">
      <c r="A712" s="40" t="n"/>
      <c r="B712" s="184" t="n"/>
      <c r="O712" s="184">
        <f>SUM(C712:N712)</f>
        <v/>
      </c>
    </row>
    <row r="713">
      <c r="A713" s="40" t="n"/>
      <c r="B713" s="184" t="n"/>
      <c r="O713" s="184">
        <f>SUM(C713:N713)</f>
        <v/>
      </c>
    </row>
    <row r="714">
      <c r="A714" s="40" t="n"/>
      <c r="B714" s="184" t="n"/>
      <c r="O714" s="184">
        <f>SUM(C714:N714)</f>
        <v/>
      </c>
    </row>
    <row r="715">
      <c r="A715" s="40">
        <f>IFERROR(__xludf.DUMMYFUNCTION("""COMPUTED_VALUE"""),"S11")</f>
        <v/>
      </c>
      <c r="B715" s="184" t="n"/>
      <c r="O715" s="184">
        <f>SUM(C715:N715)</f>
        <v/>
      </c>
    </row>
    <row r="716">
      <c r="A716" s="46">
        <f>IFERROR(__xludf.DUMMYFUNCTION("""COMPUTED_VALUE"""),5377.51856990898)</f>
        <v/>
      </c>
      <c r="B716" s="184" t="n"/>
      <c r="O716" s="184">
        <f>SUM(C716:N716)</f>
        <v/>
      </c>
    </row>
    <row r="717">
      <c r="A717" s="46">
        <f>IFERROR(__xludf.DUMMYFUNCTION("""COMPUTED_VALUE"""),4364.95376441039)</f>
        <v/>
      </c>
      <c r="B717" s="184" t="n"/>
      <c r="O717" s="184">
        <f>SUM(C717:N717)</f>
        <v/>
      </c>
    </row>
    <row r="718">
      <c r="A718" s="46">
        <f>IFERROR(__xludf.DUMMYFUNCTION("""COMPUTED_VALUE"""),5104.92719034558)</f>
        <v/>
      </c>
      <c r="B718" s="184" t="n"/>
      <c r="O718" s="184">
        <f>SUM(C718:N718)</f>
        <v/>
      </c>
    </row>
    <row r="719">
      <c r="A719" s="46">
        <f>IFERROR(__xludf.DUMMYFUNCTION("""COMPUTED_VALUE"""),5912.29678144012)</f>
        <v/>
      </c>
      <c r="B719" s="184" t="n"/>
      <c r="O719" s="184">
        <f>SUM(C719:N719)</f>
        <v/>
      </c>
    </row>
    <row r="720">
      <c r="A720" s="46">
        <f>IFERROR(__xludf.DUMMYFUNCTION("""COMPUTED_VALUE"""),6392.94309711246)</f>
        <v/>
      </c>
      <c r="B720" s="184" t="n"/>
      <c r="O720" s="184">
        <f>SUM(C720:N720)</f>
        <v/>
      </c>
    </row>
    <row r="721">
      <c r="A721" s="46">
        <f>IFERROR(__xludf.DUMMYFUNCTION("""COMPUTED_VALUE"""),5150.96489581339)</f>
        <v/>
      </c>
      <c r="B721" s="184" t="n"/>
      <c r="O721" s="184">
        <f>SUM(C721:N721)</f>
        <v/>
      </c>
    </row>
    <row r="722">
      <c r="A722" s="46">
        <f>IFERROR(__xludf.DUMMYFUNCTION("""COMPUTED_VALUE"""),6370.03433464507)</f>
        <v/>
      </c>
      <c r="B722" s="184" t="n"/>
      <c r="O722" s="184">
        <f>SUM(C722:N722)</f>
        <v/>
      </c>
    </row>
    <row r="723">
      <c r="A723" s="46">
        <f>IFERROR(__xludf.DUMMYFUNCTION("""COMPUTED_VALUE"""),7191.39986626587)</f>
        <v/>
      </c>
      <c r="B723" s="184" t="n"/>
      <c r="O723" s="184">
        <f>SUM(C723:N723)</f>
        <v/>
      </c>
    </row>
    <row r="724">
      <c r="A724" s="46">
        <f>IFERROR(__xludf.DUMMYFUNCTION("""COMPUTED_VALUE"""),5517.87167688956)</f>
        <v/>
      </c>
      <c r="B724" s="184" t="n"/>
      <c r="O724" s="184">
        <f>SUM(C724:N724)</f>
        <v/>
      </c>
    </row>
    <row r="725">
      <c r="A725" s="46">
        <f>IFERROR(__xludf.DUMMYFUNCTION("""COMPUTED_VALUE"""),5052.2573650213)</f>
        <v/>
      </c>
      <c r="B725" s="184" t="n"/>
      <c r="O725" s="184">
        <f>SUM(C725:N725)</f>
        <v/>
      </c>
    </row>
    <row r="726">
      <c r="A726" s="46">
        <f>IFERROR(__xludf.DUMMYFUNCTION("""COMPUTED_VALUE"""),5055.81335474121)</f>
        <v/>
      </c>
      <c r="B726" s="184" t="n"/>
      <c r="O726" s="184">
        <f>SUM(C726:N726)</f>
        <v/>
      </c>
    </row>
    <row r="727">
      <c r="A727" s="46">
        <f>IFERROR(__xludf.DUMMYFUNCTION("""COMPUTED_VALUE"""),5146.23872659154)</f>
        <v/>
      </c>
      <c r="B727" s="184" t="n"/>
      <c r="O727" s="184">
        <f>SUM(C727:N727)</f>
        <v/>
      </c>
    </row>
    <row r="728">
      <c r="A728" s="46">
        <f>IFERROR(__xludf.DUMMYFUNCTION("""COMPUTED_VALUE"""),66637.2196231855)</f>
        <v/>
      </c>
      <c r="B728" s="184" t="n"/>
      <c r="O728" s="184">
        <f>SUM(C728:N728)</f>
        <v/>
      </c>
    </row>
    <row r="729">
      <c r="A729" s="40" t="n"/>
      <c r="B729" s="184" t="n"/>
      <c r="O729" s="184">
        <f>SUM(C729:N729)</f>
        <v/>
      </c>
    </row>
    <row r="730">
      <c r="A730" s="40" t="n"/>
      <c r="B730" s="184" t="n"/>
      <c r="O730" s="184">
        <f>SUM(C730:N730)</f>
        <v/>
      </c>
    </row>
    <row r="731">
      <c r="A731" s="40" t="n"/>
      <c r="B731" s="184" t="n"/>
      <c r="O731" s="184">
        <f>SUM(C731:N731)</f>
        <v/>
      </c>
    </row>
    <row r="732">
      <c r="A732" s="40">
        <f>IFERROR(__xludf.DUMMYFUNCTION("""COMPUTED_VALUE"""),"S12")</f>
        <v/>
      </c>
      <c r="B732" s="184" t="n"/>
      <c r="O732" s="184">
        <f>SUM(C732:N732)</f>
        <v/>
      </c>
    </row>
    <row r="733">
      <c r="A733" s="46">
        <f>IFERROR(__xludf.DUMMYFUNCTION("""COMPUTED_VALUE"""),6202.87118500567)</f>
        <v/>
      </c>
      <c r="B733" s="184" t="n"/>
      <c r="O733" s="184">
        <f>SUM(C733:N733)</f>
        <v/>
      </c>
    </row>
    <row r="734">
      <c r="A734" s="46">
        <f>IFERROR(__xludf.DUMMYFUNCTION("""COMPUTED_VALUE"""),5987.65277165617)</f>
        <v/>
      </c>
      <c r="B734" s="184" t="n"/>
      <c r="O734" s="184">
        <f>SUM(C734:N734)</f>
        <v/>
      </c>
    </row>
    <row r="735">
      <c r="A735" s="46">
        <f>IFERROR(__xludf.DUMMYFUNCTION("""COMPUTED_VALUE"""),5118.63884839021)</f>
        <v/>
      </c>
      <c r="B735" s="184" t="n"/>
      <c r="O735" s="184">
        <f>SUM(C735:N735)</f>
        <v/>
      </c>
    </row>
    <row r="736">
      <c r="A736" s="46">
        <f>IFERROR(__xludf.DUMMYFUNCTION("""COMPUTED_VALUE"""),5904.94733553174)</f>
        <v/>
      </c>
      <c r="B736" s="184" t="n"/>
      <c r="O736" s="184">
        <f>SUM(C736:N736)</f>
        <v/>
      </c>
    </row>
    <row r="737">
      <c r="A737" s="46">
        <f>IFERROR(__xludf.DUMMYFUNCTION("""COMPUTED_VALUE"""),6760.14691134666)</f>
        <v/>
      </c>
      <c r="B737" s="184" t="n"/>
      <c r="O737" s="184">
        <f>SUM(C737:N737)</f>
        <v/>
      </c>
    </row>
    <row r="738">
      <c r="A738" s="46">
        <f>IFERROR(__xludf.DUMMYFUNCTION("""COMPUTED_VALUE"""),5234.7687463177)</f>
        <v/>
      </c>
      <c r="B738" s="184" t="n"/>
      <c r="O738" s="184">
        <f>SUM(C738:N738)</f>
        <v/>
      </c>
    </row>
    <row r="739">
      <c r="A739" s="46">
        <f>IFERROR(__xludf.DUMMYFUNCTION("""COMPUTED_VALUE"""),6313.66378728834)</f>
        <v/>
      </c>
      <c r="B739" s="184" t="n"/>
      <c r="O739" s="184">
        <f>SUM(C739:N739)</f>
        <v/>
      </c>
    </row>
    <row r="740">
      <c r="A740" s="46">
        <f>IFERROR(__xludf.DUMMYFUNCTION("""COMPUTED_VALUE"""),6717.1309336967)</f>
        <v/>
      </c>
      <c r="B740" s="184" t="n"/>
      <c r="O740" s="184">
        <f>SUM(C740:N740)</f>
        <v/>
      </c>
    </row>
    <row r="741">
      <c r="A741" s="46">
        <f>IFERROR(__xludf.DUMMYFUNCTION("""COMPUTED_VALUE"""),5914.30734532615)</f>
        <v/>
      </c>
      <c r="B741" s="184" t="n"/>
      <c r="O741" s="184">
        <f>SUM(C741:N741)</f>
        <v/>
      </c>
    </row>
    <row r="742">
      <c r="A742" s="46">
        <f>IFERROR(__xludf.DUMMYFUNCTION("""COMPUTED_VALUE"""),5003.07955998539)</f>
        <v/>
      </c>
      <c r="B742" s="184" t="n"/>
      <c r="O742" s="184">
        <f>SUM(C742:N742)</f>
        <v/>
      </c>
    </row>
    <row r="743">
      <c r="A743" s="46">
        <f>IFERROR(__xludf.DUMMYFUNCTION("""COMPUTED_VALUE"""),4687.77132717436)</f>
        <v/>
      </c>
      <c r="B743" s="184" t="n"/>
      <c r="O743" s="184">
        <f>SUM(C743:N743)</f>
        <v/>
      </c>
    </row>
    <row r="744">
      <c r="A744" s="46">
        <f>IFERROR(__xludf.DUMMYFUNCTION("""COMPUTED_VALUE"""),4851.6692975686)</f>
        <v/>
      </c>
      <c r="B744" s="184" t="n"/>
      <c r="O744" s="184">
        <f>SUM(C744:N744)</f>
        <v/>
      </c>
    </row>
    <row r="745">
      <c r="A745" s="46">
        <f>IFERROR(__xludf.DUMMYFUNCTION("""COMPUTED_VALUE"""),68696.6480492877)</f>
        <v/>
      </c>
      <c r="B745" s="184" t="n"/>
      <c r="O745" s="184">
        <f>SUM(C745:N745)</f>
        <v/>
      </c>
    </row>
    <row r="746">
      <c r="A746" s="40" t="n"/>
      <c r="B746" s="184" t="n"/>
      <c r="O746" s="184">
        <f>SUM(C746:N746)</f>
        <v/>
      </c>
    </row>
    <row r="747">
      <c r="A747" s="40" t="n"/>
      <c r="B747" s="184" t="n"/>
      <c r="O747" s="184">
        <f>SUM(C747:N747)</f>
        <v/>
      </c>
    </row>
    <row r="748">
      <c r="A748" s="40" t="n"/>
      <c r="B748" s="184" t="n"/>
      <c r="O748" s="184">
        <f>SUM(C748:N748)</f>
        <v/>
      </c>
    </row>
    <row r="749">
      <c r="A749" s="40">
        <f>IFERROR(__xludf.DUMMYFUNCTION("""COMPUTED_VALUE"""),"S13")</f>
        <v/>
      </c>
      <c r="B749" s="184" t="n"/>
      <c r="O749" s="184">
        <f>SUM(C749:N749)</f>
        <v/>
      </c>
    </row>
    <row r="750">
      <c r="A750" s="46">
        <f>IFERROR(__xludf.DUMMYFUNCTION("""COMPUTED_VALUE"""),5705.93031757189)</f>
        <v/>
      </c>
      <c r="B750" s="184" t="n"/>
      <c r="O750" s="184">
        <f>SUM(C750:N750)</f>
        <v/>
      </c>
    </row>
    <row r="751">
      <c r="A751" s="46">
        <f>IFERROR(__xludf.DUMMYFUNCTION("""COMPUTED_VALUE"""),4461.43046171673)</f>
        <v/>
      </c>
      <c r="B751" s="184" t="n"/>
      <c r="O751" s="184">
        <f>SUM(C751:N751)</f>
        <v/>
      </c>
    </row>
    <row r="752">
      <c r="A752" s="46">
        <f>IFERROR(__xludf.DUMMYFUNCTION("""COMPUTED_VALUE"""),4778.53129330232)</f>
        <v/>
      </c>
      <c r="B752" s="184" t="n"/>
      <c r="O752" s="184">
        <f>SUM(C752:N752)</f>
        <v/>
      </c>
    </row>
    <row r="753">
      <c r="A753" s="46">
        <f>IFERROR(__xludf.DUMMYFUNCTION("""COMPUTED_VALUE"""),5522.32034338402)</f>
        <v/>
      </c>
      <c r="B753" s="184" t="n"/>
      <c r="O753" s="184">
        <f>SUM(C753:N753)</f>
        <v/>
      </c>
    </row>
    <row r="754">
      <c r="A754" s="46">
        <f>IFERROR(__xludf.DUMMYFUNCTION("""COMPUTED_VALUE"""),6028.01315462133)</f>
        <v/>
      </c>
      <c r="B754" s="184" t="n"/>
      <c r="O754" s="184">
        <f>SUM(C754:N754)</f>
        <v/>
      </c>
    </row>
    <row r="755">
      <c r="A755" s="46">
        <f>IFERROR(__xludf.DUMMYFUNCTION("""COMPUTED_VALUE"""),5066.57563295721)</f>
        <v/>
      </c>
      <c r="B755" s="184" t="n"/>
      <c r="O755" s="184">
        <f>SUM(C755:N755)</f>
        <v/>
      </c>
    </row>
    <row r="756">
      <c r="A756" s="46">
        <f>IFERROR(__xludf.DUMMYFUNCTION("""COMPUTED_VALUE"""),6354.5968581402)</f>
        <v/>
      </c>
      <c r="B756" s="184" t="n"/>
      <c r="O756" s="184">
        <f>SUM(C756:N756)</f>
        <v/>
      </c>
    </row>
    <row r="757">
      <c r="A757" s="46">
        <f>IFERROR(__xludf.DUMMYFUNCTION("""COMPUTED_VALUE"""),6854.26197034806)</f>
        <v/>
      </c>
      <c r="B757" s="184" t="n"/>
      <c r="O757" s="184">
        <f>SUM(C757:N757)</f>
        <v/>
      </c>
    </row>
    <row r="758">
      <c r="A758" s="46">
        <f>IFERROR(__xludf.DUMMYFUNCTION("""COMPUTED_VALUE"""),5227.88185778212)</f>
        <v/>
      </c>
      <c r="B758" s="184" t="n"/>
      <c r="O758" s="184">
        <f>SUM(C758:N758)</f>
        <v/>
      </c>
    </row>
    <row r="759">
      <c r="A759" s="46">
        <f>IFERROR(__xludf.DUMMYFUNCTION("""COMPUTED_VALUE"""),4854.25472737934)</f>
        <v/>
      </c>
      <c r="B759" s="184" t="n"/>
      <c r="O759" s="184">
        <f>SUM(C759:N759)</f>
        <v/>
      </c>
    </row>
    <row r="760">
      <c r="A760" s="46">
        <f>IFERROR(__xludf.DUMMYFUNCTION("""COMPUTED_VALUE"""),4566.51720983249)</f>
        <v/>
      </c>
      <c r="B760" s="184" t="n"/>
      <c r="O760" s="184">
        <f>SUM(C760:N760)</f>
        <v/>
      </c>
    </row>
    <row r="761">
      <c r="A761" s="46">
        <f>IFERROR(__xludf.DUMMYFUNCTION("""COMPUTED_VALUE"""),4739.21977091794)</f>
        <v/>
      </c>
      <c r="B761" s="184" t="n"/>
      <c r="O761" s="184">
        <f>SUM(C761:N761)</f>
        <v/>
      </c>
    </row>
    <row r="762">
      <c r="A762" s="46">
        <f>IFERROR(__xludf.DUMMYFUNCTION("""COMPUTED_VALUE"""),64159.5335979536)</f>
        <v/>
      </c>
      <c r="B762" s="184" t="n"/>
      <c r="O762" s="184">
        <f>SUM(C762:N762)</f>
        <v/>
      </c>
    </row>
    <row r="763">
      <c r="A763" s="40" t="n"/>
      <c r="B763" s="184" t="n"/>
      <c r="O763" s="184">
        <f>SUM(C763:N763)</f>
        <v/>
      </c>
    </row>
    <row r="764">
      <c r="A764" s="40" t="n"/>
      <c r="B764" s="184" t="n"/>
      <c r="O764" s="184">
        <f>SUM(C764:N764)</f>
        <v/>
      </c>
    </row>
    <row r="765">
      <c r="A765" s="40" t="n"/>
      <c r="B765" s="184" t="n"/>
      <c r="O765" s="184">
        <f>SUM(C765:N765)</f>
        <v/>
      </c>
    </row>
    <row r="766">
      <c r="A766" s="40">
        <f>IFERROR(__xludf.DUMMYFUNCTION("""COMPUTED_VALUE"""),"S14")</f>
        <v/>
      </c>
      <c r="B766" s="184" t="n"/>
      <c r="O766" s="184">
        <f>SUM(C766:N766)</f>
        <v/>
      </c>
    </row>
    <row r="767">
      <c r="A767" s="46">
        <f>IFERROR(__xludf.DUMMYFUNCTION("""COMPUTED_VALUE"""),5716.52692952015)</f>
        <v/>
      </c>
      <c r="B767" s="184" t="n"/>
      <c r="O767" s="184">
        <f>SUM(C767:N767)</f>
        <v/>
      </c>
    </row>
    <row r="768">
      <c r="A768" s="46">
        <f>IFERROR(__xludf.DUMMYFUNCTION("""COMPUTED_VALUE"""),4339.34976974752)</f>
        <v/>
      </c>
      <c r="B768" s="184" t="n"/>
      <c r="O768" s="184">
        <f>SUM(C768:N768)</f>
        <v/>
      </c>
    </row>
    <row r="769">
      <c r="A769" s="46">
        <f>IFERROR(__xludf.DUMMYFUNCTION("""COMPUTED_VALUE"""),4763.77453937014)</f>
        <v/>
      </c>
      <c r="B769" s="184" t="n"/>
      <c r="O769" s="184" t="n"/>
    </row>
    <row r="770">
      <c r="A770" s="46">
        <f>IFERROR(__xludf.DUMMYFUNCTION("""COMPUTED_VALUE"""),5695.64101867115)</f>
        <v/>
      </c>
      <c r="B770" s="184" t="n"/>
      <c r="O770" s="184" t="n"/>
    </row>
    <row r="771">
      <c r="A771" s="46">
        <f>IFERROR(__xludf.DUMMYFUNCTION("""COMPUTED_VALUE"""),5962.23933346929)</f>
        <v/>
      </c>
      <c r="B771" s="184" t="n"/>
      <c r="O771" s="184" t="n"/>
    </row>
    <row r="772">
      <c r="A772" s="46">
        <f>IFERROR(__xludf.DUMMYFUNCTION("""COMPUTED_VALUE"""),4938.48615576421)</f>
        <v/>
      </c>
      <c r="B772" s="184" t="n"/>
      <c r="O772" s="184" t="n"/>
    </row>
    <row r="773">
      <c r="A773" s="46">
        <f>IFERROR(__xludf.DUMMYFUNCTION("""COMPUTED_VALUE"""),6317.35298095164)</f>
        <v/>
      </c>
      <c r="B773" s="184" t="n"/>
      <c r="O773" s="184" t="n"/>
    </row>
    <row r="774">
      <c r="A774" s="46">
        <f>IFERROR(__xludf.DUMMYFUNCTION("""COMPUTED_VALUE"""),6939.67395575409)</f>
        <v/>
      </c>
      <c r="B774" s="184" t="n"/>
      <c r="O774" s="184" t="n"/>
    </row>
    <row r="775">
      <c r="A775" s="46">
        <f>IFERROR(__xludf.DUMMYFUNCTION("""COMPUTED_VALUE"""),5090.2659547964)</f>
        <v/>
      </c>
      <c r="B775" s="184" t="n"/>
      <c r="O775" s="184" t="n"/>
    </row>
    <row r="776">
      <c r="A776" s="46">
        <f>IFERROR(__xludf.DUMMYFUNCTION("""COMPUTED_VALUE"""),4970.35146258865)</f>
        <v/>
      </c>
      <c r="B776" s="184" t="n"/>
      <c r="O776" s="184" t="n"/>
    </row>
    <row r="777">
      <c r="A777" s="46">
        <f>IFERROR(__xludf.DUMMYFUNCTION("""COMPUTED_VALUE"""),4701.87477896048)</f>
        <v/>
      </c>
      <c r="B777" s="184" t="n"/>
      <c r="O777" s="184" t="n"/>
    </row>
    <row r="778">
      <c r="A778" s="46">
        <f>IFERROR(__xludf.DUMMYFUNCTION("""COMPUTED_VALUE"""),5462.94943564802)</f>
        <v/>
      </c>
      <c r="B778" s="184" t="n"/>
      <c r="O778" s="184" t="n"/>
    </row>
    <row r="779">
      <c r="A779" s="46">
        <f>IFERROR(__xludf.DUMMYFUNCTION("""COMPUTED_VALUE"""),64898.4863152418)</f>
        <v/>
      </c>
      <c r="B779" s="184" t="n"/>
      <c r="O779" s="184" t="n"/>
    </row>
    <row r="780">
      <c r="A780" s="40" t="n"/>
      <c r="B780" s="184" t="n"/>
      <c r="O780" s="184" t="n"/>
    </row>
    <row r="781">
      <c r="A781" s="40" t="n"/>
      <c r="B781" s="184" t="n"/>
      <c r="O781" s="184" t="n"/>
    </row>
    <row r="782">
      <c r="A782" s="40" t="n"/>
      <c r="B782" s="184" t="n"/>
      <c r="O782" s="184" t="n"/>
    </row>
    <row r="783">
      <c r="A783" s="40">
        <f>IFERROR(__xludf.DUMMYFUNCTION("""COMPUTED_VALUE"""),"S15")</f>
        <v/>
      </c>
      <c r="B783" s="184" t="n"/>
      <c r="O783" s="184" t="n"/>
    </row>
    <row r="784">
      <c r="A784" s="46">
        <f>IFERROR(__xludf.DUMMYFUNCTION("""COMPUTED_VALUE"""),7055.86666397155)</f>
        <v/>
      </c>
      <c r="B784" s="184" t="n"/>
      <c r="O784" s="184" t="n"/>
    </row>
    <row r="785">
      <c r="A785" s="46">
        <f>IFERROR(__xludf.DUMMYFUNCTION("""COMPUTED_VALUE"""),5462.61849326831)</f>
        <v/>
      </c>
      <c r="B785" s="184" t="n"/>
      <c r="O785" s="184" t="n"/>
    </row>
    <row r="786">
      <c r="A786" s="46">
        <f>IFERROR(__xludf.DUMMYFUNCTION("""COMPUTED_VALUE"""),5274.36658619044)</f>
        <v/>
      </c>
      <c r="B786" s="184" t="n"/>
      <c r="O786" s="184" t="n"/>
    </row>
    <row r="787">
      <c r="A787" s="46">
        <f>IFERROR(__xludf.DUMMYFUNCTION("""COMPUTED_VALUE"""),6502.36670083486)</f>
        <v/>
      </c>
      <c r="B787" s="184" t="n"/>
      <c r="O787" s="184" t="n"/>
    </row>
    <row r="788">
      <c r="A788" s="46">
        <f>IFERROR(__xludf.DUMMYFUNCTION("""COMPUTED_VALUE"""),6787.63630478899)</f>
        <v/>
      </c>
      <c r="B788" s="184" t="n"/>
      <c r="O788" s="184" t="n"/>
    </row>
    <row r="789">
      <c r="A789" s="46">
        <f>IFERROR(__xludf.DUMMYFUNCTION("""COMPUTED_VALUE"""),6032.15201486086)</f>
        <v/>
      </c>
      <c r="B789" s="184" t="n"/>
      <c r="O789" s="184" t="n"/>
    </row>
    <row r="790">
      <c r="A790" s="46">
        <f>IFERROR(__xludf.DUMMYFUNCTION("""COMPUTED_VALUE"""),7878.35491487051)</f>
        <v/>
      </c>
      <c r="B790" s="184" t="n"/>
      <c r="O790" s="184" t="n"/>
    </row>
    <row r="791">
      <c r="A791" s="46">
        <f>IFERROR(__xludf.DUMMYFUNCTION("""COMPUTED_VALUE"""),7991.53901865685)</f>
        <v/>
      </c>
      <c r="B791" s="184" t="n"/>
      <c r="O791" s="184" t="n"/>
    </row>
    <row r="792">
      <c r="A792" s="46">
        <f>IFERROR(__xludf.DUMMYFUNCTION("""COMPUTED_VALUE"""),6351.77650618948)</f>
        <v/>
      </c>
      <c r="B792" s="184" t="n"/>
      <c r="O792" s="184" t="n"/>
    </row>
    <row r="793">
      <c r="A793" s="46">
        <f>IFERROR(__xludf.DUMMYFUNCTION("""COMPUTED_VALUE"""),5896.67573284253)</f>
        <v/>
      </c>
      <c r="B793" s="184" t="n"/>
      <c r="O793" s="184" t="n"/>
    </row>
    <row r="794">
      <c r="A794" s="46">
        <f>IFERROR(__xludf.DUMMYFUNCTION("""COMPUTED_VALUE"""),5683.89715754083)</f>
        <v/>
      </c>
      <c r="B794" s="184" t="n"/>
      <c r="O794" s="184" t="n"/>
    </row>
    <row r="795">
      <c r="A795" s="46">
        <f>IFERROR(__xludf.DUMMYFUNCTION("""COMPUTED_VALUE"""),6096.80446377531)</f>
        <v/>
      </c>
      <c r="B795" s="184" t="n"/>
      <c r="O795" s="184" t="n"/>
    </row>
    <row r="796">
      <c r="A796" s="46">
        <f>IFERROR(__xludf.DUMMYFUNCTION("""COMPUTED_VALUE"""),77014.0545577905)</f>
        <v/>
      </c>
      <c r="B796" s="184" t="n"/>
      <c r="O796" s="184" t="n"/>
    </row>
    <row r="797">
      <c r="A797" s="40" t="n"/>
      <c r="B797" s="184" t="n"/>
      <c r="O797" s="184" t="n"/>
    </row>
    <row r="798">
      <c r="A798" s="40" t="n"/>
      <c r="B798" s="184" t="n"/>
      <c r="O798" s="184" t="n"/>
    </row>
    <row r="799">
      <c r="A799" s="40" t="n"/>
      <c r="B799" s="184" t="n"/>
      <c r="O799" s="184" t="n"/>
    </row>
    <row r="800">
      <c r="A800" s="40">
        <f>IFERROR(__xludf.DUMMYFUNCTION("""COMPUTED_VALUE"""),"S16")</f>
        <v/>
      </c>
      <c r="B800" s="184" t="n"/>
      <c r="O800" s="184" t="n"/>
    </row>
    <row r="801">
      <c r="A801" s="46">
        <f>IFERROR(__xludf.DUMMYFUNCTION("""COMPUTED_VALUE"""),5801.48592756725)</f>
        <v/>
      </c>
      <c r="B801" s="184" t="n"/>
      <c r="O801" s="184" t="n"/>
    </row>
    <row r="802">
      <c r="A802" s="46">
        <f>IFERROR(__xludf.DUMMYFUNCTION("""COMPUTED_VALUE"""),4388.42708217358)</f>
        <v/>
      </c>
      <c r="B802" s="184" t="n"/>
      <c r="O802" s="184" t="n"/>
    </row>
    <row r="803">
      <c r="A803" s="46">
        <f>IFERROR(__xludf.DUMMYFUNCTION("""COMPUTED_VALUE"""),4590.36377915261)</f>
        <v/>
      </c>
      <c r="B803" s="184" t="n"/>
      <c r="O803" s="184" t="n"/>
    </row>
    <row r="804">
      <c r="A804" s="46">
        <f>IFERROR(__xludf.DUMMYFUNCTION("""COMPUTED_VALUE"""),5525.93235206046)</f>
        <v/>
      </c>
      <c r="B804" s="184" t="n"/>
      <c r="O804" s="184" t="n"/>
    </row>
    <row r="805">
      <c r="A805" s="46">
        <f>IFERROR(__xludf.DUMMYFUNCTION("""COMPUTED_VALUE"""),5931.59244083711)</f>
        <v/>
      </c>
      <c r="B805" s="184" t="n"/>
      <c r="O805" s="184" t="n"/>
    </row>
    <row r="806">
      <c r="A806" s="46">
        <f>IFERROR(__xludf.DUMMYFUNCTION("""COMPUTED_VALUE"""),5083.94545542419)</f>
        <v/>
      </c>
      <c r="B806" s="184" t="n"/>
      <c r="O806" s="184" t="n"/>
    </row>
    <row r="807">
      <c r="A807" s="46">
        <f>IFERROR(__xludf.DUMMYFUNCTION("""COMPUTED_VALUE"""),6532.61103107445)</f>
        <v/>
      </c>
      <c r="B807" s="184" t="n"/>
      <c r="O807" s="184" t="n"/>
    </row>
    <row r="808">
      <c r="A808" s="46">
        <f>IFERROR(__xludf.DUMMYFUNCTION("""COMPUTED_VALUE"""),6944.8478086199)</f>
        <v/>
      </c>
      <c r="B808" s="184" t="n"/>
      <c r="O808" s="184" t="n"/>
    </row>
    <row r="809">
      <c r="A809" s="46">
        <f>IFERROR(__xludf.DUMMYFUNCTION("""COMPUTED_VALUE"""),5376.8130182774)</f>
        <v/>
      </c>
      <c r="B809" s="184" t="n"/>
      <c r="O809" s="184" t="n"/>
    </row>
    <row r="810">
      <c r="A810" s="46">
        <f>IFERROR(__xludf.DUMMYFUNCTION("""COMPUTED_VALUE"""),5083.36000699874)</f>
        <v/>
      </c>
      <c r="B810" s="184" t="n"/>
      <c r="O810" s="184" t="n"/>
    </row>
    <row r="811">
      <c r="A811" s="46">
        <f>IFERROR(__xludf.DUMMYFUNCTION("""COMPUTED_VALUE"""),4792.4669697918)</f>
        <v/>
      </c>
      <c r="B811" s="184" t="n"/>
      <c r="O811" s="184" t="n"/>
    </row>
    <row r="812">
      <c r="A812" s="46">
        <f>IFERROR(__xludf.DUMMYFUNCTION("""COMPUTED_VALUE"""),4839.37345653732)</f>
        <v/>
      </c>
      <c r="B812" s="184" t="n"/>
      <c r="O812" s="184" t="n"/>
    </row>
    <row r="813">
      <c r="A813" s="46">
        <f>IFERROR(__xludf.DUMMYFUNCTION("""COMPUTED_VALUE"""),64891.2193285148)</f>
        <v/>
      </c>
      <c r="B813" s="184" t="n"/>
      <c r="O813" s="184" t="n"/>
    </row>
    <row r="814">
      <c r="A814" s="40" t="n"/>
      <c r="B814" s="184" t="n"/>
      <c r="O814" s="184" t="n"/>
    </row>
    <row r="815">
      <c r="A815" s="40" t="n"/>
      <c r="B815" s="184" t="n"/>
      <c r="O815" s="184" t="n"/>
    </row>
    <row r="816">
      <c r="A816" s="40" t="n"/>
      <c r="B816" s="184" t="n"/>
      <c r="O816" s="184" t="n"/>
    </row>
    <row r="817">
      <c r="A817" s="40">
        <f>IFERROR(__xludf.DUMMYFUNCTION("""COMPUTED_VALUE"""),"T1")</f>
        <v/>
      </c>
      <c r="B817" s="184" t="n"/>
      <c r="O817" s="184" t="n"/>
    </row>
    <row r="818">
      <c r="A818" s="46">
        <f>IFERROR(__xludf.DUMMYFUNCTION("""COMPUTED_VALUE"""),6826.47665417471)</f>
        <v/>
      </c>
      <c r="B818" s="184" t="n"/>
      <c r="O818" s="184" t="n"/>
    </row>
    <row r="819">
      <c r="A819" s="46">
        <f>IFERROR(__xludf.DUMMYFUNCTION("""COMPUTED_VALUE"""),5607.58163581189)</f>
        <v/>
      </c>
      <c r="B819" s="184" t="n"/>
      <c r="O819" s="184" t="n"/>
    </row>
    <row r="820">
      <c r="A820" s="46">
        <f>IFERROR(__xludf.DUMMYFUNCTION("""COMPUTED_VALUE"""),5410.88946238404)</f>
        <v/>
      </c>
      <c r="B820" s="184" t="n"/>
      <c r="O820" s="184" t="n"/>
    </row>
    <row r="821">
      <c r="A821" s="46">
        <f>IFERROR(__xludf.DUMMYFUNCTION("""COMPUTED_VALUE"""),6417.83044723598)</f>
        <v/>
      </c>
      <c r="B821" s="184" t="n"/>
      <c r="O821" s="184" t="n"/>
    </row>
    <row r="822">
      <c r="A822" s="46">
        <f>IFERROR(__xludf.DUMMYFUNCTION("""COMPUTED_VALUE"""),6872.57167123331)</f>
        <v/>
      </c>
      <c r="B822" s="184" t="n"/>
      <c r="O822" s="184" t="n"/>
    </row>
    <row r="823">
      <c r="A823" s="46">
        <f>IFERROR(__xludf.DUMMYFUNCTION("""COMPUTED_VALUE"""),6025.9606231287)</f>
        <v/>
      </c>
      <c r="B823" s="184" t="n"/>
      <c r="O823" s="184" t="n"/>
    </row>
    <row r="824">
      <c r="A824" s="46">
        <f>IFERROR(__xludf.DUMMYFUNCTION("""COMPUTED_VALUE"""),7597.06335557207)</f>
        <v/>
      </c>
      <c r="B824" s="184" t="n"/>
      <c r="O824" s="184" t="n"/>
    </row>
    <row r="825">
      <c r="A825" s="46">
        <f>IFERROR(__xludf.DUMMYFUNCTION("""COMPUTED_VALUE"""),7704.06545667345)</f>
        <v/>
      </c>
      <c r="B825" s="184" t="n"/>
      <c r="O825" s="184" t="n"/>
    </row>
    <row r="826">
      <c r="A826" s="46">
        <f>IFERROR(__xludf.DUMMYFUNCTION("""COMPUTED_VALUE"""),6297.82088990458)</f>
        <v/>
      </c>
      <c r="B826" s="184" t="n"/>
      <c r="O826" s="184" t="n"/>
    </row>
    <row r="827">
      <c r="A827" s="46">
        <f>IFERROR(__xludf.DUMMYFUNCTION("""COMPUTED_VALUE"""),6032.39885588052)</f>
        <v/>
      </c>
      <c r="B827" s="184" t="n"/>
      <c r="O827" s="184" t="n"/>
    </row>
    <row r="828">
      <c r="A828" s="46">
        <f>IFERROR(__xludf.DUMMYFUNCTION("""COMPUTED_VALUE"""),5932.89281710323)</f>
        <v/>
      </c>
      <c r="B828" s="184" t="n"/>
      <c r="O828" s="184" t="n"/>
    </row>
    <row r="829">
      <c r="A829" s="46">
        <f>IFERROR(__xludf.DUMMYFUNCTION("""COMPUTED_VALUE"""),5878.72586083312)</f>
        <v/>
      </c>
      <c r="B829" s="184" t="n"/>
      <c r="O829" s="184" t="n"/>
    </row>
    <row r="830">
      <c r="A830" s="46">
        <f>IFERROR(__xludf.DUMMYFUNCTION("""COMPUTED_VALUE"""),76604.2777299356)</f>
        <v/>
      </c>
      <c r="B830" s="184" t="n"/>
      <c r="O830" s="184" t="n"/>
    </row>
    <row r="831">
      <c r="A831" s="40" t="n"/>
      <c r="B831" s="184" t="n"/>
      <c r="O831" s="184" t="n"/>
    </row>
    <row r="832">
      <c r="A832" s="40" t="n"/>
      <c r="B832" s="184" t="n"/>
      <c r="O832" s="184" t="n"/>
    </row>
    <row r="833">
      <c r="A833" s="40" t="n"/>
      <c r="B833" s="184" t="n"/>
      <c r="O833" s="184" t="n"/>
    </row>
    <row r="834">
      <c r="A834" s="40">
        <f>IFERROR(__xludf.DUMMYFUNCTION("""COMPUTED_VALUE"""),"T2")</f>
        <v/>
      </c>
      <c r="B834" s="184" t="n"/>
      <c r="O834" s="184" t="n"/>
    </row>
    <row r="835">
      <c r="A835" s="46">
        <f>IFERROR(__xludf.DUMMYFUNCTION("""COMPUTED_VALUE"""),6778.76011753802)</f>
        <v/>
      </c>
      <c r="B835" s="184" t="n"/>
      <c r="O835" s="184" t="n"/>
    </row>
    <row r="836">
      <c r="A836" s="46">
        <f>IFERROR(__xludf.DUMMYFUNCTION("""COMPUTED_VALUE"""),5525.11680930031)</f>
        <v/>
      </c>
      <c r="B836" s="184" t="n"/>
      <c r="O836" s="184" t="n"/>
    </row>
    <row r="837">
      <c r="A837" s="46">
        <f>IFERROR(__xludf.DUMMYFUNCTION("""COMPUTED_VALUE"""),5694.2443099716)</f>
        <v/>
      </c>
      <c r="B837" s="184" t="n"/>
      <c r="O837" s="184" t="n"/>
    </row>
    <row r="838">
      <c r="A838" s="46">
        <f>IFERROR(__xludf.DUMMYFUNCTION("""COMPUTED_VALUE"""),6598.90144739827)</f>
        <v/>
      </c>
      <c r="B838" s="184" t="n"/>
      <c r="O838" s="184" t="n"/>
    </row>
    <row r="839">
      <c r="A839" s="46">
        <f>IFERROR(__xludf.DUMMYFUNCTION("""COMPUTED_VALUE"""),6902.24018383484)</f>
        <v/>
      </c>
      <c r="B839" s="184" t="n"/>
      <c r="O839" s="184" t="n"/>
    </row>
    <row r="840">
      <c r="A840" s="46">
        <f>IFERROR(__xludf.DUMMYFUNCTION("""COMPUTED_VALUE"""),5775.3820601187)</f>
        <v/>
      </c>
      <c r="B840" s="184" t="n"/>
      <c r="O840" s="184" t="n"/>
    </row>
    <row r="841">
      <c r="A841" s="46">
        <f>IFERROR(__xludf.DUMMYFUNCTION("""COMPUTED_VALUE"""),7544.32887223929)</f>
        <v/>
      </c>
      <c r="B841" s="184" t="n"/>
      <c r="O841" s="184" t="n"/>
    </row>
    <row r="842">
      <c r="A842" s="46">
        <f>IFERROR(__xludf.DUMMYFUNCTION("""COMPUTED_VALUE"""),7835.53141266013)</f>
        <v/>
      </c>
      <c r="B842" s="184" t="n"/>
      <c r="O842" s="184" t="n"/>
    </row>
    <row r="843">
      <c r="A843" s="46">
        <f>IFERROR(__xludf.DUMMYFUNCTION("""COMPUTED_VALUE"""),5933.41095602282)</f>
        <v/>
      </c>
      <c r="B843" s="184" t="n"/>
      <c r="O843" s="184" t="n"/>
    </row>
    <row r="844">
      <c r="A844" s="46">
        <f>IFERROR(__xludf.DUMMYFUNCTION("""COMPUTED_VALUE"""),5895.89631102687)</f>
        <v/>
      </c>
      <c r="B844" s="184" t="n"/>
      <c r="O844" s="184" t="n"/>
    </row>
    <row r="845">
      <c r="A845" s="46">
        <f>IFERROR(__xludf.DUMMYFUNCTION("""COMPUTED_VALUE"""),5861.93415018269)</f>
        <v/>
      </c>
      <c r="B845" s="184" t="n"/>
      <c r="O845" s="184" t="n"/>
    </row>
    <row r="846">
      <c r="A846" s="46">
        <f>IFERROR(__xludf.DUMMYFUNCTION("""COMPUTED_VALUE"""),6105.03117755884)</f>
        <v/>
      </c>
      <c r="B846" s="184" t="n"/>
      <c r="O846" s="184" t="n"/>
    </row>
    <row r="847">
      <c r="A847" s="46">
        <f>IFERROR(__xludf.DUMMYFUNCTION("""COMPUTED_VALUE"""),76450.7778078524)</f>
        <v/>
      </c>
      <c r="B847" s="184" t="n"/>
      <c r="O847" s="184" t="n"/>
    </row>
    <row r="848">
      <c r="A848" s="40" t="n"/>
      <c r="B848" s="184" t="n"/>
      <c r="O848" s="184" t="n"/>
    </row>
    <row r="849">
      <c r="A849" s="40" t="n"/>
      <c r="B849" s="184" t="n"/>
      <c r="O849" s="184" t="n"/>
    </row>
    <row r="850">
      <c r="A850" s="40" t="n"/>
      <c r="B850" s="184" t="n"/>
      <c r="O850" s="184" t="n"/>
    </row>
    <row r="851">
      <c r="A851" s="40">
        <f>IFERROR(__xludf.DUMMYFUNCTION("""COMPUTED_VALUE"""),"T3")</f>
        <v/>
      </c>
      <c r="B851" s="184" t="n"/>
      <c r="O851" s="184" t="n"/>
    </row>
    <row r="852">
      <c r="A852" s="46">
        <f>IFERROR(__xludf.DUMMYFUNCTION("""COMPUTED_VALUE"""),6552.0646376545)</f>
        <v/>
      </c>
      <c r="B852" s="184" t="n"/>
      <c r="O852" s="184" t="n"/>
    </row>
    <row r="853">
      <c r="A853" s="46">
        <f>IFERROR(__xludf.DUMMYFUNCTION("""COMPUTED_VALUE"""),4927.49488686986)</f>
        <v/>
      </c>
      <c r="B853" s="184" t="n"/>
      <c r="O853" s="184" t="n"/>
    </row>
    <row r="854">
      <c r="A854" s="46">
        <f>IFERROR(__xludf.DUMMYFUNCTION("""COMPUTED_VALUE"""),4859.04548047899)</f>
        <v/>
      </c>
      <c r="B854" s="184" t="n"/>
      <c r="O854" s="184" t="n"/>
    </row>
    <row r="855">
      <c r="A855" s="46">
        <f>IFERROR(__xludf.DUMMYFUNCTION("""COMPUTED_VALUE"""),6114.87505582508)</f>
        <v/>
      </c>
      <c r="B855" s="184" t="n"/>
      <c r="O855" s="184" t="n"/>
    </row>
    <row r="856">
      <c r="A856" s="46">
        <f>IFERROR(__xludf.DUMMYFUNCTION("""COMPUTED_VALUE"""),6343.007052674)</f>
        <v/>
      </c>
      <c r="B856" s="184" t="n"/>
      <c r="O856" s="184" t="n"/>
    </row>
    <row r="857">
      <c r="A857" s="46">
        <f>IFERROR(__xludf.DUMMYFUNCTION("""COMPUTED_VALUE"""),5604.74055728176)</f>
        <v/>
      </c>
      <c r="B857" s="184" t="n"/>
      <c r="O857" s="184" t="n"/>
    </row>
    <row r="858">
      <c r="A858" s="46">
        <f>IFERROR(__xludf.DUMMYFUNCTION("""COMPUTED_VALUE"""),6652.49474600933)</f>
        <v/>
      </c>
      <c r="B858" s="184" t="n"/>
      <c r="O858" s="184" t="n"/>
    </row>
    <row r="859">
      <c r="A859" s="46">
        <f>IFERROR(__xludf.DUMMYFUNCTION("""COMPUTED_VALUE"""),6769.47943834923)</f>
        <v/>
      </c>
      <c r="B859" s="184" t="n"/>
      <c r="O859" s="184" t="n"/>
    </row>
    <row r="860">
      <c r="A860" s="46">
        <f>IFERROR(__xludf.DUMMYFUNCTION("""COMPUTED_VALUE"""),5340.36092859121)</f>
        <v/>
      </c>
      <c r="B860" s="184" t="n"/>
      <c r="O860" s="184" t="n"/>
    </row>
    <row r="861">
      <c r="A861" s="46">
        <f>IFERROR(__xludf.DUMMYFUNCTION("""COMPUTED_VALUE"""),5404.52652923782)</f>
        <v/>
      </c>
      <c r="B861" s="184" t="n"/>
      <c r="O861" s="184" t="n"/>
    </row>
    <row r="862">
      <c r="A862" s="46">
        <f>IFERROR(__xludf.DUMMYFUNCTION("""COMPUTED_VALUE"""),5275.84626134974)</f>
        <v/>
      </c>
      <c r="B862" s="184" t="n"/>
      <c r="O862" s="184" t="n"/>
    </row>
    <row r="863">
      <c r="A863" s="46">
        <f>IFERROR(__xludf.DUMMYFUNCTION("""COMPUTED_VALUE"""),5430.75025481789)</f>
        <v/>
      </c>
      <c r="B863" s="184" t="n"/>
      <c r="O863" s="184" t="n"/>
    </row>
    <row r="864">
      <c r="A864" s="46">
        <f>IFERROR(__xludf.DUMMYFUNCTION("""COMPUTED_VALUE"""),69274.6858291394)</f>
        <v/>
      </c>
      <c r="B864" s="184" t="n"/>
      <c r="O864" s="184" t="n"/>
    </row>
    <row r="865">
      <c r="A865" s="40" t="n"/>
      <c r="B865" s="184" t="n"/>
      <c r="O865" s="184" t="n"/>
    </row>
    <row r="866">
      <c r="A866" s="40" t="n"/>
      <c r="B866" s="184" t="n"/>
      <c r="O866" s="184" t="n"/>
    </row>
    <row r="867">
      <c r="A867" s="40" t="n"/>
      <c r="B867" s="184" t="n"/>
      <c r="O867" s="184" t="n"/>
    </row>
    <row r="868">
      <c r="A868" s="40">
        <f>IFERROR(__xludf.DUMMYFUNCTION("""COMPUTED_VALUE"""),"T4")</f>
        <v/>
      </c>
      <c r="B868" s="184" t="n"/>
      <c r="O868" s="184" t="n"/>
    </row>
    <row r="869">
      <c r="A869" s="46">
        <f>IFERROR(__xludf.DUMMYFUNCTION("""COMPUTED_VALUE"""),5573.98706685683)</f>
        <v/>
      </c>
      <c r="B869" s="184" t="n"/>
      <c r="O869" s="184" t="n"/>
    </row>
    <row r="870">
      <c r="A870" s="46">
        <f>IFERROR(__xludf.DUMMYFUNCTION("""COMPUTED_VALUE"""),4216.05410273882)</f>
        <v/>
      </c>
      <c r="B870" s="184" t="n"/>
      <c r="O870" s="184" t="n"/>
    </row>
    <row r="871">
      <c r="A871" s="46">
        <f>IFERROR(__xludf.DUMMYFUNCTION("""COMPUTED_VALUE"""),4925.97342111754)</f>
        <v/>
      </c>
      <c r="B871" s="184" t="n"/>
      <c r="O871" s="184" t="n"/>
    </row>
    <row r="872">
      <c r="A872" s="46">
        <f>IFERROR(__xludf.DUMMYFUNCTION("""COMPUTED_VALUE"""),6261.41308774058)</f>
        <v/>
      </c>
      <c r="B872" s="184" t="n"/>
      <c r="O872" s="184" t="n"/>
    </row>
    <row r="873">
      <c r="A873" s="46">
        <f>IFERROR(__xludf.DUMMYFUNCTION("""COMPUTED_VALUE"""),6562.20865136121)</f>
        <v/>
      </c>
      <c r="B873" s="184" t="n"/>
      <c r="O873" s="184" t="n"/>
    </row>
    <row r="874">
      <c r="A874" s="46">
        <f>IFERROR(__xludf.DUMMYFUNCTION("""COMPUTED_VALUE"""),5493.6324903226)</f>
        <v/>
      </c>
      <c r="B874" s="184" t="n"/>
      <c r="O874" s="184" t="n"/>
    </row>
    <row r="875">
      <c r="A875" s="46">
        <f>IFERROR(__xludf.DUMMYFUNCTION("""COMPUTED_VALUE"""),6984.50186234503)</f>
        <v/>
      </c>
      <c r="B875" s="184" t="n"/>
      <c r="O875" s="184" t="n"/>
    </row>
    <row r="876">
      <c r="A876" s="46">
        <f>IFERROR(__xludf.DUMMYFUNCTION("""COMPUTED_VALUE"""),7106.91488409446)</f>
        <v/>
      </c>
      <c r="B876" s="184" t="n"/>
      <c r="O876" s="184" t="n"/>
    </row>
    <row r="877">
      <c r="A877" s="46">
        <f>IFERROR(__xludf.DUMMYFUNCTION("""COMPUTED_VALUE"""),5468.92191266903)</f>
        <v/>
      </c>
      <c r="B877" s="184" t="n"/>
      <c r="O877" s="184" t="n"/>
    </row>
    <row r="878">
      <c r="A878" s="46">
        <f>IFERROR(__xludf.DUMMYFUNCTION("""COMPUTED_VALUE"""),5364.44197871798)</f>
        <v/>
      </c>
      <c r="B878" s="184" t="n"/>
      <c r="O878" s="184" t="n"/>
    </row>
    <row r="879">
      <c r="A879" s="46">
        <f>IFERROR(__xludf.DUMMYFUNCTION("""COMPUTED_VALUE"""),5572.92076546075)</f>
        <v/>
      </c>
      <c r="B879" s="184" t="n"/>
      <c r="O879" s="184" t="n"/>
    </row>
    <row r="880">
      <c r="A880" s="46">
        <f>IFERROR(__xludf.DUMMYFUNCTION("""COMPUTED_VALUE"""),5566.22565438204)</f>
        <v/>
      </c>
      <c r="B880" s="184" t="n"/>
      <c r="O880" s="184" t="n"/>
    </row>
    <row r="881">
      <c r="A881" s="46">
        <f>IFERROR(__xludf.DUMMYFUNCTION("""COMPUTED_VALUE"""),69097.1958778069)</f>
        <v/>
      </c>
      <c r="B881" s="184" t="n"/>
      <c r="O881" s="184" t="n"/>
    </row>
    <row r="882">
      <c r="A882" s="40" t="n"/>
      <c r="B882" s="184" t="n"/>
      <c r="O882" s="184" t="n"/>
    </row>
    <row r="883">
      <c r="A883" s="40" t="n"/>
      <c r="B883" s="184" t="n"/>
      <c r="O883" s="184" t="n"/>
    </row>
    <row r="884">
      <c r="A884" s="40" t="n"/>
      <c r="B884" s="184" t="n"/>
      <c r="O884" s="184" t="n"/>
    </row>
    <row r="885">
      <c r="A885" s="40">
        <f>IFERROR(__xludf.DUMMYFUNCTION("""COMPUTED_VALUE"""),"T5")</f>
        <v/>
      </c>
      <c r="B885" s="184" t="n"/>
      <c r="O885" s="184" t="n"/>
    </row>
    <row r="886">
      <c r="A886" s="46">
        <f>IFERROR(__xludf.DUMMYFUNCTION("""COMPUTED_VALUE"""),5971.08315860332)</f>
        <v/>
      </c>
      <c r="B886" s="184" t="n"/>
      <c r="O886" s="184" t="n"/>
    </row>
    <row r="887">
      <c r="A887" s="46">
        <f>IFERROR(__xludf.DUMMYFUNCTION("""COMPUTED_VALUE"""),4449.56462616134)</f>
        <v/>
      </c>
      <c r="B887" s="184" t="n"/>
      <c r="O887" s="184" t="n"/>
    </row>
    <row r="888">
      <c r="A888" s="46">
        <f>IFERROR(__xludf.DUMMYFUNCTION("""COMPUTED_VALUE"""),4459.72679320915)</f>
        <v/>
      </c>
      <c r="B888" s="184" t="n"/>
      <c r="O888" s="184" t="n"/>
    </row>
    <row r="889">
      <c r="A889" s="46">
        <f>IFERROR(__xludf.DUMMYFUNCTION("""COMPUTED_VALUE"""),5301.48117579112)</f>
        <v/>
      </c>
      <c r="B889" s="184" t="n"/>
      <c r="O889" s="184" t="n"/>
    </row>
    <row r="890">
      <c r="A890" s="46">
        <f>IFERROR(__xludf.DUMMYFUNCTION("""COMPUTED_VALUE"""),5701.71760545179)</f>
        <v/>
      </c>
      <c r="B890" s="184" t="n"/>
      <c r="O890" s="184" t="n"/>
    </row>
    <row r="891">
      <c r="A891" s="46">
        <f>IFERROR(__xludf.DUMMYFUNCTION("""COMPUTED_VALUE"""),4776.5464701705)</f>
        <v/>
      </c>
      <c r="B891" s="184" t="n"/>
      <c r="O891" s="184" t="n"/>
    </row>
    <row r="892">
      <c r="A892" s="46">
        <f>IFERROR(__xludf.DUMMYFUNCTION("""COMPUTED_VALUE"""),6189.97798686755)</f>
        <v/>
      </c>
      <c r="B892" s="184" t="n"/>
      <c r="O892" s="184" t="n"/>
    </row>
    <row r="893">
      <c r="A893" s="46">
        <f>IFERROR(__xludf.DUMMYFUNCTION("""COMPUTED_VALUE"""),6846.60465760583)</f>
        <v/>
      </c>
      <c r="B893" s="184" t="n"/>
      <c r="O893" s="184" t="n"/>
    </row>
    <row r="894">
      <c r="A894" s="46">
        <f>IFERROR(__xludf.DUMMYFUNCTION("""COMPUTED_VALUE"""),4937.36648502827)</f>
        <v/>
      </c>
      <c r="B894" s="184" t="n"/>
      <c r="O894" s="184" t="n"/>
    </row>
    <row r="895">
      <c r="A895" s="46">
        <f>IFERROR(__xludf.DUMMYFUNCTION("""COMPUTED_VALUE"""),4864.63939939371)</f>
        <v/>
      </c>
      <c r="B895" s="184" t="n"/>
      <c r="O895" s="184" t="n"/>
    </row>
    <row r="896">
      <c r="A896" s="46">
        <f>IFERROR(__xludf.DUMMYFUNCTION("""COMPUTED_VALUE"""),4511.31688557821)</f>
        <v/>
      </c>
      <c r="B896" s="184" t="n"/>
      <c r="O896" s="184" t="n"/>
    </row>
    <row r="897">
      <c r="A897" s="46">
        <f>IFERROR(__xludf.DUMMYFUNCTION("""COMPUTED_VALUE"""),4846.98095530487)</f>
        <v/>
      </c>
      <c r="B897" s="184" t="n"/>
      <c r="O897" s="184" t="n"/>
    </row>
    <row r="898">
      <c r="A898" s="46">
        <f>IFERROR(__xludf.DUMMYFUNCTION("""COMPUTED_VALUE"""),62857.0061991657)</f>
        <v/>
      </c>
      <c r="B898" s="184" t="n"/>
      <c r="O898" s="184" t="n"/>
    </row>
    <row r="899">
      <c r="A899" s="40" t="n"/>
      <c r="B899" s="184" t="n"/>
      <c r="O899" s="184" t="n"/>
    </row>
    <row r="900">
      <c r="A900" s="40" t="n"/>
      <c r="B900" s="184" t="n"/>
      <c r="O900" s="184" t="n"/>
    </row>
    <row r="901">
      <c r="A901" s="40" t="n"/>
      <c r="B901" s="184" t="n"/>
      <c r="O901" s="184" t="n"/>
    </row>
    <row r="902">
      <c r="A902" s="40">
        <f>IFERROR(__xludf.DUMMYFUNCTION("""COMPUTED_VALUE"""),"T6")</f>
        <v/>
      </c>
      <c r="B902" s="184" t="n"/>
      <c r="O902" s="184" t="n"/>
    </row>
    <row r="903">
      <c r="A903" s="46">
        <f>IFERROR(__xludf.DUMMYFUNCTION("""COMPUTED_VALUE"""),6745.25310919262)</f>
        <v/>
      </c>
      <c r="B903" s="184" t="n"/>
      <c r="O903" s="184" t="n"/>
    </row>
    <row r="904">
      <c r="A904" s="46">
        <f>IFERROR(__xludf.DUMMYFUNCTION("""COMPUTED_VALUE"""),5170.04482458628)</f>
        <v/>
      </c>
      <c r="B904" s="184" t="n"/>
      <c r="O904" s="184" t="n"/>
    </row>
    <row r="905">
      <c r="A905" s="46">
        <f>IFERROR(__xludf.DUMMYFUNCTION("""COMPUTED_VALUE"""),5521.6696264641)</f>
        <v/>
      </c>
      <c r="B905" s="184" t="n"/>
      <c r="O905" s="184" t="n"/>
    </row>
    <row r="906">
      <c r="A906" s="46">
        <f>IFERROR(__xludf.DUMMYFUNCTION("""COMPUTED_VALUE"""),6295.50500705544)</f>
        <v/>
      </c>
      <c r="B906" s="184" t="n"/>
      <c r="O906" s="184" t="n"/>
    </row>
    <row r="907">
      <c r="A907" s="46">
        <f>IFERROR(__xludf.DUMMYFUNCTION("""COMPUTED_VALUE"""),6709.89375522644)</f>
        <v/>
      </c>
      <c r="B907" s="184" t="n"/>
      <c r="O907" s="184" t="n"/>
    </row>
    <row r="908">
      <c r="A908" s="46">
        <f>IFERROR(__xludf.DUMMYFUNCTION("""COMPUTED_VALUE"""),5634.403187157)</f>
        <v/>
      </c>
      <c r="B908" s="184" t="n"/>
      <c r="O908" s="184" t="n"/>
    </row>
    <row r="909">
      <c r="A909" s="46">
        <f>IFERROR(__xludf.DUMMYFUNCTION("""COMPUTED_VALUE"""),7471.83679560996)</f>
        <v/>
      </c>
      <c r="B909" s="184" t="n"/>
      <c r="O909" s="184" t="n"/>
    </row>
    <row r="910">
      <c r="A910" s="46">
        <f>IFERROR(__xludf.DUMMYFUNCTION("""COMPUTED_VALUE"""),7632.88880216843)</f>
        <v/>
      </c>
      <c r="B910" s="184" t="n"/>
      <c r="O910" s="184" t="n"/>
    </row>
    <row r="911">
      <c r="A911" s="46">
        <f>IFERROR(__xludf.DUMMYFUNCTION("""COMPUTED_VALUE"""),5838.04795014866)</f>
        <v/>
      </c>
      <c r="B911" s="184" t="n"/>
      <c r="O911" s="184" t="n"/>
    </row>
    <row r="912">
      <c r="A912" s="46">
        <f>IFERROR(__xludf.DUMMYFUNCTION("""COMPUTED_VALUE"""),5459.74651331513)</f>
        <v/>
      </c>
      <c r="B912" s="184" t="n"/>
      <c r="O912" s="184" t="n"/>
    </row>
    <row r="913">
      <c r="A913" s="46">
        <f>IFERROR(__xludf.DUMMYFUNCTION("""COMPUTED_VALUE"""),5952.7736146149)</f>
        <v/>
      </c>
      <c r="B913" s="184" t="n"/>
      <c r="O913" s="184" t="n"/>
    </row>
    <row r="914">
      <c r="A914" s="46">
        <f>IFERROR(__xludf.DUMMYFUNCTION("""COMPUTED_VALUE"""),6245.92036529985)</f>
        <v/>
      </c>
      <c r="B914" s="184" t="n"/>
      <c r="O914" s="184" t="n"/>
    </row>
    <row r="915">
      <c r="A915" s="46">
        <f>IFERROR(__xludf.DUMMYFUNCTION("""COMPUTED_VALUE"""),74677.9835508388)</f>
        <v/>
      </c>
      <c r="B915" s="184" t="n"/>
      <c r="O915" s="184" t="n"/>
    </row>
    <row r="916">
      <c r="A916" s="40" t="n"/>
      <c r="B916" s="184" t="n"/>
      <c r="O916" s="184" t="n"/>
    </row>
    <row r="917">
      <c r="A917" s="40" t="n"/>
      <c r="B917" s="184" t="n"/>
      <c r="O917" s="184" t="n"/>
    </row>
    <row r="918">
      <c r="A918" s="40" t="n"/>
      <c r="B918" s="184" t="n"/>
      <c r="O918" s="184" t="n"/>
    </row>
    <row r="919">
      <c r="A919" s="40">
        <f>IFERROR(__xludf.DUMMYFUNCTION("""COMPUTED_VALUE"""),"T7")</f>
        <v/>
      </c>
      <c r="B919" s="184" t="n"/>
      <c r="O919" s="184" t="n"/>
    </row>
    <row r="920">
      <c r="A920" s="46">
        <f>IFERROR(__xludf.DUMMYFUNCTION("""COMPUTED_VALUE"""),5378.08440841107)</f>
        <v/>
      </c>
      <c r="B920" s="184" t="n"/>
      <c r="O920" s="184" t="n"/>
    </row>
    <row r="921">
      <c r="A921" s="46">
        <f>IFERROR(__xludf.DUMMYFUNCTION("""COMPUTED_VALUE"""),4092.60495955553)</f>
        <v/>
      </c>
      <c r="B921" s="184" t="n"/>
      <c r="O921" s="184" t="n"/>
    </row>
    <row r="922">
      <c r="A922" s="46">
        <f>IFERROR(__xludf.DUMMYFUNCTION("""COMPUTED_VALUE"""),4403.50063445908)</f>
        <v/>
      </c>
      <c r="B922" s="184" t="n"/>
      <c r="O922" s="184" t="n"/>
    </row>
    <row r="923">
      <c r="A923" s="46">
        <f>IFERROR(__xludf.DUMMYFUNCTION("""COMPUTED_VALUE"""),5248.14133217388)</f>
        <v/>
      </c>
      <c r="B923" s="184" t="n"/>
      <c r="O923" s="184" t="n"/>
    </row>
    <row r="924">
      <c r="A924" s="46">
        <f>IFERROR(__xludf.DUMMYFUNCTION("""COMPUTED_VALUE"""),5777.98677602362)</f>
        <v/>
      </c>
      <c r="B924" s="184" t="n"/>
      <c r="O924" s="184" t="n"/>
    </row>
    <row r="925">
      <c r="A925" s="46">
        <f>IFERROR(__xludf.DUMMYFUNCTION("""COMPUTED_VALUE"""),4802.86568603175)</f>
        <v/>
      </c>
      <c r="B925" s="184" t="n"/>
      <c r="O925" s="184" t="n"/>
    </row>
    <row r="926">
      <c r="A926" s="46">
        <f>IFERROR(__xludf.DUMMYFUNCTION("""COMPUTED_VALUE"""),6308.0320455166)</f>
        <v/>
      </c>
      <c r="B926" s="184" t="n"/>
      <c r="O926" s="184" t="n"/>
    </row>
    <row r="927">
      <c r="A927" s="46">
        <f>IFERROR(__xludf.DUMMYFUNCTION("""COMPUTED_VALUE"""),6561.89803958575)</f>
        <v/>
      </c>
      <c r="B927" s="184" t="n"/>
      <c r="O927" s="184" t="n"/>
    </row>
    <row r="928">
      <c r="A928" s="46">
        <f>IFERROR(__xludf.DUMMYFUNCTION("""COMPUTED_VALUE"""),4916.66279023364)</f>
        <v/>
      </c>
      <c r="B928" s="184" t="n"/>
      <c r="O928" s="184" t="n"/>
    </row>
    <row r="929">
      <c r="A929" s="46">
        <f>IFERROR(__xludf.DUMMYFUNCTION("""COMPUTED_VALUE"""),5295.15951182599)</f>
        <v/>
      </c>
      <c r="B929" s="184" t="n"/>
      <c r="O929" s="184" t="n"/>
    </row>
    <row r="930">
      <c r="A930" s="46">
        <f>IFERROR(__xludf.DUMMYFUNCTION("""COMPUTED_VALUE"""),4499.00266025382)</f>
        <v/>
      </c>
      <c r="B930" s="184" t="n"/>
      <c r="O930" s="184" t="n"/>
    </row>
    <row r="931">
      <c r="A931" s="46">
        <f>IFERROR(__xludf.DUMMYFUNCTION("""COMPUTED_VALUE"""),4712.43437826467)</f>
        <v/>
      </c>
      <c r="B931" s="184" t="n"/>
      <c r="O931" s="184" t="n"/>
    </row>
    <row r="932">
      <c r="A932" s="46">
        <f>IFERROR(__xludf.DUMMYFUNCTION("""COMPUTED_VALUE"""),61996.3732223354)</f>
        <v/>
      </c>
      <c r="B932" s="184" t="n"/>
      <c r="O932" s="184" t="n"/>
    </row>
    <row r="933">
      <c r="A933" s="40" t="n"/>
      <c r="B933" s="184" t="n"/>
      <c r="O933" s="184" t="n"/>
    </row>
    <row r="934">
      <c r="A934" s="40" t="n"/>
      <c r="B934" s="184" t="n"/>
      <c r="O934" s="184" t="n"/>
    </row>
    <row r="935">
      <c r="A935" s="40" t="n"/>
      <c r="B935" s="184" t="n"/>
      <c r="O935" s="184" t="n"/>
    </row>
    <row r="936">
      <c r="A936" s="40">
        <f>IFERROR(__xludf.DUMMYFUNCTION("""COMPUTED_VALUE"""),"T8")</f>
        <v/>
      </c>
      <c r="B936" s="184" t="n"/>
      <c r="O936" s="184" t="n"/>
    </row>
    <row r="937">
      <c r="A937" s="46">
        <f>IFERROR(__xludf.DUMMYFUNCTION("""COMPUTED_VALUE"""),6035.07434920353)</f>
        <v/>
      </c>
      <c r="B937" s="184" t="n"/>
      <c r="O937" s="184" t="n"/>
    </row>
    <row r="938">
      <c r="A938" s="46">
        <f>IFERROR(__xludf.DUMMYFUNCTION("""COMPUTED_VALUE"""),4795.00632939267)</f>
        <v/>
      </c>
      <c r="B938" s="184" t="n"/>
      <c r="O938" s="184" t="n"/>
    </row>
    <row r="939">
      <c r="A939" s="46">
        <f>IFERROR(__xludf.DUMMYFUNCTION("""COMPUTED_VALUE"""),4529.45559082633)</f>
        <v/>
      </c>
      <c r="B939" s="184" t="n"/>
      <c r="O939" s="184" t="n"/>
    </row>
    <row r="940">
      <c r="A940" s="46">
        <f>IFERROR(__xludf.DUMMYFUNCTION("""COMPUTED_VALUE"""),5200.48265533244)</f>
        <v/>
      </c>
      <c r="B940" s="184" t="n"/>
      <c r="O940" s="184" t="n"/>
    </row>
    <row r="941">
      <c r="A941" s="46">
        <f>IFERROR(__xludf.DUMMYFUNCTION("""COMPUTED_VALUE"""),5707.14316743999)</f>
        <v/>
      </c>
      <c r="B941" s="184" t="n"/>
      <c r="O941" s="184" t="n"/>
    </row>
    <row r="942">
      <c r="A942" s="46">
        <f>IFERROR(__xludf.DUMMYFUNCTION("""COMPUTED_VALUE"""),4881.07473316435)</f>
        <v/>
      </c>
      <c r="B942" s="184" t="n"/>
      <c r="O942" s="184" t="n"/>
    </row>
    <row r="943">
      <c r="A943" s="46">
        <f>IFERROR(__xludf.DUMMYFUNCTION("""COMPUTED_VALUE"""),6140.19551479097)</f>
        <v/>
      </c>
      <c r="B943" s="184" t="n"/>
      <c r="O943" s="184" t="n"/>
    </row>
    <row r="944">
      <c r="A944" s="46">
        <f>IFERROR(__xludf.DUMMYFUNCTION("""COMPUTED_VALUE"""),6607.26710439609)</f>
        <v/>
      </c>
      <c r="B944" s="184" t="n"/>
      <c r="O944" s="184" t="n"/>
    </row>
    <row r="945">
      <c r="A945" s="46">
        <f>IFERROR(__xludf.DUMMYFUNCTION("""COMPUTED_VALUE"""),4817.48313157053)</f>
        <v/>
      </c>
      <c r="B945" s="184" t="n"/>
      <c r="O945" s="184" t="n"/>
    </row>
    <row r="946">
      <c r="A946" s="46">
        <f>IFERROR(__xludf.DUMMYFUNCTION("""COMPUTED_VALUE"""),5288.01390659726)</f>
        <v/>
      </c>
      <c r="B946" s="184" t="n"/>
      <c r="O946" s="184" t="n"/>
    </row>
    <row r="947">
      <c r="A947" s="46">
        <f>IFERROR(__xludf.DUMMYFUNCTION("""COMPUTED_VALUE"""),4776.2952762935)</f>
        <v/>
      </c>
      <c r="B947" s="184" t="n"/>
      <c r="O947" s="184" t="n"/>
    </row>
    <row r="948">
      <c r="A948" s="46">
        <f>IFERROR(__xludf.DUMMYFUNCTION("""COMPUTED_VALUE"""),4917.65992641278)</f>
        <v/>
      </c>
      <c r="B948" s="184" t="n"/>
      <c r="O948" s="184" t="n"/>
    </row>
    <row r="949">
      <c r="A949" s="46">
        <f>IFERROR(__xludf.DUMMYFUNCTION("""COMPUTED_VALUE"""),63695.1516854205)</f>
        <v/>
      </c>
      <c r="B949" s="184" t="n"/>
      <c r="O949" s="184" t="n"/>
    </row>
    <row r="950">
      <c r="A950" s="40" t="n"/>
      <c r="B950" s="184" t="n"/>
      <c r="O950" s="184" t="n"/>
    </row>
    <row r="951">
      <c r="A951" s="40" t="n"/>
      <c r="B951" s="184" t="n"/>
      <c r="O951" s="184" t="n"/>
    </row>
    <row r="952">
      <c r="A952" s="40" t="n"/>
      <c r="B952" s="184" t="n"/>
      <c r="O952" s="184" t="n"/>
    </row>
    <row r="953">
      <c r="A953" s="40">
        <f>IFERROR(__xludf.DUMMYFUNCTION("""COMPUTED_VALUE"""),"T9")</f>
        <v/>
      </c>
      <c r="B953" s="184" t="n"/>
      <c r="O953" s="184" t="n"/>
    </row>
    <row r="954">
      <c r="A954" s="46">
        <f>IFERROR(__xludf.DUMMYFUNCTION("""COMPUTED_VALUE"""),6009.16831482929)</f>
        <v/>
      </c>
      <c r="B954" s="184" t="n"/>
      <c r="O954" s="184" t="n"/>
    </row>
    <row r="955">
      <c r="A955" s="46">
        <f>IFERROR(__xludf.DUMMYFUNCTION("""COMPUTED_VALUE"""),5448.67057981482)</f>
        <v/>
      </c>
      <c r="B955" s="184" t="n"/>
      <c r="O955" s="184" t="n"/>
    </row>
    <row r="956">
      <c r="A956" s="46">
        <f>IFERROR(__xludf.DUMMYFUNCTION("""COMPUTED_VALUE"""),5328.92059152043)</f>
        <v/>
      </c>
      <c r="B956" s="184" t="n"/>
      <c r="O956" s="184" t="n"/>
    </row>
    <row r="957">
      <c r="A957" s="46">
        <f>IFERROR(__xludf.DUMMYFUNCTION("""COMPUTED_VALUE"""),5839.69917620038)</f>
        <v/>
      </c>
      <c r="B957" s="184" t="n"/>
      <c r="O957" s="184" t="n"/>
    </row>
    <row r="958">
      <c r="A958" s="46">
        <f>IFERROR(__xludf.DUMMYFUNCTION("""COMPUTED_VALUE"""),6294.26593841934)</f>
        <v/>
      </c>
      <c r="B958" s="184" t="n"/>
      <c r="O958" s="184" t="n"/>
    </row>
    <row r="959">
      <c r="A959" s="46">
        <f>IFERROR(__xludf.DUMMYFUNCTION("""COMPUTED_VALUE"""),5244.86074040055)</f>
        <v/>
      </c>
      <c r="B959" s="184" t="n"/>
      <c r="O959" s="184" t="n"/>
    </row>
    <row r="960">
      <c r="A960" s="46">
        <f>IFERROR(__xludf.DUMMYFUNCTION("""COMPUTED_VALUE"""),6555.90506166011)</f>
        <v/>
      </c>
      <c r="B960" s="184" t="n"/>
      <c r="O960" s="184" t="n"/>
    </row>
    <row r="961">
      <c r="A961" s="46">
        <f>IFERROR(__xludf.DUMMYFUNCTION("""COMPUTED_VALUE"""),7005.57288553731)</f>
        <v/>
      </c>
      <c r="B961" s="184" t="n"/>
      <c r="O961" s="184" t="n"/>
    </row>
    <row r="962">
      <c r="A962" s="46">
        <f>IFERROR(__xludf.DUMMYFUNCTION("""COMPUTED_VALUE"""),5478.07115364889)</f>
        <v/>
      </c>
      <c r="B962" s="184" t="n"/>
      <c r="O962" s="184" t="n"/>
    </row>
    <row r="963">
      <c r="A963" s="46">
        <f>IFERROR(__xludf.DUMMYFUNCTION("""COMPUTED_VALUE"""),5485.40082144405)</f>
        <v/>
      </c>
      <c r="B963" s="184" t="n"/>
      <c r="O963" s="184" t="n"/>
    </row>
    <row r="964">
      <c r="A964" s="46">
        <f>IFERROR(__xludf.DUMMYFUNCTION("""COMPUTED_VALUE"""),4658.45353464394)</f>
        <v/>
      </c>
      <c r="B964" s="184" t="n"/>
      <c r="O964" s="184" t="n"/>
    </row>
    <row r="965">
      <c r="A965" s="46">
        <f>IFERROR(__xludf.DUMMYFUNCTION("""COMPUTED_VALUE"""),4785.08591174328)</f>
        <v/>
      </c>
      <c r="B965" s="184" t="n"/>
      <c r="O965" s="184" t="n"/>
    </row>
    <row r="966">
      <c r="A966" s="46">
        <f>IFERROR(__xludf.DUMMYFUNCTION("""COMPUTED_VALUE"""),68134.0747098624)</f>
        <v/>
      </c>
      <c r="B966" s="184" t="n"/>
      <c r="O966" s="184" t="n"/>
    </row>
    <row r="967">
      <c r="A967" s="40" t="n"/>
      <c r="B967" s="184" t="n"/>
      <c r="O967" s="184" t="n"/>
    </row>
    <row r="968">
      <c r="A968" s="40" t="n"/>
      <c r="B968" s="184" t="n"/>
      <c r="O968" s="184" t="n"/>
    </row>
    <row r="969">
      <c r="A969" s="40" t="n"/>
      <c r="B969" s="184" t="n"/>
      <c r="O969" s="184" t="n"/>
    </row>
    <row r="970">
      <c r="A970" s="40">
        <f>IFERROR(__xludf.DUMMYFUNCTION("""COMPUTED_VALUE"""),"T10")</f>
        <v/>
      </c>
      <c r="B970" s="184" t="n"/>
      <c r="O970" s="184" t="n"/>
    </row>
    <row r="971">
      <c r="A971" s="46">
        <f>IFERROR(__xludf.DUMMYFUNCTION("""COMPUTED_VALUE"""),6609.66441355505)</f>
        <v/>
      </c>
      <c r="B971" s="184" t="n"/>
      <c r="O971" s="184" t="n"/>
    </row>
    <row r="972">
      <c r="A972" s="46">
        <f>IFERROR(__xludf.DUMMYFUNCTION("""COMPUTED_VALUE"""),4975.91202088973)</f>
        <v/>
      </c>
      <c r="B972" s="184" t="n"/>
      <c r="O972" s="184" t="n"/>
    </row>
    <row r="973">
      <c r="A973" s="46">
        <f>IFERROR(__xludf.DUMMYFUNCTION("""COMPUTED_VALUE"""),5280.41707904287)</f>
        <v/>
      </c>
      <c r="B973" s="184" t="n"/>
      <c r="O973" s="184" t="n"/>
    </row>
    <row r="974">
      <c r="A974" s="46">
        <f>IFERROR(__xludf.DUMMYFUNCTION("""COMPUTED_VALUE"""),5885.05906016032)</f>
        <v/>
      </c>
      <c r="B974" s="184" t="n"/>
      <c r="O974" s="184" t="n"/>
    </row>
    <row r="975">
      <c r="A975" s="46">
        <f>IFERROR(__xludf.DUMMYFUNCTION("""COMPUTED_VALUE"""),6634.31889662844)</f>
        <v/>
      </c>
      <c r="B975" s="184" t="n"/>
      <c r="O975" s="184" t="n"/>
    </row>
    <row r="976">
      <c r="A976" s="46">
        <f>IFERROR(__xludf.DUMMYFUNCTION("""COMPUTED_VALUE"""),5796.12143262958)</f>
        <v/>
      </c>
      <c r="B976" s="184" t="n"/>
      <c r="O976" s="184" t="n"/>
    </row>
    <row r="977">
      <c r="A977" s="46">
        <f>IFERROR(__xludf.DUMMYFUNCTION("""COMPUTED_VALUE"""),7141.1268014694)</f>
        <v/>
      </c>
      <c r="B977" s="184" t="n"/>
      <c r="O977" s="184" t="n"/>
    </row>
    <row r="978">
      <c r="A978" s="46">
        <f>IFERROR(__xludf.DUMMYFUNCTION("""COMPUTED_VALUE"""),7240.38244863071)</f>
        <v/>
      </c>
      <c r="B978" s="184" t="n"/>
      <c r="O978" s="184" t="n"/>
    </row>
    <row r="979">
      <c r="A979" s="46">
        <f>IFERROR(__xludf.DUMMYFUNCTION("""COMPUTED_VALUE"""),5573.66122728373)</f>
        <v/>
      </c>
      <c r="B979" s="184" t="n"/>
      <c r="O979" s="184" t="n"/>
    </row>
    <row r="980">
      <c r="A980" s="46">
        <f>IFERROR(__xludf.DUMMYFUNCTION("""COMPUTED_VALUE"""),6779.42962991609)</f>
        <v/>
      </c>
      <c r="B980" s="184" t="n"/>
      <c r="O980" s="184" t="n"/>
    </row>
    <row r="981">
      <c r="A981" s="46">
        <f>IFERROR(__xludf.DUMMYFUNCTION("""COMPUTED_VALUE"""),5920.2021225136)</f>
        <v/>
      </c>
      <c r="B981" s="184" t="n"/>
      <c r="O981" s="184" t="n"/>
    </row>
    <row r="982">
      <c r="A982" s="46">
        <f>IFERROR(__xludf.DUMMYFUNCTION("""COMPUTED_VALUE"""),5652.93145496163)</f>
        <v/>
      </c>
      <c r="B982" s="184" t="n"/>
      <c r="O982" s="184" t="n"/>
    </row>
    <row r="983">
      <c r="A983" s="46">
        <f>IFERROR(__xludf.DUMMYFUNCTION("""COMPUTED_VALUE"""),73489.2265876812)</f>
        <v/>
      </c>
      <c r="B983" s="184" t="n"/>
      <c r="O983" s="184" t="n"/>
    </row>
    <row r="984">
      <c r="A984" s="40" t="n"/>
      <c r="B984" s="184" t="n"/>
      <c r="O984" s="184" t="n"/>
    </row>
    <row r="985">
      <c r="A985" s="40" t="n"/>
      <c r="B985" s="184" t="n"/>
      <c r="O985" s="184" t="n"/>
    </row>
    <row r="986">
      <c r="A986" s="40" t="n"/>
      <c r="B986" s="184" t="n"/>
      <c r="O986" s="184" t="n"/>
    </row>
    <row r="987">
      <c r="A987" s="40">
        <f>IFERROR(__xludf.DUMMYFUNCTION("""COMPUTED_VALUE"""),"T11")</f>
        <v/>
      </c>
      <c r="B987" s="184" t="n"/>
      <c r="O987" s="184" t="n"/>
    </row>
    <row r="988">
      <c r="A988" s="46">
        <f>IFERROR(__xludf.DUMMYFUNCTION("""COMPUTED_VALUE"""),5706.63081867112)</f>
        <v/>
      </c>
      <c r="B988" s="184" t="n"/>
      <c r="O988" s="184" t="n"/>
    </row>
    <row r="989">
      <c r="A989" s="46">
        <f>IFERROR(__xludf.DUMMYFUNCTION("""COMPUTED_VALUE"""),4876.40965703933)</f>
        <v/>
      </c>
      <c r="B989" s="184" t="n"/>
      <c r="O989" s="184" t="n"/>
    </row>
    <row r="990">
      <c r="A990" s="46">
        <f>IFERROR(__xludf.DUMMYFUNCTION("""COMPUTED_VALUE"""),4585.05469204386)</f>
        <v/>
      </c>
      <c r="B990" s="184" t="n"/>
      <c r="O990" s="184" t="n"/>
    </row>
    <row r="991">
      <c r="A991" s="46">
        <f>IFERROR(__xludf.DUMMYFUNCTION("""COMPUTED_VALUE"""),5351.25901801719)</f>
        <v/>
      </c>
      <c r="B991" s="184" t="n"/>
      <c r="O991" s="184" t="n"/>
    </row>
    <row r="992">
      <c r="A992" s="46">
        <f>IFERROR(__xludf.DUMMYFUNCTION("""COMPUTED_VALUE"""),5680.50454751432)</f>
        <v/>
      </c>
      <c r="B992" s="184" t="n"/>
      <c r="O992" s="184" t="n"/>
    </row>
    <row r="993">
      <c r="A993" s="46">
        <f>IFERROR(__xludf.DUMMYFUNCTION("""COMPUTED_VALUE"""),4833.83410469484)</f>
        <v/>
      </c>
      <c r="B993" s="184" t="n"/>
      <c r="O993" s="184" t="n"/>
    </row>
    <row r="994">
      <c r="A994" s="46">
        <f>IFERROR(__xludf.DUMMYFUNCTION("""COMPUTED_VALUE"""),6194.01583945861)</f>
        <v/>
      </c>
      <c r="B994" s="184" t="n"/>
      <c r="O994" s="184" t="n"/>
    </row>
    <row r="995">
      <c r="A995" s="46">
        <f>IFERROR(__xludf.DUMMYFUNCTION("""COMPUTED_VALUE"""),6978.40251717227)</f>
        <v/>
      </c>
      <c r="B995" s="184" t="n"/>
      <c r="O995" s="184" t="n"/>
    </row>
    <row r="996">
      <c r="A996" s="46">
        <f>IFERROR(__xludf.DUMMYFUNCTION("""COMPUTED_VALUE"""),5229.34045877214)</f>
        <v/>
      </c>
      <c r="B996" s="184" t="n"/>
      <c r="O996" s="184" t="n"/>
    </row>
    <row r="997">
      <c r="A997" s="46">
        <f>IFERROR(__xludf.DUMMYFUNCTION("""COMPUTED_VALUE"""),5145.78798290093)</f>
        <v/>
      </c>
      <c r="B997" s="184" t="n"/>
      <c r="O997" s="184" t="n"/>
    </row>
    <row r="998">
      <c r="A998" s="46">
        <f>IFERROR(__xludf.DUMMYFUNCTION("""COMPUTED_VALUE"""),4887.76621557537)</f>
        <v/>
      </c>
      <c r="B998" s="184" t="n"/>
      <c r="O998" s="184" t="n"/>
    </row>
    <row r="999">
      <c r="A999" s="46">
        <f>IFERROR(__xludf.DUMMYFUNCTION("""COMPUTED_VALUE"""),4938.97861481955)</f>
        <v/>
      </c>
      <c r="B999" s="184" t="n"/>
      <c r="O999" s="184" t="n"/>
    </row>
    <row r="1000">
      <c r="A1000" s="46">
        <f>IFERROR(__xludf.DUMMYFUNCTION("""COMPUTED_VALUE"""),64407.9844666795)</f>
        <v/>
      </c>
      <c r="B1000" s="184" t="n"/>
      <c r="O1000" s="184" t="n"/>
    </row>
    <row r="1001">
      <c r="A1001" s="40" t="n"/>
      <c r="B1001" s="184" t="n"/>
      <c r="O1001" s="184" t="n"/>
    </row>
    <row r="1002">
      <c r="A1002" s="40" t="n"/>
      <c r="B1002" s="184" t="n"/>
      <c r="O1002" s="184" t="n"/>
    </row>
    <row r="1003">
      <c r="A1003" s="40" t="n"/>
      <c r="B1003" s="184" t="n"/>
      <c r="O1003" s="184" t="n"/>
    </row>
    <row r="1004">
      <c r="A1004" s="40">
        <f>IFERROR(__xludf.DUMMYFUNCTION("""COMPUTED_VALUE"""),"T12")</f>
        <v/>
      </c>
      <c r="B1004" s="184" t="n"/>
      <c r="O1004" s="184" t="n"/>
    </row>
    <row r="1005">
      <c r="A1005" s="46">
        <f>IFERROR(__xludf.DUMMYFUNCTION("""COMPUTED_VALUE"""),5470.8304828903)</f>
        <v/>
      </c>
      <c r="B1005" s="184" t="n"/>
      <c r="O1005" s="184" t="n"/>
    </row>
    <row r="1006">
      <c r="A1006" s="46">
        <f>IFERROR(__xludf.DUMMYFUNCTION("""COMPUTED_VALUE"""),4212.20710244414)</f>
        <v/>
      </c>
      <c r="B1006" s="184" t="n"/>
      <c r="O1006" s="184" t="n"/>
    </row>
    <row r="1007">
      <c r="A1007" s="46">
        <f>IFERROR(__xludf.DUMMYFUNCTION("""COMPUTED_VALUE"""),4410.3982673169)</f>
        <v/>
      </c>
      <c r="B1007" s="184" t="n"/>
      <c r="O1007" s="184" t="n"/>
    </row>
    <row r="1008">
      <c r="A1008" s="46">
        <f>IFERROR(__xludf.DUMMYFUNCTION("""COMPUTED_VALUE"""),5218.69845991517)</f>
        <v/>
      </c>
      <c r="B1008" s="184" t="n"/>
      <c r="O1008" s="184" t="n"/>
    </row>
    <row r="1009">
      <c r="A1009" s="46">
        <f>IFERROR(__xludf.DUMMYFUNCTION("""COMPUTED_VALUE"""),5695.22471979378)</f>
        <v/>
      </c>
      <c r="B1009" s="184" t="n"/>
      <c r="O1009" s="184" t="n"/>
    </row>
    <row r="1010">
      <c r="A1010" s="46">
        <f>IFERROR(__xludf.DUMMYFUNCTION("""COMPUTED_VALUE"""),4826.82090046833)</f>
        <v/>
      </c>
      <c r="B1010" s="184" t="n"/>
      <c r="O1010" s="184" t="n"/>
    </row>
    <row r="1011">
      <c r="A1011" s="46">
        <f>IFERROR(__xludf.DUMMYFUNCTION("""COMPUTED_VALUE"""),6263.61566701498)</f>
        <v/>
      </c>
      <c r="B1011" s="184" t="n"/>
      <c r="O1011" s="184" t="n"/>
    </row>
    <row r="1012">
      <c r="A1012" s="46">
        <f>IFERROR(__xludf.DUMMYFUNCTION("""COMPUTED_VALUE"""),6898.60719293807)</f>
        <v/>
      </c>
      <c r="B1012" s="184" t="n"/>
      <c r="O1012" s="184" t="n"/>
    </row>
    <row r="1013">
      <c r="A1013" s="46">
        <f>IFERROR(__xludf.DUMMYFUNCTION("""COMPUTED_VALUE"""),4994.47849959843)</f>
        <v/>
      </c>
      <c r="B1013" s="184" t="n"/>
      <c r="O1013" s="184" t="n"/>
    </row>
    <row r="1014">
      <c r="A1014" s="46">
        <f>IFERROR(__xludf.DUMMYFUNCTION("""COMPUTED_VALUE"""),4964.7023143951)</f>
        <v/>
      </c>
      <c r="B1014" s="184" t="n"/>
      <c r="O1014" s="184" t="n"/>
    </row>
    <row r="1015">
      <c r="A1015" s="46">
        <f>IFERROR(__xludf.DUMMYFUNCTION("""COMPUTED_VALUE"""),4604.34121423358)</f>
        <v/>
      </c>
      <c r="B1015" s="184" t="n"/>
      <c r="O1015" s="184" t="n"/>
    </row>
    <row r="1016">
      <c r="A1016" s="46">
        <f>IFERROR(__xludf.DUMMYFUNCTION("""COMPUTED_VALUE"""),4805.62623816727)</f>
        <v/>
      </c>
      <c r="B1016" s="184" t="n"/>
      <c r="O1016" s="184" t="n"/>
    </row>
    <row r="1017">
      <c r="A1017" s="46">
        <f>IFERROR(__xludf.DUMMYFUNCTION("""COMPUTED_VALUE"""),62365.5510591761)</f>
        <v/>
      </c>
      <c r="B1017" s="184" t="n"/>
      <c r="O1017" s="184" t="n"/>
    </row>
    <row r="1018">
      <c r="A1018" s="40" t="n"/>
      <c r="B1018" s="184" t="n"/>
      <c r="O1018" s="184" t="n"/>
    </row>
    <row r="1019">
      <c r="A1019" s="40" t="n"/>
      <c r="B1019" s="184" t="n"/>
      <c r="O1019" s="184" t="n"/>
    </row>
    <row r="1020">
      <c r="A1020" s="40" t="n"/>
      <c r="B1020" s="184" t="n"/>
      <c r="O1020" s="184" t="n"/>
    </row>
    <row r="1021">
      <c r="A1021" s="40">
        <f>IFERROR(__xludf.DUMMYFUNCTION("""COMPUTED_VALUE"""),"T13")</f>
        <v/>
      </c>
      <c r="B1021" s="184" t="n"/>
      <c r="O1021" s="184" t="n"/>
    </row>
    <row r="1022">
      <c r="A1022" s="46">
        <f>IFERROR(__xludf.DUMMYFUNCTION("""COMPUTED_VALUE"""),5694.20202861944)</f>
        <v/>
      </c>
      <c r="B1022" s="184" t="n"/>
      <c r="O1022" s="184" t="n"/>
    </row>
    <row r="1023">
      <c r="A1023" s="46">
        <f>IFERROR(__xludf.DUMMYFUNCTION("""COMPUTED_VALUE"""),4543.61137338867)</f>
        <v/>
      </c>
      <c r="B1023" s="184" t="n"/>
      <c r="O1023" s="184" t="n"/>
    </row>
    <row r="1024">
      <c r="A1024" s="46">
        <f>IFERROR(__xludf.DUMMYFUNCTION("""COMPUTED_VALUE"""),4891.40164915747)</f>
        <v/>
      </c>
      <c r="B1024" s="184" t="n"/>
      <c r="O1024" s="184" t="n"/>
    </row>
    <row r="1025">
      <c r="A1025" s="46">
        <f>IFERROR(__xludf.DUMMYFUNCTION("""COMPUTED_VALUE"""),5534.94515844135)</f>
        <v/>
      </c>
      <c r="B1025" s="184" t="n"/>
      <c r="O1025" s="184" t="n"/>
    </row>
    <row r="1026">
      <c r="A1026" s="46">
        <f>IFERROR(__xludf.DUMMYFUNCTION("""COMPUTED_VALUE"""),6092.14151844908)</f>
        <v/>
      </c>
      <c r="B1026" s="184" t="n"/>
      <c r="O1026" s="184" t="n"/>
    </row>
    <row r="1027">
      <c r="A1027" s="46">
        <f>IFERROR(__xludf.DUMMYFUNCTION("""COMPUTED_VALUE"""),5042.0688181882)</f>
        <v/>
      </c>
      <c r="B1027" s="184" t="n"/>
      <c r="O1027" s="184" t="n"/>
    </row>
    <row r="1028">
      <c r="A1028" s="46">
        <f>IFERROR(__xludf.DUMMYFUNCTION("""COMPUTED_VALUE"""),6302.63607085002)</f>
        <v/>
      </c>
      <c r="B1028" s="184" t="n"/>
      <c r="O1028" s="184" t="n"/>
    </row>
    <row r="1029">
      <c r="A1029" s="46">
        <f>IFERROR(__xludf.DUMMYFUNCTION("""COMPUTED_VALUE"""),7071.90759075627)</f>
        <v/>
      </c>
      <c r="B1029" s="184" t="n"/>
      <c r="O1029" s="184" t="n"/>
    </row>
    <row r="1030">
      <c r="A1030" s="46">
        <f>IFERROR(__xludf.DUMMYFUNCTION("""COMPUTED_VALUE"""),5485.14530904569)</f>
        <v/>
      </c>
      <c r="B1030" s="184" t="n"/>
      <c r="O1030" s="184" t="n"/>
    </row>
    <row r="1031">
      <c r="A1031" s="46">
        <f>IFERROR(__xludf.DUMMYFUNCTION("""COMPUTED_VALUE"""),5204.73473715605)</f>
        <v/>
      </c>
      <c r="B1031" s="184" t="n"/>
      <c r="O1031" s="184" t="n"/>
    </row>
    <row r="1032">
      <c r="A1032" s="46">
        <f>IFERROR(__xludf.DUMMYFUNCTION("""COMPUTED_VALUE"""),4990.88816368242)</f>
        <v/>
      </c>
      <c r="B1032" s="184" t="n"/>
      <c r="O1032" s="184" t="n"/>
    </row>
    <row r="1033">
      <c r="A1033" s="46">
        <f>IFERROR(__xludf.DUMMYFUNCTION("""COMPUTED_VALUE"""),5788.25846724918)</f>
        <v/>
      </c>
      <c r="B1033" s="184" t="n"/>
      <c r="O1033" s="184" t="n"/>
    </row>
    <row r="1034">
      <c r="A1034" s="46">
        <f>IFERROR(__xludf.DUMMYFUNCTION("""COMPUTED_VALUE"""),66641.9408849839)</f>
        <v/>
      </c>
      <c r="B1034" s="184" t="n"/>
      <c r="O1034" s="184" t="n"/>
    </row>
    <row r="1035">
      <c r="A1035" s="40" t="n"/>
      <c r="B1035" s="184" t="n"/>
      <c r="O1035" s="184" t="n"/>
    </row>
    <row r="1036">
      <c r="A1036" s="40" t="n"/>
      <c r="B1036" s="184" t="n"/>
      <c r="O1036" s="184" t="n"/>
    </row>
    <row r="1037">
      <c r="A1037" s="40" t="n"/>
      <c r="B1037" s="184" t="n"/>
      <c r="O1037" s="184" t="n"/>
    </row>
    <row r="1038">
      <c r="A1038" s="40">
        <f>IFERROR(__xludf.DUMMYFUNCTION("""COMPUTED_VALUE"""),"T14")</f>
        <v/>
      </c>
      <c r="B1038" s="184" t="n"/>
      <c r="O1038" s="184" t="n"/>
    </row>
    <row r="1039">
      <c r="A1039" s="46">
        <f>IFERROR(__xludf.DUMMYFUNCTION("""COMPUTED_VALUE"""),6372.3337534446)</f>
        <v/>
      </c>
      <c r="B1039" s="184" t="n"/>
      <c r="O1039" s="184" t="n"/>
    </row>
    <row r="1040">
      <c r="A1040" s="46">
        <f>IFERROR(__xludf.DUMMYFUNCTION("""COMPUTED_VALUE"""),4561.15561295909)</f>
        <v/>
      </c>
      <c r="B1040" s="184" t="n"/>
      <c r="O1040" s="184" t="n"/>
    </row>
    <row r="1041">
      <c r="A1041" s="46">
        <f>IFERROR(__xludf.DUMMYFUNCTION("""COMPUTED_VALUE"""),4851.77161310166)</f>
        <v/>
      </c>
      <c r="B1041" s="184" t="n"/>
      <c r="O1041" s="184" t="n"/>
    </row>
    <row r="1042">
      <c r="A1042" s="46">
        <f>IFERROR(__xludf.DUMMYFUNCTION("""COMPUTED_VALUE"""),5513.39279559347)</f>
        <v/>
      </c>
      <c r="B1042" s="184" t="n"/>
      <c r="O1042" s="184" t="n"/>
    </row>
    <row r="1043">
      <c r="A1043" s="46">
        <f>IFERROR(__xludf.DUMMYFUNCTION("""COMPUTED_VALUE"""),6276.29932331087)</f>
        <v/>
      </c>
      <c r="B1043" s="184" t="n"/>
      <c r="O1043" s="184" t="n"/>
    </row>
    <row r="1044">
      <c r="A1044" s="46">
        <f>IFERROR(__xludf.DUMMYFUNCTION("""COMPUTED_VALUE"""),5236.58673541423)</f>
        <v/>
      </c>
      <c r="B1044" s="184" t="n"/>
      <c r="O1044" s="184" t="n"/>
    </row>
    <row r="1045">
      <c r="A1045" s="46">
        <f>IFERROR(__xludf.DUMMYFUNCTION("""COMPUTED_VALUE"""),6525.62116722719)</f>
        <v/>
      </c>
      <c r="B1045" s="184" t="n"/>
      <c r="O1045" s="184" t="n"/>
    </row>
    <row r="1046">
      <c r="A1046" s="46">
        <f>IFERROR(__xludf.DUMMYFUNCTION("""COMPUTED_VALUE"""),6963.3510877629)</f>
        <v/>
      </c>
      <c r="B1046" s="184" t="n"/>
      <c r="O1046" s="184" t="n"/>
    </row>
    <row r="1047">
      <c r="A1047" s="46">
        <f>IFERROR(__xludf.DUMMYFUNCTION("""COMPUTED_VALUE"""),5511.17820090591)</f>
        <v/>
      </c>
      <c r="B1047" s="184" t="n"/>
      <c r="O1047" s="184" t="n"/>
    </row>
    <row r="1048">
      <c r="A1048" s="46">
        <f>IFERROR(__xludf.DUMMYFUNCTION("""COMPUTED_VALUE"""),5164.61307131166)</f>
        <v/>
      </c>
      <c r="B1048" s="184" t="n"/>
      <c r="O1048" s="184" t="n"/>
    </row>
    <row r="1049">
      <c r="A1049" s="46">
        <f>IFERROR(__xludf.DUMMYFUNCTION("""COMPUTED_VALUE"""),4936.4879714863)</f>
        <v/>
      </c>
      <c r="B1049" s="184" t="n"/>
      <c r="O1049" s="184" t="n"/>
    </row>
    <row r="1050">
      <c r="A1050" s="46">
        <f>IFERROR(__xludf.DUMMYFUNCTION("""COMPUTED_VALUE"""),5178.11052830452)</f>
        <v/>
      </c>
      <c r="B1050" s="184" t="n"/>
      <c r="O1050" s="184" t="n"/>
    </row>
    <row r="1051">
      <c r="A1051" s="46">
        <f>IFERROR(__xludf.DUMMYFUNCTION("""COMPUTED_VALUE"""),67090.9018608224)</f>
        <v/>
      </c>
      <c r="B1051" s="184" t="n"/>
      <c r="O1051" s="184" t="n"/>
    </row>
    <row r="1052">
      <c r="A1052" s="40" t="n"/>
      <c r="B1052" s="184" t="n"/>
      <c r="O1052" s="184" t="n"/>
    </row>
    <row r="1053">
      <c r="A1053" s="40" t="n"/>
      <c r="B1053" s="184" t="n"/>
      <c r="O1053" s="184" t="n"/>
    </row>
    <row r="1054">
      <c r="A1054" s="40" t="n"/>
      <c r="B1054" s="184" t="n"/>
      <c r="O1054" s="184" t="n"/>
    </row>
    <row r="1055">
      <c r="A1055" s="40">
        <f>IFERROR(__xludf.DUMMYFUNCTION("""COMPUTED_VALUE"""),"T15")</f>
        <v/>
      </c>
      <c r="B1055" s="184" t="n"/>
      <c r="O1055" s="184" t="n"/>
    </row>
    <row r="1056">
      <c r="A1056" s="46">
        <f>IFERROR(__xludf.DUMMYFUNCTION("""COMPUTED_VALUE"""),6270.63714265955)</f>
        <v/>
      </c>
      <c r="B1056" s="184" t="n"/>
      <c r="O1056" s="184" t="n"/>
    </row>
    <row r="1057">
      <c r="A1057" s="46">
        <f>IFERROR(__xludf.DUMMYFUNCTION("""COMPUTED_VALUE"""),5213.69440717505)</f>
        <v/>
      </c>
      <c r="B1057" s="184" t="n"/>
      <c r="O1057" s="184" t="n"/>
    </row>
    <row r="1058">
      <c r="A1058" s="46">
        <f>IFERROR(__xludf.DUMMYFUNCTION("""COMPUTED_VALUE"""),5151.58872132134)</f>
        <v/>
      </c>
      <c r="B1058" s="184" t="n"/>
      <c r="O1058" s="184" t="n"/>
    </row>
    <row r="1059">
      <c r="A1059" s="46">
        <f>IFERROR(__xludf.DUMMYFUNCTION("""COMPUTED_VALUE"""),6160.95563078435)</f>
        <v/>
      </c>
      <c r="B1059" s="184" t="n"/>
      <c r="O1059" s="184" t="n"/>
    </row>
    <row r="1060">
      <c r="A1060" s="46">
        <f>IFERROR(__xludf.DUMMYFUNCTION("""COMPUTED_VALUE"""),7579.28583007817)</f>
        <v/>
      </c>
      <c r="B1060" s="184" t="n"/>
      <c r="O1060" s="184" t="n"/>
    </row>
    <row r="1061">
      <c r="A1061" s="46">
        <f>IFERROR(__xludf.DUMMYFUNCTION("""COMPUTED_VALUE"""),5511.4807010788)</f>
        <v/>
      </c>
      <c r="B1061" s="184" t="n"/>
      <c r="O1061" s="184" t="n"/>
    </row>
    <row r="1062">
      <c r="A1062" s="46">
        <f>IFERROR(__xludf.DUMMYFUNCTION("""COMPUTED_VALUE"""),7138.04652008389)</f>
        <v/>
      </c>
      <c r="B1062" s="184" t="n"/>
      <c r="O1062" s="184" t="n"/>
    </row>
    <row r="1063">
      <c r="A1063" s="46">
        <f>IFERROR(__xludf.DUMMYFUNCTION("""COMPUTED_VALUE"""),7376.36936186346)</f>
        <v/>
      </c>
      <c r="B1063" s="184" t="n"/>
      <c r="O1063" s="184" t="n"/>
    </row>
    <row r="1064">
      <c r="A1064" s="46">
        <f>IFERROR(__xludf.DUMMYFUNCTION("""COMPUTED_VALUE"""),5804.09539536934)</f>
        <v/>
      </c>
      <c r="B1064" s="184" t="n"/>
      <c r="O1064" s="184" t="n"/>
    </row>
    <row r="1065">
      <c r="A1065" s="46">
        <f>IFERROR(__xludf.DUMMYFUNCTION("""COMPUTED_VALUE"""),11613.9945580067)</f>
        <v/>
      </c>
      <c r="B1065" s="184" t="n"/>
      <c r="O1065" s="184" t="n"/>
    </row>
    <row r="1066">
      <c r="A1066" s="46">
        <f>IFERROR(__xludf.DUMMYFUNCTION("""COMPUTED_VALUE"""),5352.89671538752)</f>
        <v/>
      </c>
      <c r="B1066" s="184" t="n"/>
      <c r="O1066" s="184" t="n"/>
    </row>
    <row r="1067">
      <c r="A1067" s="46">
        <f>IFERROR(__xludf.DUMMYFUNCTION("""COMPUTED_VALUE"""),5419.78130310652)</f>
        <v/>
      </c>
      <c r="B1067" s="184" t="n"/>
      <c r="O1067" s="184" t="n"/>
    </row>
    <row r="1068">
      <c r="A1068" s="46">
        <f>IFERROR(__xludf.DUMMYFUNCTION("""COMPUTED_VALUE"""),78592.8262869147)</f>
        <v/>
      </c>
      <c r="B1068" s="184" t="n"/>
      <c r="O1068" s="184" t="n"/>
    </row>
    <row r="1069">
      <c r="A1069" s="40" t="n"/>
      <c r="B1069" s="184" t="n"/>
      <c r="O1069" s="184" t="n"/>
    </row>
    <row r="1070">
      <c r="A1070" s="40" t="n"/>
      <c r="B1070" s="184" t="n"/>
      <c r="O1070" s="184" t="n"/>
    </row>
    <row r="1071">
      <c r="A1071" s="40" t="n"/>
      <c r="B1071" s="184" t="n"/>
      <c r="O1071" s="184" t="n"/>
    </row>
    <row r="1072">
      <c r="A1072" s="40">
        <f>IFERROR(__xludf.DUMMYFUNCTION("""COMPUTED_VALUE"""),"T16")</f>
        <v/>
      </c>
      <c r="B1072" s="184" t="n"/>
      <c r="O1072" s="184" t="n"/>
    </row>
    <row r="1073">
      <c r="A1073" s="46">
        <f>IFERROR(__xludf.DUMMYFUNCTION("""COMPUTED_VALUE"""),5663.88429183128)</f>
        <v/>
      </c>
      <c r="B1073" s="184" t="n"/>
      <c r="O1073" s="184" t="n"/>
    </row>
    <row r="1074">
      <c r="A1074" s="46">
        <f>IFERROR(__xludf.DUMMYFUNCTION("""COMPUTED_VALUE"""),4136.19826397287)</f>
        <v/>
      </c>
      <c r="B1074" s="184" t="n"/>
      <c r="O1074" s="184" t="n"/>
    </row>
    <row r="1075">
      <c r="A1075" s="46">
        <f>IFERROR(__xludf.DUMMYFUNCTION("""COMPUTED_VALUE"""),4961.74905375155)</f>
        <v/>
      </c>
      <c r="B1075" s="184" t="n"/>
      <c r="O1075" s="184" t="n"/>
    </row>
    <row r="1076">
      <c r="A1076" s="46">
        <f>IFERROR(__xludf.DUMMYFUNCTION("""COMPUTED_VALUE"""),5875.2339315218)</f>
        <v/>
      </c>
      <c r="B1076" s="184" t="n"/>
      <c r="O1076" s="184" t="n"/>
    </row>
    <row r="1077">
      <c r="A1077" s="46">
        <f>IFERROR(__xludf.DUMMYFUNCTION("""COMPUTED_VALUE"""),6217.01257887212)</f>
        <v/>
      </c>
      <c r="B1077" s="184" t="n"/>
      <c r="O1077" s="184" t="n"/>
    </row>
    <row r="1078">
      <c r="A1078" s="46">
        <f>IFERROR(__xludf.DUMMYFUNCTION("""COMPUTED_VALUE"""),5153.95929761797)</f>
        <v/>
      </c>
      <c r="B1078" s="184" t="n"/>
      <c r="O1078" s="184" t="n"/>
    </row>
    <row r="1079">
      <c r="A1079" s="46">
        <f>IFERROR(__xludf.DUMMYFUNCTION("""COMPUTED_VALUE"""),6593.1788199403)</f>
        <v/>
      </c>
      <c r="B1079" s="184" t="n"/>
      <c r="O1079" s="184" t="n"/>
    </row>
    <row r="1080">
      <c r="A1080" s="46">
        <f>IFERROR(__xludf.DUMMYFUNCTION("""COMPUTED_VALUE"""),7142.98037340531)</f>
        <v/>
      </c>
      <c r="B1080" s="184" t="n"/>
      <c r="O1080" s="184" t="n"/>
    </row>
    <row r="1081">
      <c r="A1081" s="46">
        <f>IFERROR(__xludf.DUMMYFUNCTION("""COMPUTED_VALUE"""),5476.36996522834)</f>
        <v/>
      </c>
      <c r="B1081" s="184" t="n"/>
      <c r="O1081" s="184" t="n"/>
    </row>
    <row r="1082">
      <c r="A1082" s="46">
        <f>IFERROR(__xludf.DUMMYFUNCTION("""COMPUTED_VALUE"""),5369.92742789104)</f>
        <v/>
      </c>
      <c r="B1082" s="184" t="n"/>
      <c r="O1082" s="184" t="n"/>
    </row>
    <row r="1083">
      <c r="A1083" s="46">
        <f>IFERROR(__xludf.DUMMYFUNCTION("""COMPUTED_VALUE"""),5365.59772193804)</f>
        <v/>
      </c>
      <c r="B1083" s="184" t="n"/>
      <c r="O1083" s="184" t="n"/>
    </row>
    <row r="1084">
      <c r="A1084" s="46">
        <f>IFERROR(__xludf.DUMMYFUNCTION("""COMPUTED_VALUE"""),5231.11541342263)</f>
        <v/>
      </c>
      <c r="B1084" s="184" t="n"/>
      <c r="O1084" s="184" t="n"/>
    </row>
    <row r="1085">
      <c r="A1085" s="46">
        <f>IFERROR(__xludf.DUMMYFUNCTION("""COMPUTED_VALUE"""),67187.2071393933)</f>
        <v/>
      </c>
      <c r="B1085" s="184" t="n"/>
      <c r="O1085" s="184" t="n"/>
    </row>
    <row r="1086">
      <c r="A1086" s="40" t="n"/>
      <c r="B1086" s="184" t="n"/>
      <c r="O1086" s="184" t="n"/>
    </row>
    <row r="1087">
      <c r="A1087" s="40" t="n"/>
      <c r="B1087" s="184" t="n"/>
      <c r="O1087" s="184" t="n"/>
    </row>
    <row r="1088">
      <c r="A1088" s="40" t="n"/>
      <c r="B1088" s="184" t="n"/>
      <c r="O1088" s="184" t="n"/>
    </row>
    <row r="1089">
      <c r="B1089" s="184" t="n"/>
      <c r="O1089" s="184" t="n"/>
    </row>
    <row r="1090">
      <c r="B1090" s="184" t="n"/>
      <c r="O1090" s="184" t="n"/>
    </row>
    <row r="1091">
      <c r="B1091" s="184" t="n"/>
      <c r="O1091" s="184" t="n"/>
    </row>
    <row r="1092">
      <c r="B1092" s="184" t="n"/>
      <c r="O1092" s="184" t="n"/>
    </row>
    <row r="1093">
      <c r="B1093" s="184" t="n"/>
      <c r="O1093" s="184" t="n"/>
    </row>
    <row r="1094">
      <c r="B1094" s="184" t="n"/>
      <c r="O1094" s="184" t="n"/>
    </row>
    <row r="1095">
      <c r="B1095" s="184" t="n"/>
      <c r="O1095" s="184" t="n"/>
    </row>
    <row r="1096">
      <c r="B1096" s="184" t="n"/>
      <c r="O1096" s="184" t="n"/>
    </row>
    <row r="1097">
      <c r="B1097" s="184" t="n"/>
      <c r="O1097" s="184" t="n"/>
    </row>
    <row r="1098">
      <c r="B1098" s="184" t="n"/>
      <c r="O1098" s="184" t="n"/>
    </row>
    <row r="1099">
      <c r="B1099" s="184" t="n"/>
      <c r="O1099" s="184" t="n"/>
    </row>
    <row r="1100">
      <c r="B1100" s="184" t="n"/>
      <c r="O1100" s="184" t="n"/>
    </row>
    <row r="1101">
      <c r="B1101" s="184" t="n"/>
      <c r="O1101" s="184" t="n"/>
    </row>
    <row r="1102">
      <c r="B1102" s="184" t="n"/>
      <c r="O1102" s="184" t="n"/>
    </row>
    <row r="1103">
      <c r="B1103" s="184" t="n"/>
      <c r="O1103" s="184" t="n"/>
    </row>
    <row r="1104">
      <c r="B1104" s="184" t="n"/>
      <c r="O1104" s="184" t="n"/>
    </row>
    <row r="1105">
      <c r="B1105" s="184" t="n"/>
      <c r="O1105" s="184" t="n"/>
    </row>
    <row r="1106">
      <c r="B1106" s="184" t="n"/>
      <c r="O1106" s="184" t="n"/>
    </row>
    <row r="1107">
      <c r="B1107" s="184" t="n"/>
      <c r="O1107" s="184" t="n"/>
    </row>
    <row r="1108">
      <c r="B1108" s="184" t="n"/>
      <c r="O1108" s="184" t="n"/>
    </row>
    <row r="1109">
      <c r="B1109" s="184" t="n"/>
      <c r="O1109" s="184" t="n"/>
    </row>
    <row r="1110">
      <c r="B1110" s="184" t="n"/>
      <c r="O1110" s="184" t="n"/>
    </row>
    <row r="1111">
      <c r="B1111" s="184" t="n"/>
      <c r="O1111" s="184" t="n"/>
    </row>
    <row r="1112">
      <c r="B1112" s="184" t="n"/>
      <c r="O1112" s="184" t="n"/>
    </row>
    <row r="1113">
      <c r="B1113" s="184" t="n"/>
      <c r="O1113" s="184" t="n"/>
    </row>
    <row r="1114">
      <c r="B1114" s="184" t="n"/>
      <c r="O1114" s="184" t="n"/>
    </row>
    <row r="1115">
      <c r="B1115" s="184" t="n"/>
      <c r="O1115" s="184" t="n"/>
    </row>
    <row r="1116">
      <c r="B1116" s="184" t="n"/>
      <c r="O1116" s="184" t="n"/>
    </row>
    <row r="1117">
      <c r="B1117" s="184" t="n"/>
      <c r="O1117" s="184" t="n"/>
    </row>
    <row r="1118">
      <c r="B1118" s="184" t="n"/>
      <c r="O1118" s="184" t="n"/>
    </row>
    <row r="1119">
      <c r="B1119" s="184" t="n"/>
      <c r="O1119" s="184" t="n"/>
    </row>
    <row r="1120">
      <c r="B1120" s="184" t="n"/>
      <c r="O1120" s="184" t="n"/>
    </row>
    <row r="1121">
      <c r="B1121" s="184" t="n"/>
      <c r="O1121" s="184" t="n"/>
    </row>
    <row r="1122">
      <c r="B1122" s="184" t="n"/>
      <c r="O1122" s="184" t="n"/>
    </row>
    <row r="1123">
      <c r="B1123" s="184" t="n"/>
      <c r="O1123" s="184" t="n"/>
    </row>
    <row r="1124">
      <c r="B1124" s="184" t="n"/>
      <c r="O1124" s="184" t="n"/>
    </row>
    <row r="1125">
      <c r="B1125" s="184" t="n"/>
      <c r="O1125" s="184" t="n"/>
    </row>
    <row r="1126">
      <c r="B1126" s="184" t="n"/>
      <c r="O1126" s="184" t="n"/>
    </row>
    <row r="1127">
      <c r="B1127" s="184" t="n"/>
      <c r="O1127" s="184" t="n"/>
    </row>
    <row r="1128">
      <c r="B1128" s="184" t="n"/>
      <c r="O1128" s="184" t="n"/>
    </row>
    <row r="1129">
      <c r="B1129" s="184" t="n"/>
      <c r="O1129" s="184" t="n"/>
    </row>
    <row r="1130">
      <c r="B1130" s="184" t="n"/>
      <c r="O1130" s="184" t="n"/>
    </row>
    <row r="1131">
      <c r="B1131" s="184" t="n"/>
      <c r="O1131" s="184" t="n"/>
    </row>
    <row r="1132">
      <c r="B1132" s="184" t="n"/>
      <c r="O1132" s="184" t="n"/>
    </row>
    <row r="1133">
      <c r="B1133" s="184" t="n"/>
      <c r="O1133" s="184" t="n"/>
    </row>
    <row r="1134">
      <c r="B1134" s="184" t="n"/>
      <c r="O1134" s="184" t="n"/>
    </row>
    <row r="1135">
      <c r="B1135" s="184" t="n"/>
      <c r="O1135" s="184" t="n"/>
    </row>
    <row r="1136">
      <c r="B1136" s="184" t="n"/>
      <c r="O1136" s="184" t="n"/>
    </row>
    <row r="1137">
      <c r="B1137" s="184" t="n"/>
      <c r="O1137" s="184" t="n"/>
    </row>
    <row r="1138">
      <c r="B1138" s="184" t="n"/>
      <c r="O1138" s="184" t="n"/>
    </row>
    <row r="1139">
      <c r="B1139" s="184" t="n"/>
      <c r="O1139" s="184" t="n"/>
    </row>
    <row r="1140">
      <c r="B1140" s="184" t="n"/>
      <c r="O1140" s="184" t="n"/>
    </row>
    <row r="1141">
      <c r="B1141" s="184" t="n"/>
      <c r="O1141" s="184" t="n"/>
    </row>
    <row r="1142">
      <c r="B1142" s="184" t="n"/>
      <c r="O1142" s="184" t="n"/>
    </row>
    <row r="1143">
      <c r="B1143" s="184" t="n"/>
      <c r="O1143" s="184" t="n"/>
    </row>
    <row r="1144">
      <c r="B1144" s="184" t="n"/>
      <c r="O1144" s="184" t="n"/>
    </row>
    <row r="1145">
      <c r="B1145" s="184" t="n"/>
      <c r="O1145" s="184" t="n"/>
    </row>
    <row r="1146">
      <c r="B1146" s="184" t="n"/>
      <c r="O1146" s="184" t="n"/>
    </row>
    <row r="1147">
      <c r="B1147" s="184" t="n"/>
      <c r="O1147" s="184" t="n"/>
    </row>
    <row r="1148">
      <c r="B1148" s="184" t="n"/>
      <c r="O1148" s="184" t="n"/>
    </row>
    <row r="1149">
      <c r="B1149" s="184" t="n"/>
      <c r="O1149" s="184" t="n"/>
    </row>
    <row r="1150">
      <c r="B1150" s="184" t="n"/>
      <c r="O1150" s="184" t="n"/>
    </row>
    <row r="1151">
      <c r="B1151" s="184" t="n"/>
      <c r="O1151" s="184" t="n"/>
    </row>
    <row r="1152">
      <c r="B1152" s="184" t="n"/>
      <c r="O1152" s="184" t="n"/>
    </row>
    <row r="1153">
      <c r="B1153" s="184" t="n"/>
      <c r="O1153" s="184" t="n"/>
    </row>
    <row r="1154">
      <c r="B1154" s="184" t="n"/>
      <c r="O1154" s="184" t="n"/>
    </row>
    <row r="1155">
      <c r="B1155" s="184" t="n"/>
      <c r="O1155" s="184" t="n"/>
    </row>
    <row r="1156">
      <c r="B1156" s="184" t="n"/>
      <c r="O1156" s="184" t="n"/>
    </row>
    <row r="1157">
      <c r="B1157" s="184" t="n"/>
      <c r="O1157" s="184" t="n"/>
    </row>
    <row r="1158">
      <c r="B1158" s="184" t="n"/>
      <c r="O1158" s="184" t="n"/>
    </row>
    <row r="1159">
      <c r="B1159" s="184" t="n"/>
      <c r="O1159" s="184" t="n"/>
    </row>
    <row r="1160">
      <c r="B1160" s="184" t="n"/>
      <c r="O1160" s="184" t="n"/>
    </row>
    <row r="1161">
      <c r="B1161" s="184" t="n"/>
      <c r="O1161" s="184" t="n"/>
    </row>
    <row r="1162">
      <c r="B1162" s="184" t="n"/>
      <c r="O1162" s="184" t="n"/>
    </row>
    <row r="1163">
      <c r="B1163" s="184" t="n"/>
      <c r="O1163" s="184" t="n"/>
    </row>
    <row r="1164">
      <c r="B1164" s="184" t="n"/>
      <c r="O1164" s="184" t="n"/>
    </row>
    <row r="1165">
      <c r="B1165" s="184" t="n"/>
      <c r="O1165" s="184" t="n"/>
    </row>
    <row r="1166">
      <c r="B1166" s="184" t="n"/>
      <c r="O1166" s="184" t="n"/>
    </row>
    <row r="1167">
      <c r="B1167" s="184" t="n"/>
      <c r="O1167" s="184" t="n"/>
    </row>
    <row r="1168">
      <c r="B1168" s="184" t="n"/>
      <c r="O1168" s="184" t="n"/>
    </row>
    <row r="1169">
      <c r="B1169" s="184" t="n"/>
      <c r="O1169" s="184" t="n"/>
    </row>
    <row r="1170">
      <c r="B1170" s="184" t="n"/>
      <c r="O1170" s="184" t="n"/>
    </row>
    <row r="1171">
      <c r="B1171" s="184" t="n"/>
      <c r="O1171" s="184" t="n"/>
    </row>
    <row r="1172">
      <c r="B1172" s="184" t="n"/>
      <c r="O1172" s="184" t="n"/>
    </row>
    <row r="1173">
      <c r="B1173" s="184" t="n"/>
      <c r="O1173" s="184" t="n"/>
    </row>
    <row r="1174">
      <c r="B1174" s="184" t="n"/>
      <c r="O1174" s="184" t="n"/>
    </row>
    <row r="1175">
      <c r="B1175" s="184" t="n"/>
      <c r="O1175" s="184" t="n"/>
    </row>
    <row r="1176">
      <c r="B1176" s="184" t="n"/>
      <c r="O1176" s="184" t="n"/>
    </row>
    <row r="1177">
      <c r="B1177" s="184" t="n"/>
      <c r="O1177" s="184" t="n"/>
    </row>
    <row r="1178">
      <c r="B1178" s="184" t="n"/>
      <c r="O1178" s="184" t="n"/>
    </row>
    <row r="1179">
      <c r="B1179" s="184" t="n"/>
      <c r="O1179" s="184" t="n"/>
    </row>
    <row r="1180">
      <c r="B1180" s="184" t="n"/>
      <c r="O1180" s="184" t="n"/>
    </row>
    <row r="1181">
      <c r="B1181" s="184" t="n"/>
      <c r="O1181" s="184" t="n"/>
    </row>
    <row r="1182">
      <c r="B1182" s="184" t="n"/>
      <c r="O1182" s="184" t="n"/>
    </row>
    <row r="1183">
      <c r="B1183" s="184" t="n"/>
      <c r="O1183" s="184" t="n"/>
    </row>
    <row r="1184">
      <c r="B1184" s="184" t="n"/>
      <c r="O1184" s="184" t="n"/>
    </row>
    <row r="1185">
      <c r="B1185" s="184" t="n"/>
      <c r="O1185" s="184" t="n"/>
    </row>
    <row r="1186">
      <c r="B1186" s="184" t="n"/>
      <c r="O1186" s="184" t="n"/>
    </row>
    <row r="1187">
      <c r="B1187" s="184" t="n"/>
      <c r="O1187" s="184" t="n"/>
    </row>
    <row r="1188">
      <c r="B1188" s="184" t="n"/>
      <c r="O1188" s="184" t="n"/>
    </row>
    <row r="1189">
      <c r="B1189" s="184" t="n"/>
      <c r="O1189" s="184" t="n"/>
    </row>
    <row r="1190">
      <c r="B1190" s="184" t="n"/>
      <c r="O1190" s="184" t="n"/>
    </row>
    <row r="1191">
      <c r="B1191" s="184" t="n"/>
      <c r="O1191" s="184" t="n"/>
    </row>
    <row r="1192">
      <c r="B1192" s="184" t="n"/>
      <c r="O1192" s="184" t="n"/>
    </row>
    <row r="1193">
      <c r="B1193" s="184" t="n"/>
      <c r="O1193" s="184" t="n"/>
    </row>
    <row r="1194">
      <c r="B1194" s="184" t="n"/>
      <c r="O1194" s="184" t="n"/>
    </row>
    <row r="1195">
      <c r="B1195" s="184" t="n"/>
      <c r="O1195" s="184" t="n"/>
    </row>
    <row r="1196">
      <c r="B1196" s="184" t="n"/>
      <c r="O1196" s="184" t="n"/>
    </row>
    <row r="1197">
      <c r="B1197" s="184" t="n"/>
      <c r="O1197" s="184" t="n"/>
    </row>
    <row r="1198">
      <c r="B1198" s="184" t="n"/>
      <c r="O1198" s="184" t="n"/>
    </row>
    <row r="1199">
      <c r="B1199" s="184" t="n"/>
      <c r="O1199" s="184" t="n"/>
    </row>
    <row r="1200">
      <c r="B1200" s="184" t="n"/>
      <c r="O1200" s="184" t="n"/>
    </row>
    <row r="1201">
      <c r="B1201" s="184" t="n"/>
      <c r="O1201" s="184" t="n"/>
    </row>
    <row r="1202">
      <c r="B1202" s="184" t="n"/>
      <c r="O1202" s="184" t="n"/>
    </row>
    <row r="1203">
      <c r="B1203" s="184" t="n"/>
      <c r="O1203" s="184" t="n"/>
    </row>
    <row r="1204">
      <c r="B1204" s="184" t="n"/>
      <c r="O1204" s="184" t="n"/>
    </row>
    <row r="1205">
      <c r="B1205" s="184" t="n"/>
      <c r="O1205" s="184" t="n"/>
    </row>
    <row r="1206">
      <c r="B1206" s="184" t="n"/>
      <c r="O1206" s="184" t="n"/>
    </row>
    <row r="1207">
      <c r="B1207" s="184" t="n"/>
      <c r="O1207" s="184" t="n"/>
    </row>
    <row r="1208">
      <c r="B1208" s="184" t="n"/>
      <c r="O1208" s="184" t="n"/>
    </row>
    <row r="1209">
      <c r="B1209" s="184" t="n"/>
      <c r="O1209" s="184" t="n"/>
    </row>
    <row r="1210">
      <c r="B1210" s="184" t="n"/>
      <c r="O1210" s="184" t="n"/>
    </row>
    <row r="1211">
      <c r="B1211" s="184" t="n"/>
      <c r="O1211" s="184" t="n"/>
    </row>
    <row r="1212">
      <c r="B1212" s="184" t="n"/>
      <c r="O1212" s="184" t="n"/>
    </row>
    <row r="1213">
      <c r="B1213" s="184" t="n"/>
      <c r="O1213" s="184" t="n"/>
    </row>
    <row r="1214">
      <c r="B1214" s="184" t="n"/>
      <c r="O1214" s="184" t="n"/>
    </row>
    <row r="1215">
      <c r="B1215" s="184" t="n"/>
      <c r="O1215" s="184" t="n"/>
    </row>
    <row r="1216">
      <c r="B1216" s="184" t="n"/>
      <c r="O1216" s="184" t="n"/>
    </row>
    <row r="1217">
      <c r="B1217" s="184" t="n"/>
      <c r="O1217" s="184" t="n"/>
    </row>
    <row r="1218">
      <c r="B1218" s="184" t="n"/>
      <c r="O1218" s="184" t="n"/>
    </row>
    <row r="1219">
      <c r="B1219" s="184" t="n"/>
      <c r="O1219" s="184" t="n"/>
    </row>
    <row r="1220">
      <c r="B1220" s="184" t="n"/>
      <c r="O1220" s="184" t="n"/>
    </row>
    <row r="1221">
      <c r="B1221" s="184" t="n"/>
      <c r="O1221" s="184" t="n"/>
    </row>
    <row r="1222">
      <c r="B1222" s="184" t="n"/>
      <c r="O1222" s="184" t="n"/>
    </row>
    <row r="1223">
      <c r="B1223" s="184" t="n"/>
      <c r="O1223" s="184" t="n"/>
    </row>
    <row r="1224">
      <c r="B1224" s="184" t="n"/>
      <c r="O1224" s="184" t="n"/>
    </row>
    <row r="1225">
      <c r="B1225" s="184" t="n"/>
      <c r="O1225" s="184" t="n"/>
    </row>
    <row r="1226">
      <c r="B1226" s="184" t="n"/>
      <c r="O1226" s="184" t="n"/>
    </row>
    <row r="1227">
      <c r="B1227" s="184" t="n"/>
      <c r="O1227" s="184" t="n"/>
    </row>
    <row r="1228">
      <c r="B1228" s="184" t="n"/>
      <c r="O1228" s="184" t="n"/>
    </row>
    <row r="1229">
      <c r="B1229" s="184" t="n"/>
      <c r="O1229" s="184" t="n"/>
    </row>
    <row r="1230">
      <c r="B1230" s="184" t="n"/>
      <c r="O1230" s="184" t="n"/>
    </row>
    <row r="1231">
      <c r="B1231" s="184" t="n"/>
      <c r="O1231" s="184" t="n"/>
    </row>
    <row r="1232">
      <c r="B1232" s="184" t="n"/>
      <c r="O1232" s="184" t="n"/>
    </row>
    <row r="1233">
      <c r="B1233" s="184" t="n"/>
      <c r="O1233" s="184" t="n"/>
    </row>
    <row r="1234">
      <c r="B1234" s="184" t="n"/>
      <c r="O1234" s="184" t="n"/>
    </row>
    <row r="1235">
      <c r="B1235" s="184" t="n"/>
      <c r="O1235" s="184" t="n"/>
    </row>
    <row r="1236">
      <c r="B1236" s="184" t="n"/>
      <c r="O1236" s="184" t="n"/>
    </row>
    <row r="1237">
      <c r="B1237" s="184" t="n"/>
      <c r="O1237" s="184" t="n"/>
    </row>
    <row r="1238">
      <c r="B1238" s="184" t="n"/>
      <c r="O1238" s="184" t="n"/>
    </row>
    <row r="1239">
      <c r="B1239" s="184" t="n"/>
      <c r="O1239" s="184" t="n"/>
    </row>
    <row r="1240">
      <c r="B1240" s="184" t="n"/>
      <c r="O1240" s="184" t="n"/>
    </row>
    <row r="1241">
      <c r="B1241" s="184" t="n"/>
      <c r="O1241" s="184" t="n"/>
    </row>
    <row r="1242">
      <c r="B1242" s="184" t="n"/>
      <c r="O1242" s="184" t="n"/>
    </row>
    <row r="1243">
      <c r="B1243" s="184" t="n"/>
      <c r="O1243" s="184" t="n"/>
    </row>
    <row r="1244">
      <c r="B1244" s="184" t="n"/>
      <c r="O1244" s="184" t="n"/>
    </row>
    <row r="1245">
      <c r="B1245" s="184" t="n"/>
      <c r="O1245" s="184" t="n"/>
    </row>
    <row r="1246">
      <c r="B1246" s="184" t="n"/>
      <c r="O1246" s="184" t="n"/>
    </row>
    <row r="1247">
      <c r="B1247" s="184" t="n"/>
      <c r="O1247" s="184" t="n"/>
    </row>
    <row r="1248">
      <c r="B1248" s="184" t="n"/>
      <c r="O1248" s="184" t="n"/>
    </row>
    <row r="1249">
      <c r="B1249" s="184" t="n"/>
      <c r="O1249" s="184" t="n"/>
    </row>
    <row r="1250">
      <c r="B1250" s="184" t="n"/>
      <c r="O1250" s="184" t="n"/>
    </row>
    <row r="1251">
      <c r="B1251" s="184" t="n"/>
      <c r="O1251" s="184" t="n"/>
    </row>
    <row r="1252">
      <c r="B1252" s="184" t="n"/>
      <c r="O1252" s="184" t="n"/>
    </row>
    <row r="1253">
      <c r="B1253" s="184" t="n"/>
      <c r="O1253" s="184" t="n"/>
    </row>
    <row r="1254">
      <c r="B1254" s="184" t="n"/>
      <c r="O1254" s="184" t="n"/>
    </row>
    <row r="1255">
      <c r="B1255" s="184" t="n"/>
      <c r="O1255" s="184" t="n"/>
    </row>
    <row r="1256">
      <c r="B1256" s="184" t="n"/>
      <c r="O1256" s="184" t="n"/>
    </row>
    <row r="1257">
      <c r="B1257" s="184" t="n"/>
      <c r="O1257" s="184" t="n"/>
    </row>
    <row r="1258">
      <c r="B1258" s="184" t="n"/>
      <c r="O1258" s="184" t="n"/>
    </row>
    <row r="1259">
      <c r="B1259" s="184" t="n"/>
      <c r="O1259" s="184" t="n"/>
    </row>
    <row r="1260">
      <c r="B1260" s="184" t="n"/>
      <c r="O1260" s="184" t="n"/>
    </row>
    <row r="1261">
      <c r="B1261" s="184" t="n"/>
      <c r="O1261" s="184" t="n"/>
    </row>
    <row r="1262">
      <c r="B1262" s="184" t="n"/>
      <c r="O1262" s="184" t="n"/>
    </row>
    <row r="1263">
      <c r="B1263" s="184" t="n"/>
      <c r="O1263" s="184" t="n"/>
    </row>
    <row r="1264">
      <c r="B1264" s="184" t="n"/>
      <c r="O1264" s="184" t="n"/>
    </row>
    <row r="1265">
      <c r="B1265" s="184" t="n"/>
      <c r="O1265" s="184" t="n"/>
    </row>
    <row r="1266">
      <c r="B1266" s="184" t="n"/>
      <c r="O1266" s="184" t="n"/>
    </row>
    <row r="1267">
      <c r="B1267" s="184" t="n"/>
      <c r="O1267" s="184" t="n"/>
    </row>
    <row r="1268">
      <c r="B1268" s="184" t="n"/>
      <c r="O1268" s="184" t="n"/>
    </row>
    <row r="1269">
      <c r="B1269" s="184" t="n"/>
      <c r="O1269" s="184" t="n"/>
    </row>
    <row r="1270">
      <c r="B1270" s="184" t="n"/>
      <c r="O1270" s="184" t="n"/>
    </row>
    <row r="1271">
      <c r="B1271" s="184" t="n"/>
      <c r="O1271" s="184" t="n"/>
    </row>
    <row r="1272">
      <c r="B1272" s="184" t="n"/>
      <c r="O1272" s="184" t="n"/>
    </row>
    <row r="1273">
      <c r="B1273" s="184" t="n"/>
      <c r="O1273" s="184" t="n"/>
    </row>
    <row r="1274">
      <c r="B1274" s="184" t="n"/>
      <c r="O1274" s="184" t="n"/>
    </row>
    <row r="1275">
      <c r="B1275" s="184" t="n"/>
      <c r="O1275" s="184" t="n"/>
    </row>
    <row r="1276">
      <c r="B1276" s="184" t="n"/>
      <c r="O1276" s="184" t="n"/>
    </row>
    <row r="1277">
      <c r="B1277" s="184" t="n"/>
      <c r="O1277" s="184" t="n"/>
    </row>
    <row r="1278">
      <c r="B1278" s="184" t="n"/>
      <c r="O1278" s="184" t="n"/>
    </row>
    <row r="1279">
      <c r="B1279" s="184" t="n"/>
      <c r="O1279" s="184" t="n"/>
    </row>
    <row r="1280">
      <c r="B1280" s="184" t="n"/>
      <c r="O1280" s="184" t="n"/>
    </row>
    <row r="1281">
      <c r="B1281" s="184" t="n"/>
      <c r="O1281" s="184" t="n"/>
    </row>
    <row r="1282">
      <c r="B1282" s="184" t="n"/>
      <c r="O1282" s="184" t="n"/>
    </row>
    <row r="1283">
      <c r="B1283" s="184" t="n"/>
      <c r="O1283" s="184" t="n"/>
    </row>
    <row r="1284">
      <c r="B1284" s="184" t="n"/>
      <c r="O1284" s="184" t="n"/>
    </row>
    <row r="1285">
      <c r="B1285" s="184" t="n"/>
      <c r="O1285" s="184" t="n"/>
    </row>
    <row r="1286">
      <c r="B1286" s="184" t="n"/>
      <c r="O1286" s="184" t="n"/>
    </row>
    <row r="1287">
      <c r="B1287" s="184" t="n"/>
      <c r="O1287" s="184" t="n"/>
    </row>
    <row r="1288">
      <c r="B1288" s="184" t="n"/>
      <c r="O1288" s="184" t="n"/>
    </row>
    <row r="1289">
      <c r="B1289" s="184" t="n"/>
      <c r="O1289" s="184" t="n"/>
    </row>
    <row r="1290">
      <c r="B1290" s="184" t="n"/>
      <c r="O1290" s="184" t="n"/>
    </row>
    <row r="1291">
      <c r="B1291" s="184" t="n"/>
      <c r="O1291" s="184" t="n"/>
    </row>
    <row r="1292">
      <c r="B1292" s="184" t="n"/>
      <c r="O1292" s="184" t="n"/>
    </row>
    <row r="1293">
      <c r="B1293" s="184" t="n"/>
      <c r="O1293" s="184" t="n"/>
    </row>
    <row r="1294">
      <c r="B1294" s="184" t="n"/>
      <c r="O1294" s="184" t="n"/>
    </row>
    <row r="1295">
      <c r="B1295" s="184" t="n"/>
      <c r="O1295" s="184" t="n"/>
    </row>
    <row r="1296">
      <c r="B1296" s="184" t="n"/>
      <c r="O1296" s="184" t="n"/>
    </row>
    <row r="1297">
      <c r="B1297" s="184" t="n"/>
      <c r="O1297" s="184" t="n"/>
    </row>
    <row r="1298">
      <c r="B1298" s="184" t="n"/>
      <c r="O1298" s="184" t="n"/>
    </row>
    <row r="1299">
      <c r="B1299" s="184" t="n"/>
      <c r="O1299" s="184" t="n"/>
    </row>
    <row r="1300">
      <c r="B1300" s="184" t="n"/>
      <c r="O1300" s="184" t="n"/>
    </row>
    <row r="1301">
      <c r="B1301" s="184" t="n"/>
      <c r="O1301" s="184" t="n"/>
    </row>
    <row r="1302">
      <c r="B1302" s="184" t="n"/>
      <c r="O1302" s="184" t="n"/>
    </row>
    <row r="1303">
      <c r="B1303" s="184" t="n"/>
      <c r="O1303" s="184" t="n"/>
    </row>
    <row r="1304">
      <c r="B1304" s="184" t="n"/>
      <c r="O1304" s="184" t="n"/>
    </row>
    <row r="1305">
      <c r="B1305" s="184" t="n"/>
      <c r="O1305" s="184" t="n"/>
    </row>
    <row r="1306">
      <c r="B1306" s="184" t="n"/>
      <c r="O1306" s="184" t="n"/>
    </row>
    <row r="1307">
      <c r="B1307" s="184" t="n"/>
      <c r="O1307" s="184" t="n"/>
    </row>
    <row r="1308">
      <c r="B1308" s="184" t="n"/>
      <c r="O1308" s="184" t="n"/>
    </row>
    <row r="1309">
      <c r="B1309" s="184" t="n"/>
      <c r="O1309" s="184" t="n"/>
    </row>
    <row r="1310">
      <c r="B1310" s="184" t="n"/>
      <c r="O1310" s="184" t="n"/>
    </row>
    <row r="1311">
      <c r="B1311" s="184" t="n"/>
      <c r="O1311" s="184" t="n"/>
    </row>
    <row r="1312">
      <c r="B1312" s="184" t="n"/>
      <c r="O1312" s="184" t="n"/>
    </row>
    <row r="1313">
      <c r="B1313" s="184" t="n"/>
      <c r="O1313" s="184" t="n"/>
    </row>
    <row r="1314">
      <c r="B1314" s="184" t="n"/>
      <c r="O1314" s="184" t="n"/>
    </row>
    <row r="1315">
      <c r="B1315" s="184" t="n"/>
      <c r="O1315" s="184" t="n"/>
    </row>
    <row r="1316">
      <c r="B1316" s="184" t="n"/>
      <c r="O1316" s="184" t="n"/>
    </row>
    <row r="1317">
      <c r="B1317" s="184" t="n"/>
      <c r="O1317" s="184" t="n"/>
    </row>
    <row r="1318">
      <c r="B1318" s="184" t="n"/>
      <c r="O1318" s="184" t="n"/>
    </row>
    <row r="1319">
      <c r="B1319" s="184" t="n"/>
      <c r="O1319" s="184" t="n"/>
    </row>
    <row r="1320">
      <c r="B1320" s="184" t="n"/>
      <c r="O1320" s="184" t="n"/>
    </row>
    <row r="1321">
      <c r="B1321" s="184" t="n"/>
      <c r="O1321" s="184" t="n"/>
    </row>
    <row r="1322">
      <c r="B1322" s="184" t="n"/>
      <c r="O1322" s="184" t="n"/>
    </row>
    <row r="1323">
      <c r="B1323" s="184" t="n"/>
      <c r="O1323" s="184" t="n"/>
    </row>
    <row r="1324">
      <c r="B1324" s="184" t="n"/>
      <c r="O1324" s="184" t="n"/>
    </row>
    <row r="1325">
      <c r="B1325" s="184" t="n"/>
      <c r="O1325" s="184" t="n"/>
    </row>
    <row r="1326">
      <c r="B1326" s="184" t="n"/>
      <c r="O1326" s="184" t="n"/>
    </row>
    <row r="1327">
      <c r="B1327" s="184" t="n"/>
      <c r="O1327" s="184" t="n"/>
    </row>
    <row r="1328">
      <c r="B1328" s="184" t="n"/>
      <c r="O1328" s="184" t="n"/>
    </row>
    <row r="1329">
      <c r="B1329" s="184" t="n"/>
      <c r="O1329" s="184" t="n"/>
    </row>
    <row r="1330">
      <c r="B1330" s="184" t="n"/>
      <c r="O1330" s="184" t="n"/>
    </row>
    <row r="1331">
      <c r="B1331" s="184" t="n"/>
      <c r="O1331" s="184" t="n"/>
    </row>
    <row r="1332">
      <c r="B1332" s="184" t="n"/>
      <c r="O1332" s="184" t="n"/>
    </row>
    <row r="1333">
      <c r="B1333" s="184" t="n"/>
      <c r="O1333" s="184" t="n"/>
    </row>
    <row r="1334">
      <c r="B1334" s="184" t="n"/>
      <c r="O1334" s="184" t="n"/>
    </row>
    <row r="1335">
      <c r="B1335" s="184" t="n"/>
      <c r="O1335" s="184" t="n"/>
    </row>
    <row r="1336">
      <c r="B1336" s="184" t="n"/>
      <c r="O1336" s="184" t="n"/>
    </row>
    <row r="1337">
      <c r="B1337" s="184" t="n"/>
      <c r="O1337" s="184" t="n"/>
    </row>
    <row r="1338">
      <c r="B1338" s="184" t="n"/>
      <c r="O1338" s="184" t="n"/>
    </row>
    <row r="1339">
      <c r="B1339" s="184" t="n"/>
      <c r="O1339" s="184" t="n"/>
    </row>
    <row r="1340">
      <c r="B1340" s="184" t="n"/>
      <c r="O1340" s="184" t="n"/>
    </row>
    <row r="1341">
      <c r="B1341" s="184" t="n"/>
      <c r="O1341" s="184" t="n"/>
    </row>
    <row r="1342">
      <c r="B1342" s="184" t="n"/>
      <c r="O1342" s="184" t="n"/>
    </row>
    <row r="1343">
      <c r="B1343" s="184" t="n"/>
      <c r="O1343" s="184" t="n"/>
    </row>
    <row r="1344">
      <c r="B1344" s="184" t="n"/>
      <c r="O1344" s="184" t="n"/>
    </row>
    <row r="1345">
      <c r="B1345" s="184" t="n"/>
      <c r="O1345" s="184" t="n"/>
    </row>
    <row r="1346">
      <c r="B1346" s="184" t="n"/>
      <c r="O1346" s="184" t="n"/>
    </row>
    <row r="1347">
      <c r="B1347" s="184" t="n"/>
      <c r="O1347" s="184" t="n"/>
    </row>
    <row r="1348">
      <c r="B1348" s="184" t="n"/>
      <c r="O1348" s="184" t="n"/>
    </row>
    <row r="1349">
      <c r="B1349" s="184" t="n"/>
      <c r="O1349" s="184" t="n"/>
    </row>
    <row r="1350">
      <c r="B1350" s="184" t="n"/>
      <c r="O1350" s="184" t="n"/>
    </row>
    <row r="1351">
      <c r="B1351" s="184" t="n"/>
      <c r="O1351" s="184" t="n"/>
    </row>
    <row r="1352">
      <c r="B1352" s="184" t="n"/>
      <c r="O1352" s="184" t="n"/>
    </row>
    <row r="1353">
      <c r="B1353" s="184" t="n"/>
      <c r="O1353" s="184" t="n"/>
    </row>
    <row r="1354">
      <c r="B1354" s="184" t="n"/>
      <c r="O1354" s="184" t="n"/>
    </row>
    <row r="1355">
      <c r="B1355" s="184" t="n"/>
      <c r="O1355" s="184" t="n"/>
    </row>
    <row r="1356">
      <c r="B1356" s="184" t="n"/>
      <c r="O1356" s="184" t="n"/>
    </row>
    <row r="1357">
      <c r="B1357" s="184" t="n"/>
      <c r="O1357" s="184" t="n"/>
    </row>
    <row r="1358">
      <c r="B1358" s="184" t="n"/>
      <c r="O1358" s="184" t="n"/>
    </row>
    <row r="1359">
      <c r="B1359" s="184" t="n"/>
      <c r="O1359" s="184" t="n"/>
    </row>
    <row r="1360">
      <c r="B1360" s="184" t="n"/>
      <c r="O1360" s="184" t="n"/>
    </row>
    <row r="1361">
      <c r="B1361" s="184" t="n"/>
      <c r="O1361" s="184" t="n"/>
    </row>
    <row r="1362">
      <c r="B1362" s="184" t="n"/>
      <c r="O1362" s="184" t="n"/>
    </row>
    <row r="1363">
      <c r="B1363" s="184" t="n"/>
      <c r="O1363" s="184" t="n"/>
    </row>
    <row r="1364">
      <c r="B1364" s="184" t="n"/>
      <c r="O1364" s="184" t="n"/>
    </row>
    <row r="1365">
      <c r="B1365" s="184" t="n"/>
      <c r="O1365" s="184" t="n"/>
    </row>
    <row r="1366">
      <c r="B1366" s="184" t="n"/>
      <c r="O1366" s="184" t="n"/>
    </row>
    <row r="1367">
      <c r="B1367" s="184" t="n"/>
      <c r="O1367" s="184" t="n"/>
    </row>
    <row r="1368">
      <c r="B1368" s="184" t="n"/>
      <c r="O1368" s="184" t="n"/>
    </row>
    <row r="1369">
      <c r="B1369" s="184" t="n"/>
      <c r="O1369" s="184" t="n"/>
    </row>
    <row r="1370">
      <c r="B1370" s="184" t="n"/>
      <c r="O1370" s="184" t="n"/>
    </row>
    <row r="1371">
      <c r="B1371" s="184" t="n"/>
      <c r="O1371" s="184" t="n"/>
    </row>
    <row r="1372">
      <c r="B1372" s="184" t="n"/>
      <c r="O1372" s="184" t="n"/>
    </row>
    <row r="1373">
      <c r="B1373" s="184" t="n"/>
      <c r="O1373" s="184" t="n"/>
    </row>
    <row r="1374">
      <c r="B1374" s="184" t="n"/>
      <c r="O1374" s="184" t="n"/>
    </row>
    <row r="1375">
      <c r="B1375" s="184" t="n"/>
      <c r="O1375" s="184" t="n"/>
    </row>
    <row r="1376">
      <c r="B1376" s="184" t="n"/>
      <c r="O1376" s="184" t="n"/>
    </row>
    <row r="1377">
      <c r="B1377" s="184" t="n"/>
      <c r="O1377" s="184" t="n"/>
    </row>
    <row r="1378">
      <c r="B1378" s="184" t="n"/>
      <c r="O1378" s="184" t="n"/>
    </row>
    <row r="1379">
      <c r="B1379" s="184" t="n"/>
      <c r="O1379" s="184" t="n"/>
    </row>
    <row r="1380">
      <c r="B1380" s="184" t="n"/>
      <c r="O1380" s="184" t="n"/>
    </row>
    <row r="1381">
      <c r="B1381" s="184" t="n"/>
      <c r="O1381" s="184" t="n"/>
    </row>
    <row r="1382">
      <c r="B1382" s="184" t="n"/>
      <c r="O1382" s="184" t="n"/>
    </row>
    <row r="1383">
      <c r="B1383" s="184" t="n"/>
      <c r="O1383" s="184" t="n"/>
    </row>
    <row r="1384">
      <c r="B1384" s="184" t="n"/>
      <c r="O1384" s="184" t="n"/>
    </row>
    <row r="1385">
      <c r="B1385" s="184" t="n"/>
      <c r="O1385" s="184" t="n"/>
    </row>
    <row r="1386">
      <c r="B1386" s="184" t="n"/>
      <c r="O1386" s="184" t="n"/>
    </row>
    <row r="1387">
      <c r="B1387" s="184" t="n"/>
      <c r="O1387" s="184" t="n"/>
    </row>
    <row r="1388">
      <c r="B1388" s="184" t="n"/>
      <c r="O1388" s="184" t="n"/>
    </row>
    <row r="1389">
      <c r="B1389" s="184" t="n"/>
      <c r="O1389" s="184" t="n"/>
    </row>
    <row r="1390">
      <c r="B1390" s="184" t="n"/>
      <c r="O1390" s="184" t="n"/>
    </row>
    <row r="1391">
      <c r="B1391" s="184" t="n"/>
      <c r="O1391" s="184" t="n"/>
    </row>
    <row r="1392">
      <c r="B1392" s="184" t="n"/>
      <c r="O1392" s="184" t="n"/>
    </row>
    <row r="1393">
      <c r="B1393" s="184" t="n"/>
      <c r="O1393" s="184" t="n"/>
    </row>
    <row r="1394">
      <c r="B1394" s="184" t="n"/>
      <c r="O1394" s="184" t="n"/>
    </row>
    <row r="1395">
      <c r="B1395" s="184" t="n"/>
      <c r="O1395" s="184" t="n"/>
    </row>
    <row r="1396">
      <c r="B1396" s="184" t="n"/>
      <c r="O1396" s="184" t="n"/>
    </row>
    <row r="1397">
      <c r="B1397" s="184" t="n"/>
      <c r="O1397" s="184" t="n"/>
    </row>
    <row r="1398">
      <c r="B1398" s="184" t="n"/>
      <c r="O1398" s="184" t="n"/>
    </row>
    <row r="1399">
      <c r="B1399" s="184" t="n"/>
      <c r="O1399" s="184" t="n"/>
    </row>
    <row r="1400">
      <c r="B1400" s="184" t="n"/>
      <c r="O1400" s="184" t="n"/>
    </row>
    <row r="1401">
      <c r="B1401" s="184" t="n"/>
      <c r="O1401" s="184" t="n"/>
    </row>
    <row r="1402">
      <c r="B1402" s="184" t="n"/>
      <c r="O1402" s="184" t="n"/>
    </row>
    <row r="1403">
      <c r="B1403" s="184" t="n"/>
      <c r="O1403" s="184" t="n"/>
    </row>
    <row r="1404">
      <c r="B1404" s="184" t="n"/>
      <c r="O1404" s="184" t="n"/>
    </row>
    <row r="1405">
      <c r="B1405" s="184" t="n"/>
      <c r="O1405" s="184" t="n"/>
    </row>
    <row r="1406">
      <c r="B1406" s="184" t="n"/>
      <c r="O1406" s="184" t="n"/>
    </row>
    <row r="1407">
      <c r="B1407" s="184" t="n"/>
      <c r="O1407" s="184" t="n"/>
    </row>
    <row r="1408">
      <c r="B1408" s="184" t="n"/>
      <c r="O1408" s="184" t="n"/>
    </row>
    <row r="1409">
      <c r="B1409" s="184" t="n"/>
      <c r="O1409" s="184" t="n"/>
    </row>
    <row r="1410">
      <c r="B1410" s="184" t="n"/>
      <c r="O1410" s="184" t="n"/>
    </row>
    <row r="1411">
      <c r="B1411" s="184" t="n"/>
      <c r="O1411" s="184" t="n"/>
    </row>
    <row r="1412">
      <c r="B1412" s="184" t="n"/>
      <c r="O1412" s="184" t="n"/>
    </row>
    <row r="1413">
      <c r="B1413" s="184" t="n"/>
      <c r="O1413" s="184" t="n"/>
    </row>
    <row r="1414">
      <c r="B1414" s="184" t="n"/>
      <c r="O1414" s="184" t="n"/>
    </row>
    <row r="1415">
      <c r="B1415" s="184" t="n"/>
      <c r="O1415" s="184" t="n"/>
    </row>
    <row r="1416">
      <c r="B1416" s="184" t="n"/>
      <c r="O1416" s="184" t="n"/>
    </row>
    <row r="1417">
      <c r="B1417" s="184" t="n"/>
      <c r="O1417" s="184" t="n"/>
    </row>
    <row r="1418">
      <c r="B1418" s="184" t="n"/>
      <c r="O1418" s="184" t="n"/>
    </row>
    <row r="1419">
      <c r="B1419" s="184" t="n"/>
      <c r="O1419" s="184" t="n"/>
    </row>
    <row r="1420">
      <c r="B1420" s="184" t="n"/>
      <c r="O1420" s="184" t="n"/>
    </row>
    <row r="1421">
      <c r="B1421" s="184" t="n"/>
      <c r="O1421" s="184" t="n"/>
    </row>
    <row r="1422">
      <c r="B1422" s="184" t="n"/>
      <c r="O1422" s="184" t="n"/>
    </row>
    <row r="1423">
      <c r="B1423" s="184" t="n"/>
      <c r="O1423" s="184" t="n"/>
    </row>
    <row r="1424">
      <c r="B1424" s="184" t="n"/>
      <c r="O1424" s="184" t="n"/>
    </row>
    <row r="1425">
      <c r="B1425" s="184" t="n"/>
      <c r="O1425" s="184" t="n"/>
    </row>
    <row r="1426">
      <c r="B1426" s="184" t="n"/>
      <c r="O1426" s="184" t="n"/>
    </row>
    <row r="1427">
      <c r="B1427" s="184" t="n"/>
      <c r="O1427" s="184" t="n"/>
    </row>
    <row r="1428">
      <c r="B1428" s="184" t="n"/>
      <c r="O1428" s="184" t="n"/>
    </row>
    <row r="1429">
      <c r="B1429" s="184" t="n"/>
      <c r="O1429" s="184" t="n"/>
    </row>
    <row r="1430">
      <c r="B1430" s="184" t="n"/>
      <c r="O1430" s="184" t="n"/>
    </row>
    <row r="1431">
      <c r="B1431" s="184" t="n"/>
      <c r="O1431" s="184" t="n"/>
    </row>
    <row r="1432">
      <c r="B1432" s="184" t="n"/>
      <c r="O1432" s="184" t="n"/>
    </row>
    <row r="1433">
      <c r="B1433" s="184" t="n"/>
      <c r="O1433" s="184" t="n"/>
    </row>
    <row r="1434">
      <c r="B1434" s="184" t="n"/>
      <c r="O1434" s="184" t="n"/>
    </row>
    <row r="1435">
      <c r="B1435" s="184" t="n"/>
      <c r="O1435" s="184" t="n"/>
    </row>
    <row r="1436">
      <c r="B1436" s="184" t="n"/>
      <c r="O1436" s="184" t="n"/>
    </row>
    <row r="1437">
      <c r="B1437" s="184" t="n"/>
      <c r="O1437" s="184" t="n"/>
    </row>
    <row r="1438">
      <c r="B1438" s="184" t="n"/>
      <c r="O1438" s="184" t="n"/>
    </row>
    <row r="1439">
      <c r="B1439" s="184" t="n"/>
      <c r="O1439" s="184" t="n"/>
    </row>
    <row r="1440">
      <c r="B1440" s="184" t="n"/>
      <c r="O1440" s="184" t="n"/>
    </row>
    <row r="1441">
      <c r="B1441" s="184" t="n"/>
      <c r="O1441" s="184" t="n"/>
    </row>
    <row r="1442">
      <c r="B1442" s="184" t="n"/>
      <c r="O1442" s="184" t="n"/>
    </row>
    <row r="1443">
      <c r="B1443" s="184" t="n"/>
      <c r="O1443" s="184" t="n"/>
    </row>
    <row r="1444">
      <c r="B1444" s="184" t="n"/>
      <c r="O1444" s="184" t="n"/>
    </row>
    <row r="1445">
      <c r="B1445" s="184" t="n"/>
      <c r="O1445" s="184" t="n"/>
    </row>
    <row r="1446">
      <c r="B1446" s="184" t="n"/>
      <c r="O1446" s="184" t="n"/>
    </row>
    <row r="1447">
      <c r="B1447" s="184" t="n"/>
      <c r="O1447" s="184" t="n"/>
    </row>
    <row r="1448">
      <c r="B1448" s="184" t="n"/>
      <c r="O1448" s="184" t="n"/>
    </row>
    <row r="1449">
      <c r="B1449" s="184" t="n"/>
      <c r="O1449" s="184" t="n"/>
    </row>
    <row r="1450">
      <c r="B1450" s="184" t="n"/>
      <c r="O1450" s="184" t="n"/>
    </row>
    <row r="1451">
      <c r="B1451" s="184" t="n"/>
      <c r="O1451" s="184" t="n"/>
    </row>
    <row r="1452">
      <c r="B1452" s="184" t="n"/>
      <c r="O1452" s="184" t="n"/>
    </row>
    <row r="1453">
      <c r="B1453" s="184" t="n"/>
      <c r="O1453" s="184" t="n"/>
    </row>
    <row r="1454">
      <c r="B1454" s="184" t="n"/>
      <c r="O1454" s="184" t="n"/>
    </row>
    <row r="1455">
      <c r="B1455" s="184" t="n"/>
      <c r="O1455" s="184" t="n"/>
    </row>
    <row r="1456">
      <c r="B1456" s="184" t="n"/>
      <c r="O1456" s="184" t="n"/>
    </row>
    <row r="1457">
      <c r="B1457" s="184" t="n"/>
      <c r="O1457" s="184" t="n"/>
    </row>
    <row r="1458">
      <c r="B1458" s="184" t="n"/>
      <c r="O1458" s="184" t="n"/>
    </row>
    <row r="1459">
      <c r="B1459" s="184" t="n"/>
      <c r="O1459" s="184" t="n"/>
    </row>
    <row r="1460">
      <c r="B1460" s="184" t="n"/>
      <c r="O1460" s="184" t="n"/>
    </row>
    <row r="1461">
      <c r="B1461" s="184" t="n"/>
      <c r="O1461" s="184" t="n"/>
    </row>
    <row r="1462">
      <c r="B1462" s="184" t="n"/>
      <c r="O1462" s="184" t="n"/>
    </row>
    <row r="1463">
      <c r="B1463" s="184" t="n"/>
      <c r="O1463" s="184" t="n"/>
    </row>
    <row r="1464">
      <c r="B1464" s="184" t="n"/>
      <c r="O1464" s="184" t="n"/>
    </row>
    <row r="1465">
      <c r="B1465" s="184" t="n"/>
      <c r="O1465" s="184" t="n"/>
    </row>
    <row r="1466">
      <c r="B1466" s="184" t="n"/>
      <c r="O1466" s="184" t="n"/>
    </row>
    <row r="1467">
      <c r="B1467" s="184" t="n"/>
      <c r="O1467" s="184" t="n"/>
    </row>
    <row r="1468">
      <c r="B1468" s="184" t="n"/>
      <c r="O1468" s="184" t="n"/>
    </row>
    <row r="1469">
      <c r="B1469" s="184" t="n"/>
      <c r="O1469" s="184" t="n"/>
    </row>
    <row r="1470">
      <c r="B1470" s="184" t="n"/>
      <c r="O1470" s="184" t="n"/>
    </row>
    <row r="1471">
      <c r="B1471" s="184" t="n"/>
      <c r="O1471" s="184" t="n"/>
    </row>
    <row r="1472">
      <c r="B1472" s="184" t="n"/>
      <c r="O1472" s="184" t="n"/>
    </row>
    <row r="1473">
      <c r="B1473" s="184" t="n"/>
      <c r="O1473" s="184" t="n"/>
    </row>
    <row r="1474">
      <c r="B1474" s="184" t="n"/>
      <c r="O1474" s="184" t="n"/>
    </row>
    <row r="1475">
      <c r="B1475" s="184" t="n"/>
      <c r="O1475" s="184" t="n"/>
    </row>
    <row r="1476">
      <c r="B1476" s="184" t="n"/>
      <c r="O1476" s="184" t="n"/>
    </row>
    <row r="1477">
      <c r="B1477" s="184" t="n"/>
      <c r="O1477" s="184" t="n"/>
    </row>
    <row r="1478">
      <c r="B1478" s="184" t="n"/>
      <c r="O1478" s="184" t="n"/>
    </row>
    <row r="1479">
      <c r="B1479" s="184" t="n"/>
      <c r="O1479" s="184" t="n"/>
    </row>
    <row r="1480">
      <c r="B1480" s="184" t="n"/>
      <c r="O1480" s="184" t="n"/>
    </row>
    <row r="1481">
      <c r="B1481" s="184" t="n"/>
      <c r="O1481" s="184" t="n"/>
    </row>
    <row r="1482">
      <c r="B1482" s="184" t="n"/>
      <c r="O1482" s="184" t="n"/>
    </row>
    <row r="1483">
      <c r="B1483" s="184" t="n"/>
      <c r="O1483" s="184" t="n"/>
    </row>
    <row r="1484">
      <c r="B1484" s="184" t="n"/>
      <c r="O1484" s="184" t="n"/>
    </row>
    <row r="1485">
      <c r="B1485" s="184" t="n"/>
      <c r="O1485" s="184" t="n"/>
    </row>
    <row r="1486">
      <c r="B1486" s="184" t="n"/>
      <c r="O1486" s="184" t="n"/>
    </row>
    <row r="1487">
      <c r="B1487" s="184" t="n"/>
      <c r="O1487" s="184" t="n"/>
    </row>
    <row r="1488">
      <c r="B1488" s="184" t="n"/>
      <c r="O1488" s="184" t="n"/>
    </row>
    <row r="1489">
      <c r="B1489" s="184" t="n"/>
      <c r="O1489" s="184" t="n"/>
    </row>
    <row r="1490">
      <c r="B1490" s="184" t="n"/>
      <c r="O1490" s="184" t="n"/>
    </row>
    <row r="1491">
      <c r="B1491" s="184" t="n"/>
      <c r="O1491" s="184" t="n"/>
    </row>
    <row r="1492">
      <c r="B1492" s="184" t="n"/>
      <c r="O1492" s="184" t="n"/>
    </row>
    <row r="1493">
      <c r="B1493" s="184" t="n"/>
      <c r="O1493" s="184" t="n"/>
    </row>
    <row r="1494">
      <c r="B1494" s="184" t="n"/>
      <c r="O1494" s="184" t="n"/>
    </row>
    <row r="1495">
      <c r="B1495" s="184" t="n"/>
      <c r="O1495" s="184" t="n"/>
    </row>
    <row r="1496">
      <c r="B1496" s="184" t="n"/>
      <c r="O1496" s="184" t="n"/>
    </row>
    <row r="1497">
      <c r="B1497" s="184" t="n"/>
      <c r="O1497" s="184" t="n"/>
    </row>
    <row r="1498">
      <c r="B1498" s="184" t="n"/>
      <c r="O1498" s="184" t="n"/>
    </row>
    <row r="1499">
      <c r="B1499" s="184" t="n"/>
      <c r="O1499" s="184" t="n"/>
    </row>
    <row r="1500">
      <c r="B1500" s="184" t="n"/>
      <c r="O1500" s="184" t="n"/>
    </row>
    <row r="1501">
      <c r="B1501" s="184" t="n"/>
      <c r="O1501" s="184" t="n"/>
    </row>
    <row r="1502">
      <c r="B1502" s="184" t="n"/>
      <c r="O1502" s="184" t="n"/>
    </row>
    <row r="1503">
      <c r="B1503" s="184" t="n"/>
      <c r="O1503" s="184" t="n"/>
    </row>
    <row r="1504">
      <c r="B1504" s="184" t="n"/>
      <c r="O1504" s="184" t="n"/>
    </row>
    <row r="1505">
      <c r="B1505" s="184" t="n"/>
      <c r="O1505" s="184" t="n"/>
    </row>
    <row r="1506">
      <c r="B1506" s="184" t="n"/>
      <c r="O1506" s="184" t="n"/>
    </row>
    <row r="1507">
      <c r="B1507" s="184" t="n"/>
      <c r="O1507" s="184" t="n"/>
    </row>
    <row r="1508">
      <c r="B1508" s="184" t="n"/>
      <c r="O1508" s="184" t="n"/>
    </row>
    <row r="1509">
      <c r="B1509" s="184" t="n"/>
      <c r="O1509" s="184" t="n"/>
    </row>
    <row r="1510">
      <c r="B1510" s="184" t="n"/>
      <c r="O1510" s="184" t="n"/>
    </row>
    <row r="1511">
      <c r="B1511" s="184" t="n"/>
      <c r="O1511" s="184" t="n"/>
    </row>
    <row r="1512">
      <c r="B1512" s="184" t="n"/>
      <c r="O1512" s="184" t="n"/>
    </row>
    <row r="1513">
      <c r="B1513" s="184" t="n"/>
      <c r="O1513" s="184" t="n"/>
    </row>
    <row r="1514">
      <c r="B1514" s="184" t="n"/>
      <c r="O1514" s="184" t="n"/>
    </row>
    <row r="1515">
      <c r="B1515" s="184" t="n"/>
      <c r="O1515" s="184" t="n"/>
    </row>
    <row r="1516">
      <c r="B1516" s="184" t="n"/>
      <c r="O1516" s="184" t="n"/>
    </row>
    <row r="1517">
      <c r="B1517" s="184" t="n"/>
      <c r="O1517" s="184" t="n"/>
    </row>
    <row r="1518">
      <c r="B1518" s="184" t="n"/>
      <c r="O1518" s="184" t="n"/>
    </row>
    <row r="1519">
      <c r="B1519" s="184" t="n"/>
      <c r="O1519" s="184" t="n"/>
    </row>
    <row r="1520">
      <c r="B1520" s="184" t="n"/>
      <c r="O1520" s="184" t="n"/>
    </row>
    <row r="1521">
      <c r="B1521" s="184" t="n"/>
      <c r="O1521" s="184" t="n"/>
    </row>
    <row r="1522">
      <c r="B1522" s="184" t="n"/>
      <c r="O1522" s="184" t="n"/>
    </row>
    <row r="1523">
      <c r="B1523" s="184" t="n"/>
      <c r="O1523" s="184" t="n"/>
    </row>
    <row r="1524">
      <c r="B1524" s="184" t="n"/>
      <c r="O1524" s="184" t="n"/>
    </row>
    <row r="1525">
      <c r="B1525" s="184" t="n"/>
      <c r="O1525" s="184" t="n"/>
    </row>
    <row r="1526">
      <c r="B1526" s="184" t="n"/>
      <c r="O1526" s="184" t="n"/>
    </row>
    <row r="1527">
      <c r="B1527" s="184" t="n"/>
      <c r="O1527" s="184" t="n"/>
    </row>
    <row r="1528">
      <c r="B1528" s="184" t="n"/>
      <c r="O1528" s="184" t="n"/>
    </row>
    <row r="1529">
      <c r="B1529" s="184" t="n"/>
      <c r="O1529" s="184" t="n"/>
    </row>
    <row r="1530">
      <c r="B1530" s="184" t="n"/>
      <c r="O1530" s="184" t="n"/>
    </row>
    <row r="1531">
      <c r="B1531" s="184" t="n"/>
      <c r="O1531" s="184" t="n"/>
    </row>
    <row r="1532">
      <c r="B1532" s="184" t="n"/>
      <c r="O1532" s="184" t="n"/>
    </row>
    <row r="1533">
      <c r="B1533" s="184" t="n"/>
      <c r="O1533" s="184" t="n"/>
    </row>
    <row r="1534">
      <c r="B1534" s="184" t="n"/>
      <c r="O1534" s="184" t="n"/>
    </row>
    <row r="1535">
      <c r="B1535" s="184" t="n"/>
      <c r="O1535" s="184" t="n"/>
    </row>
    <row r="1536">
      <c r="B1536" s="184" t="n"/>
      <c r="O1536" s="184" t="n"/>
    </row>
    <row r="1537">
      <c r="B1537" s="184" t="n"/>
      <c r="O1537" s="184" t="n"/>
    </row>
    <row r="1538">
      <c r="B1538" s="184" t="n"/>
      <c r="O1538" s="184" t="n"/>
    </row>
    <row r="1539">
      <c r="B1539" s="184" t="n"/>
      <c r="O1539" s="184" t="n"/>
    </row>
    <row r="1540">
      <c r="B1540" s="184" t="n"/>
      <c r="O1540" s="184" t="n"/>
    </row>
    <row r="1541">
      <c r="B1541" s="184" t="n"/>
      <c r="O1541" s="184" t="n"/>
    </row>
    <row r="1542">
      <c r="B1542" s="184" t="n"/>
      <c r="O1542" s="184" t="n"/>
    </row>
    <row r="1543">
      <c r="B1543" s="184" t="n"/>
      <c r="O1543" s="184" t="n"/>
    </row>
    <row r="1544">
      <c r="B1544" s="184" t="n"/>
      <c r="O1544" s="184" t="n"/>
    </row>
    <row r="1545">
      <c r="B1545" s="184" t="n"/>
      <c r="O1545" s="184" t="n"/>
    </row>
    <row r="1546">
      <c r="B1546" s="184" t="n"/>
      <c r="O1546" s="184" t="n"/>
    </row>
    <row r="1547">
      <c r="B1547" s="184" t="n"/>
      <c r="O1547" s="184" t="n"/>
    </row>
    <row r="1548">
      <c r="B1548" s="184" t="n"/>
      <c r="O1548" s="184" t="n"/>
    </row>
    <row r="1549">
      <c r="B1549" s="184" t="n"/>
      <c r="O1549" s="184" t="n"/>
    </row>
    <row r="1550">
      <c r="B1550" s="184" t="n"/>
      <c r="O1550" s="184" t="n"/>
    </row>
    <row r="1551">
      <c r="B1551" s="184" t="n"/>
      <c r="O1551" s="184" t="n"/>
    </row>
    <row r="1552">
      <c r="B1552" s="184" t="n"/>
      <c r="O1552" s="184" t="n"/>
    </row>
    <row r="1553">
      <c r="B1553" s="184" t="n"/>
      <c r="O1553" s="184" t="n"/>
    </row>
    <row r="1554">
      <c r="B1554" s="184" t="n"/>
      <c r="O1554" s="184" t="n"/>
    </row>
    <row r="1555">
      <c r="B1555" s="184" t="n"/>
      <c r="O1555" s="184" t="n"/>
    </row>
    <row r="1556">
      <c r="B1556" s="184" t="n"/>
      <c r="O1556" s="184" t="n"/>
    </row>
    <row r="1557">
      <c r="B1557" s="184" t="n"/>
      <c r="O1557" s="184" t="n"/>
    </row>
    <row r="1558">
      <c r="B1558" s="184" t="n"/>
      <c r="O1558" s="184" t="n"/>
    </row>
    <row r="1559">
      <c r="B1559" s="184" t="n"/>
      <c r="O1559" s="184" t="n"/>
    </row>
    <row r="1560">
      <c r="B1560" s="184" t="n"/>
      <c r="O1560" s="184" t="n"/>
    </row>
    <row r="1561">
      <c r="B1561" s="184" t="n"/>
      <c r="O1561" s="184" t="n"/>
    </row>
    <row r="1562">
      <c r="B1562" s="184" t="n"/>
      <c r="O1562" s="184" t="n"/>
    </row>
    <row r="1563">
      <c r="B1563" s="184" t="n"/>
      <c r="O1563" s="184" t="n"/>
    </row>
    <row r="1564">
      <c r="B1564" s="184" t="n"/>
      <c r="O1564" s="184" t="n"/>
    </row>
    <row r="1565">
      <c r="B1565" s="184" t="n"/>
      <c r="O1565" s="184" t="n"/>
    </row>
    <row r="1566">
      <c r="B1566" s="184" t="n"/>
      <c r="O1566" s="184" t="n"/>
    </row>
    <row r="1567">
      <c r="B1567" s="184" t="n"/>
      <c r="O1567" s="184" t="n"/>
    </row>
    <row r="1568">
      <c r="B1568" s="184" t="n"/>
      <c r="O1568" s="184" t="n"/>
    </row>
    <row r="1569">
      <c r="B1569" s="184" t="n"/>
      <c r="O1569" s="184" t="n"/>
    </row>
    <row r="1570">
      <c r="B1570" s="184" t="n"/>
      <c r="O1570" s="184" t="n"/>
    </row>
    <row r="1571">
      <c r="B1571" s="184" t="n"/>
      <c r="O1571" s="184" t="n"/>
    </row>
    <row r="1572">
      <c r="B1572" s="184" t="n"/>
      <c r="O1572" s="184" t="n"/>
    </row>
    <row r="1573">
      <c r="B1573" s="184" t="n"/>
      <c r="O1573" s="184" t="n"/>
    </row>
    <row r="1574">
      <c r="B1574" s="184" t="n"/>
      <c r="O1574" s="184" t="n"/>
    </row>
    <row r="1575">
      <c r="B1575" s="184" t="n"/>
      <c r="O1575" s="184" t="n"/>
    </row>
    <row r="1576">
      <c r="B1576" s="184" t="n"/>
      <c r="O1576" s="184" t="n"/>
    </row>
    <row r="1577">
      <c r="B1577" s="184" t="n"/>
      <c r="O1577" s="184" t="n"/>
    </row>
    <row r="1578">
      <c r="B1578" s="184" t="n"/>
      <c r="O1578" s="184" t="n"/>
    </row>
    <row r="1579">
      <c r="B1579" s="184" t="n"/>
      <c r="O1579" s="184" t="n"/>
    </row>
    <row r="1580">
      <c r="B1580" s="184" t="n"/>
      <c r="O1580" s="184" t="n"/>
    </row>
    <row r="1581">
      <c r="B1581" s="184" t="n"/>
      <c r="O1581" s="184" t="n"/>
    </row>
    <row r="1582">
      <c r="B1582" s="184" t="n"/>
      <c r="O1582" s="184" t="n"/>
    </row>
    <row r="1583">
      <c r="B1583" s="184" t="n"/>
      <c r="O1583" s="184" t="n"/>
    </row>
    <row r="1584">
      <c r="B1584" s="184" t="n"/>
      <c r="O1584" s="184" t="n"/>
    </row>
    <row r="1585">
      <c r="B1585" s="184" t="n"/>
      <c r="O1585" s="184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P1586"/>
  <sheetViews>
    <sheetView workbookViewId="0">
      <selection activeCell="A1" sqref="A1"/>
    </sheetView>
  </sheetViews>
  <sheetFormatPr baseColWidth="10" defaultColWidth="14.5" defaultRowHeight="15" customHeight="1"/>
  <sheetData>
    <row r="1">
      <c r="A1" s="40">
        <f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169" t="n"/>
      <c r="D1" s="40">
        <f>'May2026-COLLECTION'!K2</f>
        <v/>
      </c>
      <c r="E1" s="40">
        <f>'June2026-COLLECTION'!K2</f>
        <v/>
      </c>
      <c r="F1" s="40">
        <f>'July2026-COLLECTION'!K2</f>
        <v/>
      </c>
      <c r="G1" s="40">
        <f>'Aug2026-COLLECTION'!K2</f>
        <v/>
      </c>
      <c r="H1" s="40">
        <f>'Sep2026-COLLECTION'!K2</f>
        <v/>
      </c>
      <c r="I1" s="40">
        <f>'Oct2026-COLLECTION'!K2</f>
        <v/>
      </c>
      <c r="J1" s="40">
        <f>'Nov2026-COLLECTION'!K2</f>
        <v/>
      </c>
      <c r="K1" s="40">
        <f>'Dec2026-COLLECTION'!K2</f>
        <v/>
      </c>
      <c r="L1" s="40">
        <f>'Jan2027-COLLECTION'!K2</f>
        <v/>
      </c>
      <c r="M1" s="40">
        <f>'Feb2027-COLLECTION'!K2</f>
        <v/>
      </c>
      <c r="N1" s="40">
        <f>'Mar2027-COLLECTION'!K2</f>
        <v/>
      </c>
      <c r="O1" s="184">
        <f>SUM(C1:N1)</f>
        <v/>
      </c>
      <c r="P1" s="46">
        <f>O1-Expense!O1</f>
        <v/>
      </c>
    </row>
    <row r="2">
      <c r="A2" s="40" t="n"/>
      <c r="B2" s="169" t="n"/>
      <c r="D2" s="40">
        <f>'May2026-COLLECTION'!K3</f>
        <v/>
      </c>
      <c r="E2" s="40">
        <f>'June2026-COLLECTION'!K3</f>
        <v/>
      </c>
      <c r="F2" s="40">
        <f>'July2026-COLLECTION'!K3</f>
        <v/>
      </c>
      <c r="G2" s="40">
        <f>'Aug2026-COLLECTION'!K3</f>
        <v/>
      </c>
      <c r="H2" s="40">
        <f>'Sep2026-COLLECTION'!K3</f>
        <v/>
      </c>
      <c r="I2" s="40">
        <f>'Oct2026-COLLECTION'!K3</f>
        <v/>
      </c>
      <c r="J2" s="40">
        <f>'Nov2026-COLLECTION'!K3</f>
        <v/>
      </c>
      <c r="K2" s="40">
        <f>'Dec2026-COLLECTION'!K3</f>
        <v/>
      </c>
      <c r="L2" s="40">
        <f>'Jan2027-COLLECTION'!K3</f>
        <v/>
      </c>
      <c r="M2" s="40">
        <f>'Feb2027-COLLECTION'!K3</f>
        <v/>
      </c>
      <c r="N2" s="40">
        <f>'Mar2027-COLLECTION'!K3</f>
        <v/>
      </c>
      <c r="O2" s="184">
        <f>SUM(C2:N2)</f>
        <v/>
      </c>
      <c r="P2" s="46">
        <f>O2-Expense!O2</f>
        <v/>
      </c>
    </row>
    <row r="3">
      <c r="A3" s="40">
        <f>IFERROR(__xludf.DUMMYFUNCTION("""COMPUTED_VALUE"""),5513)</f>
        <v/>
      </c>
      <c r="B3" s="169" t="n"/>
      <c r="D3" s="40">
        <f>'May2026-COLLECTION'!K4</f>
        <v/>
      </c>
      <c r="E3" s="40">
        <f>'June2026-COLLECTION'!K4</f>
        <v/>
      </c>
      <c r="F3" s="40">
        <f>'July2026-COLLECTION'!K4</f>
        <v/>
      </c>
      <c r="G3" s="40">
        <f>'Aug2026-COLLECTION'!K4</f>
        <v/>
      </c>
      <c r="H3" s="40">
        <f>'Sep2026-COLLECTION'!K4</f>
        <v/>
      </c>
      <c r="I3" s="40">
        <f>'Oct2026-COLLECTION'!K4</f>
        <v/>
      </c>
      <c r="J3" s="46">
        <f>'Nov2026-COLLECTION'!K4</f>
        <v/>
      </c>
      <c r="K3" s="40">
        <f>'Dec2026-COLLECTION'!K4</f>
        <v/>
      </c>
      <c r="L3" s="40">
        <f>'Jan2027-COLLECTION'!K4</f>
        <v/>
      </c>
      <c r="M3" s="40">
        <f>'Feb2027-COLLECTION'!K4</f>
        <v/>
      </c>
      <c r="N3" s="46">
        <f>'Mar2027-COLLECTION'!K4</f>
        <v/>
      </c>
      <c r="O3" s="184">
        <f>SUM(C3:N3)</f>
        <v/>
      </c>
      <c r="P3" s="46">
        <f>O3-Expense!O3</f>
        <v/>
      </c>
    </row>
    <row r="4">
      <c r="A4" s="40">
        <f>IFERROR(__xludf.DUMMYFUNCTION("""COMPUTED_VALUE"""),4374)</f>
        <v/>
      </c>
      <c r="B4" s="169" t="n"/>
      <c r="D4" s="46">
        <f>'May2026-COLLECTION'!K5</f>
        <v/>
      </c>
      <c r="E4" s="46">
        <f>'June2026-COLLECTION'!K5</f>
        <v/>
      </c>
      <c r="F4" s="46">
        <f>'July2026-COLLECTION'!K5</f>
        <v/>
      </c>
      <c r="G4" s="46">
        <f>'Aug2026-COLLECTION'!K5</f>
        <v/>
      </c>
      <c r="H4" s="46">
        <f>'Sep2026-COLLECTION'!K5</f>
        <v/>
      </c>
      <c r="I4" s="46">
        <f>'Oct2026-COLLECTION'!K5</f>
        <v/>
      </c>
      <c r="J4" s="46">
        <f>'Nov2026-COLLECTION'!K5</f>
        <v/>
      </c>
      <c r="K4" s="46">
        <f>'Dec2026-COLLECTION'!K5</f>
        <v/>
      </c>
      <c r="L4" s="46">
        <f>'Jan2027-COLLECTION'!K5</f>
        <v/>
      </c>
      <c r="M4" s="46">
        <f>'Feb2027-COLLECTION'!K5</f>
        <v/>
      </c>
      <c r="N4" s="40">
        <f>'Mar2027-COLLECTION'!K5</f>
        <v/>
      </c>
      <c r="O4" s="184">
        <f>SUM(C4:N4)</f>
        <v/>
      </c>
      <c r="P4" s="46">
        <f>O4-Expense!O4</f>
        <v/>
      </c>
    </row>
    <row r="5">
      <c r="A5" s="40">
        <f>IFERROR(__xludf.DUMMYFUNCTION("""COMPUTED_VALUE"""),0)</f>
        <v/>
      </c>
      <c r="B5" s="169" t="n"/>
      <c r="D5" s="40">
        <f>'May2026-COLLECTION'!K6</f>
        <v/>
      </c>
      <c r="E5" s="40">
        <f>'June2026-COLLECTION'!K6</f>
        <v/>
      </c>
      <c r="F5" s="40">
        <f>'July2026-COLLECTION'!K6</f>
        <v/>
      </c>
      <c r="G5" s="40">
        <f>'Aug2026-COLLECTION'!K6</f>
        <v/>
      </c>
      <c r="H5" s="40">
        <f>'Sep2026-COLLECTION'!K6</f>
        <v/>
      </c>
      <c r="I5" s="46">
        <f>'Oct2026-COLLECTION'!K6</f>
        <v/>
      </c>
      <c r="J5" s="40">
        <f>'Nov2026-COLLECTION'!K6</f>
        <v/>
      </c>
      <c r="K5" s="40">
        <f>'Dec2026-COLLECTION'!K6</f>
        <v/>
      </c>
      <c r="L5" s="40">
        <f>'Jan2027-COLLECTION'!K6</f>
        <v/>
      </c>
      <c r="M5" s="40">
        <f>'Feb2027-COLLECTION'!K6</f>
        <v/>
      </c>
      <c r="N5" s="40">
        <f>'Mar2027-COLLECTION'!K6</f>
        <v/>
      </c>
      <c r="O5" s="184">
        <f>SUM(C5:N5)</f>
        <v/>
      </c>
      <c r="P5" s="46">
        <f>O5-Expense!O5</f>
        <v/>
      </c>
    </row>
    <row r="6">
      <c r="A6" s="40">
        <f>IFERROR(__xludf.DUMMYFUNCTION("""COMPUTED_VALUE"""),5497)</f>
        <v/>
      </c>
      <c r="B6" s="169" t="n"/>
      <c r="D6" s="40">
        <f>'May2026-COLLECTION'!K7</f>
        <v/>
      </c>
      <c r="E6" s="40">
        <f>'June2026-COLLECTION'!K7</f>
        <v/>
      </c>
      <c r="F6" s="40">
        <f>'July2026-COLLECTION'!K7</f>
        <v/>
      </c>
      <c r="G6" s="40">
        <f>'Aug2026-COLLECTION'!K7</f>
        <v/>
      </c>
      <c r="H6" s="40">
        <f>'Sep2026-COLLECTION'!K7</f>
        <v/>
      </c>
      <c r="I6" s="46">
        <f>'Oct2026-COLLECTION'!K7</f>
        <v/>
      </c>
      <c r="J6" s="40">
        <f>'Nov2026-COLLECTION'!K7</f>
        <v/>
      </c>
      <c r="K6" s="40">
        <f>'Dec2026-COLLECTION'!K7</f>
        <v/>
      </c>
      <c r="L6" s="40">
        <f>'Jan2027-COLLECTION'!K7</f>
        <v/>
      </c>
      <c r="M6" s="40">
        <f>'Feb2027-COLLECTION'!K7</f>
        <v/>
      </c>
      <c r="N6" s="40">
        <f>'Mar2027-COLLECTION'!K7</f>
        <v/>
      </c>
      <c r="O6" s="184">
        <f>SUM(C6:N6)</f>
        <v/>
      </c>
      <c r="P6" s="46">
        <f>O6-Expense!O6</f>
        <v/>
      </c>
    </row>
    <row r="7">
      <c r="A7" s="40">
        <f>IFERROR(__xludf.DUMMYFUNCTION("""COMPUTED_VALUE"""),5497)</f>
        <v/>
      </c>
      <c r="B7" s="169" t="n"/>
      <c r="D7" s="40">
        <f>'May2026-COLLECTION'!K8</f>
        <v/>
      </c>
      <c r="E7" s="40">
        <f>'June2026-COLLECTION'!K8</f>
        <v/>
      </c>
      <c r="F7" s="40">
        <f>'July2026-COLLECTION'!K8</f>
        <v/>
      </c>
      <c r="G7" s="40">
        <f>'Aug2026-COLLECTION'!K8</f>
        <v/>
      </c>
      <c r="H7" s="40">
        <f>'Sep2026-COLLECTION'!K8</f>
        <v/>
      </c>
      <c r="I7" s="40">
        <f>'Oct2026-COLLECTION'!K8</f>
        <v/>
      </c>
      <c r="J7" s="46">
        <f>'Nov2026-COLLECTION'!K8</f>
        <v/>
      </c>
      <c r="K7" s="40">
        <f>'Dec2026-COLLECTION'!K8</f>
        <v/>
      </c>
      <c r="L7" s="40">
        <f>'Jan2027-COLLECTION'!K8</f>
        <v/>
      </c>
      <c r="M7" s="40">
        <f>'Feb2027-COLLECTION'!K8</f>
        <v/>
      </c>
      <c r="N7" s="40">
        <f>'Mar2027-COLLECTION'!K8</f>
        <v/>
      </c>
      <c r="O7" s="184">
        <f>SUM(C7:N7)</f>
        <v/>
      </c>
      <c r="P7" s="46">
        <f>O7-Expense!O7</f>
        <v/>
      </c>
    </row>
    <row r="8">
      <c r="A8" s="40">
        <f>IFERROR(__xludf.DUMMYFUNCTION("""COMPUTED_VALUE"""),0)</f>
        <v/>
      </c>
      <c r="B8" s="169" t="n"/>
      <c r="D8" s="46">
        <f>'May2026-COLLECTION'!K9</f>
        <v/>
      </c>
      <c r="E8" s="46">
        <f>'June2026-COLLECTION'!K9</f>
        <v/>
      </c>
      <c r="F8" s="46">
        <f>'July2026-COLLECTION'!K9</f>
        <v/>
      </c>
      <c r="G8" s="46">
        <f>'Aug2026-COLLECTION'!K9</f>
        <v/>
      </c>
      <c r="H8" s="46">
        <f>'Sep2026-COLLECTION'!K9</f>
        <v/>
      </c>
      <c r="I8" s="46">
        <f>'Oct2026-COLLECTION'!K9</f>
        <v/>
      </c>
      <c r="J8" s="40">
        <f>'Nov2026-COLLECTION'!K9</f>
        <v/>
      </c>
      <c r="K8" s="46">
        <f>'Dec2026-COLLECTION'!K9</f>
        <v/>
      </c>
      <c r="L8" s="46">
        <f>'Jan2027-COLLECTION'!K9</f>
        <v/>
      </c>
      <c r="M8" s="46">
        <f>'Feb2027-COLLECTION'!K9</f>
        <v/>
      </c>
      <c r="N8" s="40">
        <f>'Mar2027-COLLECTION'!K9</f>
        <v/>
      </c>
      <c r="O8" s="184">
        <f>SUM(C8:N8)</f>
        <v/>
      </c>
      <c r="P8" s="46">
        <f>O8-Expense!O8</f>
        <v/>
      </c>
    </row>
    <row r="9">
      <c r="A9" s="40">
        <f>IFERROR(__xludf.DUMMYFUNCTION("""COMPUTED_VALUE"""),0)</f>
        <v/>
      </c>
      <c r="B9" s="169" t="n"/>
      <c r="D9" s="46">
        <f>'May2026-COLLECTION'!K10</f>
        <v/>
      </c>
      <c r="E9" s="46">
        <f>'June2026-COLLECTION'!K10</f>
        <v/>
      </c>
      <c r="F9" s="46">
        <f>'July2026-COLLECTION'!K10</f>
        <v/>
      </c>
      <c r="G9" s="46">
        <f>'Aug2026-COLLECTION'!K10</f>
        <v/>
      </c>
      <c r="H9" s="46">
        <f>'Sep2026-COLLECTION'!K10</f>
        <v/>
      </c>
      <c r="I9" s="46">
        <f>'Oct2026-COLLECTION'!K10</f>
        <v/>
      </c>
      <c r="J9" s="40">
        <f>'Nov2026-COLLECTION'!K10</f>
        <v/>
      </c>
      <c r="K9" s="46">
        <f>'Dec2026-COLLECTION'!K10</f>
        <v/>
      </c>
      <c r="L9" s="46">
        <f>'Jan2027-COLLECTION'!K10</f>
        <v/>
      </c>
      <c r="M9" s="46">
        <f>'Feb2027-COLLECTION'!K10</f>
        <v/>
      </c>
      <c r="N9" s="40">
        <f>'Mar2027-COLLECTION'!K10</f>
        <v/>
      </c>
      <c r="O9" s="184">
        <f>SUM(C9:N9)</f>
        <v/>
      </c>
      <c r="P9" s="46">
        <f>O9-Expense!O9</f>
        <v/>
      </c>
    </row>
    <row r="10">
      <c r="A10" s="40">
        <f>IFERROR(__xludf.DUMMYFUNCTION("""COMPUTED_VALUE"""),13099)</f>
        <v/>
      </c>
      <c r="B10" s="169" t="n"/>
      <c r="D10" s="46">
        <f>'May2026-COLLECTION'!K11</f>
        <v/>
      </c>
      <c r="E10" s="46">
        <f>'June2026-COLLECTION'!K11</f>
        <v/>
      </c>
      <c r="F10" s="46">
        <f>'July2026-COLLECTION'!K11</f>
        <v/>
      </c>
      <c r="G10" s="46">
        <f>'Aug2026-COLLECTION'!K11</f>
        <v/>
      </c>
      <c r="H10" s="46">
        <f>'Sep2026-COLLECTION'!K11</f>
        <v/>
      </c>
      <c r="I10" s="46">
        <f>'Oct2026-COLLECTION'!K11</f>
        <v/>
      </c>
      <c r="J10" s="40">
        <f>'Nov2026-COLLECTION'!K11</f>
        <v/>
      </c>
      <c r="K10" s="46">
        <f>'Dec2026-COLLECTION'!K11</f>
        <v/>
      </c>
      <c r="L10" s="46">
        <f>'Jan2027-COLLECTION'!K11</f>
        <v/>
      </c>
      <c r="M10" s="40">
        <f>'Feb2027-COLLECTION'!K11</f>
        <v/>
      </c>
      <c r="N10" s="46">
        <f>'Mar2027-COLLECTION'!K11</f>
        <v/>
      </c>
      <c r="O10" s="184">
        <f>SUM(C10:N10)</f>
        <v/>
      </c>
      <c r="P10" s="46">
        <f>O10-Expense!O10</f>
        <v/>
      </c>
    </row>
    <row r="11">
      <c r="A11" s="40">
        <f>IFERROR(__xludf.DUMMYFUNCTION("""COMPUTED_VALUE"""),5555)</f>
        <v/>
      </c>
      <c r="B11" s="169" t="n"/>
      <c r="D11" s="46">
        <f>'May2026-COLLECTION'!K12</f>
        <v/>
      </c>
      <c r="E11" s="46">
        <f>'June2026-COLLECTION'!K12</f>
        <v/>
      </c>
      <c r="F11" s="46">
        <f>'July2026-COLLECTION'!K12</f>
        <v/>
      </c>
      <c r="G11" s="46">
        <f>'Aug2026-COLLECTION'!K12</f>
        <v/>
      </c>
      <c r="H11" s="46">
        <f>'Sep2026-COLLECTION'!K12</f>
        <v/>
      </c>
      <c r="I11" s="46">
        <f>'Oct2026-COLLECTION'!K12</f>
        <v/>
      </c>
      <c r="J11" s="46">
        <f>'Nov2026-COLLECTION'!K12</f>
        <v/>
      </c>
      <c r="K11" s="46">
        <f>'Dec2026-COLLECTION'!K12</f>
        <v/>
      </c>
      <c r="L11" s="46">
        <f>'Jan2027-COLLECTION'!K12</f>
        <v/>
      </c>
      <c r="M11" s="46">
        <f>'Feb2027-COLLECTION'!K12</f>
        <v/>
      </c>
      <c r="N11" s="40">
        <f>'Mar2027-COLLECTION'!K12</f>
        <v/>
      </c>
      <c r="O11" s="184">
        <f>SUM(C11:N11)</f>
        <v/>
      </c>
      <c r="P11" s="46">
        <f>O11-Expense!O11</f>
        <v/>
      </c>
    </row>
    <row r="12">
      <c r="A12" s="40">
        <f>IFERROR(__xludf.DUMMYFUNCTION("""COMPUTED_VALUE"""),5108)</f>
        <v/>
      </c>
      <c r="B12" s="169" t="n"/>
      <c r="D12" s="46">
        <f>'May2026-COLLECTION'!K13</f>
        <v/>
      </c>
      <c r="E12" s="46">
        <f>'June2026-COLLECTION'!K13</f>
        <v/>
      </c>
      <c r="F12" s="46">
        <f>'July2026-COLLECTION'!K13</f>
        <v/>
      </c>
      <c r="G12" s="46">
        <f>'Aug2026-COLLECTION'!K13</f>
        <v/>
      </c>
      <c r="H12" s="46">
        <f>'Sep2026-COLLECTION'!K13</f>
        <v/>
      </c>
      <c r="I12" s="46">
        <f>'Oct2026-COLLECTION'!K13</f>
        <v/>
      </c>
      <c r="J12" s="46">
        <f>'Nov2026-COLLECTION'!K13</f>
        <v/>
      </c>
      <c r="K12" s="46">
        <f>'Dec2026-COLLECTION'!K13</f>
        <v/>
      </c>
      <c r="L12" s="46">
        <f>'Jan2027-COLLECTION'!K13</f>
        <v/>
      </c>
      <c r="M12" s="46">
        <f>'Feb2027-COLLECTION'!K13</f>
        <v/>
      </c>
      <c r="N12" s="40">
        <f>'Mar2027-COLLECTION'!K13</f>
        <v/>
      </c>
      <c r="O12" s="184">
        <f>SUM(C12:N12)</f>
        <v/>
      </c>
      <c r="P12" s="46">
        <f>O12-Expense!O12</f>
        <v/>
      </c>
    </row>
    <row r="13">
      <c r="A13" s="40">
        <f>IFERROR(__xludf.DUMMYFUNCTION("""COMPUTED_VALUE"""),4755)</f>
        <v/>
      </c>
      <c r="B13" s="169" t="n"/>
      <c r="D13" s="40">
        <f>'May2026-COLLECTION'!K14</f>
        <v/>
      </c>
      <c r="E13" s="40">
        <f>'June2026-COLLECTION'!K14</f>
        <v/>
      </c>
      <c r="F13" s="40">
        <f>'July2026-COLLECTION'!K14</f>
        <v/>
      </c>
      <c r="G13" s="40">
        <f>'Aug2026-COLLECTION'!K14</f>
        <v/>
      </c>
      <c r="H13" s="40">
        <f>'Sep2026-COLLECTION'!K14</f>
        <v/>
      </c>
      <c r="I13" s="46">
        <f>'Oct2026-COLLECTION'!K14</f>
        <v/>
      </c>
      <c r="J13" s="40">
        <f>'Nov2026-COLLECTION'!K14</f>
        <v/>
      </c>
      <c r="K13" s="40">
        <f>'Dec2026-COLLECTION'!K14</f>
        <v/>
      </c>
      <c r="L13" s="40">
        <f>'Jan2027-COLLECTION'!K14</f>
        <v/>
      </c>
      <c r="M13" s="40">
        <f>'Feb2027-COLLECTION'!K14</f>
        <v/>
      </c>
      <c r="N13" s="40">
        <f>'Mar2027-COLLECTION'!K14</f>
        <v/>
      </c>
      <c r="O13" s="184">
        <f>SUM(C13:N13)</f>
        <v/>
      </c>
      <c r="P13" s="46">
        <f>O13-Expense!O13</f>
        <v/>
      </c>
    </row>
    <row r="14">
      <c r="A14" s="40">
        <f>IFERROR(__xludf.DUMMYFUNCTION("""COMPUTED_VALUE"""),49398)</f>
        <v/>
      </c>
      <c r="B14" s="169" t="n"/>
      <c r="D14" s="46">
        <f>'May2026-COLLECTION'!K15</f>
        <v/>
      </c>
      <c r="E14" s="46">
        <f>'June2026-COLLECTION'!K15</f>
        <v/>
      </c>
      <c r="F14" s="46">
        <f>'July2026-COLLECTION'!K15</f>
        <v/>
      </c>
      <c r="G14" s="46">
        <f>'Aug2026-COLLECTION'!K15</f>
        <v/>
      </c>
      <c r="H14" s="46">
        <f>'Sep2026-COLLECTION'!K15</f>
        <v/>
      </c>
      <c r="I14" s="46">
        <f>'Oct2026-COLLECTION'!K15</f>
        <v/>
      </c>
      <c r="J14" s="40">
        <f>'Nov2026-COLLECTION'!K15</f>
        <v/>
      </c>
      <c r="K14" s="46">
        <f>'Dec2026-COLLECTION'!K15</f>
        <v/>
      </c>
      <c r="L14" s="46">
        <f>'Jan2027-COLLECTION'!K15</f>
        <v/>
      </c>
      <c r="M14" s="46">
        <f>'Feb2027-COLLECTION'!K15</f>
        <v/>
      </c>
      <c r="N14" s="40">
        <f>'Mar2027-COLLECTION'!K15</f>
        <v/>
      </c>
      <c r="O14" s="184">
        <f>SUM(C14:N14)</f>
        <v/>
      </c>
      <c r="P14" s="46">
        <f>O14-Expense!O14</f>
        <v/>
      </c>
    </row>
    <row r="15">
      <c r="A15" s="46">
        <f>IFERROR(__xludf.DUMMYFUNCTION("""COMPUTED_VALUE"""),-14386.7062374071)</f>
        <v/>
      </c>
      <c r="B15" s="169" t="n"/>
      <c r="D15" s="40">
        <f>'May2026-COLLECTION'!K16</f>
        <v/>
      </c>
      <c r="E15" s="40">
        <f>'June2026-COLLECTION'!K16</f>
        <v/>
      </c>
      <c r="F15" s="40">
        <f>'July2026-COLLECTION'!K16</f>
        <v/>
      </c>
      <c r="G15" s="40">
        <f>'Aug2026-COLLECTION'!K16</f>
        <v/>
      </c>
      <c r="H15" s="40">
        <f>'Sep2026-COLLECTION'!K16</f>
        <v/>
      </c>
      <c r="I15" s="46">
        <f>'Oct2026-COLLECTION'!K16</f>
        <v/>
      </c>
      <c r="J15" s="40">
        <f>'Nov2026-COLLECTION'!K16</f>
        <v/>
      </c>
      <c r="K15" s="40">
        <f>'Dec2026-COLLECTION'!K16</f>
        <v/>
      </c>
      <c r="L15" s="40">
        <f>'Jan2027-COLLECTION'!K16</f>
        <v/>
      </c>
      <c r="M15" s="40">
        <f>'Feb2027-COLLECTION'!K16</f>
        <v/>
      </c>
      <c r="N15" s="40">
        <f>'Mar2027-COLLECTION'!K16</f>
        <v/>
      </c>
      <c r="O15" s="184">
        <f>SUM(C15:N15)</f>
        <v/>
      </c>
      <c r="P15" s="46">
        <f>O15-Expense!O15</f>
        <v/>
      </c>
    </row>
    <row r="16">
      <c r="A16" s="40" t="n"/>
      <c r="B16" s="169" t="n"/>
      <c r="D16" s="40">
        <f>'May2026-COLLECTION'!K17</f>
        <v/>
      </c>
      <c r="E16" s="40">
        <f>'June2026-COLLECTION'!K17</f>
        <v/>
      </c>
      <c r="F16" s="40">
        <f>'July2026-COLLECTION'!K17</f>
        <v/>
      </c>
      <c r="G16" s="40">
        <f>'Aug2026-COLLECTION'!K17</f>
        <v/>
      </c>
      <c r="H16" s="40">
        <f>'Sep2026-COLLECTION'!K17</f>
        <v/>
      </c>
      <c r="I16" s="40">
        <f>'Oct2026-COLLECTION'!K17</f>
        <v/>
      </c>
      <c r="J16" s="40">
        <f>'Nov2026-COLLECTION'!K17</f>
        <v/>
      </c>
      <c r="K16" s="40">
        <f>'Dec2026-COLLECTION'!K17</f>
        <v/>
      </c>
      <c r="L16" s="40">
        <f>'Jan2027-COLLECTION'!K17</f>
        <v/>
      </c>
      <c r="M16" s="40">
        <f>'Feb2027-COLLECTION'!K17</f>
        <v/>
      </c>
      <c r="N16" s="40">
        <f>'Mar2027-COLLECTION'!K17</f>
        <v/>
      </c>
      <c r="O16" s="184">
        <f>SUM(C16:N16)</f>
        <v/>
      </c>
      <c r="P16" s="46">
        <f>O16-Expense!O16</f>
        <v/>
      </c>
    </row>
    <row r="17">
      <c r="A17" s="40" t="n"/>
      <c r="B17" s="169" t="n"/>
      <c r="D17" s="46">
        <f>'May2026-COLLECTION'!K18</f>
        <v/>
      </c>
      <c r="E17" s="46">
        <f>'June2026-COLLECTION'!K18</f>
        <v/>
      </c>
      <c r="F17" s="46">
        <f>'July2026-COLLECTION'!K18</f>
        <v/>
      </c>
      <c r="G17" s="46">
        <f>'Aug2026-COLLECTION'!K18</f>
        <v/>
      </c>
      <c r="H17" s="46">
        <f>'Sep2026-COLLECTION'!K18</f>
        <v/>
      </c>
      <c r="I17" s="46">
        <f>'Oct2026-COLLECTION'!K18</f>
        <v/>
      </c>
      <c r="J17" s="40">
        <f>'Nov2026-COLLECTION'!K18</f>
        <v/>
      </c>
      <c r="K17" s="46">
        <f>'Dec2026-COLLECTION'!K18</f>
        <v/>
      </c>
      <c r="L17" s="46">
        <f>'Jan2027-COLLECTION'!K18</f>
        <v/>
      </c>
      <c r="M17" s="40">
        <f>'Feb2027-COLLECTION'!K18</f>
        <v/>
      </c>
      <c r="N17" s="46">
        <f>'Mar2027-COLLECTION'!K18</f>
        <v/>
      </c>
      <c r="O17" s="184">
        <f>SUM(C17:N17)</f>
        <v/>
      </c>
      <c r="P17" s="46">
        <f>O17-Expense!O17</f>
        <v/>
      </c>
    </row>
    <row r="18">
      <c r="A18" s="40" t="n"/>
      <c r="B18" s="169" t="n"/>
      <c r="D18" s="46">
        <f>'May2026-COLLECTION'!K19</f>
        <v/>
      </c>
      <c r="E18" s="46">
        <f>'June2026-COLLECTION'!K19</f>
        <v/>
      </c>
      <c r="F18" s="46">
        <f>'July2026-COLLECTION'!K19</f>
        <v/>
      </c>
      <c r="G18" s="46">
        <f>'Aug2026-COLLECTION'!K19</f>
        <v/>
      </c>
      <c r="H18" s="46">
        <f>'Sep2026-COLLECTION'!K19</f>
        <v/>
      </c>
      <c r="I18" s="46">
        <f>'Oct2026-COLLECTION'!K19</f>
        <v/>
      </c>
      <c r="J18" s="46">
        <f>'Nov2026-COLLECTION'!K19</f>
        <v/>
      </c>
      <c r="K18" s="46">
        <f>'Dec2026-COLLECTION'!K19</f>
        <v/>
      </c>
      <c r="L18" s="46">
        <f>'Jan2027-COLLECTION'!K19</f>
        <v/>
      </c>
      <c r="M18" s="46">
        <f>'Feb2027-COLLECTION'!K19</f>
        <v/>
      </c>
      <c r="N18" s="40">
        <f>'Mar2027-COLLECTION'!K19</f>
        <v/>
      </c>
      <c r="O18" s="184">
        <f>SUM(C18:N18)</f>
        <v/>
      </c>
      <c r="P18" s="46">
        <f>O18-Expense!O18</f>
        <v/>
      </c>
    </row>
    <row r="19">
      <c r="A19" s="40" t="n"/>
      <c r="B19" s="169" t="n"/>
      <c r="D19" s="46">
        <f>'May2026-COLLECTION'!K20</f>
        <v/>
      </c>
      <c r="E19" s="46">
        <f>'June2026-COLLECTION'!K20</f>
        <v/>
      </c>
      <c r="F19" s="46">
        <f>'July2026-COLLECTION'!K20</f>
        <v/>
      </c>
      <c r="G19" s="46">
        <f>'Aug2026-COLLECTION'!K20</f>
        <v/>
      </c>
      <c r="H19" s="46">
        <f>'Sep2026-COLLECTION'!K20</f>
        <v/>
      </c>
      <c r="I19" s="46">
        <f>'Oct2026-COLLECTION'!K20</f>
        <v/>
      </c>
      <c r="J19" s="46">
        <f>'Nov2026-COLLECTION'!K20</f>
        <v/>
      </c>
      <c r="K19" s="46">
        <f>'Dec2026-COLLECTION'!K20</f>
        <v/>
      </c>
      <c r="L19" s="46">
        <f>'Jan2027-COLLECTION'!K20</f>
        <v/>
      </c>
      <c r="M19" s="46">
        <f>'Feb2027-COLLECTION'!K20</f>
        <v/>
      </c>
      <c r="N19" s="40">
        <f>'Mar2027-COLLECTION'!K20</f>
        <v/>
      </c>
      <c r="O19" s="184">
        <f>SUM(C19:N19)</f>
        <v/>
      </c>
      <c r="P19" s="46">
        <f>O19-Expense!O19</f>
        <v/>
      </c>
    </row>
    <row r="20">
      <c r="A20" s="40">
        <f>IFERROR(__xludf.DUMMYFUNCTION("""COMPUTED_VALUE"""),9182)</f>
        <v/>
      </c>
      <c r="B20" s="169" t="n"/>
      <c r="D20" s="46">
        <f>'May2026-COLLECTION'!K21</f>
        <v/>
      </c>
      <c r="E20" s="46">
        <f>'June2026-COLLECTION'!K21</f>
        <v/>
      </c>
      <c r="F20" s="46">
        <f>'July2026-COLLECTION'!K21</f>
        <v/>
      </c>
      <c r="G20" s="46">
        <f>'Aug2026-COLLECTION'!K21</f>
        <v/>
      </c>
      <c r="H20" s="46">
        <f>'Sep2026-COLLECTION'!K21</f>
        <v/>
      </c>
      <c r="I20" s="46">
        <f>'Oct2026-COLLECTION'!K21</f>
        <v/>
      </c>
      <c r="J20" s="46">
        <f>'Nov2026-COLLECTION'!K21</f>
        <v/>
      </c>
      <c r="K20" s="46">
        <f>'Dec2026-COLLECTION'!K21</f>
        <v/>
      </c>
      <c r="L20" s="46">
        <f>'Jan2027-COLLECTION'!K21</f>
        <v/>
      </c>
      <c r="M20" s="46">
        <f>'Feb2027-COLLECTION'!K21</f>
        <v/>
      </c>
      <c r="N20" s="40">
        <f>'Mar2027-COLLECTION'!K21</f>
        <v/>
      </c>
      <c r="O20" s="184">
        <f>SUM(C20:N20)</f>
        <v/>
      </c>
      <c r="P20" s="46">
        <f>O20-Expense!O20</f>
        <v/>
      </c>
    </row>
    <row r="21">
      <c r="A21" s="40">
        <f>IFERROR(__xludf.DUMMYFUNCTION("""COMPUTED_VALUE"""),41625)</f>
        <v/>
      </c>
      <c r="B21" s="169" t="n"/>
      <c r="D21" s="46">
        <f>'May2026-COLLECTION'!K22</f>
        <v/>
      </c>
      <c r="E21" s="46">
        <f>'June2026-COLLECTION'!K22</f>
        <v/>
      </c>
      <c r="F21" s="46">
        <f>'July2026-COLLECTION'!K22</f>
        <v/>
      </c>
      <c r="G21" s="46">
        <f>'Aug2026-COLLECTION'!K22</f>
        <v/>
      </c>
      <c r="H21" s="46">
        <f>'Sep2026-COLLECTION'!K22</f>
        <v/>
      </c>
      <c r="I21" s="46">
        <f>'Oct2026-COLLECTION'!K22</f>
        <v/>
      </c>
      <c r="J21" s="46">
        <f>'Nov2026-COLLECTION'!K22</f>
        <v/>
      </c>
      <c r="K21" s="46">
        <f>'Dec2026-COLLECTION'!K22</f>
        <v/>
      </c>
      <c r="L21" s="46">
        <f>'Jan2027-COLLECTION'!K22</f>
        <v/>
      </c>
      <c r="M21" s="46">
        <f>'Feb2027-COLLECTION'!K22</f>
        <v/>
      </c>
      <c r="N21" s="40">
        <f>'Mar2027-COLLECTION'!K22</f>
        <v/>
      </c>
      <c r="O21" s="184">
        <f>SUM(C21:N21)</f>
        <v/>
      </c>
      <c r="P21" s="46">
        <f>O21-Expense!O21</f>
        <v/>
      </c>
    </row>
    <row r="22">
      <c r="A22" s="40">
        <f>IFERROR(__xludf.DUMMYFUNCTION("""COMPUTED_VALUE"""),0)</f>
        <v/>
      </c>
      <c r="B22" s="169" t="n"/>
      <c r="D22" s="40">
        <f>'May2026-COLLECTION'!K23</f>
        <v/>
      </c>
      <c r="E22" s="40">
        <f>'June2026-COLLECTION'!K23</f>
        <v/>
      </c>
      <c r="F22" s="40">
        <f>'July2026-COLLECTION'!K23</f>
        <v/>
      </c>
      <c r="G22" s="40">
        <f>'Aug2026-COLLECTION'!K23</f>
        <v/>
      </c>
      <c r="H22" s="40">
        <f>'Sep2026-COLLECTION'!K23</f>
        <v/>
      </c>
      <c r="I22" s="40">
        <f>'Oct2026-COLLECTION'!K23</f>
        <v/>
      </c>
      <c r="J22" s="40">
        <f>'Nov2026-COLLECTION'!K23</f>
        <v/>
      </c>
      <c r="K22" s="40">
        <f>'Dec2026-COLLECTION'!K23</f>
        <v/>
      </c>
      <c r="L22" s="40">
        <f>'Jan2027-COLLECTION'!K23</f>
        <v/>
      </c>
      <c r="M22" s="40">
        <f>'Feb2027-COLLECTION'!K23</f>
        <v/>
      </c>
      <c r="N22" s="40">
        <f>'Mar2027-COLLECTION'!K23</f>
        <v/>
      </c>
      <c r="O22" s="184">
        <f>SUM(C22:N22)</f>
        <v/>
      </c>
      <c r="P22" s="46">
        <f>O22-Expense!O22</f>
        <v/>
      </c>
    </row>
    <row r="23">
      <c r="A23" s="40">
        <f>IFERROR(__xludf.DUMMYFUNCTION("""COMPUTED_VALUE"""),0)</f>
        <v/>
      </c>
      <c r="B23" s="169" t="n"/>
      <c r="D23" s="46">
        <f>'May2026-COLLECTION'!K24</f>
        <v/>
      </c>
      <c r="E23" s="46">
        <f>'June2026-COLLECTION'!K24</f>
        <v/>
      </c>
      <c r="F23" s="46">
        <f>'July2026-COLLECTION'!K24</f>
        <v/>
      </c>
      <c r="G23" s="46">
        <f>'Aug2026-COLLECTION'!K24</f>
        <v/>
      </c>
      <c r="H23" s="46">
        <f>'Sep2026-COLLECTION'!K24</f>
        <v/>
      </c>
      <c r="I23" s="46">
        <f>'Oct2026-COLLECTION'!K24</f>
        <v/>
      </c>
      <c r="J23" s="40">
        <f>'Nov2026-COLLECTION'!K24</f>
        <v/>
      </c>
      <c r="K23" s="46">
        <f>'Dec2026-COLLECTION'!K24</f>
        <v/>
      </c>
      <c r="L23" s="46">
        <f>'Jan2027-COLLECTION'!K24</f>
        <v/>
      </c>
      <c r="M23" s="46">
        <f>'Feb2027-COLLECTION'!K24</f>
        <v/>
      </c>
      <c r="N23" s="40">
        <f>'Mar2027-COLLECTION'!K24</f>
        <v/>
      </c>
      <c r="O23" s="184">
        <f>SUM(C23:N23)</f>
        <v/>
      </c>
      <c r="P23" s="46">
        <f>O23-Expense!O23</f>
        <v/>
      </c>
    </row>
    <row r="24">
      <c r="A24" s="40">
        <f>IFERROR(__xludf.DUMMYFUNCTION("""COMPUTED_VALUE"""),26147)</f>
        <v/>
      </c>
      <c r="B24" s="169" t="n"/>
      <c r="D24" s="40">
        <f>'May2026-COLLECTION'!K25</f>
        <v/>
      </c>
      <c r="E24" s="40">
        <f>'June2026-COLLECTION'!K25</f>
        <v/>
      </c>
      <c r="F24" s="40">
        <f>'July2026-COLLECTION'!K25</f>
        <v/>
      </c>
      <c r="G24" s="40">
        <f>'Aug2026-COLLECTION'!K25</f>
        <v/>
      </c>
      <c r="H24" s="40">
        <f>'Sep2026-COLLECTION'!K25</f>
        <v/>
      </c>
      <c r="I24" s="40">
        <f>'Oct2026-COLLECTION'!K25</f>
        <v/>
      </c>
      <c r="J24" s="40">
        <f>'Nov2026-COLLECTION'!K25</f>
        <v/>
      </c>
      <c r="K24" s="40">
        <f>'Dec2026-COLLECTION'!K25</f>
        <v/>
      </c>
      <c r="L24" s="40">
        <f>'Jan2027-COLLECTION'!K25</f>
        <v/>
      </c>
      <c r="M24" s="40">
        <f>'Feb2027-COLLECTION'!K25</f>
        <v/>
      </c>
      <c r="N24" s="40">
        <f>'Mar2027-COLLECTION'!K25</f>
        <v/>
      </c>
      <c r="O24" s="184">
        <f>SUM(C24:N24)</f>
        <v/>
      </c>
      <c r="P24" s="46">
        <f>O24-Expense!O24</f>
        <v/>
      </c>
    </row>
    <row r="25">
      <c r="A25" s="40">
        <f>IFERROR(__xludf.DUMMYFUNCTION("""COMPUTED_VALUE"""),0)</f>
        <v/>
      </c>
      <c r="B25" s="169" t="n"/>
      <c r="D25" s="46">
        <f>'May2026-COLLECTION'!K26</f>
        <v/>
      </c>
      <c r="E25" s="46">
        <f>'June2026-COLLECTION'!K26</f>
        <v/>
      </c>
      <c r="F25" s="46">
        <f>'July2026-COLLECTION'!K26</f>
        <v/>
      </c>
      <c r="G25" s="46">
        <f>'Aug2026-COLLECTION'!K26</f>
        <v/>
      </c>
      <c r="H25" s="46">
        <f>'Sep2026-COLLECTION'!K26</f>
        <v/>
      </c>
      <c r="I25" s="46">
        <f>'Oct2026-COLLECTION'!K26</f>
        <v/>
      </c>
      <c r="J25" s="46">
        <f>'Nov2026-COLLECTION'!K26</f>
        <v/>
      </c>
      <c r="K25" s="46">
        <f>'Dec2026-COLLECTION'!K26</f>
        <v/>
      </c>
      <c r="L25" s="46">
        <f>'Jan2027-COLLECTION'!K26</f>
        <v/>
      </c>
      <c r="M25" s="46">
        <f>'Feb2027-COLLECTION'!K26</f>
        <v/>
      </c>
      <c r="N25" s="40">
        <f>'Mar2027-COLLECTION'!K26</f>
        <v/>
      </c>
      <c r="O25" s="184">
        <f>SUM(C25:N25)</f>
        <v/>
      </c>
      <c r="P25" s="46">
        <f>O25-Expense!O25</f>
        <v/>
      </c>
    </row>
    <row r="26">
      <c r="A26" s="40">
        <f>IFERROR(__xludf.DUMMYFUNCTION("""COMPUTED_VALUE"""),0)</f>
        <v/>
      </c>
      <c r="B26" s="169" t="n"/>
      <c r="D26" s="46">
        <f>'May2026-COLLECTION'!K27</f>
        <v/>
      </c>
      <c r="E26" s="46">
        <f>'June2026-COLLECTION'!K27</f>
        <v/>
      </c>
      <c r="F26" s="46">
        <f>'July2026-COLLECTION'!K27</f>
        <v/>
      </c>
      <c r="G26" s="46">
        <f>'Aug2026-COLLECTION'!K27</f>
        <v/>
      </c>
      <c r="H26" s="46">
        <f>'Sep2026-COLLECTION'!K27</f>
        <v/>
      </c>
      <c r="I26" s="46">
        <f>'Oct2026-COLLECTION'!K27</f>
        <v/>
      </c>
      <c r="J26" s="46">
        <f>'Nov2026-COLLECTION'!K27</f>
        <v/>
      </c>
      <c r="K26" s="46">
        <f>'Dec2026-COLLECTION'!K27</f>
        <v/>
      </c>
      <c r="L26" s="46">
        <f>'Jan2027-COLLECTION'!K27</f>
        <v/>
      </c>
      <c r="M26" s="46">
        <f>'Feb2027-COLLECTION'!K27</f>
        <v/>
      </c>
      <c r="N26" s="40">
        <f>'Mar2027-COLLECTION'!K27</f>
        <v/>
      </c>
      <c r="O26" s="184">
        <f>SUM(C26:N26)</f>
        <v/>
      </c>
      <c r="P26" s="46">
        <f>O26-Expense!O26</f>
        <v/>
      </c>
    </row>
    <row r="27">
      <c r="A27" s="40">
        <f>IFERROR(__xludf.DUMMYFUNCTION("""COMPUTED_VALUE"""),0)</f>
        <v/>
      </c>
      <c r="B27" s="169" t="n"/>
      <c r="D27" s="46">
        <f>'May2026-COLLECTION'!K28</f>
        <v/>
      </c>
      <c r="E27" s="46">
        <f>'June2026-COLLECTION'!K28</f>
        <v/>
      </c>
      <c r="F27" s="46">
        <f>'July2026-COLLECTION'!K28</f>
        <v/>
      </c>
      <c r="G27" s="46">
        <f>'Aug2026-COLLECTION'!K28</f>
        <v/>
      </c>
      <c r="H27" s="46">
        <f>'Sep2026-COLLECTION'!K28</f>
        <v/>
      </c>
      <c r="I27" s="46">
        <f>'Oct2026-COLLECTION'!K28</f>
        <v/>
      </c>
      <c r="J27" s="40">
        <f>'Nov2026-COLLECTION'!K28</f>
        <v/>
      </c>
      <c r="K27" s="46">
        <f>'Dec2026-COLLECTION'!K28</f>
        <v/>
      </c>
      <c r="L27" s="46">
        <f>'Jan2027-COLLECTION'!K28</f>
        <v/>
      </c>
      <c r="M27" s="46">
        <f>'Feb2027-COLLECTION'!K28</f>
        <v/>
      </c>
      <c r="N27" s="40">
        <f>'Mar2027-COLLECTION'!K28</f>
        <v/>
      </c>
      <c r="O27" s="184">
        <f>SUM(C27:N27)</f>
        <v/>
      </c>
      <c r="P27" s="46">
        <f>O27-Expense!O27</f>
        <v/>
      </c>
    </row>
    <row r="28">
      <c r="A28" s="40">
        <f>IFERROR(__xludf.DUMMYFUNCTION("""COMPUTED_VALUE"""),26087)</f>
        <v/>
      </c>
      <c r="B28" s="169" t="n"/>
      <c r="D28" s="46">
        <f>'May2026-COLLECTION'!K29</f>
        <v/>
      </c>
      <c r="E28" s="46">
        <f>'June2026-COLLECTION'!K29</f>
        <v/>
      </c>
      <c r="F28" s="46">
        <f>'July2026-COLLECTION'!K29</f>
        <v/>
      </c>
      <c r="G28" s="46">
        <f>'Aug2026-COLLECTION'!K29</f>
        <v/>
      </c>
      <c r="H28" s="46">
        <f>'Sep2026-COLLECTION'!K29</f>
        <v/>
      </c>
      <c r="I28" s="46">
        <f>'Oct2026-COLLECTION'!K29</f>
        <v/>
      </c>
      <c r="J28" s="46">
        <f>'Nov2026-COLLECTION'!K29</f>
        <v/>
      </c>
      <c r="K28" s="46">
        <f>'Dec2026-COLLECTION'!K29</f>
        <v/>
      </c>
      <c r="L28" s="46">
        <f>'Jan2027-COLLECTION'!K29</f>
        <v/>
      </c>
      <c r="M28" s="40">
        <f>'Feb2027-COLLECTION'!K29</f>
        <v/>
      </c>
      <c r="N28" s="46">
        <f>'Mar2027-COLLECTION'!K29</f>
        <v/>
      </c>
      <c r="O28" s="184">
        <f>SUM(C28:N28)</f>
        <v/>
      </c>
      <c r="P28" s="46">
        <f>O28-Expense!O28</f>
        <v/>
      </c>
    </row>
    <row r="29">
      <c r="A29" s="40">
        <f>IFERROR(__xludf.DUMMYFUNCTION("""COMPUTED_VALUE"""),0)</f>
        <v/>
      </c>
      <c r="B29" s="169" t="n"/>
      <c r="D29" s="40">
        <f>'May2026-COLLECTION'!K30</f>
        <v/>
      </c>
      <c r="E29" s="40">
        <f>'June2026-COLLECTION'!K30</f>
        <v/>
      </c>
      <c r="F29" s="40">
        <f>'July2026-COLLECTION'!K30</f>
        <v/>
      </c>
      <c r="G29" s="40">
        <f>'Aug2026-COLLECTION'!K30</f>
        <v/>
      </c>
      <c r="H29" s="117">
        <f>'Sep2026-COLLECTION'!K30</f>
        <v/>
      </c>
      <c r="I29" s="40">
        <f>'Oct2026-COLLECTION'!K30</f>
        <v/>
      </c>
      <c r="J29" s="40">
        <f>'Nov2026-COLLECTION'!K30</f>
        <v/>
      </c>
      <c r="K29" s="40">
        <f>'Dec2026-COLLECTION'!K30</f>
        <v/>
      </c>
      <c r="L29" s="40">
        <f>'Jan2027-COLLECTION'!K30</f>
        <v/>
      </c>
      <c r="M29" s="40">
        <f>'Feb2027-COLLECTION'!K30</f>
        <v/>
      </c>
      <c r="N29" s="40">
        <f>'Mar2027-COLLECTION'!K30</f>
        <v/>
      </c>
      <c r="O29" s="184">
        <f>SUM(C29:N29)</f>
        <v/>
      </c>
      <c r="P29" s="46">
        <f>O29-Expense!O29</f>
        <v/>
      </c>
    </row>
    <row r="30">
      <c r="A30" s="40">
        <f>IFERROR(__xludf.DUMMYFUNCTION("""COMPUTED_VALUE"""),0)</f>
        <v/>
      </c>
      <c r="B30" s="169" t="n"/>
      <c r="D30" s="40">
        <f>'May2026-COLLECTION'!K31</f>
        <v/>
      </c>
      <c r="E30" s="40">
        <f>'June2026-COLLECTION'!K31</f>
        <v/>
      </c>
      <c r="F30" s="40">
        <f>'July2026-COLLECTION'!K31</f>
        <v/>
      </c>
      <c r="G30" s="40">
        <f>'Aug2026-COLLECTION'!K31</f>
        <v/>
      </c>
      <c r="H30" s="40">
        <f>'Sep2026-COLLECTION'!K31</f>
        <v/>
      </c>
      <c r="I30" s="46">
        <f>'Oct2026-COLLECTION'!K31</f>
        <v/>
      </c>
      <c r="J30" s="40">
        <f>'Nov2026-COLLECTION'!K31</f>
        <v/>
      </c>
      <c r="K30" s="40">
        <f>'Dec2026-COLLECTION'!K31</f>
        <v/>
      </c>
      <c r="L30" s="40">
        <f>'Jan2027-COLLECTION'!K31</f>
        <v/>
      </c>
      <c r="M30" s="40">
        <f>'Feb2027-COLLECTION'!K31</f>
        <v/>
      </c>
      <c r="N30" s="40">
        <f>'Mar2027-COLLECTION'!K31</f>
        <v/>
      </c>
      <c r="O30" s="184">
        <f>SUM(C30:N30)</f>
        <v/>
      </c>
      <c r="P30" s="46">
        <f>O30-Expense!O30</f>
        <v/>
      </c>
    </row>
    <row r="31">
      <c r="A31" s="40">
        <f>IFERROR(__xludf.DUMMYFUNCTION("""COMPUTED_VALUE"""),103041)</f>
        <v/>
      </c>
      <c r="B31" s="169" t="n"/>
      <c r="D31" s="46">
        <f>'May2026-COLLECTION'!K32</f>
        <v/>
      </c>
      <c r="E31" s="46">
        <f>'June2026-COLLECTION'!K32</f>
        <v/>
      </c>
      <c r="F31" s="46">
        <f>'July2026-COLLECTION'!K32</f>
        <v/>
      </c>
      <c r="G31" s="46">
        <f>'Aug2026-COLLECTION'!K32</f>
        <v/>
      </c>
      <c r="H31" s="46">
        <f>'Sep2026-COLLECTION'!K32</f>
        <v/>
      </c>
      <c r="I31" s="46">
        <f>'Oct2026-COLLECTION'!K32</f>
        <v/>
      </c>
      <c r="J31" s="46">
        <f>'Nov2026-COLLECTION'!K32</f>
        <v/>
      </c>
      <c r="K31" s="46">
        <f>'Dec2026-COLLECTION'!K32</f>
        <v/>
      </c>
      <c r="L31" s="46">
        <f>'Jan2027-COLLECTION'!K32</f>
        <v/>
      </c>
      <c r="M31" s="46">
        <f>'Feb2027-COLLECTION'!K32</f>
        <v/>
      </c>
      <c r="N31" s="40">
        <f>'Mar2027-COLLECTION'!K32</f>
        <v/>
      </c>
      <c r="O31" s="184">
        <f>SUM(C31:N31)</f>
        <v/>
      </c>
      <c r="P31" s="46">
        <f>O31-Expense!O31</f>
        <v/>
      </c>
    </row>
    <row r="32">
      <c r="A32" s="46">
        <f>IFERROR(__xludf.DUMMYFUNCTION("""COMPUTED_VALUE"""),28611.5179702707)</f>
        <v/>
      </c>
      <c r="B32" s="169" t="n"/>
      <c r="D32" s="40">
        <f>'May2026-COLLECTION'!K33</f>
        <v/>
      </c>
      <c r="E32" s="40">
        <f>'June2026-COLLECTION'!K33</f>
        <v/>
      </c>
      <c r="F32" s="40">
        <f>'July2026-COLLECTION'!K33</f>
        <v/>
      </c>
      <c r="G32" s="40">
        <f>'Aug2026-COLLECTION'!K33</f>
        <v/>
      </c>
      <c r="H32" s="40">
        <f>'Sep2026-COLLECTION'!K33</f>
        <v/>
      </c>
      <c r="I32" s="46">
        <f>'Oct2026-COLLECTION'!K33</f>
        <v/>
      </c>
      <c r="J32" s="40">
        <f>'Nov2026-COLLECTION'!K33</f>
        <v/>
      </c>
      <c r="K32" s="40">
        <f>'Dec2026-COLLECTION'!K33</f>
        <v/>
      </c>
      <c r="L32" s="40">
        <f>'Jan2027-COLLECTION'!K33</f>
        <v/>
      </c>
      <c r="M32" s="40">
        <f>'Feb2027-COLLECTION'!K33</f>
        <v/>
      </c>
      <c r="N32" s="40">
        <f>'Mar2027-COLLECTION'!K33</f>
        <v/>
      </c>
      <c r="O32" s="184">
        <f>SUM(C32:N32)</f>
        <v/>
      </c>
      <c r="P32" s="46">
        <f>O32-Expense!O32</f>
        <v/>
      </c>
    </row>
    <row r="33">
      <c r="A33" s="40" t="n"/>
      <c r="B33" s="169" t="n"/>
      <c r="D33" s="46">
        <f>'May2026-COLLECTION'!K34</f>
        <v/>
      </c>
      <c r="E33" s="46">
        <f>'June2026-COLLECTION'!K34</f>
        <v/>
      </c>
      <c r="F33" s="46">
        <f>'July2026-COLLECTION'!K34</f>
        <v/>
      </c>
      <c r="G33" s="46">
        <f>'Aug2026-COLLECTION'!K34</f>
        <v/>
      </c>
      <c r="H33" s="46">
        <f>'Sep2026-COLLECTION'!K34</f>
        <v/>
      </c>
      <c r="I33" s="46">
        <f>'Oct2026-COLLECTION'!K34</f>
        <v/>
      </c>
      <c r="J33" s="46">
        <f>'Nov2026-COLLECTION'!K34</f>
        <v/>
      </c>
      <c r="K33" s="46">
        <f>'Dec2026-COLLECTION'!K34</f>
        <v/>
      </c>
      <c r="L33" s="46">
        <f>'Jan2027-COLLECTION'!K34</f>
        <v/>
      </c>
      <c r="M33" s="46">
        <f>'Feb2027-COLLECTION'!K34</f>
        <v/>
      </c>
      <c r="N33" s="40">
        <f>'Mar2027-COLLECTION'!K34</f>
        <v/>
      </c>
      <c r="O33" s="184">
        <f>SUM(C33:N33)</f>
        <v/>
      </c>
      <c r="P33" s="46">
        <f>O33-Expense!O33</f>
        <v/>
      </c>
    </row>
    <row r="34">
      <c r="A34" s="40" t="n"/>
      <c r="B34" s="169" t="n"/>
      <c r="D34" s="40">
        <f>'May2026-COLLECTION'!K35</f>
        <v/>
      </c>
      <c r="E34" s="46">
        <f>'June2026-COLLECTION'!K35</f>
        <v/>
      </c>
      <c r="F34" s="46">
        <f>'July2026-COLLECTION'!K35</f>
        <v/>
      </c>
      <c r="G34" s="46">
        <f>'Aug2026-COLLECTION'!K35</f>
        <v/>
      </c>
      <c r="H34" s="46">
        <f>'Sep2026-COLLECTION'!K35</f>
        <v/>
      </c>
      <c r="I34" s="46">
        <f>'Oct2026-COLLECTION'!K35</f>
        <v/>
      </c>
      <c r="J34" s="46">
        <f>'Nov2026-COLLECTION'!K35</f>
        <v/>
      </c>
      <c r="K34" s="46">
        <f>'Dec2026-COLLECTION'!K35</f>
        <v/>
      </c>
      <c r="L34" s="46">
        <f>'Jan2027-COLLECTION'!K35</f>
        <v/>
      </c>
      <c r="M34" s="40">
        <f>'Feb2027-COLLECTION'!K35</f>
        <v/>
      </c>
      <c r="N34" s="46">
        <f>'Mar2027-COLLECTION'!K35</f>
        <v/>
      </c>
      <c r="O34" s="184">
        <f>SUM(C34:N34)</f>
        <v/>
      </c>
      <c r="P34" s="46">
        <f>O34-Expense!O34</f>
        <v/>
      </c>
    </row>
    <row r="35">
      <c r="A35" s="40" t="n"/>
      <c r="B35" s="169" t="n"/>
      <c r="D35" s="40">
        <f>'May2026-COLLECTION'!K36</f>
        <v/>
      </c>
      <c r="E35" s="40">
        <f>'June2026-COLLECTION'!K36</f>
        <v/>
      </c>
      <c r="F35" s="40">
        <f>'July2026-COLLECTION'!K36</f>
        <v/>
      </c>
      <c r="G35" s="40">
        <f>'Aug2026-COLLECTION'!K36</f>
        <v/>
      </c>
      <c r="H35" s="40">
        <f>'Sep2026-COLLECTION'!K36</f>
        <v/>
      </c>
      <c r="I35" s="46">
        <f>'Oct2026-COLLECTION'!K36</f>
        <v/>
      </c>
      <c r="J35" s="40">
        <f>'Nov2026-COLLECTION'!K36</f>
        <v/>
      </c>
      <c r="K35" s="40">
        <f>'Dec2026-COLLECTION'!K36</f>
        <v/>
      </c>
      <c r="L35" s="40">
        <f>'Jan2027-COLLECTION'!K36</f>
        <v/>
      </c>
      <c r="M35" s="40">
        <f>'Feb2027-COLLECTION'!K36</f>
        <v/>
      </c>
      <c r="N35" s="40">
        <f>'Mar2027-COLLECTION'!K36</f>
        <v/>
      </c>
      <c r="O35" s="184">
        <f>SUM(C35:N35)</f>
        <v/>
      </c>
      <c r="P35" s="46">
        <f>O35-Expense!O35</f>
        <v/>
      </c>
    </row>
    <row r="36">
      <c r="A36" s="40" t="n"/>
      <c r="B36" s="169" t="n"/>
      <c r="D36" s="46">
        <f>'May2026-COLLECTION'!K37</f>
        <v/>
      </c>
      <c r="E36" s="46">
        <f>'June2026-COLLECTION'!K37</f>
        <v/>
      </c>
      <c r="F36" s="46">
        <f>'July2026-COLLECTION'!K37</f>
        <v/>
      </c>
      <c r="G36" s="46">
        <f>'Aug2026-COLLECTION'!K37</f>
        <v/>
      </c>
      <c r="H36" s="46">
        <f>'Sep2026-COLLECTION'!K37</f>
        <v/>
      </c>
      <c r="I36" s="46">
        <f>'Oct2026-COLLECTION'!K37</f>
        <v/>
      </c>
      <c r="J36" s="46">
        <f>'Nov2026-COLLECTION'!K37</f>
        <v/>
      </c>
      <c r="K36" s="46">
        <f>'Dec2026-COLLECTION'!K37</f>
        <v/>
      </c>
      <c r="L36" s="46">
        <f>'Jan2027-COLLECTION'!K37</f>
        <v/>
      </c>
      <c r="M36" s="46">
        <f>'Feb2027-COLLECTION'!K37</f>
        <v/>
      </c>
      <c r="N36" s="40">
        <f>'Mar2027-COLLECTION'!K37</f>
        <v/>
      </c>
      <c r="O36" s="184">
        <f>SUM(C36:N36)</f>
        <v/>
      </c>
      <c r="P36" s="46">
        <f>O36-Expense!O36</f>
        <v/>
      </c>
    </row>
    <row r="37">
      <c r="A37" s="40">
        <f>IFERROR(__xludf.DUMMYFUNCTION("""COMPUTED_VALUE"""),6000)</f>
        <v/>
      </c>
      <c r="B37" s="169" t="n"/>
      <c r="D37" s="40">
        <f>'May2026-COLLECTION'!K38</f>
        <v/>
      </c>
      <c r="E37" s="40">
        <f>'June2026-COLLECTION'!K38</f>
        <v/>
      </c>
      <c r="F37" s="40">
        <f>'July2026-COLLECTION'!K38</f>
        <v/>
      </c>
      <c r="G37" s="40">
        <f>'Aug2026-COLLECTION'!K38</f>
        <v/>
      </c>
      <c r="H37" s="40">
        <f>'Sep2026-COLLECTION'!K38</f>
        <v/>
      </c>
      <c r="I37" s="46">
        <f>'Oct2026-COLLECTION'!K38</f>
        <v/>
      </c>
      <c r="J37" s="40">
        <f>'Nov2026-COLLECTION'!K38</f>
        <v/>
      </c>
      <c r="K37" s="40">
        <f>'Dec2026-COLLECTION'!K38</f>
        <v/>
      </c>
      <c r="L37" s="40">
        <f>'Jan2027-COLLECTION'!K38</f>
        <v/>
      </c>
      <c r="M37" s="40">
        <f>'Feb2027-COLLECTION'!K38</f>
        <v/>
      </c>
      <c r="N37" s="40">
        <f>'Mar2027-COLLECTION'!K38</f>
        <v/>
      </c>
      <c r="O37" s="184">
        <f>SUM(C37:N37)</f>
        <v/>
      </c>
      <c r="P37" s="46">
        <f>O37-Expense!O37</f>
        <v/>
      </c>
    </row>
    <row r="38">
      <c r="A38" s="40">
        <f>IFERROR(__xludf.DUMMYFUNCTION("""COMPUTED_VALUE"""),6000)</f>
        <v/>
      </c>
      <c r="B38" s="169" t="n"/>
      <c r="D38" s="40">
        <f>'May2026-COLLECTION'!K39</f>
        <v/>
      </c>
      <c r="E38" s="40">
        <f>'June2026-COLLECTION'!K39</f>
        <v/>
      </c>
      <c r="F38" s="40">
        <f>'July2026-COLLECTION'!K39</f>
        <v/>
      </c>
      <c r="G38" s="40">
        <f>'Aug2026-COLLECTION'!K39</f>
        <v/>
      </c>
      <c r="H38" s="40">
        <f>'Sep2026-COLLECTION'!K39</f>
        <v/>
      </c>
      <c r="I38" s="40">
        <f>'Oct2026-COLLECTION'!K39</f>
        <v/>
      </c>
      <c r="J38" s="40">
        <f>'Nov2026-COLLECTION'!K39</f>
        <v/>
      </c>
      <c r="K38" s="40">
        <f>'Dec2026-COLLECTION'!K39</f>
        <v/>
      </c>
      <c r="L38" s="40">
        <f>'Jan2027-COLLECTION'!K39</f>
        <v/>
      </c>
      <c r="M38" s="40">
        <f>'Feb2027-COLLECTION'!K39</f>
        <v/>
      </c>
      <c r="N38" s="40">
        <f>'Mar2027-COLLECTION'!K39</f>
        <v/>
      </c>
      <c r="O38" s="184">
        <f>SUM(C38:N38)</f>
        <v/>
      </c>
      <c r="P38" s="46">
        <f>O38-Expense!O38</f>
        <v/>
      </c>
    </row>
    <row r="39">
      <c r="A39" s="40">
        <f>IFERROR(__xludf.DUMMYFUNCTION("""COMPUTED_VALUE"""),6000)</f>
        <v/>
      </c>
      <c r="B39" s="169" t="n"/>
      <c r="D39" s="46">
        <f>'May2026-COLLECTION'!K40</f>
        <v/>
      </c>
      <c r="E39" s="46">
        <f>'June2026-COLLECTION'!K40</f>
        <v/>
      </c>
      <c r="F39" s="46">
        <f>'July2026-COLLECTION'!K40</f>
        <v/>
      </c>
      <c r="G39" s="46">
        <f>'Aug2026-COLLECTION'!K40</f>
        <v/>
      </c>
      <c r="H39" s="46">
        <f>'Sep2026-COLLECTION'!K40</f>
        <v/>
      </c>
      <c r="I39" s="46">
        <f>'Oct2026-COLLECTION'!K40</f>
        <v/>
      </c>
      <c r="J39" s="40">
        <f>'Nov2026-COLLECTION'!K40</f>
        <v/>
      </c>
      <c r="K39" s="46">
        <f>'Dec2026-COLLECTION'!K40</f>
        <v/>
      </c>
      <c r="L39" s="46">
        <f>'Jan2027-COLLECTION'!K40</f>
        <v/>
      </c>
      <c r="M39" s="46">
        <f>'Feb2027-COLLECTION'!K40</f>
        <v/>
      </c>
      <c r="N39" s="40">
        <f>'Mar2027-COLLECTION'!K40</f>
        <v/>
      </c>
      <c r="O39" s="184">
        <f>SUM(C39:N39)</f>
        <v/>
      </c>
      <c r="P39" s="46">
        <f>O39-Expense!O39</f>
        <v/>
      </c>
    </row>
    <row r="40">
      <c r="A40" s="40">
        <f>IFERROR(__xludf.DUMMYFUNCTION("""COMPUTED_VALUE"""),6000)</f>
        <v/>
      </c>
      <c r="B40" s="169" t="n"/>
      <c r="D40" s="46">
        <f>'May2026-COLLECTION'!K41</f>
        <v/>
      </c>
      <c r="E40" s="46">
        <f>'June2026-COLLECTION'!K41</f>
        <v/>
      </c>
      <c r="F40" s="46">
        <f>'July2026-COLLECTION'!K41</f>
        <v/>
      </c>
      <c r="G40" s="46">
        <f>'Aug2026-COLLECTION'!K41</f>
        <v/>
      </c>
      <c r="H40" s="46">
        <f>'Sep2026-COLLECTION'!K41</f>
        <v/>
      </c>
      <c r="I40" s="46">
        <f>'Oct2026-COLLECTION'!K41</f>
        <v/>
      </c>
      <c r="J40" s="46">
        <f>'Nov2026-COLLECTION'!K41</f>
        <v/>
      </c>
      <c r="K40" s="46">
        <f>'Dec2026-COLLECTION'!K41</f>
        <v/>
      </c>
      <c r="L40" s="46">
        <f>'Jan2027-COLLECTION'!K41</f>
        <v/>
      </c>
      <c r="M40" s="46">
        <f>'Feb2027-COLLECTION'!K41</f>
        <v/>
      </c>
      <c r="N40" s="40">
        <f>'Mar2027-COLLECTION'!K41</f>
        <v/>
      </c>
      <c r="O40" s="184">
        <f>SUM(C40:N40)</f>
        <v/>
      </c>
      <c r="P40" s="46">
        <f>O40-Expense!O40</f>
        <v/>
      </c>
    </row>
    <row r="41">
      <c r="A41" s="40">
        <f>IFERROR(__xludf.DUMMYFUNCTION("""COMPUTED_VALUE"""),6000)</f>
        <v/>
      </c>
      <c r="B41" s="169" t="n"/>
      <c r="D41" s="46">
        <f>'May2026-COLLECTION'!K42</f>
        <v/>
      </c>
      <c r="E41" s="46">
        <f>'June2026-COLLECTION'!K42</f>
        <v/>
      </c>
      <c r="F41" s="46">
        <f>'July2026-COLLECTION'!K42</f>
        <v/>
      </c>
      <c r="G41" s="46">
        <f>'Aug2026-COLLECTION'!K42</f>
        <v/>
      </c>
      <c r="H41" s="46">
        <f>'Sep2026-COLLECTION'!K42</f>
        <v/>
      </c>
      <c r="I41" s="46">
        <f>'Oct2026-COLLECTION'!K42</f>
        <v/>
      </c>
      <c r="J41" s="46">
        <f>'Nov2026-COLLECTION'!K42</f>
        <v/>
      </c>
      <c r="K41" s="46">
        <f>'Dec2026-COLLECTION'!K42</f>
        <v/>
      </c>
      <c r="L41" s="46">
        <f>'Jan2027-COLLECTION'!K42</f>
        <v/>
      </c>
      <c r="M41" s="46">
        <f>'Feb2027-COLLECTION'!K42</f>
        <v/>
      </c>
      <c r="N41" s="40">
        <f>'Mar2027-COLLECTION'!K42</f>
        <v/>
      </c>
      <c r="O41" s="184">
        <f>SUM(C41:N41)</f>
        <v/>
      </c>
      <c r="P41" s="46">
        <f>O41-Expense!O41</f>
        <v/>
      </c>
    </row>
    <row r="42">
      <c r="A42" s="40">
        <f>IFERROR(__xludf.DUMMYFUNCTION("""COMPUTED_VALUE"""),6000)</f>
        <v/>
      </c>
      <c r="B42" s="169" t="n"/>
      <c r="D42" s="46">
        <f>'May2026-COLLECTION'!K43</f>
        <v/>
      </c>
      <c r="E42" s="46">
        <f>'June2026-COLLECTION'!K43</f>
        <v/>
      </c>
      <c r="F42" s="46">
        <f>'July2026-COLLECTION'!K43</f>
        <v/>
      </c>
      <c r="G42" s="46">
        <f>'Aug2026-COLLECTION'!K43</f>
        <v/>
      </c>
      <c r="H42" s="46">
        <f>'Sep2026-COLLECTION'!K43</f>
        <v/>
      </c>
      <c r="I42" s="46">
        <f>'Oct2026-COLLECTION'!K43</f>
        <v/>
      </c>
      <c r="J42" s="46">
        <f>'Nov2026-COLLECTION'!K43</f>
        <v/>
      </c>
      <c r="K42" s="46">
        <f>'Dec2026-COLLECTION'!K43</f>
        <v/>
      </c>
      <c r="L42" s="46">
        <f>'Jan2027-COLLECTION'!K43</f>
        <v/>
      </c>
      <c r="M42" s="46">
        <f>'Feb2027-COLLECTION'!K43</f>
        <v/>
      </c>
      <c r="N42" s="40">
        <f>'Mar2027-COLLECTION'!K43</f>
        <v/>
      </c>
      <c r="O42" s="184">
        <f>SUM(C42:N42)</f>
        <v/>
      </c>
      <c r="P42" s="46">
        <f>O42-Expense!O42</f>
        <v/>
      </c>
    </row>
    <row r="43">
      <c r="A43" s="46">
        <f>IFERROR(__xludf.DUMMYFUNCTION("""COMPUTED_VALUE"""),6000)</f>
        <v/>
      </c>
      <c r="B43" s="169" t="n"/>
      <c r="D43" s="40">
        <f>'May2026-COLLECTION'!K44</f>
        <v/>
      </c>
      <c r="E43" s="40">
        <f>'June2026-COLLECTION'!K44</f>
        <v/>
      </c>
      <c r="F43" s="40">
        <f>'July2026-COLLECTION'!K44</f>
        <v/>
      </c>
      <c r="G43" s="40">
        <f>'Aug2026-COLLECTION'!K44</f>
        <v/>
      </c>
      <c r="H43" s="40">
        <f>'Sep2026-COLLECTION'!K44</f>
        <v/>
      </c>
      <c r="I43" s="46">
        <f>'Oct2026-COLLECTION'!K44</f>
        <v/>
      </c>
      <c r="J43" s="40">
        <f>'Nov2026-COLLECTION'!K44</f>
        <v/>
      </c>
      <c r="K43" s="40">
        <f>'Dec2026-COLLECTION'!K44</f>
        <v/>
      </c>
      <c r="L43" s="40">
        <f>'Jan2027-COLLECTION'!K44</f>
        <v/>
      </c>
      <c r="M43" s="40">
        <f>'Feb2027-COLLECTION'!K44</f>
        <v/>
      </c>
      <c r="N43" s="40">
        <f>'Mar2027-COLLECTION'!K44</f>
        <v/>
      </c>
      <c r="O43" s="184">
        <f>SUM(C43:N43)</f>
        <v/>
      </c>
      <c r="P43" s="46">
        <f>O43-Expense!O43</f>
        <v/>
      </c>
    </row>
    <row r="44">
      <c r="A44" s="40">
        <f>IFERROR(__xludf.DUMMYFUNCTION("""COMPUTED_VALUE"""),6000)</f>
        <v/>
      </c>
      <c r="B44" s="169" t="n"/>
      <c r="D44" s="46">
        <f>'May2026-COLLECTION'!K45</f>
        <v/>
      </c>
      <c r="E44" s="46">
        <f>'June2026-COLLECTION'!K45</f>
        <v/>
      </c>
      <c r="F44" s="46">
        <f>'July2026-COLLECTION'!K45</f>
        <v/>
      </c>
      <c r="G44" s="46">
        <f>'Aug2026-COLLECTION'!K45</f>
        <v/>
      </c>
      <c r="H44" s="46">
        <f>'Sep2026-COLLECTION'!K45</f>
        <v/>
      </c>
      <c r="I44" s="46">
        <f>'Oct2026-COLLECTION'!K45</f>
        <v/>
      </c>
      <c r="J44" s="46">
        <f>'Nov2026-COLLECTION'!K45</f>
        <v/>
      </c>
      <c r="K44" s="46">
        <f>'Dec2026-COLLECTION'!K45</f>
        <v/>
      </c>
      <c r="L44" s="46">
        <f>'Jan2027-COLLECTION'!K45</f>
        <v/>
      </c>
      <c r="M44" s="46">
        <f>'Feb2027-COLLECTION'!K45</f>
        <v/>
      </c>
      <c r="N44" s="40">
        <f>'Mar2027-COLLECTION'!K45</f>
        <v/>
      </c>
      <c r="O44" s="184">
        <f>SUM(C44:N44)</f>
        <v/>
      </c>
      <c r="P44" s="46">
        <f>O44-Expense!O44</f>
        <v/>
      </c>
    </row>
    <row r="45">
      <c r="A45" s="40">
        <f>IFERROR(__xludf.DUMMYFUNCTION("""COMPUTED_VALUE"""),6000)</f>
        <v/>
      </c>
      <c r="B45" s="169" t="n"/>
      <c r="D45" s="40">
        <f>'May2026-COLLECTION'!K46</f>
        <v/>
      </c>
      <c r="E45" s="40">
        <f>'June2026-COLLECTION'!K46</f>
        <v/>
      </c>
      <c r="F45" s="40">
        <f>'July2026-COLLECTION'!K46</f>
        <v/>
      </c>
      <c r="G45" s="40">
        <f>'Aug2026-COLLECTION'!K46</f>
        <v/>
      </c>
      <c r="H45" s="40">
        <f>'Sep2026-COLLECTION'!K46</f>
        <v/>
      </c>
      <c r="I45" s="46">
        <f>'Oct2026-COLLECTION'!K46</f>
        <v/>
      </c>
      <c r="J45" s="40">
        <f>'Nov2026-COLLECTION'!K46</f>
        <v/>
      </c>
      <c r="K45" s="40">
        <f>'Dec2026-COLLECTION'!K46</f>
        <v/>
      </c>
      <c r="L45" s="40">
        <f>'Jan2027-COLLECTION'!K46</f>
        <v/>
      </c>
      <c r="M45" s="40">
        <f>'Feb2027-COLLECTION'!K46</f>
        <v/>
      </c>
      <c r="N45" s="40">
        <f>'Mar2027-COLLECTION'!K46</f>
        <v/>
      </c>
      <c r="O45" s="184">
        <f>SUM(C45:N45)</f>
        <v/>
      </c>
      <c r="P45" s="46">
        <f>O45-Expense!O45</f>
        <v/>
      </c>
    </row>
    <row r="46">
      <c r="A46" s="40">
        <f>IFERROR(__xludf.DUMMYFUNCTION("""COMPUTED_VALUE"""),6000)</f>
        <v/>
      </c>
      <c r="B46" s="169" t="n"/>
      <c r="D46" s="40">
        <f>'May2026-COLLECTION'!K47</f>
        <v/>
      </c>
      <c r="E46" s="40">
        <f>'June2026-COLLECTION'!K47</f>
        <v/>
      </c>
      <c r="F46" s="40">
        <f>'July2026-COLLECTION'!K47</f>
        <v/>
      </c>
      <c r="G46" s="40">
        <f>'Aug2026-COLLECTION'!K47</f>
        <v/>
      </c>
      <c r="H46" s="40">
        <f>'Sep2026-COLLECTION'!K47</f>
        <v/>
      </c>
      <c r="I46" s="40">
        <f>'Oct2026-COLLECTION'!K47</f>
        <v/>
      </c>
      <c r="J46" s="40">
        <f>'Nov2026-COLLECTION'!K47</f>
        <v/>
      </c>
      <c r="K46" s="40">
        <f>'Dec2026-COLLECTION'!K47</f>
        <v/>
      </c>
      <c r="L46" s="40">
        <f>'Jan2027-COLLECTION'!K47</f>
        <v/>
      </c>
      <c r="M46" s="40">
        <f>'Feb2027-COLLECTION'!K47</f>
        <v/>
      </c>
      <c r="N46" s="40">
        <f>'Mar2027-COLLECTION'!K47</f>
        <v/>
      </c>
      <c r="O46" s="184">
        <f>SUM(C46:N46)</f>
        <v/>
      </c>
      <c r="P46" s="46">
        <f>O46-Expense!O46</f>
        <v/>
      </c>
    </row>
    <row r="47">
      <c r="A47" s="46">
        <f>IFERROR(__xludf.DUMMYFUNCTION("""COMPUTED_VALUE"""),6000)</f>
        <v/>
      </c>
      <c r="B47" s="169" t="n"/>
      <c r="D47" s="46">
        <f>'May2026-COLLECTION'!K48</f>
        <v/>
      </c>
      <c r="E47" s="46">
        <f>'June2026-COLLECTION'!K48</f>
        <v/>
      </c>
      <c r="F47" s="46">
        <f>'July2026-COLLECTION'!K48</f>
        <v/>
      </c>
      <c r="G47" s="46">
        <f>'Aug2026-COLLECTION'!K48</f>
        <v/>
      </c>
      <c r="H47" s="46">
        <f>'Sep2026-COLLECTION'!K48</f>
        <v/>
      </c>
      <c r="I47" s="46">
        <f>'Oct2026-COLLECTION'!K48</f>
        <v/>
      </c>
      <c r="J47" s="40">
        <f>'Nov2026-COLLECTION'!K48</f>
        <v/>
      </c>
      <c r="K47" s="46">
        <f>'Dec2026-COLLECTION'!K48</f>
        <v/>
      </c>
      <c r="L47" s="46">
        <f>'Jan2027-COLLECTION'!K48</f>
        <v/>
      </c>
      <c r="M47" s="40">
        <f>'Feb2027-COLLECTION'!K48</f>
        <v/>
      </c>
      <c r="N47" s="46">
        <f>'Mar2027-COLLECTION'!K48</f>
        <v/>
      </c>
      <c r="O47" s="184">
        <f>SUM(C47:N47)</f>
        <v/>
      </c>
      <c r="P47" s="46">
        <f>O47-Expense!O47</f>
        <v/>
      </c>
    </row>
    <row r="48">
      <c r="A48" s="40">
        <f>IFERROR(__xludf.DUMMYFUNCTION("""COMPUTED_VALUE"""),66000)</f>
        <v/>
      </c>
      <c r="B48" s="169" t="n"/>
      <c r="D48" s="40">
        <f>'May2026-COLLECTION'!K49</f>
        <v/>
      </c>
      <c r="E48" s="40">
        <f>'June2026-COLLECTION'!K49</f>
        <v/>
      </c>
      <c r="F48" s="40">
        <f>'July2026-COLLECTION'!K49</f>
        <v/>
      </c>
      <c r="G48" s="40">
        <f>'Aug2026-COLLECTION'!K49</f>
        <v/>
      </c>
      <c r="H48" s="40">
        <f>'Sep2026-COLLECTION'!K49</f>
        <v/>
      </c>
      <c r="I48" s="46">
        <f>'Oct2026-COLLECTION'!K49</f>
        <v/>
      </c>
      <c r="J48" s="40">
        <f>'Nov2026-COLLECTION'!K49</f>
        <v/>
      </c>
      <c r="K48" s="40">
        <f>'Dec2026-COLLECTION'!K49</f>
        <v/>
      </c>
      <c r="L48" s="40">
        <f>'Jan2027-COLLECTION'!K49</f>
        <v/>
      </c>
      <c r="M48" s="40">
        <f>'Feb2027-COLLECTION'!K49</f>
        <v/>
      </c>
      <c r="N48" s="40">
        <f>'Mar2027-COLLECTION'!K49</f>
        <v/>
      </c>
      <c r="O48" s="184">
        <f>SUM(C48:N48)</f>
        <v/>
      </c>
      <c r="P48" s="46">
        <f>O48-Expense!O48</f>
        <v/>
      </c>
    </row>
    <row r="49">
      <c r="A49" s="46">
        <f>IFERROR(__xludf.DUMMYFUNCTION("""COMPUTED_VALUE"""),-18954.2588210155)</f>
        <v/>
      </c>
      <c r="B49" s="169" t="n"/>
      <c r="D49" s="40">
        <f>'May2026-COLLECTION'!K50</f>
        <v/>
      </c>
      <c r="E49" s="40">
        <f>'June2026-COLLECTION'!K50</f>
        <v/>
      </c>
      <c r="F49" s="40">
        <f>'July2026-COLLECTION'!K50</f>
        <v/>
      </c>
      <c r="G49" s="40">
        <f>'Aug2026-COLLECTION'!K50</f>
        <v/>
      </c>
      <c r="H49" s="40">
        <f>'Sep2026-COLLECTION'!K50</f>
        <v/>
      </c>
      <c r="I49" s="46">
        <f>'Oct2026-COLLECTION'!K50</f>
        <v/>
      </c>
      <c r="J49" s="40">
        <f>'Nov2026-COLLECTION'!K50</f>
        <v/>
      </c>
      <c r="K49" s="40">
        <f>'Dec2026-COLLECTION'!K50</f>
        <v/>
      </c>
      <c r="L49" s="40">
        <f>'Jan2027-COLLECTION'!K50</f>
        <v/>
      </c>
      <c r="M49" s="40">
        <f>'Feb2027-COLLECTION'!K50</f>
        <v/>
      </c>
      <c r="N49" s="40">
        <f>'Mar2027-COLLECTION'!K50</f>
        <v/>
      </c>
      <c r="O49" s="184">
        <f>SUM(C49:N49)</f>
        <v/>
      </c>
      <c r="P49" s="46">
        <f>O49-Expense!O49</f>
        <v/>
      </c>
    </row>
    <row r="50">
      <c r="A50" s="40" t="n"/>
      <c r="B50" s="169" t="n"/>
      <c r="D50" s="46">
        <f>'May2026-COLLECTION'!K51</f>
        <v/>
      </c>
      <c r="E50" s="46">
        <f>'June2026-COLLECTION'!K51</f>
        <v/>
      </c>
      <c r="F50" s="46">
        <f>'July2026-COLLECTION'!K51</f>
        <v/>
      </c>
      <c r="G50" s="46">
        <f>'Aug2026-COLLECTION'!K51</f>
        <v/>
      </c>
      <c r="H50" s="46">
        <f>'Sep2026-COLLECTION'!K51</f>
        <v/>
      </c>
      <c r="I50" s="46">
        <f>'Oct2026-COLLECTION'!K51</f>
        <v/>
      </c>
      <c r="J50" s="40">
        <f>'Nov2026-COLLECTION'!K51</f>
        <v/>
      </c>
      <c r="K50" s="46">
        <f>'Dec2026-COLLECTION'!K51</f>
        <v/>
      </c>
      <c r="L50" s="46">
        <f>'Jan2027-COLLECTION'!K51</f>
        <v/>
      </c>
      <c r="M50" s="46">
        <f>'Feb2027-COLLECTION'!K51</f>
        <v/>
      </c>
      <c r="N50" s="40">
        <f>'Mar2027-COLLECTION'!K51</f>
        <v/>
      </c>
      <c r="O50" s="184">
        <f>SUM(C50:N50)</f>
        <v/>
      </c>
      <c r="P50" s="46">
        <f>O50-Expense!O50</f>
        <v/>
      </c>
    </row>
    <row r="51">
      <c r="A51" s="40" t="n"/>
      <c r="B51" s="169" t="n"/>
      <c r="D51" s="46">
        <f>'May2026-COLLECTION'!K52</f>
        <v/>
      </c>
      <c r="E51" s="46">
        <f>'June2026-COLLECTION'!K52</f>
        <v/>
      </c>
      <c r="F51" s="46">
        <f>'July2026-COLLECTION'!K52</f>
        <v/>
      </c>
      <c r="G51" s="46">
        <f>'Aug2026-COLLECTION'!K52</f>
        <v/>
      </c>
      <c r="H51" s="46">
        <f>'Sep2026-COLLECTION'!K52</f>
        <v/>
      </c>
      <c r="I51" s="46">
        <f>'Oct2026-COLLECTION'!K52</f>
        <v/>
      </c>
      <c r="J51" s="40">
        <f>'Nov2026-COLLECTION'!K52</f>
        <v/>
      </c>
      <c r="K51" s="46">
        <f>'Dec2026-COLLECTION'!K52</f>
        <v/>
      </c>
      <c r="L51" s="46">
        <f>'Jan2027-COLLECTION'!K52</f>
        <v/>
      </c>
      <c r="M51" s="46">
        <f>'Feb2027-COLLECTION'!K52</f>
        <v/>
      </c>
      <c r="N51" s="40">
        <f>'Mar2027-COLLECTION'!K52</f>
        <v/>
      </c>
      <c r="O51" s="184">
        <f>SUM(C51:N51)</f>
        <v/>
      </c>
      <c r="P51" s="46">
        <f>O51-Expense!O51</f>
        <v/>
      </c>
    </row>
    <row r="52">
      <c r="A52" s="40" t="n"/>
      <c r="B52" s="169" t="n"/>
      <c r="D52" s="46">
        <f>'May2026-COLLECTION'!K53</f>
        <v/>
      </c>
      <c r="E52" s="46">
        <f>'June2026-COLLECTION'!K53</f>
        <v/>
      </c>
      <c r="F52" s="46">
        <f>'July2026-COLLECTION'!K53</f>
        <v/>
      </c>
      <c r="G52" s="46">
        <f>'Aug2026-COLLECTION'!K53</f>
        <v/>
      </c>
      <c r="H52" s="46">
        <f>'Sep2026-COLLECTION'!K53</f>
        <v/>
      </c>
      <c r="I52" s="46">
        <f>'Oct2026-COLLECTION'!K53</f>
        <v/>
      </c>
      <c r="J52" s="46">
        <f>'Nov2026-COLLECTION'!K53</f>
        <v/>
      </c>
      <c r="K52" s="46">
        <f>'Dec2026-COLLECTION'!K53</f>
        <v/>
      </c>
      <c r="L52" s="46">
        <f>'Jan2027-COLLECTION'!K53</f>
        <v/>
      </c>
      <c r="M52" s="46">
        <f>'Feb2027-COLLECTION'!K53</f>
        <v/>
      </c>
      <c r="N52" s="40">
        <f>'Mar2027-COLLECTION'!K53</f>
        <v/>
      </c>
      <c r="O52" s="184">
        <f>SUM(C52:N52)</f>
        <v/>
      </c>
      <c r="P52" s="46">
        <f>O52-Expense!O52</f>
        <v/>
      </c>
    </row>
    <row r="53">
      <c r="A53" s="40" t="n"/>
      <c r="B53" s="169" t="n"/>
      <c r="D53" s="40">
        <f>'May2026-COLLECTION'!K54</f>
        <v/>
      </c>
      <c r="E53" s="40">
        <f>'June2026-COLLECTION'!K54</f>
        <v/>
      </c>
      <c r="F53" s="40">
        <f>'July2026-COLLECTION'!K54</f>
        <v/>
      </c>
      <c r="G53" s="40">
        <f>'Aug2026-COLLECTION'!K54</f>
        <v/>
      </c>
      <c r="H53" s="40">
        <f>'Sep2026-COLLECTION'!K54</f>
        <v/>
      </c>
      <c r="I53" s="46">
        <f>'Oct2026-COLLECTION'!K54</f>
        <v/>
      </c>
      <c r="J53" s="40">
        <f>'Nov2026-COLLECTION'!K54</f>
        <v/>
      </c>
      <c r="K53" s="40">
        <f>'Dec2026-COLLECTION'!K54</f>
        <v/>
      </c>
      <c r="L53" s="40">
        <f>'Jan2027-COLLECTION'!K54</f>
        <v/>
      </c>
      <c r="M53" s="40">
        <f>'Feb2027-COLLECTION'!K54</f>
        <v/>
      </c>
      <c r="N53" s="40">
        <f>'Mar2027-COLLECTION'!K54</f>
        <v/>
      </c>
      <c r="O53" s="184">
        <f>SUM(C53:N53)</f>
        <v/>
      </c>
      <c r="P53" s="46">
        <f>O53-Expense!O53</f>
        <v/>
      </c>
    </row>
    <row r="54">
      <c r="A54" s="46">
        <f>IFERROR(__xludf.DUMMYFUNCTION("""COMPUTED_VALUE"""),5710)</f>
        <v/>
      </c>
      <c r="B54" s="169" t="n"/>
      <c r="D54" s="46">
        <f>'May2026-COLLECTION'!K55</f>
        <v/>
      </c>
      <c r="E54" s="46">
        <f>'June2026-COLLECTION'!K55</f>
        <v/>
      </c>
      <c r="F54" s="46">
        <f>'July2026-COLLECTION'!K55</f>
        <v/>
      </c>
      <c r="G54" s="46">
        <f>'Aug2026-COLLECTION'!K55</f>
        <v/>
      </c>
      <c r="H54" s="46">
        <f>'Sep2026-COLLECTION'!K55</f>
        <v/>
      </c>
      <c r="I54" s="46">
        <f>'Oct2026-COLLECTION'!K55</f>
        <v/>
      </c>
      <c r="J54" s="46">
        <f>'Nov2026-COLLECTION'!K55</f>
        <v/>
      </c>
      <c r="K54" s="46">
        <f>'Dec2026-COLLECTION'!K55</f>
        <v/>
      </c>
      <c r="L54" s="46">
        <f>'Jan2027-COLLECTION'!K55</f>
        <v/>
      </c>
      <c r="M54" s="46">
        <f>'Feb2027-COLLECTION'!K55</f>
        <v/>
      </c>
      <c r="N54" s="40">
        <f>'Mar2027-COLLECTION'!K55</f>
        <v/>
      </c>
      <c r="O54" s="184">
        <f>SUM(C54:N54)</f>
        <v/>
      </c>
      <c r="P54" s="46">
        <f>O54-Expense!O54</f>
        <v/>
      </c>
    </row>
    <row r="55">
      <c r="A55" s="46">
        <f>IFERROR(__xludf.DUMMYFUNCTION("""COMPUTED_VALUE"""),4434)</f>
        <v/>
      </c>
      <c r="B55" s="169" t="n"/>
      <c r="D55" s="40">
        <f>'May2026-COLLECTION'!K56</f>
        <v/>
      </c>
      <c r="E55" s="40">
        <f>'June2026-COLLECTION'!K56</f>
        <v/>
      </c>
      <c r="F55" s="40">
        <f>'July2026-COLLECTION'!K56</f>
        <v/>
      </c>
      <c r="G55" s="40">
        <f>'Aug2026-COLLECTION'!K56</f>
        <v/>
      </c>
      <c r="H55" s="40">
        <f>'Sep2026-COLLECTION'!K56</f>
        <v/>
      </c>
      <c r="I55" s="40">
        <f>'Oct2026-COLLECTION'!K56</f>
        <v/>
      </c>
      <c r="J55" s="40">
        <f>'Nov2026-COLLECTION'!K56</f>
        <v/>
      </c>
      <c r="K55" s="40">
        <f>'Dec2026-COLLECTION'!K56</f>
        <v/>
      </c>
      <c r="L55" s="40">
        <f>'Jan2027-COLLECTION'!K56</f>
        <v/>
      </c>
      <c r="M55" s="40">
        <f>'Feb2027-COLLECTION'!K56</f>
        <v/>
      </c>
      <c r="N55" s="40">
        <f>'Mar2027-COLLECTION'!K56</f>
        <v/>
      </c>
      <c r="O55" s="184">
        <f>SUM(C55:N55)</f>
        <v/>
      </c>
      <c r="P55" s="46">
        <f>O55-Expense!O55</f>
        <v/>
      </c>
    </row>
    <row r="56">
      <c r="A56" s="46">
        <f>IFERROR(__xludf.DUMMYFUNCTION("""COMPUTED_VALUE"""),0)</f>
        <v/>
      </c>
      <c r="B56" s="169" t="n"/>
      <c r="D56" s="46">
        <f>'May2026-COLLECTION'!K57</f>
        <v/>
      </c>
      <c r="E56" s="46">
        <f>'June2026-COLLECTION'!K57</f>
        <v/>
      </c>
      <c r="F56" s="46">
        <f>'July2026-COLLECTION'!K57</f>
        <v/>
      </c>
      <c r="G56" s="46">
        <f>'Aug2026-COLLECTION'!K57</f>
        <v/>
      </c>
      <c r="H56" s="46">
        <f>'Sep2026-COLLECTION'!K57</f>
        <v/>
      </c>
      <c r="I56" s="46">
        <f>'Oct2026-COLLECTION'!K57</f>
        <v/>
      </c>
      <c r="J56" s="40">
        <f>'Nov2026-COLLECTION'!K57</f>
        <v/>
      </c>
      <c r="K56" s="46">
        <f>'Dec2026-COLLECTION'!K57</f>
        <v/>
      </c>
      <c r="L56" s="46">
        <f>'Jan2027-COLLECTION'!K57</f>
        <v/>
      </c>
      <c r="M56" s="46">
        <f>'Feb2027-COLLECTION'!K57</f>
        <v/>
      </c>
      <c r="N56" s="40">
        <f>'Mar2027-COLLECTION'!K57</f>
        <v/>
      </c>
      <c r="O56" s="184">
        <f>SUM(C56:N56)</f>
        <v/>
      </c>
      <c r="P56" s="46">
        <f>O56-Expense!O56</f>
        <v/>
      </c>
    </row>
    <row r="57">
      <c r="A57" s="46">
        <f>IFERROR(__xludf.DUMMYFUNCTION("""COMPUTED_VALUE"""),5554)</f>
        <v/>
      </c>
      <c r="B57" s="169" t="n"/>
      <c r="D57" s="40">
        <f>'May2026-COLLECTION'!K58</f>
        <v/>
      </c>
      <c r="E57" s="40">
        <f>'June2026-COLLECTION'!K58</f>
        <v/>
      </c>
      <c r="F57" s="40">
        <f>'July2026-COLLECTION'!K58</f>
        <v/>
      </c>
      <c r="G57" s="40">
        <f>'Aug2026-COLLECTION'!K58</f>
        <v/>
      </c>
      <c r="H57" s="40">
        <f>'Sep2026-COLLECTION'!K58</f>
        <v/>
      </c>
      <c r="I57" s="46">
        <f>'Oct2026-COLLECTION'!K58</f>
        <v/>
      </c>
      <c r="J57" s="40">
        <f>'Nov2026-COLLECTION'!K58</f>
        <v/>
      </c>
      <c r="K57" s="40">
        <f>'Dec2026-COLLECTION'!K58</f>
        <v/>
      </c>
      <c r="L57" s="40">
        <f>'Jan2027-COLLECTION'!K58</f>
        <v/>
      </c>
      <c r="M57" s="40">
        <f>'Feb2027-COLLECTION'!K58</f>
        <v/>
      </c>
      <c r="N57" s="40">
        <f>'Mar2027-COLLECTION'!K58</f>
        <v/>
      </c>
      <c r="O57" s="184">
        <f>SUM(C57:N57)</f>
        <v/>
      </c>
      <c r="P57" s="46">
        <f>O57-Expense!O57</f>
        <v/>
      </c>
    </row>
    <row r="58">
      <c r="A58" s="46">
        <f>IFERROR(__xludf.DUMMYFUNCTION("""COMPUTED_VALUE"""),5554)</f>
        <v/>
      </c>
      <c r="B58" s="169" t="n"/>
      <c r="D58" s="46">
        <f>'May2026-COLLECTION'!K59</f>
        <v/>
      </c>
      <c r="E58" s="46">
        <f>'June2026-COLLECTION'!K59</f>
        <v/>
      </c>
      <c r="F58" s="46">
        <f>'July2026-COLLECTION'!K59</f>
        <v/>
      </c>
      <c r="G58" s="46">
        <f>'Aug2026-COLLECTION'!K59</f>
        <v/>
      </c>
      <c r="H58" s="46">
        <f>'Sep2026-COLLECTION'!K59</f>
        <v/>
      </c>
      <c r="I58" s="46">
        <f>'Oct2026-COLLECTION'!K59</f>
        <v/>
      </c>
      <c r="J58" s="46">
        <f>'Nov2026-COLLECTION'!K59</f>
        <v/>
      </c>
      <c r="K58" s="46">
        <f>'Dec2026-COLLECTION'!K59</f>
        <v/>
      </c>
      <c r="L58" s="46">
        <f>'Jan2027-COLLECTION'!K59</f>
        <v/>
      </c>
      <c r="M58" s="46">
        <f>'Feb2027-COLLECTION'!K59</f>
        <v/>
      </c>
      <c r="N58" s="40">
        <f>'Mar2027-COLLECTION'!K59</f>
        <v/>
      </c>
      <c r="O58" s="184">
        <f>SUM(C58:N58)</f>
        <v/>
      </c>
      <c r="P58" s="46">
        <f>O58-Expense!O58</f>
        <v/>
      </c>
    </row>
    <row r="59">
      <c r="A59" s="46">
        <f>IFERROR(__xludf.DUMMYFUNCTION("""COMPUTED_VALUE"""),5148)</f>
        <v/>
      </c>
      <c r="B59" s="169" t="n"/>
      <c r="D59" s="46">
        <f>'May2026-COLLECTION'!K60</f>
        <v/>
      </c>
      <c r="E59" s="46">
        <f>'June2026-COLLECTION'!K60</f>
        <v/>
      </c>
      <c r="F59" s="46">
        <f>'July2026-COLLECTION'!K60</f>
        <v/>
      </c>
      <c r="G59" s="46">
        <f>'Aug2026-COLLECTION'!K60</f>
        <v/>
      </c>
      <c r="H59" s="46">
        <f>'Sep2026-COLLECTION'!K60</f>
        <v/>
      </c>
      <c r="I59" s="46">
        <f>'Oct2026-COLLECTION'!K60</f>
        <v/>
      </c>
      <c r="J59" s="46">
        <f>'Nov2026-COLLECTION'!K60</f>
        <v/>
      </c>
      <c r="K59" s="46">
        <f>'Dec2026-COLLECTION'!K60</f>
        <v/>
      </c>
      <c r="L59" s="46">
        <f>'Jan2027-COLLECTION'!K60</f>
        <v/>
      </c>
      <c r="M59" s="46">
        <f>'Feb2027-COLLECTION'!K60</f>
        <v/>
      </c>
      <c r="N59" s="40">
        <f>'Mar2027-COLLECTION'!K60</f>
        <v/>
      </c>
      <c r="O59" s="184">
        <f>SUM(C59:N59)</f>
        <v/>
      </c>
      <c r="P59" s="46">
        <f>O59-Expense!O59</f>
        <v/>
      </c>
    </row>
    <row r="60">
      <c r="A60" s="46">
        <f>IFERROR(__xludf.DUMMYFUNCTION("""COMPUTED_VALUE"""),6231)</f>
        <v/>
      </c>
      <c r="B60" s="169" t="n"/>
      <c r="D60" s="46">
        <f>'May2026-COLLECTION'!K61</f>
        <v/>
      </c>
      <c r="E60" s="46">
        <f>'June2026-COLLECTION'!K61</f>
        <v/>
      </c>
      <c r="F60" s="46">
        <f>'July2026-COLLECTION'!K61</f>
        <v/>
      </c>
      <c r="G60" s="46">
        <f>'Aug2026-COLLECTION'!K61</f>
        <v/>
      </c>
      <c r="H60" s="46">
        <f>'Sep2026-COLLECTION'!K61</f>
        <v/>
      </c>
      <c r="I60" s="46">
        <f>'Oct2026-COLLECTION'!K61</f>
        <v/>
      </c>
      <c r="J60" s="46">
        <f>'Nov2026-COLLECTION'!K61</f>
        <v/>
      </c>
      <c r="K60" s="46">
        <f>'Dec2026-COLLECTION'!K61</f>
        <v/>
      </c>
      <c r="L60" s="46">
        <f>'Jan2027-COLLECTION'!K61</f>
        <v/>
      </c>
      <c r="M60" s="46">
        <f>'Feb2027-COLLECTION'!K61</f>
        <v/>
      </c>
      <c r="N60" s="40">
        <f>'Mar2027-COLLECTION'!K61</f>
        <v/>
      </c>
      <c r="O60" s="184">
        <f>SUM(C60:N60)</f>
        <v/>
      </c>
      <c r="P60" s="46">
        <f>O60-Expense!O60</f>
        <v/>
      </c>
    </row>
    <row r="61">
      <c r="A61" s="46">
        <f>IFERROR(__xludf.DUMMYFUNCTION("""COMPUTED_VALUE"""),7064)</f>
        <v/>
      </c>
      <c r="B61" s="169" t="n"/>
      <c r="D61" s="46">
        <f>'May2026-COLLECTION'!K62</f>
        <v/>
      </c>
      <c r="E61" s="40">
        <f>'June2026-COLLECTION'!K62</f>
        <v/>
      </c>
      <c r="F61" s="40">
        <f>'July2026-COLLECTION'!K62</f>
        <v/>
      </c>
      <c r="G61" s="40">
        <f>'Aug2026-COLLECTION'!K62</f>
        <v/>
      </c>
      <c r="H61" s="40">
        <f>'Sep2026-COLLECTION'!K62</f>
        <v/>
      </c>
      <c r="I61" s="40">
        <f>'Oct2026-COLLECTION'!K62</f>
        <v/>
      </c>
      <c r="J61" s="46">
        <f>'Nov2026-COLLECTION'!K62</f>
        <v/>
      </c>
      <c r="K61" s="40">
        <f>'Dec2026-COLLECTION'!K62</f>
        <v/>
      </c>
      <c r="L61" s="40">
        <f>'Jan2027-COLLECTION'!K62</f>
        <v/>
      </c>
      <c r="M61" s="40">
        <f>'Feb2027-COLLECTION'!K62</f>
        <v/>
      </c>
      <c r="N61" s="40">
        <f>'Mar2027-COLLECTION'!K62</f>
        <v/>
      </c>
      <c r="O61" s="184">
        <f>SUM(C61:N61)</f>
        <v/>
      </c>
      <c r="P61" s="46">
        <f>O61-Expense!O61</f>
        <v/>
      </c>
    </row>
    <row r="62">
      <c r="A62" s="46">
        <f>IFERROR(__xludf.DUMMYFUNCTION("""COMPUTED_VALUE"""),5264)</f>
        <v/>
      </c>
      <c r="B62" s="169" t="n"/>
      <c r="D62" s="46">
        <f>'May2026-COLLECTION'!K63</f>
        <v/>
      </c>
      <c r="E62" s="46">
        <f>'June2026-COLLECTION'!K63</f>
        <v/>
      </c>
      <c r="F62" s="46">
        <f>'July2026-COLLECTION'!K63</f>
        <v/>
      </c>
      <c r="G62" s="46">
        <f>'Aug2026-COLLECTION'!K63</f>
        <v/>
      </c>
      <c r="H62" s="46">
        <f>'Sep2026-COLLECTION'!K63</f>
        <v/>
      </c>
      <c r="I62" s="46">
        <f>'Oct2026-COLLECTION'!K63</f>
        <v/>
      </c>
      <c r="J62" s="46">
        <f>'Nov2026-COLLECTION'!K63</f>
        <v/>
      </c>
      <c r="K62" s="46">
        <f>'Dec2026-COLLECTION'!K63</f>
        <v/>
      </c>
      <c r="L62" s="46">
        <f>'Jan2027-COLLECTION'!K63</f>
        <v/>
      </c>
      <c r="M62" s="46">
        <f>'Feb2027-COLLECTION'!K63</f>
        <v/>
      </c>
      <c r="N62" s="40">
        <f>'Mar2027-COLLECTION'!K63</f>
        <v/>
      </c>
      <c r="O62" s="184">
        <f>SUM(C62:N62)</f>
        <v/>
      </c>
      <c r="P62" s="46">
        <f>O62-Expense!O62</f>
        <v/>
      </c>
    </row>
    <row r="63">
      <c r="A63" s="46">
        <f>IFERROR(__xludf.DUMMYFUNCTION("""COMPUTED_VALUE"""),5176)</f>
        <v/>
      </c>
      <c r="B63" s="169" t="n"/>
      <c r="D63" s="46">
        <f>'May2026-COLLECTION'!K64</f>
        <v/>
      </c>
      <c r="E63" s="46">
        <f>'June2026-COLLECTION'!K64</f>
        <v/>
      </c>
      <c r="F63" s="46">
        <f>'July2026-COLLECTION'!K64</f>
        <v/>
      </c>
      <c r="G63" s="46">
        <f>'Aug2026-COLLECTION'!K64</f>
        <v/>
      </c>
      <c r="H63" s="46">
        <f>'Sep2026-COLLECTION'!K64</f>
        <v/>
      </c>
      <c r="I63" s="46">
        <f>'Oct2026-COLLECTION'!K64</f>
        <v/>
      </c>
      <c r="J63" s="46">
        <f>'Nov2026-COLLECTION'!K64</f>
        <v/>
      </c>
      <c r="K63" s="46">
        <f>'Dec2026-COLLECTION'!K64</f>
        <v/>
      </c>
      <c r="L63" s="46">
        <f>'Jan2027-COLLECTION'!K64</f>
        <v/>
      </c>
      <c r="M63" s="46">
        <f>'Feb2027-COLLECTION'!K64</f>
        <v/>
      </c>
      <c r="N63" s="40">
        <f>'Mar2027-COLLECTION'!K64</f>
        <v/>
      </c>
      <c r="O63" s="184">
        <f>SUM(C63:N63)</f>
        <v/>
      </c>
      <c r="P63" s="46">
        <f>O63-Expense!O63</f>
        <v/>
      </c>
    </row>
    <row r="64">
      <c r="A64" s="40">
        <f>IFERROR(__xludf.DUMMYFUNCTION("""COMPUTED_VALUE"""),4925)</f>
        <v/>
      </c>
      <c r="B64" s="169" t="n"/>
      <c r="D64" s="40">
        <f>'May2026-COLLECTION'!K65</f>
        <v/>
      </c>
      <c r="E64" s="40">
        <f>'June2026-COLLECTION'!K65</f>
        <v/>
      </c>
      <c r="F64" s="40">
        <f>'July2026-COLLECTION'!K65</f>
        <v/>
      </c>
      <c r="G64" s="40">
        <f>'Aug2026-COLLECTION'!K65</f>
        <v/>
      </c>
      <c r="H64" s="40">
        <f>'Sep2026-COLLECTION'!K65</f>
        <v/>
      </c>
      <c r="I64" s="46">
        <f>'Oct2026-COLLECTION'!K65</f>
        <v/>
      </c>
      <c r="J64" s="46">
        <f>'Nov2026-COLLECTION'!K65</f>
        <v/>
      </c>
      <c r="K64" s="40">
        <f>'Dec2026-COLLECTION'!K65</f>
        <v/>
      </c>
      <c r="L64" s="40">
        <f>'Jan2027-COLLECTION'!K65</f>
        <v/>
      </c>
      <c r="M64" s="40">
        <f>'Feb2027-COLLECTION'!K65</f>
        <v/>
      </c>
      <c r="N64" s="40">
        <f>'Mar2027-COLLECTION'!K65</f>
        <v/>
      </c>
      <c r="O64" s="184">
        <f>SUM(C64:N64)</f>
        <v/>
      </c>
      <c r="P64" s="46">
        <f>O64-Expense!O64</f>
        <v/>
      </c>
    </row>
    <row r="65">
      <c r="A65" s="40">
        <f>IFERROR(__xludf.DUMMYFUNCTION("""COMPUTED_VALUE"""),55060)</f>
        <v/>
      </c>
      <c r="O65" s="184" t="n"/>
    </row>
    <row r="66">
      <c r="A66" s="46">
        <f>IFERROR(__xludf.DUMMYFUNCTION("""COMPUTED_VALUE"""),-10635.2218819063)</f>
        <v/>
      </c>
      <c r="D66" s="40">
        <f>'May2026-COLLECTION'!K67</f>
        <v/>
      </c>
      <c r="O66" s="184" t="n"/>
    </row>
    <row r="67">
      <c r="A67" s="40" t="n"/>
      <c r="O67" s="184" t="n"/>
    </row>
    <row r="68">
      <c r="A68" s="40" t="n"/>
      <c r="O68" s="184" t="n"/>
    </row>
    <row r="69">
      <c r="A69" s="40" t="n"/>
      <c r="O69" s="184" t="n"/>
    </row>
    <row r="70">
      <c r="A70" s="40" t="n"/>
      <c r="O70" s="184" t="n"/>
    </row>
    <row r="71">
      <c r="A71" s="40">
        <f>IFERROR(__xludf.DUMMYFUNCTION("""COMPUTED_VALUE"""),5354)</f>
        <v/>
      </c>
      <c r="O71" s="184" t="n"/>
    </row>
    <row r="72">
      <c r="A72" s="40">
        <f>IFERROR(__xludf.DUMMYFUNCTION("""COMPUTED_VALUE"""),8022)</f>
        <v/>
      </c>
      <c r="O72" s="184" t="n"/>
    </row>
    <row r="73">
      <c r="A73" s="40">
        <f>IFERROR(__xludf.DUMMYFUNCTION("""COMPUTED_VALUE"""),323)</f>
        <v/>
      </c>
      <c r="O73" s="184" t="n"/>
    </row>
    <row r="74">
      <c r="A74" s="40">
        <f>IFERROR(__xludf.DUMMYFUNCTION("""COMPUTED_VALUE"""),5172)</f>
        <v/>
      </c>
      <c r="O74" s="184" t="n"/>
    </row>
    <row r="75">
      <c r="A75" s="40">
        <f>IFERROR(__xludf.DUMMYFUNCTION("""COMPUTED_VALUE"""),7050)</f>
        <v/>
      </c>
      <c r="O75" s="184" t="n"/>
    </row>
    <row r="76">
      <c r="A76" s="46">
        <f>IFERROR(__xludf.DUMMYFUNCTION("""COMPUTED_VALUE"""),5209.99)</f>
        <v/>
      </c>
      <c r="O76" s="184" t="n"/>
    </row>
    <row r="77">
      <c r="A77" s="40">
        <f>IFERROR(__xludf.DUMMYFUNCTION("""COMPUTED_VALUE"""),6114)</f>
        <v/>
      </c>
      <c r="O77" s="184" t="n"/>
    </row>
    <row r="78">
      <c r="A78" s="40">
        <f>IFERROR(__xludf.DUMMYFUNCTION("""COMPUTED_VALUE"""),7069)</f>
        <v/>
      </c>
      <c r="O78" s="184" t="n"/>
    </row>
    <row r="79">
      <c r="A79" s="40">
        <f>IFERROR(__xludf.DUMMYFUNCTION("""COMPUTED_VALUE"""),5340.41)</f>
        <v/>
      </c>
      <c r="O79" s="184" t="n"/>
    </row>
    <row r="80">
      <c r="A80" s="40">
        <f>IFERROR(__xludf.DUMMYFUNCTION("""COMPUTED_VALUE"""),5161)</f>
        <v/>
      </c>
      <c r="O80" s="184" t="n"/>
    </row>
    <row r="81">
      <c r="A81" s="40">
        <f>IFERROR(__xludf.DUMMYFUNCTION("""COMPUTED_VALUE"""),4699)</f>
        <v/>
      </c>
      <c r="O81" s="184" t="n"/>
    </row>
    <row r="82">
      <c r="A82" s="40">
        <f>IFERROR(__xludf.DUMMYFUNCTION("""COMPUTED_VALUE"""),59514.3999999999)</f>
        <v/>
      </c>
      <c r="O82" s="184" t="n"/>
    </row>
    <row r="83">
      <c r="A83" s="46">
        <f>IFERROR(__xludf.DUMMYFUNCTION("""COMPUTED_VALUE"""),-5369.45415770929)</f>
        <v/>
      </c>
      <c r="O83" s="184" t="n"/>
    </row>
    <row r="84">
      <c r="A84" s="40" t="n"/>
      <c r="O84" s="184" t="n"/>
    </row>
    <row r="85">
      <c r="A85" s="40" t="n"/>
      <c r="O85" s="184" t="n"/>
    </row>
    <row r="86">
      <c r="A86" s="40" t="n"/>
      <c r="O86" s="184" t="n"/>
    </row>
    <row r="87">
      <c r="A87" s="40" t="n"/>
      <c r="O87" s="184" t="n"/>
    </row>
    <row r="88">
      <c r="A88" s="40">
        <f>IFERROR(__xludf.DUMMYFUNCTION("""COMPUTED_VALUE"""),5864)</f>
        <v/>
      </c>
      <c r="O88" s="184" t="n"/>
    </row>
    <row r="89">
      <c r="A89" s="40">
        <f>IFERROR(__xludf.DUMMYFUNCTION("""COMPUTED_VALUE"""),4331)</f>
        <v/>
      </c>
      <c r="O89" s="184" t="n"/>
    </row>
    <row r="90">
      <c r="A90" s="40">
        <f>IFERROR(__xludf.DUMMYFUNCTION("""COMPUTED_VALUE"""),1288)</f>
        <v/>
      </c>
      <c r="O90" s="184" t="n"/>
    </row>
    <row r="91">
      <c r="A91" s="40">
        <f>IFERROR(__xludf.DUMMYFUNCTION("""COMPUTED_VALUE"""),5465)</f>
        <v/>
      </c>
      <c r="O91" s="184" t="n"/>
    </row>
    <row r="92">
      <c r="A92" s="40">
        <f>IFERROR(__xludf.DUMMYFUNCTION("""COMPUTED_VALUE"""),0)</f>
        <v/>
      </c>
      <c r="O92" s="184" t="n"/>
    </row>
    <row r="93">
      <c r="A93" s="46">
        <f>IFERROR(__xludf.DUMMYFUNCTION("""COMPUTED_VALUE"""),5135)</f>
        <v/>
      </c>
      <c r="O93" s="184" t="n"/>
    </row>
    <row r="94">
      <c r="A94" s="40">
        <f>IFERROR(__xludf.DUMMYFUNCTION("""COMPUTED_VALUE"""),0)</f>
        <v/>
      </c>
      <c r="O94" s="184" t="n"/>
    </row>
    <row r="95">
      <c r="A95" s="40">
        <f>IFERROR(__xludf.DUMMYFUNCTION("""COMPUTED_VALUE"""),6114)</f>
        <v/>
      </c>
      <c r="O95" s="184" t="n"/>
    </row>
    <row r="96">
      <c r="A96" s="40">
        <f>IFERROR(__xludf.DUMMYFUNCTION("""COMPUTED_VALUE"""),12215.81)</f>
        <v/>
      </c>
      <c r="O96" s="184" t="n"/>
    </row>
    <row r="97">
      <c r="A97" s="40">
        <f>IFERROR(__xludf.DUMMYFUNCTION("""COMPUTED_VALUE"""),5101)</f>
        <v/>
      </c>
      <c r="O97" s="184" t="n"/>
    </row>
    <row r="98">
      <c r="A98" s="40">
        <f>IFERROR(__xludf.DUMMYFUNCTION("""COMPUTED_VALUE"""),0)</f>
        <v/>
      </c>
      <c r="O98" s="184" t="n"/>
    </row>
    <row r="99">
      <c r="A99" s="40">
        <f>IFERROR(__xludf.DUMMYFUNCTION("""COMPUTED_VALUE"""),45513.81)</f>
        <v/>
      </c>
      <c r="O99" s="184" t="n"/>
    </row>
    <row r="100">
      <c r="A100" s="46">
        <f>IFERROR(__xludf.DUMMYFUNCTION("""COMPUTED_VALUE"""),-19620.0167437126)</f>
        <v/>
      </c>
      <c r="O100" s="184" t="n"/>
    </row>
    <row r="101">
      <c r="A101" s="40" t="n"/>
      <c r="O101" s="184" t="n"/>
    </row>
    <row r="102">
      <c r="A102" s="40" t="n"/>
      <c r="O102" s="184" t="n"/>
    </row>
    <row r="103">
      <c r="A103" s="40" t="n"/>
      <c r="O103" s="184" t="n"/>
    </row>
    <row r="104">
      <c r="A104" s="40" t="n"/>
      <c r="O104" s="184" t="n"/>
    </row>
    <row r="105">
      <c r="A105" s="40">
        <f>IFERROR(__xludf.DUMMYFUNCTION("""COMPUTED_VALUE"""),11602)</f>
        <v/>
      </c>
      <c r="O105" s="184" t="n"/>
    </row>
    <row r="106">
      <c r="A106" s="40">
        <f>IFERROR(__xludf.DUMMYFUNCTION("""COMPUTED_VALUE"""),4800.17)</f>
        <v/>
      </c>
      <c r="O106" s="184" t="n"/>
    </row>
    <row r="107">
      <c r="A107" s="40">
        <f>IFERROR(__xludf.DUMMYFUNCTION("""COMPUTED_VALUE"""),5050.91)</f>
        <v/>
      </c>
      <c r="O107" s="184" t="n"/>
    </row>
    <row r="108">
      <c r="A108" s="40">
        <f>IFERROR(__xludf.DUMMYFUNCTION("""COMPUTED_VALUE"""),5938.62)</f>
        <v/>
      </c>
      <c r="O108" s="184" t="n"/>
    </row>
    <row r="109">
      <c r="A109" s="40">
        <f>IFERROR(__xludf.DUMMYFUNCTION("""COMPUTED_VALUE"""),5939)</f>
        <v/>
      </c>
      <c r="O109" s="184" t="n"/>
    </row>
    <row r="110">
      <c r="A110" s="40">
        <f>IFERROR(__xludf.DUMMYFUNCTION("""COMPUTED_VALUE"""),0)</f>
        <v/>
      </c>
      <c r="O110" s="184" t="n"/>
    </row>
    <row r="111">
      <c r="A111" s="46">
        <f>IFERROR(__xludf.DUMMYFUNCTION("""COMPUTED_VALUE"""),5505)</f>
        <v/>
      </c>
      <c r="O111" s="184" t="n"/>
    </row>
    <row r="112">
      <c r="A112" s="40">
        <f>IFERROR(__xludf.DUMMYFUNCTION("""COMPUTED_VALUE"""),7303)</f>
        <v/>
      </c>
      <c r="O112" s="184" t="n"/>
    </row>
    <row r="113">
      <c r="A113" s="40">
        <f>IFERROR(__xludf.DUMMYFUNCTION("""COMPUTED_VALUE"""),5551.92)</f>
        <v/>
      </c>
      <c r="O113" s="184" t="n"/>
    </row>
    <row r="114">
      <c r="A114" s="40">
        <f>IFERROR(__xludf.DUMMYFUNCTION("""COMPUTED_VALUE"""),0)</f>
        <v/>
      </c>
      <c r="O114" s="184" t="n"/>
    </row>
    <row r="115">
      <c r="A115" s="40">
        <f>IFERROR(__xludf.DUMMYFUNCTION("""COMPUTED_VALUE"""),10717)</f>
        <v/>
      </c>
      <c r="O115" s="184" t="n"/>
    </row>
    <row r="116">
      <c r="A116" s="40">
        <f>IFERROR(__xludf.DUMMYFUNCTION("""COMPUTED_VALUE"""),62407.6199999999)</f>
        <v/>
      </c>
      <c r="O116" s="184" t="n"/>
    </row>
    <row r="117">
      <c r="A117" s="46">
        <f>IFERROR(__xludf.DUMMYFUNCTION("""COMPUTED_VALUE"""),-7173.75509358693)</f>
        <v/>
      </c>
      <c r="O117" s="184" t="n"/>
    </row>
    <row r="118">
      <c r="A118" s="40" t="n"/>
      <c r="O118" s="184" t="n"/>
    </row>
    <row r="119">
      <c r="A119" s="40" t="n"/>
      <c r="O119" s="184" t="n"/>
    </row>
    <row r="120">
      <c r="A120" s="40" t="n"/>
      <c r="O120" s="184" t="n"/>
    </row>
    <row r="121">
      <c r="A121" s="40" t="n"/>
      <c r="O121" s="184" t="n"/>
    </row>
    <row r="122">
      <c r="A122" s="46">
        <f>IFERROR(__xludf.DUMMYFUNCTION("""COMPUTED_VALUE"""),5312)</f>
        <v/>
      </c>
      <c r="O122" s="184" t="n"/>
    </row>
    <row r="123">
      <c r="A123" s="46">
        <f>IFERROR(__xludf.DUMMYFUNCTION("""COMPUTED_VALUE"""),4044)</f>
        <v/>
      </c>
      <c r="O123" s="184" t="n"/>
    </row>
    <row r="124">
      <c r="A124" s="46">
        <f>IFERROR(__xludf.DUMMYFUNCTION("""COMPUTED_VALUE"""),4291)</f>
        <v/>
      </c>
      <c r="O124" s="184" t="n"/>
    </row>
    <row r="125">
      <c r="A125" s="46">
        <f>IFERROR(__xludf.DUMMYFUNCTION("""COMPUTED_VALUE"""),5121)</f>
        <v/>
      </c>
      <c r="O125" s="184" t="n"/>
    </row>
    <row r="126">
      <c r="A126" s="46">
        <f>IFERROR(__xludf.DUMMYFUNCTION("""COMPUTED_VALUE"""),5121)</f>
        <v/>
      </c>
      <c r="O126" s="184" t="n"/>
    </row>
    <row r="127">
      <c r="A127" s="46">
        <f>IFERROR(__xludf.DUMMYFUNCTION("""COMPUTED_VALUE"""),4769)</f>
        <v/>
      </c>
      <c r="O127" s="184" t="n"/>
    </row>
    <row r="128">
      <c r="A128" s="40">
        <f>IFERROR(__xludf.DUMMYFUNCTION("""COMPUTED_VALUE"""),6114)</f>
        <v/>
      </c>
      <c r="O128" s="184" t="n"/>
    </row>
    <row r="129">
      <c r="A129" s="46">
        <f>IFERROR(__xludf.DUMMYFUNCTION("""COMPUTED_VALUE"""),7529)</f>
        <v/>
      </c>
      <c r="O129" s="184" t="n"/>
    </row>
    <row r="130">
      <c r="A130" s="46">
        <f>IFERROR(__xludf.DUMMYFUNCTION("""COMPUTED_VALUE"""),6937)</f>
        <v/>
      </c>
      <c r="O130" s="184" t="n"/>
    </row>
    <row r="131">
      <c r="A131" s="46">
        <f>IFERROR(__xludf.DUMMYFUNCTION("""COMPUTED_VALUE"""),6153)</f>
        <v/>
      </c>
      <c r="O131" s="184" t="n"/>
    </row>
    <row r="132">
      <c r="A132" s="40">
        <f>IFERROR(__xludf.DUMMYFUNCTION("""COMPUTED_VALUE"""),6095)</f>
        <v/>
      </c>
      <c r="O132" s="184" t="n"/>
    </row>
    <row r="133">
      <c r="A133" s="40">
        <f>IFERROR(__xludf.DUMMYFUNCTION("""COMPUTED_VALUE"""),61486)</f>
        <v/>
      </c>
      <c r="O133" s="184" t="n"/>
    </row>
    <row r="134">
      <c r="A134" s="46">
        <f>IFERROR(__xludf.DUMMYFUNCTION("""COMPUTED_VALUE"""),-6568.49928710024)</f>
        <v/>
      </c>
      <c r="O134" s="184" t="n"/>
    </row>
    <row r="135">
      <c r="A135" s="40" t="n"/>
      <c r="O135" s="184" t="n"/>
    </row>
    <row r="136">
      <c r="A136" s="40" t="n"/>
      <c r="O136" s="184" t="n"/>
    </row>
    <row r="137">
      <c r="A137" s="40" t="n"/>
      <c r="O137" s="184" t="n"/>
    </row>
    <row r="138">
      <c r="A138" s="40" t="n"/>
      <c r="O138" s="184" t="n"/>
    </row>
    <row r="139">
      <c r="A139" s="46">
        <f>IFERROR(__xludf.DUMMYFUNCTION("""COMPUTED_VALUE"""),5516)</f>
        <v/>
      </c>
      <c r="O139" s="184" t="n"/>
    </row>
    <row r="140">
      <c r="A140" s="46">
        <f>IFERROR(__xludf.DUMMYFUNCTION("""COMPUTED_VALUE"""),4310)</f>
        <v/>
      </c>
      <c r="O140" s="184" t="n"/>
    </row>
    <row r="141">
      <c r="A141" s="46">
        <f>IFERROR(__xludf.DUMMYFUNCTION("""COMPUTED_VALUE"""),4567)</f>
        <v/>
      </c>
      <c r="O141" s="184" t="n"/>
    </row>
    <row r="142">
      <c r="A142" s="46">
        <f>IFERROR(__xludf.DUMMYFUNCTION("""COMPUTED_VALUE"""),5434)</f>
        <v/>
      </c>
      <c r="O142" s="184" t="n"/>
    </row>
    <row r="143">
      <c r="A143" s="46">
        <f>IFERROR(__xludf.DUMMYFUNCTION("""COMPUTED_VALUE"""),5434)</f>
        <v/>
      </c>
      <c r="O143" s="184" t="n"/>
    </row>
    <row r="144">
      <c r="A144" s="46">
        <f>IFERROR(__xludf.DUMMYFUNCTION("""COMPUTED_VALUE"""),5031)</f>
        <v/>
      </c>
      <c r="O144" s="184" t="n"/>
    </row>
    <row r="145">
      <c r="A145" s="40">
        <f>IFERROR(__xludf.DUMMYFUNCTION("""COMPUTED_VALUE"""),6231)</f>
        <v/>
      </c>
      <c r="O145" s="184" t="n"/>
    </row>
    <row r="146">
      <c r="A146" s="46">
        <f>IFERROR(__xludf.DUMMYFUNCTION("""COMPUTED_VALUE"""),6883)</f>
        <v/>
      </c>
      <c r="O146" s="184" t="n"/>
    </row>
    <row r="147">
      <c r="A147" s="46">
        <f>IFERROR(__xludf.DUMMYFUNCTION("""COMPUTED_VALUE"""),5090)</f>
        <v/>
      </c>
      <c r="O147" s="184" t="n"/>
    </row>
    <row r="148">
      <c r="A148" s="46">
        <f>IFERROR(__xludf.DUMMYFUNCTION("""COMPUTED_VALUE"""),5041)</f>
        <v/>
      </c>
      <c r="O148" s="184" t="n"/>
    </row>
    <row r="149">
      <c r="A149" s="40">
        <f>IFERROR(__xludf.DUMMYFUNCTION("""COMPUTED_VALUE"""),4824)</f>
        <v/>
      </c>
      <c r="O149" s="184" t="n"/>
    </row>
    <row r="150">
      <c r="A150" s="40">
        <f>IFERROR(__xludf.DUMMYFUNCTION("""COMPUTED_VALUE"""),58361)</f>
        <v/>
      </c>
      <c r="O150" s="184" t="n"/>
    </row>
    <row r="151">
      <c r="A151" s="46">
        <f>IFERROR(__xludf.DUMMYFUNCTION("""COMPUTED_VALUE"""),-5540.25759262442)</f>
        <v/>
      </c>
      <c r="O151" s="184" t="n"/>
    </row>
    <row r="152">
      <c r="A152" s="40" t="n"/>
      <c r="O152" s="184" t="n"/>
    </row>
    <row r="153">
      <c r="A153" s="40" t="n"/>
      <c r="O153" s="184" t="n"/>
    </row>
    <row r="154">
      <c r="A154" s="40" t="n"/>
      <c r="O154" s="184" t="n"/>
    </row>
    <row r="155">
      <c r="A155" s="40" t="n"/>
      <c r="O155" s="184" t="n"/>
    </row>
    <row r="156">
      <c r="A156" s="46">
        <f>IFERROR(__xludf.DUMMYFUNCTION("""COMPUTED_VALUE"""),5600)</f>
        <v/>
      </c>
      <c r="O156" s="184" t="n"/>
    </row>
    <row r="157">
      <c r="A157" s="46">
        <f>IFERROR(__xludf.DUMMYFUNCTION("""COMPUTED_VALUE"""),4246)</f>
        <v/>
      </c>
      <c r="O157" s="184" t="n"/>
    </row>
    <row r="158">
      <c r="A158" s="46">
        <f>IFERROR(__xludf.DUMMYFUNCTION("""COMPUTED_VALUE"""),4536)</f>
        <v/>
      </c>
      <c r="O158" s="184" t="n"/>
    </row>
    <row r="159">
      <c r="A159" s="46">
        <f>IFERROR(__xludf.DUMMYFUNCTION("""COMPUTED_VALUE"""),1057)</f>
        <v/>
      </c>
      <c r="O159" s="184" t="n"/>
    </row>
    <row r="160">
      <c r="A160" s="46">
        <f>IFERROR(__xludf.DUMMYFUNCTION("""COMPUTED_VALUE"""),0)</f>
        <v/>
      </c>
      <c r="O160" s="184" t="n"/>
    </row>
    <row r="161">
      <c r="A161" s="46">
        <f>IFERROR(__xludf.DUMMYFUNCTION("""COMPUTED_VALUE"""),5794)</f>
        <v/>
      </c>
      <c r="O161" s="184" t="n"/>
    </row>
    <row r="162">
      <c r="A162" s="40">
        <f>IFERROR(__xludf.DUMMYFUNCTION("""COMPUTED_VALUE"""),0)</f>
        <v/>
      </c>
      <c r="O162" s="184" t="n"/>
    </row>
    <row r="163">
      <c r="A163" s="46">
        <f>IFERROR(__xludf.DUMMYFUNCTION("""COMPUTED_VALUE"""),0)</f>
        <v/>
      </c>
      <c r="O163" s="184" t="n"/>
    </row>
    <row r="164">
      <c r="A164" s="46">
        <f>IFERROR(__xludf.DUMMYFUNCTION("""COMPUTED_VALUE"""),6114)</f>
        <v/>
      </c>
      <c r="O164" s="184" t="n"/>
    </row>
    <row r="165">
      <c r="A165" s="40">
        <f>IFERROR(__xludf.DUMMYFUNCTION("""COMPUTED_VALUE"""),0)</f>
        <v/>
      </c>
      <c r="O165" s="184" t="n"/>
    </row>
    <row r="166">
      <c r="A166" s="46">
        <f>IFERROR(__xludf.DUMMYFUNCTION("""COMPUTED_VALUE"""),5614)</f>
        <v/>
      </c>
      <c r="O166" s="184" t="n"/>
    </row>
    <row r="167">
      <c r="A167" s="40">
        <f>IFERROR(__xludf.DUMMYFUNCTION("""COMPUTED_VALUE"""),32961)</f>
        <v/>
      </c>
      <c r="O167" s="184" t="n"/>
    </row>
    <row r="168">
      <c r="A168" s="46">
        <f>IFERROR(__xludf.DUMMYFUNCTION("""COMPUTED_VALUE"""),-33136.5255948088)</f>
        <v/>
      </c>
      <c r="O168" s="184" t="n"/>
    </row>
    <row r="169">
      <c r="A169" s="40" t="n"/>
      <c r="O169" s="184" t="n"/>
    </row>
    <row r="170">
      <c r="A170" s="40" t="n"/>
      <c r="O170" s="184" t="n"/>
    </row>
    <row r="171">
      <c r="A171" s="40" t="n"/>
      <c r="O171" s="184" t="n"/>
    </row>
    <row r="172">
      <c r="A172" s="40" t="n"/>
      <c r="O172" s="184" t="n"/>
    </row>
    <row r="173">
      <c r="A173" s="46">
        <f>IFERROR(__xludf.DUMMYFUNCTION("""COMPUTED_VALUE"""),5340)</f>
        <v/>
      </c>
      <c r="O173" s="184" t="n"/>
    </row>
    <row r="174">
      <c r="A174" s="46">
        <f>IFERROR(__xludf.DUMMYFUNCTION("""COMPUTED_VALUE"""),4272)</f>
        <v/>
      </c>
      <c r="O174" s="184" t="n"/>
    </row>
    <row r="175">
      <c r="A175" s="46">
        <f>IFERROR(__xludf.DUMMYFUNCTION("""COMPUTED_VALUE"""),4584)</f>
        <v/>
      </c>
      <c r="O175" s="184" t="n"/>
    </row>
    <row r="176">
      <c r="A176" s="46">
        <f>IFERROR(__xludf.DUMMYFUNCTION("""COMPUTED_VALUE"""),5218)</f>
        <v/>
      </c>
      <c r="O176" s="184" t="n"/>
    </row>
    <row r="177">
      <c r="A177" s="46">
        <f>IFERROR(__xludf.DUMMYFUNCTION("""COMPUTED_VALUE"""),5218)</f>
        <v/>
      </c>
      <c r="O177" s="184" t="n"/>
    </row>
    <row r="178">
      <c r="A178" s="46">
        <f>IFERROR(__xludf.DUMMYFUNCTION("""COMPUTED_VALUE"""),4780)</f>
        <v/>
      </c>
      <c r="O178" s="184" t="n"/>
    </row>
    <row r="179">
      <c r="A179" s="46">
        <f>IFERROR(__xludf.DUMMYFUNCTION("""COMPUTED_VALUE"""),6114)</f>
        <v/>
      </c>
      <c r="O179" s="184" t="n"/>
    </row>
    <row r="180">
      <c r="A180" s="46">
        <f>IFERROR(__xludf.DUMMYFUNCTION("""COMPUTED_VALUE"""),6604)</f>
        <v/>
      </c>
      <c r="O180" s="184" t="n"/>
    </row>
    <row r="181">
      <c r="A181" s="46">
        <f>IFERROR(__xludf.DUMMYFUNCTION("""COMPUTED_VALUE"""),4894)</f>
        <v/>
      </c>
      <c r="O181" s="184" t="n"/>
    </row>
    <row r="182">
      <c r="A182" s="46">
        <f>IFERROR(__xludf.DUMMYFUNCTION("""COMPUTED_VALUE"""),4778)</f>
        <v/>
      </c>
      <c r="O182" s="184" t="n"/>
    </row>
    <row r="183">
      <c r="A183" s="40">
        <f>IFERROR(__xludf.DUMMYFUNCTION("""COMPUTED_VALUE"""),4569)</f>
        <v/>
      </c>
      <c r="O183" s="184" t="n"/>
    </row>
    <row r="184">
      <c r="A184" s="40">
        <f>IFERROR(__xludf.DUMMYFUNCTION("""COMPUTED_VALUE"""),56371)</f>
        <v/>
      </c>
      <c r="O184" s="184" t="n"/>
    </row>
    <row r="185">
      <c r="A185" s="46">
        <f>IFERROR(__xludf.DUMMYFUNCTION("""COMPUTED_VALUE"""),-5191.96745995847)</f>
        <v/>
      </c>
      <c r="O185" s="184" t="n"/>
    </row>
    <row r="186">
      <c r="A186" s="40" t="n"/>
      <c r="O186" s="184" t="n"/>
    </row>
    <row r="187">
      <c r="A187" s="40" t="n"/>
      <c r="O187" s="184" t="n"/>
    </row>
    <row r="188">
      <c r="A188" s="40" t="n"/>
      <c r="O188" s="184" t="n"/>
    </row>
    <row r="189">
      <c r="A189" s="40" t="n"/>
      <c r="O189" s="184" t="n"/>
    </row>
    <row r="190">
      <c r="A190" s="46">
        <f>IFERROR(__xludf.DUMMYFUNCTION("""COMPUTED_VALUE"""),5286)</f>
        <v/>
      </c>
      <c r="O190" s="184" t="n"/>
    </row>
    <row r="191">
      <c r="A191" s="46">
        <f>IFERROR(__xludf.DUMMYFUNCTION("""COMPUTED_VALUE"""),4013)</f>
        <v/>
      </c>
      <c r="O191" s="184" t="n"/>
    </row>
    <row r="192">
      <c r="A192" s="46">
        <f>IFERROR(__xludf.DUMMYFUNCTION("""COMPUTED_VALUE"""),4273)</f>
        <v/>
      </c>
      <c r="O192" s="184" t="n"/>
    </row>
    <row r="193">
      <c r="A193" s="46">
        <f>IFERROR(__xludf.DUMMYFUNCTION("""COMPUTED_VALUE"""),5108)</f>
        <v/>
      </c>
      <c r="O193" s="184" t="n"/>
    </row>
    <row r="194">
      <c r="A194" s="46">
        <f>IFERROR(__xludf.DUMMYFUNCTION("""COMPUTED_VALUE"""),5108)</f>
        <v/>
      </c>
      <c r="O194" s="184" t="n"/>
    </row>
    <row r="195">
      <c r="A195" s="46">
        <f>IFERROR(__xludf.DUMMYFUNCTION("""COMPUTED_VALUE"""),4741)</f>
        <v/>
      </c>
      <c r="O195" s="184" t="n"/>
    </row>
    <row r="196">
      <c r="A196" s="46">
        <f>IFERROR(__xludf.DUMMYFUNCTION("""COMPUTED_VALUE"""),6114)</f>
        <v/>
      </c>
      <c r="O196" s="184" t="n"/>
    </row>
    <row r="197">
      <c r="A197" s="46">
        <f>IFERROR(__xludf.DUMMYFUNCTION("""COMPUTED_VALUE"""),7315)</f>
        <v/>
      </c>
      <c r="O197" s="184" t="n"/>
    </row>
    <row r="198">
      <c r="A198" s="46">
        <f>IFERROR(__xludf.DUMMYFUNCTION("""COMPUTED_VALUE"""),4851)</f>
        <v/>
      </c>
      <c r="O198" s="184" t="n"/>
    </row>
    <row r="199">
      <c r="A199" s="46">
        <f>IFERROR(__xludf.DUMMYFUNCTION("""COMPUTED_VALUE"""),5215)</f>
        <v/>
      </c>
      <c r="O199" s="184" t="n"/>
    </row>
    <row r="200">
      <c r="A200" s="40">
        <f>IFERROR(__xludf.DUMMYFUNCTION("""COMPUTED_VALUE"""),4449)</f>
        <v/>
      </c>
      <c r="O200" s="184" t="n"/>
    </row>
    <row r="201">
      <c r="A201" s="40">
        <f>IFERROR(__xludf.DUMMYFUNCTION("""COMPUTED_VALUE"""),56473)</f>
        <v/>
      </c>
      <c r="O201" s="184" t="n"/>
    </row>
    <row r="202">
      <c r="A202" s="46">
        <f>IFERROR(__xludf.DUMMYFUNCTION("""COMPUTED_VALUE"""),-5959.39177292661)</f>
        <v/>
      </c>
      <c r="O202" s="184" t="n"/>
    </row>
    <row r="203">
      <c r="A203" s="40" t="n"/>
      <c r="O203" s="184" t="n"/>
    </row>
    <row r="204">
      <c r="A204" s="40" t="n"/>
      <c r="O204" s="184" t="n"/>
    </row>
    <row r="205">
      <c r="A205" s="40" t="n"/>
      <c r="O205" s="184" t="n"/>
    </row>
    <row r="206">
      <c r="A206" s="40" t="n"/>
      <c r="O206" s="184" t="n"/>
    </row>
    <row r="207">
      <c r="A207" s="40">
        <f>IFERROR(__xludf.DUMMYFUNCTION("""COMPUTED_VALUE"""),5426)</f>
        <v/>
      </c>
      <c r="O207" s="184" t="n"/>
    </row>
    <row r="208">
      <c r="A208" s="40">
        <f>IFERROR(__xludf.DUMMYFUNCTION("""COMPUTED_VALUE"""),6275)</f>
        <v/>
      </c>
      <c r="O208" s="184" t="n"/>
    </row>
    <row r="209">
      <c r="A209" s="40">
        <f>IFERROR(__xludf.DUMMYFUNCTION("""COMPUTED_VALUE"""),5598.22)</f>
        <v/>
      </c>
      <c r="O209" s="184" t="n"/>
    </row>
    <row r="210">
      <c r="A210" s="40">
        <f>IFERROR(__xludf.DUMMYFUNCTION("""COMPUTED_VALUE"""),0)</f>
        <v/>
      </c>
      <c r="O210" s="184" t="n"/>
    </row>
    <row r="211">
      <c r="A211" s="40">
        <f>IFERROR(__xludf.DUMMYFUNCTION("""COMPUTED_VALUE"""),12506.48)</f>
        <v/>
      </c>
      <c r="O211" s="184" t="n"/>
    </row>
    <row r="212">
      <c r="A212" s="46">
        <f>IFERROR(__xludf.DUMMYFUNCTION("""COMPUTED_VALUE"""),5226)</f>
        <v/>
      </c>
      <c r="O212" s="184" t="n"/>
    </row>
    <row r="213">
      <c r="A213" s="40">
        <f>IFERROR(__xludf.DUMMYFUNCTION("""COMPUTED_VALUE"""),0)</f>
        <v/>
      </c>
      <c r="O213" s="184" t="n"/>
    </row>
    <row r="214">
      <c r="A214" s="40">
        <f>IFERROR(__xludf.DUMMYFUNCTION("""COMPUTED_VALUE"""),13384.67)</f>
        <v/>
      </c>
      <c r="O214" s="184" t="n"/>
    </row>
    <row r="215">
      <c r="A215" s="40">
        <f>IFERROR(__xludf.DUMMYFUNCTION("""COMPUTED_VALUE"""),0)</f>
        <v/>
      </c>
      <c r="O215" s="184" t="n"/>
    </row>
    <row r="216">
      <c r="A216" s="40">
        <f>IFERROR(__xludf.DUMMYFUNCTION("""COMPUTED_VALUE"""),5123.2)</f>
        <v/>
      </c>
      <c r="O216" s="184" t="n"/>
    </row>
    <row r="217">
      <c r="A217" s="40">
        <f>IFERROR(__xludf.DUMMYFUNCTION("""COMPUTED_VALUE"""),9742)</f>
        <v/>
      </c>
      <c r="O217" s="184" t="n"/>
    </row>
    <row r="218">
      <c r="A218" s="40">
        <f>IFERROR(__xludf.DUMMYFUNCTION("""COMPUTED_VALUE"""),63281.5699999999)</f>
        <v/>
      </c>
      <c r="O218" s="184" t="n"/>
    </row>
    <row r="219">
      <c r="A219" s="46">
        <f>IFERROR(__xludf.DUMMYFUNCTION("""COMPUTED_VALUE"""),-5076.28085714245)</f>
        <v/>
      </c>
      <c r="O219" s="184" t="n"/>
    </row>
    <row r="220">
      <c r="A220" s="40" t="n"/>
      <c r="O220" s="184" t="n"/>
    </row>
    <row r="221">
      <c r="A221" s="40" t="n"/>
      <c r="O221" s="184" t="n"/>
    </row>
    <row r="222">
      <c r="A222" s="40" t="n"/>
      <c r="O222" s="184" t="n"/>
    </row>
    <row r="223">
      <c r="A223" s="40" t="n"/>
      <c r="O223" s="184" t="n"/>
    </row>
    <row r="224">
      <c r="A224" s="46">
        <f>IFERROR(__xludf.DUMMYFUNCTION("""COMPUTED_VALUE"""),6148)</f>
        <v/>
      </c>
      <c r="O224" s="184" t="n"/>
    </row>
    <row r="225">
      <c r="A225" s="46">
        <f>IFERROR(__xludf.DUMMYFUNCTION("""COMPUTED_VALUE"""),4891)</f>
        <v/>
      </c>
      <c r="O225" s="184" t="n"/>
    </row>
    <row r="226">
      <c r="A226" s="46">
        <f>IFERROR(__xludf.DUMMYFUNCTION("""COMPUTED_VALUE"""),5391)</f>
        <v/>
      </c>
      <c r="O226" s="184" t="n"/>
    </row>
    <row r="227">
      <c r="A227" s="46">
        <f>IFERROR(__xludf.DUMMYFUNCTION("""COMPUTED_VALUE"""),5439)</f>
        <v/>
      </c>
      <c r="O227" s="184" t="n"/>
    </row>
    <row r="228">
      <c r="A228" s="46">
        <f>IFERROR(__xludf.DUMMYFUNCTION("""COMPUTED_VALUE"""),5439)</f>
        <v/>
      </c>
      <c r="O228" s="184" t="n"/>
    </row>
    <row r="229">
      <c r="A229" s="46">
        <f>IFERROR(__xludf.DUMMYFUNCTION("""COMPUTED_VALUE"""),4975)</f>
        <v/>
      </c>
      <c r="O229" s="184" t="n"/>
    </row>
    <row r="230">
      <c r="A230" s="40">
        <f>IFERROR(__xludf.DUMMYFUNCTION("""COMPUTED_VALUE"""),6231)</f>
        <v/>
      </c>
      <c r="O230" s="184" t="n"/>
    </row>
    <row r="231">
      <c r="A231" s="46">
        <f>IFERROR(__xludf.DUMMYFUNCTION("""COMPUTED_VALUE"""),0)</f>
        <v/>
      </c>
      <c r="O231" s="184" t="n"/>
    </row>
    <row r="232">
      <c r="A232" s="46">
        <f>IFERROR(__xludf.DUMMYFUNCTION("""COMPUTED_VALUE"""),5438)</f>
        <v/>
      </c>
      <c r="O232" s="184" t="n"/>
    </row>
    <row r="233">
      <c r="A233" s="46">
        <f>IFERROR(__xludf.DUMMYFUNCTION("""COMPUTED_VALUE"""),5478)</f>
        <v/>
      </c>
      <c r="O233" s="184" t="n"/>
    </row>
    <row r="234">
      <c r="A234" s="40">
        <f>IFERROR(__xludf.DUMMYFUNCTION("""COMPUTED_VALUE"""),0)</f>
        <v/>
      </c>
      <c r="O234" s="184" t="n"/>
    </row>
    <row r="235">
      <c r="A235" s="40">
        <f>IFERROR(__xludf.DUMMYFUNCTION("""COMPUTED_VALUE"""),49430)</f>
        <v/>
      </c>
      <c r="O235" s="184" t="n"/>
    </row>
    <row r="236">
      <c r="A236" s="46">
        <f>IFERROR(__xludf.DUMMYFUNCTION("""COMPUTED_VALUE"""),-18601.2584703563)</f>
        <v/>
      </c>
      <c r="O236" s="184" t="n"/>
    </row>
    <row r="237">
      <c r="A237" s="40" t="n"/>
      <c r="O237" s="184" t="n"/>
    </row>
    <row r="238">
      <c r="A238" s="40" t="n"/>
      <c r="O238" s="184" t="n"/>
    </row>
    <row r="239">
      <c r="A239" s="40" t="n"/>
      <c r="O239" s="184" t="n"/>
    </row>
    <row r="240">
      <c r="A240" s="40" t="n"/>
      <c r="O240" s="184" t="n"/>
    </row>
    <row r="241">
      <c r="A241" s="40">
        <f>IFERROR(__xludf.DUMMYFUNCTION("""COMPUTED_VALUE"""),6465)</f>
        <v/>
      </c>
      <c r="O241" s="184" t="n"/>
    </row>
    <row r="242">
      <c r="A242" s="40">
        <f>IFERROR(__xludf.DUMMYFUNCTION("""COMPUTED_VALUE"""),5466)</f>
        <v/>
      </c>
      <c r="O242" s="184" t="n"/>
    </row>
    <row r="243">
      <c r="A243" s="40">
        <f>IFERROR(__xludf.DUMMYFUNCTION("""COMPUTED_VALUE"""),5712)</f>
        <v/>
      </c>
      <c r="O243" s="184" t="n"/>
    </row>
    <row r="244">
      <c r="A244" s="40">
        <f>IFERROR(__xludf.DUMMYFUNCTION("""COMPUTED_VALUE"""),6487)</f>
        <v/>
      </c>
      <c r="O244" s="184" t="n"/>
    </row>
    <row r="245">
      <c r="A245" s="40">
        <f>IFERROR(__xludf.DUMMYFUNCTION("""COMPUTED_VALUE"""),6487)</f>
        <v/>
      </c>
      <c r="O245" s="184" t="n"/>
    </row>
    <row r="246">
      <c r="A246" s="46">
        <f>IFERROR(__xludf.DUMMYFUNCTION("""COMPUTED_VALUE"""),5911)</f>
        <v/>
      </c>
      <c r="O246" s="184" t="n"/>
    </row>
    <row r="247">
      <c r="A247" s="40">
        <f>IFERROR(__xludf.DUMMYFUNCTION("""COMPUTED_VALUE"""),6981)</f>
        <v/>
      </c>
      <c r="O247" s="184" t="n"/>
    </row>
    <row r="248">
      <c r="A248" s="40">
        <f>IFERROR(__xludf.DUMMYFUNCTION("""COMPUTED_VALUE"""),7638.43)</f>
        <v/>
      </c>
      <c r="O248" s="184" t="n"/>
    </row>
    <row r="249">
      <c r="A249" s="40">
        <f>IFERROR(__xludf.DUMMYFUNCTION("""COMPUTED_VALUE"""),6020)</f>
        <v/>
      </c>
      <c r="O249" s="184" t="n"/>
    </row>
    <row r="250">
      <c r="A250" s="40">
        <f>IFERROR(__xludf.DUMMYFUNCTION("""COMPUTED_VALUE"""),5912)</f>
        <v/>
      </c>
      <c r="O250" s="184" t="n"/>
    </row>
    <row r="251">
      <c r="A251" s="40">
        <f>IFERROR(__xludf.DUMMYFUNCTION("""COMPUTED_VALUE"""),5520)</f>
        <v/>
      </c>
      <c r="O251" s="184" t="n"/>
    </row>
    <row r="252">
      <c r="A252" s="40">
        <f>IFERROR(__xludf.DUMMYFUNCTION("""COMPUTED_VALUE"""),68599.43)</f>
        <v/>
      </c>
      <c r="O252" s="184" t="n"/>
    </row>
    <row r="253">
      <c r="A253" s="46">
        <f>IFERROR(__xludf.DUMMYFUNCTION("""COMPUTED_VALUE"""),-6131.40099231299)</f>
        <v/>
      </c>
      <c r="O253" s="184" t="n"/>
    </row>
    <row r="254">
      <c r="A254" s="40" t="n"/>
      <c r="O254" s="184" t="n"/>
    </row>
    <row r="255">
      <c r="A255" s="40" t="n"/>
      <c r="O255" s="184" t="n"/>
    </row>
    <row r="256">
      <c r="A256" s="40" t="n"/>
      <c r="O256" s="184" t="n"/>
    </row>
    <row r="257">
      <c r="A257" s="40" t="n"/>
      <c r="O257" s="184" t="n"/>
    </row>
    <row r="258">
      <c r="A258" s="40">
        <f>IFERROR(__xludf.DUMMYFUNCTION("""COMPUTED_VALUE"""),0)</f>
        <v/>
      </c>
      <c r="O258" s="184" t="n"/>
    </row>
    <row r="259">
      <c r="A259" s="40">
        <f>IFERROR(__xludf.DUMMYFUNCTION("""COMPUTED_VALUE"""),0)</f>
        <v/>
      </c>
      <c r="O259" s="184" t="n"/>
    </row>
    <row r="260">
      <c r="A260" s="40">
        <f>IFERROR(__xludf.DUMMYFUNCTION("""COMPUTED_VALUE"""),0)</f>
        <v/>
      </c>
      <c r="O260" s="184" t="n"/>
    </row>
    <row r="261">
      <c r="A261" s="40">
        <f>IFERROR(__xludf.DUMMYFUNCTION("""COMPUTED_VALUE"""),0)</f>
        <v/>
      </c>
      <c r="O261" s="184" t="n"/>
    </row>
    <row r="262">
      <c r="A262" s="40">
        <f>IFERROR(__xludf.DUMMYFUNCTION("""COMPUTED_VALUE"""),0)</f>
        <v/>
      </c>
      <c r="O262" s="184" t="n"/>
    </row>
    <row r="263">
      <c r="A263" s="40">
        <f>IFERROR(__xludf.DUMMYFUNCTION("""COMPUTED_VALUE"""),0)</f>
        <v/>
      </c>
      <c r="O263" s="184" t="n"/>
    </row>
    <row r="264">
      <c r="A264" s="40">
        <f>IFERROR(__xludf.DUMMYFUNCTION("""COMPUTED_VALUE"""),0)</f>
        <v/>
      </c>
      <c r="O264" s="184" t="n"/>
    </row>
    <row r="265">
      <c r="A265" s="40">
        <f>IFERROR(__xludf.DUMMYFUNCTION("""COMPUTED_VALUE"""),7879.33)</f>
        <v/>
      </c>
      <c r="O265" s="184" t="n"/>
    </row>
    <row r="266">
      <c r="A266" s="40">
        <f>IFERROR(__xludf.DUMMYFUNCTION("""COMPUTED_VALUE"""),6624.7)</f>
        <v/>
      </c>
      <c r="O266" s="184" t="n"/>
    </row>
    <row r="267">
      <c r="A267" s="40">
        <f>IFERROR(__xludf.DUMMYFUNCTION("""COMPUTED_VALUE"""),0)</f>
        <v/>
      </c>
      <c r="O267" s="184" t="n"/>
    </row>
    <row r="268">
      <c r="A268" s="40">
        <f>IFERROR(__xludf.DUMMYFUNCTION("""COMPUTED_VALUE"""),6057)</f>
        <v/>
      </c>
      <c r="O268" s="184" t="n"/>
    </row>
    <row r="269">
      <c r="A269" s="40">
        <f>IFERROR(__xludf.DUMMYFUNCTION("""COMPUTED_VALUE"""),20561.03)</f>
        <v/>
      </c>
      <c r="O269" s="184" t="n"/>
    </row>
    <row r="270">
      <c r="A270" s="46">
        <f>IFERROR(__xludf.DUMMYFUNCTION("""COMPUTED_VALUE"""),-56105.7776707555)</f>
        <v/>
      </c>
      <c r="O270" s="184" t="n"/>
    </row>
    <row r="271">
      <c r="A271" s="40" t="n"/>
      <c r="O271" s="184" t="n"/>
    </row>
    <row r="272">
      <c r="A272" s="40" t="n"/>
      <c r="O272" s="184" t="n"/>
    </row>
    <row r="273">
      <c r="A273" s="40" t="n"/>
      <c r="O273" s="184" t="n"/>
    </row>
    <row r="274">
      <c r="A274" s="40" t="n"/>
      <c r="O274" s="184" t="n"/>
    </row>
    <row r="275">
      <c r="A275" s="46">
        <f>IFERROR(__xludf.DUMMYFUNCTION("""COMPUTED_VALUE"""),0)</f>
        <v/>
      </c>
      <c r="O275" s="184" t="n"/>
    </row>
    <row r="276">
      <c r="A276" s="46">
        <f>IFERROR(__xludf.DUMMYFUNCTION("""COMPUTED_VALUE"""),11295)</f>
        <v/>
      </c>
      <c r="O276" s="184" t="n"/>
    </row>
    <row r="277">
      <c r="A277" s="46">
        <f>IFERROR(__xludf.DUMMYFUNCTION("""COMPUTED_VALUE"""),4700)</f>
        <v/>
      </c>
      <c r="O277" s="184" t="n"/>
    </row>
    <row r="278">
      <c r="A278" s="46">
        <f>IFERROR(__xludf.DUMMYFUNCTION("""COMPUTED_VALUE"""),6042)</f>
        <v/>
      </c>
      <c r="O278" s="184" t="n"/>
    </row>
    <row r="279">
      <c r="A279" s="46">
        <f>IFERROR(__xludf.DUMMYFUNCTION("""COMPUTED_VALUE"""),6533)</f>
        <v/>
      </c>
      <c r="O279" s="184" t="n"/>
    </row>
    <row r="280">
      <c r="A280" s="46">
        <f>IFERROR(__xludf.DUMMYFUNCTION("""COMPUTED_VALUE"""),5603)</f>
        <v/>
      </c>
      <c r="O280" s="184" t="n"/>
    </row>
    <row r="281">
      <c r="A281" s="40">
        <f>IFERROR(__xludf.DUMMYFUNCTION("""COMPUTED_VALUE"""),0)</f>
        <v/>
      </c>
      <c r="O281" s="184" t="n"/>
    </row>
    <row r="282">
      <c r="A282" s="46">
        <f>IFERROR(__xludf.DUMMYFUNCTION("""COMPUTED_VALUE"""),6114)</f>
        <v/>
      </c>
      <c r="O282" s="184" t="n"/>
    </row>
    <row r="283">
      <c r="A283" s="46">
        <f>IFERROR(__xludf.DUMMYFUNCTION("""COMPUTED_VALUE"""),7235)</f>
        <v/>
      </c>
      <c r="O283" s="184" t="n"/>
    </row>
    <row r="284">
      <c r="A284" s="40">
        <f>IFERROR(__xludf.DUMMYFUNCTION("""COMPUTED_VALUE"""),5541)</f>
        <v/>
      </c>
      <c r="O284" s="184" t="n"/>
    </row>
    <row r="285">
      <c r="A285" s="46">
        <f>IFERROR(__xludf.DUMMYFUNCTION("""COMPUTED_VALUE"""),12874)</f>
        <v/>
      </c>
      <c r="O285" s="184" t="n"/>
    </row>
    <row r="286">
      <c r="A286" s="40">
        <f>IFERROR(__xludf.DUMMYFUNCTION("""COMPUTED_VALUE"""),65937)</f>
        <v/>
      </c>
      <c r="O286" s="184" t="n"/>
    </row>
    <row r="287">
      <c r="A287" s="46">
        <f>IFERROR(__xludf.DUMMYFUNCTION("""COMPUTED_VALUE"""),-6912.22628880718)</f>
        <v/>
      </c>
      <c r="O287" s="184" t="n"/>
    </row>
    <row r="288">
      <c r="A288" s="40" t="n"/>
      <c r="O288" s="184" t="n"/>
    </row>
    <row r="289">
      <c r="A289" s="40" t="n"/>
      <c r="O289" s="184" t="n"/>
    </row>
    <row r="290">
      <c r="A290" s="40" t="n"/>
      <c r="O290" s="184" t="n"/>
    </row>
    <row r="291">
      <c r="A291" s="40" t="n"/>
      <c r="O291" s="184" t="n"/>
    </row>
    <row r="292">
      <c r="A292" s="46">
        <f>IFERROR(__xludf.DUMMYFUNCTION("""COMPUTED_VALUE"""),0)</f>
        <v/>
      </c>
      <c r="O292" s="184" t="n"/>
    </row>
    <row r="293">
      <c r="A293" s="46">
        <f>IFERROR(__xludf.DUMMYFUNCTION("""COMPUTED_VALUE"""),12477)</f>
        <v/>
      </c>
      <c r="O293" s="184" t="n"/>
    </row>
    <row r="294">
      <c r="A294" s="46">
        <f>IFERROR(__xludf.DUMMYFUNCTION("""COMPUTED_VALUE"""),6087.95)</f>
        <v/>
      </c>
      <c r="O294" s="184" t="n"/>
    </row>
    <row r="295">
      <c r="A295" s="46">
        <f>IFERROR(__xludf.DUMMYFUNCTION("""COMPUTED_VALUE"""),6478)</f>
        <v/>
      </c>
      <c r="O295" s="184" t="n"/>
    </row>
    <row r="296">
      <c r="A296" s="46">
        <f>IFERROR(__xludf.DUMMYFUNCTION("""COMPUTED_VALUE"""),6772.92)</f>
        <v/>
      </c>
      <c r="O296" s="184" t="n"/>
    </row>
    <row r="297">
      <c r="A297" s="46">
        <f>IFERROR(__xludf.DUMMYFUNCTION("""COMPUTED_VALUE"""),7311.21)</f>
        <v/>
      </c>
      <c r="O297" s="184" t="n"/>
    </row>
    <row r="298">
      <c r="A298" s="46">
        <f>IFERROR(__xludf.DUMMYFUNCTION("""COMPUTED_VALUE"""),6231.38)</f>
        <v/>
      </c>
      <c r="O298" s="184" t="n"/>
    </row>
    <row r="299">
      <c r="A299" s="46">
        <f>IFERROR(__xludf.DUMMYFUNCTION("""COMPUTED_VALUE"""),8220)</f>
        <v/>
      </c>
      <c r="O299" s="184" t="n"/>
    </row>
    <row r="300">
      <c r="A300" s="46">
        <f>IFERROR(__xludf.DUMMYFUNCTION("""COMPUTED_VALUE"""),5627.68)</f>
        <v/>
      </c>
      <c r="O300" s="184" t="n"/>
    </row>
    <row r="301">
      <c r="A301" s="46">
        <f>IFERROR(__xludf.DUMMYFUNCTION("""COMPUTED_VALUE"""),5817)</f>
        <v/>
      </c>
      <c r="O301" s="184" t="n"/>
    </row>
    <row r="302">
      <c r="A302" s="40">
        <f>IFERROR(__xludf.DUMMYFUNCTION("""COMPUTED_VALUE"""),5984.58)</f>
        <v/>
      </c>
      <c r="O302" s="184" t="n"/>
    </row>
    <row r="303">
      <c r="A303" s="40">
        <f>IFERROR(__xludf.DUMMYFUNCTION("""COMPUTED_VALUE"""),71007.72)</f>
        <v/>
      </c>
      <c r="O303" s="184" t="n"/>
    </row>
    <row r="304">
      <c r="A304" s="46">
        <f>IFERROR(__xludf.DUMMYFUNCTION("""COMPUTED_VALUE"""),-5656.71740134201)</f>
        <v/>
      </c>
      <c r="O304" s="184" t="n"/>
    </row>
    <row r="305">
      <c r="A305" s="40" t="n"/>
      <c r="O305" s="184" t="n"/>
    </row>
    <row r="306">
      <c r="A306" s="40" t="n"/>
      <c r="O306" s="184" t="n"/>
    </row>
    <row r="307">
      <c r="A307" s="40" t="n"/>
      <c r="O307" s="184" t="n"/>
    </row>
    <row r="308">
      <c r="A308" s="40" t="n"/>
      <c r="O308" s="184" t="n"/>
    </row>
    <row r="309">
      <c r="A309" s="46">
        <f>IFERROR(__xludf.DUMMYFUNCTION("""COMPUTED_VALUE"""),6545)</f>
        <v/>
      </c>
      <c r="O309" s="184" t="n"/>
    </row>
    <row r="310">
      <c r="A310" s="46">
        <f>IFERROR(__xludf.DUMMYFUNCTION("""COMPUTED_VALUE"""),5150)</f>
        <v/>
      </c>
      <c r="O310" s="184" t="n"/>
    </row>
    <row r="311">
      <c r="A311" s="46">
        <f>IFERROR(__xludf.DUMMYFUNCTION("""COMPUTED_VALUE"""),5120)</f>
        <v/>
      </c>
      <c r="O311" s="184" t="n"/>
    </row>
    <row r="312">
      <c r="A312" s="46">
        <f>IFERROR(__xludf.DUMMYFUNCTION("""COMPUTED_VALUE"""),6558)</f>
        <v/>
      </c>
      <c r="O312" s="184" t="n"/>
    </row>
    <row r="313">
      <c r="A313" s="46">
        <f>IFERROR(__xludf.DUMMYFUNCTION("""COMPUTED_VALUE"""),6558)</f>
        <v/>
      </c>
      <c r="O313" s="184" t="n"/>
    </row>
    <row r="314">
      <c r="A314" s="46">
        <f>IFERROR(__xludf.DUMMYFUNCTION("""COMPUTED_VALUE"""),5742)</f>
        <v/>
      </c>
      <c r="O314" s="184" t="n"/>
    </row>
    <row r="315">
      <c r="A315" s="46">
        <f>IFERROR(__xludf.DUMMYFUNCTION("""COMPUTED_VALUE"""),6731)</f>
        <v/>
      </c>
      <c r="O315" s="184" t="n"/>
    </row>
    <row r="316">
      <c r="A316" s="46">
        <f>IFERROR(__xludf.DUMMYFUNCTION("""COMPUTED_VALUE"""),7369)</f>
        <v/>
      </c>
      <c r="O316" s="184" t="n"/>
    </row>
    <row r="317">
      <c r="A317" s="46">
        <f>IFERROR(__xludf.DUMMYFUNCTION("""COMPUTED_VALUE"""),5799)</f>
        <v/>
      </c>
      <c r="O317" s="184" t="n"/>
    </row>
    <row r="318">
      <c r="A318" s="46">
        <f>IFERROR(__xludf.DUMMYFUNCTION("""COMPUTED_VALUE"""),5787)</f>
        <v/>
      </c>
      <c r="O318" s="184" t="n"/>
    </row>
    <row r="319">
      <c r="A319" s="40">
        <f>IFERROR(__xludf.DUMMYFUNCTION("""COMPUTED_VALUE"""),5355)</f>
        <v/>
      </c>
      <c r="O319" s="184" t="n"/>
    </row>
    <row r="320">
      <c r="A320" s="40">
        <f>IFERROR(__xludf.DUMMYFUNCTION("""COMPUTED_VALUE"""),66714)</f>
        <v/>
      </c>
      <c r="O320" s="184" t="n"/>
    </row>
    <row r="321">
      <c r="A321" s="46">
        <f>IFERROR(__xludf.DUMMYFUNCTION("""COMPUTED_VALUE"""),-7203.44207707118)</f>
        <v/>
      </c>
      <c r="O321" s="184" t="n"/>
    </row>
    <row r="322">
      <c r="A322" s="40" t="n"/>
      <c r="O322" s="184" t="n"/>
    </row>
    <row r="323">
      <c r="A323" s="40" t="n"/>
      <c r="O323" s="184" t="n"/>
    </row>
    <row r="324">
      <c r="A324" s="40" t="n"/>
      <c r="O324" s="184" t="n"/>
    </row>
    <row r="325">
      <c r="A325" s="40" t="n"/>
      <c r="O325" s="184" t="n"/>
    </row>
    <row r="326">
      <c r="A326" s="46">
        <f>IFERROR(__xludf.DUMMYFUNCTION("""COMPUTED_VALUE"""),6908)</f>
        <v/>
      </c>
      <c r="O326" s="184" t="n"/>
    </row>
    <row r="327">
      <c r="A327" s="46">
        <f>IFERROR(__xludf.DUMMYFUNCTION("""COMPUTED_VALUE"""),5107)</f>
        <v/>
      </c>
      <c r="O327" s="184" t="n"/>
    </row>
    <row r="328">
      <c r="A328" s="46">
        <f>IFERROR(__xludf.DUMMYFUNCTION("""COMPUTED_VALUE"""),5140)</f>
        <v/>
      </c>
      <c r="O328" s="184" t="n"/>
    </row>
    <row r="329">
      <c r="A329" s="46">
        <f>IFERROR(__xludf.DUMMYFUNCTION("""COMPUTED_VALUE"""),7082)</f>
        <v/>
      </c>
      <c r="O329" s="184" t="n"/>
    </row>
    <row r="330">
      <c r="A330" s="46">
        <f>IFERROR(__xludf.DUMMYFUNCTION("""COMPUTED_VALUE"""),0)</f>
        <v/>
      </c>
      <c r="O330" s="184" t="n"/>
    </row>
    <row r="331">
      <c r="A331" s="46">
        <f>IFERROR(__xludf.DUMMYFUNCTION("""COMPUTED_VALUE"""),6287)</f>
        <v/>
      </c>
      <c r="O331" s="184" t="n"/>
    </row>
    <row r="332">
      <c r="A332" s="46">
        <f>IFERROR(__xludf.DUMMYFUNCTION("""COMPUTED_VALUE"""),0)</f>
        <v/>
      </c>
      <c r="O332" s="184" t="n"/>
    </row>
    <row r="333">
      <c r="A333" s="46">
        <f>IFERROR(__xludf.DUMMYFUNCTION("""COMPUTED_VALUE"""),14257)</f>
        <v/>
      </c>
      <c r="O333" s="184" t="n"/>
    </row>
    <row r="334">
      <c r="A334" s="46">
        <f>IFERROR(__xludf.DUMMYFUNCTION("""COMPUTED_VALUE"""),6500)</f>
        <v/>
      </c>
      <c r="O334" s="184" t="n"/>
    </row>
    <row r="335">
      <c r="A335" s="46">
        <f>IFERROR(__xludf.DUMMYFUNCTION("""COMPUTED_VALUE"""),6288)</f>
        <v/>
      </c>
      <c r="O335" s="184" t="n"/>
    </row>
    <row r="336">
      <c r="A336" s="40">
        <f>IFERROR(__xludf.DUMMYFUNCTION("""COMPUTED_VALUE"""),5479)</f>
        <v/>
      </c>
      <c r="O336" s="184" t="n"/>
    </row>
    <row r="337">
      <c r="A337" s="40">
        <f>IFERROR(__xludf.DUMMYFUNCTION("""COMPUTED_VALUE"""),63048)</f>
        <v/>
      </c>
      <c r="O337" s="184" t="n"/>
    </row>
    <row r="338">
      <c r="A338" s="46">
        <f>IFERROR(__xludf.DUMMYFUNCTION("""COMPUTED_VALUE"""),-14949.1920305931)</f>
        <v/>
      </c>
      <c r="O338" s="184" t="n"/>
    </row>
    <row r="339">
      <c r="A339" s="40" t="n"/>
      <c r="O339" s="184" t="n"/>
    </row>
    <row r="340">
      <c r="A340" s="40" t="n"/>
      <c r="O340" s="184" t="n"/>
    </row>
    <row r="341">
      <c r="A341" s="40" t="n"/>
      <c r="O341" s="184" t="n"/>
    </row>
    <row r="342">
      <c r="A342" s="40" t="n"/>
      <c r="O342" s="184" t="n"/>
    </row>
    <row r="343">
      <c r="A343" s="46">
        <f>IFERROR(__xludf.DUMMYFUNCTION("""COMPUTED_VALUE"""),6000)</f>
        <v/>
      </c>
      <c r="O343" s="184" t="n"/>
    </row>
    <row r="344">
      <c r="A344" s="46">
        <f>IFERROR(__xludf.DUMMYFUNCTION("""COMPUTED_VALUE"""),0)</f>
        <v/>
      </c>
      <c r="O344" s="184" t="n"/>
    </row>
    <row r="345">
      <c r="A345" s="46">
        <f>IFERROR(__xludf.DUMMYFUNCTION("""COMPUTED_VALUE"""),0)</f>
        <v/>
      </c>
      <c r="O345" s="184" t="n"/>
    </row>
    <row r="346">
      <c r="A346" s="46">
        <f>IFERROR(__xludf.DUMMYFUNCTION("""COMPUTED_VALUE"""),0)</f>
        <v/>
      </c>
      <c r="O346" s="184" t="n"/>
    </row>
    <row r="347">
      <c r="A347" s="46">
        <f>IFERROR(__xludf.DUMMYFUNCTION("""COMPUTED_VALUE"""),11102.41)</f>
        <v/>
      </c>
      <c r="O347" s="184" t="n"/>
    </row>
    <row r="348">
      <c r="A348" s="46">
        <f>IFERROR(__xludf.DUMMYFUNCTION("""COMPUTED_VALUE"""),6000)</f>
        <v/>
      </c>
      <c r="O348" s="184" t="n"/>
    </row>
    <row r="349">
      <c r="A349" s="46">
        <f>IFERROR(__xludf.DUMMYFUNCTION("""COMPUTED_VALUE"""),6114)</f>
        <v/>
      </c>
      <c r="O349" s="184" t="n"/>
    </row>
    <row r="350">
      <c r="A350" s="46">
        <f>IFERROR(__xludf.DUMMYFUNCTION("""COMPUTED_VALUE"""),0)</f>
        <v/>
      </c>
      <c r="O350" s="184" t="n"/>
    </row>
    <row r="351">
      <c r="A351" s="46">
        <f>IFERROR(__xludf.DUMMYFUNCTION("""COMPUTED_VALUE"""),0)</f>
        <v/>
      </c>
      <c r="O351" s="184" t="n"/>
    </row>
    <row r="352">
      <c r="A352" s="46">
        <f>IFERROR(__xludf.DUMMYFUNCTION("""COMPUTED_VALUE"""),27000)</f>
        <v/>
      </c>
      <c r="O352" s="184" t="n"/>
    </row>
    <row r="353">
      <c r="A353" s="40">
        <f>IFERROR(__xludf.DUMMYFUNCTION("""COMPUTED_VALUE"""),0)</f>
        <v/>
      </c>
      <c r="O353" s="184" t="n"/>
    </row>
    <row r="354">
      <c r="A354" s="40">
        <f>IFERROR(__xludf.DUMMYFUNCTION("""COMPUTED_VALUE"""),56216.41)</f>
        <v/>
      </c>
      <c r="O354" s="184" t="n"/>
    </row>
    <row r="355">
      <c r="A355" s="46">
        <f>IFERROR(__xludf.DUMMYFUNCTION("""COMPUTED_VALUE"""),-10635.8748149002)</f>
        <v/>
      </c>
      <c r="O355" s="184" t="n"/>
    </row>
    <row r="356">
      <c r="A356" s="40" t="n"/>
      <c r="O356" s="184" t="n"/>
    </row>
    <row r="357">
      <c r="A357" s="40" t="n"/>
      <c r="O357" s="184" t="n"/>
    </row>
    <row r="358">
      <c r="A358" s="40" t="n"/>
      <c r="O358" s="184" t="n"/>
    </row>
    <row r="359">
      <c r="A359" s="40" t="n"/>
      <c r="O359" s="184" t="n"/>
    </row>
    <row r="360">
      <c r="A360" s="40">
        <f>IFERROR(__xludf.DUMMYFUNCTION("""COMPUTED_VALUE"""),0)</f>
        <v/>
      </c>
      <c r="O360" s="184" t="n"/>
    </row>
    <row r="361">
      <c r="A361" s="40">
        <f>IFERROR(__xludf.DUMMYFUNCTION("""COMPUTED_VALUE"""),85000)</f>
        <v/>
      </c>
      <c r="O361" s="184" t="n"/>
    </row>
    <row r="362">
      <c r="A362" s="40">
        <f>IFERROR(__xludf.DUMMYFUNCTION("""COMPUTED_VALUE"""),20000)</f>
        <v/>
      </c>
      <c r="O362" s="184" t="n"/>
    </row>
    <row r="363">
      <c r="A363" s="40">
        <f>IFERROR(__xludf.DUMMYFUNCTION("""COMPUTED_VALUE"""),0)</f>
        <v/>
      </c>
      <c r="O363" s="184" t="n"/>
    </row>
    <row r="364">
      <c r="A364" s="40">
        <f>IFERROR(__xludf.DUMMYFUNCTION("""COMPUTED_VALUE"""),5212)</f>
        <v/>
      </c>
      <c r="O364" s="184" t="n"/>
    </row>
    <row r="365">
      <c r="A365" s="40">
        <f>IFERROR(__xludf.DUMMYFUNCTION("""COMPUTED_VALUE"""),0)</f>
        <v/>
      </c>
      <c r="O365" s="184" t="n"/>
    </row>
    <row r="366">
      <c r="A366" s="40">
        <f>IFERROR(__xludf.DUMMYFUNCTION("""COMPUTED_VALUE"""),0)</f>
        <v/>
      </c>
      <c r="O366" s="184" t="n"/>
    </row>
    <row r="367">
      <c r="A367" s="40">
        <f>IFERROR(__xludf.DUMMYFUNCTION("""COMPUTED_VALUE"""),18215)</f>
        <v/>
      </c>
      <c r="O367" s="184" t="n"/>
    </row>
    <row r="368">
      <c r="A368" s="40">
        <f>IFERROR(__xludf.DUMMYFUNCTION("""COMPUTED_VALUE"""),5785)</f>
        <v/>
      </c>
      <c r="O368" s="184" t="n"/>
    </row>
    <row r="369">
      <c r="A369" s="40">
        <f>IFERROR(__xludf.DUMMYFUNCTION("""COMPUTED_VALUE"""),0)</f>
        <v/>
      </c>
      <c r="O369" s="184" t="n"/>
    </row>
    <row r="370">
      <c r="A370" s="40">
        <f>IFERROR(__xludf.DUMMYFUNCTION("""COMPUTED_VALUE"""),5394)</f>
        <v/>
      </c>
      <c r="O370" s="184" t="n"/>
    </row>
    <row r="371">
      <c r="A371" s="40">
        <f>IFERROR(__xludf.DUMMYFUNCTION("""COMPUTED_VALUE"""),139606)</f>
        <v/>
      </c>
      <c r="O371" s="184" t="n"/>
    </row>
    <row r="372">
      <c r="A372" s="46">
        <f>IFERROR(__xludf.DUMMYFUNCTION("""COMPUTED_VALUE"""),71039.0716507446)</f>
        <v/>
      </c>
      <c r="O372" s="184" t="n"/>
    </row>
    <row r="373">
      <c r="A373" s="40" t="n"/>
      <c r="O373" s="184" t="n"/>
    </row>
    <row r="374">
      <c r="A374" s="40" t="n"/>
      <c r="O374" s="184" t="n"/>
    </row>
    <row r="375">
      <c r="A375" s="40" t="n"/>
      <c r="O375" s="184" t="n"/>
    </row>
    <row r="376">
      <c r="A376" s="40" t="n"/>
      <c r="O376" s="184" t="n"/>
    </row>
    <row r="377">
      <c r="A377" s="46">
        <f>IFERROR(__xludf.DUMMYFUNCTION("""COMPUTED_VALUE"""),5752)</f>
        <v/>
      </c>
      <c r="O377" s="184" t="n"/>
    </row>
    <row r="378">
      <c r="A378" s="46">
        <f>IFERROR(__xludf.DUMMYFUNCTION("""COMPUTED_VALUE"""),0)</f>
        <v/>
      </c>
      <c r="O378" s="184" t="n"/>
    </row>
    <row r="379">
      <c r="A379" s="46">
        <f>IFERROR(__xludf.DUMMYFUNCTION("""COMPUTED_VALUE"""),4083)</f>
        <v/>
      </c>
      <c r="O379" s="184" t="n"/>
    </row>
    <row r="380">
      <c r="A380" s="46">
        <f>IFERROR(__xludf.DUMMYFUNCTION("""COMPUTED_VALUE"""),0)</f>
        <v/>
      </c>
      <c r="O380" s="184" t="n"/>
    </row>
    <row r="381">
      <c r="A381" s="46">
        <f>IFERROR(__xludf.DUMMYFUNCTION("""COMPUTED_VALUE"""),5635)</f>
        <v/>
      </c>
      <c r="O381" s="184" t="n"/>
    </row>
    <row r="382">
      <c r="A382" s="46">
        <f>IFERROR(__xludf.DUMMYFUNCTION("""COMPUTED_VALUE"""),5264)</f>
        <v/>
      </c>
      <c r="O382" s="184" t="n"/>
    </row>
    <row r="383">
      <c r="A383" s="40">
        <f>IFERROR(__xludf.DUMMYFUNCTION("""COMPUTED_VALUE"""),6114)</f>
        <v/>
      </c>
      <c r="O383" s="184" t="n"/>
    </row>
    <row r="384">
      <c r="A384" s="46">
        <f>IFERROR(__xludf.DUMMYFUNCTION("""COMPUTED_VALUE"""),0)</f>
        <v/>
      </c>
      <c r="O384" s="184" t="n"/>
    </row>
    <row r="385">
      <c r="A385" s="46">
        <f>IFERROR(__xludf.DUMMYFUNCTION("""COMPUTED_VALUE"""),6888)</f>
        <v/>
      </c>
      <c r="O385" s="184" t="n"/>
    </row>
    <row r="386">
      <c r="A386" s="46">
        <f>IFERROR(__xludf.DUMMYFUNCTION("""COMPUTED_VALUE"""),5350)</f>
        <v/>
      </c>
      <c r="O386" s="184" t="n"/>
    </row>
    <row r="387">
      <c r="A387" s="40">
        <f>IFERROR(__xludf.DUMMYFUNCTION("""COMPUTED_VALUE"""),0)</f>
        <v/>
      </c>
      <c r="O387" s="184" t="n"/>
    </row>
    <row r="388">
      <c r="A388" s="40">
        <f>IFERROR(__xludf.DUMMYFUNCTION("""COMPUTED_VALUE"""),39086)</f>
        <v/>
      </c>
      <c r="O388" s="184" t="n"/>
    </row>
    <row r="389">
      <c r="A389" s="46">
        <f>IFERROR(__xludf.DUMMYFUNCTION("""COMPUTED_VALUE"""),-25870.7071729546)</f>
        <v/>
      </c>
      <c r="O389" s="184" t="n"/>
    </row>
    <row r="390">
      <c r="A390" s="40" t="n"/>
      <c r="O390" s="184" t="n"/>
    </row>
    <row r="391">
      <c r="A391" s="40" t="n"/>
      <c r="O391" s="184" t="n"/>
    </row>
    <row r="392">
      <c r="A392" s="40" t="n"/>
      <c r="O392" s="184" t="n"/>
    </row>
    <row r="393">
      <c r="A393" s="40" t="n"/>
      <c r="O393" s="184" t="n"/>
    </row>
    <row r="394">
      <c r="A394" s="40">
        <f>IFERROR(__xludf.DUMMYFUNCTION("""COMPUTED_VALUE"""),6328)</f>
        <v/>
      </c>
      <c r="O394" s="184" t="n"/>
    </row>
    <row r="395">
      <c r="A395" s="40">
        <f>IFERROR(__xludf.DUMMYFUNCTION("""COMPUTED_VALUE"""),4772)</f>
        <v/>
      </c>
      <c r="O395" s="184" t="n"/>
    </row>
    <row r="396">
      <c r="A396" s="40">
        <f>IFERROR(__xludf.DUMMYFUNCTION("""COMPUTED_VALUE"""),0)</f>
        <v/>
      </c>
      <c r="O396" s="184" t="n"/>
    </row>
    <row r="397">
      <c r="A397" s="40">
        <f>IFERROR(__xludf.DUMMYFUNCTION("""COMPUTED_VALUE"""),0)</f>
        <v/>
      </c>
      <c r="O397" s="184" t="n"/>
    </row>
    <row r="398">
      <c r="A398" s="40">
        <f>IFERROR(__xludf.DUMMYFUNCTION("""COMPUTED_VALUE"""),6108)</f>
        <v/>
      </c>
      <c r="O398" s="184" t="n"/>
    </row>
    <row r="399">
      <c r="A399" s="40">
        <f>IFERROR(__xludf.DUMMYFUNCTION("""COMPUTED_VALUE"""),0)</f>
        <v/>
      </c>
      <c r="O399" s="184" t="n"/>
    </row>
    <row r="400">
      <c r="A400" s="40">
        <f>IFERROR(__xludf.DUMMYFUNCTION("""COMPUTED_VALUE"""),0)</f>
        <v/>
      </c>
      <c r="O400" s="184" t="n"/>
    </row>
    <row r="401">
      <c r="A401" s="40">
        <f>IFERROR(__xludf.DUMMYFUNCTION("""COMPUTED_VALUE"""),6114)</f>
        <v/>
      </c>
      <c r="O401" s="184" t="n"/>
    </row>
    <row r="402">
      <c r="A402" s="40">
        <f>IFERROR(__xludf.DUMMYFUNCTION("""COMPUTED_VALUE"""),20517)</f>
        <v/>
      </c>
      <c r="O402" s="184" t="n"/>
    </row>
    <row r="403">
      <c r="A403" s="40">
        <f>IFERROR(__xludf.DUMMYFUNCTION("""COMPUTED_VALUE"""),5198)</f>
        <v/>
      </c>
      <c r="O403" s="184" t="n"/>
    </row>
    <row r="404">
      <c r="A404" s="40">
        <f>IFERROR(__xludf.DUMMYFUNCTION("""COMPUTED_VALUE"""),5744)</f>
        <v/>
      </c>
      <c r="O404" s="184" t="n"/>
    </row>
    <row r="405">
      <c r="A405" s="40">
        <f>IFERROR(__xludf.DUMMYFUNCTION("""COMPUTED_VALUE"""),54781)</f>
        <v/>
      </c>
      <c r="O405" s="184" t="n"/>
    </row>
    <row r="406">
      <c r="A406" s="46">
        <f>IFERROR(__xludf.DUMMYFUNCTION("""COMPUTED_VALUE"""),-14818.8316653232)</f>
        <v/>
      </c>
      <c r="O406" s="184" t="n"/>
    </row>
    <row r="407">
      <c r="A407" s="40" t="n"/>
      <c r="O407" s="184" t="n"/>
    </row>
    <row r="408">
      <c r="A408" s="40" t="n"/>
      <c r="O408" s="184" t="n"/>
    </row>
    <row r="409">
      <c r="A409" s="40" t="n"/>
      <c r="O409" s="184" t="n"/>
    </row>
    <row r="410">
      <c r="A410" s="40" t="n"/>
      <c r="O410" s="184" t="n"/>
    </row>
    <row r="411">
      <c r="A411" s="46">
        <f>IFERROR(__xludf.DUMMYFUNCTION("""COMPUTED_VALUE"""),5203)</f>
        <v/>
      </c>
      <c r="O411" s="184" t="n"/>
    </row>
    <row r="412">
      <c r="A412" s="46">
        <f>IFERROR(__xludf.DUMMYFUNCTION("""COMPUTED_VALUE"""),10919)</f>
        <v/>
      </c>
      <c r="O412" s="184" t="n"/>
    </row>
    <row r="413">
      <c r="A413" s="46">
        <f>IFERROR(__xludf.DUMMYFUNCTION("""COMPUTED_VALUE"""),5203)</f>
        <v/>
      </c>
      <c r="O413" s="184" t="n"/>
    </row>
    <row r="414">
      <c r="A414" s="46">
        <f>IFERROR(__xludf.DUMMYFUNCTION("""COMPUTED_VALUE"""),5869)</f>
        <v/>
      </c>
      <c r="O414" s="184" t="n"/>
    </row>
    <row r="415">
      <c r="A415" s="46">
        <f>IFERROR(__xludf.DUMMYFUNCTION("""COMPUTED_VALUE"""),5869)</f>
        <v/>
      </c>
      <c r="O415" s="184" t="n"/>
    </row>
    <row r="416">
      <c r="A416" s="46">
        <f>IFERROR(__xludf.DUMMYFUNCTION("""COMPUTED_VALUE"""),5500)</f>
        <v/>
      </c>
      <c r="O416" s="184" t="n"/>
    </row>
    <row r="417">
      <c r="A417" s="46">
        <f>IFERROR(__xludf.DUMMYFUNCTION("""COMPUTED_VALUE"""),6354)</f>
        <v/>
      </c>
      <c r="O417" s="184" t="n"/>
    </row>
    <row r="418">
      <c r="A418" s="46">
        <f>IFERROR(__xludf.DUMMYFUNCTION("""COMPUTED_VALUE"""),0)</f>
        <v/>
      </c>
      <c r="O418" s="184" t="n"/>
    </row>
    <row r="419">
      <c r="A419" s="46">
        <f>IFERROR(__xludf.DUMMYFUNCTION("""COMPUTED_VALUE"""),7111)</f>
        <v/>
      </c>
      <c r="O419" s="184" t="n"/>
    </row>
    <row r="420">
      <c r="A420" s="46">
        <f>IFERROR(__xludf.DUMMYFUNCTION("""COMPUTED_VALUE"""),5686)</f>
        <v/>
      </c>
      <c r="O420" s="184" t="n"/>
    </row>
    <row r="421">
      <c r="A421" s="40">
        <f>IFERROR(__xludf.DUMMYFUNCTION("""COMPUTED_VALUE"""),10715)</f>
        <v/>
      </c>
      <c r="O421" s="184" t="n"/>
    </row>
    <row r="422">
      <c r="A422" s="40">
        <f>IFERROR(__xludf.DUMMYFUNCTION("""COMPUTED_VALUE"""),68429)</f>
        <v/>
      </c>
      <c r="O422" s="184" t="n"/>
    </row>
    <row r="423">
      <c r="A423" s="46">
        <f>IFERROR(__xludf.DUMMYFUNCTION("""COMPUTED_VALUE"""),-1212.0987471036)</f>
        <v/>
      </c>
      <c r="O423" s="184" t="n"/>
    </row>
    <row r="424">
      <c r="A424" s="40" t="n"/>
      <c r="O424" s="184" t="n"/>
    </row>
    <row r="425">
      <c r="A425" s="40" t="n"/>
      <c r="O425" s="184" t="n"/>
    </row>
    <row r="426">
      <c r="A426" s="40" t="n"/>
      <c r="O426" s="184" t="n"/>
    </row>
    <row r="427">
      <c r="A427" s="40" t="n"/>
      <c r="O427" s="184" t="n"/>
    </row>
    <row r="428">
      <c r="A428" s="46">
        <f>IFERROR(__xludf.DUMMYFUNCTION("""COMPUTED_VALUE"""),6240)</f>
        <v/>
      </c>
      <c r="O428" s="184" t="n"/>
    </row>
    <row r="429">
      <c r="A429" s="46">
        <f>IFERROR(__xludf.DUMMYFUNCTION("""COMPUTED_VALUE"""),4790)</f>
        <v/>
      </c>
      <c r="O429" s="184" t="n"/>
    </row>
    <row r="430">
      <c r="A430" s="46">
        <f>IFERROR(__xludf.DUMMYFUNCTION("""COMPUTED_VALUE"""),5062)</f>
        <v/>
      </c>
      <c r="O430" s="184" t="n"/>
    </row>
    <row r="431">
      <c r="A431" s="46">
        <f>IFERROR(__xludf.DUMMYFUNCTION("""COMPUTED_VALUE"""),6008)</f>
        <v/>
      </c>
      <c r="O431" s="184" t="n"/>
    </row>
    <row r="432">
      <c r="A432" s="46">
        <f>IFERROR(__xludf.DUMMYFUNCTION("""COMPUTED_VALUE"""),12008)</f>
        <v/>
      </c>
      <c r="O432" s="184" t="n"/>
    </row>
    <row r="433">
      <c r="A433" s="46">
        <f>IFERROR(__xludf.DUMMYFUNCTION("""COMPUTED_VALUE"""),0)</f>
        <v/>
      </c>
      <c r="O433" s="184" t="n"/>
    </row>
    <row r="434">
      <c r="A434" s="46">
        <f>IFERROR(__xludf.DUMMYFUNCTION("""COMPUTED_VALUE"""),6114)</f>
        <v/>
      </c>
      <c r="O434" s="184" t="n"/>
    </row>
    <row r="435">
      <c r="A435" s="46">
        <f>IFERROR(__xludf.DUMMYFUNCTION("""COMPUTED_VALUE"""),7920.16)</f>
        <v/>
      </c>
      <c r="O435" s="184" t="n"/>
    </row>
    <row r="436">
      <c r="A436" s="46">
        <f>IFERROR(__xludf.DUMMYFUNCTION("""COMPUTED_VALUE"""),5209.11)</f>
        <v/>
      </c>
      <c r="O436" s="184" t="n"/>
    </row>
    <row r="437">
      <c r="A437" s="46">
        <f>IFERROR(__xludf.DUMMYFUNCTION("""COMPUTED_VALUE"""),5380)</f>
        <v/>
      </c>
      <c r="O437" s="184" t="n"/>
    </row>
    <row r="438">
      <c r="A438" s="40">
        <f>IFERROR(__xludf.DUMMYFUNCTION("""COMPUTED_VALUE"""),4724)</f>
        <v/>
      </c>
      <c r="O438" s="184" t="n"/>
    </row>
    <row r="439">
      <c r="A439" s="40">
        <f>IFERROR(__xludf.DUMMYFUNCTION("""COMPUTED_VALUE"""),63455.27)</f>
        <v/>
      </c>
      <c r="O439" s="184" t="n"/>
    </row>
    <row r="440">
      <c r="A440" s="46">
        <f>IFERROR(__xludf.DUMMYFUNCTION("""COMPUTED_VALUE"""),-4510.93877610885)</f>
        <v/>
      </c>
      <c r="O440" s="184" t="n"/>
    </row>
    <row r="441">
      <c r="A441" s="40" t="n"/>
      <c r="O441" s="184" t="n"/>
    </row>
    <row r="442">
      <c r="A442" s="40" t="n"/>
      <c r="O442" s="184" t="n"/>
    </row>
    <row r="443">
      <c r="A443" s="40" t="n"/>
      <c r="O443" s="184" t="n"/>
    </row>
    <row r="444">
      <c r="A444" s="40" t="n"/>
      <c r="O444" s="184" t="n"/>
    </row>
    <row r="445">
      <c r="A445" s="46">
        <f>IFERROR(__xludf.DUMMYFUNCTION("""COMPUTED_VALUE"""),10288)</f>
        <v/>
      </c>
      <c r="O445" s="184" t="n"/>
    </row>
    <row r="446">
      <c r="A446" s="46">
        <f>IFERROR(__xludf.DUMMYFUNCTION("""COMPUTED_VALUE"""),4399)</f>
        <v/>
      </c>
      <c r="O446" s="184" t="n"/>
    </row>
    <row r="447">
      <c r="A447" s="46">
        <f>IFERROR(__xludf.DUMMYFUNCTION("""COMPUTED_VALUE"""),4541)</f>
        <v/>
      </c>
      <c r="O447" s="184" t="n"/>
    </row>
    <row r="448">
      <c r="A448" s="46">
        <f>IFERROR(__xludf.DUMMYFUNCTION("""COMPUTED_VALUE"""),5377)</f>
        <v/>
      </c>
      <c r="O448" s="184" t="n"/>
    </row>
    <row r="449">
      <c r="A449" s="46">
        <f>IFERROR(__xludf.DUMMYFUNCTION("""COMPUTED_VALUE"""),5377)</f>
        <v/>
      </c>
      <c r="O449" s="184" t="n"/>
    </row>
    <row r="450">
      <c r="A450" s="46">
        <f>IFERROR(__xludf.DUMMYFUNCTION("""COMPUTED_VALUE"""),4935)</f>
        <v/>
      </c>
      <c r="O450" s="184" t="n"/>
    </row>
    <row r="451">
      <c r="A451" s="40">
        <f>IFERROR(__xludf.DUMMYFUNCTION("""COMPUTED_VALUE"""),6114)</f>
        <v/>
      </c>
      <c r="O451" s="184" t="n"/>
    </row>
    <row r="452">
      <c r="A452" s="46">
        <f>IFERROR(__xludf.DUMMYFUNCTION("""COMPUTED_VALUE"""),0)</f>
        <v/>
      </c>
      <c r="O452" s="184" t="n"/>
    </row>
    <row r="453">
      <c r="A453" s="46">
        <f>IFERROR(__xludf.DUMMYFUNCTION("""COMPUTED_VALUE"""),0)</f>
        <v/>
      </c>
      <c r="O453" s="184" t="n"/>
    </row>
    <row r="454">
      <c r="A454" s="46">
        <f>IFERROR(__xludf.DUMMYFUNCTION("""COMPUTED_VALUE"""),0)</f>
        <v/>
      </c>
      <c r="O454" s="184" t="n"/>
    </row>
    <row r="455">
      <c r="A455" s="40">
        <f>IFERROR(__xludf.DUMMYFUNCTION("""COMPUTED_VALUE"""),0)</f>
        <v/>
      </c>
      <c r="O455" s="184" t="n"/>
    </row>
    <row r="456">
      <c r="A456" s="40">
        <f>IFERROR(__xludf.DUMMYFUNCTION("""COMPUTED_VALUE"""),41031)</f>
        <v/>
      </c>
      <c r="O456" s="184" t="n"/>
    </row>
    <row r="457">
      <c r="A457" s="46">
        <f>IFERROR(__xludf.DUMMYFUNCTION("""COMPUTED_VALUE"""),-21576.0000270286)</f>
        <v/>
      </c>
      <c r="O457" s="184" t="n"/>
    </row>
    <row r="458">
      <c r="A458" s="40" t="n"/>
      <c r="O458" s="184" t="n"/>
    </row>
    <row r="459">
      <c r="A459" s="40" t="n"/>
      <c r="O459" s="184" t="n"/>
    </row>
    <row r="460">
      <c r="A460" s="40" t="n"/>
      <c r="O460" s="184" t="n"/>
    </row>
    <row r="461">
      <c r="A461" s="40" t="n"/>
      <c r="O461" s="184" t="n"/>
    </row>
    <row r="462">
      <c r="A462" s="46">
        <f>IFERROR(__xludf.DUMMYFUNCTION("""COMPUTED_VALUE"""),5803)</f>
        <v/>
      </c>
      <c r="O462" s="184" t="n"/>
    </row>
    <row r="463">
      <c r="A463" s="46">
        <f>IFERROR(__xludf.DUMMYFUNCTION("""COMPUTED_VALUE"""),14646)</f>
        <v/>
      </c>
      <c r="O463" s="184" t="n"/>
    </row>
    <row r="464">
      <c r="A464" s="46">
        <f>IFERROR(__xludf.DUMMYFUNCTION("""COMPUTED_VALUE"""),5083)</f>
        <v/>
      </c>
      <c r="O464" s="184" t="n"/>
    </row>
    <row r="465">
      <c r="A465" s="46">
        <f>IFERROR(__xludf.DUMMYFUNCTION("""COMPUTED_VALUE"""),6120)</f>
        <v/>
      </c>
      <c r="O465" s="184" t="n"/>
    </row>
    <row r="466">
      <c r="A466" s="46">
        <f>IFERROR(__xludf.DUMMYFUNCTION("""COMPUTED_VALUE"""),6119)</f>
        <v/>
      </c>
      <c r="O466" s="184" t="n"/>
    </row>
    <row r="467">
      <c r="A467" s="46">
        <f>IFERROR(__xludf.DUMMYFUNCTION("""COMPUTED_VALUE"""),4978)</f>
        <v/>
      </c>
      <c r="O467" s="184" t="n"/>
    </row>
    <row r="468">
      <c r="A468" s="46">
        <f>IFERROR(__xludf.DUMMYFUNCTION("""COMPUTED_VALUE"""),6114)</f>
        <v/>
      </c>
      <c r="O468" s="184" t="n"/>
    </row>
    <row r="469">
      <c r="A469" s="46">
        <f>IFERROR(__xludf.DUMMYFUNCTION("""COMPUTED_VALUE"""),7936)</f>
        <v/>
      </c>
      <c r="O469" s="184" t="n"/>
    </row>
    <row r="470">
      <c r="A470" s="46">
        <f>IFERROR(__xludf.DUMMYFUNCTION("""COMPUTED_VALUE"""),0)</f>
        <v/>
      </c>
      <c r="O470" s="184" t="n"/>
    </row>
    <row r="471">
      <c r="A471" s="40">
        <f>IFERROR(__xludf.DUMMYFUNCTION("""COMPUTED_VALUE"""),0)</f>
        <v/>
      </c>
      <c r="O471" s="184" t="n"/>
    </row>
    <row r="472">
      <c r="A472" s="46">
        <f>IFERROR(__xludf.DUMMYFUNCTION("""COMPUTED_VALUE"""),0)</f>
        <v/>
      </c>
      <c r="O472" s="184" t="n"/>
    </row>
    <row r="473">
      <c r="A473" s="40">
        <f>IFERROR(__xludf.DUMMYFUNCTION("""COMPUTED_VALUE"""),56799)</f>
        <v/>
      </c>
      <c r="O473" s="184" t="n"/>
    </row>
    <row r="474">
      <c r="A474" s="46">
        <f>IFERROR(__xludf.DUMMYFUNCTION("""COMPUTED_VALUE"""),-13466.3036413142)</f>
        <v/>
      </c>
      <c r="O474" s="184" t="n"/>
    </row>
    <row r="475">
      <c r="A475" s="40" t="n"/>
      <c r="O475" s="184" t="n"/>
    </row>
    <row r="476">
      <c r="A476" s="40" t="n"/>
      <c r="O476" s="184" t="n"/>
    </row>
    <row r="477">
      <c r="A477" s="40" t="n"/>
      <c r="O477" s="184" t="n"/>
    </row>
    <row r="478">
      <c r="A478" s="40" t="n"/>
      <c r="O478" s="184" t="n"/>
    </row>
    <row r="479">
      <c r="A479" s="40">
        <f>IFERROR(__xludf.DUMMYFUNCTION("""COMPUTED_VALUE"""),6379)</f>
        <v/>
      </c>
      <c r="O479" s="184" t="n"/>
    </row>
    <row r="480">
      <c r="A480" s="40">
        <f>IFERROR(__xludf.DUMMYFUNCTION("""COMPUTED_VALUE"""),0)</f>
        <v/>
      </c>
      <c r="O480" s="184" t="n"/>
    </row>
    <row r="481">
      <c r="A481" s="40">
        <f>IFERROR(__xludf.DUMMYFUNCTION("""COMPUTED_VALUE"""),13339)</f>
        <v/>
      </c>
      <c r="O481" s="184" t="n"/>
    </row>
    <row r="482">
      <c r="A482" s="40">
        <f>IFERROR(__xludf.DUMMYFUNCTION("""COMPUTED_VALUE"""),0)</f>
        <v/>
      </c>
      <c r="O482" s="184" t="n"/>
    </row>
    <row r="483">
      <c r="A483" s="117">
        <f>IFERROR(__xludf.DUMMYFUNCTION("""COMPUTED_VALUE"""),12208)</f>
        <v/>
      </c>
      <c r="O483" s="184" t="n"/>
    </row>
    <row r="484">
      <c r="A484" s="40">
        <f>IFERROR(__xludf.DUMMYFUNCTION("""COMPUTED_VALUE"""),0)</f>
        <v/>
      </c>
      <c r="O484" s="184" t="n"/>
    </row>
    <row r="485">
      <c r="A485" s="40">
        <f>IFERROR(__xludf.DUMMYFUNCTION("""COMPUTED_VALUE"""),0)</f>
        <v/>
      </c>
      <c r="O485" s="184" t="n"/>
    </row>
    <row r="486">
      <c r="A486" s="40">
        <f>IFERROR(__xludf.DUMMYFUNCTION("""COMPUTED_VALUE"""),0)</f>
        <v/>
      </c>
      <c r="O486" s="184" t="n"/>
    </row>
    <row r="487">
      <c r="A487" s="40">
        <f>IFERROR(__xludf.DUMMYFUNCTION("""COMPUTED_VALUE"""),22000)</f>
        <v/>
      </c>
      <c r="O487" s="184" t="n"/>
    </row>
    <row r="488">
      <c r="A488" s="40">
        <f>IFERROR(__xludf.DUMMYFUNCTION("""COMPUTED_VALUE"""),0)</f>
        <v/>
      </c>
      <c r="O488" s="184" t="n"/>
    </row>
    <row r="489">
      <c r="A489" s="40">
        <f>IFERROR(__xludf.DUMMYFUNCTION("""COMPUTED_VALUE"""),0)</f>
        <v/>
      </c>
      <c r="O489" s="184" t="n"/>
    </row>
    <row r="490">
      <c r="A490" s="40">
        <f>IFERROR(__xludf.DUMMYFUNCTION("""COMPUTED_VALUE"""),53926)</f>
        <v/>
      </c>
      <c r="O490" s="184" t="n"/>
    </row>
    <row r="491">
      <c r="A491" s="46">
        <f>IFERROR(__xludf.DUMMYFUNCTION("""COMPUTED_VALUE"""),-15113.1186226634)</f>
        <v/>
      </c>
      <c r="O491" s="184" t="n"/>
    </row>
    <row r="492">
      <c r="A492" s="40" t="n"/>
      <c r="O492" s="184" t="n"/>
    </row>
    <row r="493">
      <c r="A493" s="40" t="n"/>
      <c r="O493" s="184" t="n"/>
    </row>
    <row r="494">
      <c r="A494" s="40" t="n"/>
      <c r="O494" s="184" t="n"/>
    </row>
    <row r="495">
      <c r="A495" s="40" t="n"/>
      <c r="O495" s="184" t="n"/>
    </row>
    <row r="496">
      <c r="A496" s="40">
        <f>IFERROR(__xludf.DUMMYFUNCTION("""COMPUTED_VALUE"""),5734)</f>
        <v/>
      </c>
      <c r="O496" s="184" t="n"/>
    </row>
    <row r="497">
      <c r="A497" s="40">
        <f>IFERROR(__xludf.DUMMYFUNCTION("""COMPUTED_VALUE"""),5435)</f>
        <v/>
      </c>
      <c r="O497" s="184" t="n"/>
    </row>
    <row r="498">
      <c r="A498" s="40">
        <f>IFERROR(__xludf.DUMMYFUNCTION("""COMPUTED_VALUE"""),4969)</f>
        <v/>
      </c>
      <c r="O498" s="184" t="n"/>
    </row>
    <row r="499">
      <c r="A499" s="40">
        <f>IFERROR(__xludf.DUMMYFUNCTION("""COMPUTED_VALUE"""),5790)</f>
        <v/>
      </c>
      <c r="O499" s="184" t="n"/>
    </row>
    <row r="500">
      <c r="A500" s="40">
        <f>IFERROR(__xludf.DUMMYFUNCTION("""COMPUTED_VALUE"""),5790)</f>
        <v/>
      </c>
      <c r="O500" s="184" t="n"/>
    </row>
    <row r="501">
      <c r="A501" s="46">
        <f>IFERROR(__xludf.DUMMYFUNCTION("""COMPUTED_VALUE"""),5304)</f>
        <v/>
      </c>
      <c r="O501" s="184" t="n"/>
    </row>
    <row r="502">
      <c r="A502" s="40">
        <f>IFERROR(__xludf.DUMMYFUNCTION("""COMPUTED_VALUE"""),6231)</f>
        <v/>
      </c>
      <c r="O502" s="184" t="n"/>
    </row>
    <row r="503">
      <c r="A503" s="40">
        <f>IFERROR(__xludf.DUMMYFUNCTION("""COMPUTED_VALUE"""),7366.24)</f>
        <v/>
      </c>
      <c r="O503" s="184" t="n"/>
    </row>
    <row r="504">
      <c r="A504" s="40">
        <f>IFERROR(__xludf.DUMMYFUNCTION("""COMPUTED_VALUE"""),6004.73)</f>
        <v/>
      </c>
      <c r="O504" s="184" t="n"/>
    </row>
    <row r="505">
      <c r="A505" s="40">
        <f>IFERROR(__xludf.DUMMYFUNCTION("""COMPUTED_VALUE"""),5591)</f>
        <v/>
      </c>
      <c r="O505" s="184" t="n"/>
    </row>
    <row r="506">
      <c r="A506" s="40">
        <f>IFERROR(__xludf.DUMMYFUNCTION("""COMPUTED_VALUE"""),5193)</f>
        <v/>
      </c>
      <c r="O506" s="184" t="n"/>
    </row>
    <row r="507">
      <c r="A507" s="40">
        <f>IFERROR(__xludf.DUMMYFUNCTION("""COMPUTED_VALUE"""),63407.97)</f>
        <v/>
      </c>
      <c r="O507" s="184" t="n"/>
    </row>
    <row r="508">
      <c r="A508" s="46">
        <f>IFERROR(__xludf.DUMMYFUNCTION("""COMPUTED_VALUE"""),-7488.62940626949)</f>
        <v/>
      </c>
      <c r="O508" s="184" t="n"/>
    </row>
    <row r="509">
      <c r="A509" s="40" t="n"/>
      <c r="O509" s="184" t="n"/>
    </row>
    <row r="510">
      <c r="A510" s="40" t="n"/>
      <c r="O510" s="184" t="n"/>
    </row>
    <row r="511">
      <c r="A511" s="40" t="n"/>
      <c r="O511" s="184" t="n"/>
    </row>
    <row r="512">
      <c r="A512" s="40" t="n"/>
      <c r="O512" s="184" t="n"/>
    </row>
    <row r="513">
      <c r="A513" s="46">
        <f>IFERROR(__xludf.DUMMYFUNCTION("""COMPUTED_VALUE"""),0)</f>
        <v/>
      </c>
      <c r="O513" s="184" t="n"/>
    </row>
    <row r="514">
      <c r="A514" s="46">
        <f>IFERROR(__xludf.DUMMYFUNCTION("""COMPUTED_VALUE"""),4568)</f>
        <v/>
      </c>
      <c r="O514" s="184" t="n"/>
    </row>
    <row r="515">
      <c r="A515" s="46">
        <f>IFERROR(__xludf.DUMMYFUNCTION("""COMPUTED_VALUE"""),0)</f>
        <v/>
      </c>
      <c r="O515" s="184" t="n"/>
    </row>
    <row r="516">
      <c r="A516" s="46">
        <f>IFERROR(__xludf.DUMMYFUNCTION("""COMPUTED_VALUE"""),5226)</f>
        <v/>
      </c>
      <c r="O516" s="184" t="n"/>
    </row>
    <row r="517">
      <c r="A517" s="46">
        <f>IFERROR(__xludf.DUMMYFUNCTION("""COMPUTED_VALUE"""),5226)</f>
        <v/>
      </c>
      <c r="O517" s="184" t="n"/>
    </row>
    <row r="518">
      <c r="A518" s="46">
        <f>IFERROR(__xludf.DUMMYFUNCTION("""COMPUTED_VALUE"""),0)</f>
        <v/>
      </c>
      <c r="O518" s="184" t="n"/>
    </row>
    <row r="519">
      <c r="A519" s="46">
        <f>IFERROR(__xludf.DUMMYFUNCTION("""COMPUTED_VALUE"""),11242)</f>
        <v/>
      </c>
      <c r="O519" s="184" t="n"/>
    </row>
    <row r="520">
      <c r="A520" s="46">
        <f>IFERROR(__xludf.DUMMYFUNCTION("""COMPUTED_VALUE"""),0)</f>
        <v/>
      </c>
      <c r="O520" s="184" t="n"/>
    </row>
    <row r="521">
      <c r="A521" s="46">
        <f>IFERROR(__xludf.DUMMYFUNCTION("""COMPUTED_VALUE"""),5582.17)</f>
        <v/>
      </c>
      <c r="O521" s="184" t="n"/>
    </row>
    <row r="522">
      <c r="A522" s="46">
        <f>IFERROR(__xludf.DUMMYFUNCTION("""COMPUTED_VALUE"""),5281)</f>
        <v/>
      </c>
      <c r="O522" s="184" t="n"/>
    </row>
    <row r="523">
      <c r="A523" s="40">
        <f>IFERROR(__xludf.DUMMYFUNCTION("""COMPUTED_VALUE"""),0)</f>
        <v/>
      </c>
      <c r="O523" s="184" t="n"/>
    </row>
    <row r="524">
      <c r="A524" s="40">
        <f>IFERROR(__xludf.DUMMYFUNCTION("""COMPUTED_VALUE"""),37125.17)</f>
        <v/>
      </c>
      <c r="O524" s="184" t="n"/>
    </row>
    <row r="525">
      <c r="A525" s="46">
        <f>IFERROR(__xludf.DUMMYFUNCTION("""COMPUTED_VALUE"""),-28621.526193221)</f>
        <v/>
      </c>
      <c r="O525" s="184" t="n"/>
    </row>
    <row r="526">
      <c r="A526" s="40" t="n"/>
      <c r="O526" s="184" t="n"/>
    </row>
    <row r="527">
      <c r="A527" s="40" t="n"/>
      <c r="O527" s="184" t="n"/>
    </row>
    <row r="528">
      <c r="A528" s="40" t="n"/>
      <c r="O528" s="184" t="n"/>
    </row>
    <row r="529">
      <c r="A529" s="40" t="n"/>
      <c r="O529" s="184" t="n"/>
    </row>
    <row r="530">
      <c r="A530" s="40">
        <f>IFERROR(__xludf.DUMMYFUNCTION("""COMPUTED_VALUE"""),0)</f>
        <v/>
      </c>
      <c r="O530" s="184" t="n"/>
    </row>
    <row r="531">
      <c r="A531" s="40">
        <f>IFERROR(__xludf.DUMMYFUNCTION("""COMPUTED_VALUE"""),10158)</f>
        <v/>
      </c>
      <c r="O531" s="184" t="n"/>
    </row>
    <row r="532">
      <c r="A532" s="40">
        <f>IFERROR(__xludf.DUMMYFUNCTION("""COMPUTED_VALUE"""),4519.05)</f>
        <v/>
      </c>
      <c r="O532" s="184" t="n"/>
    </row>
    <row r="533">
      <c r="A533" s="40">
        <f>IFERROR(__xludf.DUMMYFUNCTION("""COMPUTED_VALUE"""),5297.38)</f>
        <v/>
      </c>
      <c r="O533" s="184" t="n"/>
    </row>
    <row r="534">
      <c r="A534" s="40">
        <f>IFERROR(__xludf.DUMMYFUNCTION("""COMPUTED_VALUE"""),7235)</f>
        <v/>
      </c>
      <c r="O534" s="184" t="n"/>
    </row>
    <row r="535">
      <c r="A535" s="46">
        <f>IFERROR(__xludf.DUMMYFUNCTION("""COMPUTED_VALUE"""),4944)</f>
        <v/>
      </c>
      <c r="O535" s="184" t="n"/>
    </row>
    <row r="536">
      <c r="A536" s="40">
        <f>IFERROR(__xludf.DUMMYFUNCTION("""COMPUTED_VALUE"""),6114)</f>
        <v/>
      </c>
      <c r="O536" s="184" t="n"/>
    </row>
    <row r="537">
      <c r="A537" s="40">
        <f>IFERROR(__xludf.DUMMYFUNCTION("""COMPUTED_VALUE"""),0)</f>
        <v/>
      </c>
      <c r="O537" s="184" t="n"/>
    </row>
    <row r="538">
      <c r="A538" s="40">
        <f>IFERROR(__xludf.DUMMYFUNCTION("""COMPUTED_VALUE"""),12119.66)</f>
        <v/>
      </c>
      <c r="O538" s="184" t="n"/>
    </row>
    <row r="539">
      <c r="A539" s="40">
        <f>IFERROR(__xludf.DUMMYFUNCTION("""COMPUTED_VALUE"""),5143)</f>
        <v/>
      </c>
      <c r="O539" s="184" t="n"/>
    </row>
    <row r="540">
      <c r="A540" s="40">
        <f>IFERROR(__xludf.DUMMYFUNCTION("""COMPUTED_VALUE"""),5166)</f>
        <v/>
      </c>
      <c r="O540" s="184" t="n"/>
    </row>
    <row r="541">
      <c r="A541" s="40">
        <f>IFERROR(__xludf.DUMMYFUNCTION("""COMPUTED_VALUE"""),60696.09)</f>
        <v/>
      </c>
      <c r="O541" s="184" t="n"/>
    </row>
    <row r="542">
      <c r="A542" s="46">
        <f>IFERROR(__xludf.DUMMYFUNCTION("""COMPUTED_VALUE"""),-3583.57548342151)</f>
        <v/>
      </c>
      <c r="O542" s="184" t="n"/>
    </row>
    <row r="543">
      <c r="A543" s="40" t="n"/>
      <c r="O543" s="184" t="n"/>
    </row>
    <row r="544">
      <c r="A544" s="40" t="n"/>
      <c r="O544" s="184" t="n"/>
    </row>
    <row r="545">
      <c r="A545" s="40" t="n"/>
      <c r="O545" s="184" t="n"/>
    </row>
    <row r="546">
      <c r="A546" s="40" t="n"/>
      <c r="O546" s="184" t="n"/>
    </row>
    <row r="547">
      <c r="A547" s="46">
        <f>IFERROR(__xludf.DUMMYFUNCTION("""COMPUTED_VALUE"""),5286)</f>
        <v/>
      </c>
      <c r="O547" s="184" t="n"/>
    </row>
    <row r="548">
      <c r="A548" s="46">
        <f>IFERROR(__xludf.DUMMYFUNCTION("""COMPUTED_VALUE"""),4012)</f>
        <v/>
      </c>
      <c r="O548" s="184" t="n"/>
    </row>
    <row r="549">
      <c r="A549" s="46">
        <f>IFERROR(__xludf.DUMMYFUNCTION("""COMPUTED_VALUE"""),4365.17)</f>
        <v/>
      </c>
      <c r="O549" s="184" t="n"/>
    </row>
    <row r="550">
      <c r="A550" s="46">
        <f>IFERROR(__xludf.DUMMYFUNCTION("""COMPUTED_VALUE"""),5177)</f>
        <v/>
      </c>
      <c r="O550" s="184" t="n"/>
    </row>
    <row r="551">
      <c r="A551" s="46">
        <f>IFERROR(__xludf.DUMMYFUNCTION("""COMPUTED_VALUE"""),5581.91)</f>
        <v/>
      </c>
      <c r="O551" s="184" t="n"/>
    </row>
    <row r="552">
      <c r="A552" s="46">
        <f>IFERROR(__xludf.DUMMYFUNCTION("""COMPUTED_VALUE"""),4841.04)</f>
        <v/>
      </c>
      <c r="O552" s="184" t="n"/>
    </row>
    <row r="553">
      <c r="A553" s="46">
        <f>IFERROR(__xludf.DUMMYFUNCTION("""COMPUTED_VALUE"""),6114)</f>
        <v/>
      </c>
      <c r="O553" s="184" t="n"/>
    </row>
    <row r="554">
      <c r="A554" s="46">
        <f>IFERROR(__xludf.DUMMYFUNCTION("""COMPUTED_VALUE"""),7245.47)</f>
        <v/>
      </c>
      <c r="O554" s="184" t="n"/>
    </row>
    <row r="555">
      <c r="A555" s="46">
        <f>IFERROR(__xludf.DUMMYFUNCTION("""COMPUTED_VALUE"""),5192.32)</f>
        <v/>
      </c>
      <c r="O555" s="184" t="n"/>
    </row>
    <row r="556">
      <c r="A556" s="46">
        <f>IFERROR(__xludf.DUMMYFUNCTION("""COMPUTED_VALUE"""),4894)</f>
        <v/>
      </c>
      <c r="O556" s="184" t="n"/>
    </row>
    <row r="557">
      <c r="A557" s="40">
        <f>IFERROR(__xludf.DUMMYFUNCTION("""COMPUTED_VALUE"""),4573)</f>
        <v/>
      </c>
      <c r="O557" s="184" t="n"/>
    </row>
    <row r="558">
      <c r="A558" s="40">
        <f>IFERROR(__xludf.DUMMYFUNCTION("""COMPUTED_VALUE"""),57281.9099999999)</f>
        <v/>
      </c>
      <c r="O558" s="184" t="n"/>
    </row>
    <row r="559">
      <c r="A559" s="46">
        <f>IFERROR(__xludf.DUMMYFUNCTION("""COMPUTED_VALUE"""),-5076.97557015961)</f>
        <v/>
      </c>
      <c r="O559" s="184" t="n"/>
    </row>
    <row r="560">
      <c r="A560" s="40" t="n"/>
      <c r="O560" s="184" t="n"/>
    </row>
    <row r="561">
      <c r="A561" s="40" t="n"/>
      <c r="O561" s="184" t="n"/>
    </row>
    <row r="562">
      <c r="A562" s="40" t="n"/>
      <c r="O562" s="184" t="n"/>
    </row>
    <row r="563">
      <c r="A563" s="40" t="n"/>
      <c r="O563" s="184" t="n"/>
    </row>
    <row r="564">
      <c r="A564" s="40">
        <f>IFERROR(__xludf.DUMMYFUNCTION("""COMPUTED_VALUE"""),21099)</f>
        <v/>
      </c>
      <c r="O564" s="184" t="n"/>
    </row>
    <row r="565">
      <c r="A565" s="46">
        <f>IFERROR(__xludf.DUMMYFUNCTION("""COMPUTED_VALUE"""),77099)</f>
        <v/>
      </c>
      <c r="O565" s="184" t="n"/>
    </row>
    <row r="566">
      <c r="A566" s="46">
        <f>IFERROR(__xludf.DUMMYFUNCTION("""COMPUTED_VALUE"""),0)</f>
        <v/>
      </c>
      <c r="O566" s="184" t="n"/>
    </row>
    <row r="567">
      <c r="A567" s="46">
        <f>IFERROR(__xludf.DUMMYFUNCTION("""COMPUTED_VALUE"""),15859)</f>
        <v/>
      </c>
      <c r="O567" s="184" t="n"/>
    </row>
    <row r="568">
      <c r="A568" s="46">
        <f>IFERROR(__xludf.DUMMYFUNCTION("""COMPUTED_VALUE"""),0)</f>
        <v/>
      </c>
      <c r="O568" s="184" t="n"/>
    </row>
    <row r="569">
      <c r="A569" s="46">
        <f>IFERROR(__xludf.DUMMYFUNCTION("""COMPUTED_VALUE"""),0)</f>
        <v/>
      </c>
      <c r="O569" s="184" t="n"/>
    </row>
    <row r="570">
      <c r="A570" s="46">
        <f>IFERROR(__xludf.DUMMYFUNCTION("""COMPUTED_VALUE"""),0)</f>
        <v/>
      </c>
      <c r="O570" s="184" t="n"/>
    </row>
    <row r="571">
      <c r="A571" s="46">
        <f>IFERROR(__xludf.DUMMYFUNCTION("""COMPUTED_VALUE"""),0)</f>
        <v/>
      </c>
      <c r="O571" s="184" t="n"/>
    </row>
    <row r="572">
      <c r="A572" s="46">
        <f>IFERROR(__xludf.DUMMYFUNCTION("""COMPUTED_VALUE"""),6231)</f>
        <v/>
      </c>
      <c r="O572" s="184" t="n"/>
    </row>
    <row r="573">
      <c r="A573" s="40">
        <f>IFERROR(__xludf.DUMMYFUNCTION("""COMPUTED_VALUE"""),5809.25)</f>
        <v/>
      </c>
      <c r="O573" s="184" t="n"/>
    </row>
    <row r="574">
      <c r="A574" s="46">
        <f>IFERROR(__xludf.DUMMYFUNCTION("""COMPUTED_VALUE"""),5814)</f>
        <v/>
      </c>
      <c r="O574" s="184" t="n"/>
    </row>
    <row r="575">
      <c r="A575" s="40">
        <f>IFERROR(__xludf.DUMMYFUNCTION("""COMPUTED_VALUE"""),131911.25)</f>
        <v/>
      </c>
      <c r="O575" s="184" t="n"/>
    </row>
    <row r="576">
      <c r="A576" s="46">
        <f>IFERROR(__xludf.DUMMYFUNCTION("""COMPUTED_VALUE"""),41865.0877122106)</f>
        <v/>
      </c>
      <c r="O576" s="184" t="n"/>
    </row>
    <row r="577">
      <c r="A577" s="40" t="n"/>
      <c r="O577" s="184" t="n"/>
    </row>
    <row r="578">
      <c r="A578" s="40" t="n"/>
      <c r="O578" s="184" t="n"/>
    </row>
    <row r="579">
      <c r="A579" s="40" t="n"/>
      <c r="O579" s="184" t="n"/>
    </row>
    <row r="580">
      <c r="A580" s="40" t="n"/>
      <c r="O580" s="184" t="n"/>
    </row>
    <row r="581">
      <c r="A581" s="40">
        <f>IFERROR(__xludf.DUMMYFUNCTION("""COMPUTED_VALUE"""),5553)</f>
        <v/>
      </c>
      <c r="O581" s="184" t="n"/>
    </row>
    <row r="582">
      <c r="A582" s="40">
        <f>IFERROR(__xludf.DUMMYFUNCTION("""COMPUTED_VALUE"""),44238.54)</f>
        <v/>
      </c>
      <c r="O582" s="184" t="n"/>
    </row>
    <row r="583">
      <c r="A583" s="40">
        <f>IFERROR(__xludf.DUMMYFUNCTION("""COMPUTED_VALUE"""),4573)</f>
        <v/>
      </c>
      <c r="O583" s="184" t="n"/>
    </row>
    <row r="584">
      <c r="A584" s="40">
        <f>IFERROR(__xludf.DUMMYFUNCTION("""COMPUTED_VALUE"""),5457)</f>
        <v/>
      </c>
      <c r="O584" s="184" t="n"/>
    </row>
    <row r="585">
      <c r="A585" s="40">
        <f>IFERROR(__xludf.DUMMYFUNCTION("""COMPUTED_VALUE"""),5457)</f>
        <v/>
      </c>
      <c r="O585" s="184" t="n"/>
    </row>
    <row r="586">
      <c r="A586" s="46">
        <f>IFERROR(__xludf.DUMMYFUNCTION("""COMPUTED_VALUE"""),4997)</f>
        <v/>
      </c>
      <c r="O586" s="184" t="n"/>
    </row>
    <row r="587">
      <c r="A587" s="40">
        <f>IFERROR(__xludf.DUMMYFUNCTION("""COMPUTED_VALUE"""),6231)</f>
        <v/>
      </c>
      <c r="O587" s="184" t="n"/>
    </row>
    <row r="588">
      <c r="A588" s="40">
        <f>IFERROR(__xludf.DUMMYFUNCTION("""COMPUTED_VALUE"""),6845)</f>
        <v/>
      </c>
      <c r="O588" s="184" t="n"/>
    </row>
    <row r="589">
      <c r="A589" s="40">
        <f>IFERROR(__xludf.DUMMYFUNCTION("""COMPUTED_VALUE"""),5130)</f>
        <v/>
      </c>
      <c r="O589" s="184" t="n"/>
    </row>
    <row r="590">
      <c r="A590" s="40">
        <f>IFERROR(__xludf.DUMMYFUNCTION("""COMPUTED_VALUE"""),5298)</f>
        <v/>
      </c>
      <c r="O590" s="184" t="n"/>
    </row>
    <row r="591">
      <c r="A591" s="40">
        <f>IFERROR(__xludf.DUMMYFUNCTION("""COMPUTED_VALUE"""),0)</f>
        <v/>
      </c>
      <c r="O591" s="184" t="n"/>
    </row>
    <row r="592">
      <c r="A592" s="40">
        <f>IFERROR(__xludf.DUMMYFUNCTION("""COMPUTED_VALUE"""),93779.54)</f>
        <v/>
      </c>
      <c r="O592" s="184" t="n"/>
    </row>
    <row r="593">
      <c r="A593" s="46">
        <f>IFERROR(__xludf.DUMMYFUNCTION("""COMPUTED_VALUE"""),29547.5097377091)</f>
        <v/>
      </c>
      <c r="O593" s="184" t="n"/>
    </row>
    <row r="594">
      <c r="A594" s="40" t="n"/>
      <c r="O594" s="184" t="n"/>
    </row>
    <row r="595">
      <c r="A595" s="40" t="n"/>
      <c r="O595" s="184" t="n"/>
    </row>
    <row r="596">
      <c r="A596" s="40" t="n"/>
      <c r="O596" s="184" t="n"/>
    </row>
    <row r="597">
      <c r="A597" s="40" t="n"/>
      <c r="O597" s="184" t="n"/>
    </row>
    <row r="598">
      <c r="A598" s="46">
        <f>IFERROR(__xludf.DUMMYFUNCTION("""COMPUTED_VALUE"""),6853)</f>
        <v/>
      </c>
      <c r="O598" s="184" t="n"/>
    </row>
    <row r="599">
      <c r="A599" s="46">
        <f>IFERROR(__xludf.DUMMYFUNCTION("""COMPUTED_VALUE"""),4897)</f>
        <v/>
      </c>
      <c r="O599" s="184" t="n"/>
    </row>
    <row r="600">
      <c r="A600" s="46">
        <f>IFERROR(__xludf.DUMMYFUNCTION("""COMPUTED_VALUE"""),4516)</f>
        <v/>
      </c>
      <c r="O600" s="184" t="n"/>
    </row>
    <row r="601">
      <c r="A601" s="46">
        <f>IFERROR(__xludf.DUMMYFUNCTION("""COMPUTED_VALUE"""),5290)</f>
        <v/>
      </c>
      <c r="O601" s="184" t="n"/>
    </row>
    <row r="602">
      <c r="A602" s="46">
        <f>IFERROR(__xludf.DUMMYFUNCTION("""COMPUTED_VALUE"""),5290)</f>
        <v/>
      </c>
      <c r="O602" s="184" t="n"/>
    </row>
    <row r="603">
      <c r="A603" s="46">
        <f>IFERROR(__xludf.DUMMYFUNCTION("""COMPUTED_VALUE"""),0)</f>
        <v/>
      </c>
      <c r="O603" s="184" t="n"/>
    </row>
    <row r="604">
      <c r="A604" s="46">
        <f>IFERROR(__xludf.DUMMYFUNCTION("""COMPUTED_VALUE"""),11751)</f>
        <v/>
      </c>
      <c r="O604" s="184" t="n"/>
    </row>
    <row r="605">
      <c r="A605" s="46">
        <f>IFERROR(__xludf.DUMMYFUNCTION("""COMPUTED_VALUE"""),0)</f>
        <v/>
      </c>
      <c r="O605" s="184" t="n"/>
    </row>
    <row r="606">
      <c r="A606" s="46">
        <f>IFERROR(__xludf.DUMMYFUNCTION("""COMPUTED_VALUE"""),0)</f>
        <v/>
      </c>
      <c r="O606" s="184" t="n"/>
    </row>
    <row r="607">
      <c r="A607" s="46">
        <f>IFERROR(__xludf.DUMMYFUNCTION("""COMPUTED_VALUE"""),0)</f>
        <v/>
      </c>
      <c r="O607" s="184" t="n"/>
    </row>
    <row r="608">
      <c r="A608" s="40">
        <f>IFERROR(__xludf.DUMMYFUNCTION("""COMPUTED_VALUE"""),5361)</f>
        <v/>
      </c>
      <c r="O608" s="184" t="n"/>
    </row>
    <row r="609">
      <c r="A609" s="40">
        <f>IFERROR(__xludf.DUMMYFUNCTION("""COMPUTED_VALUE"""),43958)</f>
        <v/>
      </c>
      <c r="O609" s="184" t="n"/>
    </row>
    <row r="610">
      <c r="A610" s="46">
        <f>IFERROR(__xludf.DUMMYFUNCTION("""COMPUTED_VALUE"""),-28363.7481615967)</f>
        <v/>
      </c>
      <c r="O610" s="184" t="n"/>
    </row>
    <row r="611">
      <c r="A611" s="40" t="n"/>
      <c r="O611" s="184" t="n"/>
    </row>
    <row r="612">
      <c r="A612" s="40" t="n"/>
      <c r="O612" s="184" t="n"/>
    </row>
    <row r="613">
      <c r="A613" s="40" t="n"/>
      <c r="O613" s="184" t="n"/>
    </row>
    <row r="614">
      <c r="A614" s="40" t="n"/>
      <c r="O614" s="184" t="n"/>
    </row>
    <row r="615">
      <c r="A615" s="40">
        <f>IFERROR(__xludf.DUMMYFUNCTION("""COMPUTED_VALUE"""),6314)</f>
        <v/>
      </c>
      <c r="O615" s="184" t="n"/>
    </row>
    <row r="616">
      <c r="A616" s="40">
        <f>IFERROR(__xludf.DUMMYFUNCTION("""COMPUTED_VALUE"""),0)</f>
        <v/>
      </c>
      <c r="O616" s="184" t="n"/>
    </row>
    <row r="617">
      <c r="A617" s="40">
        <f>IFERROR(__xludf.DUMMYFUNCTION("""COMPUTED_VALUE"""),0)</f>
        <v/>
      </c>
      <c r="O617" s="184" t="n"/>
    </row>
    <row r="618">
      <c r="A618" s="40">
        <f>IFERROR(__xludf.DUMMYFUNCTION("""COMPUTED_VALUE"""),5000)</f>
        <v/>
      </c>
      <c r="O618" s="184" t="n"/>
    </row>
    <row r="619">
      <c r="A619" s="40">
        <f>IFERROR(__xludf.DUMMYFUNCTION("""COMPUTED_VALUE"""),0)</f>
        <v/>
      </c>
      <c r="O619" s="184" t="n"/>
    </row>
    <row r="620">
      <c r="A620" s="46">
        <f>IFERROR(__xludf.DUMMYFUNCTION("""COMPUTED_VALUE"""),4935)</f>
        <v/>
      </c>
      <c r="O620" s="184" t="n"/>
    </row>
    <row r="621">
      <c r="A621" s="40">
        <f>IFERROR(__xludf.DUMMYFUNCTION("""COMPUTED_VALUE"""),0)</f>
        <v/>
      </c>
      <c r="O621" s="184" t="n"/>
    </row>
    <row r="622">
      <c r="A622" s="40">
        <f>IFERROR(__xludf.DUMMYFUNCTION("""COMPUTED_VALUE"""),6114)</f>
        <v/>
      </c>
      <c r="O622" s="184" t="n"/>
    </row>
    <row r="623">
      <c r="A623" s="40">
        <f>IFERROR(__xludf.DUMMYFUNCTION("""COMPUTED_VALUE"""),0)</f>
        <v/>
      </c>
      <c r="O623" s="184" t="n"/>
    </row>
    <row r="624">
      <c r="A624" s="40">
        <f>IFERROR(__xludf.DUMMYFUNCTION("""COMPUTED_VALUE"""),4892)</f>
        <v/>
      </c>
      <c r="O624" s="184" t="n"/>
    </row>
    <row r="625">
      <c r="A625" s="40">
        <f>IFERROR(__xludf.DUMMYFUNCTION("""COMPUTED_VALUE"""),4619)</f>
        <v/>
      </c>
      <c r="O625" s="184" t="n"/>
    </row>
    <row r="626">
      <c r="A626" s="40">
        <f>IFERROR(__xludf.DUMMYFUNCTION("""COMPUTED_VALUE"""),31874)</f>
        <v/>
      </c>
      <c r="O626" s="184" t="n"/>
    </row>
    <row r="627">
      <c r="A627" s="46">
        <f>IFERROR(__xludf.DUMMYFUNCTION("""COMPUTED_VALUE"""),-34060.5291895907)</f>
        <v/>
      </c>
      <c r="O627" s="184" t="n"/>
    </row>
    <row r="628">
      <c r="A628" s="40" t="n"/>
      <c r="O628" s="184" t="n"/>
    </row>
    <row r="629">
      <c r="A629" s="40" t="n"/>
      <c r="O629" s="184" t="n"/>
    </row>
    <row r="630">
      <c r="A630" s="40" t="n"/>
      <c r="O630" s="184" t="n"/>
    </row>
    <row r="631">
      <c r="A631" s="40" t="n"/>
      <c r="O631" s="184" t="n"/>
    </row>
    <row r="632">
      <c r="A632" s="40">
        <f>IFERROR(__xludf.DUMMYFUNCTION("""COMPUTED_VALUE"""),5320)</f>
        <v/>
      </c>
      <c r="O632" s="184" t="n"/>
    </row>
    <row r="633">
      <c r="A633" s="40">
        <f>IFERROR(__xludf.DUMMYFUNCTION("""COMPUTED_VALUE"""),0)</f>
        <v/>
      </c>
      <c r="O633" s="184" t="n"/>
    </row>
    <row r="634">
      <c r="A634" s="40">
        <f>IFERROR(__xludf.DUMMYFUNCTION("""COMPUTED_VALUE"""),0)</f>
        <v/>
      </c>
      <c r="O634" s="184" t="n"/>
    </row>
    <row r="635">
      <c r="A635" s="40">
        <f>IFERROR(__xludf.DUMMYFUNCTION("""COMPUTED_VALUE"""),0)</f>
        <v/>
      </c>
      <c r="O635" s="184" t="n"/>
    </row>
    <row r="636">
      <c r="A636" s="40">
        <f>IFERROR(__xludf.DUMMYFUNCTION("""COMPUTED_VALUE"""),15000)</f>
        <v/>
      </c>
      <c r="O636" s="184" t="n"/>
    </row>
    <row r="637">
      <c r="A637" s="40">
        <f>IFERROR(__xludf.DUMMYFUNCTION("""COMPUTED_VALUE"""),0)</f>
        <v/>
      </c>
      <c r="O637" s="184" t="n"/>
    </row>
    <row r="638">
      <c r="A638" s="40">
        <f>IFERROR(__xludf.DUMMYFUNCTION("""COMPUTED_VALUE"""),0)</f>
        <v/>
      </c>
      <c r="O638" s="184" t="n"/>
    </row>
    <row r="639">
      <c r="A639" s="40">
        <f>IFERROR(__xludf.DUMMYFUNCTION("""COMPUTED_VALUE"""),0)</f>
        <v/>
      </c>
      <c r="O639" s="184" t="n"/>
    </row>
    <row r="640">
      <c r="A640" s="40">
        <f>IFERROR(__xludf.DUMMYFUNCTION("""COMPUTED_VALUE"""),0)</f>
        <v/>
      </c>
      <c r="O640" s="184" t="n"/>
    </row>
    <row r="641">
      <c r="A641" s="40">
        <f>IFERROR(__xludf.DUMMYFUNCTION("""COMPUTED_VALUE"""),0)</f>
        <v/>
      </c>
      <c r="O641" s="184" t="n"/>
    </row>
    <row r="642">
      <c r="A642" s="40">
        <f>IFERROR(__xludf.DUMMYFUNCTION("""COMPUTED_VALUE"""),0)</f>
        <v/>
      </c>
      <c r="O642" s="184" t="n"/>
    </row>
    <row r="643">
      <c r="A643" s="40">
        <f>IFERROR(__xludf.DUMMYFUNCTION("""COMPUTED_VALUE"""),20320)</f>
        <v/>
      </c>
      <c r="O643" s="184" t="n"/>
    </row>
    <row r="644">
      <c r="A644" s="46">
        <f>IFERROR(__xludf.DUMMYFUNCTION("""COMPUTED_VALUE"""),-40782.0550871475)</f>
        <v/>
      </c>
      <c r="O644" s="184" t="n"/>
    </row>
    <row r="645">
      <c r="A645" s="40" t="n"/>
      <c r="O645" s="184" t="n"/>
    </row>
    <row r="646">
      <c r="A646" s="40" t="n"/>
      <c r="O646" s="184" t="n"/>
    </row>
    <row r="647">
      <c r="A647" s="40" t="n"/>
      <c r="O647" s="184" t="n"/>
    </row>
    <row r="648">
      <c r="A648" s="40" t="n"/>
      <c r="O648" s="184" t="n"/>
    </row>
    <row r="649">
      <c r="A649" s="46">
        <f>IFERROR(__xludf.DUMMYFUNCTION("""COMPUTED_VALUE"""),5402)</f>
        <v/>
      </c>
      <c r="O649" s="184" t="n"/>
    </row>
    <row r="650">
      <c r="A650" s="46">
        <f>IFERROR(__xludf.DUMMYFUNCTION("""COMPUTED_VALUE"""),4060)</f>
        <v/>
      </c>
      <c r="O650" s="184" t="n"/>
    </row>
    <row r="651">
      <c r="A651" s="46">
        <f>IFERROR(__xludf.DUMMYFUNCTION("""COMPUTED_VALUE"""),4378)</f>
        <v/>
      </c>
      <c r="O651" s="184" t="n"/>
    </row>
    <row r="652">
      <c r="A652" s="46">
        <f>IFERROR(__xludf.DUMMYFUNCTION("""COMPUTED_VALUE"""),5168)</f>
        <v/>
      </c>
      <c r="O652" s="184" t="n"/>
    </row>
    <row r="653">
      <c r="A653" s="46">
        <f>IFERROR(__xludf.DUMMYFUNCTION("""COMPUTED_VALUE"""),5168)</f>
        <v/>
      </c>
      <c r="O653" s="184" t="n"/>
    </row>
    <row r="654">
      <c r="A654" s="46">
        <f>IFERROR(__xludf.DUMMYFUNCTION("""COMPUTED_VALUE"""),4741)</f>
        <v/>
      </c>
      <c r="O654" s="184" t="n"/>
    </row>
    <row r="655">
      <c r="A655" s="40">
        <f>IFERROR(__xludf.DUMMYFUNCTION("""COMPUTED_VALUE"""),6114)</f>
        <v/>
      </c>
      <c r="O655" s="184" t="n"/>
    </row>
    <row r="656">
      <c r="A656" s="46">
        <f>IFERROR(__xludf.DUMMYFUNCTION("""COMPUTED_VALUE"""),6546)</f>
        <v/>
      </c>
      <c r="O656" s="184" t="n"/>
    </row>
    <row r="657">
      <c r="A657" s="46">
        <f>IFERROR(__xludf.DUMMYFUNCTION("""COMPUTED_VALUE"""),4800.13)</f>
        <v/>
      </c>
      <c r="O657" s="184" t="n"/>
    </row>
    <row r="658">
      <c r="A658" s="46">
        <f>IFERROR(__xludf.DUMMYFUNCTION("""COMPUTED_VALUE"""),5272)</f>
        <v/>
      </c>
      <c r="O658" s="184" t="n"/>
    </row>
    <row r="659">
      <c r="A659" s="40">
        <f>IFERROR(__xludf.DUMMYFUNCTION("""COMPUTED_VALUE"""),4875)</f>
        <v/>
      </c>
      <c r="O659" s="184" t="n"/>
    </row>
    <row r="660">
      <c r="A660" s="40">
        <f>IFERROR(__xludf.DUMMYFUNCTION("""COMPUTED_VALUE"""),56524.13)</f>
        <v/>
      </c>
      <c r="O660" s="184" t="n"/>
    </row>
    <row r="661">
      <c r="A661" s="46">
        <f>IFERROR(__xludf.DUMMYFUNCTION("""COMPUTED_VALUE"""),-5330.37342170197)</f>
        <v/>
      </c>
      <c r="O661" s="184" t="n"/>
    </row>
    <row r="662">
      <c r="A662" s="40" t="n"/>
      <c r="O662" s="184" t="n"/>
    </row>
    <row r="663">
      <c r="A663" s="40" t="n"/>
      <c r="O663" s="184" t="n"/>
    </row>
    <row r="664">
      <c r="A664" s="40" t="n"/>
      <c r="O664" s="184" t="n"/>
    </row>
    <row r="665">
      <c r="A665" s="40" t="n"/>
      <c r="O665" s="184" t="n"/>
    </row>
    <row r="666">
      <c r="A666" s="46">
        <f>IFERROR(__xludf.DUMMYFUNCTION("""COMPUTED_VALUE"""),5431)</f>
        <v/>
      </c>
      <c r="O666" s="184" t="n"/>
    </row>
    <row r="667">
      <c r="A667" s="46">
        <f>IFERROR(__xludf.DUMMYFUNCTION("""COMPUTED_VALUE"""),4838)</f>
        <v/>
      </c>
      <c r="O667" s="184" t="n"/>
    </row>
    <row r="668">
      <c r="A668" s="46">
        <f>IFERROR(__xludf.DUMMYFUNCTION("""COMPUTED_VALUE"""),5922.86)</f>
        <v/>
      </c>
      <c r="O668" s="184" t="n"/>
    </row>
    <row r="669">
      <c r="A669" s="46">
        <f>IFERROR(__xludf.DUMMYFUNCTION("""COMPUTED_VALUE"""),6830.03)</f>
        <v/>
      </c>
      <c r="O669" s="184" t="n"/>
    </row>
    <row r="670">
      <c r="A670" s="46">
        <f>IFERROR(__xludf.DUMMYFUNCTION("""COMPUTED_VALUE"""),6981.26)</f>
        <v/>
      </c>
      <c r="O670" s="184" t="n"/>
    </row>
    <row r="671">
      <c r="A671" s="46">
        <f>IFERROR(__xludf.DUMMYFUNCTION("""COMPUTED_VALUE"""),5862.45)</f>
        <v/>
      </c>
      <c r="O671" s="184" t="n"/>
    </row>
    <row r="672">
      <c r="A672" s="46">
        <f>IFERROR(__xludf.DUMMYFUNCTION("""COMPUTED_VALUE"""),6114)</f>
        <v/>
      </c>
      <c r="O672" s="184" t="n"/>
    </row>
    <row r="673">
      <c r="A673" s="46">
        <f>IFERROR(__xludf.DUMMYFUNCTION("""COMPUTED_VALUE"""),7947.89)</f>
        <v/>
      </c>
      <c r="O673" s="184" t="n"/>
    </row>
    <row r="674">
      <c r="A674" s="46">
        <f>IFERROR(__xludf.DUMMYFUNCTION("""COMPUTED_VALUE"""),6131.54)</f>
        <v/>
      </c>
      <c r="O674" s="184" t="n"/>
    </row>
    <row r="675">
      <c r="A675" s="46">
        <f>IFERROR(__xludf.DUMMYFUNCTION("""COMPUTED_VALUE"""),0)</f>
        <v/>
      </c>
      <c r="O675" s="184" t="n"/>
    </row>
    <row r="676">
      <c r="A676" s="40">
        <f>IFERROR(__xludf.DUMMYFUNCTION("""COMPUTED_VALUE"""),11302)</f>
        <v/>
      </c>
      <c r="O676" s="184" t="n"/>
    </row>
    <row r="677">
      <c r="A677" s="40">
        <f>IFERROR(__xludf.DUMMYFUNCTION("""COMPUTED_VALUE"""),67361.03)</f>
        <v/>
      </c>
      <c r="O677" s="184" t="n"/>
    </row>
    <row r="678">
      <c r="A678" s="46">
        <f>IFERROR(__xludf.DUMMYFUNCTION("""COMPUTED_VALUE"""),-9022.6744377408)</f>
        <v/>
      </c>
      <c r="O678" s="184" t="n"/>
    </row>
    <row r="679">
      <c r="A679" s="40" t="n"/>
      <c r="O679" s="184" t="n"/>
    </row>
    <row r="680">
      <c r="A680" s="40" t="n"/>
      <c r="O680" s="184" t="n"/>
    </row>
    <row r="681">
      <c r="A681" s="40" t="n"/>
      <c r="O681" s="184" t="n"/>
    </row>
    <row r="682">
      <c r="A682" s="40" t="n"/>
      <c r="O682" s="184" t="n"/>
    </row>
    <row r="683">
      <c r="A683" s="46">
        <f>IFERROR(__xludf.DUMMYFUNCTION("""COMPUTED_VALUE"""),11712)</f>
        <v/>
      </c>
      <c r="O683" s="184" t="n"/>
    </row>
    <row r="684">
      <c r="A684" s="46">
        <f>IFERROR(__xludf.DUMMYFUNCTION("""COMPUTED_VALUE"""),5025)</f>
        <v/>
      </c>
      <c r="O684" s="184" t="n"/>
    </row>
    <row r="685">
      <c r="A685" s="46">
        <f>IFERROR(__xludf.DUMMYFUNCTION("""COMPUTED_VALUE"""),5000)</f>
        <v/>
      </c>
      <c r="O685" s="184" t="n"/>
    </row>
    <row r="686">
      <c r="A686" s="46">
        <f>IFERROR(__xludf.DUMMYFUNCTION("""COMPUTED_VALUE"""),5500)</f>
        <v/>
      </c>
      <c r="O686" s="184" t="n"/>
    </row>
    <row r="687">
      <c r="A687" s="46">
        <f>IFERROR(__xludf.DUMMYFUNCTION("""COMPUTED_VALUE"""),6000)</f>
        <v/>
      </c>
      <c r="O687" s="184" t="n"/>
    </row>
    <row r="688">
      <c r="A688" s="46">
        <f>IFERROR(__xludf.DUMMYFUNCTION("""COMPUTED_VALUE"""),5205)</f>
        <v/>
      </c>
      <c r="O688" s="184" t="n"/>
    </row>
    <row r="689">
      <c r="A689" s="46">
        <f>IFERROR(__xludf.DUMMYFUNCTION("""COMPUTED_VALUE"""),6240)</f>
        <v/>
      </c>
      <c r="O689" s="184" t="n"/>
    </row>
    <row r="690">
      <c r="A690" s="46">
        <f>IFERROR(__xludf.DUMMYFUNCTION("""COMPUTED_VALUE"""),7602)</f>
        <v/>
      </c>
      <c r="O690" s="184" t="n"/>
    </row>
    <row r="691">
      <c r="A691" s="46">
        <f>IFERROR(__xludf.DUMMYFUNCTION("""COMPUTED_VALUE"""),5300)</f>
        <v/>
      </c>
      <c r="O691" s="184" t="n"/>
    </row>
    <row r="692">
      <c r="A692" s="46">
        <f>IFERROR(__xludf.DUMMYFUNCTION("""COMPUTED_VALUE"""),5520)</f>
        <v/>
      </c>
      <c r="O692" s="184" t="n"/>
    </row>
    <row r="693">
      <c r="A693" s="40">
        <f>IFERROR(__xludf.DUMMYFUNCTION("""COMPUTED_VALUE"""),5500)</f>
        <v/>
      </c>
      <c r="O693" s="184" t="n"/>
    </row>
    <row r="694">
      <c r="A694" s="40">
        <f>IFERROR(__xludf.DUMMYFUNCTION("""COMPUTED_VALUE"""),68604)</f>
        <v/>
      </c>
      <c r="O694" s="184" t="n"/>
    </row>
    <row r="695">
      <c r="A695" s="46">
        <f>IFERROR(__xludf.DUMMYFUNCTION("""COMPUTED_VALUE"""),-87.7851766557432)</f>
        <v/>
      </c>
      <c r="O695" s="184" t="n"/>
    </row>
    <row r="696">
      <c r="A696" s="40" t="n"/>
      <c r="O696" s="184" t="n"/>
    </row>
    <row r="697">
      <c r="A697" s="40" t="n"/>
      <c r="O697" s="184" t="n"/>
    </row>
    <row r="698">
      <c r="A698" s="40" t="n"/>
      <c r="O698" s="184" t="n"/>
    </row>
    <row r="699">
      <c r="A699" s="40" t="n"/>
      <c r="O699" s="184" t="n"/>
    </row>
    <row r="700">
      <c r="A700" s="46">
        <f>IFERROR(__xludf.DUMMYFUNCTION("""COMPUTED_VALUE"""),0)</f>
        <v/>
      </c>
      <c r="O700" s="184" t="n"/>
    </row>
    <row r="701">
      <c r="A701" s="46">
        <f>IFERROR(__xludf.DUMMYFUNCTION("""COMPUTED_VALUE"""),0)</f>
        <v/>
      </c>
      <c r="O701" s="184" t="n"/>
    </row>
    <row r="702">
      <c r="A702" s="46">
        <f>IFERROR(__xludf.DUMMYFUNCTION("""COMPUTED_VALUE"""),0)</f>
        <v/>
      </c>
      <c r="O702" s="184" t="n"/>
    </row>
    <row r="703">
      <c r="A703" s="46">
        <f>IFERROR(__xludf.DUMMYFUNCTION("""COMPUTED_VALUE"""),0)</f>
        <v/>
      </c>
      <c r="O703" s="184" t="n"/>
    </row>
    <row r="704">
      <c r="A704" s="46">
        <f>IFERROR(__xludf.DUMMYFUNCTION("""COMPUTED_VALUE"""),0)</f>
        <v/>
      </c>
      <c r="O704" s="184" t="n"/>
    </row>
    <row r="705">
      <c r="A705" s="46">
        <f>IFERROR(__xludf.DUMMYFUNCTION("""COMPUTED_VALUE"""),0)</f>
        <v/>
      </c>
      <c r="O705" s="184" t="n"/>
    </row>
    <row r="706">
      <c r="A706" s="46">
        <f>IFERROR(__xludf.DUMMYFUNCTION("""COMPUTED_VALUE"""),0)</f>
        <v/>
      </c>
      <c r="O706" s="184" t="n"/>
    </row>
    <row r="707">
      <c r="A707" s="46">
        <f>IFERROR(__xludf.DUMMYFUNCTION("""COMPUTED_VALUE"""),0)</f>
        <v/>
      </c>
      <c r="O707" s="184" t="n"/>
    </row>
    <row r="708">
      <c r="A708" s="46">
        <f>IFERROR(__xludf.DUMMYFUNCTION("""COMPUTED_VALUE"""),0)</f>
        <v/>
      </c>
      <c r="O708" s="184" t="n"/>
    </row>
    <row r="709">
      <c r="A709" s="46">
        <f>IFERROR(__xludf.DUMMYFUNCTION("""COMPUTED_VALUE"""),0)</f>
        <v/>
      </c>
      <c r="O709" s="184" t="n"/>
    </row>
    <row r="710">
      <c r="A710" s="40">
        <f>IFERROR(__xludf.DUMMYFUNCTION("""COMPUTED_VALUE"""),0)</f>
        <v/>
      </c>
      <c r="O710" s="184" t="n"/>
    </row>
    <row r="711">
      <c r="A711" s="40">
        <f>IFERROR(__xludf.DUMMYFUNCTION("""COMPUTED_VALUE"""),0)</f>
        <v/>
      </c>
      <c r="O711" s="184" t="n"/>
    </row>
    <row r="712">
      <c r="A712" s="46">
        <f>IFERROR(__xludf.DUMMYFUNCTION("""COMPUTED_VALUE"""),-60862.5042879126)</f>
        <v/>
      </c>
      <c r="O712" s="184" t="n"/>
    </row>
    <row r="713">
      <c r="A713" s="40" t="n"/>
      <c r="O713" s="184" t="n"/>
    </row>
    <row r="714">
      <c r="A714" s="40" t="n"/>
      <c r="O714" s="184" t="n"/>
    </row>
    <row r="715">
      <c r="A715" s="40" t="n"/>
      <c r="O715" s="184" t="n"/>
    </row>
    <row r="716">
      <c r="A716" s="40" t="n"/>
      <c r="O716" s="184" t="n"/>
    </row>
    <row r="717">
      <c r="A717" s="40">
        <f>IFERROR(__xludf.DUMMYFUNCTION("""COMPUTED_VALUE"""),5330)</f>
        <v/>
      </c>
      <c r="O717" s="184" t="n"/>
    </row>
    <row r="718">
      <c r="A718" s="40">
        <f>IFERROR(__xludf.DUMMYFUNCTION("""COMPUTED_VALUE"""),4348)</f>
        <v/>
      </c>
      <c r="O718" s="184" t="n"/>
    </row>
    <row r="719">
      <c r="A719" s="40">
        <f>IFERROR(__xludf.DUMMYFUNCTION("""COMPUTED_VALUE"""),5000)</f>
        <v/>
      </c>
      <c r="O719" s="184" t="n"/>
    </row>
    <row r="720">
      <c r="A720" s="40">
        <f>IFERROR(__xludf.DUMMYFUNCTION("""COMPUTED_VALUE"""),5000)</f>
        <v/>
      </c>
      <c r="O720" s="184" t="n"/>
    </row>
    <row r="721">
      <c r="A721" s="40">
        <f>IFERROR(__xludf.DUMMYFUNCTION("""COMPUTED_VALUE"""),37546)</f>
        <v/>
      </c>
      <c r="O721" s="184" t="n"/>
    </row>
    <row r="722">
      <c r="A722" s="46">
        <f>IFERROR(__xludf.DUMMYFUNCTION("""COMPUTED_VALUE"""),5151)</f>
        <v/>
      </c>
      <c r="O722" s="184" t="n"/>
    </row>
    <row r="723">
      <c r="A723" s="40">
        <f>IFERROR(__xludf.DUMMYFUNCTION("""COMPUTED_VALUE"""),6114)</f>
        <v/>
      </c>
      <c r="O723" s="184" t="n"/>
    </row>
    <row r="724">
      <c r="A724" s="40">
        <f>IFERROR(__xludf.DUMMYFUNCTION("""COMPUTED_VALUE"""),7274)</f>
        <v/>
      </c>
      <c r="O724" s="184" t="n"/>
    </row>
    <row r="725">
      <c r="A725" s="40">
        <f>IFERROR(__xludf.DUMMYFUNCTION("""COMPUTED_VALUE"""),5501)</f>
        <v/>
      </c>
      <c r="O725" s="184" t="n"/>
    </row>
    <row r="726">
      <c r="A726" s="40">
        <f>IFERROR(__xludf.DUMMYFUNCTION("""COMPUTED_VALUE"""),5070)</f>
        <v/>
      </c>
      <c r="O726" s="184" t="n"/>
    </row>
    <row r="727">
      <c r="A727" s="40">
        <f>IFERROR(__xludf.DUMMYFUNCTION("""COMPUTED_VALUE"""),5056)</f>
        <v/>
      </c>
      <c r="O727" s="184" t="n"/>
    </row>
    <row r="728">
      <c r="A728" s="40">
        <f>IFERROR(__xludf.DUMMYFUNCTION("""COMPUTED_VALUE"""),91390)</f>
        <v/>
      </c>
      <c r="O728" s="184" t="n"/>
    </row>
    <row r="729">
      <c r="A729" s="46">
        <f>IFERROR(__xludf.DUMMYFUNCTION("""COMPUTED_VALUE"""),24752.7803768144)</f>
        <v/>
      </c>
      <c r="O729" s="184" t="n"/>
    </row>
    <row r="730">
      <c r="A730" s="40" t="n"/>
      <c r="O730" s="184" t="n"/>
    </row>
    <row r="731">
      <c r="A731" s="40" t="n"/>
      <c r="O731" s="184" t="n"/>
    </row>
    <row r="732">
      <c r="A732" s="40" t="n"/>
      <c r="O732" s="184" t="n"/>
    </row>
    <row r="733">
      <c r="A733" s="40" t="n"/>
      <c r="O733" s="184" t="n"/>
    </row>
    <row r="734">
      <c r="A734" s="46">
        <f>IFERROR(__xludf.DUMMYFUNCTION("""COMPUTED_VALUE"""),0)</f>
        <v/>
      </c>
      <c r="O734" s="184" t="n"/>
    </row>
    <row r="735">
      <c r="A735" s="46">
        <f>IFERROR(__xludf.DUMMYFUNCTION("""COMPUTED_VALUE"""),11151)</f>
        <v/>
      </c>
      <c r="O735" s="184" t="n"/>
    </row>
    <row r="736">
      <c r="A736" s="46">
        <f>IFERROR(__xludf.DUMMYFUNCTION("""COMPUTED_VALUE"""),5119)</f>
        <v/>
      </c>
      <c r="O736" s="184" t="n"/>
    </row>
    <row r="737">
      <c r="A737" s="46">
        <f>IFERROR(__xludf.DUMMYFUNCTION("""COMPUTED_VALUE"""),5905)</f>
        <v/>
      </c>
      <c r="O737" s="184" t="n"/>
    </row>
    <row r="738">
      <c r="A738" s="46">
        <f>IFERROR(__xludf.DUMMYFUNCTION("""COMPUTED_VALUE"""),5905)</f>
        <v/>
      </c>
      <c r="O738" s="184" t="n"/>
    </row>
    <row r="739">
      <c r="A739" s="46">
        <f>IFERROR(__xludf.DUMMYFUNCTION("""COMPUTED_VALUE"""),0)</f>
        <v/>
      </c>
      <c r="O739" s="184" t="n"/>
    </row>
    <row r="740">
      <c r="A740" s="46">
        <f>IFERROR(__xludf.DUMMYFUNCTION("""COMPUTED_VALUE"""),11349)</f>
        <v/>
      </c>
      <c r="O740" s="184" t="n"/>
    </row>
    <row r="741">
      <c r="A741" s="46">
        <f>IFERROR(__xludf.DUMMYFUNCTION("""COMPUTED_VALUE"""),6798.85)</f>
        <v/>
      </c>
      <c r="O741" s="184" t="n"/>
    </row>
    <row r="742">
      <c r="A742" s="46">
        <f>IFERROR(__xludf.DUMMYFUNCTION("""COMPUTED_VALUE"""),5897.24)</f>
        <v/>
      </c>
      <c r="O742" s="184" t="n"/>
    </row>
    <row r="743">
      <c r="A743" s="46">
        <f>IFERROR(__xludf.DUMMYFUNCTION("""COMPUTED_VALUE"""),0)</f>
        <v/>
      </c>
      <c r="O743" s="184" t="n"/>
    </row>
    <row r="744">
      <c r="A744" s="40">
        <f>IFERROR(__xludf.DUMMYFUNCTION("""COMPUTED_VALUE"""),0)</f>
        <v/>
      </c>
      <c r="O744" s="184" t="n"/>
    </row>
    <row r="745">
      <c r="A745" s="40">
        <f>IFERROR(__xludf.DUMMYFUNCTION("""COMPUTED_VALUE"""),52125.09)</f>
        <v/>
      </c>
      <c r="O745" s="184" t="n"/>
    </row>
    <row r="746">
      <c r="A746" s="46">
        <f>IFERROR(__xludf.DUMMYFUNCTION("""COMPUTED_VALUE"""),-16571.5580492877)</f>
        <v/>
      </c>
      <c r="O746" s="184" t="n"/>
    </row>
    <row r="747">
      <c r="A747" s="40" t="n"/>
      <c r="O747" s="184" t="n"/>
    </row>
    <row r="748">
      <c r="A748" s="40" t="n"/>
      <c r="O748" s="184" t="n"/>
    </row>
    <row r="749">
      <c r="A749" s="40" t="n"/>
      <c r="O749" s="184" t="n"/>
    </row>
    <row r="750">
      <c r="A750" s="40" t="n"/>
      <c r="O750" s="184" t="n"/>
    </row>
    <row r="751">
      <c r="A751" s="40">
        <f>IFERROR(__xludf.DUMMYFUNCTION("""COMPUTED_VALUE"""),5665)</f>
        <v/>
      </c>
      <c r="O751" s="184" t="n"/>
    </row>
    <row r="752">
      <c r="A752" s="40">
        <f>IFERROR(__xludf.DUMMYFUNCTION("""COMPUTED_VALUE"""),4439)</f>
        <v/>
      </c>
      <c r="O752" s="184" t="n"/>
    </row>
    <row r="753">
      <c r="A753" s="40">
        <f>IFERROR(__xludf.DUMMYFUNCTION("""COMPUTED_VALUE"""),4778.53)</f>
        <v/>
      </c>
      <c r="O753" s="184" t="n"/>
    </row>
    <row r="754">
      <c r="A754" s="40">
        <f>IFERROR(__xludf.DUMMYFUNCTION("""COMPUTED_VALUE"""),0)</f>
        <v/>
      </c>
      <c r="O754" s="184" t="n"/>
    </row>
    <row r="755">
      <c r="A755" s="40">
        <f>IFERROR(__xludf.DUMMYFUNCTION("""COMPUTED_VALUE"""),11550.33)</f>
        <v/>
      </c>
      <c r="O755" s="184" t="n"/>
    </row>
    <row r="756">
      <c r="A756" s="46">
        <f>IFERROR(__xludf.DUMMYFUNCTION("""COMPUTED_VALUE"""),5067)</f>
        <v/>
      </c>
      <c r="O756" s="184" t="n"/>
    </row>
    <row r="757">
      <c r="A757" s="40">
        <f>IFERROR(__xludf.DUMMYFUNCTION("""COMPUTED_VALUE"""),0)</f>
        <v/>
      </c>
      <c r="O757" s="184" t="n"/>
    </row>
    <row r="758">
      <c r="A758" s="40">
        <f>IFERROR(__xludf.DUMMYFUNCTION("""COMPUTED_VALUE"""),13166.98)</f>
        <v/>
      </c>
      <c r="O758" s="184" t="n"/>
    </row>
    <row r="759">
      <c r="A759" s="40">
        <f>IFERROR(__xludf.DUMMYFUNCTION("""COMPUTED_VALUE"""),0)</f>
        <v/>
      </c>
      <c r="O759" s="184" t="n"/>
    </row>
    <row r="760">
      <c r="A760" s="40">
        <f>IFERROR(__xludf.DUMMYFUNCTION("""COMPUTED_VALUE"""),5025.21)</f>
        <v/>
      </c>
      <c r="O760" s="184" t="n"/>
    </row>
    <row r="761">
      <c r="A761" s="40">
        <f>IFERROR(__xludf.DUMMYFUNCTION("""COMPUTED_VALUE"""),9444)</f>
        <v/>
      </c>
      <c r="O761" s="184" t="n"/>
    </row>
    <row r="762">
      <c r="A762" s="40">
        <f>IFERROR(__xludf.DUMMYFUNCTION("""COMPUTED_VALUE"""),59136.0499999999)</f>
        <v/>
      </c>
      <c r="O762" s="184" t="n"/>
    </row>
    <row r="763">
      <c r="A763" s="46">
        <f>IFERROR(__xludf.DUMMYFUNCTION("""COMPUTED_VALUE"""),-5023.48359795369)</f>
        <v/>
      </c>
      <c r="O763" s="184" t="n"/>
    </row>
    <row r="764">
      <c r="A764" s="40" t="n"/>
      <c r="O764" s="184" t="n"/>
    </row>
    <row r="765">
      <c r="A765" s="40" t="n"/>
      <c r="O765" s="184" t="n"/>
    </row>
    <row r="766">
      <c r="A766" s="40" t="n"/>
      <c r="O766" s="184" t="n"/>
    </row>
    <row r="767">
      <c r="A767" s="40" t="n"/>
      <c r="O767" s="184" t="n"/>
    </row>
    <row r="768">
      <c r="A768" s="40">
        <f>IFERROR(__xludf.DUMMYFUNCTION("""COMPUTED_VALUE"""),0)</f>
        <v/>
      </c>
      <c r="O768" s="184" t="n"/>
    </row>
    <row r="769">
      <c r="A769" s="40">
        <f>IFERROR(__xludf.DUMMYFUNCTION("""COMPUTED_VALUE"""),0)</f>
        <v/>
      </c>
      <c r="O769" s="184" t="n"/>
    </row>
    <row r="770">
      <c r="A770" s="40">
        <f>IFERROR(__xludf.DUMMYFUNCTION("""COMPUTED_VALUE"""),0)</f>
        <v/>
      </c>
      <c r="O770" s="184" t="n"/>
    </row>
    <row r="771">
      <c r="A771" s="40">
        <f>IFERROR(__xludf.DUMMYFUNCTION("""COMPUTED_VALUE"""),10000)</f>
        <v/>
      </c>
      <c r="O771" s="184" t="n"/>
    </row>
    <row r="772">
      <c r="A772" s="40">
        <f>IFERROR(__xludf.DUMMYFUNCTION("""COMPUTED_VALUE"""),0)</f>
        <v/>
      </c>
      <c r="O772" s="184" t="n"/>
    </row>
    <row r="773">
      <c r="A773" s="40">
        <f>IFERROR(__xludf.DUMMYFUNCTION("""COMPUTED_VALUE"""),17240)</f>
        <v/>
      </c>
      <c r="O773" s="184" t="n"/>
    </row>
    <row r="774">
      <c r="A774" s="40">
        <f>IFERROR(__xludf.DUMMYFUNCTION("""COMPUTED_VALUE"""),0)</f>
        <v/>
      </c>
      <c r="O774" s="184" t="n"/>
    </row>
    <row r="775">
      <c r="A775" s="40">
        <f>IFERROR(__xludf.DUMMYFUNCTION("""COMPUTED_VALUE"""),0)</f>
        <v/>
      </c>
      <c r="O775" s="184" t="n"/>
    </row>
    <row r="776">
      <c r="A776" s="40">
        <f>IFERROR(__xludf.DUMMYFUNCTION("""COMPUTED_VALUE"""),23264)</f>
        <v/>
      </c>
      <c r="O776" s="184" t="n"/>
    </row>
    <row r="777">
      <c r="A777" s="40">
        <f>IFERROR(__xludf.DUMMYFUNCTION("""COMPUTED_VALUE"""),0)</f>
        <v/>
      </c>
      <c r="O777" s="184" t="n"/>
    </row>
    <row r="778">
      <c r="A778" s="40">
        <f>IFERROR(__xludf.DUMMYFUNCTION("""COMPUTED_VALUE"""),0)</f>
        <v/>
      </c>
      <c r="O778" s="184" t="n"/>
    </row>
    <row r="779">
      <c r="A779" s="40">
        <f>IFERROR(__xludf.DUMMYFUNCTION("""COMPUTED_VALUE"""),50504)</f>
        <v/>
      </c>
      <c r="O779" s="184" t="n"/>
    </row>
    <row r="780">
      <c r="A780" s="46">
        <f>IFERROR(__xludf.DUMMYFUNCTION("""COMPUTED_VALUE"""),-14394.4863152417)</f>
        <v/>
      </c>
      <c r="O780" s="184" t="n"/>
    </row>
    <row r="781">
      <c r="A781" s="40" t="n"/>
      <c r="O781" s="184" t="n"/>
    </row>
    <row r="782">
      <c r="A782" s="40" t="n"/>
      <c r="O782" s="184" t="n"/>
    </row>
    <row r="783">
      <c r="A783" s="40" t="n"/>
      <c r="O783" s="184" t="n"/>
    </row>
    <row r="784">
      <c r="A784" s="40" t="n"/>
      <c r="O784" s="184" t="n"/>
    </row>
    <row r="785">
      <c r="A785" s="46">
        <f>IFERROR(__xludf.DUMMYFUNCTION("""COMPUTED_VALUE"""),7056)</f>
        <v/>
      </c>
      <c r="O785" s="184" t="n"/>
    </row>
    <row r="786">
      <c r="A786" s="46">
        <f>IFERROR(__xludf.DUMMYFUNCTION("""COMPUTED_VALUE"""),0)</f>
        <v/>
      </c>
      <c r="O786" s="184" t="n"/>
    </row>
    <row r="787">
      <c r="A787" s="46">
        <f>IFERROR(__xludf.DUMMYFUNCTION("""COMPUTED_VALUE"""),9919)</f>
        <v/>
      </c>
      <c r="O787" s="184" t="n"/>
    </row>
    <row r="788">
      <c r="A788" s="46">
        <f>IFERROR(__xludf.DUMMYFUNCTION("""COMPUTED_VALUE"""),6502)</f>
        <v/>
      </c>
      <c r="O788" s="184" t="n"/>
    </row>
    <row r="789">
      <c r="A789" s="46">
        <f>IFERROR(__xludf.DUMMYFUNCTION("""COMPUTED_VALUE"""),6788)</f>
        <v/>
      </c>
      <c r="O789" s="184" t="n"/>
    </row>
    <row r="790">
      <c r="A790" s="46">
        <f>IFERROR(__xludf.DUMMYFUNCTION("""COMPUTED_VALUE"""),6032)</f>
        <v/>
      </c>
      <c r="O790" s="184" t="n"/>
    </row>
    <row r="791">
      <c r="A791" s="40">
        <f>IFERROR(__xludf.DUMMYFUNCTION("""COMPUTED_VALUE"""),0)</f>
        <v/>
      </c>
      <c r="O791" s="184" t="n"/>
    </row>
    <row r="792">
      <c r="A792" s="46">
        <f>IFERROR(__xludf.DUMMYFUNCTION("""COMPUTED_VALUE"""),6231)</f>
        <v/>
      </c>
      <c r="O792" s="184" t="n"/>
    </row>
    <row r="793">
      <c r="A793" s="46">
        <f>IFERROR(__xludf.DUMMYFUNCTION("""COMPUTED_VALUE"""),6329)</f>
        <v/>
      </c>
      <c r="O793" s="184" t="n"/>
    </row>
    <row r="794">
      <c r="A794" s="40">
        <f>IFERROR(__xludf.DUMMYFUNCTION("""COMPUTED_VALUE"""),0)</f>
        <v/>
      </c>
      <c r="O794" s="184" t="n"/>
    </row>
    <row r="795">
      <c r="A795" s="46">
        <f>IFERROR(__xludf.DUMMYFUNCTION("""COMPUTED_VALUE"""),5919)</f>
        <v/>
      </c>
      <c r="O795" s="184" t="n"/>
    </row>
    <row r="796">
      <c r="A796" s="40">
        <f>IFERROR(__xludf.DUMMYFUNCTION("""COMPUTED_VALUE"""),54776)</f>
        <v/>
      </c>
      <c r="O796" s="184" t="n"/>
    </row>
    <row r="797">
      <c r="A797" s="46">
        <f>IFERROR(__xludf.DUMMYFUNCTION("""COMPUTED_VALUE"""),-22238.0545577905)</f>
        <v/>
      </c>
      <c r="O797" s="184" t="n"/>
    </row>
    <row r="798">
      <c r="A798" s="40" t="n"/>
      <c r="O798" s="184" t="n"/>
    </row>
    <row r="799">
      <c r="A799" s="40" t="n"/>
      <c r="O799" s="184" t="n"/>
    </row>
    <row r="800">
      <c r="A800" s="40" t="n"/>
      <c r="O800" s="184" t="n"/>
    </row>
    <row r="801">
      <c r="A801" s="40" t="n"/>
      <c r="O801" s="184" t="n"/>
    </row>
    <row r="802">
      <c r="A802" s="40">
        <f>IFERROR(__xludf.DUMMYFUNCTION("""COMPUTED_VALUE"""),5800)</f>
        <v/>
      </c>
      <c r="O802" s="184" t="n"/>
    </row>
    <row r="803">
      <c r="A803" s="40">
        <f>IFERROR(__xludf.DUMMYFUNCTION("""COMPUTED_VALUE"""),4372)</f>
        <v/>
      </c>
      <c r="O803" s="184" t="n"/>
    </row>
    <row r="804">
      <c r="A804" s="40">
        <f>IFERROR(__xludf.DUMMYFUNCTION("""COMPUTED_VALUE"""),4475)</f>
        <v/>
      </c>
      <c r="O804" s="184" t="n"/>
    </row>
    <row r="805">
      <c r="A805" s="40">
        <f>IFERROR(__xludf.DUMMYFUNCTION("""COMPUTED_VALUE"""),5525)</f>
        <v/>
      </c>
      <c r="O805" s="184" t="n"/>
    </row>
    <row r="806">
      <c r="A806" s="40">
        <f>IFERROR(__xludf.DUMMYFUNCTION("""COMPUTED_VALUE"""),5931)</f>
        <v/>
      </c>
      <c r="O806" s="184" t="n"/>
    </row>
    <row r="807">
      <c r="A807" s="46">
        <f>IFERROR(__xludf.DUMMYFUNCTION("""COMPUTED_VALUE"""),5084)</f>
        <v/>
      </c>
      <c r="O807" s="184" t="n"/>
    </row>
    <row r="808">
      <c r="A808" s="40">
        <f>IFERROR(__xludf.DUMMYFUNCTION("""COMPUTED_VALUE"""),6114)</f>
        <v/>
      </c>
      <c r="O808" s="184" t="n"/>
    </row>
    <row r="809">
      <c r="A809" s="40">
        <f>IFERROR(__xludf.DUMMYFUNCTION("""COMPUTED_VALUE"""),7026)</f>
        <v/>
      </c>
      <c r="O809" s="184" t="n"/>
    </row>
    <row r="810">
      <c r="A810" s="40">
        <f>IFERROR(__xludf.DUMMYFUNCTION("""COMPUTED_VALUE"""),5400)</f>
        <v/>
      </c>
      <c r="O810" s="184" t="n"/>
    </row>
    <row r="811">
      <c r="A811" s="40">
        <f>IFERROR(__xludf.DUMMYFUNCTION("""COMPUTED_VALUE"""),5100)</f>
        <v/>
      </c>
      <c r="O811" s="184" t="n"/>
    </row>
    <row r="812">
      <c r="A812" s="40">
        <f>IFERROR(__xludf.DUMMYFUNCTION("""COMPUTED_VALUE"""),4792)</f>
        <v/>
      </c>
      <c r="O812" s="184" t="n"/>
    </row>
    <row r="813">
      <c r="A813" s="40">
        <f>IFERROR(__xludf.DUMMYFUNCTION("""COMPUTED_VALUE"""),59619)</f>
        <v/>
      </c>
      <c r="O813" s="184" t="n"/>
    </row>
    <row r="814">
      <c r="A814" s="46">
        <f>IFERROR(__xludf.DUMMYFUNCTION("""COMPUTED_VALUE"""),-5272.21932851483)</f>
        <v/>
      </c>
      <c r="O814" s="184" t="n"/>
    </row>
    <row r="815">
      <c r="A815" s="40" t="n"/>
      <c r="O815" s="184" t="n"/>
    </row>
    <row r="816">
      <c r="A816" s="40" t="n"/>
      <c r="O816" s="184" t="n"/>
    </row>
    <row r="817">
      <c r="A817" s="40" t="n"/>
      <c r="O817" s="184" t="n"/>
    </row>
    <row r="818">
      <c r="A818" s="40" t="n"/>
      <c r="O818" s="184" t="n"/>
    </row>
    <row r="819">
      <c r="A819" s="40">
        <f>IFERROR(__xludf.DUMMYFUNCTION("""COMPUTED_VALUE"""),6823)</f>
        <v/>
      </c>
      <c r="O819" s="184" t="n"/>
    </row>
    <row r="820">
      <c r="A820" s="40">
        <f>IFERROR(__xludf.DUMMYFUNCTION("""COMPUTED_VALUE"""),5591)</f>
        <v/>
      </c>
      <c r="O820" s="184" t="n"/>
    </row>
    <row r="821">
      <c r="A821" s="40">
        <f>IFERROR(__xludf.DUMMYFUNCTION("""COMPUTED_VALUE"""),5410)</f>
        <v/>
      </c>
      <c r="O821" s="184" t="n"/>
    </row>
    <row r="822">
      <c r="A822" s="40">
        <f>IFERROR(__xludf.DUMMYFUNCTION("""COMPUTED_VALUE"""),6420)</f>
        <v/>
      </c>
      <c r="O822" s="184" t="n"/>
    </row>
    <row r="823">
      <c r="A823" s="40">
        <f>IFERROR(__xludf.DUMMYFUNCTION("""COMPUTED_VALUE"""),6417)</f>
        <v/>
      </c>
      <c r="O823" s="184" t="n"/>
    </row>
    <row r="824">
      <c r="A824" s="46">
        <f>IFERROR(__xludf.DUMMYFUNCTION("""COMPUTED_VALUE"""),6026)</f>
        <v/>
      </c>
      <c r="O824" s="184" t="n"/>
    </row>
    <row r="825">
      <c r="A825" s="40">
        <f>IFERROR(__xludf.DUMMYFUNCTION("""COMPUTED_VALUE"""),6114)</f>
        <v/>
      </c>
      <c r="O825" s="184" t="n"/>
    </row>
    <row r="826">
      <c r="A826" s="40">
        <f>IFERROR(__xludf.DUMMYFUNCTION("""COMPUTED_VALUE"""),7786)</f>
        <v/>
      </c>
      <c r="O826" s="184" t="n"/>
    </row>
    <row r="827">
      <c r="A827" s="40">
        <f>IFERROR(__xludf.DUMMYFUNCTION("""COMPUTED_VALUE"""),6280)</f>
        <v/>
      </c>
      <c r="O827" s="184" t="n"/>
    </row>
    <row r="828">
      <c r="A828" s="40">
        <f>IFERROR(__xludf.DUMMYFUNCTION("""COMPUTED_VALUE"""),6050)</f>
        <v/>
      </c>
      <c r="O828" s="184" t="n"/>
    </row>
    <row r="829">
      <c r="A829" s="40">
        <f>IFERROR(__xludf.DUMMYFUNCTION("""COMPUTED_VALUE"""),5933)</f>
        <v/>
      </c>
      <c r="O829" s="184" t="n"/>
    </row>
    <row r="830">
      <c r="A830" s="40">
        <f>IFERROR(__xludf.DUMMYFUNCTION("""COMPUTED_VALUE"""),68850)</f>
        <v/>
      </c>
      <c r="O830" s="184" t="n"/>
    </row>
    <row r="831">
      <c r="A831" s="46">
        <f>IFERROR(__xludf.DUMMYFUNCTION("""COMPUTED_VALUE"""),-7754.27772993565)</f>
        <v/>
      </c>
      <c r="O831" s="184" t="n"/>
    </row>
    <row r="832">
      <c r="A832" s="40" t="n"/>
      <c r="O832" s="184" t="n"/>
    </row>
    <row r="833">
      <c r="A833" s="40" t="n"/>
      <c r="O833" s="184" t="n"/>
    </row>
    <row r="834">
      <c r="A834" s="40" t="n"/>
      <c r="O834" s="184" t="n"/>
    </row>
    <row r="835">
      <c r="A835" s="40" t="n"/>
      <c r="O835" s="184" t="n"/>
    </row>
    <row r="836">
      <c r="A836" s="46">
        <f>IFERROR(__xludf.DUMMYFUNCTION("""COMPUTED_VALUE"""),0)</f>
        <v/>
      </c>
      <c r="O836" s="184" t="n"/>
    </row>
    <row r="837">
      <c r="A837" s="46">
        <f>IFERROR(__xludf.DUMMYFUNCTION("""COMPUTED_VALUE"""),69469)</f>
        <v/>
      </c>
      <c r="O837" s="184" t="n"/>
    </row>
    <row r="838">
      <c r="A838" s="46">
        <f>IFERROR(__xludf.DUMMYFUNCTION("""COMPUTED_VALUE"""),0)</f>
        <v/>
      </c>
      <c r="O838" s="184" t="n"/>
    </row>
    <row r="839">
      <c r="A839" s="46">
        <f>IFERROR(__xludf.DUMMYFUNCTION("""COMPUTED_VALUE"""),18827)</f>
        <v/>
      </c>
      <c r="O839" s="184" t="n"/>
    </row>
    <row r="840">
      <c r="A840" s="46">
        <f>IFERROR(__xludf.DUMMYFUNCTION("""COMPUTED_VALUE"""),0)</f>
        <v/>
      </c>
      <c r="O840" s="184" t="n"/>
    </row>
    <row r="841">
      <c r="A841" s="46">
        <f>IFERROR(__xludf.DUMMYFUNCTION("""COMPUTED_VALUE"""),5775)</f>
        <v/>
      </c>
      <c r="O841" s="184" t="n"/>
    </row>
    <row r="842">
      <c r="A842" s="40">
        <f>IFERROR(__xludf.DUMMYFUNCTION("""COMPUTED_VALUE"""),0)</f>
        <v/>
      </c>
      <c r="O842" s="184" t="n"/>
    </row>
    <row r="843">
      <c r="A843" s="46">
        <f>IFERROR(__xludf.DUMMYFUNCTION("""COMPUTED_VALUE"""),6231)</f>
        <v/>
      </c>
      <c r="O843" s="184" t="n"/>
    </row>
    <row r="844">
      <c r="A844" s="46">
        <f>IFERROR(__xludf.DUMMYFUNCTION("""COMPUTED_VALUE"""),0)</f>
        <v/>
      </c>
      <c r="O844" s="184" t="n"/>
    </row>
    <row r="845">
      <c r="A845" s="46">
        <f>IFERROR(__xludf.DUMMYFUNCTION("""COMPUTED_VALUE"""),0)</f>
        <v/>
      </c>
      <c r="O845" s="184" t="n"/>
    </row>
    <row r="846">
      <c r="A846" s="40">
        <f>IFERROR(__xludf.DUMMYFUNCTION("""COMPUTED_VALUE"""),0)</f>
        <v/>
      </c>
      <c r="O846" s="184" t="n"/>
    </row>
    <row r="847">
      <c r="A847" s="40">
        <f>IFERROR(__xludf.DUMMYFUNCTION("""COMPUTED_VALUE"""),100302)</f>
        <v/>
      </c>
      <c r="O847" s="184" t="n"/>
    </row>
    <row r="848">
      <c r="A848" s="46">
        <f>IFERROR(__xludf.DUMMYFUNCTION("""COMPUTED_VALUE"""),23851.2221921476)</f>
        <v/>
      </c>
      <c r="O848" s="184" t="n"/>
    </row>
    <row r="849">
      <c r="A849" s="40" t="n"/>
      <c r="O849" s="184" t="n"/>
    </row>
    <row r="850">
      <c r="A850" s="40" t="n"/>
      <c r="O850" s="184" t="n"/>
    </row>
    <row r="851">
      <c r="A851" s="40" t="n"/>
      <c r="O851" s="184" t="n"/>
    </row>
    <row r="852">
      <c r="A852" s="40" t="n"/>
      <c r="O852" s="184" t="n"/>
    </row>
    <row r="853">
      <c r="A853" s="46">
        <f>IFERROR(__xludf.DUMMYFUNCTION("""COMPUTED_VALUE"""),11928)</f>
        <v/>
      </c>
      <c r="O853" s="184" t="n"/>
    </row>
    <row r="854">
      <c r="A854" s="46">
        <f>IFERROR(__xludf.DUMMYFUNCTION("""COMPUTED_VALUE"""),4905)</f>
        <v/>
      </c>
      <c r="O854" s="184" t="n"/>
    </row>
    <row r="855">
      <c r="A855" s="46">
        <f>IFERROR(__xludf.DUMMYFUNCTION("""COMPUTED_VALUE"""),4860)</f>
        <v/>
      </c>
      <c r="O855" s="184" t="n"/>
    </row>
    <row r="856">
      <c r="A856" s="46">
        <f>IFERROR(__xludf.DUMMYFUNCTION("""COMPUTED_VALUE"""),6114.88)</f>
        <v/>
      </c>
      <c r="O856" s="184" t="n"/>
    </row>
    <row r="857">
      <c r="A857" s="46">
        <f>IFERROR(__xludf.DUMMYFUNCTION("""COMPUTED_VALUE"""),6343)</f>
        <v/>
      </c>
      <c r="O857" s="184" t="n"/>
    </row>
    <row r="858">
      <c r="A858" s="46">
        <f>IFERROR(__xludf.DUMMYFUNCTION("""COMPUTED_VALUE"""),5605)</f>
        <v/>
      </c>
      <c r="O858" s="184" t="n"/>
    </row>
    <row r="859">
      <c r="A859" s="40">
        <f>IFERROR(__xludf.DUMMYFUNCTION("""COMPUTED_VALUE"""),6231)</f>
        <v/>
      </c>
      <c r="O859" s="184" t="n"/>
    </row>
    <row r="860">
      <c r="A860" s="46">
        <f>IFERROR(__xludf.DUMMYFUNCTION("""COMPUTED_VALUE"""),6851)</f>
        <v/>
      </c>
      <c r="O860" s="184" t="n"/>
    </row>
    <row r="861">
      <c r="A861" s="46">
        <f>IFERROR(__xludf.DUMMYFUNCTION("""COMPUTED_VALUE"""),5317.69)</f>
        <v/>
      </c>
      <c r="O861" s="184" t="n"/>
    </row>
    <row r="862">
      <c r="A862" s="46">
        <f>IFERROR(__xludf.DUMMYFUNCTION("""COMPUTED_VALUE"""),5427)</f>
        <v/>
      </c>
      <c r="O862" s="184" t="n"/>
    </row>
    <row r="863">
      <c r="A863" s="40">
        <f>IFERROR(__xludf.DUMMYFUNCTION("""COMPUTED_VALUE"""),5276)</f>
        <v/>
      </c>
      <c r="O863" s="184" t="n"/>
    </row>
    <row r="864">
      <c r="A864" s="40">
        <f>IFERROR(__xludf.DUMMYFUNCTION("""COMPUTED_VALUE"""),68858.57)</f>
        <v/>
      </c>
      <c r="O864" s="184" t="n"/>
    </row>
    <row r="865">
      <c r="A865" s="46">
        <f>IFERROR(__xludf.DUMMYFUNCTION("""COMPUTED_VALUE"""),-416.115829139467)</f>
        <v/>
      </c>
      <c r="O865" s="184" t="n"/>
    </row>
    <row r="866">
      <c r="A866" s="40" t="n"/>
      <c r="O866" s="184" t="n"/>
    </row>
    <row r="867">
      <c r="A867" s="40" t="n"/>
      <c r="O867" s="184" t="n"/>
    </row>
    <row r="868">
      <c r="A868" s="40" t="n"/>
      <c r="O868" s="184" t="n"/>
    </row>
    <row r="869">
      <c r="A869" s="40" t="n"/>
      <c r="O869" s="184" t="n"/>
    </row>
    <row r="870">
      <c r="A870" s="46">
        <f>IFERROR(__xludf.DUMMYFUNCTION("""COMPUTED_VALUE"""),0)</f>
        <v/>
      </c>
      <c r="O870" s="184" t="n"/>
    </row>
    <row r="871">
      <c r="A871" s="46">
        <f>IFERROR(__xludf.DUMMYFUNCTION("""COMPUTED_VALUE"""),5529)</f>
        <v/>
      </c>
      <c r="O871" s="184" t="n"/>
    </row>
    <row r="872">
      <c r="A872" s="46">
        <f>IFERROR(__xludf.DUMMYFUNCTION("""COMPUTED_VALUE"""),0)</f>
        <v/>
      </c>
      <c r="O872" s="184" t="n"/>
    </row>
    <row r="873">
      <c r="A873" s="46">
        <f>IFERROR(__xludf.DUMMYFUNCTION("""COMPUTED_VALUE"""),11187)</f>
        <v/>
      </c>
      <c r="O873" s="184" t="n"/>
    </row>
    <row r="874">
      <c r="A874" s="46">
        <f>IFERROR(__xludf.DUMMYFUNCTION("""COMPUTED_VALUE"""),0)</f>
        <v/>
      </c>
      <c r="O874" s="184" t="n"/>
    </row>
    <row r="875">
      <c r="A875" s="46">
        <f>IFERROR(__xludf.DUMMYFUNCTION("""COMPUTED_VALUE"""),0)</f>
        <v/>
      </c>
      <c r="O875" s="184" t="n"/>
    </row>
    <row r="876">
      <c r="A876" s="46">
        <f>IFERROR(__xludf.DUMMYFUNCTION("""COMPUTED_VALUE"""),0)</f>
        <v/>
      </c>
      <c r="O876" s="184" t="n"/>
    </row>
    <row r="877">
      <c r="A877" s="46">
        <f>IFERROR(__xludf.DUMMYFUNCTION("""COMPUTED_VALUE"""),6231)</f>
        <v/>
      </c>
      <c r="O877" s="184" t="n"/>
    </row>
    <row r="878">
      <c r="A878" s="46">
        <f>IFERROR(__xludf.DUMMYFUNCTION("""COMPUTED_VALUE"""),0)</f>
        <v/>
      </c>
      <c r="O878" s="184" t="n"/>
    </row>
    <row r="879">
      <c r="A879" s="46">
        <f>IFERROR(__xludf.DUMMYFUNCTION("""COMPUTED_VALUE"""),0)</f>
        <v/>
      </c>
      <c r="O879" s="184" t="n"/>
    </row>
    <row r="880">
      <c r="A880" s="40">
        <f>IFERROR(__xludf.DUMMYFUNCTION("""COMPUTED_VALUE"""),0)</f>
        <v/>
      </c>
      <c r="O880" s="184" t="n"/>
    </row>
    <row r="881">
      <c r="A881" s="40">
        <f>IFERROR(__xludf.DUMMYFUNCTION("""COMPUTED_VALUE"""),22947)</f>
        <v/>
      </c>
      <c r="O881" s="184" t="n"/>
    </row>
    <row r="882">
      <c r="A882" s="46">
        <f>IFERROR(__xludf.DUMMYFUNCTION("""COMPUTED_VALUE"""),-46150.1958778069)</f>
        <v/>
      </c>
      <c r="O882" s="184" t="n"/>
    </row>
    <row r="883">
      <c r="A883" s="40" t="n"/>
      <c r="O883" s="184" t="n"/>
    </row>
    <row r="884">
      <c r="A884" s="40" t="n"/>
      <c r="O884" s="184" t="n"/>
    </row>
    <row r="885">
      <c r="A885" s="40" t="n"/>
      <c r="O885" s="184" t="n"/>
    </row>
    <row r="886">
      <c r="A886" s="40" t="n"/>
      <c r="O886" s="184" t="n"/>
    </row>
    <row r="887">
      <c r="A887" s="40">
        <f>IFERROR(__xludf.DUMMYFUNCTION("""COMPUTED_VALUE"""),5941)</f>
        <v/>
      </c>
      <c r="O887" s="184" t="n"/>
    </row>
    <row r="888">
      <c r="A888" s="40">
        <f>IFERROR(__xludf.DUMMYFUNCTION("""COMPUTED_VALUE"""),0)</f>
        <v/>
      </c>
      <c r="O888" s="184" t="n"/>
    </row>
    <row r="889">
      <c r="A889" s="40">
        <f>IFERROR(__xludf.DUMMYFUNCTION("""COMPUTED_VALUE"""),0)</f>
        <v/>
      </c>
      <c r="O889" s="184" t="n"/>
    </row>
    <row r="890">
      <c r="A890" s="40">
        <f>IFERROR(__xludf.DUMMYFUNCTION("""COMPUTED_VALUE"""),4459)</f>
        <v/>
      </c>
      <c r="O890" s="184" t="n"/>
    </row>
    <row r="891">
      <c r="A891" s="40">
        <f>IFERROR(__xludf.DUMMYFUNCTION("""COMPUTED_VALUE"""),0)</f>
        <v/>
      </c>
      <c r="O891" s="184" t="n"/>
    </row>
    <row r="892">
      <c r="A892" s="46">
        <f>IFERROR(__xludf.DUMMYFUNCTION("""COMPUTED_VALUE"""),4776)</f>
        <v/>
      </c>
      <c r="O892" s="184" t="n"/>
    </row>
    <row r="893">
      <c r="A893" s="40">
        <f>IFERROR(__xludf.DUMMYFUNCTION("""COMPUTED_VALUE"""),0)</f>
        <v/>
      </c>
      <c r="O893" s="184" t="n"/>
    </row>
    <row r="894">
      <c r="A894" s="40">
        <f>IFERROR(__xludf.DUMMYFUNCTION("""COMPUTED_VALUE"""),6928)</f>
        <v/>
      </c>
      <c r="O894" s="184" t="n"/>
    </row>
    <row r="895">
      <c r="A895" s="40">
        <f>IFERROR(__xludf.DUMMYFUNCTION("""COMPUTED_VALUE"""),0)</f>
        <v/>
      </c>
      <c r="O895" s="184" t="n"/>
    </row>
    <row r="896">
      <c r="A896" s="40">
        <f>IFERROR(__xludf.DUMMYFUNCTION("""COMPUTED_VALUE"""),4920)</f>
        <v/>
      </c>
      <c r="O896" s="184" t="n"/>
    </row>
    <row r="897">
      <c r="A897" s="40">
        <f>IFERROR(__xludf.DUMMYFUNCTION("""COMPUTED_VALUE"""),4511)</f>
        <v/>
      </c>
      <c r="O897" s="184" t="n"/>
    </row>
    <row r="898">
      <c r="A898" s="40">
        <f>IFERROR(__xludf.DUMMYFUNCTION("""COMPUTED_VALUE"""),31535)</f>
        <v/>
      </c>
      <c r="O898" s="184" t="n"/>
    </row>
    <row r="899">
      <c r="A899" s="46">
        <f>IFERROR(__xludf.DUMMYFUNCTION("""COMPUTED_VALUE"""),-31322.0061991657)</f>
        <v/>
      </c>
      <c r="O899" s="184" t="n"/>
    </row>
    <row r="900">
      <c r="A900" s="40" t="n"/>
      <c r="O900" s="184" t="n"/>
    </row>
    <row r="901">
      <c r="A901" s="40" t="n"/>
      <c r="O901" s="184" t="n"/>
    </row>
    <row r="902">
      <c r="A902" s="40" t="n"/>
      <c r="O902" s="184" t="n"/>
    </row>
    <row r="903">
      <c r="A903" s="40" t="n"/>
      <c r="O903" s="184" t="n"/>
    </row>
    <row r="904">
      <c r="A904" s="46">
        <f>IFERROR(__xludf.DUMMYFUNCTION("""COMPUTED_VALUE"""),6739)</f>
        <v/>
      </c>
      <c r="O904" s="184" t="n"/>
    </row>
    <row r="905">
      <c r="A905" s="46">
        <f>IFERROR(__xludf.DUMMYFUNCTION("""COMPUTED_VALUE"""),0)</f>
        <v/>
      </c>
      <c r="O905" s="184" t="n"/>
    </row>
    <row r="906">
      <c r="A906" s="46">
        <f>IFERROR(__xludf.DUMMYFUNCTION("""COMPUTED_VALUE"""),0)</f>
        <v/>
      </c>
      <c r="O906" s="184" t="n"/>
    </row>
    <row r="907">
      <c r="A907" s="46">
        <f>IFERROR(__xludf.DUMMYFUNCTION("""COMPUTED_VALUE"""),11818)</f>
        <v/>
      </c>
      <c r="O907" s="184" t="n"/>
    </row>
    <row r="908">
      <c r="A908" s="46">
        <f>IFERROR(__xludf.DUMMYFUNCTION("""COMPUTED_VALUE"""),0)</f>
        <v/>
      </c>
      <c r="O908" s="184" t="n"/>
    </row>
    <row r="909">
      <c r="A909" s="46">
        <f>IFERROR(__xludf.DUMMYFUNCTION("""COMPUTED_VALUE"""),6296)</f>
        <v/>
      </c>
      <c r="O909" s="184" t="n"/>
    </row>
    <row r="910">
      <c r="A910" s="46">
        <f>IFERROR(__xludf.DUMMYFUNCTION("""COMPUTED_VALUE"""),5634)</f>
        <v/>
      </c>
      <c r="O910" s="184" t="n"/>
    </row>
    <row r="911">
      <c r="A911" s="46">
        <f>IFERROR(__xludf.DUMMYFUNCTION("""COMPUTED_VALUE"""),13828.61)</f>
        <v/>
      </c>
      <c r="O911" s="184" t="n"/>
    </row>
    <row r="912">
      <c r="A912" s="46">
        <f>IFERROR(__xludf.DUMMYFUNCTION("""COMPUTED_VALUE"""),0)</f>
        <v/>
      </c>
      <c r="O912" s="184" t="n"/>
    </row>
    <row r="913">
      <c r="A913" s="46">
        <f>IFERROR(__xludf.DUMMYFUNCTION("""COMPUTED_VALUE"""),0)</f>
        <v/>
      </c>
      <c r="O913" s="184" t="n"/>
    </row>
    <row r="914">
      <c r="A914" s="40">
        <f>IFERROR(__xludf.DUMMYFUNCTION("""COMPUTED_VALUE"""),0)</f>
        <v/>
      </c>
      <c r="O914" s="184" t="n"/>
    </row>
    <row r="915">
      <c r="A915" s="40">
        <f>IFERROR(__xludf.DUMMYFUNCTION("""COMPUTED_VALUE"""),44315.61)</f>
        <v/>
      </c>
      <c r="O915" s="184" t="n"/>
    </row>
    <row r="916">
      <c r="A916" s="46">
        <f>IFERROR(__xludf.DUMMYFUNCTION("""COMPUTED_VALUE"""),-30362.3735508388)</f>
        <v/>
      </c>
      <c r="O916" s="184" t="n"/>
    </row>
    <row r="917">
      <c r="A917" s="40" t="n"/>
      <c r="O917" s="184" t="n"/>
    </row>
    <row r="918">
      <c r="A918" s="40" t="n"/>
      <c r="O918" s="184" t="n"/>
    </row>
    <row r="919">
      <c r="A919" s="40" t="n"/>
      <c r="O919" s="184" t="n"/>
    </row>
    <row r="920">
      <c r="A920" s="40" t="n"/>
      <c r="O920" s="184" t="n"/>
    </row>
    <row r="921">
      <c r="A921" s="40">
        <f>IFERROR(__xludf.DUMMYFUNCTION("""COMPUTED_VALUE"""),0)</f>
        <v/>
      </c>
      <c r="O921" s="184" t="n"/>
    </row>
    <row r="922">
      <c r="A922" s="40">
        <f>IFERROR(__xludf.DUMMYFUNCTION("""COMPUTED_VALUE"""),4076)</f>
        <v/>
      </c>
      <c r="O922" s="184" t="n"/>
    </row>
    <row r="923">
      <c r="A923" s="40">
        <f>IFERROR(__xludf.DUMMYFUNCTION("""COMPUTED_VALUE"""),4403.5)</f>
        <v/>
      </c>
      <c r="O923" s="184" t="n"/>
    </row>
    <row r="924">
      <c r="A924" s="40">
        <f>IFERROR(__xludf.DUMMYFUNCTION("""COMPUTED_VALUE"""),1794)</f>
        <v/>
      </c>
      <c r="O924" s="184" t="n"/>
    </row>
    <row r="925">
      <c r="A925" s="40">
        <f>IFERROR(__xludf.DUMMYFUNCTION("""COMPUTED_VALUE"""),5777.61)</f>
        <v/>
      </c>
      <c r="O925" s="184" t="n"/>
    </row>
    <row r="926">
      <c r="A926" s="40">
        <f>IFERROR(__xludf.DUMMYFUNCTION("""COMPUTED_VALUE"""),0)</f>
        <v/>
      </c>
      <c r="O926" s="184" t="n"/>
    </row>
    <row r="927">
      <c r="A927" s="40">
        <f>IFERROR(__xludf.DUMMYFUNCTION("""COMPUTED_VALUE"""),6114)</f>
        <v/>
      </c>
      <c r="O927" s="184" t="n"/>
    </row>
    <row r="928">
      <c r="A928" s="40">
        <f>IFERROR(__xludf.DUMMYFUNCTION("""COMPUTED_VALUE"""),6643.62)</f>
        <v/>
      </c>
      <c r="O928" s="184" t="n"/>
    </row>
    <row r="929">
      <c r="A929" s="40">
        <f>IFERROR(__xludf.DUMMYFUNCTION("""COMPUTED_VALUE"""),4889.6)</f>
        <v/>
      </c>
      <c r="O929" s="184" t="n"/>
    </row>
    <row r="930">
      <c r="A930" s="40">
        <f>IFERROR(__xludf.DUMMYFUNCTION("""COMPUTED_VALUE"""),5312)</f>
        <v/>
      </c>
      <c r="O930" s="184" t="n"/>
    </row>
    <row r="931">
      <c r="A931" s="40">
        <f>IFERROR(__xludf.DUMMYFUNCTION("""COMPUTED_VALUE"""),4499)</f>
        <v/>
      </c>
      <c r="O931" s="184" t="n"/>
    </row>
    <row r="932">
      <c r="A932" s="40">
        <f>IFERROR(__xludf.DUMMYFUNCTION("""COMPUTED_VALUE"""),43509.33)</f>
        <v/>
      </c>
      <c r="O932" s="184" t="n"/>
    </row>
    <row r="933">
      <c r="A933" s="46">
        <f>IFERROR(__xludf.DUMMYFUNCTION("""COMPUTED_VALUE"""),-18487.0432223354)</f>
        <v/>
      </c>
      <c r="O933" s="184" t="n"/>
    </row>
    <row r="934">
      <c r="A934" s="40" t="n"/>
      <c r="O934" s="184" t="n"/>
    </row>
    <row r="935">
      <c r="A935" s="40" t="n"/>
      <c r="O935" s="184" t="n"/>
    </row>
    <row r="936">
      <c r="A936" s="40" t="n"/>
      <c r="O936" s="184" t="n"/>
    </row>
    <row r="937">
      <c r="A937" s="40" t="n"/>
      <c r="O937" s="184" t="n"/>
    </row>
    <row r="938">
      <c r="A938" s="46">
        <f>IFERROR(__xludf.DUMMYFUNCTION("""COMPUTED_VALUE"""),6007)</f>
        <v/>
      </c>
      <c r="O938" s="184" t="n"/>
    </row>
    <row r="939">
      <c r="A939" s="46">
        <f>IFERROR(__xludf.DUMMYFUNCTION("""COMPUTED_VALUE"""),4778)</f>
        <v/>
      </c>
      <c r="O939" s="184" t="n"/>
    </row>
    <row r="940">
      <c r="A940" s="46">
        <f>IFERROR(__xludf.DUMMYFUNCTION("""COMPUTED_VALUE"""),4529)</f>
        <v/>
      </c>
      <c r="O940" s="184" t="n"/>
    </row>
    <row r="941">
      <c r="A941" s="46">
        <f>IFERROR(__xludf.DUMMYFUNCTION("""COMPUTED_VALUE"""),5200)</f>
        <v/>
      </c>
      <c r="O941" s="184" t="n"/>
    </row>
    <row r="942">
      <c r="A942" s="46">
        <f>IFERROR(__xludf.DUMMYFUNCTION("""COMPUTED_VALUE"""),0)</f>
        <v/>
      </c>
      <c r="O942" s="184" t="n"/>
    </row>
    <row r="943">
      <c r="A943" s="46">
        <f>IFERROR(__xludf.DUMMYFUNCTION("""COMPUTED_VALUE"""),4881)</f>
        <v/>
      </c>
      <c r="O943" s="184" t="n"/>
    </row>
    <row r="944">
      <c r="A944" s="40">
        <f>IFERROR(__xludf.DUMMYFUNCTION("""COMPUTED_VALUE"""),6114)</f>
        <v/>
      </c>
      <c r="O944" s="184" t="n"/>
    </row>
    <row r="945">
      <c r="A945" s="46">
        <f>IFERROR(__xludf.DUMMYFUNCTION("""COMPUTED_VALUE"""),0)</f>
        <v/>
      </c>
      <c r="O945" s="184" t="n"/>
    </row>
    <row r="946">
      <c r="A946" s="46">
        <f>IFERROR(__xludf.DUMMYFUNCTION("""COMPUTED_VALUE"""),4800.42)</f>
        <v/>
      </c>
      <c r="O946" s="184" t="n"/>
    </row>
    <row r="947">
      <c r="A947" s="46">
        <f>IFERROR(__xludf.DUMMYFUNCTION("""COMPUTED_VALUE"""),0)</f>
        <v/>
      </c>
      <c r="O947" s="184" t="n"/>
    </row>
    <row r="948">
      <c r="A948" s="40">
        <f>IFERROR(__xludf.DUMMYFUNCTION("""COMPUTED_VALUE"""),10081)</f>
        <v/>
      </c>
      <c r="O948" s="184" t="n"/>
    </row>
    <row r="949">
      <c r="A949" s="40">
        <f>IFERROR(__xludf.DUMMYFUNCTION("""COMPUTED_VALUE"""),46390.42)</f>
        <v/>
      </c>
      <c r="O949" s="184" t="n"/>
    </row>
    <row r="950">
      <c r="A950" s="46">
        <f>IFERROR(__xludf.DUMMYFUNCTION("""COMPUTED_VALUE"""),-17304.7316854205)</f>
        <v/>
      </c>
      <c r="O950" s="184" t="n"/>
    </row>
    <row r="951">
      <c r="A951" s="40" t="n"/>
      <c r="O951" s="184" t="n"/>
    </row>
    <row r="952">
      <c r="A952" s="40" t="n"/>
      <c r="O952" s="184" t="n"/>
    </row>
    <row r="953">
      <c r="A953" s="40" t="n"/>
      <c r="O953" s="184" t="n"/>
    </row>
    <row r="954">
      <c r="A954" s="40" t="n"/>
      <c r="O954" s="184" t="n"/>
    </row>
    <row r="955">
      <c r="A955" s="40">
        <f>IFERROR(__xludf.DUMMYFUNCTION("""COMPUTED_VALUE"""),5977)</f>
        <v/>
      </c>
      <c r="O955" s="184" t="n"/>
    </row>
    <row r="956">
      <c r="A956" s="40">
        <f>IFERROR(__xludf.DUMMYFUNCTION("""COMPUTED_VALUE"""),5426)</f>
        <v/>
      </c>
      <c r="O956" s="184" t="n"/>
    </row>
    <row r="957">
      <c r="A957" s="40">
        <f>IFERROR(__xludf.DUMMYFUNCTION("""COMPUTED_VALUE"""),5329)</f>
        <v/>
      </c>
      <c r="O957" s="184" t="n"/>
    </row>
    <row r="958">
      <c r="A958" s="40">
        <f>IFERROR(__xludf.DUMMYFUNCTION("""COMPUTED_VALUE"""),5840)</f>
        <v/>
      </c>
      <c r="O958" s="184" t="n"/>
    </row>
    <row r="959">
      <c r="A959" s="40">
        <f>IFERROR(__xludf.DUMMYFUNCTION("""COMPUTED_VALUE"""),5840)</f>
        <v/>
      </c>
      <c r="O959" s="184" t="n"/>
    </row>
    <row r="960">
      <c r="A960" s="46">
        <f>IFERROR(__xludf.DUMMYFUNCTION("""COMPUTED_VALUE"""),5245)</f>
        <v/>
      </c>
      <c r="O960" s="184" t="n"/>
    </row>
    <row r="961">
      <c r="A961" s="40">
        <f>IFERROR(__xludf.DUMMYFUNCTION("""COMPUTED_VALUE"""),6231)</f>
        <v/>
      </c>
      <c r="O961" s="184" t="n"/>
    </row>
    <row r="962">
      <c r="A962" s="40">
        <f>IFERROR(__xludf.DUMMYFUNCTION("""COMPUTED_VALUE"""),7087.29)</f>
        <v/>
      </c>
      <c r="O962" s="184" t="n"/>
    </row>
    <row r="963">
      <c r="A963" s="40">
        <f>IFERROR(__xludf.DUMMYFUNCTION("""COMPUTED_VALUE"""),5455.4)</f>
        <v/>
      </c>
      <c r="O963" s="184" t="n"/>
    </row>
    <row r="964">
      <c r="A964" s="40">
        <f>IFERROR(__xludf.DUMMYFUNCTION("""COMPUTED_VALUE"""),5508)</f>
        <v/>
      </c>
      <c r="O964" s="184" t="n"/>
    </row>
    <row r="965">
      <c r="A965" s="40">
        <f>IFERROR(__xludf.DUMMYFUNCTION("""COMPUTED_VALUE"""),4658)</f>
        <v/>
      </c>
      <c r="O965" s="184" t="n"/>
    </row>
    <row r="966">
      <c r="A966" s="40">
        <f>IFERROR(__xludf.DUMMYFUNCTION("""COMPUTED_VALUE"""),62596.69)</f>
        <v/>
      </c>
      <c r="O966" s="184" t="n"/>
    </row>
    <row r="967">
      <c r="A967" s="46">
        <f>IFERROR(__xludf.DUMMYFUNCTION("""COMPUTED_VALUE"""),-5537.38470986243)</f>
        <v/>
      </c>
      <c r="O967" s="184" t="n"/>
    </row>
    <row r="968">
      <c r="A968" s="40" t="n"/>
      <c r="O968" s="184" t="n"/>
    </row>
    <row r="969">
      <c r="A969" s="40" t="n"/>
      <c r="O969" s="184" t="n"/>
    </row>
    <row r="970">
      <c r="A970" s="40" t="n"/>
      <c r="O970" s="184" t="n"/>
    </row>
    <row r="971">
      <c r="A971" s="40" t="n"/>
      <c r="O971" s="184" t="n"/>
    </row>
    <row r="972">
      <c r="A972" s="46">
        <f>IFERROR(__xludf.DUMMYFUNCTION("""COMPUTED_VALUE"""),6577)</f>
        <v/>
      </c>
      <c r="O972" s="184" t="n"/>
    </row>
    <row r="973">
      <c r="A973" s="46">
        <f>IFERROR(__xludf.DUMMYFUNCTION("""COMPUTED_VALUE"""),4959)</f>
        <v/>
      </c>
      <c r="O973" s="184" t="n"/>
    </row>
    <row r="974">
      <c r="A974" s="46">
        <f>IFERROR(__xludf.DUMMYFUNCTION("""COMPUTED_VALUE"""),5281)</f>
        <v/>
      </c>
      <c r="O974" s="184" t="n"/>
    </row>
    <row r="975">
      <c r="A975" s="46">
        <f>IFERROR(__xludf.DUMMYFUNCTION("""COMPUTED_VALUE"""),5886)</f>
        <v/>
      </c>
      <c r="O975" s="184" t="n"/>
    </row>
    <row r="976">
      <c r="A976" s="46">
        <f>IFERROR(__xludf.DUMMYFUNCTION("""COMPUTED_VALUE"""),9000)</f>
        <v/>
      </c>
      <c r="O976" s="184" t="n"/>
    </row>
    <row r="977">
      <c r="A977" s="46">
        <f>IFERROR(__xludf.DUMMYFUNCTION("""COMPUTED_VALUE"""),5796)</f>
        <v/>
      </c>
      <c r="O977" s="184" t="n"/>
    </row>
    <row r="978">
      <c r="A978" s="46">
        <f>IFERROR(__xludf.DUMMYFUNCTION("""COMPUTED_VALUE"""),6864)</f>
        <v/>
      </c>
      <c r="O978" s="184" t="n"/>
    </row>
    <row r="979">
      <c r="A979" s="46">
        <f>IFERROR(__xludf.DUMMYFUNCTION("""COMPUTED_VALUE"""),7323)</f>
        <v/>
      </c>
      <c r="O979" s="184" t="n"/>
    </row>
    <row r="980">
      <c r="A980" s="46">
        <f>IFERROR(__xludf.DUMMYFUNCTION("""COMPUTED_VALUE"""),0)</f>
        <v/>
      </c>
      <c r="O980" s="184" t="n"/>
    </row>
    <row r="981">
      <c r="A981" s="46">
        <f>IFERROR(__xludf.DUMMYFUNCTION("""COMPUTED_VALUE"""),0)</f>
        <v/>
      </c>
      <c r="O981" s="184" t="n"/>
    </row>
    <row r="982">
      <c r="A982" s="40">
        <f>IFERROR(__xludf.DUMMYFUNCTION("""COMPUTED_VALUE"""),12354)</f>
        <v/>
      </c>
      <c r="O982" s="184" t="n"/>
    </row>
    <row r="983">
      <c r="A983" s="40">
        <f>IFERROR(__xludf.DUMMYFUNCTION("""COMPUTED_VALUE"""),64040)</f>
        <v/>
      </c>
      <c r="O983" s="184" t="n"/>
    </row>
    <row r="984">
      <c r="A984" s="46">
        <f>IFERROR(__xludf.DUMMYFUNCTION("""COMPUTED_VALUE"""),-9449.22658768123)</f>
        <v/>
      </c>
      <c r="O984" s="184" t="n"/>
    </row>
    <row r="985">
      <c r="A985" s="40" t="n"/>
      <c r="O985" s="184" t="n"/>
    </row>
    <row r="986">
      <c r="A986" s="40" t="n"/>
      <c r="O986" s="184" t="n"/>
    </row>
    <row r="987">
      <c r="A987" s="40" t="n"/>
      <c r="O987" s="184" t="n"/>
    </row>
    <row r="988">
      <c r="A988" s="40" t="n"/>
      <c r="O988" s="184" t="n"/>
    </row>
    <row r="989">
      <c r="A989" s="46">
        <f>IFERROR(__xludf.DUMMYFUNCTION("""COMPUTED_VALUE"""),0)</f>
        <v/>
      </c>
      <c r="O989" s="184" t="n"/>
    </row>
    <row r="990">
      <c r="A990" s="46">
        <f>IFERROR(__xludf.DUMMYFUNCTION("""COMPUTED_VALUE"""),10528)</f>
        <v/>
      </c>
      <c r="O990" s="184" t="n"/>
    </row>
    <row r="991">
      <c r="A991" s="46">
        <f>IFERROR(__xludf.DUMMYFUNCTION("""COMPUTED_VALUE"""),4585)</f>
        <v/>
      </c>
      <c r="O991" s="184" t="n"/>
    </row>
    <row r="992">
      <c r="A992" s="46">
        <f>IFERROR(__xludf.DUMMYFUNCTION("""COMPUTED_VALUE"""),5351)</f>
        <v/>
      </c>
      <c r="O992" s="184" t="n"/>
    </row>
    <row r="993">
      <c r="A993" s="46">
        <f>IFERROR(__xludf.DUMMYFUNCTION("""COMPUTED_VALUE"""),0)</f>
        <v/>
      </c>
      <c r="O993" s="184" t="n"/>
    </row>
    <row r="994">
      <c r="A994" s="46">
        <f>IFERROR(__xludf.DUMMYFUNCTION("""COMPUTED_VALUE"""),5176)</f>
        <v/>
      </c>
      <c r="O994" s="184" t="n"/>
    </row>
    <row r="995">
      <c r="A995" s="46">
        <f>IFERROR(__xludf.DUMMYFUNCTION("""COMPUTED_VALUE"""),4834)</f>
        <v/>
      </c>
      <c r="O995" s="184" t="n"/>
    </row>
    <row r="996">
      <c r="A996" s="46">
        <f>IFERROR(__xludf.DUMMYFUNCTION("""COMPUTED_VALUE"""),13174.1199999999)</f>
        <v/>
      </c>
      <c r="O996" s="184" t="n"/>
    </row>
    <row r="997">
      <c r="A997" s="46">
        <f>IFERROR(__xludf.DUMMYFUNCTION("""COMPUTED_VALUE"""),0)</f>
        <v/>
      </c>
      <c r="O997" s="184" t="n"/>
    </row>
    <row r="998">
      <c r="A998" s="46">
        <f>IFERROR(__xludf.DUMMYFUNCTION("""COMPUTED_VALUE"""),0)</f>
        <v/>
      </c>
      <c r="O998" s="184" t="n"/>
    </row>
    <row r="999">
      <c r="A999" s="40">
        <f>IFERROR(__xludf.DUMMYFUNCTION("""COMPUTED_VALUE"""),5163)</f>
        <v/>
      </c>
      <c r="O999" s="184" t="n"/>
    </row>
    <row r="1000">
      <c r="A1000" s="40">
        <f>IFERROR(__xludf.DUMMYFUNCTION("""COMPUTED_VALUE"""),48811.1199999999)</f>
        <v/>
      </c>
      <c r="O1000" s="184" t="n"/>
    </row>
    <row r="1001">
      <c r="A1001" s="46">
        <f>IFERROR(__xludf.DUMMYFUNCTION("""COMPUTED_VALUE"""),-15596.8644666795)</f>
        <v/>
      </c>
      <c r="O1001" s="184" t="n"/>
    </row>
    <row r="1002">
      <c r="A1002" s="40" t="n"/>
      <c r="O1002" s="184" t="n"/>
    </row>
    <row r="1003">
      <c r="A1003" s="40" t="n"/>
      <c r="O1003" s="184" t="n"/>
    </row>
    <row r="1004">
      <c r="A1004" s="40" t="n"/>
      <c r="O1004" s="184" t="n"/>
    </row>
    <row r="1005">
      <c r="A1005" s="40" t="n"/>
      <c r="O1005" s="184" t="n"/>
    </row>
    <row r="1006">
      <c r="A1006" s="46">
        <f>IFERROR(__xludf.DUMMYFUNCTION("""COMPUTED_VALUE"""),6103)</f>
        <v/>
      </c>
      <c r="O1006" s="184" t="n"/>
    </row>
    <row r="1007">
      <c r="A1007" s="46">
        <f>IFERROR(__xludf.DUMMYFUNCTION("""COMPUTED_VALUE"""),4195)</f>
        <v/>
      </c>
      <c r="O1007" s="184" t="n"/>
    </row>
    <row r="1008">
      <c r="A1008" s="46">
        <f>IFERROR(__xludf.DUMMYFUNCTION("""COMPUTED_VALUE"""),4410.4)</f>
        <v/>
      </c>
      <c r="O1008" s="184" t="n"/>
    </row>
    <row r="1009">
      <c r="A1009" s="46">
        <f>IFERROR(__xludf.DUMMYFUNCTION("""COMPUTED_VALUE"""),5218.7)</f>
        <v/>
      </c>
      <c r="O1009" s="184" t="n"/>
    </row>
    <row r="1010">
      <c r="A1010" s="46">
        <f>IFERROR(__xludf.DUMMYFUNCTION("""COMPUTED_VALUE"""),5695.22)</f>
        <v/>
      </c>
      <c r="O1010" s="184" t="n"/>
    </row>
    <row r="1011">
      <c r="A1011" s="46">
        <f>IFERROR(__xludf.DUMMYFUNCTION("""COMPUTED_VALUE"""),4826.82)</f>
        <v/>
      </c>
      <c r="O1011" s="184" t="n"/>
    </row>
    <row r="1012">
      <c r="A1012" s="46">
        <f>IFERROR(__xludf.DUMMYFUNCTION("""COMPUTED_VALUE"""),6114)</f>
        <v/>
      </c>
      <c r="O1012" s="184" t="n"/>
    </row>
    <row r="1013">
      <c r="A1013" s="46">
        <f>IFERROR(__xludf.DUMMYFUNCTION("""COMPUTED_VALUE"""),6980.33)</f>
        <v/>
      </c>
      <c r="O1013" s="184" t="n"/>
    </row>
    <row r="1014">
      <c r="A1014" s="46">
        <f>IFERROR(__xludf.DUMMYFUNCTION("""COMPUTED_VALUE"""),16977.41)</f>
        <v/>
      </c>
      <c r="O1014" s="184" t="n"/>
    </row>
    <row r="1015">
      <c r="A1015" s="46">
        <f>IFERROR(__xludf.DUMMYFUNCTION("""COMPUTED_VALUE"""),4982)</f>
        <v/>
      </c>
      <c r="O1015" s="184" t="n"/>
    </row>
    <row r="1016">
      <c r="A1016" s="40">
        <f>IFERROR(__xludf.DUMMYFUNCTION("""COMPUTED_VALUE"""),4604)</f>
        <v/>
      </c>
      <c r="O1016" s="184" t="n"/>
    </row>
    <row r="1017">
      <c r="A1017" s="40">
        <f>IFERROR(__xludf.DUMMYFUNCTION("""COMPUTED_VALUE"""),70106.88)</f>
        <v/>
      </c>
      <c r="O1017" s="184" t="n"/>
    </row>
    <row r="1018">
      <c r="A1018" s="46">
        <f>IFERROR(__xludf.DUMMYFUNCTION("""COMPUTED_VALUE"""),7741.3289408239)</f>
        <v/>
      </c>
      <c r="O1018" s="184" t="n"/>
    </row>
    <row r="1019">
      <c r="A1019" s="40" t="n"/>
      <c r="O1019" s="184" t="n"/>
    </row>
    <row r="1020">
      <c r="A1020" s="40" t="n"/>
      <c r="O1020" s="184" t="n"/>
    </row>
    <row r="1021">
      <c r="A1021" s="40" t="n"/>
      <c r="O1021" s="184" t="n"/>
    </row>
    <row r="1022">
      <c r="A1022" s="40" t="n"/>
      <c r="O1022" s="184" t="n"/>
    </row>
    <row r="1023">
      <c r="A1023" s="46">
        <f>IFERROR(__xludf.DUMMYFUNCTION("""COMPUTED_VALUE"""),12000)</f>
        <v/>
      </c>
      <c r="O1023" s="184" t="n"/>
    </row>
    <row r="1024">
      <c r="A1024" s="40">
        <f>IFERROR(__xludf.DUMMYFUNCTION("""COMPUTED_VALUE"""),0)</f>
        <v/>
      </c>
      <c r="O1024" s="184" t="n"/>
    </row>
    <row r="1025">
      <c r="A1025" s="40">
        <f>IFERROR(__xludf.DUMMYFUNCTION("""COMPUTED_VALUE"""),12000)</f>
        <v/>
      </c>
      <c r="O1025" s="184" t="n"/>
    </row>
    <row r="1026">
      <c r="A1026" s="40">
        <f>IFERROR(__xludf.DUMMYFUNCTION("""COMPUTED_VALUE"""),0)</f>
        <v/>
      </c>
      <c r="O1026" s="184" t="n"/>
    </row>
    <row r="1027">
      <c r="A1027" s="40">
        <f>IFERROR(__xludf.DUMMYFUNCTION("""COMPUTED_VALUE"""),12000)</f>
        <v/>
      </c>
      <c r="O1027" s="184" t="n"/>
    </row>
    <row r="1028">
      <c r="A1028" s="40">
        <f>IFERROR(__xludf.DUMMYFUNCTION("""COMPUTED_VALUE"""),12000)</f>
        <v/>
      </c>
      <c r="O1028" s="184" t="n"/>
    </row>
    <row r="1029">
      <c r="A1029" s="46">
        <f>IFERROR(__xludf.DUMMYFUNCTION("""COMPUTED_VALUE"""),12000)</f>
        <v/>
      </c>
      <c r="O1029" s="184" t="n"/>
    </row>
    <row r="1030">
      <c r="A1030" s="40">
        <f>IFERROR(__xludf.DUMMYFUNCTION("""COMPUTED_VALUE"""),0)</f>
        <v/>
      </c>
      <c r="O1030" s="184" t="n"/>
    </row>
    <row r="1031">
      <c r="A1031" s="40">
        <f>IFERROR(__xludf.DUMMYFUNCTION("""COMPUTED_VALUE"""),0)</f>
        <v/>
      </c>
      <c r="O1031" s="184" t="n"/>
    </row>
    <row r="1032">
      <c r="A1032" s="40">
        <f>IFERROR(__xludf.DUMMYFUNCTION("""COMPUTED_VALUE"""),12000)</f>
        <v/>
      </c>
      <c r="O1032" s="184" t="n"/>
    </row>
    <row r="1033">
      <c r="A1033" s="40">
        <f>IFERROR(__xludf.DUMMYFUNCTION("""COMPUTED_VALUE"""),0)</f>
        <v/>
      </c>
      <c r="O1033" s="184" t="n"/>
    </row>
    <row r="1034">
      <c r="A1034" s="40">
        <f>IFERROR(__xludf.DUMMYFUNCTION("""COMPUTED_VALUE"""),72000)</f>
        <v/>
      </c>
      <c r="O1034" s="184" t="n"/>
    </row>
    <row r="1035">
      <c r="A1035" s="46">
        <f>IFERROR(__xludf.DUMMYFUNCTION("""COMPUTED_VALUE"""),5358.0591150161)</f>
        <v/>
      </c>
      <c r="O1035" s="184" t="n"/>
    </row>
    <row r="1036">
      <c r="A1036" s="40" t="n"/>
      <c r="O1036" s="184" t="n"/>
    </row>
    <row r="1037">
      <c r="A1037" s="40" t="n"/>
      <c r="O1037" s="184" t="n"/>
    </row>
    <row r="1038">
      <c r="A1038" s="40" t="n"/>
      <c r="O1038" s="184" t="n"/>
    </row>
    <row r="1039">
      <c r="A1039" s="40" t="n"/>
      <c r="O1039" s="184" t="n"/>
    </row>
    <row r="1040">
      <c r="A1040" s="46">
        <f>IFERROR(__xludf.DUMMYFUNCTION("""COMPUTED_VALUE"""),11709)</f>
        <v/>
      </c>
      <c r="O1040" s="184" t="n"/>
    </row>
    <row r="1041">
      <c r="A1041" s="46">
        <f>IFERROR(__xludf.DUMMYFUNCTION("""COMPUTED_VALUE"""),5262)</f>
        <v/>
      </c>
      <c r="O1041" s="184" t="n"/>
    </row>
    <row r="1042">
      <c r="A1042" s="46">
        <f>IFERROR(__xludf.DUMMYFUNCTION("""COMPUTED_VALUE"""),4875)</f>
        <v/>
      </c>
      <c r="O1042" s="184" t="n"/>
    </row>
    <row r="1043">
      <c r="A1043" s="46">
        <f>IFERROR(__xludf.DUMMYFUNCTION("""COMPUTED_VALUE"""),5514)</f>
        <v/>
      </c>
      <c r="O1043" s="184" t="n"/>
    </row>
    <row r="1044">
      <c r="A1044" s="46">
        <f>IFERROR(__xludf.DUMMYFUNCTION("""COMPUTED_VALUE"""),0)</f>
        <v/>
      </c>
      <c r="O1044" s="184" t="n"/>
    </row>
    <row r="1045">
      <c r="A1045" s="46">
        <f>IFERROR(__xludf.DUMMYFUNCTION("""COMPUTED_VALUE"""),5237)</f>
        <v/>
      </c>
      <c r="O1045" s="184" t="n"/>
    </row>
    <row r="1046">
      <c r="A1046" s="46">
        <f>IFERROR(__xludf.DUMMYFUNCTION("""COMPUTED_VALUE"""),6231)</f>
        <v/>
      </c>
      <c r="O1046" s="184" t="n"/>
    </row>
    <row r="1047">
      <c r="A1047" s="46">
        <f>IFERROR(__xludf.DUMMYFUNCTION("""COMPUTED_VALUE"""),7045)</f>
        <v/>
      </c>
      <c r="O1047" s="184" t="n"/>
    </row>
    <row r="1048">
      <c r="A1048" s="46">
        <f>IFERROR(__xludf.DUMMYFUNCTION("""COMPUTED_VALUE"""),5556)</f>
        <v/>
      </c>
      <c r="O1048" s="184" t="n"/>
    </row>
    <row r="1049">
      <c r="A1049" s="46">
        <f>IFERROR(__xludf.DUMMYFUNCTION("""COMPUTED_VALUE"""),1489)</f>
        <v/>
      </c>
      <c r="O1049" s="184" t="n"/>
    </row>
    <row r="1050">
      <c r="A1050" s="40">
        <f>IFERROR(__xludf.DUMMYFUNCTION("""COMPUTED_VALUE"""),3631)</f>
        <v/>
      </c>
      <c r="O1050" s="184" t="n"/>
    </row>
    <row r="1051">
      <c r="A1051" s="40">
        <f>IFERROR(__xludf.DUMMYFUNCTION("""COMPUTED_VALUE"""),56549)</f>
        <v/>
      </c>
      <c r="O1051" s="184" t="n"/>
    </row>
    <row r="1052">
      <c r="A1052" s="46">
        <f>IFERROR(__xludf.DUMMYFUNCTION("""COMPUTED_VALUE"""),-10541.9018608224)</f>
        <v/>
      </c>
      <c r="O1052" s="184" t="n"/>
    </row>
    <row r="1053">
      <c r="A1053" s="40" t="n"/>
      <c r="O1053" s="184" t="n"/>
    </row>
    <row r="1054">
      <c r="A1054" s="40" t="n"/>
      <c r="O1054" s="184" t="n"/>
    </row>
    <row r="1055">
      <c r="A1055" s="40" t="n"/>
      <c r="O1055" s="184" t="n"/>
    </row>
    <row r="1056">
      <c r="A1056" s="40" t="n"/>
      <c r="O1056" s="184" t="n"/>
    </row>
    <row r="1057">
      <c r="A1057" s="46">
        <f>IFERROR(__xludf.DUMMYFUNCTION("""COMPUTED_VALUE"""),6247)</f>
        <v/>
      </c>
      <c r="O1057" s="184" t="n"/>
    </row>
    <row r="1058">
      <c r="A1058" s="46">
        <f>IFERROR(__xludf.DUMMYFUNCTION("""COMPUTED_VALUE"""),0)</f>
        <v/>
      </c>
      <c r="O1058" s="184" t="n"/>
    </row>
    <row r="1059">
      <c r="A1059" s="46">
        <f>IFERROR(__xludf.DUMMYFUNCTION("""COMPUTED_VALUE"""),5152)</f>
        <v/>
      </c>
      <c r="O1059" s="184" t="n"/>
    </row>
    <row r="1060">
      <c r="A1060" s="46">
        <f>IFERROR(__xludf.DUMMYFUNCTION("""COMPUTED_VALUE"""),6161)</f>
        <v/>
      </c>
      <c r="O1060" s="184" t="n"/>
    </row>
    <row r="1061">
      <c r="A1061" s="46">
        <f>IFERROR(__xludf.DUMMYFUNCTION("""COMPUTED_VALUE"""),0)</f>
        <v/>
      </c>
      <c r="O1061" s="184" t="n"/>
    </row>
    <row r="1062">
      <c r="A1062" s="46">
        <f>IFERROR(__xludf.DUMMYFUNCTION("""COMPUTED_VALUE"""),5511)</f>
        <v/>
      </c>
      <c r="O1062" s="184" t="n"/>
    </row>
    <row r="1063">
      <c r="A1063" s="46">
        <f>IFERROR(__xludf.DUMMYFUNCTION("""COMPUTED_VALUE"""),0)</f>
        <v/>
      </c>
      <c r="O1063" s="184" t="n"/>
    </row>
    <row r="1064">
      <c r="A1064" s="46">
        <f>IFERROR(__xludf.DUMMYFUNCTION("""COMPUTED_VALUE"""),6231)</f>
        <v/>
      </c>
      <c r="O1064" s="184" t="n"/>
    </row>
    <row r="1065">
      <c r="A1065" s="46">
        <f>IFERROR(__xludf.DUMMYFUNCTION("""COMPUTED_VALUE"""),0)</f>
        <v/>
      </c>
      <c r="O1065" s="184" t="n"/>
    </row>
    <row r="1066">
      <c r="A1066" s="46">
        <f>IFERROR(__xludf.DUMMYFUNCTION("""COMPUTED_VALUE"""),5781)</f>
        <v/>
      </c>
      <c r="O1066" s="184" t="n"/>
    </row>
    <row r="1067">
      <c r="A1067" s="40">
        <f>IFERROR(__xludf.DUMMYFUNCTION("""COMPUTED_VALUE"""),5832)</f>
        <v/>
      </c>
      <c r="O1067" s="184" t="n"/>
    </row>
    <row r="1068">
      <c r="A1068" s="40">
        <f>IFERROR(__xludf.DUMMYFUNCTION("""COMPUTED_VALUE"""),40915)</f>
        <v/>
      </c>
      <c r="O1068" s="184" t="n"/>
    </row>
    <row r="1069">
      <c r="A1069" s="46">
        <f>IFERROR(__xludf.DUMMYFUNCTION("""COMPUTED_VALUE"""),-37677.8262869147)</f>
        <v/>
      </c>
      <c r="O1069" s="184" t="n"/>
    </row>
    <row r="1070">
      <c r="A1070" s="40" t="n"/>
      <c r="O1070" s="184" t="n"/>
    </row>
    <row r="1071">
      <c r="A1071" s="40" t="n"/>
      <c r="O1071" s="184" t="n"/>
    </row>
    <row r="1072">
      <c r="A1072" s="40" t="n"/>
      <c r="O1072" s="184" t="n"/>
    </row>
    <row r="1073">
      <c r="A1073" s="40" t="n"/>
      <c r="O1073" s="184" t="n"/>
    </row>
    <row r="1074">
      <c r="A1074" s="40">
        <f>IFERROR(__xludf.DUMMYFUNCTION("""COMPUTED_VALUE"""),5625)</f>
        <v/>
      </c>
      <c r="O1074" s="184" t="n"/>
    </row>
    <row r="1075">
      <c r="A1075" s="40">
        <f>IFERROR(__xludf.DUMMYFUNCTION("""COMPUTED_VALUE"""),4119)</f>
        <v/>
      </c>
      <c r="O1075" s="184" t="n"/>
    </row>
    <row r="1076">
      <c r="A1076" s="40">
        <f>IFERROR(__xludf.DUMMYFUNCTION("""COMPUTED_VALUE"""),4962)</f>
        <v/>
      </c>
      <c r="O1076" s="184" t="n"/>
    </row>
    <row r="1077">
      <c r="A1077" s="40">
        <f>IFERROR(__xludf.DUMMYFUNCTION("""COMPUTED_VALUE"""),5875)</f>
        <v/>
      </c>
      <c r="O1077" s="184" t="n"/>
    </row>
    <row r="1078">
      <c r="A1078" s="40">
        <f>IFERROR(__xludf.DUMMYFUNCTION("""COMPUTED_VALUE"""),0)</f>
        <v/>
      </c>
      <c r="O1078" s="184" t="n"/>
    </row>
    <row r="1079">
      <c r="A1079" s="46">
        <f>IFERROR(__xludf.DUMMYFUNCTION("""COMPUTED_VALUE"""),5154)</f>
        <v/>
      </c>
      <c r="O1079" s="184" t="n"/>
    </row>
    <row r="1080">
      <c r="A1080" s="46">
        <f>IFERROR(__xludf.DUMMYFUNCTION("""COMPUTED_VALUE"""),0)</f>
        <v/>
      </c>
      <c r="O1080" s="184" t="n"/>
    </row>
    <row r="1081">
      <c r="A1081" s="40">
        <f>IFERROR(__xludf.DUMMYFUNCTION("""COMPUTED_VALUE"""),6114)</f>
        <v/>
      </c>
      <c r="O1081" s="184" t="n"/>
    </row>
    <row r="1082">
      <c r="A1082" s="40">
        <f>IFERROR(__xludf.DUMMYFUNCTION("""COMPUTED_VALUE"""),5460)</f>
        <v/>
      </c>
      <c r="O1082" s="184" t="n"/>
    </row>
    <row r="1083">
      <c r="A1083" s="40">
        <f>IFERROR(__xludf.DUMMYFUNCTION("""COMPUTED_VALUE"""),5387)</f>
        <v/>
      </c>
      <c r="O1083" s="184" t="n"/>
    </row>
    <row r="1084">
      <c r="A1084" s="40">
        <f>IFERROR(__xludf.DUMMYFUNCTION("""COMPUTED_VALUE"""),5366)</f>
        <v/>
      </c>
      <c r="O1084" s="184" t="n"/>
    </row>
    <row r="1085">
      <c r="A1085" s="40">
        <f>IFERROR(__xludf.DUMMYFUNCTION("""COMPUTED_VALUE"""),48062)</f>
        <v/>
      </c>
      <c r="O1085" s="184" t="n"/>
    </row>
    <row r="1086">
      <c r="A1086" s="46">
        <f>IFERROR(__xludf.DUMMYFUNCTION("""COMPUTED_VALUE"""),-19125.2071393933)</f>
        <v/>
      </c>
      <c r="O1086" s="184" t="n"/>
    </row>
    <row r="1087">
      <c r="A1087" s="40" t="n"/>
      <c r="O1087" s="184" t="n"/>
    </row>
    <row r="1088">
      <c r="A1088" s="40" t="n"/>
      <c r="O1088" s="184" t="n"/>
    </row>
    <row r="1089">
      <c r="O1089" s="184" t="n"/>
    </row>
    <row r="1090">
      <c r="O1090" s="184" t="n"/>
    </row>
    <row r="1091">
      <c r="O1091" s="184" t="n"/>
    </row>
    <row r="1092">
      <c r="O1092" s="184" t="n"/>
    </row>
    <row r="1093">
      <c r="O1093" s="184" t="n"/>
    </row>
    <row r="1094">
      <c r="O1094" s="184" t="n"/>
    </row>
    <row r="1095">
      <c r="O1095" s="184" t="n"/>
    </row>
    <row r="1096">
      <c r="O1096" s="184" t="n"/>
    </row>
    <row r="1097">
      <c r="O1097" s="184" t="n"/>
    </row>
    <row r="1098">
      <c r="O1098" s="184" t="n"/>
    </row>
    <row r="1099">
      <c r="O1099" s="184" t="n"/>
    </row>
    <row r="1100">
      <c r="O1100" s="184" t="n"/>
    </row>
    <row r="1101">
      <c r="O1101" s="184" t="n"/>
    </row>
    <row r="1102">
      <c r="O1102" s="184" t="n"/>
    </row>
    <row r="1103">
      <c r="O1103" s="184" t="n"/>
    </row>
    <row r="1104">
      <c r="O1104" s="184" t="n"/>
    </row>
    <row r="1105">
      <c r="O1105" s="184" t="n"/>
    </row>
    <row r="1106">
      <c r="O1106" s="184" t="n"/>
    </row>
    <row r="1107">
      <c r="O1107" s="184" t="n"/>
    </row>
    <row r="1108">
      <c r="O1108" s="184" t="n"/>
    </row>
    <row r="1109">
      <c r="O1109" s="184" t="n"/>
    </row>
    <row r="1110">
      <c r="O1110" s="184" t="n"/>
    </row>
    <row r="1111">
      <c r="O1111" s="184" t="n"/>
    </row>
    <row r="1112">
      <c r="O1112" s="184" t="n"/>
    </row>
    <row r="1113">
      <c r="O1113" s="184" t="n"/>
    </row>
    <row r="1114">
      <c r="O1114" s="184" t="n"/>
    </row>
    <row r="1115">
      <c r="O1115" s="184" t="n"/>
    </row>
    <row r="1116">
      <c r="O1116" s="184" t="n"/>
    </row>
    <row r="1117">
      <c r="O1117" s="184" t="n"/>
    </row>
    <row r="1118">
      <c r="O1118" s="184" t="n"/>
    </row>
    <row r="1119">
      <c r="O1119" s="184" t="n"/>
    </row>
    <row r="1120">
      <c r="O1120" s="184" t="n"/>
    </row>
    <row r="1121">
      <c r="O1121" s="184" t="n"/>
    </row>
    <row r="1122">
      <c r="O1122" s="184" t="n"/>
    </row>
    <row r="1123">
      <c r="O1123" s="184" t="n"/>
    </row>
    <row r="1124">
      <c r="O1124" s="184" t="n"/>
    </row>
    <row r="1125">
      <c r="O1125" s="184" t="n"/>
    </row>
    <row r="1126">
      <c r="O1126" s="184" t="n"/>
    </row>
    <row r="1127">
      <c r="O1127" s="184" t="n"/>
    </row>
    <row r="1128">
      <c r="O1128" s="184" t="n"/>
    </row>
    <row r="1129">
      <c r="O1129" s="184" t="n"/>
    </row>
    <row r="1130">
      <c r="O1130" s="184" t="n"/>
    </row>
    <row r="1131">
      <c r="O1131" s="184" t="n"/>
    </row>
    <row r="1132">
      <c r="O1132" s="184" t="n"/>
    </row>
    <row r="1133">
      <c r="O1133" s="184" t="n"/>
    </row>
    <row r="1134">
      <c r="O1134" s="184" t="n"/>
    </row>
    <row r="1135">
      <c r="O1135" s="184" t="n"/>
    </row>
    <row r="1136">
      <c r="O1136" s="184" t="n"/>
    </row>
    <row r="1137">
      <c r="O1137" s="184" t="n"/>
    </row>
    <row r="1138">
      <c r="O1138" s="184" t="n"/>
    </row>
    <row r="1139">
      <c r="O1139" s="184" t="n"/>
    </row>
    <row r="1140">
      <c r="O1140" s="184" t="n"/>
    </row>
    <row r="1141">
      <c r="O1141" s="184" t="n"/>
    </row>
    <row r="1142">
      <c r="O1142" s="184" t="n"/>
    </row>
    <row r="1143">
      <c r="O1143" s="184" t="n"/>
    </row>
    <row r="1144">
      <c r="O1144" s="184" t="n"/>
    </row>
    <row r="1145">
      <c r="O1145" s="184" t="n"/>
    </row>
    <row r="1146">
      <c r="O1146" s="184" t="n"/>
    </row>
    <row r="1147">
      <c r="O1147" s="184" t="n"/>
    </row>
    <row r="1148">
      <c r="O1148" s="184" t="n"/>
    </row>
    <row r="1149">
      <c r="O1149" s="184" t="n"/>
    </row>
    <row r="1150">
      <c r="O1150" s="184" t="n"/>
    </row>
    <row r="1151">
      <c r="O1151" s="184" t="n"/>
    </row>
    <row r="1152">
      <c r="O1152" s="184" t="n"/>
    </row>
    <row r="1153">
      <c r="O1153" s="184" t="n"/>
    </row>
    <row r="1154">
      <c r="O1154" s="184" t="n"/>
    </row>
    <row r="1155">
      <c r="O1155" s="184" t="n"/>
    </row>
    <row r="1156">
      <c r="O1156" s="184" t="n"/>
    </row>
    <row r="1157">
      <c r="O1157" s="184" t="n"/>
    </row>
    <row r="1158">
      <c r="O1158" s="184" t="n"/>
    </row>
    <row r="1159">
      <c r="O1159" s="184" t="n"/>
    </row>
    <row r="1160">
      <c r="O1160" s="184" t="n"/>
    </row>
    <row r="1161">
      <c r="O1161" s="184" t="n"/>
    </row>
    <row r="1162">
      <c r="O1162" s="184" t="n"/>
    </row>
    <row r="1163">
      <c r="O1163" s="184" t="n"/>
    </row>
    <row r="1164">
      <c r="O1164" s="184" t="n"/>
    </row>
    <row r="1165">
      <c r="O1165" s="184" t="n"/>
    </row>
    <row r="1166">
      <c r="O1166" s="184" t="n"/>
    </row>
    <row r="1167">
      <c r="O1167" s="184" t="n"/>
    </row>
    <row r="1168">
      <c r="O1168" s="184" t="n"/>
    </row>
    <row r="1169">
      <c r="O1169" s="184" t="n"/>
    </row>
    <row r="1170">
      <c r="O1170" s="184" t="n"/>
    </row>
    <row r="1171">
      <c r="O1171" s="184" t="n"/>
    </row>
    <row r="1172">
      <c r="O1172" s="184" t="n"/>
    </row>
    <row r="1173">
      <c r="O1173" s="184" t="n"/>
    </row>
    <row r="1174">
      <c r="O1174" s="184" t="n"/>
    </row>
    <row r="1175">
      <c r="O1175" s="184" t="n"/>
    </row>
    <row r="1176">
      <c r="O1176" s="184" t="n"/>
    </row>
    <row r="1177">
      <c r="O1177" s="184" t="n"/>
    </row>
    <row r="1178">
      <c r="O1178" s="184" t="n"/>
    </row>
    <row r="1179">
      <c r="O1179" s="184" t="n"/>
    </row>
    <row r="1180">
      <c r="O1180" s="184" t="n"/>
    </row>
    <row r="1181">
      <c r="O1181" s="184" t="n"/>
    </row>
    <row r="1182">
      <c r="O1182" s="184" t="n"/>
    </row>
    <row r="1183">
      <c r="O1183" s="184" t="n"/>
    </row>
    <row r="1184">
      <c r="O1184" s="184" t="n"/>
    </row>
    <row r="1185">
      <c r="O1185" s="184" t="n"/>
    </row>
    <row r="1186">
      <c r="O1186" s="184" t="n"/>
    </row>
    <row r="1187">
      <c r="O1187" s="184" t="n"/>
    </row>
    <row r="1188">
      <c r="O1188" s="184" t="n"/>
    </row>
    <row r="1189">
      <c r="O1189" s="184" t="n"/>
    </row>
    <row r="1190">
      <c r="O1190" s="184" t="n"/>
    </row>
    <row r="1191">
      <c r="O1191" s="184" t="n"/>
    </row>
    <row r="1192">
      <c r="O1192" s="184" t="n"/>
    </row>
    <row r="1193">
      <c r="O1193" s="184" t="n"/>
    </row>
    <row r="1194">
      <c r="O1194" s="184" t="n"/>
    </row>
    <row r="1195">
      <c r="O1195" s="184" t="n"/>
    </row>
    <row r="1196">
      <c r="O1196" s="184" t="n"/>
    </row>
    <row r="1197">
      <c r="O1197" s="184" t="n"/>
    </row>
    <row r="1198">
      <c r="O1198" s="184" t="n"/>
    </row>
    <row r="1199">
      <c r="O1199" s="184" t="n"/>
    </row>
    <row r="1200">
      <c r="O1200" s="184" t="n"/>
    </row>
    <row r="1201">
      <c r="O1201" s="184" t="n"/>
    </row>
    <row r="1202">
      <c r="O1202" s="184" t="n"/>
    </row>
    <row r="1203">
      <c r="O1203" s="184" t="n"/>
    </row>
    <row r="1204">
      <c r="O1204" s="184" t="n"/>
    </row>
    <row r="1205">
      <c r="O1205" s="184" t="n"/>
    </row>
    <row r="1206">
      <c r="O1206" s="184" t="n"/>
    </row>
    <row r="1207">
      <c r="O1207" s="184" t="n"/>
    </row>
    <row r="1208">
      <c r="O1208" s="184" t="n"/>
    </row>
    <row r="1209">
      <c r="O1209" s="184" t="n"/>
    </row>
    <row r="1210">
      <c r="O1210" s="184" t="n"/>
    </row>
    <row r="1211">
      <c r="O1211" s="184" t="n"/>
    </row>
    <row r="1212">
      <c r="O1212" s="184" t="n"/>
    </row>
    <row r="1213">
      <c r="O1213" s="184" t="n"/>
    </row>
    <row r="1214">
      <c r="O1214" s="184" t="n"/>
    </row>
    <row r="1215">
      <c r="O1215" s="184" t="n"/>
    </row>
    <row r="1216">
      <c r="O1216" s="184" t="n"/>
    </row>
    <row r="1217">
      <c r="O1217" s="184" t="n"/>
    </row>
    <row r="1218">
      <c r="O1218" s="184" t="n"/>
    </row>
    <row r="1219">
      <c r="O1219" s="184" t="n"/>
    </row>
    <row r="1220">
      <c r="O1220" s="184" t="n"/>
    </row>
    <row r="1221">
      <c r="O1221" s="184" t="n"/>
    </row>
    <row r="1222">
      <c r="O1222" s="184" t="n"/>
    </row>
    <row r="1223">
      <c r="O1223" s="184" t="n"/>
    </row>
    <row r="1224">
      <c r="O1224" s="184" t="n"/>
    </row>
    <row r="1225">
      <c r="O1225" s="184" t="n"/>
    </row>
    <row r="1226">
      <c r="O1226" s="184" t="n"/>
    </row>
    <row r="1227">
      <c r="O1227" s="184" t="n"/>
    </row>
    <row r="1228">
      <c r="O1228" s="184" t="n"/>
    </row>
    <row r="1229">
      <c r="O1229" s="184" t="n"/>
    </row>
    <row r="1230">
      <c r="O1230" s="184" t="n"/>
    </row>
    <row r="1231">
      <c r="O1231" s="184" t="n"/>
    </row>
    <row r="1232">
      <c r="O1232" s="184" t="n"/>
    </row>
    <row r="1233">
      <c r="O1233" s="184" t="n"/>
    </row>
    <row r="1234">
      <c r="O1234" s="184" t="n"/>
    </row>
    <row r="1235">
      <c r="O1235" s="184" t="n"/>
    </row>
    <row r="1236">
      <c r="O1236" s="184" t="n"/>
    </row>
    <row r="1237">
      <c r="O1237" s="184" t="n"/>
    </row>
    <row r="1238">
      <c r="O1238" s="184" t="n"/>
    </row>
    <row r="1239">
      <c r="O1239" s="184" t="n"/>
    </row>
    <row r="1240">
      <c r="O1240" s="184" t="n"/>
    </row>
    <row r="1241">
      <c r="O1241" s="184" t="n"/>
    </row>
    <row r="1242">
      <c r="O1242" s="184" t="n"/>
    </row>
    <row r="1243">
      <c r="O1243" s="184" t="n"/>
    </row>
    <row r="1244">
      <c r="O1244" s="184" t="n"/>
    </row>
    <row r="1245">
      <c r="O1245" s="184" t="n"/>
    </row>
    <row r="1246">
      <c r="O1246" s="184" t="n"/>
    </row>
    <row r="1247">
      <c r="O1247" s="184" t="n"/>
    </row>
    <row r="1248">
      <c r="O1248" s="184" t="n"/>
    </row>
    <row r="1249">
      <c r="O1249" s="184" t="n"/>
    </row>
    <row r="1250">
      <c r="O1250" s="184" t="n"/>
    </row>
    <row r="1251">
      <c r="O1251" s="184" t="n"/>
    </row>
    <row r="1252">
      <c r="O1252" s="184" t="n"/>
    </row>
    <row r="1253">
      <c r="O1253" s="184" t="n"/>
    </row>
    <row r="1254">
      <c r="O1254" s="184" t="n"/>
    </row>
    <row r="1255">
      <c r="O1255" s="184" t="n"/>
    </row>
    <row r="1256">
      <c r="O1256" s="184" t="n"/>
    </row>
    <row r="1257">
      <c r="O1257" s="184" t="n"/>
    </row>
    <row r="1258">
      <c r="O1258" s="184" t="n"/>
    </row>
    <row r="1259">
      <c r="O1259" s="184" t="n"/>
    </row>
    <row r="1260">
      <c r="O1260" s="184" t="n"/>
    </row>
    <row r="1261">
      <c r="O1261" s="184" t="n"/>
    </row>
    <row r="1262">
      <c r="O1262" s="184" t="n"/>
    </row>
    <row r="1263">
      <c r="O1263" s="184" t="n"/>
    </row>
    <row r="1264">
      <c r="O1264" s="184" t="n"/>
    </row>
    <row r="1265">
      <c r="O1265" s="184" t="n"/>
    </row>
    <row r="1266">
      <c r="O1266" s="184" t="n"/>
    </row>
    <row r="1267">
      <c r="O1267" s="184" t="n"/>
    </row>
    <row r="1268">
      <c r="O1268" s="184" t="n"/>
    </row>
    <row r="1269">
      <c r="O1269" s="184" t="n"/>
    </row>
    <row r="1270">
      <c r="O1270" s="184" t="n"/>
    </row>
    <row r="1271">
      <c r="O1271" s="184" t="n"/>
    </row>
    <row r="1272">
      <c r="O1272" s="184" t="n"/>
    </row>
    <row r="1273">
      <c r="O1273" s="184" t="n"/>
    </row>
    <row r="1274">
      <c r="O1274" s="184" t="n"/>
    </row>
    <row r="1275">
      <c r="O1275" s="184" t="n"/>
    </row>
    <row r="1276">
      <c r="O1276" s="184" t="n"/>
    </row>
    <row r="1277">
      <c r="O1277" s="184" t="n"/>
    </row>
    <row r="1278">
      <c r="O1278" s="184" t="n"/>
    </row>
    <row r="1279">
      <c r="O1279" s="184" t="n"/>
    </row>
    <row r="1280">
      <c r="O1280" s="184" t="n"/>
    </row>
    <row r="1281">
      <c r="O1281" s="184" t="n"/>
    </row>
    <row r="1282">
      <c r="O1282" s="184" t="n"/>
    </row>
    <row r="1283">
      <c r="O1283" s="184" t="n"/>
    </row>
    <row r="1284">
      <c r="O1284" s="184" t="n"/>
    </row>
    <row r="1285">
      <c r="O1285" s="184" t="n"/>
    </row>
    <row r="1286">
      <c r="O1286" s="184" t="n"/>
    </row>
    <row r="1287">
      <c r="O1287" s="184" t="n"/>
    </row>
    <row r="1288">
      <c r="O1288" s="184" t="n"/>
    </row>
    <row r="1289">
      <c r="O1289" s="184" t="n"/>
    </row>
    <row r="1290">
      <c r="O1290" s="184" t="n"/>
    </row>
    <row r="1291">
      <c r="O1291" s="184" t="n"/>
    </row>
    <row r="1292">
      <c r="O1292" s="184" t="n"/>
    </row>
    <row r="1293">
      <c r="O1293" s="184" t="n"/>
    </row>
    <row r="1294">
      <c r="O1294" s="184" t="n"/>
    </row>
    <row r="1295">
      <c r="O1295" s="184" t="n"/>
    </row>
    <row r="1296">
      <c r="O1296" s="184" t="n"/>
    </row>
    <row r="1297">
      <c r="O1297" s="184" t="n"/>
    </row>
    <row r="1298">
      <c r="O1298" s="184" t="n"/>
    </row>
    <row r="1299">
      <c r="O1299" s="184" t="n"/>
    </row>
    <row r="1300">
      <c r="O1300" s="184" t="n"/>
    </row>
    <row r="1301">
      <c r="O1301" s="184" t="n"/>
    </row>
    <row r="1302">
      <c r="O1302" s="184" t="n"/>
    </row>
    <row r="1303">
      <c r="O1303" s="184" t="n"/>
    </row>
    <row r="1304">
      <c r="O1304" s="184" t="n"/>
    </row>
    <row r="1305">
      <c r="O1305" s="184" t="n"/>
    </row>
    <row r="1306">
      <c r="O1306" s="184" t="n"/>
    </row>
    <row r="1307">
      <c r="O1307" s="184" t="n"/>
    </row>
    <row r="1308">
      <c r="O1308" s="184" t="n"/>
    </row>
    <row r="1309">
      <c r="O1309" s="184" t="n"/>
    </row>
    <row r="1310">
      <c r="O1310" s="184" t="n"/>
    </row>
    <row r="1311">
      <c r="O1311" s="184" t="n"/>
    </row>
    <row r="1312">
      <c r="O1312" s="184" t="n"/>
    </row>
    <row r="1313">
      <c r="O1313" s="184" t="n"/>
    </row>
    <row r="1314">
      <c r="O1314" s="184" t="n"/>
    </row>
    <row r="1315">
      <c r="O1315" s="184" t="n"/>
    </row>
    <row r="1316">
      <c r="O1316" s="184" t="n"/>
    </row>
    <row r="1317">
      <c r="O1317" s="184" t="n"/>
    </row>
    <row r="1318">
      <c r="O1318" s="184" t="n"/>
    </row>
    <row r="1319">
      <c r="O1319" s="184" t="n"/>
    </row>
    <row r="1320">
      <c r="O1320" s="184" t="n"/>
    </row>
    <row r="1321">
      <c r="O1321" s="184" t="n"/>
    </row>
    <row r="1322">
      <c r="O1322" s="184" t="n"/>
    </row>
    <row r="1323">
      <c r="O1323" s="184" t="n"/>
    </row>
    <row r="1324">
      <c r="O1324" s="184" t="n"/>
    </row>
    <row r="1325">
      <c r="O1325" s="184" t="n"/>
    </row>
    <row r="1326">
      <c r="O1326" s="184" t="n"/>
    </row>
    <row r="1327">
      <c r="O1327" s="184" t="n"/>
    </row>
    <row r="1328">
      <c r="O1328" s="184" t="n"/>
    </row>
    <row r="1329">
      <c r="O1329" s="184" t="n"/>
    </row>
    <row r="1330">
      <c r="O1330" s="184" t="n"/>
    </row>
    <row r="1331">
      <c r="O1331" s="184" t="n"/>
    </row>
    <row r="1332">
      <c r="O1332" s="184" t="n"/>
    </row>
    <row r="1333">
      <c r="O1333" s="184" t="n"/>
    </row>
    <row r="1334">
      <c r="O1334" s="184" t="n"/>
    </row>
    <row r="1335">
      <c r="O1335" s="184" t="n"/>
    </row>
    <row r="1336">
      <c r="O1336" s="184" t="n"/>
    </row>
    <row r="1337">
      <c r="O1337" s="184" t="n"/>
    </row>
    <row r="1338">
      <c r="O1338" s="184" t="n"/>
    </row>
    <row r="1339">
      <c r="O1339" s="184" t="n"/>
    </row>
    <row r="1340">
      <c r="O1340" s="184" t="n"/>
    </row>
    <row r="1341">
      <c r="O1341" s="184" t="n"/>
    </row>
    <row r="1342">
      <c r="O1342" s="184" t="n"/>
    </row>
    <row r="1343">
      <c r="O1343" s="184" t="n"/>
    </row>
    <row r="1344">
      <c r="O1344" s="184" t="n"/>
    </row>
    <row r="1345">
      <c r="O1345" s="184" t="n"/>
    </row>
    <row r="1346">
      <c r="O1346" s="184" t="n"/>
    </row>
    <row r="1347">
      <c r="O1347" s="184" t="n"/>
    </row>
    <row r="1348">
      <c r="O1348" s="184" t="n"/>
    </row>
    <row r="1349">
      <c r="O1349" s="184" t="n"/>
    </row>
    <row r="1350">
      <c r="O1350" s="184" t="n"/>
    </row>
    <row r="1351">
      <c r="O1351" s="184" t="n"/>
    </row>
    <row r="1352">
      <c r="O1352" s="184" t="n"/>
    </row>
    <row r="1353">
      <c r="O1353" s="184" t="n"/>
    </row>
    <row r="1354">
      <c r="O1354" s="184" t="n"/>
    </row>
    <row r="1355">
      <c r="O1355" s="184" t="n"/>
    </row>
    <row r="1356">
      <c r="O1356" s="184" t="n"/>
    </row>
    <row r="1357">
      <c r="O1357" s="184" t="n"/>
    </row>
    <row r="1358">
      <c r="O1358" s="184" t="n"/>
    </row>
    <row r="1359">
      <c r="O1359" s="184" t="n"/>
    </row>
    <row r="1360">
      <c r="O1360" s="184" t="n"/>
    </row>
    <row r="1361">
      <c r="O1361" s="184" t="n"/>
    </row>
    <row r="1362">
      <c r="O1362" s="184" t="n"/>
    </row>
    <row r="1363">
      <c r="O1363" s="184" t="n"/>
    </row>
    <row r="1364">
      <c r="O1364" s="184" t="n"/>
    </row>
    <row r="1365">
      <c r="O1365" s="184" t="n"/>
    </row>
    <row r="1366">
      <c r="O1366" s="184" t="n"/>
    </row>
    <row r="1367">
      <c r="O1367" s="184" t="n"/>
    </row>
    <row r="1368">
      <c r="O1368" s="184" t="n"/>
    </row>
    <row r="1369">
      <c r="O1369" s="184" t="n"/>
    </row>
    <row r="1370">
      <c r="O1370" s="184" t="n"/>
    </row>
    <row r="1371">
      <c r="O1371" s="184" t="n"/>
    </row>
    <row r="1372">
      <c r="O1372" s="184" t="n"/>
    </row>
    <row r="1373">
      <c r="O1373" s="184" t="n"/>
    </row>
    <row r="1374">
      <c r="O1374" s="184" t="n"/>
    </row>
    <row r="1375">
      <c r="O1375" s="184" t="n"/>
    </row>
    <row r="1376">
      <c r="O1376" s="184" t="n"/>
    </row>
    <row r="1377">
      <c r="O1377" s="184" t="n"/>
    </row>
    <row r="1378">
      <c r="O1378" s="184" t="n"/>
    </row>
    <row r="1379">
      <c r="O1379" s="184" t="n"/>
    </row>
    <row r="1380">
      <c r="O1380" s="184" t="n"/>
    </row>
    <row r="1381">
      <c r="O1381" s="184" t="n"/>
    </row>
    <row r="1382">
      <c r="O1382" s="184" t="n"/>
    </row>
    <row r="1383">
      <c r="O1383" s="184" t="n"/>
    </row>
    <row r="1384">
      <c r="O1384" s="184" t="n"/>
    </row>
    <row r="1385">
      <c r="O1385" s="184" t="n"/>
    </row>
    <row r="1386">
      <c r="O1386" s="184" t="n"/>
    </row>
    <row r="1387">
      <c r="O1387" s="184" t="n"/>
    </row>
    <row r="1388">
      <c r="O1388" s="184" t="n"/>
    </row>
    <row r="1389">
      <c r="O1389" s="184" t="n"/>
    </row>
    <row r="1390">
      <c r="O1390" s="184" t="n"/>
    </row>
    <row r="1391">
      <c r="O1391" s="184" t="n"/>
    </row>
    <row r="1392">
      <c r="O1392" s="184" t="n"/>
    </row>
    <row r="1393">
      <c r="O1393" s="184" t="n"/>
    </row>
    <row r="1394">
      <c r="O1394" s="184" t="n"/>
    </row>
    <row r="1395">
      <c r="O1395" s="184" t="n"/>
    </row>
    <row r="1396">
      <c r="O1396" s="184" t="n"/>
    </row>
    <row r="1397">
      <c r="O1397" s="184" t="n"/>
    </row>
    <row r="1398">
      <c r="O1398" s="184" t="n"/>
    </row>
    <row r="1399">
      <c r="O1399" s="184" t="n"/>
    </row>
    <row r="1400">
      <c r="O1400" s="184" t="n"/>
    </row>
    <row r="1401">
      <c r="O1401" s="184" t="n"/>
    </row>
    <row r="1402">
      <c r="O1402" s="184" t="n"/>
    </row>
    <row r="1403">
      <c r="O1403" s="184" t="n"/>
    </row>
    <row r="1404">
      <c r="O1404" s="184" t="n"/>
    </row>
    <row r="1405">
      <c r="O1405" s="184" t="n"/>
    </row>
    <row r="1406">
      <c r="O1406" s="184" t="n"/>
    </row>
    <row r="1407">
      <c r="O1407" s="184" t="n"/>
    </row>
    <row r="1408">
      <c r="O1408" s="184" t="n"/>
    </row>
    <row r="1409">
      <c r="O1409" s="184" t="n"/>
    </row>
    <row r="1410">
      <c r="O1410" s="184" t="n"/>
    </row>
    <row r="1411">
      <c r="O1411" s="184" t="n"/>
    </row>
    <row r="1412">
      <c r="O1412" s="184" t="n"/>
    </row>
    <row r="1413">
      <c r="O1413" s="184" t="n"/>
    </row>
    <row r="1414">
      <c r="O1414" s="184" t="n"/>
    </row>
    <row r="1415">
      <c r="O1415" s="184" t="n"/>
    </row>
    <row r="1416">
      <c r="O1416" s="184" t="n"/>
    </row>
    <row r="1417">
      <c r="O1417" s="184" t="n"/>
    </row>
    <row r="1418">
      <c r="O1418" s="184" t="n"/>
    </row>
    <row r="1419">
      <c r="O1419" s="184" t="n"/>
    </row>
    <row r="1420">
      <c r="O1420" s="184" t="n"/>
    </row>
    <row r="1421">
      <c r="O1421" s="184" t="n"/>
    </row>
    <row r="1422">
      <c r="O1422" s="184" t="n"/>
    </row>
    <row r="1423">
      <c r="O1423" s="184" t="n"/>
    </row>
    <row r="1424">
      <c r="O1424" s="184" t="n"/>
    </row>
    <row r="1425">
      <c r="O1425" s="184" t="n"/>
    </row>
    <row r="1426">
      <c r="O1426" s="184" t="n"/>
    </row>
    <row r="1427">
      <c r="O1427" s="184" t="n"/>
    </row>
    <row r="1428">
      <c r="O1428" s="184" t="n"/>
    </row>
    <row r="1429">
      <c r="O1429" s="184" t="n"/>
    </row>
    <row r="1430">
      <c r="O1430" s="184" t="n"/>
    </row>
    <row r="1431">
      <c r="O1431" s="184" t="n"/>
    </row>
    <row r="1432">
      <c r="O1432" s="184" t="n"/>
    </row>
    <row r="1433">
      <c r="O1433" s="184" t="n"/>
    </row>
    <row r="1434">
      <c r="O1434" s="184" t="n"/>
    </row>
    <row r="1435">
      <c r="O1435" s="184" t="n"/>
    </row>
    <row r="1436">
      <c r="O1436" s="184" t="n"/>
    </row>
    <row r="1437">
      <c r="O1437" s="184" t="n"/>
    </row>
    <row r="1438">
      <c r="O1438" s="184" t="n"/>
    </row>
    <row r="1439">
      <c r="O1439" s="184" t="n"/>
    </row>
    <row r="1440">
      <c r="O1440" s="184" t="n"/>
    </row>
    <row r="1441">
      <c r="O1441" s="184" t="n"/>
    </row>
    <row r="1442">
      <c r="O1442" s="184" t="n"/>
    </row>
    <row r="1443">
      <c r="O1443" s="184" t="n"/>
    </row>
    <row r="1444">
      <c r="O1444" s="184" t="n"/>
    </row>
    <row r="1445">
      <c r="O1445" s="184" t="n"/>
    </row>
    <row r="1446">
      <c r="O1446" s="184" t="n"/>
    </row>
    <row r="1447">
      <c r="O1447" s="184" t="n"/>
    </row>
    <row r="1448">
      <c r="O1448" s="184" t="n"/>
    </row>
    <row r="1449">
      <c r="O1449" s="184" t="n"/>
    </row>
    <row r="1450">
      <c r="O1450" s="184" t="n"/>
    </row>
    <row r="1451">
      <c r="O1451" s="184" t="n"/>
    </row>
    <row r="1452">
      <c r="O1452" s="184" t="n"/>
    </row>
    <row r="1453">
      <c r="O1453" s="184" t="n"/>
    </row>
    <row r="1454">
      <c r="O1454" s="184" t="n"/>
    </row>
    <row r="1455">
      <c r="O1455" s="184" t="n"/>
    </row>
    <row r="1456">
      <c r="O1456" s="184" t="n"/>
    </row>
    <row r="1457">
      <c r="O1457" s="184" t="n"/>
    </row>
    <row r="1458">
      <c r="O1458" s="184" t="n"/>
    </row>
    <row r="1459">
      <c r="O1459" s="184" t="n"/>
    </row>
    <row r="1460">
      <c r="O1460" s="184" t="n"/>
    </row>
    <row r="1461">
      <c r="O1461" s="184" t="n"/>
    </row>
    <row r="1462">
      <c r="O1462" s="184" t="n"/>
    </row>
    <row r="1463">
      <c r="O1463" s="184" t="n"/>
    </row>
    <row r="1464">
      <c r="O1464" s="184" t="n"/>
    </row>
    <row r="1465">
      <c r="O1465" s="184" t="n"/>
    </row>
    <row r="1466">
      <c r="O1466" s="184" t="n"/>
    </row>
    <row r="1467">
      <c r="O1467" s="184" t="n"/>
    </row>
    <row r="1468">
      <c r="O1468" s="184" t="n"/>
    </row>
    <row r="1469">
      <c r="O1469" s="184" t="n"/>
    </row>
    <row r="1470">
      <c r="O1470" s="184" t="n"/>
    </row>
    <row r="1471">
      <c r="O1471" s="184" t="n"/>
    </row>
    <row r="1472">
      <c r="O1472" s="184" t="n"/>
    </row>
    <row r="1473">
      <c r="O1473" s="184" t="n"/>
    </row>
    <row r="1474">
      <c r="O1474" s="184" t="n"/>
    </row>
    <row r="1475">
      <c r="O1475" s="184" t="n"/>
    </row>
    <row r="1476">
      <c r="O1476" s="184" t="n"/>
    </row>
    <row r="1477">
      <c r="O1477" s="184" t="n"/>
    </row>
    <row r="1478">
      <c r="O1478" s="184" t="n"/>
    </row>
    <row r="1479">
      <c r="O1479" s="184" t="n"/>
    </row>
    <row r="1480">
      <c r="O1480" s="184" t="n"/>
    </row>
    <row r="1481">
      <c r="O1481" s="184" t="n"/>
    </row>
    <row r="1482">
      <c r="O1482" s="184" t="n"/>
    </row>
    <row r="1483">
      <c r="O1483" s="184" t="n"/>
    </row>
    <row r="1484">
      <c r="O1484" s="184" t="n"/>
    </row>
    <row r="1485">
      <c r="O1485" s="184" t="n"/>
    </row>
    <row r="1486">
      <c r="O1486" s="184" t="n"/>
    </row>
    <row r="1487">
      <c r="O1487" s="184" t="n"/>
    </row>
    <row r="1488">
      <c r="O1488" s="184" t="n"/>
    </row>
    <row r="1489">
      <c r="O1489" s="184" t="n"/>
    </row>
    <row r="1490">
      <c r="O1490" s="184" t="n"/>
    </row>
    <row r="1491">
      <c r="O1491" s="184" t="n"/>
    </row>
    <row r="1492">
      <c r="O1492" s="184" t="n"/>
    </row>
    <row r="1493">
      <c r="O1493" s="184" t="n"/>
    </row>
    <row r="1494">
      <c r="O1494" s="184" t="n"/>
    </row>
    <row r="1495">
      <c r="O1495" s="184" t="n"/>
    </row>
    <row r="1496">
      <c r="O1496" s="184" t="n"/>
    </row>
    <row r="1497">
      <c r="O1497" s="184" t="n"/>
    </row>
    <row r="1498">
      <c r="O1498" s="184" t="n"/>
    </row>
    <row r="1499">
      <c r="O1499" s="184" t="n"/>
    </row>
    <row r="1500">
      <c r="O1500" s="184" t="n"/>
    </row>
    <row r="1501">
      <c r="O1501" s="184" t="n"/>
    </row>
    <row r="1502">
      <c r="O1502" s="184" t="n"/>
    </row>
    <row r="1503">
      <c r="O1503" s="184" t="n"/>
    </row>
    <row r="1504">
      <c r="O1504" s="184" t="n"/>
    </row>
    <row r="1505">
      <c r="O1505" s="184" t="n"/>
    </row>
    <row r="1506">
      <c r="O1506" s="184" t="n"/>
    </row>
    <row r="1507">
      <c r="O1507" s="184" t="n"/>
    </row>
    <row r="1508">
      <c r="O1508" s="184" t="n"/>
    </row>
    <row r="1509">
      <c r="O1509" s="184" t="n"/>
    </row>
    <row r="1510">
      <c r="O1510" s="184" t="n"/>
    </row>
    <row r="1511">
      <c r="O1511" s="184" t="n"/>
    </row>
    <row r="1512">
      <c r="O1512" s="184" t="n"/>
    </row>
    <row r="1513">
      <c r="O1513" s="184" t="n"/>
    </row>
    <row r="1514">
      <c r="O1514" s="184" t="n"/>
    </row>
    <row r="1515">
      <c r="O1515" s="184" t="n"/>
    </row>
    <row r="1516">
      <c r="O1516" s="184" t="n"/>
    </row>
    <row r="1517">
      <c r="O1517" s="184" t="n"/>
    </row>
    <row r="1518">
      <c r="O1518" s="184" t="n"/>
    </row>
    <row r="1519">
      <c r="O1519" s="184" t="n"/>
    </row>
    <row r="1520">
      <c r="O1520" s="184" t="n"/>
    </row>
    <row r="1521">
      <c r="O1521" s="184" t="n"/>
    </row>
    <row r="1522">
      <c r="O1522" s="184" t="n"/>
    </row>
    <row r="1523">
      <c r="O1523" s="184" t="n"/>
    </row>
    <row r="1524">
      <c r="O1524" s="184" t="n"/>
    </row>
    <row r="1525">
      <c r="O1525" s="184" t="n"/>
    </row>
    <row r="1526">
      <c r="O1526" s="184" t="n"/>
    </row>
    <row r="1527">
      <c r="O1527" s="184" t="n"/>
    </row>
    <row r="1528">
      <c r="O1528" s="184" t="n"/>
    </row>
    <row r="1529">
      <c r="O1529" s="184" t="n"/>
    </row>
    <row r="1530">
      <c r="O1530" s="184" t="n"/>
    </row>
    <row r="1531">
      <c r="O1531" s="184" t="n"/>
    </row>
    <row r="1532">
      <c r="O1532" s="184" t="n"/>
    </row>
    <row r="1533">
      <c r="O1533" s="184" t="n"/>
    </row>
    <row r="1534">
      <c r="O1534" s="184" t="n"/>
    </row>
    <row r="1535">
      <c r="O1535" s="184" t="n"/>
    </row>
    <row r="1536">
      <c r="O1536" s="184" t="n"/>
    </row>
    <row r="1537">
      <c r="O1537" s="184" t="n"/>
    </row>
    <row r="1538">
      <c r="O1538" s="184" t="n"/>
    </row>
    <row r="1539">
      <c r="O1539" s="184" t="n"/>
    </row>
    <row r="1540">
      <c r="O1540" s="184" t="n"/>
    </row>
    <row r="1541">
      <c r="O1541" s="184" t="n"/>
    </row>
    <row r="1542">
      <c r="O1542" s="184" t="n"/>
    </row>
    <row r="1543">
      <c r="O1543" s="184" t="n"/>
    </row>
    <row r="1544">
      <c r="O1544" s="184" t="n"/>
    </row>
    <row r="1545">
      <c r="O1545" s="184" t="n"/>
    </row>
    <row r="1546">
      <c r="O1546" s="184" t="n"/>
    </row>
    <row r="1547">
      <c r="O1547" s="184" t="n"/>
    </row>
    <row r="1548">
      <c r="O1548" s="184" t="n"/>
    </row>
    <row r="1549">
      <c r="O1549" s="184" t="n"/>
    </row>
    <row r="1550">
      <c r="O1550" s="184" t="n"/>
    </row>
    <row r="1551">
      <c r="O1551" s="184" t="n"/>
    </row>
    <row r="1552">
      <c r="O1552" s="184" t="n"/>
    </row>
    <row r="1553">
      <c r="O1553" s="184" t="n"/>
    </row>
    <row r="1554">
      <c r="O1554" s="184" t="n"/>
    </row>
    <row r="1555">
      <c r="O1555" s="184" t="n"/>
    </row>
    <row r="1556">
      <c r="O1556" s="184" t="n"/>
    </row>
    <row r="1557">
      <c r="O1557" s="184" t="n"/>
    </row>
    <row r="1558">
      <c r="O1558" s="184" t="n"/>
    </row>
    <row r="1559">
      <c r="O1559" s="184" t="n"/>
    </row>
    <row r="1560">
      <c r="O1560" s="184" t="n"/>
    </row>
    <row r="1561">
      <c r="O1561" s="184" t="n"/>
    </row>
    <row r="1562">
      <c r="O1562" s="184" t="n"/>
    </row>
    <row r="1563">
      <c r="O1563" s="184" t="n"/>
    </row>
    <row r="1564">
      <c r="O1564" s="184" t="n"/>
    </row>
    <row r="1565">
      <c r="O1565" s="184" t="n"/>
    </row>
    <row r="1566">
      <c r="O1566" s="184" t="n"/>
    </row>
    <row r="1567">
      <c r="O1567" s="184" t="n"/>
    </row>
    <row r="1568">
      <c r="O1568" s="184" t="n"/>
    </row>
    <row r="1569">
      <c r="O1569" s="184" t="n"/>
    </row>
    <row r="1570">
      <c r="O1570" s="184" t="n"/>
    </row>
    <row r="1571">
      <c r="O1571" s="184" t="n"/>
    </row>
    <row r="1572">
      <c r="O1572" s="184" t="n"/>
    </row>
    <row r="1573">
      <c r="O1573" s="184" t="n"/>
    </row>
    <row r="1574">
      <c r="O1574" s="184" t="n"/>
    </row>
    <row r="1575">
      <c r="O1575" s="184" t="n"/>
    </row>
    <row r="1576">
      <c r="O1576" s="184" t="n"/>
    </row>
    <row r="1577">
      <c r="O1577" s="184" t="n"/>
    </row>
    <row r="1578">
      <c r="O1578" s="184" t="n"/>
    </row>
    <row r="1579">
      <c r="O1579" s="184" t="n"/>
    </row>
    <row r="1580">
      <c r="O1580" s="184" t="n"/>
    </row>
    <row r="1581">
      <c r="O1581" s="184" t="n"/>
    </row>
    <row r="1582">
      <c r="O1582" s="184" t="n"/>
    </row>
    <row r="1583">
      <c r="O1583" s="184" t="n"/>
    </row>
    <row r="1584">
      <c r="O1584" s="184" t="n"/>
    </row>
    <row r="1585">
      <c r="O1585" s="184" t="n"/>
    </row>
    <row r="1586">
      <c r="O1586" s="184" t="n"/>
    </row>
  </sheetData>
  <conditionalFormatting sqref="P1:P64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AD2"/>
  <sheetViews>
    <sheetView workbookViewId="0">
      <selection activeCell="A1" sqref="A1"/>
    </sheetView>
  </sheetViews>
  <sheetFormatPr baseColWidth="10" defaultColWidth="14.5" defaultRowHeight="15" customHeight="1"/>
  <sheetData>
    <row r="1" ht="15.75" customHeight="1" s="251">
      <c r="A1" s="185" t="inlineStr">
        <is>
          <t>GEN</t>
        </is>
      </c>
      <c r="B1" s="186" t="inlineStr">
        <is>
          <t>Iron Man</t>
        </is>
      </c>
      <c r="C1" s="187" t="n"/>
      <c r="D1" s="188" t="n">
        <v>0</v>
      </c>
      <c r="E1" s="189" t="n"/>
      <c r="F1" s="190">
        <f>D1-E1</f>
        <v/>
      </c>
      <c r="G1" s="191" t="n"/>
      <c r="H1" s="192" t="n"/>
      <c r="I1" s="191">
        <f>G1-H1</f>
        <v/>
      </c>
      <c r="J1" s="190" t="n">
        <v>0</v>
      </c>
      <c r="K1" s="189">
        <f>#REF!+#REF!</f>
        <v/>
      </c>
      <c r="L1" s="190">
        <f>J1-K1</f>
        <v/>
      </c>
      <c r="M1" s="191" t="n">
        <v>0</v>
      </c>
      <c r="N1" s="193" t="n"/>
      <c r="O1" s="191">
        <f>M1-N1</f>
        <v/>
      </c>
      <c r="P1" s="190" t="n"/>
      <c r="Q1" s="189">
        <f>#REF!+#REF!</f>
        <v/>
      </c>
      <c r="R1" s="190">
        <f>P1-Q1</f>
        <v/>
      </c>
      <c r="S1" s="191" t="n"/>
      <c r="T1" s="192">
        <f>#REF!+#REF!</f>
        <v/>
      </c>
      <c r="U1" s="191">
        <f>S1-T1</f>
        <v/>
      </c>
      <c r="V1" s="194" t="n"/>
      <c r="W1" s="194" t="n"/>
      <c r="X1" s="194" t="n"/>
      <c r="Y1" s="194" t="n"/>
      <c r="Z1" s="194" t="n"/>
      <c r="AA1" s="194" t="n"/>
      <c r="AB1" s="194" t="n"/>
      <c r="AC1" s="194" t="n"/>
      <c r="AD1" s="195" t="n"/>
    </row>
    <row r="2" ht="15.75" customHeight="1" s="251">
      <c r="A2" s="195" t="inlineStr">
        <is>
          <t>GEN</t>
        </is>
      </c>
      <c r="B2" s="195" t="inlineStr">
        <is>
          <t>CLUB HOUS COLLECTION</t>
        </is>
      </c>
      <c r="C2" s="187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1" t="n">
        <v>0</v>
      </c>
      <c r="N2" s="193" t="n"/>
      <c r="O2" s="194" t="n"/>
      <c r="P2" s="194" t="n"/>
      <c r="Q2" s="194" t="n"/>
      <c r="R2" s="194" t="n"/>
      <c r="S2" s="194" t="n"/>
      <c r="T2" s="194" t="n"/>
      <c r="U2" s="194" t="n"/>
      <c r="V2" s="194" t="n"/>
      <c r="W2" s="194" t="n"/>
      <c r="X2" s="194" t="n"/>
      <c r="Y2" s="194" t="n"/>
      <c r="Z2" s="194" t="n"/>
      <c r="AA2" s="194" t="n"/>
      <c r="AB2" s="194" t="n"/>
      <c r="AC2" s="194" t="n"/>
      <c r="AD2" s="195" t="n"/>
    </row>
  </sheetData>
  <conditionalFormatting sqref="F1 I1:I2 L1 O1 R1 U1">
    <cfRule type="cellIs" priority="1" operator="lessThan" dxfId="2">
      <formula>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2.33203125" customWidth="1" style="251" min="1" max="1"/>
    <col width="41.5" customWidth="1" style="251" min="2" max="2"/>
    <col width="27.5" customWidth="1" style="251" min="3" max="3"/>
    <col width="24" customWidth="1" style="251" min="4" max="5"/>
    <col width="32.33203125" customWidth="1" style="251" min="6" max="6"/>
    <col width="26.83203125" customWidth="1" style="251" min="7" max="7"/>
    <col width="16.83203125" customWidth="1" style="251" min="8" max="23"/>
  </cols>
  <sheetData>
    <row r="1" ht="18.75" customHeight="1" s="251">
      <c r="A1" s="196" t="inlineStr">
        <is>
          <t>FLAT#</t>
        </is>
      </c>
      <c r="B1" s="196" t="inlineStr">
        <is>
          <t>OCCUPANT</t>
        </is>
      </c>
      <c r="C1" s="197" t="inlineStr">
        <is>
          <t>TOTAL COLLECTION</t>
        </is>
      </c>
      <c r="D1" s="197" t="inlineStr">
        <is>
          <t>TOTAL EXPENSE</t>
        </is>
      </c>
      <c r="E1" s="197" t="inlineStr">
        <is>
          <t>TOTAL LATE FEE</t>
        </is>
      </c>
      <c r="F1" s="197" t="inlineStr">
        <is>
          <t>COLLECTION-EXPENSE</t>
        </is>
      </c>
      <c r="G1" s="197" t="inlineStr">
        <is>
          <t>ARREARS PENDING</t>
        </is>
      </c>
      <c r="H1" s="198" t="n"/>
      <c r="I1" s="198" t="n"/>
      <c r="J1" s="198" t="n"/>
      <c r="K1" s="198" t="n"/>
      <c r="L1" s="198" t="n"/>
      <c r="M1" s="198" t="n"/>
      <c r="N1" s="198" t="n"/>
      <c r="O1" s="198" t="n"/>
      <c r="P1" s="198" t="n"/>
      <c r="Q1" s="198" t="n"/>
      <c r="R1" s="198" t="n"/>
      <c r="S1" s="198" t="n"/>
      <c r="T1" s="198" t="n"/>
      <c r="U1" s="198" t="n"/>
      <c r="V1" s="198" t="n"/>
      <c r="W1" s="198" t="n"/>
    </row>
    <row r="2" ht="18" customHeight="1" s="251">
      <c r="A2" s="199" t="inlineStr">
        <is>
          <t>F01</t>
        </is>
      </c>
      <c r="B2" s="200" t="inlineStr">
        <is>
          <t xml:space="preserve">Shailesh </t>
        </is>
      </c>
      <c r="C2" s="201">
        <f>'INCOME-EXPENSE-CYCLES'!BA3</f>
        <v/>
      </c>
      <c r="D2" s="201">
        <f>'INCOME-EXPENSE-CYCLES'!BB3</f>
        <v/>
      </c>
      <c r="E2" s="201">
        <f>'INCOME-EXPENSE-CYCLES'!BC3</f>
        <v/>
      </c>
      <c r="F2" s="201">
        <f>C2-(D2+E2)</f>
        <v/>
      </c>
      <c r="G2" s="201">
        <f>IF(F2&lt;0,(F2*-1),0)</f>
        <v/>
      </c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</row>
    <row r="3" ht="18" customHeight="1" s="251">
      <c r="A3" s="199" t="inlineStr">
        <is>
          <t>F02</t>
        </is>
      </c>
      <c r="B3" s="200" t="inlineStr">
        <is>
          <t xml:space="preserve">Ramamurthy P </t>
        </is>
      </c>
      <c r="C3" s="201">
        <f>'INCOME-EXPENSE-CYCLES'!BA4</f>
        <v/>
      </c>
      <c r="D3" s="201">
        <f>'INCOME-EXPENSE-CYCLES'!BB4</f>
        <v/>
      </c>
      <c r="E3" s="201">
        <f>'INCOME-EXPENSE-CYCLES'!BC4</f>
        <v/>
      </c>
      <c r="F3" s="201">
        <f>C3-(D3+E3)</f>
        <v/>
      </c>
      <c r="G3" s="201">
        <f>IF(F3&lt;0,(F3*-1),0)</f>
        <v/>
      </c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</row>
    <row r="4" ht="18" customHeight="1" s="251">
      <c r="A4" s="199" t="inlineStr">
        <is>
          <t>F03</t>
        </is>
      </c>
      <c r="B4" s="203" t="inlineStr">
        <is>
          <t>Samrat Kar</t>
        </is>
      </c>
      <c r="C4" s="201">
        <f>'INCOME-EXPENSE-CYCLES'!BA5</f>
        <v/>
      </c>
      <c r="D4" s="201">
        <f>'INCOME-EXPENSE-CYCLES'!BB5</f>
        <v/>
      </c>
      <c r="E4" s="201">
        <f>'INCOME-EXPENSE-CYCLES'!BC5</f>
        <v/>
      </c>
      <c r="F4" s="201">
        <f>C4-(D4+E4)</f>
        <v/>
      </c>
      <c r="G4" s="201">
        <f>IF(F4&lt;0,(F4*-1),0)</f>
        <v/>
      </c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2" t="n"/>
      <c r="V4" s="202" t="n"/>
      <c r="W4" s="202" t="n"/>
    </row>
    <row r="5" ht="18" customHeight="1" s="251">
      <c r="A5" s="199" t="inlineStr">
        <is>
          <t>F04</t>
        </is>
      </c>
      <c r="B5" s="203" t="inlineStr">
        <is>
          <t>Renu R</t>
        </is>
      </c>
      <c r="C5" s="201">
        <f>'INCOME-EXPENSE-CYCLES'!BA6</f>
        <v/>
      </c>
      <c r="D5" s="201">
        <f>'INCOME-EXPENSE-CYCLES'!BB6</f>
        <v/>
      </c>
      <c r="E5" s="201">
        <f>'INCOME-EXPENSE-CYCLES'!BC6</f>
        <v/>
      </c>
      <c r="F5" s="201">
        <f>C5-(D5+E5)</f>
        <v/>
      </c>
      <c r="G5" s="201">
        <f>IF(F5&lt;0,(F5*-1),0)</f>
        <v/>
      </c>
      <c r="H5" s="202" t="n"/>
      <c r="I5" s="202" t="n"/>
      <c r="J5" s="202" t="n"/>
      <c r="K5" s="202" t="n"/>
      <c r="L5" s="202" t="n"/>
      <c r="M5" s="202" t="n"/>
      <c r="N5" s="202" t="n"/>
      <c r="O5" s="202" t="n"/>
      <c r="P5" s="202" t="n"/>
      <c r="Q5" s="202" t="n"/>
      <c r="R5" s="202" t="n"/>
      <c r="S5" s="202" t="n"/>
      <c r="T5" s="202" t="n"/>
      <c r="U5" s="202" t="n"/>
      <c r="V5" s="202" t="n"/>
      <c r="W5" s="202" t="n"/>
    </row>
    <row r="6" ht="18" customHeight="1" s="251">
      <c r="A6" s="199" t="inlineStr">
        <is>
          <t>F05</t>
        </is>
      </c>
      <c r="B6" s="203" t="inlineStr">
        <is>
          <t>Priyabrat Mahapatro</t>
        </is>
      </c>
      <c r="C6" s="201">
        <f>'INCOME-EXPENSE-CYCLES'!BA7</f>
        <v/>
      </c>
      <c r="D6" s="201">
        <f>'INCOME-EXPENSE-CYCLES'!BB7</f>
        <v/>
      </c>
      <c r="E6" s="201">
        <f>'INCOME-EXPENSE-CYCLES'!BC7</f>
        <v/>
      </c>
      <c r="F6" s="201">
        <f>C6-(D6+E6)</f>
        <v/>
      </c>
      <c r="G6" s="201">
        <f>IF(F6&lt;0,(F6*-1),0)</f>
        <v/>
      </c>
      <c r="H6" s="202" t="n"/>
      <c r="I6" s="202" t="n"/>
      <c r="J6" s="202" t="n"/>
      <c r="K6" s="202" t="n"/>
      <c r="L6" s="202" t="n"/>
      <c r="M6" s="202" t="n"/>
      <c r="N6" s="202" t="n"/>
      <c r="O6" s="202" t="n"/>
      <c r="P6" s="202" t="n"/>
      <c r="Q6" s="202" t="n"/>
      <c r="R6" s="202" t="n"/>
      <c r="S6" s="202" t="n"/>
      <c r="T6" s="202" t="n"/>
      <c r="U6" s="202" t="n"/>
      <c r="V6" s="202" t="n"/>
      <c r="W6" s="202" t="n"/>
    </row>
    <row r="7" ht="18" customHeight="1" s="251">
      <c r="A7" s="199" t="inlineStr">
        <is>
          <t>F06</t>
        </is>
      </c>
      <c r="B7" s="200" t="inlineStr">
        <is>
          <t>Viral Shah</t>
        </is>
      </c>
      <c r="C7" s="201">
        <f>'INCOME-EXPENSE-CYCLES'!BA8</f>
        <v/>
      </c>
      <c r="D7" s="201">
        <f>'INCOME-EXPENSE-CYCLES'!BB8</f>
        <v/>
      </c>
      <c r="E7" s="201">
        <f>'INCOME-EXPENSE-CYCLES'!BC8</f>
        <v/>
      </c>
      <c r="F7" s="201">
        <f>C7-(D7+E7)</f>
        <v/>
      </c>
      <c r="G7" s="201">
        <f>IF(F7&lt;0,(F7*-1),0)</f>
        <v/>
      </c>
      <c r="H7" s="202" t="n"/>
      <c r="I7" s="202" t="n"/>
      <c r="J7" s="202" t="n"/>
      <c r="K7" s="202" t="n"/>
      <c r="L7" s="202" t="n"/>
      <c r="M7" s="202" t="n"/>
      <c r="N7" s="202" t="n"/>
      <c r="O7" s="202" t="n"/>
      <c r="P7" s="202" t="n"/>
      <c r="Q7" s="202" t="n"/>
      <c r="R7" s="202" t="n"/>
      <c r="S7" s="202" t="n"/>
      <c r="T7" s="202" t="n"/>
      <c r="U7" s="202" t="n"/>
      <c r="V7" s="202" t="n"/>
      <c r="W7" s="202" t="n"/>
    </row>
    <row r="8" ht="18" customHeight="1" s="251">
      <c r="A8" s="199" t="inlineStr">
        <is>
          <t>F07</t>
        </is>
      </c>
      <c r="B8" s="200" t="inlineStr">
        <is>
          <t>Vimal NK</t>
        </is>
      </c>
      <c r="C8" s="201">
        <f>'INCOME-EXPENSE-CYCLES'!BA9</f>
        <v/>
      </c>
      <c r="D8" s="201">
        <f>'INCOME-EXPENSE-CYCLES'!BB9</f>
        <v/>
      </c>
      <c r="E8" s="201">
        <f>'INCOME-EXPENSE-CYCLES'!BC9</f>
        <v/>
      </c>
      <c r="F8" s="201">
        <f>C8-(D8+E8)</f>
        <v/>
      </c>
      <c r="G8" s="201">
        <f>IF(F8&lt;0,(F8*-1),0)</f>
        <v/>
      </c>
      <c r="H8" s="202" t="n"/>
      <c r="I8" s="202" t="n"/>
      <c r="J8" s="202" t="n"/>
      <c r="K8" s="202" t="n"/>
      <c r="L8" s="202" t="n"/>
      <c r="M8" s="202" t="n"/>
      <c r="N8" s="202" t="n"/>
      <c r="O8" s="202" t="n"/>
      <c r="P8" s="202" t="n"/>
      <c r="Q8" s="202" t="n"/>
      <c r="R8" s="202" t="n"/>
      <c r="S8" s="202" t="n"/>
      <c r="T8" s="202" t="n"/>
      <c r="U8" s="202" t="n"/>
      <c r="V8" s="202" t="n"/>
      <c r="W8" s="202" t="n"/>
    </row>
    <row r="9" ht="18" customHeight="1" s="251">
      <c r="A9" s="199" t="inlineStr">
        <is>
          <t>F08</t>
        </is>
      </c>
      <c r="B9" s="203" t="inlineStr">
        <is>
          <t>Sreejith Menon</t>
        </is>
      </c>
      <c r="C9" s="201">
        <f>'INCOME-EXPENSE-CYCLES'!BA10</f>
        <v/>
      </c>
      <c r="D9" s="201">
        <f>'INCOME-EXPENSE-CYCLES'!BB10</f>
        <v/>
      </c>
      <c r="E9" s="201">
        <f>'INCOME-EXPENSE-CYCLES'!BC10</f>
        <v/>
      </c>
      <c r="F9" s="201">
        <f>C9-(D9+E9)</f>
        <v/>
      </c>
      <c r="G9" s="201">
        <f>IF(F9&lt;0,(F9*-1),0)</f>
        <v/>
      </c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</row>
    <row r="10" ht="18" customHeight="1" s="251">
      <c r="A10" s="199" t="inlineStr">
        <is>
          <t>F09</t>
        </is>
      </c>
      <c r="B10" s="203" t="inlineStr">
        <is>
          <t>Vijay Suswaram</t>
        </is>
      </c>
      <c r="C10" s="201">
        <f>'INCOME-EXPENSE-CYCLES'!BA11</f>
        <v/>
      </c>
      <c r="D10" s="201">
        <f>'INCOME-EXPENSE-CYCLES'!BB11</f>
        <v/>
      </c>
      <c r="E10" s="201">
        <f>'INCOME-EXPENSE-CYCLES'!BC11</f>
        <v/>
      </c>
      <c r="F10" s="201">
        <f>C10-(D10+E10)</f>
        <v/>
      </c>
      <c r="G10" s="201">
        <f>IF(F10&lt;0,(F10*-1),0)</f>
        <v/>
      </c>
      <c r="H10" s="202" t="n"/>
      <c r="I10" s="202" t="n"/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</row>
    <row r="11" ht="18" customHeight="1" s="251">
      <c r="A11" s="199" t="inlineStr">
        <is>
          <t>F10</t>
        </is>
      </c>
      <c r="B11" s="203" t="inlineStr">
        <is>
          <t>Aby Thomas</t>
        </is>
      </c>
      <c r="C11" s="201">
        <f>'INCOME-EXPENSE-CYCLES'!BA12</f>
        <v/>
      </c>
      <c r="D11" s="201">
        <f>'INCOME-EXPENSE-CYCLES'!BB12</f>
        <v/>
      </c>
      <c r="E11" s="201">
        <f>'INCOME-EXPENSE-CYCLES'!BC12</f>
        <v/>
      </c>
      <c r="F11" s="201">
        <f>C11-(D11+E11)</f>
        <v/>
      </c>
      <c r="G11" s="201">
        <f>IF(F11&lt;0,(F11*-1),0)</f>
        <v/>
      </c>
      <c r="H11" s="202" t="n"/>
      <c r="I11" s="202" t="n"/>
      <c r="J11" s="202" t="n"/>
      <c r="K11" s="202" t="n"/>
      <c r="L11" s="202" t="n"/>
      <c r="M11" s="202" t="n"/>
      <c r="N11" s="202" t="n"/>
      <c r="O11" s="202" t="n"/>
      <c r="P11" s="202" t="n"/>
      <c r="Q11" s="202" t="n"/>
      <c r="R11" s="202" t="n"/>
      <c r="S11" s="202" t="n"/>
      <c r="T11" s="202" t="n"/>
      <c r="U11" s="202" t="n"/>
      <c r="V11" s="202" t="n"/>
      <c r="W11" s="202" t="n"/>
    </row>
    <row r="12" ht="18" customHeight="1" s="251">
      <c r="A12" s="204" t="inlineStr">
        <is>
          <t>F11</t>
        </is>
      </c>
      <c r="B12" s="203" t="inlineStr">
        <is>
          <t>Ameet Talwalkar</t>
        </is>
      </c>
      <c r="C12" s="201">
        <f>'INCOME-EXPENSE-CYCLES'!BA13</f>
        <v/>
      </c>
      <c r="D12" s="201">
        <f>'INCOME-EXPENSE-CYCLES'!BB13</f>
        <v/>
      </c>
      <c r="E12" s="201">
        <f>'INCOME-EXPENSE-CYCLES'!BC13</f>
        <v/>
      </c>
      <c r="F12" s="201">
        <f>C12-(D12+E12)</f>
        <v/>
      </c>
      <c r="G12" s="201">
        <f>IF(F12&lt;0,(F12*-1),0)</f>
        <v/>
      </c>
      <c r="H12" s="202" t="n"/>
      <c r="I12" s="202" t="n"/>
      <c r="J12" s="202" t="n"/>
      <c r="K12" s="202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2" t="n"/>
      <c r="U12" s="202" t="n"/>
      <c r="V12" s="202" t="n"/>
      <c r="W12" s="202" t="n"/>
    </row>
    <row r="13" ht="18" customHeight="1" s="251">
      <c r="A13" s="204" t="inlineStr">
        <is>
          <t>F12</t>
        </is>
      </c>
      <c r="B13" s="203" t="inlineStr">
        <is>
          <t>Debashish Ghoshal</t>
        </is>
      </c>
      <c r="C13" s="201">
        <f>'INCOME-EXPENSE-CYCLES'!BA14</f>
        <v/>
      </c>
      <c r="D13" s="201">
        <f>'INCOME-EXPENSE-CYCLES'!BB14</f>
        <v/>
      </c>
      <c r="E13" s="201">
        <f>'INCOME-EXPENSE-CYCLES'!BC14</f>
        <v/>
      </c>
      <c r="F13" s="201">
        <f>C13-(D13+E13)</f>
        <v/>
      </c>
      <c r="G13" s="201">
        <f>IF(F13&lt;0,(F13*-1),0)</f>
        <v/>
      </c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</row>
    <row r="14" ht="18" customHeight="1" s="251">
      <c r="A14" s="204" t="inlineStr">
        <is>
          <t>F13</t>
        </is>
      </c>
      <c r="B14" s="203" t="inlineStr">
        <is>
          <t>Sreeniwasa Rao / S Rama Devi</t>
        </is>
      </c>
      <c r="C14" s="201">
        <f>'INCOME-EXPENSE-CYCLES'!BA15</f>
        <v/>
      </c>
      <c r="D14" s="201">
        <f>'INCOME-EXPENSE-CYCLES'!BB15</f>
        <v/>
      </c>
      <c r="E14" s="201">
        <f>'INCOME-EXPENSE-CYCLES'!BC15</f>
        <v/>
      </c>
      <c r="F14" s="201">
        <f>C14-(D14+E14)</f>
        <v/>
      </c>
      <c r="G14" s="201">
        <f>IF(F14&lt;0,(F14*-1),0)</f>
        <v/>
      </c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</row>
    <row r="15" ht="18" customHeight="1" s="251">
      <c r="A15" s="204" t="inlineStr">
        <is>
          <t>F14</t>
        </is>
      </c>
      <c r="B15" s="203" t="inlineStr">
        <is>
          <t>Hemant Patel</t>
        </is>
      </c>
      <c r="C15" s="201">
        <f>'INCOME-EXPENSE-CYCLES'!BA16</f>
        <v/>
      </c>
      <c r="D15" s="201">
        <f>'INCOME-EXPENSE-CYCLES'!BB16</f>
        <v/>
      </c>
      <c r="E15" s="201">
        <f>'INCOME-EXPENSE-CYCLES'!BC16</f>
        <v/>
      </c>
      <c r="F15" s="201">
        <f>C15-(D15+E15)</f>
        <v/>
      </c>
      <c r="G15" s="201">
        <f>IF(F15&lt;0,(F15*-1),0)</f>
        <v/>
      </c>
      <c r="H15" s="202" t="n"/>
      <c r="I15" s="202" t="n"/>
      <c r="J15" s="202" t="n"/>
      <c r="K15" s="202" t="n"/>
      <c r="L15" s="202" t="n"/>
      <c r="M15" s="202" t="n"/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</row>
    <row r="16" ht="18" customHeight="1" s="251">
      <c r="A16" s="204" t="inlineStr">
        <is>
          <t>F15</t>
        </is>
      </c>
      <c r="B16" s="203" t="inlineStr">
        <is>
          <t>Malini Balasubramaniam</t>
        </is>
      </c>
      <c r="C16" s="201">
        <f>'INCOME-EXPENSE-CYCLES'!BA17</f>
        <v/>
      </c>
      <c r="D16" s="201">
        <f>'INCOME-EXPENSE-CYCLES'!BB17</f>
        <v/>
      </c>
      <c r="E16" s="201">
        <f>'INCOME-EXPENSE-CYCLES'!BC17</f>
        <v/>
      </c>
      <c r="F16" s="201">
        <f>C16-(D16+E16)</f>
        <v/>
      </c>
      <c r="G16" s="201">
        <f>IF(F16&lt;0,(F16*-1),0)</f>
        <v/>
      </c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</row>
    <row r="17" ht="18" customHeight="1" s="251">
      <c r="A17" s="204" t="inlineStr">
        <is>
          <t>F16</t>
        </is>
      </c>
      <c r="B17" s="203" t="inlineStr">
        <is>
          <t>Sreeja Sudharma</t>
        </is>
      </c>
      <c r="C17" s="201">
        <f>'INCOME-EXPENSE-CYCLES'!BA18</f>
        <v/>
      </c>
      <c r="D17" s="201">
        <f>'INCOME-EXPENSE-CYCLES'!BB18</f>
        <v/>
      </c>
      <c r="E17" s="201">
        <f>'INCOME-EXPENSE-CYCLES'!BC18</f>
        <v/>
      </c>
      <c r="F17" s="201">
        <f>C17-(D17+E17)</f>
        <v/>
      </c>
      <c r="G17" s="201">
        <f>IF(F17&lt;0,(F17*-1),0)</f>
        <v/>
      </c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</row>
    <row r="18" ht="18" customHeight="1" s="251">
      <c r="A18" s="199" t="inlineStr">
        <is>
          <t>G01</t>
        </is>
      </c>
      <c r="B18" s="203" t="inlineStr">
        <is>
          <t>Venkataramanan C</t>
        </is>
      </c>
      <c r="C18" s="201">
        <f>'INCOME-EXPENSE-CYCLES'!BA19</f>
        <v/>
      </c>
      <c r="D18" s="201">
        <f>'INCOME-EXPENSE-CYCLES'!BB19</f>
        <v/>
      </c>
      <c r="E18" s="201">
        <f>'INCOME-EXPENSE-CYCLES'!BC19</f>
        <v/>
      </c>
      <c r="F18" s="201">
        <f>C18-(D18+E18)</f>
        <v/>
      </c>
      <c r="G18" s="201">
        <f>IF(F18&lt;0,(F18*-1),0)</f>
        <v/>
      </c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</row>
    <row r="19" ht="18" customHeight="1" s="251">
      <c r="A19" s="199" t="inlineStr">
        <is>
          <t>G02</t>
        </is>
      </c>
      <c r="B19" s="203" t="inlineStr">
        <is>
          <t>Venkat Atukuri</t>
        </is>
      </c>
      <c r="C19" s="201">
        <f>'INCOME-EXPENSE-CYCLES'!BA20</f>
        <v/>
      </c>
      <c r="D19" s="201">
        <f>'INCOME-EXPENSE-CYCLES'!BB20</f>
        <v/>
      </c>
      <c r="E19" s="201">
        <f>'INCOME-EXPENSE-CYCLES'!BC20</f>
        <v/>
      </c>
      <c r="F19" s="201">
        <f>C19-(D19+E19)</f>
        <v/>
      </c>
      <c r="G19" s="201">
        <f>IF(F19&lt;0,(F19*-1),0)</f>
        <v/>
      </c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</row>
    <row r="20" ht="18" customHeight="1" s="251">
      <c r="A20" s="199" t="inlineStr">
        <is>
          <t>G03</t>
        </is>
      </c>
      <c r="B20" s="203" t="inlineStr">
        <is>
          <t>Balakrishnan</t>
        </is>
      </c>
      <c r="C20" s="201">
        <f>'INCOME-EXPENSE-CYCLES'!BA21</f>
        <v/>
      </c>
      <c r="D20" s="201">
        <f>'INCOME-EXPENSE-CYCLES'!BB21</f>
        <v/>
      </c>
      <c r="E20" s="201">
        <f>'INCOME-EXPENSE-CYCLES'!BC21</f>
        <v/>
      </c>
      <c r="F20" s="201">
        <f>C20-(D20+E20)</f>
        <v/>
      </c>
      <c r="G20" s="201">
        <f>IF(F20&lt;0,(F20*-1),0)</f>
        <v/>
      </c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</row>
    <row r="21" ht="18" customHeight="1" s="251">
      <c r="A21" s="199" t="inlineStr">
        <is>
          <t>G04</t>
        </is>
      </c>
      <c r="B21" s="203" t="inlineStr">
        <is>
          <t>Ashwin Pandith</t>
        </is>
      </c>
      <c r="C21" s="201">
        <f>'INCOME-EXPENSE-CYCLES'!BA22</f>
        <v/>
      </c>
      <c r="D21" s="201">
        <f>'INCOME-EXPENSE-CYCLES'!BB22</f>
        <v/>
      </c>
      <c r="E21" s="201">
        <f>'INCOME-EXPENSE-CYCLES'!BC22</f>
        <v/>
      </c>
      <c r="F21" s="201">
        <f>C21-(D21+E21)</f>
        <v/>
      </c>
      <c r="G21" s="201">
        <f>IF(F21&lt;0,(F21*-1),0)</f>
        <v/>
      </c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</row>
    <row r="22" ht="18" customHeight="1" s="251">
      <c r="A22" s="199" t="inlineStr">
        <is>
          <t>G05</t>
        </is>
      </c>
      <c r="B22" s="200" t="inlineStr">
        <is>
          <t>Abhishek Srawan</t>
        </is>
      </c>
      <c r="C22" s="201">
        <f>'INCOME-EXPENSE-CYCLES'!BA23</f>
        <v/>
      </c>
      <c r="D22" s="201">
        <f>'INCOME-EXPENSE-CYCLES'!BB23</f>
        <v/>
      </c>
      <c r="E22" s="201">
        <f>'INCOME-EXPENSE-CYCLES'!BC23</f>
        <v/>
      </c>
      <c r="F22" s="201">
        <f>C22-(D22+E22)</f>
        <v/>
      </c>
      <c r="G22" s="201">
        <f>IF(F22&lt;0,(F22*-1),0)</f>
        <v/>
      </c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</row>
    <row r="23" ht="18" customHeight="1" s="251">
      <c r="A23" s="199" t="inlineStr">
        <is>
          <t>G06</t>
        </is>
      </c>
      <c r="B23" s="203" t="inlineStr">
        <is>
          <t xml:space="preserve">Mohit Daga/Sreenath </t>
        </is>
      </c>
      <c r="C23" s="201">
        <f>'INCOME-EXPENSE-CYCLES'!BA24</f>
        <v/>
      </c>
      <c r="D23" s="201">
        <f>'INCOME-EXPENSE-CYCLES'!BB24</f>
        <v/>
      </c>
      <c r="E23" s="201">
        <f>'INCOME-EXPENSE-CYCLES'!BC24</f>
        <v/>
      </c>
      <c r="F23" s="201">
        <f>C23-(D23+E23)</f>
        <v/>
      </c>
      <c r="G23" s="201">
        <f>IF(F23&lt;0,(F23*-1),0)</f>
        <v/>
      </c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</row>
    <row r="24" ht="18" customHeight="1" s="251">
      <c r="A24" s="199" t="inlineStr">
        <is>
          <t>G07</t>
        </is>
      </c>
      <c r="B24" s="203" t="inlineStr">
        <is>
          <t>Prince Richfield</t>
        </is>
      </c>
      <c r="C24" s="201">
        <f>'INCOME-EXPENSE-CYCLES'!BA25</f>
        <v/>
      </c>
      <c r="D24" s="201">
        <f>'INCOME-EXPENSE-CYCLES'!BB25</f>
        <v/>
      </c>
      <c r="E24" s="201">
        <f>'INCOME-EXPENSE-CYCLES'!BC25</f>
        <v/>
      </c>
      <c r="F24" s="201">
        <f>C24-(D24+E24)</f>
        <v/>
      </c>
      <c r="G24" s="201">
        <f>IF(F24&lt;0,(F24*-1),0)</f>
        <v/>
      </c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</row>
    <row r="25" ht="18" customHeight="1" s="251">
      <c r="A25" s="199" t="inlineStr">
        <is>
          <t>G08</t>
        </is>
      </c>
      <c r="B25" s="200" t="inlineStr">
        <is>
          <t>Ranjith Kumar</t>
        </is>
      </c>
      <c r="C25" s="201">
        <f>'INCOME-EXPENSE-CYCLES'!BA26</f>
        <v/>
      </c>
      <c r="D25" s="201">
        <f>'INCOME-EXPENSE-CYCLES'!BB26</f>
        <v/>
      </c>
      <c r="E25" s="201">
        <f>'INCOME-EXPENSE-CYCLES'!BC26</f>
        <v/>
      </c>
      <c r="F25" s="201">
        <f>C25-(D25+E25)</f>
        <v/>
      </c>
      <c r="G25" s="201">
        <f>IF(F25&lt;0,(F25*-1),0)</f>
        <v/>
      </c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</row>
    <row r="26" ht="18" customHeight="1" s="251">
      <c r="A26" s="199" t="inlineStr">
        <is>
          <t>G09</t>
        </is>
      </c>
      <c r="B26" s="203" t="inlineStr">
        <is>
          <t>Ankur Agarwal</t>
        </is>
      </c>
      <c r="C26" s="201">
        <f>'INCOME-EXPENSE-CYCLES'!BA27</f>
        <v/>
      </c>
      <c r="D26" s="201">
        <f>'INCOME-EXPENSE-CYCLES'!BB27</f>
        <v/>
      </c>
      <c r="E26" s="201">
        <f>'INCOME-EXPENSE-CYCLES'!BC27</f>
        <v/>
      </c>
      <c r="F26" s="201">
        <f>C26-(D26+E26)</f>
        <v/>
      </c>
      <c r="G26" s="201">
        <f>IF(F26&lt;0,(F26*-1),0)</f>
        <v/>
      </c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</row>
    <row r="27" ht="18" customHeight="1" s="251">
      <c r="A27" s="204" t="inlineStr">
        <is>
          <t>G10</t>
        </is>
      </c>
      <c r="B27" s="200" t="inlineStr">
        <is>
          <t>Cijo Jacob</t>
        </is>
      </c>
      <c r="C27" s="201">
        <f>'INCOME-EXPENSE-CYCLES'!BA28</f>
        <v/>
      </c>
      <c r="D27" s="201">
        <f>'INCOME-EXPENSE-CYCLES'!BB28</f>
        <v/>
      </c>
      <c r="E27" s="201">
        <f>'INCOME-EXPENSE-CYCLES'!BC28</f>
        <v/>
      </c>
      <c r="F27" s="201">
        <f>C27-(D27+E27)</f>
        <v/>
      </c>
      <c r="G27" s="201">
        <f>IF(F27&lt;0,(F27*-1),0)</f>
        <v/>
      </c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</row>
    <row r="28" ht="18" customHeight="1" s="251">
      <c r="A28" s="204" t="inlineStr">
        <is>
          <t>G11</t>
        </is>
      </c>
      <c r="B28" s="203" t="inlineStr">
        <is>
          <t>Ketan Vinay Prabhuverlekar</t>
        </is>
      </c>
      <c r="C28" s="201">
        <f>'INCOME-EXPENSE-CYCLES'!BA29</f>
        <v/>
      </c>
      <c r="D28" s="201">
        <f>'INCOME-EXPENSE-CYCLES'!BB29</f>
        <v/>
      </c>
      <c r="E28" s="201">
        <f>'INCOME-EXPENSE-CYCLES'!BC29</f>
        <v/>
      </c>
      <c r="F28" s="201">
        <f>C28-(D28+E28)</f>
        <v/>
      </c>
      <c r="G28" s="201">
        <f>IF(F28&lt;0,(F28*-1),0)</f>
        <v/>
      </c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</row>
    <row r="29" ht="18" customHeight="1" s="251">
      <c r="A29" s="204" t="inlineStr">
        <is>
          <t>G12</t>
        </is>
      </c>
      <c r="B29" s="203" t="inlineStr">
        <is>
          <t>Shyam Nair</t>
        </is>
      </c>
      <c r="C29" s="201">
        <f>'INCOME-EXPENSE-CYCLES'!BA30</f>
        <v/>
      </c>
      <c r="D29" s="201">
        <f>'INCOME-EXPENSE-CYCLES'!BB30</f>
        <v/>
      </c>
      <c r="E29" s="201">
        <f>'INCOME-EXPENSE-CYCLES'!BC30</f>
        <v/>
      </c>
      <c r="F29" s="201">
        <f>C29-(D29+E29)</f>
        <v/>
      </c>
      <c r="G29" s="201">
        <f>IF(F29&lt;0,(F29*-1),0)</f>
        <v/>
      </c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</row>
    <row r="30" ht="18" customHeight="1" s="251">
      <c r="A30" s="204" t="inlineStr">
        <is>
          <t>G13</t>
        </is>
      </c>
      <c r="B30" s="203" t="inlineStr">
        <is>
          <t>Ajai.B</t>
        </is>
      </c>
      <c r="C30" s="201">
        <f>'INCOME-EXPENSE-CYCLES'!BA31</f>
        <v/>
      </c>
      <c r="D30" s="201">
        <f>'INCOME-EXPENSE-CYCLES'!BB31</f>
        <v/>
      </c>
      <c r="E30" s="201">
        <f>'INCOME-EXPENSE-CYCLES'!BC31</f>
        <v/>
      </c>
      <c r="F30" s="201">
        <f>C30-(D30+E30)</f>
        <v/>
      </c>
      <c r="G30" s="201">
        <f>IF(F30&lt;0,(F30*-1),0)</f>
        <v/>
      </c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</row>
    <row r="31" ht="18" customHeight="1" s="251">
      <c r="A31" s="204" t="inlineStr">
        <is>
          <t>G14</t>
        </is>
      </c>
      <c r="B31" s="203" t="inlineStr">
        <is>
          <t>Surajit Borah</t>
        </is>
      </c>
      <c r="C31" s="201">
        <f>'INCOME-EXPENSE-CYCLES'!BA32</f>
        <v/>
      </c>
      <c r="D31" s="201">
        <f>'INCOME-EXPENSE-CYCLES'!BB32</f>
        <v/>
      </c>
      <c r="E31" s="201">
        <f>'INCOME-EXPENSE-CYCLES'!BC32</f>
        <v/>
      </c>
      <c r="F31" s="201">
        <f>C31-(D31+E31)</f>
        <v/>
      </c>
      <c r="G31" s="201">
        <f>IF(F31&lt;0,(F31*-1),0)</f>
        <v/>
      </c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</row>
    <row r="32" ht="18" customHeight="1" s="251">
      <c r="A32" s="204" t="inlineStr">
        <is>
          <t>G15</t>
        </is>
      </c>
      <c r="B32" s="200" t="inlineStr">
        <is>
          <t>Suresh Nallusamy</t>
        </is>
      </c>
      <c r="C32" s="201">
        <f>'INCOME-EXPENSE-CYCLES'!BA33</f>
        <v/>
      </c>
      <c r="D32" s="201">
        <f>'INCOME-EXPENSE-CYCLES'!BB33</f>
        <v/>
      </c>
      <c r="E32" s="201">
        <f>'INCOME-EXPENSE-CYCLES'!BC33</f>
        <v/>
      </c>
      <c r="F32" s="201">
        <f>C32-(D32+E32)</f>
        <v/>
      </c>
      <c r="G32" s="201">
        <f>IF(F32&lt;0,(F32*-1),0)</f>
        <v/>
      </c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</row>
    <row r="33" ht="18" customHeight="1" s="251">
      <c r="A33" s="204" t="inlineStr">
        <is>
          <t>G16</t>
        </is>
      </c>
      <c r="B33" s="203" t="inlineStr">
        <is>
          <t>Premalatha</t>
        </is>
      </c>
      <c r="C33" s="201">
        <f>'INCOME-EXPENSE-CYCLES'!BA34</f>
        <v/>
      </c>
      <c r="D33" s="201">
        <f>'INCOME-EXPENSE-CYCLES'!BB34</f>
        <v/>
      </c>
      <c r="E33" s="201">
        <f>'INCOME-EXPENSE-CYCLES'!BC34</f>
        <v/>
      </c>
      <c r="F33" s="201">
        <f>C33-(D33+E33)</f>
        <v/>
      </c>
      <c r="G33" s="201">
        <f>IF(F33&lt;0,(F33*-1),0)</f>
        <v/>
      </c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</row>
    <row r="34" ht="18" customHeight="1" s="251">
      <c r="A34" s="199" t="inlineStr">
        <is>
          <t>S01</t>
        </is>
      </c>
      <c r="B34" s="203" t="inlineStr">
        <is>
          <t>S.N.Behera</t>
        </is>
      </c>
      <c r="C34" s="201">
        <f>'INCOME-EXPENSE-CYCLES'!BA35</f>
        <v/>
      </c>
      <c r="D34" s="201">
        <f>'INCOME-EXPENSE-CYCLES'!BB35</f>
        <v/>
      </c>
      <c r="E34" s="201">
        <f>'INCOME-EXPENSE-CYCLES'!BC35</f>
        <v/>
      </c>
      <c r="F34" s="201">
        <f>C34-(D34+E34)</f>
        <v/>
      </c>
      <c r="G34" s="201">
        <f>IF(F34&lt;0,(F34*-1),0)</f>
        <v/>
      </c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</row>
    <row r="35" ht="18" customHeight="1" s="251">
      <c r="A35" s="199" t="inlineStr">
        <is>
          <t>S02</t>
        </is>
      </c>
      <c r="B35" s="200" t="inlineStr">
        <is>
          <t>Sonal Singhal</t>
        </is>
      </c>
      <c r="C35" s="201">
        <f>'INCOME-EXPENSE-CYCLES'!BA36</f>
        <v/>
      </c>
      <c r="D35" s="201">
        <f>'INCOME-EXPENSE-CYCLES'!BB36</f>
        <v/>
      </c>
      <c r="E35" s="201">
        <f>'INCOME-EXPENSE-CYCLES'!BC36</f>
        <v/>
      </c>
      <c r="F35" s="201">
        <f>C35-(D35+E35)</f>
        <v/>
      </c>
      <c r="G35" s="201">
        <f>IF(F35&lt;0,(F35*-1),0)</f>
        <v/>
      </c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</row>
    <row r="36" ht="18" customHeight="1" s="251">
      <c r="A36" s="199" t="inlineStr">
        <is>
          <t>S03</t>
        </is>
      </c>
      <c r="B36" s="200" t="inlineStr">
        <is>
          <t>Suresh Kr Nataraja</t>
        </is>
      </c>
      <c r="C36" s="201">
        <f>'INCOME-EXPENSE-CYCLES'!BA37</f>
        <v/>
      </c>
      <c r="D36" s="201">
        <f>'INCOME-EXPENSE-CYCLES'!BB37</f>
        <v/>
      </c>
      <c r="E36" s="201">
        <f>'INCOME-EXPENSE-CYCLES'!BC37</f>
        <v/>
      </c>
      <c r="F36" s="201">
        <f>C36-(D36+E36)</f>
        <v/>
      </c>
      <c r="G36" s="201">
        <f>IF(F36&lt;0,(F36*-1),0)</f>
        <v/>
      </c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</row>
    <row r="37" ht="18" customHeight="1" s="251">
      <c r="A37" s="199" t="inlineStr">
        <is>
          <t>S04</t>
        </is>
      </c>
      <c r="B37" s="200" t="inlineStr">
        <is>
          <t>Swaminathan R</t>
        </is>
      </c>
      <c r="C37" s="201">
        <f>'INCOME-EXPENSE-CYCLES'!BA38</f>
        <v/>
      </c>
      <c r="D37" s="201">
        <f>'INCOME-EXPENSE-CYCLES'!BB38</f>
        <v/>
      </c>
      <c r="E37" s="201">
        <f>'INCOME-EXPENSE-CYCLES'!BC38</f>
        <v/>
      </c>
      <c r="F37" s="201">
        <f>C37-(D37+E37)</f>
        <v/>
      </c>
      <c r="G37" s="201">
        <f>IF(F37&lt;0,(F37*-1),0)</f>
        <v/>
      </c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</row>
    <row r="38" ht="18" customHeight="1" s="251">
      <c r="A38" s="199" t="inlineStr">
        <is>
          <t>S05</t>
        </is>
      </c>
      <c r="B38" s="200" t="inlineStr">
        <is>
          <t>Abhishek Gopalakrishnan</t>
        </is>
      </c>
      <c r="C38" s="201">
        <f>'INCOME-EXPENSE-CYCLES'!BA39</f>
        <v/>
      </c>
      <c r="D38" s="201">
        <f>'INCOME-EXPENSE-CYCLES'!BB39</f>
        <v/>
      </c>
      <c r="E38" s="201">
        <f>'INCOME-EXPENSE-CYCLES'!BC39</f>
        <v/>
      </c>
      <c r="F38" s="201">
        <f>C38-(D38+E38)</f>
        <v/>
      </c>
      <c r="G38" s="201">
        <f>IF(F38&lt;0,(F38*-1),0)</f>
        <v/>
      </c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</row>
    <row r="39" ht="18" customHeight="1" s="251">
      <c r="A39" s="199" t="inlineStr">
        <is>
          <t>S06</t>
        </is>
      </c>
      <c r="B39" s="203" t="inlineStr">
        <is>
          <t>Vivek Dhingra</t>
        </is>
      </c>
      <c r="C39" s="201">
        <f>'INCOME-EXPENSE-CYCLES'!BA40</f>
        <v/>
      </c>
      <c r="D39" s="201">
        <f>'INCOME-EXPENSE-CYCLES'!BB40</f>
        <v/>
      </c>
      <c r="E39" s="201">
        <f>'INCOME-EXPENSE-CYCLES'!BC40</f>
        <v/>
      </c>
      <c r="F39" s="201">
        <f>C39-(D39+E39)</f>
        <v/>
      </c>
      <c r="G39" s="201">
        <f>IF(F39&lt;0,(F39*-1),0)</f>
        <v/>
      </c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</row>
    <row r="40" ht="18" customHeight="1" s="251">
      <c r="A40" s="199" t="inlineStr">
        <is>
          <t>S07</t>
        </is>
      </c>
      <c r="B40" s="203" t="inlineStr">
        <is>
          <t>Harish B</t>
        </is>
      </c>
      <c r="C40" s="201">
        <f>'INCOME-EXPENSE-CYCLES'!BA41</f>
        <v/>
      </c>
      <c r="D40" s="201">
        <f>'INCOME-EXPENSE-CYCLES'!BB41</f>
        <v/>
      </c>
      <c r="E40" s="201">
        <f>'INCOME-EXPENSE-CYCLES'!BC41</f>
        <v/>
      </c>
      <c r="F40" s="201">
        <f>C40-(D40+E40)</f>
        <v/>
      </c>
      <c r="G40" s="201">
        <f>IF(F40&lt;0,(F40*-1),0)</f>
        <v/>
      </c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</row>
    <row r="41" ht="18" customHeight="1" s="251">
      <c r="A41" s="199" t="inlineStr">
        <is>
          <t>S08</t>
        </is>
      </c>
      <c r="B41" s="203" t="inlineStr">
        <is>
          <t>Irudayaraj Alwin</t>
        </is>
      </c>
      <c r="C41" s="201">
        <f>'INCOME-EXPENSE-CYCLES'!BA42</f>
        <v/>
      </c>
      <c r="D41" s="201">
        <f>'INCOME-EXPENSE-CYCLES'!BB42</f>
        <v/>
      </c>
      <c r="E41" s="201">
        <f>'INCOME-EXPENSE-CYCLES'!BC42</f>
        <v/>
      </c>
      <c r="F41" s="201">
        <f>C41-(D41+E41)</f>
        <v/>
      </c>
      <c r="G41" s="201">
        <f>IF(F41&lt;0,(F41*-1),0)</f>
        <v/>
      </c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</row>
    <row r="42" ht="18" customHeight="1" s="251">
      <c r="A42" s="199" t="inlineStr">
        <is>
          <t>S09</t>
        </is>
      </c>
      <c r="B42" s="203" t="inlineStr">
        <is>
          <t>Pawan GS</t>
        </is>
      </c>
      <c r="C42" s="201">
        <f>'INCOME-EXPENSE-CYCLES'!BA43</f>
        <v/>
      </c>
      <c r="D42" s="201">
        <f>'INCOME-EXPENSE-CYCLES'!BB43</f>
        <v/>
      </c>
      <c r="E42" s="201">
        <f>'INCOME-EXPENSE-CYCLES'!BC43</f>
        <v/>
      </c>
      <c r="F42" s="201">
        <f>C42-(D42+E42)</f>
        <v/>
      </c>
      <c r="G42" s="201">
        <f>IF(F42&lt;0,(F42*-1),0)</f>
        <v/>
      </c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</row>
    <row r="43" ht="18" customHeight="1" s="251">
      <c r="A43" s="204" t="inlineStr">
        <is>
          <t>S10</t>
        </is>
      </c>
      <c r="B43" s="200" t="inlineStr">
        <is>
          <t>Rohit Sadanand</t>
        </is>
      </c>
      <c r="C43" s="201">
        <f>'INCOME-EXPENSE-CYCLES'!BA44</f>
        <v/>
      </c>
      <c r="D43" s="201">
        <f>'INCOME-EXPENSE-CYCLES'!BB44</f>
        <v/>
      </c>
      <c r="E43" s="201">
        <f>'INCOME-EXPENSE-CYCLES'!BC44</f>
        <v/>
      </c>
      <c r="F43" s="201">
        <f>C43-(D43+E43)</f>
        <v/>
      </c>
      <c r="G43" s="201">
        <f>IF(F43&lt;0,(F43*-1),0)</f>
        <v/>
      </c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</row>
    <row r="44" ht="18" customHeight="1" s="251">
      <c r="A44" s="204" t="inlineStr">
        <is>
          <t>S11</t>
        </is>
      </c>
      <c r="B44" s="200" t="inlineStr">
        <is>
          <t>Gowrish Patnaik</t>
        </is>
      </c>
      <c r="C44" s="201">
        <f>'INCOME-EXPENSE-CYCLES'!BA45</f>
        <v/>
      </c>
      <c r="D44" s="201">
        <f>'INCOME-EXPENSE-CYCLES'!BB45</f>
        <v/>
      </c>
      <c r="E44" s="201">
        <f>'INCOME-EXPENSE-CYCLES'!BC45</f>
        <v/>
      </c>
      <c r="F44" s="201">
        <f>C44-(D44+E44)</f>
        <v/>
      </c>
      <c r="G44" s="201">
        <f>IF(F44&lt;0,(F44*-1),0)</f>
        <v/>
      </c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</row>
    <row r="45" ht="18" customHeight="1" s="251">
      <c r="A45" s="204" t="inlineStr">
        <is>
          <t>S12</t>
        </is>
      </c>
      <c r="B45" s="203" t="inlineStr">
        <is>
          <t>Saovik Mondal</t>
        </is>
      </c>
      <c r="C45" s="201">
        <f>'INCOME-EXPENSE-CYCLES'!BA46</f>
        <v/>
      </c>
      <c r="D45" s="201">
        <f>'INCOME-EXPENSE-CYCLES'!BB46</f>
        <v/>
      </c>
      <c r="E45" s="201">
        <f>'INCOME-EXPENSE-CYCLES'!BC46</f>
        <v/>
      </c>
      <c r="F45" s="201">
        <f>C45-(D45+E45)</f>
        <v/>
      </c>
      <c r="G45" s="201">
        <f>IF(F45&lt;0,(F45*-1),0)</f>
        <v/>
      </c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</row>
    <row r="46" ht="18" customHeight="1" s="251">
      <c r="A46" s="204" t="inlineStr">
        <is>
          <t>S13</t>
        </is>
      </c>
      <c r="B46" s="203" t="inlineStr">
        <is>
          <t>Srinivasa Rao / S Rama Devi</t>
        </is>
      </c>
      <c r="C46" s="201">
        <f>'INCOME-EXPENSE-CYCLES'!BA47</f>
        <v/>
      </c>
      <c r="D46" s="201">
        <f>'INCOME-EXPENSE-CYCLES'!BB47</f>
        <v/>
      </c>
      <c r="E46" s="201">
        <f>'INCOME-EXPENSE-CYCLES'!BC47</f>
        <v/>
      </c>
      <c r="F46" s="201">
        <f>C46-(D46+E46)</f>
        <v/>
      </c>
      <c r="G46" s="201">
        <f>IF(F46&lt;0,(F46*-1),0)</f>
        <v/>
      </c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</row>
    <row r="47" ht="18" customHeight="1" s="251">
      <c r="A47" s="204" t="inlineStr">
        <is>
          <t>S14</t>
        </is>
      </c>
      <c r="B47" s="203" t="inlineStr">
        <is>
          <t>Nishant Upadhyay</t>
        </is>
      </c>
      <c r="C47" s="201">
        <f>'INCOME-EXPENSE-CYCLES'!BA48</f>
        <v/>
      </c>
      <c r="D47" s="201">
        <f>'INCOME-EXPENSE-CYCLES'!BB48</f>
        <v/>
      </c>
      <c r="E47" s="201">
        <f>'INCOME-EXPENSE-CYCLES'!BC48</f>
        <v/>
      </c>
      <c r="F47" s="201">
        <f>C47-(D47+E47)</f>
        <v/>
      </c>
      <c r="G47" s="201">
        <f>IF(F47&lt;0,(F47*-1),0)</f>
        <v/>
      </c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</row>
    <row r="48" ht="18" customHeight="1" s="251">
      <c r="A48" s="204" t="inlineStr">
        <is>
          <t>S15</t>
        </is>
      </c>
      <c r="B48" s="203" t="inlineStr">
        <is>
          <t>Manas Dasgupta</t>
        </is>
      </c>
      <c r="C48" s="201">
        <f>'INCOME-EXPENSE-CYCLES'!BA49</f>
        <v/>
      </c>
      <c r="D48" s="201">
        <f>'INCOME-EXPENSE-CYCLES'!BB49</f>
        <v/>
      </c>
      <c r="E48" s="201">
        <f>'INCOME-EXPENSE-CYCLES'!BC49</f>
        <v/>
      </c>
      <c r="F48" s="201">
        <f>C48-(D48+E48)</f>
        <v/>
      </c>
      <c r="G48" s="201">
        <f>IF(F48&lt;0,(F48*-1),0)</f>
        <v/>
      </c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</row>
    <row r="49" ht="18" customHeight="1" s="251">
      <c r="A49" s="204" t="inlineStr">
        <is>
          <t>S16</t>
        </is>
      </c>
      <c r="B49" s="203" t="inlineStr">
        <is>
          <t>Devendra Singh Rawat</t>
        </is>
      </c>
      <c r="C49" s="201">
        <f>'INCOME-EXPENSE-CYCLES'!BA50</f>
        <v/>
      </c>
      <c r="D49" s="201">
        <f>'INCOME-EXPENSE-CYCLES'!BB50</f>
        <v/>
      </c>
      <c r="E49" s="201">
        <f>'INCOME-EXPENSE-CYCLES'!BC50</f>
        <v/>
      </c>
      <c r="F49" s="201">
        <f>C49-(D49+E49)</f>
        <v/>
      </c>
      <c r="G49" s="201">
        <f>IF(F49&lt;0,(F49*-1),0)</f>
        <v/>
      </c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</row>
    <row r="50" ht="18" customHeight="1" s="251">
      <c r="A50" s="199" t="inlineStr">
        <is>
          <t>T01</t>
        </is>
      </c>
      <c r="B50" s="203" t="inlineStr">
        <is>
          <t>Prashant Sikdar</t>
        </is>
      </c>
      <c r="C50" s="201">
        <f>'INCOME-EXPENSE-CYCLES'!BA51</f>
        <v/>
      </c>
      <c r="D50" s="201">
        <f>'INCOME-EXPENSE-CYCLES'!BB51</f>
        <v/>
      </c>
      <c r="E50" s="201">
        <f>'INCOME-EXPENSE-CYCLES'!BC51</f>
        <v/>
      </c>
      <c r="F50" s="201">
        <f>C50-(D50+E50)</f>
        <v/>
      </c>
      <c r="G50" s="201">
        <f>IF(F50&lt;0,(F50*-1),0)</f>
        <v/>
      </c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</row>
    <row r="51" ht="18" customHeight="1" s="251">
      <c r="A51" s="199" t="inlineStr">
        <is>
          <t>T02</t>
        </is>
      </c>
      <c r="B51" s="203" t="inlineStr">
        <is>
          <t>Kunal Raj</t>
        </is>
      </c>
      <c r="C51" s="201">
        <f>'INCOME-EXPENSE-CYCLES'!BA52</f>
        <v/>
      </c>
      <c r="D51" s="201">
        <f>'INCOME-EXPENSE-CYCLES'!BB52</f>
        <v/>
      </c>
      <c r="E51" s="201">
        <f>'INCOME-EXPENSE-CYCLES'!BC52</f>
        <v/>
      </c>
      <c r="F51" s="201">
        <f>C51-(D51+E51)</f>
        <v/>
      </c>
      <c r="G51" s="201">
        <f>IF(F51&lt;0,(F51*-1),0)</f>
        <v/>
      </c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</row>
    <row r="52" ht="18" customHeight="1" s="251">
      <c r="A52" s="199" t="inlineStr">
        <is>
          <t>T03</t>
        </is>
      </c>
      <c r="B52" s="203" t="inlineStr">
        <is>
          <t>Kapil Garg</t>
        </is>
      </c>
      <c r="C52" s="201">
        <f>'INCOME-EXPENSE-CYCLES'!BA53</f>
        <v/>
      </c>
      <c r="D52" s="201">
        <f>'INCOME-EXPENSE-CYCLES'!BB53</f>
        <v/>
      </c>
      <c r="E52" s="201">
        <f>'INCOME-EXPENSE-CYCLES'!BC53</f>
        <v/>
      </c>
      <c r="F52" s="201">
        <f>C52-(D52+E52)</f>
        <v/>
      </c>
      <c r="G52" s="201">
        <f>IF(F52&lt;0,(F52*-1),0)</f>
        <v/>
      </c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</row>
    <row r="53" ht="18" customHeight="1" s="251">
      <c r="A53" s="199" t="inlineStr">
        <is>
          <t>T04</t>
        </is>
      </c>
      <c r="B53" s="203" t="inlineStr">
        <is>
          <t>Ranjit Patnaik</t>
        </is>
      </c>
      <c r="C53" s="201">
        <f>'INCOME-EXPENSE-CYCLES'!BA54</f>
        <v/>
      </c>
      <c r="D53" s="201">
        <f>'INCOME-EXPENSE-CYCLES'!BB54</f>
        <v/>
      </c>
      <c r="E53" s="201">
        <f>'INCOME-EXPENSE-CYCLES'!BC54</f>
        <v/>
      </c>
      <c r="F53" s="201">
        <f>C53-(D53+E53)</f>
        <v/>
      </c>
      <c r="G53" s="201">
        <f>IF(F53&lt;0,(F53*-1),0)</f>
        <v/>
      </c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</row>
    <row r="54" ht="18" customHeight="1" s="251">
      <c r="A54" s="199" t="inlineStr">
        <is>
          <t>T05</t>
        </is>
      </c>
      <c r="B54" s="205" t="inlineStr">
        <is>
          <t>Ganesh Iyer</t>
        </is>
      </c>
      <c r="C54" s="201">
        <f>'INCOME-EXPENSE-CYCLES'!BA55</f>
        <v/>
      </c>
      <c r="D54" s="201">
        <f>'INCOME-EXPENSE-CYCLES'!BB55</f>
        <v/>
      </c>
      <c r="E54" s="201">
        <f>'INCOME-EXPENSE-CYCLES'!BC55</f>
        <v/>
      </c>
      <c r="F54" s="201">
        <f>C54-(D54+E54)</f>
        <v/>
      </c>
      <c r="G54" s="201">
        <f>IF(F54&lt;0,(F54*-1),0)</f>
        <v/>
      </c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</row>
    <row r="55" ht="18" customHeight="1" s="251">
      <c r="A55" s="199" t="inlineStr">
        <is>
          <t>T06</t>
        </is>
      </c>
      <c r="B55" s="203" t="inlineStr">
        <is>
          <t>Mythili Ramesh</t>
        </is>
      </c>
      <c r="C55" s="201">
        <f>'INCOME-EXPENSE-CYCLES'!BA56</f>
        <v/>
      </c>
      <c r="D55" s="201">
        <f>'INCOME-EXPENSE-CYCLES'!BB56</f>
        <v/>
      </c>
      <c r="E55" s="201">
        <f>'INCOME-EXPENSE-CYCLES'!BC56</f>
        <v/>
      </c>
      <c r="F55" s="201">
        <f>C55-(D55+E55)</f>
        <v/>
      </c>
      <c r="G55" s="201">
        <f>IF(F55&lt;0,(F55*-1),0)</f>
        <v/>
      </c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</row>
    <row r="56" ht="18" customHeight="1" s="251">
      <c r="A56" s="199" t="inlineStr">
        <is>
          <t>T07</t>
        </is>
      </c>
      <c r="B56" s="203" t="inlineStr">
        <is>
          <t>Vinyas Ramachandran</t>
        </is>
      </c>
      <c r="C56" s="201">
        <f>'INCOME-EXPENSE-CYCLES'!BA57</f>
        <v/>
      </c>
      <c r="D56" s="201">
        <f>'INCOME-EXPENSE-CYCLES'!BB57</f>
        <v/>
      </c>
      <c r="E56" s="201">
        <f>'INCOME-EXPENSE-CYCLES'!BC57</f>
        <v/>
      </c>
      <c r="F56" s="201">
        <f>C56-(D56+E56)</f>
        <v/>
      </c>
      <c r="G56" s="201">
        <f>IF(F56&lt;0,(F56*-1),0)</f>
        <v/>
      </c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</row>
    <row r="57" ht="18" customHeight="1" s="251">
      <c r="A57" s="199" t="inlineStr">
        <is>
          <t>T08</t>
        </is>
      </c>
      <c r="B57" s="203" t="inlineStr">
        <is>
          <t>Lalit Kumar Sharma</t>
        </is>
      </c>
      <c r="C57" s="201">
        <f>'INCOME-EXPENSE-CYCLES'!BA58</f>
        <v/>
      </c>
      <c r="D57" s="201">
        <f>'INCOME-EXPENSE-CYCLES'!BB58</f>
        <v/>
      </c>
      <c r="E57" s="201">
        <f>'INCOME-EXPENSE-CYCLES'!BC58</f>
        <v/>
      </c>
      <c r="F57" s="201">
        <f>C57-(D57+E57)</f>
        <v/>
      </c>
      <c r="G57" s="201">
        <f>IF(F57&lt;0,(F57*-1),0)</f>
        <v/>
      </c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</row>
    <row r="58" ht="18" customHeight="1" s="251">
      <c r="A58" s="199" t="inlineStr">
        <is>
          <t>T09</t>
        </is>
      </c>
      <c r="B58" s="203" t="inlineStr">
        <is>
          <t xml:space="preserve">Nishith Sahu </t>
        </is>
      </c>
      <c r="C58" s="201">
        <f>'INCOME-EXPENSE-CYCLES'!BA59</f>
        <v/>
      </c>
      <c r="D58" s="201">
        <f>'INCOME-EXPENSE-CYCLES'!BB59</f>
        <v/>
      </c>
      <c r="E58" s="201">
        <f>'INCOME-EXPENSE-CYCLES'!BC59</f>
        <v/>
      </c>
      <c r="F58" s="201">
        <f>C58-(D58+E58)</f>
        <v/>
      </c>
      <c r="G58" s="201">
        <f>IF(F58&lt;0,(F58*-1),0)</f>
        <v/>
      </c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</row>
    <row r="59" ht="18" customHeight="1" s="251">
      <c r="A59" s="204" t="inlineStr">
        <is>
          <t>T10</t>
        </is>
      </c>
      <c r="B59" s="203" t="inlineStr">
        <is>
          <t>Vamsidhar</t>
        </is>
      </c>
      <c r="C59" s="201">
        <f>'INCOME-EXPENSE-CYCLES'!BA60</f>
        <v/>
      </c>
      <c r="D59" s="201">
        <f>'INCOME-EXPENSE-CYCLES'!BB60</f>
        <v/>
      </c>
      <c r="E59" s="201">
        <f>'INCOME-EXPENSE-CYCLES'!BC60</f>
        <v/>
      </c>
      <c r="F59" s="201">
        <f>C59-(D59+E59)</f>
        <v/>
      </c>
      <c r="G59" s="201">
        <f>IF(F59&lt;0,(F59*-1),0)</f>
        <v/>
      </c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</row>
    <row r="60" ht="18" customHeight="1" s="251">
      <c r="A60" s="204" t="inlineStr">
        <is>
          <t>T11</t>
        </is>
      </c>
      <c r="B60" s="206" t="inlineStr">
        <is>
          <t>Chaitanya Suthapalli / Vaishnavi Suthapalli</t>
        </is>
      </c>
      <c r="C60" s="201">
        <f>'INCOME-EXPENSE-CYCLES'!BA61</f>
        <v/>
      </c>
      <c r="D60" s="201">
        <f>'INCOME-EXPENSE-CYCLES'!BB61</f>
        <v/>
      </c>
      <c r="E60" s="201">
        <f>'INCOME-EXPENSE-CYCLES'!BC61</f>
        <v/>
      </c>
      <c r="F60" s="201">
        <f>C60-(D60+E60)</f>
        <v/>
      </c>
      <c r="G60" s="201">
        <f>IF(F60&lt;0,(F60*-1),0)</f>
        <v/>
      </c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</row>
    <row r="61" ht="18" customHeight="1" s="251">
      <c r="A61" s="204" t="inlineStr">
        <is>
          <t>T12</t>
        </is>
      </c>
      <c r="B61" s="200" t="inlineStr">
        <is>
          <t>Prasenjit Chakraborty</t>
        </is>
      </c>
      <c r="C61" s="201">
        <f>'INCOME-EXPENSE-CYCLES'!BA62</f>
        <v/>
      </c>
      <c r="D61" s="201">
        <f>'INCOME-EXPENSE-CYCLES'!BB62</f>
        <v/>
      </c>
      <c r="E61" s="201">
        <f>'INCOME-EXPENSE-CYCLES'!BC62</f>
        <v/>
      </c>
      <c r="F61" s="201">
        <f>C61-(D61+E61)</f>
        <v/>
      </c>
      <c r="G61" s="201">
        <f>IF(F61&lt;0,(F61*-1),0)</f>
        <v/>
      </c>
      <c r="H61" s="202" t="n"/>
      <c r="I61" s="202" t="n"/>
      <c r="J61" s="202" t="n"/>
      <c r="K61" s="202" t="n"/>
      <c r="L61" s="202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</row>
    <row r="62" ht="18" customHeight="1" s="251">
      <c r="A62" s="204" t="inlineStr">
        <is>
          <t>T13</t>
        </is>
      </c>
      <c r="B62" s="200" t="inlineStr">
        <is>
          <t>Sonali Deokule</t>
        </is>
      </c>
      <c r="C62" s="201">
        <f>'INCOME-EXPENSE-CYCLES'!BA63</f>
        <v/>
      </c>
      <c r="D62" s="201">
        <f>'INCOME-EXPENSE-CYCLES'!BB63</f>
        <v/>
      </c>
      <c r="E62" s="201">
        <f>'INCOME-EXPENSE-CYCLES'!BC63</f>
        <v/>
      </c>
      <c r="F62" s="201">
        <f>C62-(D62+E62)</f>
        <v/>
      </c>
      <c r="G62" s="201">
        <f>IF(F62&lt;0,(F62*-1),0)</f>
        <v/>
      </c>
      <c r="H62" s="202" t="n"/>
      <c r="I62" s="202" t="n"/>
      <c r="J62" s="202" t="n"/>
      <c r="K62" s="202" t="n"/>
      <c r="L62" s="202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</row>
    <row r="63" ht="18" customHeight="1" s="251">
      <c r="A63" s="204" t="inlineStr">
        <is>
          <t>T14</t>
        </is>
      </c>
      <c r="B63" s="203" t="inlineStr">
        <is>
          <t>Jeyarani Jeganathan</t>
        </is>
      </c>
      <c r="C63" s="201">
        <f>'INCOME-EXPENSE-CYCLES'!BA64</f>
        <v/>
      </c>
      <c r="D63" s="201">
        <f>'INCOME-EXPENSE-CYCLES'!BB64</f>
        <v/>
      </c>
      <c r="E63" s="201">
        <f>'INCOME-EXPENSE-CYCLES'!BC64</f>
        <v/>
      </c>
      <c r="F63" s="201">
        <f>C63-(D63+E63)</f>
        <v/>
      </c>
      <c r="G63" s="201">
        <f>IF(F63&lt;0,(F63*-1),0)</f>
        <v/>
      </c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</row>
    <row r="64" ht="18" customHeight="1" s="251">
      <c r="A64" s="204" t="inlineStr">
        <is>
          <t>T15</t>
        </is>
      </c>
      <c r="B64" s="203" t="inlineStr">
        <is>
          <t>Trevor</t>
        </is>
      </c>
      <c r="C64" s="201">
        <f>'INCOME-EXPENSE-CYCLES'!BA65</f>
        <v/>
      </c>
      <c r="D64" s="201">
        <f>'INCOME-EXPENSE-CYCLES'!BB65</f>
        <v/>
      </c>
      <c r="E64" s="201">
        <f>'INCOME-EXPENSE-CYCLES'!BC65</f>
        <v/>
      </c>
      <c r="F64" s="201">
        <f>C64-(D64+E64)</f>
        <v/>
      </c>
      <c r="G64" s="201">
        <f>IF(F64&lt;0,(F64*-1),0)</f>
        <v/>
      </c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</row>
    <row r="65" ht="18" customHeight="1" s="251">
      <c r="A65" s="204" t="inlineStr">
        <is>
          <t>T16</t>
        </is>
      </c>
      <c r="B65" s="203" t="inlineStr">
        <is>
          <t>Madhusoodanan P.R.</t>
        </is>
      </c>
      <c r="C65" s="201">
        <f>'INCOME-EXPENSE-CYCLES'!BA66</f>
        <v/>
      </c>
      <c r="D65" s="201">
        <f>'INCOME-EXPENSE-CYCLES'!BB66</f>
        <v/>
      </c>
      <c r="E65" s="201">
        <f>'INCOME-EXPENSE-CYCLES'!BC66</f>
        <v/>
      </c>
      <c r="F65" s="201">
        <f>C65-(D65+E65)</f>
        <v/>
      </c>
      <c r="G65" s="201">
        <f>IF(F65&lt;0,(F65*-1),0)</f>
        <v/>
      </c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</row>
    <row r="66" ht="18" customHeight="1" s="251">
      <c r="A66" s="204" t="n"/>
      <c r="B66" s="201" t="inlineStr">
        <is>
          <t>TOTAL</t>
        </is>
      </c>
      <c r="C66" s="201">
        <f>SUM(C2:C65)</f>
        <v/>
      </c>
      <c r="D66" s="201">
        <f>SUM(D2:D65)</f>
        <v/>
      </c>
      <c r="E66" s="201" t="n"/>
      <c r="F66" s="201">
        <f>SUBTOTAL(9,F2:F65)</f>
        <v/>
      </c>
      <c r="G66" s="201">
        <f>SUBTOTAL(9,G2:G65)</f>
        <v/>
      </c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</row>
    <row r="67" ht="26.25" customHeight="1" s="251">
      <c r="A67" s="198" t="n"/>
      <c r="B67" s="198" t="n"/>
      <c r="C67" s="207" t="n"/>
      <c r="D67" s="207" t="n"/>
      <c r="E67" s="207" t="n"/>
      <c r="F67" s="207" t="n"/>
      <c r="G67" s="207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</row>
    <row r="68" ht="26.25" customHeight="1" s="251">
      <c r="A68" s="198" t="n"/>
      <c r="B68" s="198" t="n"/>
      <c r="C68" s="207" t="n"/>
      <c r="D68" s="207" t="n"/>
      <c r="E68" s="207" t="n"/>
      <c r="F68" s="207" t="n"/>
      <c r="G68" s="207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</row>
    <row r="69" ht="26.25" customHeight="1" s="251">
      <c r="A69" s="198" t="n"/>
      <c r="B69" s="198" t="n"/>
      <c r="C69" s="207" t="n"/>
      <c r="D69" s="207" t="n"/>
      <c r="E69" s="207" t="n"/>
      <c r="F69" s="207" t="n"/>
      <c r="G69" s="207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</row>
    <row r="70" ht="26.25" customHeight="1" s="251">
      <c r="A70" s="198" t="n"/>
      <c r="B70" s="198" t="n"/>
      <c r="C70" s="207" t="n"/>
      <c r="D70" s="207" t="n"/>
      <c r="E70" s="207" t="n"/>
      <c r="F70" s="207" t="n"/>
      <c r="G70" s="207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</row>
    <row r="71" ht="26.25" customHeight="1" s="251">
      <c r="A71" s="198" t="n"/>
      <c r="B71" s="198" t="n"/>
      <c r="C71" s="207" t="n"/>
      <c r="D71" s="207" t="n"/>
      <c r="E71" s="207" t="n"/>
      <c r="F71" s="207" t="n"/>
      <c r="G71" s="207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</row>
    <row r="72" ht="26.25" customHeight="1" s="251">
      <c r="A72" s="198" t="n"/>
      <c r="B72" s="198" t="n"/>
      <c r="C72" s="207" t="n"/>
      <c r="D72" s="207" t="n"/>
      <c r="E72" s="207" t="n"/>
      <c r="F72" s="207" t="n"/>
      <c r="G72" s="207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</row>
    <row r="73" ht="26.25" customHeight="1" s="251">
      <c r="A73" s="198" t="n"/>
      <c r="B73" s="198" t="n"/>
      <c r="C73" s="207" t="n"/>
      <c r="D73" s="207" t="n"/>
      <c r="E73" s="207" t="n"/>
      <c r="F73" s="207" t="n"/>
      <c r="G73" s="207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</row>
    <row r="74" ht="26.25" customHeight="1" s="251">
      <c r="A74" s="198" t="n"/>
      <c r="B74" s="198" t="n"/>
      <c r="C74" s="207" t="n"/>
      <c r="D74" s="207" t="n"/>
      <c r="E74" s="207" t="n"/>
      <c r="F74" s="207" t="n"/>
      <c r="G74" s="207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</row>
    <row r="75" ht="26.25" customHeight="1" s="251">
      <c r="A75" s="198" t="n"/>
      <c r="B75" s="198" t="n"/>
      <c r="C75" s="207" t="n"/>
      <c r="D75" s="207" t="n"/>
      <c r="E75" s="207" t="n"/>
      <c r="F75" s="207" t="n"/>
      <c r="G75" s="207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</row>
    <row r="76" ht="26.25" customHeight="1" s="251">
      <c r="A76" s="198" t="n"/>
      <c r="B76" s="198" t="n"/>
      <c r="C76" s="207" t="n"/>
      <c r="D76" s="207" t="n"/>
      <c r="E76" s="207" t="n"/>
      <c r="F76" s="207" t="n"/>
      <c r="G76" s="207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</row>
    <row r="77" ht="26.25" customHeight="1" s="251">
      <c r="A77" s="198" t="n"/>
      <c r="B77" s="198" t="n"/>
      <c r="C77" s="207" t="n"/>
      <c r="D77" s="207" t="n"/>
      <c r="E77" s="207" t="n"/>
      <c r="F77" s="207" t="n"/>
      <c r="G77" s="207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</row>
    <row r="78" ht="26.25" customHeight="1" s="251">
      <c r="A78" s="198" t="n"/>
      <c r="B78" s="198" t="n"/>
      <c r="C78" s="207" t="n"/>
      <c r="D78" s="207" t="n"/>
      <c r="E78" s="207" t="n"/>
      <c r="F78" s="207" t="n"/>
      <c r="G78" s="207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</row>
    <row r="79" ht="26.25" customHeight="1" s="251">
      <c r="A79" s="198" t="n"/>
      <c r="B79" s="198" t="n"/>
      <c r="C79" s="207" t="n"/>
      <c r="D79" s="207" t="n"/>
      <c r="E79" s="207" t="n"/>
      <c r="F79" s="207" t="n"/>
      <c r="G79" s="207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</row>
    <row r="80" ht="26.25" customHeight="1" s="251">
      <c r="A80" s="198" t="n"/>
      <c r="B80" s="198" t="n"/>
      <c r="C80" s="207" t="n"/>
      <c r="D80" s="207" t="n"/>
      <c r="E80" s="207" t="n"/>
      <c r="F80" s="207" t="n"/>
      <c r="G80" s="207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</row>
    <row r="81" ht="26.25" customHeight="1" s="251">
      <c r="A81" s="198" t="n"/>
      <c r="B81" s="198" t="n"/>
      <c r="C81" s="207" t="n"/>
      <c r="D81" s="207" t="n"/>
      <c r="E81" s="207" t="n"/>
      <c r="F81" s="207" t="n"/>
      <c r="G81" s="207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</row>
    <row r="82" ht="26.25" customHeight="1" s="251">
      <c r="A82" s="198" t="n"/>
      <c r="B82" s="198" t="n"/>
      <c r="C82" s="207" t="n"/>
      <c r="D82" s="207" t="n"/>
      <c r="E82" s="207" t="n"/>
      <c r="F82" s="207" t="n"/>
      <c r="G82" s="207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</row>
    <row r="83" ht="26.25" customHeight="1" s="251">
      <c r="A83" s="198" t="n"/>
      <c r="B83" s="198" t="n"/>
      <c r="C83" s="207" t="n"/>
      <c r="D83" s="207" t="n"/>
      <c r="E83" s="207" t="n"/>
      <c r="F83" s="207" t="n"/>
      <c r="G83" s="207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</row>
    <row r="84" ht="26.25" customHeight="1" s="251">
      <c r="A84" s="198" t="n"/>
      <c r="B84" s="198" t="n"/>
      <c r="C84" s="207" t="n"/>
      <c r="D84" s="207" t="n"/>
      <c r="E84" s="207" t="n"/>
      <c r="F84" s="207" t="n"/>
      <c r="G84" s="207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</row>
    <row r="85" ht="26.25" customHeight="1" s="251">
      <c r="A85" s="198" t="n"/>
      <c r="B85" s="198" t="n"/>
      <c r="C85" s="207" t="n"/>
      <c r="D85" s="207" t="n"/>
      <c r="E85" s="207" t="n"/>
      <c r="F85" s="207" t="n"/>
      <c r="G85" s="207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</row>
    <row r="86" ht="26.25" customHeight="1" s="251">
      <c r="A86" s="198" t="n"/>
      <c r="B86" s="198" t="n"/>
      <c r="C86" s="207" t="n"/>
      <c r="D86" s="207" t="n"/>
      <c r="E86" s="207" t="n"/>
      <c r="F86" s="207" t="n"/>
      <c r="G86" s="207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</row>
    <row r="87" ht="26.25" customHeight="1" s="251">
      <c r="A87" s="198" t="n"/>
      <c r="B87" s="198" t="n"/>
      <c r="C87" s="207" t="n"/>
      <c r="D87" s="207" t="n"/>
      <c r="E87" s="207" t="n"/>
      <c r="F87" s="207" t="n"/>
      <c r="G87" s="207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</row>
    <row r="88" ht="26.25" customHeight="1" s="251">
      <c r="A88" s="198" t="n"/>
      <c r="B88" s="198" t="n"/>
      <c r="C88" s="207" t="n"/>
      <c r="D88" s="207" t="n"/>
      <c r="E88" s="207" t="n"/>
      <c r="F88" s="207" t="n"/>
      <c r="G88" s="207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</row>
    <row r="89" ht="26.25" customHeight="1" s="251">
      <c r="A89" s="198" t="n"/>
      <c r="B89" s="198" t="n"/>
      <c r="C89" s="207" t="n"/>
      <c r="D89" s="207" t="n"/>
      <c r="E89" s="207" t="n"/>
      <c r="F89" s="207" t="n"/>
      <c r="G89" s="207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</row>
    <row r="90" ht="26.25" customHeight="1" s="251">
      <c r="A90" s="198" t="n"/>
      <c r="B90" s="198" t="n"/>
      <c r="C90" s="207" t="n"/>
      <c r="D90" s="207" t="n"/>
      <c r="E90" s="207" t="n"/>
      <c r="F90" s="207" t="n"/>
      <c r="G90" s="207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</row>
    <row r="91" ht="26.25" customHeight="1" s="251">
      <c r="A91" s="198" t="n"/>
      <c r="B91" s="198" t="n"/>
      <c r="C91" s="207" t="n"/>
      <c r="D91" s="207" t="n"/>
      <c r="E91" s="207" t="n"/>
      <c r="F91" s="207" t="n"/>
      <c r="G91" s="207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</row>
    <row r="92" ht="26.25" customHeight="1" s="251">
      <c r="A92" s="198" t="n"/>
      <c r="B92" s="198" t="n"/>
      <c r="C92" s="207" t="n"/>
      <c r="D92" s="207" t="n"/>
      <c r="E92" s="207" t="n"/>
      <c r="F92" s="207" t="n"/>
      <c r="G92" s="207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</row>
    <row r="93" ht="26.25" customHeight="1" s="251">
      <c r="A93" s="198" t="n"/>
      <c r="B93" s="198" t="n"/>
      <c r="C93" s="207" t="n"/>
      <c r="D93" s="207" t="n"/>
      <c r="E93" s="207" t="n"/>
      <c r="F93" s="207" t="n"/>
      <c r="G93" s="207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</row>
    <row r="94" ht="26.25" customHeight="1" s="251">
      <c r="A94" s="198" t="n"/>
      <c r="B94" s="198" t="n"/>
      <c r="C94" s="207" t="n"/>
      <c r="D94" s="207" t="n"/>
      <c r="E94" s="207" t="n"/>
      <c r="F94" s="207" t="n"/>
      <c r="G94" s="207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</row>
    <row r="95" ht="26.25" customHeight="1" s="251">
      <c r="A95" s="198" t="n"/>
      <c r="B95" s="198" t="n"/>
      <c r="C95" s="207" t="n"/>
      <c r="D95" s="207" t="n"/>
      <c r="E95" s="207" t="n"/>
      <c r="F95" s="207" t="n"/>
      <c r="G95" s="207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</row>
    <row r="96" ht="26.25" customHeight="1" s="251">
      <c r="A96" s="198" t="n"/>
      <c r="B96" s="198" t="n"/>
      <c r="C96" s="207" t="n"/>
      <c r="D96" s="207" t="n"/>
      <c r="E96" s="207" t="n"/>
      <c r="F96" s="207" t="n"/>
      <c r="G96" s="207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</row>
    <row r="97" ht="26.25" customHeight="1" s="251">
      <c r="A97" s="198" t="n"/>
      <c r="B97" s="198" t="n"/>
      <c r="C97" s="207" t="n"/>
      <c r="D97" s="207" t="n"/>
      <c r="E97" s="207" t="n"/>
      <c r="F97" s="207" t="n"/>
      <c r="G97" s="207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</row>
    <row r="98" ht="26.25" customHeight="1" s="251">
      <c r="A98" s="198" t="n"/>
      <c r="B98" s="198" t="n"/>
      <c r="C98" s="207" t="n"/>
      <c r="D98" s="207" t="n"/>
      <c r="E98" s="207" t="n"/>
      <c r="F98" s="207" t="n"/>
      <c r="G98" s="207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</row>
    <row r="99" ht="26.25" customHeight="1" s="251">
      <c r="A99" s="198" t="n"/>
      <c r="B99" s="198" t="n"/>
      <c r="C99" s="207" t="n"/>
      <c r="D99" s="207" t="n"/>
      <c r="E99" s="207" t="n"/>
      <c r="F99" s="207" t="n"/>
      <c r="G99" s="207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</row>
    <row r="100" ht="26.25" customHeight="1" s="251">
      <c r="A100" s="198" t="n"/>
      <c r="B100" s="198" t="n"/>
      <c r="C100" s="207" t="n"/>
      <c r="D100" s="207" t="n"/>
      <c r="E100" s="207" t="n"/>
      <c r="F100" s="207" t="n"/>
      <c r="G100" s="207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</row>
    <row r="101" ht="26.25" customHeight="1" s="251">
      <c r="A101" s="198" t="n"/>
      <c r="B101" s="198" t="n"/>
      <c r="C101" s="207" t="n"/>
      <c r="D101" s="207" t="n"/>
      <c r="E101" s="207" t="n"/>
      <c r="F101" s="207" t="n"/>
      <c r="G101" s="207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</row>
    <row r="102" ht="26.25" customHeight="1" s="251">
      <c r="A102" s="198" t="n"/>
      <c r="B102" s="198" t="n"/>
      <c r="C102" s="207" t="n"/>
      <c r="D102" s="207" t="n"/>
      <c r="E102" s="207" t="n"/>
      <c r="F102" s="207" t="n"/>
      <c r="G102" s="207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</row>
    <row r="103" ht="26.25" customHeight="1" s="251">
      <c r="A103" s="198" t="n"/>
      <c r="B103" s="198" t="n"/>
      <c r="C103" s="207" t="n"/>
      <c r="D103" s="207" t="n"/>
      <c r="E103" s="207" t="n"/>
      <c r="F103" s="207" t="n"/>
      <c r="G103" s="207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</row>
    <row r="104" ht="26.25" customHeight="1" s="251">
      <c r="A104" s="198" t="n"/>
      <c r="B104" s="198" t="n"/>
      <c r="C104" s="207" t="n"/>
      <c r="D104" s="207" t="n"/>
      <c r="E104" s="207" t="n"/>
      <c r="F104" s="207" t="n"/>
      <c r="G104" s="207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</row>
    <row r="105" ht="26.25" customHeight="1" s="251">
      <c r="A105" s="198" t="n"/>
      <c r="B105" s="198" t="n"/>
      <c r="C105" s="207" t="n"/>
      <c r="D105" s="207" t="n"/>
      <c r="E105" s="207" t="n"/>
      <c r="F105" s="207" t="n"/>
      <c r="G105" s="207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</row>
    <row r="106" ht="26.25" customHeight="1" s="251">
      <c r="A106" s="198" t="n"/>
      <c r="B106" s="198" t="n"/>
      <c r="C106" s="207" t="n"/>
      <c r="D106" s="207" t="n"/>
      <c r="E106" s="207" t="n"/>
      <c r="F106" s="207" t="n"/>
      <c r="G106" s="207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</row>
    <row r="107" ht="26.25" customHeight="1" s="251">
      <c r="A107" s="198" t="n"/>
      <c r="B107" s="198" t="n"/>
      <c r="C107" s="207" t="n"/>
      <c r="D107" s="207" t="n"/>
      <c r="E107" s="207" t="n"/>
      <c r="F107" s="207" t="n"/>
      <c r="G107" s="207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</row>
    <row r="108" ht="26.25" customHeight="1" s="251">
      <c r="A108" s="198" t="n"/>
      <c r="B108" s="198" t="n"/>
      <c r="C108" s="207" t="n"/>
      <c r="D108" s="207" t="n"/>
      <c r="E108" s="207" t="n"/>
      <c r="F108" s="207" t="n"/>
      <c r="G108" s="207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</row>
    <row r="109" ht="26.25" customHeight="1" s="251">
      <c r="A109" s="198" t="n"/>
      <c r="B109" s="198" t="n"/>
      <c r="C109" s="207" t="n"/>
      <c r="D109" s="207" t="n"/>
      <c r="E109" s="207" t="n"/>
      <c r="F109" s="207" t="n"/>
      <c r="G109" s="207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</row>
    <row r="110" ht="26.25" customHeight="1" s="251">
      <c r="A110" s="198" t="n"/>
      <c r="B110" s="198" t="n"/>
      <c r="C110" s="207" t="n"/>
      <c r="D110" s="207" t="n"/>
      <c r="E110" s="207" t="n"/>
      <c r="F110" s="207" t="n"/>
      <c r="G110" s="207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</row>
    <row r="111" ht="26.25" customHeight="1" s="251">
      <c r="A111" s="198" t="n"/>
      <c r="B111" s="198" t="n"/>
      <c r="C111" s="207" t="n"/>
      <c r="D111" s="207" t="n"/>
      <c r="E111" s="207" t="n"/>
      <c r="F111" s="207" t="n"/>
      <c r="G111" s="207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</row>
    <row r="112" ht="26.25" customHeight="1" s="251">
      <c r="A112" s="198" t="n"/>
      <c r="B112" s="198" t="n"/>
      <c r="C112" s="207" t="n"/>
      <c r="D112" s="207" t="n"/>
      <c r="E112" s="207" t="n"/>
      <c r="F112" s="207" t="n"/>
      <c r="G112" s="207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</row>
    <row r="113" ht="26.25" customHeight="1" s="251">
      <c r="A113" s="198" t="n"/>
      <c r="B113" s="198" t="n"/>
      <c r="C113" s="207" t="n"/>
      <c r="D113" s="207" t="n"/>
      <c r="E113" s="207" t="n"/>
      <c r="F113" s="207" t="n"/>
      <c r="G113" s="207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</row>
    <row r="114" ht="26.25" customHeight="1" s="251">
      <c r="A114" s="198" t="n"/>
      <c r="B114" s="198" t="n"/>
      <c r="C114" s="207" t="n"/>
      <c r="D114" s="207" t="n"/>
      <c r="E114" s="207" t="n"/>
      <c r="F114" s="207" t="n"/>
      <c r="G114" s="207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</row>
    <row r="115" ht="26.25" customHeight="1" s="251">
      <c r="A115" s="198" t="n"/>
      <c r="B115" s="198" t="n"/>
      <c r="C115" s="207" t="n"/>
      <c r="D115" s="207" t="n"/>
      <c r="E115" s="207" t="n"/>
      <c r="F115" s="207" t="n"/>
      <c r="G115" s="207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</row>
    <row r="116" ht="26.25" customHeight="1" s="251">
      <c r="A116" s="198" t="n"/>
      <c r="B116" s="198" t="n"/>
      <c r="C116" s="207" t="n"/>
      <c r="D116" s="207" t="n"/>
      <c r="E116" s="207" t="n"/>
      <c r="F116" s="207" t="n"/>
      <c r="G116" s="207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</row>
    <row r="117" ht="26.25" customHeight="1" s="251">
      <c r="A117" s="198" t="n"/>
      <c r="B117" s="198" t="n"/>
      <c r="C117" s="207" t="n"/>
      <c r="D117" s="207" t="n"/>
      <c r="E117" s="207" t="n"/>
      <c r="F117" s="207" t="n"/>
      <c r="G117" s="207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</row>
    <row r="118" ht="26.25" customHeight="1" s="251">
      <c r="A118" s="198" t="n"/>
      <c r="B118" s="198" t="n"/>
      <c r="C118" s="207" t="n"/>
      <c r="D118" s="207" t="n"/>
      <c r="E118" s="207" t="n"/>
      <c r="F118" s="207" t="n"/>
      <c r="G118" s="207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</row>
    <row r="119" ht="26.25" customHeight="1" s="251">
      <c r="A119" s="198" t="n"/>
      <c r="B119" s="198" t="n"/>
      <c r="C119" s="207" t="n"/>
      <c r="D119" s="207" t="n"/>
      <c r="E119" s="207" t="n"/>
      <c r="F119" s="207" t="n"/>
      <c r="G119" s="207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</row>
    <row r="120" ht="26.25" customHeight="1" s="251">
      <c r="A120" s="198" t="n"/>
      <c r="B120" s="198" t="n"/>
      <c r="C120" s="207" t="n"/>
      <c r="D120" s="207" t="n"/>
      <c r="E120" s="207" t="n"/>
      <c r="F120" s="207" t="n"/>
      <c r="G120" s="207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</row>
    <row r="121" ht="26.25" customHeight="1" s="251">
      <c r="A121" s="198" t="n"/>
      <c r="B121" s="198" t="n"/>
      <c r="C121" s="207" t="n"/>
      <c r="D121" s="207" t="n"/>
      <c r="E121" s="207" t="n"/>
      <c r="F121" s="207" t="n"/>
      <c r="G121" s="207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</row>
    <row r="122" ht="26.25" customHeight="1" s="251">
      <c r="A122" s="198" t="n"/>
      <c r="B122" s="198" t="n"/>
      <c r="C122" s="207" t="n"/>
      <c r="D122" s="207" t="n"/>
      <c r="E122" s="207" t="n"/>
      <c r="F122" s="207" t="n"/>
      <c r="G122" s="207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</row>
    <row r="123" ht="26.25" customHeight="1" s="251">
      <c r="A123" s="198" t="n"/>
      <c r="B123" s="198" t="n"/>
      <c r="C123" s="207" t="n"/>
      <c r="D123" s="207" t="n"/>
      <c r="E123" s="207" t="n"/>
      <c r="F123" s="207" t="n"/>
      <c r="G123" s="207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</row>
    <row r="124" ht="26.25" customHeight="1" s="251">
      <c r="A124" s="198" t="n"/>
      <c r="B124" s="198" t="n"/>
      <c r="C124" s="207" t="n"/>
      <c r="D124" s="207" t="n"/>
      <c r="E124" s="207" t="n"/>
      <c r="F124" s="207" t="n"/>
      <c r="G124" s="207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</row>
    <row r="125" ht="26.25" customHeight="1" s="251">
      <c r="A125" s="198" t="n"/>
      <c r="B125" s="198" t="n"/>
      <c r="C125" s="207" t="n"/>
      <c r="D125" s="207" t="n"/>
      <c r="E125" s="207" t="n"/>
      <c r="F125" s="207" t="n"/>
      <c r="G125" s="207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</row>
    <row r="126" ht="26.25" customHeight="1" s="251">
      <c r="A126" s="198" t="n"/>
      <c r="B126" s="198" t="n"/>
      <c r="C126" s="207" t="n"/>
      <c r="D126" s="207" t="n"/>
      <c r="E126" s="207" t="n"/>
      <c r="F126" s="207" t="n"/>
      <c r="G126" s="207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</row>
    <row r="127" ht="26.25" customHeight="1" s="251">
      <c r="A127" s="198" t="n"/>
      <c r="B127" s="198" t="n"/>
      <c r="C127" s="207" t="n"/>
      <c r="D127" s="207" t="n"/>
      <c r="E127" s="207" t="n"/>
      <c r="F127" s="207" t="n"/>
      <c r="G127" s="207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</row>
    <row r="128" ht="26.25" customHeight="1" s="251">
      <c r="A128" s="198" t="n"/>
      <c r="B128" s="198" t="n"/>
      <c r="C128" s="207" t="n"/>
      <c r="D128" s="207" t="n"/>
      <c r="E128" s="207" t="n"/>
      <c r="F128" s="207" t="n"/>
      <c r="G128" s="207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</row>
    <row r="129" ht="26.25" customHeight="1" s="251">
      <c r="A129" s="198" t="n"/>
      <c r="B129" s="198" t="n"/>
      <c r="C129" s="207" t="n"/>
      <c r="D129" s="207" t="n"/>
      <c r="E129" s="207" t="n"/>
      <c r="F129" s="207" t="n"/>
      <c r="G129" s="207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</row>
    <row r="130" ht="26.25" customHeight="1" s="251">
      <c r="A130" s="198" t="n"/>
      <c r="B130" s="198" t="n"/>
      <c r="C130" s="207" t="n"/>
      <c r="D130" s="207" t="n"/>
      <c r="E130" s="207" t="n"/>
      <c r="F130" s="207" t="n"/>
      <c r="G130" s="207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</row>
    <row r="131" ht="26.25" customHeight="1" s="251">
      <c r="A131" s="198" t="n"/>
      <c r="B131" s="198" t="n"/>
      <c r="C131" s="207" t="n"/>
      <c r="D131" s="207" t="n"/>
      <c r="E131" s="207" t="n"/>
      <c r="F131" s="207" t="n"/>
      <c r="G131" s="207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</row>
    <row r="132" ht="26.25" customHeight="1" s="251">
      <c r="A132" s="198" t="n"/>
      <c r="B132" s="198" t="n"/>
      <c r="C132" s="207" t="n"/>
      <c r="D132" s="207" t="n"/>
      <c r="E132" s="207" t="n"/>
      <c r="F132" s="207" t="n"/>
      <c r="G132" s="207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</row>
    <row r="133" ht="26.25" customHeight="1" s="251">
      <c r="A133" s="198" t="n"/>
      <c r="B133" s="198" t="n"/>
      <c r="C133" s="207" t="n"/>
      <c r="D133" s="207" t="n"/>
      <c r="E133" s="207" t="n"/>
      <c r="F133" s="207" t="n"/>
      <c r="G133" s="207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</row>
    <row r="134" ht="26.25" customHeight="1" s="251">
      <c r="A134" s="198" t="n"/>
      <c r="B134" s="198" t="n"/>
      <c r="C134" s="207" t="n"/>
      <c r="D134" s="207" t="n"/>
      <c r="E134" s="207" t="n"/>
      <c r="F134" s="207" t="n"/>
      <c r="G134" s="207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</row>
    <row r="135" ht="26.25" customHeight="1" s="251">
      <c r="A135" s="198" t="n"/>
      <c r="B135" s="198" t="n"/>
      <c r="C135" s="207" t="n"/>
      <c r="D135" s="207" t="n"/>
      <c r="E135" s="207" t="n"/>
      <c r="F135" s="207" t="n"/>
      <c r="G135" s="207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</row>
    <row r="136" ht="26.25" customHeight="1" s="251">
      <c r="A136" s="198" t="n"/>
      <c r="B136" s="198" t="n"/>
      <c r="C136" s="207" t="n"/>
      <c r="D136" s="207" t="n"/>
      <c r="E136" s="207" t="n"/>
      <c r="F136" s="207" t="n"/>
      <c r="G136" s="207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</row>
    <row r="137" ht="26.25" customHeight="1" s="251">
      <c r="A137" s="198" t="n"/>
      <c r="B137" s="198" t="n"/>
      <c r="C137" s="207" t="n"/>
      <c r="D137" s="207" t="n"/>
      <c r="E137" s="207" t="n"/>
      <c r="F137" s="207" t="n"/>
      <c r="G137" s="207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</row>
    <row r="138" ht="26.25" customHeight="1" s="251">
      <c r="A138" s="198" t="n"/>
      <c r="B138" s="198" t="n"/>
      <c r="C138" s="207" t="n"/>
      <c r="D138" s="207" t="n"/>
      <c r="E138" s="207" t="n"/>
      <c r="F138" s="207" t="n"/>
      <c r="G138" s="207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</row>
    <row r="139" ht="26.25" customHeight="1" s="251">
      <c r="A139" s="198" t="n"/>
      <c r="B139" s="198" t="n"/>
      <c r="C139" s="207" t="n"/>
      <c r="D139" s="207" t="n"/>
      <c r="E139" s="207" t="n"/>
      <c r="F139" s="207" t="n"/>
      <c r="G139" s="207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</row>
    <row r="140" ht="26.25" customHeight="1" s="251">
      <c r="A140" s="198" t="n"/>
      <c r="B140" s="198" t="n"/>
      <c r="C140" s="207" t="n"/>
      <c r="D140" s="207" t="n"/>
      <c r="E140" s="207" t="n"/>
      <c r="F140" s="207" t="n"/>
      <c r="G140" s="207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</row>
    <row r="141" ht="26.25" customHeight="1" s="251">
      <c r="A141" s="198" t="n"/>
      <c r="B141" s="198" t="n"/>
      <c r="C141" s="207" t="n"/>
      <c r="D141" s="207" t="n"/>
      <c r="E141" s="207" t="n"/>
      <c r="F141" s="207" t="n"/>
      <c r="G141" s="207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</row>
    <row r="142" ht="26.25" customHeight="1" s="251">
      <c r="A142" s="198" t="n"/>
      <c r="B142" s="198" t="n"/>
      <c r="C142" s="207" t="n"/>
      <c r="D142" s="207" t="n"/>
      <c r="E142" s="207" t="n"/>
      <c r="F142" s="207" t="n"/>
      <c r="G142" s="207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</row>
    <row r="143" ht="26.25" customHeight="1" s="251">
      <c r="A143" s="198" t="n"/>
      <c r="B143" s="198" t="n"/>
      <c r="C143" s="207" t="n"/>
      <c r="D143" s="207" t="n"/>
      <c r="E143" s="207" t="n"/>
      <c r="F143" s="207" t="n"/>
      <c r="G143" s="207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</row>
    <row r="144" ht="26.25" customHeight="1" s="251">
      <c r="A144" s="198" t="n"/>
      <c r="B144" s="198" t="n"/>
      <c r="C144" s="207" t="n"/>
      <c r="D144" s="207" t="n"/>
      <c r="E144" s="207" t="n"/>
      <c r="F144" s="207" t="n"/>
      <c r="G144" s="207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</row>
    <row r="145" ht="26.25" customHeight="1" s="251">
      <c r="A145" s="198" t="n"/>
      <c r="B145" s="198" t="n"/>
      <c r="C145" s="207" t="n"/>
      <c r="D145" s="207" t="n"/>
      <c r="E145" s="207" t="n"/>
      <c r="F145" s="207" t="n"/>
      <c r="G145" s="207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</row>
    <row r="146" ht="26.25" customHeight="1" s="251">
      <c r="A146" s="198" t="n"/>
      <c r="B146" s="198" t="n"/>
      <c r="C146" s="207" t="n"/>
      <c r="D146" s="207" t="n"/>
      <c r="E146" s="207" t="n"/>
      <c r="F146" s="207" t="n"/>
      <c r="G146" s="207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</row>
    <row r="147" ht="26.25" customHeight="1" s="251">
      <c r="A147" s="198" t="n"/>
      <c r="B147" s="198" t="n"/>
      <c r="C147" s="207" t="n"/>
      <c r="D147" s="207" t="n"/>
      <c r="E147" s="207" t="n"/>
      <c r="F147" s="207" t="n"/>
      <c r="G147" s="207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</row>
    <row r="148" ht="26.25" customHeight="1" s="251">
      <c r="A148" s="198" t="n"/>
      <c r="B148" s="198" t="n"/>
      <c r="C148" s="207" t="n"/>
      <c r="D148" s="207" t="n"/>
      <c r="E148" s="207" t="n"/>
      <c r="F148" s="207" t="n"/>
      <c r="G148" s="207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</row>
    <row r="149" ht="26.25" customHeight="1" s="251">
      <c r="A149" s="198" t="n"/>
      <c r="B149" s="198" t="n"/>
      <c r="C149" s="207" t="n"/>
      <c r="D149" s="207" t="n"/>
      <c r="E149" s="207" t="n"/>
      <c r="F149" s="207" t="n"/>
      <c r="G149" s="207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</row>
    <row r="150" ht="26.25" customHeight="1" s="251">
      <c r="A150" s="198" t="n"/>
      <c r="B150" s="198" t="n"/>
      <c r="C150" s="207" t="n"/>
      <c r="D150" s="207" t="n"/>
      <c r="E150" s="207" t="n"/>
      <c r="F150" s="207" t="n"/>
      <c r="G150" s="207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</row>
    <row r="151" ht="26.25" customHeight="1" s="251">
      <c r="A151" s="198" t="n"/>
      <c r="B151" s="198" t="n"/>
      <c r="C151" s="207" t="n"/>
      <c r="D151" s="207" t="n"/>
      <c r="E151" s="207" t="n"/>
      <c r="F151" s="207" t="n"/>
      <c r="G151" s="207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</row>
    <row r="152" ht="26.25" customHeight="1" s="251">
      <c r="A152" s="198" t="n"/>
      <c r="B152" s="198" t="n"/>
      <c r="C152" s="207" t="n"/>
      <c r="D152" s="207" t="n"/>
      <c r="E152" s="207" t="n"/>
      <c r="F152" s="207" t="n"/>
      <c r="G152" s="207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</row>
    <row r="153" ht="26.25" customHeight="1" s="251">
      <c r="A153" s="198" t="n"/>
      <c r="B153" s="198" t="n"/>
      <c r="C153" s="207" t="n"/>
      <c r="D153" s="207" t="n"/>
      <c r="E153" s="207" t="n"/>
      <c r="F153" s="207" t="n"/>
      <c r="G153" s="207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</row>
    <row r="154" ht="26.25" customHeight="1" s="251">
      <c r="A154" s="198" t="n"/>
      <c r="B154" s="198" t="n"/>
      <c r="C154" s="207" t="n"/>
      <c r="D154" s="207" t="n"/>
      <c r="E154" s="207" t="n"/>
      <c r="F154" s="207" t="n"/>
      <c r="G154" s="207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</row>
    <row r="155" ht="26.25" customHeight="1" s="251">
      <c r="A155" s="198" t="n"/>
      <c r="B155" s="198" t="n"/>
      <c r="C155" s="207" t="n"/>
      <c r="D155" s="207" t="n"/>
      <c r="E155" s="207" t="n"/>
      <c r="F155" s="207" t="n"/>
      <c r="G155" s="207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</row>
    <row r="156" ht="26.25" customHeight="1" s="251">
      <c r="A156" s="198" t="n"/>
      <c r="B156" s="198" t="n"/>
      <c r="C156" s="207" t="n"/>
      <c r="D156" s="207" t="n"/>
      <c r="E156" s="207" t="n"/>
      <c r="F156" s="207" t="n"/>
      <c r="G156" s="207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</row>
    <row r="157" ht="26.25" customHeight="1" s="251">
      <c r="A157" s="198" t="n"/>
      <c r="B157" s="198" t="n"/>
      <c r="C157" s="207" t="n"/>
      <c r="D157" s="207" t="n"/>
      <c r="E157" s="207" t="n"/>
      <c r="F157" s="207" t="n"/>
      <c r="G157" s="207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</row>
    <row r="158" ht="26.25" customHeight="1" s="251">
      <c r="A158" s="198" t="n"/>
      <c r="B158" s="198" t="n"/>
      <c r="C158" s="207" t="n"/>
      <c r="D158" s="207" t="n"/>
      <c r="E158" s="207" t="n"/>
      <c r="F158" s="207" t="n"/>
      <c r="G158" s="207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</row>
    <row r="159" ht="26.25" customHeight="1" s="251">
      <c r="A159" s="198" t="n"/>
      <c r="B159" s="198" t="n"/>
      <c r="C159" s="207" t="n"/>
      <c r="D159" s="207" t="n"/>
      <c r="E159" s="207" t="n"/>
      <c r="F159" s="207" t="n"/>
      <c r="G159" s="207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</row>
    <row r="160" ht="26.25" customHeight="1" s="251">
      <c r="A160" s="198" t="n"/>
      <c r="B160" s="198" t="n"/>
      <c r="C160" s="207" t="n"/>
      <c r="D160" s="207" t="n"/>
      <c r="E160" s="207" t="n"/>
      <c r="F160" s="207" t="n"/>
      <c r="G160" s="207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</row>
    <row r="161" ht="26.25" customHeight="1" s="251">
      <c r="A161" s="198" t="n"/>
      <c r="B161" s="198" t="n"/>
      <c r="C161" s="207" t="n"/>
      <c r="D161" s="207" t="n"/>
      <c r="E161" s="207" t="n"/>
      <c r="F161" s="207" t="n"/>
      <c r="G161" s="207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</row>
    <row r="162" ht="26.25" customHeight="1" s="251">
      <c r="A162" s="198" t="n"/>
      <c r="B162" s="198" t="n"/>
      <c r="C162" s="207" t="n"/>
      <c r="D162" s="207" t="n"/>
      <c r="E162" s="207" t="n"/>
      <c r="F162" s="207" t="n"/>
      <c r="G162" s="207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</row>
    <row r="163" ht="26.25" customHeight="1" s="251">
      <c r="A163" s="198" t="n"/>
      <c r="B163" s="198" t="n"/>
      <c r="C163" s="207" t="n"/>
      <c r="D163" s="207" t="n"/>
      <c r="E163" s="207" t="n"/>
      <c r="F163" s="207" t="n"/>
      <c r="G163" s="207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</row>
    <row r="164" ht="26.25" customHeight="1" s="251">
      <c r="A164" s="198" t="n"/>
      <c r="B164" s="198" t="n"/>
      <c r="C164" s="207" t="n"/>
      <c r="D164" s="207" t="n"/>
      <c r="E164" s="207" t="n"/>
      <c r="F164" s="207" t="n"/>
      <c r="G164" s="207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</row>
    <row r="165" ht="26.25" customHeight="1" s="251">
      <c r="A165" s="198" t="n"/>
      <c r="B165" s="198" t="n"/>
      <c r="C165" s="207" t="n"/>
      <c r="D165" s="207" t="n"/>
      <c r="E165" s="207" t="n"/>
      <c r="F165" s="207" t="n"/>
      <c r="G165" s="207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</row>
    <row r="166" ht="26.25" customHeight="1" s="251">
      <c r="A166" s="198" t="n"/>
      <c r="B166" s="198" t="n"/>
      <c r="C166" s="207" t="n"/>
      <c r="D166" s="207" t="n"/>
      <c r="E166" s="207" t="n"/>
      <c r="F166" s="207" t="n"/>
      <c r="G166" s="207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</row>
    <row r="167" ht="26.25" customHeight="1" s="251">
      <c r="A167" s="198" t="n"/>
      <c r="B167" s="198" t="n"/>
      <c r="C167" s="207" t="n"/>
      <c r="D167" s="207" t="n"/>
      <c r="E167" s="207" t="n"/>
      <c r="F167" s="207" t="n"/>
      <c r="G167" s="207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</row>
    <row r="168" ht="26.25" customHeight="1" s="251">
      <c r="A168" s="198" t="n"/>
      <c r="B168" s="198" t="n"/>
      <c r="C168" s="207" t="n"/>
      <c r="D168" s="207" t="n"/>
      <c r="E168" s="207" t="n"/>
      <c r="F168" s="207" t="n"/>
      <c r="G168" s="207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</row>
    <row r="169" ht="26.25" customHeight="1" s="251">
      <c r="A169" s="198" t="n"/>
      <c r="B169" s="198" t="n"/>
      <c r="C169" s="207" t="n"/>
      <c r="D169" s="207" t="n"/>
      <c r="E169" s="207" t="n"/>
      <c r="F169" s="207" t="n"/>
      <c r="G169" s="207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</row>
    <row r="170" ht="26.25" customHeight="1" s="251">
      <c r="A170" s="198" t="n"/>
      <c r="B170" s="198" t="n"/>
      <c r="C170" s="207" t="n"/>
      <c r="D170" s="207" t="n"/>
      <c r="E170" s="207" t="n"/>
      <c r="F170" s="207" t="n"/>
      <c r="G170" s="207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</row>
    <row r="171" ht="26.25" customHeight="1" s="251">
      <c r="A171" s="198" t="n"/>
      <c r="B171" s="198" t="n"/>
      <c r="C171" s="207" t="n"/>
      <c r="D171" s="207" t="n"/>
      <c r="E171" s="207" t="n"/>
      <c r="F171" s="207" t="n"/>
      <c r="G171" s="207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</row>
    <row r="172" ht="26.25" customHeight="1" s="251">
      <c r="A172" s="198" t="n"/>
      <c r="B172" s="198" t="n"/>
      <c r="C172" s="207" t="n"/>
      <c r="D172" s="207" t="n"/>
      <c r="E172" s="207" t="n"/>
      <c r="F172" s="207" t="n"/>
      <c r="G172" s="207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</row>
    <row r="173" ht="26.25" customHeight="1" s="251">
      <c r="A173" s="198" t="n"/>
      <c r="B173" s="198" t="n"/>
      <c r="C173" s="207" t="n"/>
      <c r="D173" s="207" t="n"/>
      <c r="E173" s="207" t="n"/>
      <c r="F173" s="207" t="n"/>
      <c r="G173" s="207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</row>
    <row r="174" ht="26.25" customHeight="1" s="251">
      <c r="A174" s="198" t="n"/>
      <c r="B174" s="198" t="n"/>
      <c r="C174" s="207" t="n"/>
      <c r="D174" s="207" t="n"/>
      <c r="E174" s="207" t="n"/>
      <c r="F174" s="207" t="n"/>
      <c r="G174" s="207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</row>
    <row r="175" ht="26.25" customHeight="1" s="251">
      <c r="A175" s="198" t="n"/>
      <c r="B175" s="198" t="n"/>
      <c r="C175" s="207" t="n"/>
      <c r="D175" s="207" t="n"/>
      <c r="E175" s="207" t="n"/>
      <c r="F175" s="207" t="n"/>
      <c r="G175" s="207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</row>
    <row r="176" ht="26.25" customHeight="1" s="251">
      <c r="A176" s="198" t="n"/>
      <c r="B176" s="198" t="n"/>
      <c r="C176" s="207" t="n"/>
      <c r="D176" s="207" t="n"/>
      <c r="E176" s="207" t="n"/>
      <c r="F176" s="207" t="n"/>
      <c r="G176" s="207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</row>
    <row r="177" ht="26.25" customHeight="1" s="251">
      <c r="A177" s="198" t="n"/>
      <c r="B177" s="198" t="n"/>
      <c r="C177" s="207" t="n"/>
      <c r="D177" s="207" t="n"/>
      <c r="E177" s="207" t="n"/>
      <c r="F177" s="207" t="n"/>
      <c r="G177" s="207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</row>
    <row r="178" ht="26.25" customHeight="1" s="251">
      <c r="A178" s="198" t="n"/>
      <c r="B178" s="198" t="n"/>
      <c r="C178" s="207" t="n"/>
      <c r="D178" s="207" t="n"/>
      <c r="E178" s="207" t="n"/>
      <c r="F178" s="207" t="n"/>
      <c r="G178" s="207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</row>
    <row r="179" ht="26.25" customHeight="1" s="251">
      <c r="A179" s="198" t="n"/>
      <c r="B179" s="198" t="n"/>
      <c r="C179" s="207" t="n"/>
      <c r="D179" s="207" t="n"/>
      <c r="E179" s="207" t="n"/>
      <c r="F179" s="207" t="n"/>
      <c r="G179" s="207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</row>
    <row r="180" ht="26.25" customHeight="1" s="251">
      <c r="A180" s="198" t="n"/>
      <c r="B180" s="198" t="n"/>
      <c r="C180" s="207" t="n"/>
      <c r="D180" s="207" t="n"/>
      <c r="E180" s="207" t="n"/>
      <c r="F180" s="207" t="n"/>
      <c r="G180" s="207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</row>
    <row r="181" ht="26.25" customHeight="1" s="251">
      <c r="A181" s="198" t="n"/>
      <c r="B181" s="198" t="n"/>
      <c r="C181" s="207" t="n"/>
      <c r="D181" s="207" t="n"/>
      <c r="E181" s="207" t="n"/>
      <c r="F181" s="207" t="n"/>
      <c r="G181" s="207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</row>
    <row r="182" ht="26.25" customHeight="1" s="251">
      <c r="A182" s="198" t="n"/>
      <c r="B182" s="198" t="n"/>
      <c r="C182" s="207" t="n"/>
      <c r="D182" s="207" t="n"/>
      <c r="E182" s="207" t="n"/>
      <c r="F182" s="207" t="n"/>
      <c r="G182" s="207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</row>
    <row r="183" ht="26.25" customHeight="1" s="251">
      <c r="A183" s="198" t="n"/>
      <c r="B183" s="198" t="n"/>
      <c r="C183" s="207" t="n"/>
      <c r="D183" s="207" t="n"/>
      <c r="E183" s="207" t="n"/>
      <c r="F183" s="207" t="n"/>
      <c r="G183" s="207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</row>
    <row r="184" ht="26.25" customHeight="1" s="251">
      <c r="A184" s="198" t="n"/>
      <c r="B184" s="198" t="n"/>
      <c r="C184" s="207" t="n"/>
      <c r="D184" s="207" t="n"/>
      <c r="E184" s="207" t="n"/>
      <c r="F184" s="207" t="n"/>
      <c r="G184" s="207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</row>
    <row r="185" ht="26.25" customHeight="1" s="251">
      <c r="A185" s="198" t="n"/>
      <c r="B185" s="198" t="n"/>
      <c r="C185" s="207" t="n"/>
      <c r="D185" s="207" t="n"/>
      <c r="E185" s="207" t="n"/>
      <c r="F185" s="207" t="n"/>
      <c r="G185" s="207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</row>
    <row r="186" ht="26.25" customHeight="1" s="251">
      <c r="A186" s="198" t="n"/>
      <c r="B186" s="198" t="n"/>
      <c r="C186" s="207" t="n"/>
      <c r="D186" s="207" t="n"/>
      <c r="E186" s="207" t="n"/>
      <c r="F186" s="207" t="n"/>
      <c r="G186" s="207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</row>
    <row r="187" ht="26.25" customHeight="1" s="251">
      <c r="A187" s="198" t="n"/>
      <c r="B187" s="198" t="n"/>
      <c r="C187" s="207" t="n"/>
      <c r="D187" s="207" t="n"/>
      <c r="E187" s="207" t="n"/>
      <c r="F187" s="207" t="n"/>
      <c r="G187" s="207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</row>
    <row r="188" ht="26.25" customHeight="1" s="251">
      <c r="A188" s="198" t="n"/>
      <c r="B188" s="198" t="n"/>
      <c r="C188" s="207" t="n"/>
      <c r="D188" s="207" t="n"/>
      <c r="E188" s="207" t="n"/>
      <c r="F188" s="207" t="n"/>
      <c r="G188" s="207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</row>
    <row r="189" ht="26.25" customHeight="1" s="251">
      <c r="A189" s="198" t="n"/>
      <c r="B189" s="198" t="n"/>
      <c r="C189" s="207" t="n"/>
      <c r="D189" s="207" t="n"/>
      <c r="E189" s="207" t="n"/>
      <c r="F189" s="207" t="n"/>
      <c r="G189" s="207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</row>
    <row r="190" ht="26.25" customHeight="1" s="251">
      <c r="A190" s="198" t="n"/>
      <c r="B190" s="198" t="n"/>
      <c r="C190" s="207" t="n"/>
      <c r="D190" s="207" t="n"/>
      <c r="E190" s="207" t="n"/>
      <c r="F190" s="207" t="n"/>
      <c r="G190" s="207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</row>
    <row r="191" ht="26.25" customHeight="1" s="251">
      <c r="A191" s="198" t="n"/>
      <c r="B191" s="198" t="n"/>
      <c r="C191" s="207" t="n"/>
      <c r="D191" s="207" t="n"/>
      <c r="E191" s="207" t="n"/>
      <c r="F191" s="207" t="n"/>
      <c r="G191" s="207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</row>
    <row r="192" ht="26.25" customHeight="1" s="251">
      <c r="A192" s="198" t="n"/>
      <c r="B192" s="198" t="n"/>
      <c r="C192" s="207" t="n"/>
      <c r="D192" s="207" t="n"/>
      <c r="E192" s="207" t="n"/>
      <c r="F192" s="207" t="n"/>
      <c r="G192" s="207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</row>
    <row r="193" ht="26.25" customHeight="1" s="251">
      <c r="A193" s="198" t="n"/>
      <c r="B193" s="198" t="n"/>
      <c r="C193" s="207" t="n"/>
      <c r="D193" s="207" t="n"/>
      <c r="E193" s="207" t="n"/>
      <c r="F193" s="207" t="n"/>
      <c r="G193" s="207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</row>
    <row r="194" ht="26.25" customHeight="1" s="251">
      <c r="A194" s="198" t="n"/>
      <c r="B194" s="198" t="n"/>
      <c r="C194" s="207" t="n"/>
      <c r="D194" s="207" t="n"/>
      <c r="E194" s="207" t="n"/>
      <c r="F194" s="207" t="n"/>
      <c r="G194" s="207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</row>
    <row r="195" ht="26.25" customHeight="1" s="251">
      <c r="A195" s="198" t="n"/>
      <c r="B195" s="198" t="n"/>
      <c r="C195" s="207" t="n"/>
      <c r="D195" s="207" t="n"/>
      <c r="E195" s="207" t="n"/>
      <c r="F195" s="207" t="n"/>
      <c r="G195" s="207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</row>
    <row r="196" ht="26.25" customHeight="1" s="251">
      <c r="A196" s="198" t="n"/>
      <c r="B196" s="198" t="n"/>
      <c r="C196" s="207" t="n"/>
      <c r="D196" s="207" t="n"/>
      <c r="E196" s="207" t="n"/>
      <c r="F196" s="207" t="n"/>
      <c r="G196" s="207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</row>
    <row r="197" ht="26.25" customHeight="1" s="251">
      <c r="A197" s="198" t="n"/>
      <c r="B197" s="198" t="n"/>
      <c r="C197" s="207" t="n"/>
      <c r="D197" s="207" t="n"/>
      <c r="E197" s="207" t="n"/>
      <c r="F197" s="207" t="n"/>
      <c r="G197" s="207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</row>
    <row r="198" ht="26.25" customHeight="1" s="251">
      <c r="A198" s="198" t="n"/>
      <c r="B198" s="198" t="n"/>
      <c r="C198" s="207" t="n"/>
      <c r="D198" s="207" t="n"/>
      <c r="E198" s="207" t="n"/>
      <c r="F198" s="207" t="n"/>
      <c r="G198" s="207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</row>
    <row r="199" ht="26.25" customHeight="1" s="251">
      <c r="A199" s="198" t="n"/>
      <c r="B199" s="198" t="n"/>
      <c r="C199" s="207" t="n"/>
      <c r="D199" s="207" t="n"/>
      <c r="E199" s="207" t="n"/>
      <c r="F199" s="207" t="n"/>
      <c r="G199" s="207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</row>
    <row r="200" ht="26.25" customHeight="1" s="251">
      <c r="A200" s="198" t="n"/>
      <c r="B200" s="198" t="n"/>
      <c r="C200" s="207" t="n"/>
      <c r="D200" s="207" t="n"/>
      <c r="E200" s="207" t="n"/>
      <c r="F200" s="207" t="n"/>
      <c r="G200" s="207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</row>
    <row r="201" ht="26.25" customHeight="1" s="251">
      <c r="A201" s="198" t="n"/>
      <c r="B201" s="198" t="n"/>
      <c r="C201" s="207" t="n"/>
      <c r="D201" s="207" t="n"/>
      <c r="E201" s="207" t="n"/>
      <c r="F201" s="207" t="n"/>
      <c r="G201" s="207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</row>
    <row r="202" ht="26.25" customHeight="1" s="251">
      <c r="A202" s="198" t="n"/>
      <c r="B202" s="198" t="n"/>
      <c r="C202" s="207" t="n"/>
      <c r="D202" s="207" t="n"/>
      <c r="E202" s="207" t="n"/>
      <c r="F202" s="207" t="n"/>
      <c r="G202" s="207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</row>
    <row r="203" ht="26.25" customHeight="1" s="251">
      <c r="A203" s="198" t="n"/>
      <c r="B203" s="198" t="n"/>
      <c r="C203" s="207" t="n"/>
      <c r="D203" s="207" t="n"/>
      <c r="E203" s="207" t="n"/>
      <c r="F203" s="207" t="n"/>
      <c r="G203" s="207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</row>
    <row r="204" ht="26.25" customHeight="1" s="251">
      <c r="A204" s="198" t="n"/>
      <c r="B204" s="198" t="n"/>
      <c r="C204" s="207" t="n"/>
      <c r="D204" s="207" t="n"/>
      <c r="E204" s="207" t="n"/>
      <c r="F204" s="207" t="n"/>
      <c r="G204" s="207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</row>
    <row r="205" ht="26.25" customHeight="1" s="251">
      <c r="A205" s="198" t="n"/>
      <c r="B205" s="198" t="n"/>
      <c r="C205" s="207" t="n"/>
      <c r="D205" s="207" t="n"/>
      <c r="E205" s="207" t="n"/>
      <c r="F205" s="207" t="n"/>
      <c r="G205" s="207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</row>
    <row r="206" ht="26.25" customHeight="1" s="251">
      <c r="A206" s="198" t="n"/>
      <c r="B206" s="198" t="n"/>
      <c r="C206" s="207" t="n"/>
      <c r="D206" s="207" t="n"/>
      <c r="E206" s="207" t="n"/>
      <c r="F206" s="207" t="n"/>
      <c r="G206" s="207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</row>
    <row r="207" ht="26.25" customHeight="1" s="251">
      <c r="A207" s="198" t="n"/>
      <c r="B207" s="198" t="n"/>
      <c r="C207" s="207" t="n"/>
      <c r="D207" s="207" t="n"/>
      <c r="E207" s="207" t="n"/>
      <c r="F207" s="207" t="n"/>
      <c r="G207" s="207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</row>
    <row r="208" ht="26.25" customHeight="1" s="251">
      <c r="A208" s="198" t="n"/>
      <c r="B208" s="198" t="n"/>
      <c r="C208" s="207" t="n"/>
      <c r="D208" s="207" t="n"/>
      <c r="E208" s="207" t="n"/>
      <c r="F208" s="207" t="n"/>
      <c r="G208" s="207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</row>
    <row r="209" ht="26.25" customHeight="1" s="251">
      <c r="A209" s="198" t="n"/>
      <c r="B209" s="198" t="n"/>
      <c r="C209" s="207" t="n"/>
      <c r="D209" s="207" t="n"/>
      <c r="E209" s="207" t="n"/>
      <c r="F209" s="207" t="n"/>
      <c r="G209" s="207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</row>
    <row r="210" ht="26.25" customHeight="1" s="251">
      <c r="A210" s="198" t="n"/>
      <c r="B210" s="198" t="n"/>
      <c r="C210" s="207" t="n"/>
      <c r="D210" s="207" t="n"/>
      <c r="E210" s="207" t="n"/>
      <c r="F210" s="207" t="n"/>
      <c r="G210" s="207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</row>
    <row r="211" ht="26.25" customHeight="1" s="251">
      <c r="A211" s="198" t="n"/>
      <c r="B211" s="198" t="n"/>
      <c r="C211" s="207" t="n"/>
      <c r="D211" s="207" t="n"/>
      <c r="E211" s="207" t="n"/>
      <c r="F211" s="207" t="n"/>
      <c r="G211" s="207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</row>
    <row r="212" ht="26.25" customHeight="1" s="251">
      <c r="A212" s="198" t="n"/>
      <c r="B212" s="198" t="n"/>
      <c r="C212" s="207" t="n"/>
      <c r="D212" s="207" t="n"/>
      <c r="E212" s="207" t="n"/>
      <c r="F212" s="207" t="n"/>
      <c r="G212" s="207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</row>
    <row r="213" ht="26.25" customHeight="1" s="251">
      <c r="A213" s="198" t="n"/>
      <c r="B213" s="198" t="n"/>
      <c r="C213" s="207" t="n"/>
      <c r="D213" s="207" t="n"/>
      <c r="E213" s="207" t="n"/>
      <c r="F213" s="207" t="n"/>
      <c r="G213" s="207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</row>
    <row r="214" ht="26.25" customHeight="1" s="251">
      <c r="A214" s="198" t="n"/>
      <c r="B214" s="198" t="n"/>
      <c r="C214" s="207" t="n"/>
      <c r="D214" s="207" t="n"/>
      <c r="E214" s="207" t="n"/>
      <c r="F214" s="207" t="n"/>
      <c r="G214" s="207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</row>
    <row r="215" ht="26.25" customHeight="1" s="251">
      <c r="A215" s="198" t="n"/>
      <c r="B215" s="198" t="n"/>
      <c r="C215" s="207" t="n"/>
      <c r="D215" s="207" t="n"/>
      <c r="E215" s="207" t="n"/>
      <c r="F215" s="207" t="n"/>
      <c r="G215" s="207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</row>
    <row r="216" ht="26.25" customHeight="1" s="251">
      <c r="A216" s="198" t="n"/>
      <c r="B216" s="198" t="n"/>
      <c r="C216" s="207" t="n"/>
      <c r="D216" s="207" t="n"/>
      <c r="E216" s="207" t="n"/>
      <c r="F216" s="207" t="n"/>
      <c r="G216" s="207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</row>
    <row r="217" ht="26.25" customHeight="1" s="251">
      <c r="A217" s="198" t="n"/>
      <c r="B217" s="198" t="n"/>
      <c r="C217" s="207" t="n"/>
      <c r="D217" s="207" t="n"/>
      <c r="E217" s="207" t="n"/>
      <c r="F217" s="207" t="n"/>
      <c r="G217" s="207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</row>
    <row r="218" ht="26.25" customHeight="1" s="251">
      <c r="A218" s="198" t="n"/>
      <c r="B218" s="198" t="n"/>
      <c r="C218" s="207" t="n"/>
      <c r="D218" s="207" t="n"/>
      <c r="E218" s="207" t="n"/>
      <c r="F218" s="207" t="n"/>
      <c r="G218" s="207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</row>
    <row r="219" ht="26.25" customHeight="1" s="251">
      <c r="A219" s="198" t="n"/>
      <c r="B219" s="198" t="n"/>
      <c r="C219" s="207" t="n"/>
      <c r="D219" s="207" t="n"/>
      <c r="E219" s="207" t="n"/>
      <c r="F219" s="207" t="n"/>
      <c r="G219" s="207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</row>
    <row r="220" ht="26.25" customHeight="1" s="251">
      <c r="A220" s="198" t="n"/>
      <c r="B220" s="198" t="n"/>
      <c r="C220" s="207" t="n"/>
      <c r="D220" s="207" t="n"/>
      <c r="E220" s="207" t="n"/>
      <c r="F220" s="207" t="n"/>
      <c r="G220" s="207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</row>
    <row r="221" ht="26.25" customHeight="1" s="251">
      <c r="A221" s="198" t="n"/>
      <c r="B221" s="198" t="n"/>
      <c r="C221" s="207" t="n"/>
      <c r="D221" s="207" t="n"/>
      <c r="E221" s="207" t="n"/>
      <c r="F221" s="207" t="n"/>
      <c r="G221" s="207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</row>
    <row r="222" ht="26.25" customHeight="1" s="251">
      <c r="A222" s="198" t="n"/>
      <c r="B222" s="198" t="n"/>
      <c r="C222" s="207" t="n"/>
      <c r="D222" s="207" t="n"/>
      <c r="E222" s="207" t="n"/>
      <c r="F222" s="207" t="n"/>
      <c r="G222" s="207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</row>
    <row r="223" ht="26.25" customHeight="1" s="251">
      <c r="A223" s="198" t="n"/>
      <c r="B223" s="198" t="n"/>
      <c r="C223" s="207" t="n"/>
      <c r="D223" s="207" t="n"/>
      <c r="E223" s="207" t="n"/>
      <c r="F223" s="207" t="n"/>
      <c r="G223" s="207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</row>
    <row r="224" ht="26.25" customHeight="1" s="251">
      <c r="A224" s="198" t="n"/>
      <c r="B224" s="198" t="n"/>
      <c r="C224" s="207" t="n"/>
      <c r="D224" s="207" t="n"/>
      <c r="E224" s="207" t="n"/>
      <c r="F224" s="207" t="n"/>
      <c r="G224" s="207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</row>
    <row r="225" ht="26.25" customHeight="1" s="251">
      <c r="A225" s="198" t="n"/>
      <c r="B225" s="198" t="n"/>
      <c r="C225" s="207" t="n"/>
      <c r="D225" s="207" t="n"/>
      <c r="E225" s="207" t="n"/>
      <c r="F225" s="207" t="n"/>
      <c r="G225" s="207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</row>
    <row r="226" ht="26.25" customHeight="1" s="251">
      <c r="A226" s="198" t="n"/>
      <c r="B226" s="198" t="n"/>
      <c r="C226" s="207" t="n"/>
      <c r="D226" s="207" t="n"/>
      <c r="E226" s="207" t="n"/>
      <c r="F226" s="207" t="n"/>
      <c r="G226" s="207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</row>
    <row r="227" ht="26.25" customHeight="1" s="251">
      <c r="A227" s="198" t="n"/>
      <c r="B227" s="198" t="n"/>
      <c r="C227" s="207" t="n"/>
      <c r="D227" s="207" t="n"/>
      <c r="E227" s="207" t="n"/>
      <c r="F227" s="207" t="n"/>
      <c r="G227" s="207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</row>
    <row r="228" ht="26.25" customHeight="1" s="251">
      <c r="A228" s="198" t="n"/>
      <c r="B228" s="198" t="n"/>
      <c r="C228" s="207" t="n"/>
      <c r="D228" s="207" t="n"/>
      <c r="E228" s="207" t="n"/>
      <c r="F228" s="207" t="n"/>
      <c r="G228" s="207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</row>
    <row r="229" ht="26.25" customHeight="1" s="251">
      <c r="A229" s="198" t="n"/>
      <c r="B229" s="198" t="n"/>
      <c r="C229" s="207" t="n"/>
      <c r="D229" s="207" t="n"/>
      <c r="E229" s="207" t="n"/>
      <c r="F229" s="207" t="n"/>
      <c r="G229" s="207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</row>
    <row r="230" ht="26.25" customHeight="1" s="251">
      <c r="A230" s="198" t="n"/>
      <c r="B230" s="198" t="n"/>
      <c r="C230" s="207" t="n"/>
      <c r="D230" s="207" t="n"/>
      <c r="E230" s="207" t="n"/>
      <c r="F230" s="207" t="n"/>
      <c r="G230" s="207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</row>
    <row r="231" ht="26.25" customHeight="1" s="251">
      <c r="A231" s="198" t="n"/>
      <c r="B231" s="198" t="n"/>
      <c r="C231" s="207" t="n"/>
      <c r="D231" s="207" t="n"/>
      <c r="E231" s="207" t="n"/>
      <c r="F231" s="207" t="n"/>
      <c r="G231" s="207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</row>
    <row r="232" ht="26.25" customHeight="1" s="251">
      <c r="A232" s="198" t="n"/>
      <c r="B232" s="198" t="n"/>
      <c r="C232" s="207" t="n"/>
      <c r="D232" s="207" t="n"/>
      <c r="E232" s="207" t="n"/>
      <c r="F232" s="207" t="n"/>
      <c r="G232" s="207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</row>
    <row r="233" ht="26.25" customHeight="1" s="251">
      <c r="A233" s="198" t="n"/>
      <c r="B233" s="198" t="n"/>
      <c r="C233" s="207" t="n"/>
      <c r="D233" s="207" t="n"/>
      <c r="E233" s="207" t="n"/>
      <c r="F233" s="207" t="n"/>
      <c r="G233" s="207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</row>
    <row r="234" ht="26.25" customHeight="1" s="251">
      <c r="A234" s="198" t="n"/>
      <c r="B234" s="198" t="n"/>
      <c r="C234" s="207" t="n"/>
      <c r="D234" s="207" t="n"/>
      <c r="E234" s="207" t="n"/>
      <c r="F234" s="207" t="n"/>
      <c r="G234" s="207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</row>
    <row r="235" ht="26.25" customHeight="1" s="251">
      <c r="A235" s="198" t="n"/>
      <c r="B235" s="198" t="n"/>
      <c r="C235" s="207" t="n"/>
      <c r="D235" s="207" t="n"/>
      <c r="E235" s="207" t="n"/>
      <c r="F235" s="207" t="n"/>
      <c r="G235" s="207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</row>
    <row r="236" ht="26.25" customHeight="1" s="251">
      <c r="A236" s="198" t="n"/>
      <c r="B236" s="198" t="n"/>
      <c r="C236" s="207" t="n"/>
      <c r="D236" s="207" t="n"/>
      <c r="E236" s="207" t="n"/>
      <c r="F236" s="207" t="n"/>
      <c r="G236" s="207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</row>
    <row r="237" ht="26.25" customHeight="1" s="251">
      <c r="A237" s="198" t="n"/>
      <c r="B237" s="198" t="n"/>
      <c r="C237" s="207" t="n"/>
      <c r="D237" s="207" t="n"/>
      <c r="E237" s="207" t="n"/>
      <c r="F237" s="207" t="n"/>
      <c r="G237" s="207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</row>
    <row r="238" ht="26.25" customHeight="1" s="251">
      <c r="A238" s="198" t="n"/>
      <c r="B238" s="198" t="n"/>
      <c r="C238" s="207" t="n"/>
      <c r="D238" s="207" t="n"/>
      <c r="E238" s="207" t="n"/>
      <c r="F238" s="207" t="n"/>
      <c r="G238" s="207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</row>
    <row r="239" ht="26.25" customHeight="1" s="251">
      <c r="A239" s="198" t="n"/>
      <c r="B239" s="198" t="n"/>
      <c r="C239" s="207" t="n"/>
      <c r="D239" s="207" t="n"/>
      <c r="E239" s="207" t="n"/>
      <c r="F239" s="207" t="n"/>
      <c r="G239" s="207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</row>
    <row r="240" ht="26.25" customHeight="1" s="251">
      <c r="A240" s="198" t="n"/>
      <c r="B240" s="198" t="n"/>
      <c r="C240" s="207" t="n"/>
      <c r="D240" s="207" t="n"/>
      <c r="E240" s="207" t="n"/>
      <c r="F240" s="207" t="n"/>
      <c r="G240" s="207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</row>
    <row r="241" ht="26.25" customHeight="1" s="251">
      <c r="A241" s="198" t="n"/>
      <c r="B241" s="198" t="n"/>
      <c r="C241" s="207" t="n"/>
      <c r="D241" s="207" t="n"/>
      <c r="E241" s="207" t="n"/>
      <c r="F241" s="207" t="n"/>
      <c r="G241" s="207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</row>
    <row r="242" ht="26.25" customHeight="1" s="251">
      <c r="A242" s="198" t="n"/>
      <c r="B242" s="198" t="n"/>
      <c r="C242" s="207" t="n"/>
      <c r="D242" s="207" t="n"/>
      <c r="E242" s="207" t="n"/>
      <c r="F242" s="207" t="n"/>
      <c r="G242" s="207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</row>
    <row r="243" ht="26.25" customHeight="1" s="251">
      <c r="A243" s="208" t="n"/>
      <c r="B243" s="208" t="n"/>
      <c r="C243" s="207" t="n"/>
      <c r="D243" s="207" t="n"/>
      <c r="E243" s="207" t="n"/>
      <c r="F243" s="207" t="n"/>
      <c r="G243" s="207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</row>
    <row r="244" ht="26.25" customHeight="1" s="251">
      <c r="A244" s="208" t="n"/>
      <c r="B244" s="208" t="n"/>
      <c r="C244" s="207" t="n"/>
      <c r="D244" s="207" t="n"/>
      <c r="E244" s="207" t="n"/>
      <c r="F244" s="207" t="n"/>
      <c r="G244" s="207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</row>
    <row r="245" ht="26.25" customHeight="1" s="251">
      <c r="A245" s="208" t="n"/>
      <c r="B245" s="208" t="n"/>
      <c r="C245" s="207" t="n"/>
      <c r="D245" s="207" t="n"/>
      <c r="E245" s="207" t="n"/>
      <c r="F245" s="207" t="n"/>
      <c r="G245" s="207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</row>
    <row r="246" ht="26.25" customHeight="1" s="251">
      <c r="A246" s="208" t="n"/>
      <c r="B246" s="208" t="n"/>
      <c r="C246" s="207" t="n"/>
      <c r="D246" s="207" t="n"/>
      <c r="E246" s="207" t="n"/>
      <c r="F246" s="207" t="n"/>
      <c r="G246" s="207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</row>
    <row r="247" ht="26.25" customHeight="1" s="251">
      <c r="A247" s="208" t="n"/>
      <c r="B247" s="208" t="n"/>
      <c r="C247" s="207" t="n"/>
      <c r="D247" s="207" t="n"/>
      <c r="E247" s="207" t="n"/>
      <c r="F247" s="207" t="n"/>
      <c r="G247" s="207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</row>
    <row r="248" ht="26.25" customHeight="1" s="251">
      <c r="A248" s="208" t="n"/>
      <c r="B248" s="208" t="n"/>
      <c r="C248" s="207" t="n"/>
      <c r="D248" s="207" t="n"/>
      <c r="E248" s="207" t="n"/>
      <c r="F248" s="207" t="n"/>
      <c r="G248" s="207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</row>
    <row r="249" ht="26.25" customHeight="1" s="251">
      <c r="A249" s="208" t="n"/>
      <c r="B249" s="208" t="n"/>
      <c r="C249" s="207" t="n"/>
      <c r="D249" s="207" t="n"/>
      <c r="E249" s="207" t="n"/>
      <c r="F249" s="207" t="n"/>
      <c r="G249" s="207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</row>
    <row r="250" ht="26.25" customHeight="1" s="251">
      <c r="A250" s="208" t="n"/>
      <c r="B250" s="208" t="n"/>
      <c r="C250" s="207" t="n"/>
      <c r="D250" s="207" t="n"/>
      <c r="E250" s="207" t="n"/>
      <c r="F250" s="207" t="n"/>
      <c r="G250" s="207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</row>
    <row r="251" ht="26.25" customHeight="1" s="251">
      <c r="A251" s="208" t="n"/>
      <c r="B251" s="208" t="n"/>
      <c r="C251" s="207" t="n"/>
      <c r="D251" s="207" t="n"/>
      <c r="E251" s="207" t="n"/>
      <c r="F251" s="207" t="n"/>
      <c r="G251" s="207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</row>
    <row r="252" ht="26.25" customHeight="1" s="251">
      <c r="A252" s="208" t="n"/>
      <c r="B252" s="208" t="n"/>
      <c r="C252" s="207" t="n"/>
      <c r="D252" s="207" t="n"/>
      <c r="E252" s="207" t="n"/>
      <c r="F252" s="207" t="n"/>
      <c r="G252" s="207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</row>
    <row r="253" ht="26.25" customHeight="1" s="251">
      <c r="A253" s="208" t="n"/>
      <c r="B253" s="208" t="n"/>
      <c r="C253" s="207" t="n"/>
      <c r="D253" s="207" t="n"/>
      <c r="E253" s="207" t="n"/>
      <c r="F253" s="207" t="n"/>
      <c r="G253" s="207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</row>
    <row r="254" ht="26.25" customHeight="1" s="251">
      <c r="A254" s="208" t="n"/>
      <c r="B254" s="208" t="n"/>
      <c r="C254" s="207" t="n"/>
      <c r="D254" s="207" t="n"/>
      <c r="E254" s="207" t="n"/>
      <c r="F254" s="207" t="n"/>
      <c r="G254" s="207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</row>
    <row r="255" ht="26.25" customHeight="1" s="251">
      <c r="A255" s="208" t="n"/>
      <c r="B255" s="208" t="n"/>
      <c r="C255" s="207" t="n"/>
      <c r="D255" s="207" t="n"/>
      <c r="E255" s="207" t="n"/>
      <c r="F255" s="207" t="n"/>
      <c r="G255" s="207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</row>
    <row r="256" ht="26.25" customHeight="1" s="251">
      <c r="A256" s="208" t="n"/>
      <c r="B256" s="208" t="n"/>
      <c r="C256" s="207" t="n"/>
      <c r="D256" s="207" t="n"/>
      <c r="E256" s="207" t="n"/>
      <c r="F256" s="207" t="n"/>
      <c r="G256" s="207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</row>
    <row r="257" ht="26.25" customHeight="1" s="251">
      <c r="A257" s="208" t="n"/>
      <c r="B257" s="208" t="n"/>
      <c r="C257" s="207" t="n"/>
      <c r="D257" s="207" t="n"/>
      <c r="E257" s="207" t="n"/>
      <c r="F257" s="207" t="n"/>
      <c r="G257" s="207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</row>
    <row r="258" ht="26.25" customHeight="1" s="251">
      <c r="A258" s="208" t="n"/>
      <c r="B258" s="208" t="n"/>
      <c r="C258" s="207" t="n"/>
      <c r="D258" s="207" t="n"/>
      <c r="E258" s="207" t="n"/>
      <c r="F258" s="207" t="n"/>
      <c r="G258" s="207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</row>
    <row r="259" ht="26.25" customHeight="1" s="251">
      <c r="A259" s="208" t="n"/>
      <c r="B259" s="208" t="n"/>
      <c r="C259" s="207" t="n"/>
      <c r="D259" s="207" t="n"/>
      <c r="E259" s="207" t="n"/>
      <c r="F259" s="207" t="n"/>
      <c r="G259" s="207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</row>
    <row r="260" ht="26.25" customHeight="1" s="251">
      <c r="A260" s="208" t="n"/>
      <c r="B260" s="208" t="n"/>
      <c r="C260" s="207" t="n"/>
      <c r="D260" s="207" t="n"/>
      <c r="E260" s="207" t="n"/>
      <c r="F260" s="207" t="n"/>
      <c r="G260" s="207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</row>
    <row r="261" ht="26.25" customHeight="1" s="251">
      <c r="A261" s="208" t="n"/>
      <c r="B261" s="208" t="n"/>
      <c r="C261" s="207" t="n"/>
      <c r="D261" s="207" t="n"/>
      <c r="E261" s="207" t="n"/>
      <c r="F261" s="207" t="n"/>
      <c r="G261" s="207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</row>
    <row r="262" ht="26.25" customHeight="1" s="251">
      <c r="A262" s="208" t="n"/>
      <c r="B262" s="208" t="n"/>
      <c r="C262" s="207" t="n"/>
      <c r="D262" s="207" t="n"/>
      <c r="E262" s="207" t="n"/>
      <c r="F262" s="207" t="n"/>
      <c r="G262" s="207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</row>
    <row r="263" ht="26.25" customHeight="1" s="251">
      <c r="A263" s="208" t="n"/>
      <c r="B263" s="208" t="n"/>
      <c r="C263" s="207" t="n"/>
      <c r="D263" s="207" t="n"/>
      <c r="E263" s="207" t="n"/>
      <c r="F263" s="207" t="n"/>
      <c r="G263" s="207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</row>
    <row r="264" ht="26.25" customHeight="1" s="251">
      <c r="A264" s="208" t="n"/>
      <c r="B264" s="208" t="n"/>
      <c r="C264" s="207" t="n"/>
      <c r="D264" s="207" t="n"/>
      <c r="E264" s="207" t="n"/>
      <c r="F264" s="207" t="n"/>
      <c r="G264" s="207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</row>
    <row r="265" ht="26.25" customHeight="1" s="251">
      <c r="A265" s="208" t="n"/>
      <c r="B265" s="208" t="n"/>
      <c r="C265" s="207" t="n"/>
      <c r="D265" s="207" t="n"/>
      <c r="E265" s="207" t="n"/>
      <c r="F265" s="207" t="n"/>
      <c r="G265" s="207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</row>
    <row r="266" ht="26.25" customHeight="1" s="251">
      <c r="A266" s="208" t="n"/>
      <c r="B266" s="208" t="n"/>
      <c r="C266" s="207" t="n"/>
      <c r="D266" s="207" t="n"/>
      <c r="E266" s="207" t="n"/>
      <c r="F266" s="207" t="n"/>
      <c r="G266" s="207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</row>
    <row r="267" ht="26.25" customHeight="1" s="251">
      <c r="A267" s="208" t="n"/>
      <c r="B267" s="208" t="n"/>
      <c r="C267" s="207" t="n"/>
      <c r="D267" s="207" t="n"/>
      <c r="E267" s="207" t="n"/>
      <c r="F267" s="207" t="n"/>
      <c r="G267" s="207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</row>
    <row r="268" ht="26.25" customHeight="1" s="251">
      <c r="A268" s="208" t="n"/>
      <c r="B268" s="208" t="n"/>
      <c r="C268" s="207" t="n"/>
      <c r="D268" s="207" t="n"/>
      <c r="E268" s="207" t="n"/>
      <c r="F268" s="207" t="n"/>
      <c r="G268" s="207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</row>
    <row r="269" ht="26.25" customHeight="1" s="251">
      <c r="A269" s="208" t="n"/>
      <c r="B269" s="208" t="n"/>
      <c r="C269" s="207" t="n"/>
      <c r="D269" s="207" t="n"/>
      <c r="E269" s="207" t="n"/>
      <c r="F269" s="207" t="n"/>
      <c r="G269" s="207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</row>
    <row r="270" ht="26.25" customHeight="1" s="251">
      <c r="A270" s="208" t="n"/>
      <c r="B270" s="208" t="n"/>
      <c r="C270" s="207" t="n"/>
      <c r="D270" s="207" t="n"/>
      <c r="E270" s="207" t="n"/>
      <c r="F270" s="207" t="n"/>
      <c r="G270" s="207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</row>
    <row r="271" ht="26.25" customHeight="1" s="251">
      <c r="A271" s="208" t="n"/>
      <c r="B271" s="208" t="n"/>
      <c r="C271" s="207" t="n"/>
      <c r="D271" s="207" t="n"/>
      <c r="E271" s="207" t="n"/>
      <c r="F271" s="207" t="n"/>
      <c r="G271" s="207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</row>
    <row r="272" ht="26.25" customHeight="1" s="251">
      <c r="A272" s="208" t="n"/>
      <c r="B272" s="208" t="n"/>
      <c r="C272" s="207" t="n"/>
      <c r="D272" s="207" t="n"/>
      <c r="E272" s="207" t="n"/>
      <c r="F272" s="207" t="n"/>
      <c r="G272" s="207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</row>
    <row r="273" ht="26.25" customHeight="1" s="251">
      <c r="A273" s="208" t="n"/>
      <c r="B273" s="208" t="n"/>
      <c r="C273" s="207" t="n"/>
      <c r="D273" s="207" t="n"/>
      <c r="E273" s="207" t="n"/>
      <c r="F273" s="207" t="n"/>
      <c r="G273" s="207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</row>
    <row r="274" ht="26.25" customHeight="1" s="251">
      <c r="A274" s="208" t="n"/>
      <c r="B274" s="208" t="n"/>
      <c r="C274" s="207" t="n"/>
      <c r="D274" s="207" t="n"/>
      <c r="E274" s="207" t="n"/>
      <c r="F274" s="207" t="n"/>
      <c r="G274" s="207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</row>
    <row r="275" ht="26.25" customHeight="1" s="251">
      <c r="A275" s="208" t="n"/>
      <c r="B275" s="208" t="n"/>
      <c r="C275" s="207" t="n"/>
      <c r="D275" s="207" t="n"/>
      <c r="E275" s="207" t="n"/>
      <c r="F275" s="207" t="n"/>
      <c r="G275" s="207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</row>
    <row r="276" ht="26.25" customHeight="1" s="251">
      <c r="A276" s="208" t="n"/>
      <c r="B276" s="208" t="n"/>
      <c r="C276" s="207" t="n"/>
      <c r="D276" s="207" t="n"/>
      <c r="E276" s="207" t="n"/>
      <c r="F276" s="207" t="n"/>
      <c r="G276" s="207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</row>
    <row r="277" ht="26.25" customHeight="1" s="251">
      <c r="A277" s="208" t="n"/>
      <c r="B277" s="208" t="n"/>
      <c r="C277" s="207" t="n"/>
      <c r="D277" s="207" t="n"/>
      <c r="E277" s="207" t="n"/>
      <c r="F277" s="207" t="n"/>
      <c r="G277" s="207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</row>
    <row r="278" ht="26.25" customHeight="1" s="251">
      <c r="A278" s="208" t="n"/>
      <c r="B278" s="208" t="n"/>
      <c r="C278" s="207" t="n"/>
      <c r="D278" s="207" t="n"/>
      <c r="E278" s="207" t="n"/>
      <c r="F278" s="207" t="n"/>
      <c r="G278" s="207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</row>
    <row r="279" ht="26.25" customHeight="1" s="251">
      <c r="A279" s="208" t="n"/>
      <c r="B279" s="208" t="n"/>
      <c r="C279" s="207" t="n"/>
      <c r="D279" s="207" t="n"/>
      <c r="E279" s="207" t="n"/>
      <c r="F279" s="207" t="n"/>
      <c r="G279" s="207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</row>
    <row r="280" ht="26.25" customHeight="1" s="251">
      <c r="A280" s="208" t="n"/>
      <c r="B280" s="208" t="n"/>
      <c r="C280" s="207" t="n"/>
      <c r="D280" s="207" t="n"/>
      <c r="E280" s="207" t="n"/>
      <c r="F280" s="207" t="n"/>
      <c r="G280" s="207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</row>
    <row r="281" ht="26.25" customHeight="1" s="251">
      <c r="A281" s="208" t="n"/>
      <c r="B281" s="208" t="n"/>
      <c r="C281" s="207" t="n"/>
      <c r="D281" s="207" t="n"/>
      <c r="E281" s="207" t="n"/>
      <c r="F281" s="207" t="n"/>
      <c r="G281" s="207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</row>
    <row r="282" ht="26.25" customHeight="1" s="251">
      <c r="A282" s="208" t="n"/>
      <c r="B282" s="208" t="n"/>
      <c r="C282" s="207" t="n"/>
      <c r="D282" s="207" t="n"/>
      <c r="E282" s="207" t="n"/>
      <c r="F282" s="207" t="n"/>
      <c r="G282" s="207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</row>
    <row r="283" ht="26.25" customHeight="1" s="251">
      <c r="A283" s="208" t="n"/>
      <c r="B283" s="208" t="n"/>
      <c r="C283" s="207" t="n"/>
      <c r="D283" s="207" t="n"/>
      <c r="E283" s="207" t="n"/>
      <c r="F283" s="207" t="n"/>
      <c r="G283" s="207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</row>
    <row r="284" ht="26.25" customHeight="1" s="251">
      <c r="A284" s="208" t="n"/>
      <c r="B284" s="208" t="n"/>
      <c r="C284" s="207" t="n"/>
      <c r="D284" s="207" t="n"/>
      <c r="E284" s="207" t="n"/>
      <c r="F284" s="207" t="n"/>
      <c r="G284" s="207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</row>
    <row r="285" ht="26.25" customHeight="1" s="251">
      <c r="A285" s="208" t="n"/>
      <c r="B285" s="208" t="n"/>
      <c r="C285" s="207" t="n"/>
      <c r="D285" s="207" t="n"/>
      <c r="E285" s="207" t="n"/>
      <c r="F285" s="207" t="n"/>
      <c r="G285" s="207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</row>
    <row r="286" ht="26.25" customHeight="1" s="251">
      <c r="A286" s="208" t="n"/>
      <c r="B286" s="208" t="n"/>
      <c r="C286" s="207" t="n"/>
      <c r="D286" s="207" t="n"/>
      <c r="E286" s="207" t="n"/>
      <c r="F286" s="207" t="n"/>
      <c r="G286" s="207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</row>
    <row r="287" ht="26.25" customHeight="1" s="251">
      <c r="A287" s="208" t="n"/>
      <c r="B287" s="208" t="n"/>
      <c r="C287" s="207" t="n"/>
      <c r="D287" s="207" t="n"/>
      <c r="E287" s="207" t="n"/>
      <c r="F287" s="207" t="n"/>
      <c r="G287" s="207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</row>
    <row r="288" ht="26.25" customHeight="1" s="251">
      <c r="A288" s="208" t="n"/>
      <c r="B288" s="208" t="n"/>
      <c r="C288" s="207" t="n"/>
      <c r="D288" s="207" t="n"/>
      <c r="E288" s="207" t="n"/>
      <c r="F288" s="207" t="n"/>
      <c r="G288" s="207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</row>
    <row r="289" ht="26.25" customHeight="1" s="251">
      <c r="A289" s="208" t="n"/>
      <c r="B289" s="208" t="n"/>
      <c r="C289" s="207" t="n"/>
      <c r="D289" s="207" t="n"/>
      <c r="E289" s="207" t="n"/>
      <c r="F289" s="207" t="n"/>
      <c r="G289" s="207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</row>
    <row r="290" ht="26.25" customHeight="1" s="251">
      <c r="A290" s="208" t="n"/>
      <c r="B290" s="208" t="n"/>
      <c r="C290" s="207" t="n"/>
      <c r="D290" s="207" t="n"/>
      <c r="E290" s="207" t="n"/>
      <c r="F290" s="207" t="n"/>
      <c r="G290" s="207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</row>
    <row r="291" ht="26.25" customHeight="1" s="251">
      <c r="A291" s="208" t="n"/>
      <c r="B291" s="208" t="n"/>
      <c r="C291" s="207" t="n"/>
      <c r="D291" s="207" t="n"/>
      <c r="E291" s="207" t="n"/>
      <c r="F291" s="207" t="n"/>
      <c r="G291" s="207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</row>
    <row r="292" ht="26.25" customHeight="1" s="251">
      <c r="A292" s="208" t="n"/>
      <c r="B292" s="208" t="n"/>
      <c r="C292" s="207" t="n"/>
      <c r="D292" s="207" t="n"/>
      <c r="E292" s="207" t="n"/>
      <c r="F292" s="207" t="n"/>
      <c r="G292" s="207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</row>
    <row r="293" ht="26.25" customHeight="1" s="251">
      <c r="A293" s="208" t="n"/>
      <c r="B293" s="208" t="n"/>
      <c r="C293" s="207" t="n"/>
      <c r="D293" s="207" t="n"/>
      <c r="E293" s="207" t="n"/>
      <c r="F293" s="207" t="n"/>
      <c r="G293" s="207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</row>
    <row r="294" ht="26.25" customHeight="1" s="251">
      <c r="A294" s="208" t="n"/>
      <c r="B294" s="208" t="n"/>
      <c r="C294" s="207" t="n"/>
      <c r="D294" s="207" t="n"/>
      <c r="E294" s="207" t="n"/>
      <c r="F294" s="207" t="n"/>
      <c r="G294" s="207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</row>
    <row r="295" ht="26.25" customHeight="1" s="251">
      <c r="A295" s="208" t="n"/>
      <c r="B295" s="208" t="n"/>
      <c r="C295" s="207" t="n"/>
      <c r="D295" s="207" t="n"/>
      <c r="E295" s="207" t="n"/>
      <c r="F295" s="207" t="n"/>
      <c r="G295" s="207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</row>
    <row r="296" ht="26.25" customHeight="1" s="251">
      <c r="A296" s="208" t="n"/>
      <c r="B296" s="208" t="n"/>
      <c r="C296" s="207" t="n"/>
      <c r="D296" s="207" t="n"/>
      <c r="E296" s="207" t="n"/>
      <c r="F296" s="207" t="n"/>
      <c r="G296" s="207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</row>
    <row r="297" ht="26.25" customHeight="1" s="251">
      <c r="A297" s="208" t="n"/>
      <c r="B297" s="208" t="n"/>
      <c r="C297" s="207" t="n"/>
      <c r="D297" s="207" t="n"/>
      <c r="E297" s="207" t="n"/>
      <c r="F297" s="207" t="n"/>
      <c r="G297" s="207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</row>
    <row r="298" ht="26.25" customHeight="1" s="251">
      <c r="A298" s="208" t="n"/>
      <c r="B298" s="208" t="n"/>
      <c r="C298" s="207" t="n"/>
      <c r="D298" s="207" t="n"/>
      <c r="E298" s="207" t="n"/>
      <c r="F298" s="207" t="n"/>
      <c r="G298" s="207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</row>
    <row r="299" ht="26.25" customHeight="1" s="251">
      <c r="A299" s="208" t="n"/>
      <c r="B299" s="208" t="n"/>
      <c r="C299" s="207" t="n"/>
      <c r="D299" s="207" t="n"/>
      <c r="E299" s="207" t="n"/>
      <c r="F299" s="207" t="n"/>
      <c r="G299" s="207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</row>
    <row r="300" ht="26.25" customHeight="1" s="251">
      <c r="A300" s="208" t="n"/>
      <c r="B300" s="208" t="n"/>
      <c r="C300" s="207" t="n"/>
      <c r="D300" s="207" t="n"/>
      <c r="E300" s="207" t="n"/>
      <c r="F300" s="207" t="n"/>
      <c r="G300" s="207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</row>
    <row r="301" ht="26.25" customHeight="1" s="251">
      <c r="A301" s="208" t="n"/>
      <c r="B301" s="208" t="n"/>
      <c r="C301" s="207" t="n"/>
      <c r="D301" s="207" t="n"/>
      <c r="E301" s="207" t="n"/>
      <c r="F301" s="207" t="n"/>
      <c r="G301" s="207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</row>
    <row r="302" ht="26.25" customHeight="1" s="251">
      <c r="A302" s="208" t="n"/>
      <c r="B302" s="208" t="n"/>
      <c r="C302" s="207" t="n"/>
      <c r="D302" s="207" t="n"/>
      <c r="E302" s="207" t="n"/>
      <c r="F302" s="207" t="n"/>
      <c r="G302" s="207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</row>
    <row r="303" ht="26.25" customHeight="1" s="251">
      <c r="A303" s="208" t="n"/>
      <c r="B303" s="208" t="n"/>
      <c r="C303" s="207" t="n"/>
      <c r="D303" s="207" t="n"/>
      <c r="E303" s="207" t="n"/>
      <c r="F303" s="207" t="n"/>
      <c r="G303" s="207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</row>
    <row r="304" ht="26.25" customHeight="1" s="251">
      <c r="A304" s="208" t="n"/>
      <c r="B304" s="208" t="n"/>
      <c r="C304" s="207" t="n"/>
      <c r="D304" s="207" t="n"/>
      <c r="E304" s="207" t="n"/>
      <c r="F304" s="207" t="n"/>
      <c r="G304" s="207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</row>
    <row r="305" ht="26.25" customHeight="1" s="251">
      <c r="A305" s="208" t="n"/>
      <c r="B305" s="208" t="n"/>
      <c r="C305" s="207" t="n"/>
      <c r="D305" s="207" t="n"/>
      <c r="E305" s="207" t="n"/>
      <c r="F305" s="207" t="n"/>
      <c r="G305" s="207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</row>
    <row r="306" ht="26.25" customHeight="1" s="251">
      <c r="A306" s="208" t="n"/>
      <c r="B306" s="208" t="n"/>
      <c r="C306" s="207" t="n"/>
      <c r="D306" s="207" t="n"/>
      <c r="E306" s="207" t="n"/>
      <c r="F306" s="207" t="n"/>
      <c r="G306" s="207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</row>
    <row r="307" ht="26.25" customHeight="1" s="251">
      <c r="A307" s="208" t="n"/>
      <c r="B307" s="208" t="n"/>
      <c r="C307" s="207" t="n"/>
      <c r="D307" s="207" t="n"/>
      <c r="E307" s="207" t="n"/>
      <c r="F307" s="207" t="n"/>
      <c r="G307" s="207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</row>
    <row r="308" ht="26.25" customHeight="1" s="251">
      <c r="A308" s="208" t="n"/>
      <c r="B308" s="208" t="n"/>
      <c r="C308" s="207" t="n"/>
      <c r="D308" s="207" t="n"/>
      <c r="E308" s="207" t="n"/>
      <c r="F308" s="207" t="n"/>
      <c r="G308" s="207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</row>
    <row r="309" ht="26.25" customHeight="1" s="251">
      <c r="A309" s="208" t="n"/>
      <c r="B309" s="208" t="n"/>
      <c r="C309" s="207" t="n"/>
      <c r="D309" s="207" t="n"/>
      <c r="E309" s="207" t="n"/>
      <c r="F309" s="207" t="n"/>
      <c r="G309" s="207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</row>
    <row r="310" ht="26.25" customHeight="1" s="251">
      <c r="A310" s="208" t="n"/>
      <c r="B310" s="208" t="n"/>
      <c r="C310" s="207" t="n"/>
      <c r="D310" s="207" t="n"/>
      <c r="E310" s="207" t="n"/>
      <c r="F310" s="207" t="n"/>
      <c r="G310" s="207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</row>
    <row r="311" ht="26.25" customHeight="1" s="251">
      <c r="A311" s="208" t="n"/>
      <c r="B311" s="208" t="n"/>
      <c r="C311" s="207" t="n"/>
      <c r="D311" s="207" t="n"/>
      <c r="E311" s="207" t="n"/>
      <c r="F311" s="207" t="n"/>
      <c r="G311" s="207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</row>
    <row r="312" ht="26.25" customHeight="1" s="251">
      <c r="A312" s="208" t="n"/>
      <c r="B312" s="208" t="n"/>
      <c r="C312" s="207" t="n"/>
      <c r="D312" s="207" t="n"/>
      <c r="E312" s="207" t="n"/>
      <c r="F312" s="207" t="n"/>
      <c r="G312" s="207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</row>
    <row r="313" ht="26.25" customHeight="1" s="251">
      <c r="A313" s="208" t="n"/>
      <c r="B313" s="208" t="n"/>
      <c r="C313" s="207" t="n"/>
      <c r="D313" s="207" t="n"/>
      <c r="E313" s="207" t="n"/>
      <c r="F313" s="207" t="n"/>
      <c r="G313" s="207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</row>
    <row r="314" ht="26.25" customHeight="1" s="251">
      <c r="A314" s="208" t="n"/>
      <c r="B314" s="208" t="n"/>
      <c r="C314" s="207" t="n"/>
      <c r="D314" s="207" t="n"/>
      <c r="E314" s="207" t="n"/>
      <c r="F314" s="207" t="n"/>
      <c r="G314" s="207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</row>
    <row r="315" ht="26.25" customHeight="1" s="251">
      <c r="A315" s="208" t="n"/>
      <c r="B315" s="208" t="n"/>
      <c r="C315" s="207" t="n"/>
      <c r="D315" s="207" t="n"/>
      <c r="E315" s="207" t="n"/>
      <c r="F315" s="207" t="n"/>
      <c r="G315" s="207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</row>
    <row r="316" ht="26.25" customHeight="1" s="251">
      <c r="A316" s="208" t="n"/>
      <c r="B316" s="208" t="n"/>
      <c r="C316" s="207" t="n"/>
      <c r="D316" s="207" t="n"/>
      <c r="E316" s="207" t="n"/>
      <c r="F316" s="207" t="n"/>
      <c r="G316" s="207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</row>
    <row r="317" ht="26.25" customHeight="1" s="251">
      <c r="A317" s="208" t="n"/>
      <c r="B317" s="208" t="n"/>
      <c r="C317" s="207" t="n"/>
      <c r="D317" s="207" t="n"/>
      <c r="E317" s="207" t="n"/>
      <c r="F317" s="207" t="n"/>
      <c r="G317" s="207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</row>
    <row r="318" ht="26.25" customHeight="1" s="251">
      <c r="A318" s="208" t="n"/>
      <c r="B318" s="208" t="n"/>
      <c r="C318" s="207" t="n"/>
      <c r="D318" s="207" t="n"/>
      <c r="E318" s="207" t="n"/>
      <c r="F318" s="207" t="n"/>
      <c r="G318" s="207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</row>
    <row r="319" ht="26.25" customHeight="1" s="251">
      <c r="A319" s="208" t="n"/>
      <c r="B319" s="208" t="n"/>
      <c r="C319" s="207" t="n"/>
      <c r="D319" s="207" t="n"/>
      <c r="E319" s="207" t="n"/>
      <c r="F319" s="207" t="n"/>
      <c r="G319" s="207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</row>
    <row r="320" ht="26.25" customHeight="1" s="251">
      <c r="A320" s="208" t="n"/>
      <c r="B320" s="208" t="n"/>
      <c r="C320" s="207" t="n"/>
      <c r="D320" s="207" t="n"/>
      <c r="E320" s="207" t="n"/>
      <c r="F320" s="207" t="n"/>
      <c r="G320" s="207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</row>
    <row r="321" ht="26.25" customHeight="1" s="251">
      <c r="A321" s="208" t="n"/>
      <c r="B321" s="208" t="n"/>
      <c r="C321" s="207" t="n"/>
      <c r="D321" s="207" t="n"/>
      <c r="E321" s="207" t="n"/>
      <c r="F321" s="207" t="n"/>
      <c r="G321" s="207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</row>
    <row r="322" ht="26.25" customHeight="1" s="251">
      <c r="A322" s="208" t="n"/>
      <c r="B322" s="208" t="n"/>
      <c r="C322" s="207" t="n"/>
      <c r="D322" s="207" t="n"/>
      <c r="E322" s="207" t="n"/>
      <c r="F322" s="207" t="n"/>
      <c r="G322" s="207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</row>
    <row r="323" ht="26.25" customHeight="1" s="251">
      <c r="A323" s="208" t="n"/>
      <c r="B323" s="208" t="n"/>
      <c r="C323" s="207" t="n"/>
      <c r="D323" s="207" t="n"/>
      <c r="E323" s="207" t="n"/>
      <c r="F323" s="207" t="n"/>
      <c r="G323" s="207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</row>
    <row r="324" ht="26.25" customHeight="1" s="251">
      <c r="A324" s="208" t="n"/>
      <c r="B324" s="208" t="n"/>
      <c r="C324" s="207" t="n"/>
      <c r="D324" s="207" t="n"/>
      <c r="E324" s="207" t="n"/>
      <c r="F324" s="207" t="n"/>
      <c r="G324" s="207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</row>
    <row r="325" ht="26.25" customHeight="1" s="251">
      <c r="A325" s="208" t="n"/>
      <c r="B325" s="208" t="n"/>
      <c r="C325" s="207" t="n"/>
      <c r="D325" s="207" t="n"/>
      <c r="E325" s="207" t="n"/>
      <c r="F325" s="207" t="n"/>
      <c r="G325" s="207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</row>
    <row r="326" ht="26.25" customHeight="1" s="251">
      <c r="A326" s="208" t="n"/>
      <c r="B326" s="208" t="n"/>
      <c r="C326" s="207" t="n"/>
      <c r="D326" s="207" t="n"/>
      <c r="E326" s="207" t="n"/>
      <c r="F326" s="207" t="n"/>
      <c r="G326" s="207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</row>
    <row r="327" ht="26.25" customHeight="1" s="251">
      <c r="A327" s="208" t="n"/>
      <c r="B327" s="208" t="n"/>
      <c r="C327" s="207" t="n"/>
      <c r="D327" s="207" t="n"/>
      <c r="E327" s="207" t="n"/>
      <c r="F327" s="207" t="n"/>
      <c r="G327" s="207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</row>
    <row r="328" ht="26.25" customHeight="1" s="251">
      <c r="A328" s="208" t="n"/>
      <c r="B328" s="208" t="n"/>
      <c r="C328" s="207" t="n"/>
      <c r="D328" s="207" t="n"/>
      <c r="E328" s="207" t="n"/>
      <c r="F328" s="207" t="n"/>
      <c r="G328" s="207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</row>
    <row r="329" ht="26.25" customHeight="1" s="251">
      <c r="A329" s="208" t="n"/>
      <c r="B329" s="208" t="n"/>
      <c r="C329" s="207" t="n"/>
      <c r="D329" s="207" t="n"/>
      <c r="E329" s="207" t="n"/>
      <c r="F329" s="207" t="n"/>
      <c r="G329" s="207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</row>
    <row r="330" ht="26.25" customHeight="1" s="251">
      <c r="A330" s="208" t="n"/>
      <c r="B330" s="208" t="n"/>
      <c r="C330" s="207" t="n"/>
      <c r="D330" s="207" t="n"/>
      <c r="E330" s="207" t="n"/>
      <c r="F330" s="207" t="n"/>
      <c r="G330" s="207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</row>
    <row r="331" ht="26.25" customHeight="1" s="251">
      <c r="A331" s="208" t="n"/>
      <c r="B331" s="208" t="n"/>
      <c r="C331" s="207" t="n"/>
      <c r="D331" s="207" t="n"/>
      <c r="E331" s="207" t="n"/>
      <c r="F331" s="207" t="n"/>
      <c r="G331" s="207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</row>
    <row r="332" ht="26.25" customHeight="1" s="251">
      <c r="A332" s="208" t="n"/>
      <c r="B332" s="208" t="n"/>
      <c r="C332" s="207" t="n"/>
      <c r="D332" s="207" t="n"/>
      <c r="E332" s="207" t="n"/>
      <c r="F332" s="207" t="n"/>
      <c r="G332" s="207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</row>
    <row r="333" ht="26.25" customHeight="1" s="251">
      <c r="A333" s="208" t="n"/>
      <c r="B333" s="208" t="n"/>
      <c r="C333" s="207" t="n"/>
      <c r="D333" s="207" t="n"/>
      <c r="E333" s="207" t="n"/>
      <c r="F333" s="207" t="n"/>
      <c r="G333" s="207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</row>
    <row r="334" ht="26.25" customHeight="1" s="251">
      <c r="A334" s="208" t="n"/>
      <c r="B334" s="208" t="n"/>
      <c r="C334" s="207" t="n"/>
      <c r="D334" s="207" t="n"/>
      <c r="E334" s="207" t="n"/>
      <c r="F334" s="207" t="n"/>
      <c r="G334" s="207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</row>
    <row r="335" ht="26.25" customHeight="1" s="251">
      <c r="A335" s="208" t="n"/>
      <c r="B335" s="208" t="n"/>
      <c r="C335" s="207" t="n"/>
      <c r="D335" s="207" t="n"/>
      <c r="E335" s="207" t="n"/>
      <c r="F335" s="207" t="n"/>
      <c r="G335" s="207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</row>
    <row r="336" ht="26.25" customHeight="1" s="251">
      <c r="A336" s="208" t="n"/>
      <c r="B336" s="208" t="n"/>
      <c r="C336" s="207" t="n"/>
      <c r="D336" s="207" t="n"/>
      <c r="E336" s="207" t="n"/>
      <c r="F336" s="207" t="n"/>
      <c r="G336" s="207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</row>
    <row r="337" ht="26.25" customHeight="1" s="251">
      <c r="A337" s="208" t="n"/>
      <c r="B337" s="208" t="n"/>
      <c r="C337" s="207" t="n"/>
      <c r="D337" s="207" t="n"/>
      <c r="E337" s="207" t="n"/>
      <c r="F337" s="207" t="n"/>
      <c r="G337" s="207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</row>
    <row r="338" ht="26.25" customHeight="1" s="251">
      <c r="A338" s="208" t="n"/>
      <c r="B338" s="208" t="n"/>
      <c r="C338" s="207" t="n"/>
      <c r="D338" s="207" t="n"/>
      <c r="E338" s="207" t="n"/>
      <c r="F338" s="207" t="n"/>
      <c r="G338" s="207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</row>
    <row r="339" ht="26.25" customHeight="1" s="251">
      <c r="A339" s="208" t="n"/>
      <c r="B339" s="208" t="n"/>
      <c r="C339" s="207" t="n"/>
      <c r="D339" s="207" t="n"/>
      <c r="E339" s="207" t="n"/>
      <c r="F339" s="207" t="n"/>
      <c r="G339" s="207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</row>
    <row r="340" ht="26.25" customHeight="1" s="251">
      <c r="A340" s="208" t="n"/>
      <c r="B340" s="208" t="n"/>
      <c r="C340" s="207" t="n"/>
      <c r="D340" s="207" t="n"/>
      <c r="E340" s="207" t="n"/>
      <c r="F340" s="207" t="n"/>
      <c r="G340" s="207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</row>
    <row r="341" ht="26.25" customHeight="1" s="251">
      <c r="A341" s="208" t="n"/>
      <c r="B341" s="208" t="n"/>
      <c r="C341" s="207" t="n"/>
      <c r="D341" s="207" t="n"/>
      <c r="E341" s="207" t="n"/>
      <c r="F341" s="207" t="n"/>
      <c r="G341" s="207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</row>
    <row r="342" ht="26.25" customHeight="1" s="251">
      <c r="A342" s="208" t="n"/>
      <c r="B342" s="208" t="n"/>
      <c r="C342" s="207" t="n"/>
      <c r="D342" s="207" t="n"/>
      <c r="E342" s="207" t="n"/>
      <c r="F342" s="207" t="n"/>
      <c r="G342" s="207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</row>
    <row r="343" ht="26.25" customHeight="1" s="251">
      <c r="A343" s="208" t="n"/>
      <c r="B343" s="208" t="n"/>
      <c r="C343" s="207" t="n"/>
      <c r="D343" s="207" t="n"/>
      <c r="E343" s="207" t="n"/>
      <c r="F343" s="207" t="n"/>
      <c r="G343" s="207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</row>
    <row r="344" ht="26.25" customHeight="1" s="251">
      <c r="A344" s="208" t="n"/>
      <c r="B344" s="208" t="n"/>
      <c r="C344" s="207" t="n"/>
      <c r="D344" s="207" t="n"/>
      <c r="E344" s="207" t="n"/>
      <c r="F344" s="207" t="n"/>
      <c r="G344" s="207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</row>
    <row r="345" ht="26.25" customHeight="1" s="251">
      <c r="A345" s="208" t="n"/>
      <c r="B345" s="208" t="n"/>
      <c r="C345" s="207" t="n"/>
      <c r="D345" s="207" t="n"/>
      <c r="E345" s="207" t="n"/>
      <c r="F345" s="207" t="n"/>
      <c r="G345" s="207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</row>
    <row r="346" ht="26.25" customHeight="1" s="251">
      <c r="A346" s="208" t="n"/>
      <c r="B346" s="208" t="n"/>
      <c r="C346" s="207" t="n"/>
      <c r="D346" s="207" t="n"/>
      <c r="E346" s="207" t="n"/>
      <c r="F346" s="207" t="n"/>
      <c r="G346" s="207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</row>
    <row r="347" ht="26.25" customHeight="1" s="251">
      <c r="A347" s="208" t="n"/>
      <c r="B347" s="208" t="n"/>
      <c r="C347" s="207" t="n"/>
      <c r="D347" s="207" t="n"/>
      <c r="E347" s="207" t="n"/>
      <c r="F347" s="207" t="n"/>
      <c r="G347" s="207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</row>
    <row r="348" ht="26.25" customHeight="1" s="251">
      <c r="A348" s="208" t="n"/>
      <c r="B348" s="208" t="n"/>
      <c r="C348" s="207" t="n"/>
      <c r="D348" s="207" t="n"/>
      <c r="E348" s="207" t="n"/>
      <c r="F348" s="207" t="n"/>
      <c r="G348" s="207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</row>
    <row r="349" ht="26.25" customHeight="1" s="251">
      <c r="A349" s="208" t="n"/>
      <c r="B349" s="208" t="n"/>
      <c r="C349" s="207" t="n"/>
      <c r="D349" s="207" t="n"/>
      <c r="E349" s="207" t="n"/>
      <c r="F349" s="207" t="n"/>
      <c r="G349" s="207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</row>
    <row r="350" ht="26.25" customHeight="1" s="251">
      <c r="A350" s="208" t="n"/>
      <c r="B350" s="208" t="n"/>
      <c r="C350" s="207" t="n"/>
      <c r="D350" s="207" t="n"/>
      <c r="E350" s="207" t="n"/>
      <c r="F350" s="207" t="n"/>
      <c r="G350" s="207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</row>
    <row r="351" ht="26.25" customHeight="1" s="251">
      <c r="A351" s="208" t="n"/>
      <c r="B351" s="208" t="n"/>
      <c r="C351" s="207" t="n"/>
      <c r="D351" s="207" t="n"/>
      <c r="E351" s="207" t="n"/>
      <c r="F351" s="207" t="n"/>
      <c r="G351" s="207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</row>
    <row r="352" ht="26.25" customHeight="1" s="251">
      <c r="A352" s="208" t="n"/>
      <c r="B352" s="208" t="n"/>
      <c r="C352" s="207" t="n"/>
      <c r="D352" s="207" t="n"/>
      <c r="E352" s="207" t="n"/>
      <c r="F352" s="207" t="n"/>
      <c r="G352" s="207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</row>
    <row r="353" ht="26.25" customHeight="1" s="251">
      <c r="A353" s="208" t="n"/>
      <c r="B353" s="208" t="n"/>
      <c r="C353" s="207" t="n"/>
      <c r="D353" s="207" t="n"/>
      <c r="E353" s="207" t="n"/>
      <c r="F353" s="207" t="n"/>
      <c r="G353" s="207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</row>
    <row r="354" ht="26.25" customHeight="1" s="251">
      <c r="A354" s="208" t="n"/>
      <c r="B354" s="208" t="n"/>
      <c r="C354" s="207" t="n"/>
      <c r="D354" s="207" t="n"/>
      <c r="E354" s="207" t="n"/>
      <c r="F354" s="207" t="n"/>
      <c r="G354" s="207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</row>
    <row r="355" ht="26.25" customHeight="1" s="251">
      <c r="A355" s="208" t="n"/>
      <c r="B355" s="208" t="n"/>
      <c r="C355" s="207" t="n"/>
      <c r="D355" s="207" t="n"/>
      <c r="E355" s="207" t="n"/>
      <c r="F355" s="207" t="n"/>
      <c r="G355" s="207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</row>
    <row r="356" ht="26.25" customHeight="1" s="251">
      <c r="A356" s="208" t="n"/>
      <c r="B356" s="208" t="n"/>
      <c r="C356" s="207" t="n"/>
      <c r="D356" s="207" t="n"/>
      <c r="E356" s="207" t="n"/>
      <c r="F356" s="207" t="n"/>
      <c r="G356" s="207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</row>
    <row r="357" ht="26.25" customHeight="1" s="251">
      <c r="A357" s="208" t="n"/>
      <c r="B357" s="208" t="n"/>
      <c r="C357" s="207" t="n"/>
      <c r="D357" s="207" t="n"/>
      <c r="E357" s="207" t="n"/>
      <c r="F357" s="207" t="n"/>
      <c r="G357" s="207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</row>
    <row r="358" ht="26.25" customHeight="1" s="251">
      <c r="A358" s="208" t="n"/>
      <c r="B358" s="208" t="n"/>
      <c r="C358" s="207" t="n"/>
      <c r="D358" s="207" t="n"/>
      <c r="E358" s="207" t="n"/>
      <c r="F358" s="207" t="n"/>
      <c r="G358" s="207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</row>
    <row r="359" ht="26.25" customHeight="1" s="251">
      <c r="A359" s="208" t="n"/>
      <c r="B359" s="208" t="n"/>
      <c r="C359" s="207" t="n"/>
      <c r="D359" s="207" t="n"/>
      <c r="E359" s="207" t="n"/>
      <c r="F359" s="207" t="n"/>
      <c r="G359" s="207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</row>
    <row r="360" ht="26.25" customHeight="1" s="251">
      <c r="A360" s="208" t="n"/>
      <c r="B360" s="208" t="n"/>
      <c r="C360" s="207" t="n"/>
      <c r="D360" s="207" t="n"/>
      <c r="E360" s="207" t="n"/>
      <c r="F360" s="207" t="n"/>
      <c r="G360" s="207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</row>
    <row r="361" ht="26.25" customHeight="1" s="251">
      <c r="A361" s="208" t="n"/>
      <c r="B361" s="208" t="n"/>
      <c r="C361" s="207" t="n"/>
      <c r="D361" s="207" t="n"/>
      <c r="E361" s="207" t="n"/>
      <c r="F361" s="207" t="n"/>
      <c r="G361" s="207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</row>
    <row r="362" ht="26.25" customHeight="1" s="251">
      <c r="A362" s="208" t="n"/>
      <c r="B362" s="208" t="n"/>
      <c r="C362" s="207" t="n"/>
      <c r="D362" s="207" t="n"/>
      <c r="E362" s="207" t="n"/>
      <c r="F362" s="207" t="n"/>
      <c r="G362" s="207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</row>
    <row r="363" ht="26.25" customHeight="1" s="251">
      <c r="A363" s="208" t="n"/>
      <c r="B363" s="208" t="n"/>
      <c r="C363" s="207" t="n"/>
      <c r="D363" s="207" t="n"/>
      <c r="E363" s="207" t="n"/>
      <c r="F363" s="207" t="n"/>
      <c r="G363" s="207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</row>
    <row r="364" ht="26.25" customHeight="1" s="251">
      <c r="A364" s="208" t="n"/>
      <c r="B364" s="208" t="n"/>
      <c r="C364" s="207" t="n"/>
      <c r="D364" s="207" t="n"/>
      <c r="E364" s="207" t="n"/>
      <c r="F364" s="207" t="n"/>
      <c r="G364" s="207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</row>
    <row r="365" ht="26.25" customHeight="1" s="251">
      <c r="A365" s="208" t="n"/>
      <c r="B365" s="208" t="n"/>
      <c r="C365" s="207" t="n"/>
      <c r="D365" s="207" t="n"/>
      <c r="E365" s="207" t="n"/>
      <c r="F365" s="207" t="n"/>
      <c r="G365" s="207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</row>
    <row r="366" ht="26.25" customHeight="1" s="251">
      <c r="A366" s="208" t="n"/>
      <c r="B366" s="208" t="n"/>
      <c r="C366" s="207" t="n"/>
      <c r="D366" s="207" t="n"/>
      <c r="E366" s="207" t="n"/>
      <c r="F366" s="207" t="n"/>
      <c r="G366" s="207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</row>
    <row r="367" ht="26.25" customHeight="1" s="251">
      <c r="A367" s="208" t="n"/>
      <c r="B367" s="208" t="n"/>
      <c r="C367" s="207" t="n"/>
      <c r="D367" s="207" t="n"/>
      <c r="E367" s="207" t="n"/>
      <c r="F367" s="207" t="n"/>
      <c r="G367" s="207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</row>
    <row r="368" ht="26.25" customHeight="1" s="251">
      <c r="A368" s="208" t="n"/>
      <c r="B368" s="208" t="n"/>
      <c r="C368" s="207" t="n"/>
      <c r="D368" s="207" t="n"/>
      <c r="E368" s="207" t="n"/>
      <c r="F368" s="207" t="n"/>
      <c r="G368" s="207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</row>
    <row r="369" ht="26.25" customHeight="1" s="251">
      <c r="A369" s="208" t="n"/>
      <c r="B369" s="208" t="n"/>
      <c r="C369" s="207" t="n"/>
      <c r="D369" s="207" t="n"/>
      <c r="E369" s="207" t="n"/>
      <c r="F369" s="207" t="n"/>
      <c r="G369" s="207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</row>
    <row r="370" ht="26.25" customHeight="1" s="251">
      <c r="A370" s="208" t="n"/>
      <c r="B370" s="208" t="n"/>
      <c r="C370" s="207" t="n"/>
      <c r="D370" s="207" t="n"/>
      <c r="E370" s="207" t="n"/>
      <c r="F370" s="207" t="n"/>
      <c r="G370" s="207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</row>
    <row r="371" ht="26.25" customHeight="1" s="251">
      <c r="A371" s="208" t="n"/>
      <c r="B371" s="208" t="n"/>
      <c r="C371" s="207" t="n"/>
      <c r="D371" s="207" t="n"/>
      <c r="E371" s="207" t="n"/>
      <c r="F371" s="207" t="n"/>
      <c r="G371" s="207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</row>
    <row r="372" ht="26.25" customHeight="1" s="251">
      <c r="A372" s="208" t="n"/>
      <c r="B372" s="208" t="n"/>
      <c r="C372" s="207" t="n"/>
      <c r="D372" s="207" t="n"/>
      <c r="E372" s="207" t="n"/>
      <c r="F372" s="207" t="n"/>
      <c r="G372" s="207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</row>
    <row r="373" ht="26.25" customHeight="1" s="251">
      <c r="A373" s="208" t="n"/>
      <c r="B373" s="208" t="n"/>
      <c r="C373" s="207" t="n"/>
      <c r="D373" s="207" t="n"/>
      <c r="E373" s="207" t="n"/>
      <c r="F373" s="207" t="n"/>
      <c r="G373" s="207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</row>
    <row r="374" ht="26.25" customHeight="1" s="251">
      <c r="A374" s="208" t="n"/>
      <c r="B374" s="208" t="n"/>
      <c r="C374" s="207" t="n"/>
      <c r="D374" s="207" t="n"/>
      <c r="E374" s="207" t="n"/>
      <c r="F374" s="207" t="n"/>
      <c r="G374" s="207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</row>
    <row r="375" ht="26.25" customHeight="1" s="251">
      <c r="A375" s="208" t="n"/>
      <c r="B375" s="208" t="n"/>
      <c r="C375" s="207" t="n"/>
      <c r="D375" s="207" t="n"/>
      <c r="E375" s="207" t="n"/>
      <c r="F375" s="207" t="n"/>
      <c r="G375" s="207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</row>
    <row r="376" ht="26.25" customHeight="1" s="251">
      <c r="A376" s="208" t="n"/>
      <c r="B376" s="208" t="n"/>
      <c r="C376" s="207" t="n"/>
      <c r="D376" s="207" t="n"/>
      <c r="E376" s="207" t="n"/>
      <c r="F376" s="207" t="n"/>
      <c r="G376" s="207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</row>
    <row r="377" ht="26.25" customHeight="1" s="251">
      <c r="A377" s="208" t="n"/>
      <c r="B377" s="208" t="n"/>
      <c r="C377" s="207" t="n"/>
      <c r="D377" s="207" t="n"/>
      <c r="E377" s="207" t="n"/>
      <c r="F377" s="207" t="n"/>
      <c r="G377" s="207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</row>
    <row r="378" ht="26.25" customHeight="1" s="251">
      <c r="A378" s="208" t="n"/>
      <c r="B378" s="208" t="n"/>
      <c r="C378" s="207" t="n"/>
      <c r="D378" s="207" t="n"/>
      <c r="E378" s="207" t="n"/>
      <c r="F378" s="207" t="n"/>
      <c r="G378" s="207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</row>
    <row r="379" ht="26.25" customHeight="1" s="251">
      <c r="A379" s="208" t="n"/>
      <c r="B379" s="208" t="n"/>
      <c r="C379" s="207" t="n"/>
      <c r="D379" s="207" t="n"/>
      <c r="E379" s="207" t="n"/>
      <c r="F379" s="207" t="n"/>
      <c r="G379" s="207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</row>
    <row r="380" ht="26.25" customHeight="1" s="251">
      <c r="A380" s="208" t="n"/>
      <c r="B380" s="208" t="n"/>
      <c r="C380" s="207" t="n"/>
      <c r="D380" s="207" t="n"/>
      <c r="E380" s="207" t="n"/>
      <c r="F380" s="207" t="n"/>
      <c r="G380" s="207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</row>
    <row r="381" ht="26.25" customHeight="1" s="251">
      <c r="A381" s="208" t="n"/>
      <c r="B381" s="208" t="n"/>
      <c r="C381" s="207" t="n"/>
      <c r="D381" s="207" t="n"/>
      <c r="E381" s="207" t="n"/>
      <c r="F381" s="207" t="n"/>
      <c r="G381" s="207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</row>
    <row r="382" ht="26.25" customHeight="1" s="251">
      <c r="A382" s="208" t="n"/>
      <c r="B382" s="208" t="n"/>
      <c r="C382" s="207" t="n"/>
      <c r="D382" s="207" t="n"/>
      <c r="E382" s="207" t="n"/>
      <c r="F382" s="207" t="n"/>
      <c r="G382" s="207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</row>
    <row r="383" ht="26.25" customHeight="1" s="251">
      <c r="A383" s="208" t="n"/>
      <c r="B383" s="208" t="n"/>
      <c r="C383" s="207" t="n"/>
      <c r="D383" s="207" t="n"/>
      <c r="E383" s="207" t="n"/>
      <c r="F383" s="207" t="n"/>
      <c r="G383" s="207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</row>
    <row r="384" ht="26.25" customHeight="1" s="251">
      <c r="A384" s="208" t="n"/>
      <c r="B384" s="208" t="n"/>
      <c r="C384" s="207" t="n"/>
      <c r="D384" s="207" t="n"/>
      <c r="E384" s="207" t="n"/>
      <c r="F384" s="207" t="n"/>
      <c r="G384" s="207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</row>
    <row r="385" ht="26.25" customHeight="1" s="251">
      <c r="A385" s="208" t="n"/>
      <c r="B385" s="208" t="n"/>
      <c r="C385" s="207" t="n"/>
      <c r="D385" s="207" t="n"/>
      <c r="E385" s="207" t="n"/>
      <c r="F385" s="207" t="n"/>
      <c r="G385" s="207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</row>
    <row r="386" ht="26.25" customHeight="1" s="251">
      <c r="A386" s="208" t="n"/>
      <c r="B386" s="208" t="n"/>
      <c r="C386" s="207" t="n"/>
      <c r="D386" s="207" t="n"/>
      <c r="E386" s="207" t="n"/>
      <c r="F386" s="207" t="n"/>
      <c r="G386" s="207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</row>
    <row r="387" ht="26.25" customHeight="1" s="251">
      <c r="A387" s="208" t="n"/>
      <c r="B387" s="208" t="n"/>
      <c r="C387" s="207" t="n"/>
      <c r="D387" s="207" t="n"/>
      <c r="E387" s="207" t="n"/>
      <c r="F387" s="207" t="n"/>
      <c r="G387" s="207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</row>
    <row r="388" ht="26.25" customHeight="1" s="251">
      <c r="A388" s="208" t="n"/>
      <c r="B388" s="208" t="n"/>
      <c r="C388" s="207" t="n"/>
      <c r="D388" s="207" t="n"/>
      <c r="E388" s="207" t="n"/>
      <c r="F388" s="207" t="n"/>
      <c r="G388" s="207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</row>
    <row r="389" ht="26.25" customHeight="1" s="251">
      <c r="A389" s="208" t="n"/>
      <c r="B389" s="208" t="n"/>
      <c r="C389" s="207" t="n"/>
      <c r="D389" s="207" t="n"/>
      <c r="E389" s="207" t="n"/>
      <c r="F389" s="207" t="n"/>
      <c r="G389" s="207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</row>
    <row r="390" ht="26.25" customHeight="1" s="251">
      <c r="A390" s="208" t="n"/>
      <c r="B390" s="208" t="n"/>
      <c r="C390" s="207" t="n"/>
      <c r="D390" s="207" t="n"/>
      <c r="E390" s="207" t="n"/>
      <c r="F390" s="207" t="n"/>
      <c r="G390" s="207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</row>
    <row r="391" ht="26.25" customHeight="1" s="251">
      <c r="A391" s="208" t="n"/>
      <c r="B391" s="208" t="n"/>
      <c r="C391" s="207" t="n"/>
      <c r="D391" s="207" t="n"/>
      <c r="E391" s="207" t="n"/>
      <c r="F391" s="207" t="n"/>
      <c r="G391" s="207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</row>
    <row r="392" ht="26.25" customHeight="1" s="251">
      <c r="A392" s="208" t="n"/>
      <c r="B392" s="208" t="n"/>
      <c r="C392" s="207" t="n"/>
      <c r="D392" s="207" t="n"/>
      <c r="E392" s="207" t="n"/>
      <c r="F392" s="207" t="n"/>
      <c r="G392" s="207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</row>
    <row r="393" ht="26.25" customHeight="1" s="251">
      <c r="A393" s="208" t="n"/>
      <c r="B393" s="208" t="n"/>
      <c r="C393" s="207" t="n"/>
      <c r="D393" s="207" t="n"/>
      <c r="E393" s="207" t="n"/>
      <c r="F393" s="207" t="n"/>
      <c r="G393" s="207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</row>
    <row r="394" ht="26.25" customHeight="1" s="251">
      <c r="A394" s="208" t="n"/>
      <c r="B394" s="208" t="n"/>
      <c r="C394" s="207" t="n"/>
      <c r="D394" s="207" t="n"/>
      <c r="E394" s="207" t="n"/>
      <c r="F394" s="207" t="n"/>
      <c r="G394" s="207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</row>
    <row r="395" ht="26.25" customHeight="1" s="251">
      <c r="A395" s="208" t="n"/>
      <c r="B395" s="208" t="n"/>
      <c r="C395" s="207" t="n"/>
      <c r="D395" s="207" t="n"/>
      <c r="E395" s="207" t="n"/>
      <c r="F395" s="207" t="n"/>
      <c r="G395" s="207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</row>
    <row r="396" ht="26.25" customHeight="1" s="251">
      <c r="A396" s="208" t="n"/>
      <c r="B396" s="208" t="n"/>
      <c r="C396" s="207" t="n"/>
      <c r="D396" s="207" t="n"/>
      <c r="E396" s="207" t="n"/>
      <c r="F396" s="207" t="n"/>
      <c r="G396" s="207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</row>
    <row r="397" ht="26.25" customHeight="1" s="251">
      <c r="A397" s="208" t="n"/>
      <c r="B397" s="208" t="n"/>
      <c r="C397" s="207" t="n"/>
      <c r="D397" s="207" t="n"/>
      <c r="E397" s="207" t="n"/>
      <c r="F397" s="207" t="n"/>
      <c r="G397" s="207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</row>
    <row r="398" ht="26.25" customHeight="1" s="251">
      <c r="A398" s="208" t="n"/>
      <c r="B398" s="208" t="n"/>
      <c r="C398" s="207" t="n"/>
      <c r="D398" s="207" t="n"/>
      <c r="E398" s="207" t="n"/>
      <c r="F398" s="207" t="n"/>
      <c r="G398" s="207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</row>
    <row r="399" ht="26.25" customHeight="1" s="251">
      <c r="A399" s="208" t="n"/>
      <c r="B399" s="208" t="n"/>
      <c r="C399" s="207" t="n"/>
      <c r="D399" s="207" t="n"/>
      <c r="E399" s="207" t="n"/>
      <c r="F399" s="207" t="n"/>
      <c r="G399" s="207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</row>
    <row r="400" ht="26.25" customHeight="1" s="251">
      <c r="A400" s="208" t="n"/>
      <c r="B400" s="208" t="n"/>
      <c r="C400" s="207" t="n"/>
      <c r="D400" s="207" t="n"/>
      <c r="E400" s="207" t="n"/>
      <c r="F400" s="207" t="n"/>
      <c r="G400" s="207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</row>
    <row r="401" ht="26.25" customHeight="1" s="251">
      <c r="A401" s="208" t="n"/>
      <c r="B401" s="208" t="n"/>
      <c r="C401" s="207" t="n"/>
      <c r="D401" s="207" t="n"/>
      <c r="E401" s="207" t="n"/>
      <c r="F401" s="207" t="n"/>
      <c r="G401" s="207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</row>
    <row r="402" ht="26.25" customHeight="1" s="251">
      <c r="A402" s="208" t="n"/>
      <c r="B402" s="208" t="n"/>
      <c r="C402" s="207" t="n"/>
      <c r="D402" s="207" t="n"/>
      <c r="E402" s="207" t="n"/>
      <c r="F402" s="207" t="n"/>
      <c r="G402" s="207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</row>
    <row r="403" ht="26.25" customHeight="1" s="251">
      <c r="A403" s="208" t="n"/>
      <c r="B403" s="208" t="n"/>
      <c r="C403" s="207" t="n"/>
      <c r="D403" s="207" t="n"/>
      <c r="E403" s="207" t="n"/>
      <c r="F403" s="207" t="n"/>
      <c r="G403" s="207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</row>
    <row r="404" ht="26.25" customHeight="1" s="251">
      <c r="A404" s="208" t="n"/>
      <c r="B404" s="208" t="n"/>
      <c r="C404" s="207" t="n"/>
      <c r="D404" s="207" t="n"/>
      <c r="E404" s="207" t="n"/>
      <c r="F404" s="207" t="n"/>
      <c r="G404" s="207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</row>
    <row r="405" ht="26.25" customHeight="1" s="251">
      <c r="A405" s="208" t="n"/>
      <c r="B405" s="208" t="n"/>
      <c r="C405" s="207" t="n"/>
      <c r="D405" s="207" t="n"/>
      <c r="E405" s="207" t="n"/>
      <c r="F405" s="207" t="n"/>
      <c r="G405" s="207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</row>
    <row r="406" ht="26.25" customHeight="1" s="251">
      <c r="A406" s="208" t="n"/>
      <c r="B406" s="208" t="n"/>
      <c r="C406" s="207" t="n"/>
      <c r="D406" s="207" t="n"/>
      <c r="E406" s="207" t="n"/>
      <c r="F406" s="207" t="n"/>
      <c r="G406" s="207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</row>
    <row r="407" ht="26.25" customHeight="1" s="251">
      <c r="A407" s="208" t="n"/>
      <c r="B407" s="208" t="n"/>
      <c r="C407" s="207" t="n"/>
      <c r="D407" s="207" t="n"/>
      <c r="E407" s="207" t="n"/>
      <c r="F407" s="207" t="n"/>
      <c r="G407" s="207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</row>
    <row r="408" ht="26.25" customHeight="1" s="251">
      <c r="A408" s="208" t="n"/>
      <c r="B408" s="208" t="n"/>
      <c r="C408" s="207" t="n"/>
      <c r="D408" s="207" t="n"/>
      <c r="E408" s="207" t="n"/>
      <c r="F408" s="207" t="n"/>
      <c r="G408" s="207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</row>
    <row r="409" ht="26.25" customHeight="1" s="251">
      <c r="A409" s="208" t="n"/>
      <c r="B409" s="208" t="n"/>
      <c r="C409" s="207" t="n"/>
      <c r="D409" s="207" t="n"/>
      <c r="E409" s="207" t="n"/>
      <c r="F409" s="207" t="n"/>
      <c r="G409" s="207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</row>
    <row r="410" ht="26.25" customHeight="1" s="251">
      <c r="A410" s="208" t="n"/>
      <c r="B410" s="208" t="n"/>
      <c r="C410" s="207" t="n"/>
      <c r="D410" s="207" t="n"/>
      <c r="E410" s="207" t="n"/>
      <c r="F410" s="207" t="n"/>
      <c r="G410" s="207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</row>
    <row r="411" ht="26.25" customHeight="1" s="251">
      <c r="A411" s="208" t="n"/>
      <c r="B411" s="208" t="n"/>
      <c r="C411" s="207" t="n"/>
      <c r="D411" s="207" t="n"/>
      <c r="E411" s="207" t="n"/>
      <c r="F411" s="207" t="n"/>
      <c r="G411" s="207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</row>
    <row r="412" ht="26.25" customHeight="1" s="251">
      <c r="A412" s="208" t="n"/>
      <c r="B412" s="208" t="n"/>
      <c r="C412" s="207" t="n"/>
      <c r="D412" s="207" t="n"/>
      <c r="E412" s="207" t="n"/>
      <c r="F412" s="207" t="n"/>
      <c r="G412" s="207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</row>
    <row r="413" ht="26.25" customHeight="1" s="251">
      <c r="A413" s="208" t="n"/>
      <c r="B413" s="208" t="n"/>
      <c r="C413" s="207" t="n"/>
      <c r="D413" s="207" t="n"/>
      <c r="E413" s="207" t="n"/>
      <c r="F413" s="207" t="n"/>
      <c r="G413" s="207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</row>
    <row r="414" ht="26.25" customHeight="1" s="251">
      <c r="A414" s="208" t="n"/>
      <c r="B414" s="208" t="n"/>
      <c r="C414" s="207" t="n"/>
      <c r="D414" s="207" t="n"/>
      <c r="E414" s="207" t="n"/>
      <c r="F414" s="207" t="n"/>
      <c r="G414" s="207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</row>
    <row r="415" ht="26.25" customHeight="1" s="251">
      <c r="A415" s="208" t="n"/>
      <c r="B415" s="208" t="n"/>
      <c r="C415" s="207" t="n"/>
      <c r="D415" s="207" t="n"/>
      <c r="E415" s="207" t="n"/>
      <c r="F415" s="207" t="n"/>
      <c r="G415" s="207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</row>
    <row r="416" ht="26.25" customHeight="1" s="251">
      <c r="A416" s="208" t="n"/>
      <c r="B416" s="208" t="n"/>
      <c r="C416" s="207" t="n"/>
      <c r="D416" s="207" t="n"/>
      <c r="E416" s="207" t="n"/>
      <c r="F416" s="207" t="n"/>
      <c r="G416" s="207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</row>
    <row r="417" ht="26.25" customHeight="1" s="251">
      <c r="A417" s="208" t="n"/>
      <c r="B417" s="208" t="n"/>
      <c r="C417" s="207" t="n"/>
      <c r="D417" s="207" t="n"/>
      <c r="E417" s="207" t="n"/>
      <c r="F417" s="207" t="n"/>
      <c r="G417" s="207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</row>
    <row r="418" ht="26.25" customHeight="1" s="251">
      <c r="A418" s="208" t="n"/>
      <c r="B418" s="208" t="n"/>
      <c r="C418" s="207" t="n"/>
      <c r="D418" s="207" t="n"/>
      <c r="E418" s="207" t="n"/>
      <c r="F418" s="207" t="n"/>
      <c r="G418" s="207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</row>
    <row r="419" ht="26.25" customHeight="1" s="251">
      <c r="A419" s="208" t="n"/>
      <c r="B419" s="208" t="n"/>
      <c r="C419" s="207" t="n"/>
      <c r="D419" s="207" t="n"/>
      <c r="E419" s="207" t="n"/>
      <c r="F419" s="207" t="n"/>
      <c r="G419" s="207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</row>
    <row r="420" ht="26.25" customHeight="1" s="251">
      <c r="A420" s="208" t="n"/>
      <c r="B420" s="208" t="n"/>
      <c r="C420" s="207" t="n"/>
      <c r="D420" s="207" t="n"/>
      <c r="E420" s="207" t="n"/>
      <c r="F420" s="207" t="n"/>
      <c r="G420" s="207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</row>
    <row r="421" ht="26.25" customHeight="1" s="251">
      <c r="A421" s="208" t="n"/>
      <c r="B421" s="208" t="n"/>
      <c r="C421" s="207" t="n"/>
      <c r="D421" s="207" t="n"/>
      <c r="E421" s="207" t="n"/>
      <c r="F421" s="207" t="n"/>
      <c r="G421" s="207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</row>
    <row r="422" ht="26.25" customHeight="1" s="251">
      <c r="A422" s="208" t="n"/>
      <c r="B422" s="208" t="n"/>
      <c r="C422" s="207" t="n"/>
      <c r="D422" s="207" t="n"/>
      <c r="E422" s="207" t="n"/>
      <c r="F422" s="207" t="n"/>
      <c r="G422" s="207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</row>
    <row r="423" ht="26.25" customHeight="1" s="251">
      <c r="A423" s="208" t="n"/>
      <c r="B423" s="208" t="n"/>
      <c r="C423" s="207" t="n"/>
      <c r="D423" s="207" t="n"/>
      <c r="E423" s="207" t="n"/>
      <c r="F423" s="207" t="n"/>
      <c r="G423" s="207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</row>
    <row r="424" ht="26.25" customHeight="1" s="251">
      <c r="A424" s="208" t="n"/>
      <c r="B424" s="208" t="n"/>
      <c r="C424" s="207" t="n"/>
      <c r="D424" s="207" t="n"/>
      <c r="E424" s="207" t="n"/>
      <c r="F424" s="207" t="n"/>
      <c r="G424" s="207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</row>
    <row r="425" ht="26.25" customHeight="1" s="251">
      <c r="A425" s="208" t="n"/>
      <c r="B425" s="208" t="n"/>
      <c r="C425" s="207" t="n"/>
      <c r="D425" s="207" t="n"/>
      <c r="E425" s="207" t="n"/>
      <c r="F425" s="207" t="n"/>
      <c r="G425" s="207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</row>
    <row r="426" ht="26.25" customHeight="1" s="251">
      <c r="A426" s="208" t="n"/>
      <c r="B426" s="208" t="n"/>
      <c r="C426" s="207" t="n"/>
      <c r="D426" s="207" t="n"/>
      <c r="E426" s="207" t="n"/>
      <c r="F426" s="207" t="n"/>
      <c r="G426" s="207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</row>
    <row r="427" ht="26.25" customHeight="1" s="251">
      <c r="A427" s="208" t="n"/>
      <c r="B427" s="208" t="n"/>
      <c r="C427" s="207" t="n"/>
      <c r="D427" s="207" t="n"/>
      <c r="E427" s="207" t="n"/>
      <c r="F427" s="207" t="n"/>
      <c r="G427" s="207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</row>
    <row r="428" ht="26.25" customHeight="1" s="251">
      <c r="A428" s="208" t="n"/>
      <c r="B428" s="208" t="n"/>
      <c r="C428" s="207" t="n"/>
      <c r="D428" s="207" t="n"/>
      <c r="E428" s="207" t="n"/>
      <c r="F428" s="207" t="n"/>
      <c r="G428" s="207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</row>
    <row r="429" ht="26.25" customHeight="1" s="251">
      <c r="A429" s="208" t="n"/>
      <c r="B429" s="208" t="n"/>
      <c r="C429" s="207" t="n"/>
      <c r="D429" s="207" t="n"/>
      <c r="E429" s="207" t="n"/>
      <c r="F429" s="207" t="n"/>
      <c r="G429" s="207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</row>
    <row r="430" ht="26.25" customHeight="1" s="251">
      <c r="A430" s="208" t="n"/>
      <c r="B430" s="208" t="n"/>
      <c r="C430" s="207" t="n"/>
      <c r="D430" s="207" t="n"/>
      <c r="E430" s="207" t="n"/>
      <c r="F430" s="207" t="n"/>
      <c r="G430" s="207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</row>
    <row r="431" ht="26.25" customHeight="1" s="251">
      <c r="A431" s="208" t="n"/>
      <c r="B431" s="208" t="n"/>
      <c r="C431" s="207" t="n"/>
      <c r="D431" s="207" t="n"/>
      <c r="E431" s="207" t="n"/>
      <c r="F431" s="207" t="n"/>
      <c r="G431" s="207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</row>
    <row r="432" ht="26.25" customHeight="1" s="251">
      <c r="A432" s="208" t="n"/>
      <c r="B432" s="208" t="n"/>
      <c r="C432" s="207" t="n"/>
      <c r="D432" s="207" t="n"/>
      <c r="E432" s="207" t="n"/>
      <c r="F432" s="207" t="n"/>
      <c r="G432" s="207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</row>
    <row r="433" ht="26.25" customHeight="1" s="251">
      <c r="A433" s="208" t="n"/>
      <c r="B433" s="208" t="n"/>
      <c r="C433" s="207" t="n"/>
      <c r="D433" s="207" t="n"/>
      <c r="E433" s="207" t="n"/>
      <c r="F433" s="207" t="n"/>
      <c r="G433" s="207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</row>
    <row r="434" ht="26.25" customHeight="1" s="251">
      <c r="A434" s="208" t="n"/>
      <c r="B434" s="208" t="n"/>
      <c r="C434" s="207" t="n"/>
      <c r="D434" s="207" t="n"/>
      <c r="E434" s="207" t="n"/>
      <c r="F434" s="207" t="n"/>
      <c r="G434" s="207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</row>
    <row r="435" ht="26.25" customHeight="1" s="251">
      <c r="A435" s="208" t="n"/>
      <c r="B435" s="208" t="n"/>
      <c r="C435" s="207" t="n"/>
      <c r="D435" s="207" t="n"/>
      <c r="E435" s="207" t="n"/>
      <c r="F435" s="207" t="n"/>
      <c r="G435" s="207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</row>
    <row r="436" ht="26.25" customHeight="1" s="251">
      <c r="A436" s="208" t="n"/>
      <c r="B436" s="208" t="n"/>
      <c r="C436" s="207" t="n"/>
      <c r="D436" s="207" t="n"/>
      <c r="E436" s="207" t="n"/>
      <c r="F436" s="207" t="n"/>
      <c r="G436" s="207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</row>
    <row r="437" ht="26.25" customHeight="1" s="251">
      <c r="A437" s="208" t="n"/>
      <c r="B437" s="208" t="n"/>
      <c r="C437" s="207" t="n"/>
      <c r="D437" s="207" t="n"/>
      <c r="E437" s="207" t="n"/>
      <c r="F437" s="207" t="n"/>
      <c r="G437" s="207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</row>
    <row r="438" ht="26.25" customHeight="1" s="251">
      <c r="A438" s="208" t="n"/>
      <c r="B438" s="208" t="n"/>
      <c r="C438" s="207" t="n"/>
      <c r="D438" s="207" t="n"/>
      <c r="E438" s="207" t="n"/>
      <c r="F438" s="207" t="n"/>
      <c r="G438" s="207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</row>
    <row r="439" ht="26.25" customHeight="1" s="251">
      <c r="A439" s="208" t="n"/>
      <c r="B439" s="208" t="n"/>
      <c r="C439" s="207" t="n"/>
      <c r="D439" s="207" t="n"/>
      <c r="E439" s="207" t="n"/>
      <c r="F439" s="207" t="n"/>
      <c r="G439" s="207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</row>
    <row r="440" ht="26.25" customHeight="1" s="251">
      <c r="A440" s="208" t="n"/>
      <c r="B440" s="208" t="n"/>
      <c r="C440" s="207" t="n"/>
      <c r="D440" s="207" t="n"/>
      <c r="E440" s="207" t="n"/>
      <c r="F440" s="207" t="n"/>
      <c r="G440" s="207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</row>
    <row r="441" ht="26.25" customHeight="1" s="251">
      <c r="A441" s="208" t="n"/>
      <c r="B441" s="208" t="n"/>
      <c r="C441" s="207" t="n"/>
      <c r="D441" s="207" t="n"/>
      <c r="E441" s="207" t="n"/>
      <c r="F441" s="207" t="n"/>
      <c r="G441" s="207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</row>
    <row r="442" ht="26.25" customHeight="1" s="251">
      <c r="A442" s="208" t="n"/>
      <c r="B442" s="208" t="n"/>
      <c r="C442" s="207" t="n"/>
      <c r="D442" s="207" t="n"/>
      <c r="E442" s="207" t="n"/>
      <c r="F442" s="207" t="n"/>
      <c r="G442" s="207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</row>
    <row r="443" ht="26.25" customHeight="1" s="251">
      <c r="A443" s="208" t="n"/>
      <c r="B443" s="208" t="n"/>
      <c r="C443" s="207" t="n"/>
      <c r="D443" s="207" t="n"/>
      <c r="E443" s="207" t="n"/>
      <c r="F443" s="207" t="n"/>
      <c r="G443" s="207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</row>
    <row r="444" ht="26.25" customHeight="1" s="251">
      <c r="A444" s="208" t="n"/>
      <c r="B444" s="208" t="n"/>
      <c r="C444" s="207" t="n"/>
      <c r="D444" s="207" t="n"/>
      <c r="E444" s="207" t="n"/>
      <c r="F444" s="207" t="n"/>
      <c r="G444" s="207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</row>
    <row r="445" ht="26.25" customHeight="1" s="251">
      <c r="A445" s="208" t="n"/>
      <c r="B445" s="208" t="n"/>
      <c r="C445" s="207" t="n"/>
      <c r="D445" s="207" t="n"/>
      <c r="E445" s="207" t="n"/>
      <c r="F445" s="207" t="n"/>
      <c r="G445" s="207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</row>
    <row r="446" ht="26.25" customHeight="1" s="251">
      <c r="A446" s="208" t="n"/>
      <c r="B446" s="208" t="n"/>
      <c r="C446" s="207" t="n"/>
      <c r="D446" s="207" t="n"/>
      <c r="E446" s="207" t="n"/>
      <c r="F446" s="207" t="n"/>
      <c r="G446" s="207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</row>
    <row r="447" ht="26.25" customHeight="1" s="251">
      <c r="A447" s="208" t="n"/>
      <c r="B447" s="208" t="n"/>
      <c r="C447" s="207" t="n"/>
      <c r="D447" s="207" t="n"/>
      <c r="E447" s="207" t="n"/>
      <c r="F447" s="207" t="n"/>
      <c r="G447" s="207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</row>
    <row r="448" ht="26.25" customHeight="1" s="251">
      <c r="A448" s="208" t="n"/>
      <c r="B448" s="208" t="n"/>
      <c r="C448" s="207" t="n"/>
      <c r="D448" s="207" t="n"/>
      <c r="E448" s="207" t="n"/>
      <c r="F448" s="207" t="n"/>
      <c r="G448" s="207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</row>
    <row r="449" ht="26.25" customHeight="1" s="251">
      <c r="A449" s="208" t="n"/>
      <c r="B449" s="208" t="n"/>
      <c r="C449" s="207" t="n"/>
      <c r="D449" s="207" t="n"/>
      <c r="E449" s="207" t="n"/>
      <c r="F449" s="207" t="n"/>
      <c r="G449" s="207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</row>
    <row r="450" ht="26.25" customHeight="1" s="251">
      <c r="A450" s="208" t="n"/>
      <c r="B450" s="208" t="n"/>
      <c r="C450" s="207" t="n"/>
      <c r="D450" s="207" t="n"/>
      <c r="E450" s="207" t="n"/>
      <c r="F450" s="207" t="n"/>
      <c r="G450" s="207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</row>
    <row r="451" ht="26.25" customHeight="1" s="251">
      <c r="A451" s="208" t="n"/>
      <c r="B451" s="208" t="n"/>
      <c r="C451" s="207" t="n"/>
      <c r="D451" s="207" t="n"/>
      <c r="E451" s="207" t="n"/>
      <c r="F451" s="207" t="n"/>
      <c r="G451" s="207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</row>
    <row r="452" ht="26.25" customHeight="1" s="251">
      <c r="A452" s="208" t="n"/>
      <c r="B452" s="208" t="n"/>
      <c r="C452" s="207" t="n"/>
      <c r="D452" s="207" t="n"/>
      <c r="E452" s="207" t="n"/>
      <c r="F452" s="207" t="n"/>
      <c r="G452" s="207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</row>
    <row r="453" ht="26.25" customHeight="1" s="251">
      <c r="A453" s="208" t="n"/>
      <c r="B453" s="208" t="n"/>
      <c r="C453" s="207" t="n"/>
      <c r="D453" s="207" t="n"/>
      <c r="E453" s="207" t="n"/>
      <c r="F453" s="207" t="n"/>
      <c r="G453" s="207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</row>
    <row r="454" ht="26.25" customHeight="1" s="251">
      <c r="A454" s="208" t="n"/>
      <c r="B454" s="208" t="n"/>
      <c r="C454" s="207" t="n"/>
      <c r="D454" s="207" t="n"/>
      <c r="E454" s="207" t="n"/>
      <c r="F454" s="207" t="n"/>
      <c r="G454" s="207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</row>
    <row r="455" ht="26.25" customHeight="1" s="251">
      <c r="A455" s="208" t="n"/>
      <c r="B455" s="208" t="n"/>
      <c r="C455" s="207" t="n"/>
      <c r="D455" s="207" t="n"/>
      <c r="E455" s="207" t="n"/>
      <c r="F455" s="207" t="n"/>
      <c r="G455" s="207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</row>
    <row r="456" ht="26.25" customHeight="1" s="251">
      <c r="A456" s="208" t="n"/>
      <c r="B456" s="208" t="n"/>
      <c r="C456" s="207" t="n"/>
      <c r="D456" s="207" t="n"/>
      <c r="E456" s="207" t="n"/>
      <c r="F456" s="207" t="n"/>
      <c r="G456" s="207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</row>
    <row r="457" ht="26.25" customHeight="1" s="251">
      <c r="A457" s="208" t="n"/>
      <c r="B457" s="208" t="n"/>
      <c r="C457" s="207" t="n"/>
      <c r="D457" s="207" t="n"/>
      <c r="E457" s="207" t="n"/>
      <c r="F457" s="207" t="n"/>
      <c r="G457" s="207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</row>
    <row r="458" ht="26.25" customHeight="1" s="251">
      <c r="A458" s="208" t="n"/>
      <c r="B458" s="208" t="n"/>
      <c r="C458" s="207" t="n"/>
      <c r="D458" s="207" t="n"/>
      <c r="E458" s="207" t="n"/>
      <c r="F458" s="207" t="n"/>
      <c r="G458" s="207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</row>
    <row r="459" ht="26.25" customHeight="1" s="251">
      <c r="A459" s="208" t="n"/>
      <c r="B459" s="208" t="n"/>
      <c r="C459" s="207" t="n"/>
      <c r="D459" s="207" t="n"/>
      <c r="E459" s="207" t="n"/>
      <c r="F459" s="207" t="n"/>
      <c r="G459" s="207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</row>
    <row r="460" ht="26.25" customHeight="1" s="251">
      <c r="A460" s="208" t="n"/>
      <c r="B460" s="208" t="n"/>
      <c r="C460" s="207" t="n"/>
      <c r="D460" s="207" t="n"/>
      <c r="E460" s="207" t="n"/>
      <c r="F460" s="207" t="n"/>
      <c r="G460" s="207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</row>
    <row r="461" ht="26.25" customHeight="1" s="251">
      <c r="A461" s="208" t="n"/>
      <c r="B461" s="208" t="n"/>
      <c r="C461" s="207" t="n"/>
      <c r="D461" s="207" t="n"/>
      <c r="E461" s="207" t="n"/>
      <c r="F461" s="207" t="n"/>
      <c r="G461" s="207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</row>
    <row r="462" ht="26.25" customHeight="1" s="251">
      <c r="A462" s="208" t="n"/>
      <c r="B462" s="208" t="n"/>
      <c r="C462" s="207" t="n"/>
      <c r="D462" s="207" t="n"/>
      <c r="E462" s="207" t="n"/>
      <c r="F462" s="207" t="n"/>
      <c r="G462" s="207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</row>
    <row r="463" ht="26.25" customHeight="1" s="251">
      <c r="A463" s="208" t="n"/>
      <c r="B463" s="208" t="n"/>
      <c r="C463" s="207" t="n"/>
      <c r="D463" s="207" t="n"/>
      <c r="E463" s="207" t="n"/>
      <c r="F463" s="207" t="n"/>
      <c r="G463" s="207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</row>
    <row r="464" ht="26.25" customHeight="1" s="251">
      <c r="A464" s="208" t="n"/>
      <c r="B464" s="208" t="n"/>
      <c r="C464" s="207" t="n"/>
      <c r="D464" s="207" t="n"/>
      <c r="E464" s="207" t="n"/>
      <c r="F464" s="207" t="n"/>
      <c r="G464" s="207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</row>
    <row r="465" ht="26.25" customHeight="1" s="251">
      <c r="A465" s="208" t="n"/>
      <c r="B465" s="208" t="n"/>
      <c r="C465" s="207" t="n"/>
      <c r="D465" s="207" t="n"/>
      <c r="E465" s="207" t="n"/>
      <c r="F465" s="207" t="n"/>
      <c r="G465" s="207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</row>
    <row r="466" ht="26.25" customHeight="1" s="251">
      <c r="A466" s="208" t="n"/>
      <c r="B466" s="208" t="n"/>
      <c r="C466" s="207" t="n"/>
      <c r="D466" s="207" t="n"/>
      <c r="E466" s="207" t="n"/>
      <c r="F466" s="207" t="n"/>
      <c r="G466" s="207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</row>
    <row r="467" ht="26.25" customHeight="1" s="251">
      <c r="A467" s="208" t="n"/>
      <c r="B467" s="208" t="n"/>
      <c r="C467" s="207" t="n"/>
      <c r="D467" s="207" t="n"/>
      <c r="E467" s="207" t="n"/>
      <c r="F467" s="207" t="n"/>
      <c r="G467" s="207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</row>
    <row r="468" ht="26.25" customHeight="1" s="251">
      <c r="A468" s="208" t="n"/>
      <c r="B468" s="208" t="n"/>
      <c r="C468" s="207" t="n"/>
      <c r="D468" s="207" t="n"/>
      <c r="E468" s="207" t="n"/>
      <c r="F468" s="207" t="n"/>
      <c r="G468" s="207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</row>
    <row r="469" ht="26.25" customHeight="1" s="251">
      <c r="A469" s="208" t="n"/>
      <c r="B469" s="208" t="n"/>
      <c r="C469" s="207" t="n"/>
      <c r="D469" s="207" t="n"/>
      <c r="E469" s="207" t="n"/>
      <c r="F469" s="207" t="n"/>
      <c r="G469" s="207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</row>
    <row r="470" ht="26.25" customHeight="1" s="251">
      <c r="A470" s="208" t="n"/>
      <c r="B470" s="208" t="n"/>
      <c r="C470" s="207" t="n"/>
      <c r="D470" s="207" t="n"/>
      <c r="E470" s="207" t="n"/>
      <c r="F470" s="207" t="n"/>
      <c r="G470" s="207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</row>
    <row r="471" ht="26.25" customHeight="1" s="251">
      <c r="A471" s="208" t="n"/>
      <c r="B471" s="208" t="n"/>
      <c r="C471" s="207" t="n"/>
      <c r="D471" s="207" t="n"/>
      <c r="E471" s="207" t="n"/>
      <c r="F471" s="207" t="n"/>
      <c r="G471" s="207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</row>
    <row r="472" ht="26.25" customHeight="1" s="251">
      <c r="A472" s="208" t="n"/>
      <c r="B472" s="208" t="n"/>
      <c r="C472" s="207" t="n"/>
      <c r="D472" s="207" t="n"/>
      <c r="E472" s="207" t="n"/>
      <c r="F472" s="207" t="n"/>
      <c r="G472" s="207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</row>
    <row r="473" ht="26.25" customHeight="1" s="251">
      <c r="A473" s="208" t="n"/>
      <c r="B473" s="208" t="n"/>
      <c r="C473" s="207" t="n"/>
      <c r="D473" s="207" t="n"/>
      <c r="E473" s="207" t="n"/>
      <c r="F473" s="207" t="n"/>
      <c r="G473" s="207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</row>
    <row r="474" ht="26.25" customHeight="1" s="251">
      <c r="A474" s="208" t="n"/>
      <c r="B474" s="208" t="n"/>
      <c r="C474" s="207" t="n"/>
      <c r="D474" s="207" t="n"/>
      <c r="E474" s="207" t="n"/>
      <c r="F474" s="207" t="n"/>
      <c r="G474" s="207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</row>
    <row r="475" ht="26.25" customHeight="1" s="251">
      <c r="A475" s="208" t="n"/>
      <c r="B475" s="208" t="n"/>
      <c r="C475" s="207" t="n"/>
      <c r="D475" s="207" t="n"/>
      <c r="E475" s="207" t="n"/>
      <c r="F475" s="207" t="n"/>
      <c r="G475" s="207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</row>
    <row r="476" ht="26.25" customHeight="1" s="251">
      <c r="A476" s="208" t="n"/>
      <c r="B476" s="208" t="n"/>
      <c r="C476" s="207" t="n"/>
      <c r="D476" s="207" t="n"/>
      <c r="E476" s="207" t="n"/>
      <c r="F476" s="207" t="n"/>
      <c r="G476" s="207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</row>
    <row r="477" ht="26.25" customHeight="1" s="251">
      <c r="A477" s="208" t="n"/>
      <c r="B477" s="208" t="n"/>
      <c r="C477" s="207" t="n"/>
      <c r="D477" s="207" t="n"/>
      <c r="E477" s="207" t="n"/>
      <c r="F477" s="207" t="n"/>
      <c r="G477" s="207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</row>
    <row r="478" ht="26.25" customHeight="1" s="251">
      <c r="A478" s="208" t="n"/>
      <c r="B478" s="208" t="n"/>
      <c r="C478" s="207" t="n"/>
      <c r="D478" s="207" t="n"/>
      <c r="E478" s="207" t="n"/>
      <c r="F478" s="207" t="n"/>
      <c r="G478" s="207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</row>
    <row r="479" ht="26.25" customHeight="1" s="251">
      <c r="A479" s="208" t="n"/>
      <c r="B479" s="208" t="n"/>
      <c r="C479" s="207" t="n"/>
      <c r="D479" s="207" t="n"/>
      <c r="E479" s="207" t="n"/>
      <c r="F479" s="207" t="n"/>
      <c r="G479" s="207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</row>
    <row r="480" ht="26.25" customHeight="1" s="251">
      <c r="A480" s="208" t="n"/>
      <c r="B480" s="208" t="n"/>
      <c r="C480" s="207" t="n"/>
      <c r="D480" s="207" t="n"/>
      <c r="E480" s="207" t="n"/>
      <c r="F480" s="207" t="n"/>
      <c r="G480" s="207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</row>
    <row r="481" ht="26.25" customHeight="1" s="251">
      <c r="A481" s="208" t="n"/>
      <c r="B481" s="208" t="n"/>
      <c r="C481" s="207" t="n"/>
      <c r="D481" s="207" t="n"/>
      <c r="E481" s="207" t="n"/>
      <c r="F481" s="207" t="n"/>
      <c r="G481" s="207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</row>
    <row r="482" ht="26.25" customHeight="1" s="251">
      <c r="A482" s="208" t="n"/>
      <c r="B482" s="208" t="n"/>
      <c r="C482" s="207" t="n"/>
      <c r="D482" s="207" t="n"/>
      <c r="E482" s="207" t="n"/>
      <c r="F482" s="207" t="n"/>
      <c r="G482" s="207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</row>
    <row r="483" ht="26.25" customHeight="1" s="251">
      <c r="A483" s="208" t="n"/>
      <c r="B483" s="208" t="n"/>
      <c r="C483" s="207" t="n"/>
      <c r="D483" s="207" t="n"/>
      <c r="E483" s="207" t="n"/>
      <c r="F483" s="207" t="n"/>
      <c r="G483" s="207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</row>
    <row r="484" ht="26.25" customHeight="1" s="251">
      <c r="A484" s="208" t="n"/>
      <c r="B484" s="208" t="n"/>
      <c r="C484" s="207" t="n"/>
      <c r="D484" s="207" t="n"/>
      <c r="E484" s="207" t="n"/>
      <c r="F484" s="207" t="n"/>
      <c r="G484" s="207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</row>
    <row r="485" ht="26.25" customHeight="1" s="251">
      <c r="A485" s="208" t="n"/>
      <c r="B485" s="208" t="n"/>
      <c r="C485" s="207" t="n"/>
      <c r="D485" s="207" t="n"/>
      <c r="E485" s="207" t="n"/>
      <c r="F485" s="207" t="n"/>
      <c r="G485" s="207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</row>
    <row r="486" ht="26.25" customHeight="1" s="251">
      <c r="A486" s="208" t="n"/>
      <c r="B486" s="208" t="n"/>
      <c r="C486" s="207" t="n"/>
      <c r="D486" s="207" t="n"/>
      <c r="E486" s="207" t="n"/>
      <c r="F486" s="207" t="n"/>
      <c r="G486" s="207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</row>
    <row r="487" ht="26.25" customHeight="1" s="251">
      <c r="A487" s="208" t="n"/>
      <c r="B487" s="208" t="n"/>
      <c r="C487" s="207" t="n"/>
      <c r="D487" s="207" t="n"/>
      <c r="E487" s="207" t="n"/>
      <c r="F487" s="207" t="n"/>
      <c r="G487" s="207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</row>
    <row r="488" ht="26.25" customHeight="1" s="251">
      <c r="A488" s="208" t="n"/>
      <c r="B488" s="208" t="n"/>
      <c r="C488" s="207" t="n"/>
      <c r="D488" s="207" t="n"/>
      <c r="E488" s="207" t="n"/>
      <c r="F488" s="207" t="n"/>
      <c r="G488" s="207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</row>
    <row r="489" ht="26.25" customHeight="1" s="251">
      <c r="A489" s="208" t="n"/>
      <c r="B489" s="208" t="n"/>
      <c r="C489" s="207" t="n"/>
      <c r="D489" s="207" t="n"/>
      <c r="E489" s="207" t="n"/>
      <c r="F489" s="207" t="n"/>
      <c r="G489" s="207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</row>
    <row r="490" ht="26.25" customHeight="1" s="251">
      <c r="A490" s="208" t="n"/>
      <c r="B490" s="208" t="n"/>
      <c r="C490" s="207" t="n"/>
      <c r="D490" s="207" t="n"/>
      <c r="E490" s="207" t="n"/>
      <c r="F490" s="207" t="n"/>
      <c r="G490" s="207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</row>
    <row r="491" ht="26.25" customHeight="1" s="251">
      <c r="A491" s="208" t="n"/>
      <c r="B491" s="208" t="n"/>
      <c r="C491" s="207" t="n"/>
      <c r="D491" s="207" t="n"/>
      <c r="E491" s="207" t="n"/>
      <c r="F491" s="207" t="n"/>
      <c r="G491" s="207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</row>
    <row r="492" ht="26.25" customHeight="1" s="251">
      <c r="A492" s="208" t="n"/>
      <c r="B492" s="208" t="n"/>
      <c r="C492" s="207" t="n"/>
      <c r="D492" s="207" t="n"/>
      <c r="E492" s="207" t="n"/>
      <c r="F492" s="207" t="n"/>
      <c r="G492" s="207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</row>
    <row r="493" ht="26.25" customHeight="1" s="251">
      <c r="A493" s="208" t="n"/>
      <c r="B493" s="208" t="n"/>
      <c r="C493" s="207" t="n"/>
      <c r="D493" s="207" t="n"/>
      <c r="E493" s="207" t="n"/>
      <c r="F493" s="207" t="n"/>
      <c r="G493" s="207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</row>
    <row r="494" ht="26.25" customHeight="1" s="251">
      <c r="A494" s="208" t="n"/>
      <c r="B494" s="208" t="n"/>
      <c r="C494" s="207" t="n"/>
      <c r="D494" s="207" t="n"/>
      <c r="E494" s="207" t="n"/>
      <c r="F494" s="207" t="n"/>
      <c r="G494" s="207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</row>
    <row r="495" ht="26.25" customHeight="1" s="251">
      <c r="A495" s="208" t="n"/>
      <c r="B495" s="208" t="n"/>
      <c r="C495" s="207" t="n"/>
      <c r="D495" s="207" t="n"/>
      <c r="E495" s="207" t="n"/>
      <c r="F495" s="207" t="n"/>
      <c r="G495" s="207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</row>
    <row r="496" ht="26.25" customHeight="1" s="251">
      <c r="A496" s="208" t="n"/>
      <c r="B496" s="208" t="n"/>
      <c r="C496" s="207" t="n"/>
      <c r="D496" s="207" t="n"/>
      <c r="E496" s="207" t="n"/>
      <c r="F496" s="207" t="n"/>
      <c r="G496" s="207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</row>
    <row r="497" ht="26.25" customHeight="1" s="251">
      <c r="A497" s="208" t="n"/>
      <c r="B497" s="208" t="n"/>
      <c r="C497" s="207" t="n"/>
      <c r="D497" s="207" t="n"/>
      <c r="E497" s="207" t="n"/>
      <c r="F497" s="207" t="n"/>
      <c r="G497" s="207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</row>
    <row r="498" ht="26.25" customHeight="1" s="251">
      <c r="A498" s="208" t="n"/>
      <c r="B498" s="208" t="n"/>
      <c r="C498" s="207" t="n"/>
      <c r="D498" s="207" t="n"/>
      <c r="E498" s="207" t="n"/>
      <c r="F498" s="207" t="n"/>
      <c r="G498" s="207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</row>
    <row r="499" ht="26.25" customHeight="1" s="251">
      <c r="A499" s="208" t="n"/>
      <c r="B499" s="208" t="n"/>
      <c r="C499" s="207" t="n"/>
      <c r="D499" s="207" t="n"/>
      <c r="E499" s="207" t="n"/>
      <c r="F499" s="207" t="n"/>
      <c r="G499" s="207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</row>
    <row r="500" ht="26.25" customHeight="1" s="251">
      <c r="A500" s="208" t="n"/>
      <c r="B500" s="208" t="n"/>
      <c r="C500" s="207" t="n"/>
      <c r="D500" s="207" t="n"/>
      <c r="E500" s="207" t="n"/>
      <c r="F500" s="207" t="n"/>
      <c r="G500" s="207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</row>
    <row r="501" ht="26.25" customHeight="1" s="251">
      <c r="A501" s="208" t="n"/>
      <c r="B501" s="208" t="n"/>
      <c r="C501" s="207" t="n"/>
      <c r="D501" s="207" t="n"/>
      <c r="E501" s="207" t="n"/>
      <c r="F501" s="207" t="n"/>
      <c r="G501" s="207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</row>
    <row r="502" ht="26.25" customHeight="1" s="251">
      <c r="A502" s="208" t="n"/>
      <c r="B502" s="208" t="n"/>
      <c r="C502" s="207" t="n"/>
      <c r="D502" s="207" t="n"/>
      <c r="E502" s="207" t="n"/>
      <c r="F502" s="207" t="n"/>
      <c r="G502" s="207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</row>
    <row r="503" ht="26.25" customHeight="1" s="251">
      <c r="A503" s="208" t="n"/>
      <c r="B503" s="208" t="n"/>
      <c r="C503" s="207" t="n"/>
      <c r="D503" s="207" t="n"/>
      <c r="E503" s="207" t="n"/>
      <c r="F503" s="207" t="n"/>
      <c r="G503" s="207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</row>
    <row r="504" ht="26.25" customHeight="1" s="251">
      <c r="A504" s="208" t="n"/>
      <c r="B504" s="208" t="n"/>
      <c r="C504" s="207" t="n"/>
      <c r="D504" s="207" t="n"/>
      <c r="E504" s="207" t="n"/>
      <c r="F504" s="207" t="n"/>
      <c r="G504" s="207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</row>
    <row r="505" ht="26.25" customHeight="1" s="251">
      <c r="A505" s="208" t="n"/>
      <c r="B505" s="208" t="n"/>
      <c r="C505" s="207" t="n"/>
      <c r="D505" s="207" t="n"/>
      <c r="E505" s="207" t="n"/>
      <c r="F505" s="207" t="n"/>
      <c r="G505" s="207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</row>
    <row r="506" ht="26.25" customHeight="1" s="251">
      <c r="A506" s="208" t="n"/>
      <c r="B506" s="208" t="n"/>
      <c r="C506" s="207" t="n"/>
      <c r="D506" s="207" t="n"/>
      <c r="E506" s="207" t="n"/>
      <c r="F506" s="207" t="n"/>
      <c r="G506" s="207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</row>
    <row r="507" ht="26.25" customHeight="1" s="251">
      <c r="A507" s="208" t="n"/>
      <c r="B507" s="208" t="n"/>
      <c r="C507" s="207" t="n"/>
      <c r="D507" s="207" t="n"/>
      <c r="E507" s="207" t="n"/>
      <c r="F507" s="207" t="n"/>
      <c r="G507" s="207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</row>
    <row r="508" ht="26.25" customHeight="1" s="251">
      <c r="A508" s="208" t="n"/>
      <c r="B508" s="208" t="n"/>
      <c r="C508" s="207" t="n"/>
      <c r="D508" s="207" t="n"/>
      <c r="E508" s="207" t="n"/>
      <c r="F508" s="207" t="n"/>
      <c r="G508" s="207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</row>
    <row r="509" ht="26.25" customHeight="1" s="251">
      <c r="A509" s="208" t="n"/>
      <c r="B509" s="208" t="n"/>
      <c r="C509" s="207" t="n"/>
      <c r="D509" s="207" t="n"/>
      <c r="E509" s="207" t="n"/>
      <c r="F509" s="207" t="n"/>
      <c r="G509" s="207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</row>
    <row r="510" ht="26.25" customHeight="1" s="251">
      <c r="A510" s="208" t="n"/>
      <c r="B510" s="208" t="n"/>
      <c r="C510" s="207" t="n"/>
      <c r="D510" s="207" t="n"/>
      <c r="E510" s="207" t="n"/>
      <c r="F510" s="207" t="n"/>
      <c r="G510" s="207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</row>
    <row r="511" ht="26.25" customHeight="1" s="251">
      <c r="A511" s="208" t="n"/>
      <c r="B511" s="208" t="n"/>
      <c r="C511" s="207" t="n"/>
      <c r="D511" s="207" t="n"/>
      <c r="E511" s="207" t="n"/>
      <c r="F511" s="207" t="n"/>
      <c r="G511" s="207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</row>
    <row r="512" ht="26.25" customHeight="1" s="251">
      <c r="A512" s="208" t="n"/>
      <c r="B512" s="208" t="n"/>
      <c r="C512" s="207" t="n"/>
      <c r="D512" s="207" t="n"/>
      <c r="E512" s="207" t="n"/>
      <c r="F512" s="207" t="n"/>
      <c r="G512" s="207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</row>
    <row r="513" ht="26.25" customHeight="1" s="251">
      <c r="A513" s="208" t="n"/>
      <c r="B513" s="208" t="n"/>
      <c r="C513" s="207" t="n"/>
      <c r="D513" s="207" t="n"/>
      <c r="E513" s="207" t="n"/>
      <c r="F513" s="207" t="n"/>
      <c r="G513" s="207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</row>
    <row r="514" ht="26.25" customHeight="1" s="251">
      <c r="A514" s="208" t="n"/>
      <c r="B514" s="208" t="n"/>
      <c r="C514" s="207" t="n"/>
      <c r="D514" s="207" t="n"/>
      <c r="E514" s="207" t="n"/>
      <c r="F514" s="207" t="n"/>
      <c r="G514" s="207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</row>
    <row r="515" ht="26.25" customHeight="1" s="251">
      <c r="A515" s="208" t="n"/>
      <c r="B515" s="208" t="n"/>
      <c r="C515" s="207" t="n"/>
      <c r="D515" s="207" t="n"/>
      <c r="E515" s="207" t="n"/>
      <c r="F515" s="207" t="n"/>
      <c r="G515" s="207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</row>
    <row r="516" ht="26.25" customHeight="1" s="251">
      <c r="A516" s="208" t="n"/>
      <c r="B516" s="208" t="n"/>
      <c r="C516" s="207" t="n"/>
      <c r="D516" s="207" t="n"/>
      <c r="E516" s="207" t="n"/>
      <c r="F516" s="207" t="n"/>
      <c r="G516" s="207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</row>
    <row r="517" ht="26.25" customHeight="1" s="251">
      <c r="A517" s="208" t="n"/>
      <c r="B517" s="208" t="n"/>
      <c r="C517" s="207" t="n"/>
      <c r="D517" s="207" t="n"/>
      <c r="E517" s="207" t="n"/>
      <c r="F517" s="207" t="n"/>
      <c r="G517" s="207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</row>
    <row r="518" ht="26.25" customHeight="1" s="251">
      <c r="A518" s="208" t="n"/>
      <c r="B518" s="208" t="n"/>
      <c r="C518" s="207" t="n"/>
      <c r="D518" s="207" t="n"/>
      <c r="E518" s="207" t="n"/>
      <c r="F518" s="207" t="n"/>
      <c r="G518" s="207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</row>
    <row r="519" ht="26.25" customHeight="1" s="251">
      <c r="A519" s="208" t="n"/>
      <c r="B519" s="208" t="n"/>
      <c r="C519" s="207" t="n"/>
      <c r="D519" s="207" t="n"/>
      <c r="E519" s="207" t="n"/>
      <c r="F519" s="207" t="n"/>
      <c r="G519" s="207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</row>
    <row r="520" ht="26.25" customHeight="1" s="251">
      <c r="A520" s="208" t="n"/>
      <c r="B520" s="208" t="n"/>
      <c r="C520" s="207" t="n"/>
      <c r="D520" s="207" t="n"/>
      <c r="E520" s="207" t="n"/>
      <c r="F520" s="207" t="n"/>
      <c r="G520" s="207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</row>
    <row r="521" ht="26.25" customHeight="1" s="251">
      <c r="A521" s="208" t="n"/>
      <c r="B521" s="208" t="n"/>
      <c r="C521" s="207" t="n"/>
      <c r="D521" s="207" t="n"/>
      <c r="E521" s="207" t="n"/>
      <c r="F521" s="207" t="n"/>
      <c r="G521" s="207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</row>
    <row r="522" ht="26.25" customHeight="1" s="251">
      <c r="A522" s="208" t="n"/>
      <c r="B522" s="208" t="n"/>
      <c r="C522" s="207" t="n"/>
      <c r="D522" s="207" t="n"/>
      <c r="E522" s="207" t="n"/>
      <c r="F522" s="207" t="n"/>
      <c r="G522" s="207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</row>
    <row r="523" ht="26.25" customHeight="1" s="251">
      <c r="A523" s="208" t="n"/>
      <c r="B523" s="208" t="n"/>
      <c r="C523" s="207" t="n"/>
      <c r="D523" s="207" t="n"/>
      <c r="E523" s="207" t="n"/>
      <c r="F523" s="207" t="n"/>
      <c r="G523" s="207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</row>
    <row r="524" ht="26.25" customHeight="1" s="251">
      <c r="A524" s="208" t="n"/>
      <c r="B524" s="208" t="n"/>
      <c r="C524" s="207" t="n"/>
      <c r="D524" s="207" t="n"/>
      <c r="E524" s="207" t="n"/>
      <c r="F524" s="207" t="n"/>
      <c r="G524" s="207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</row>
    <row r="525" ht="26.25" customHeight="1" s="251">
      <c r="A525" s="208" t="n"/>
      <c r="B525" s="208" t="n"/>
      <c r="C525" s="207" t="n"/>
      <c r="D525" s="207" t="n"/>
      <c r="E525" s="207" t="n"/>
      <c r="F525" s="207" t="n"/>
      <c r="G525" s="207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</row>
    <row r="526" ht="26.25" customHeight="1" s="251">
      <c r="A526" s="208" t="n"/>
      <c r="B526" s="208" t="n"/>
      <c r="C526" s="207" t="n"/>
      <c r="D526" s="207" t="n"/>
      <c r="E526" s="207" t="n"/>
      <c r="F526" s="207" t="n"/>
      <c r="G526" s="207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</row>
    <row r="527" ht="26.25" customHeight="1" s="251">
      <c r="A527" s="208" t="n"/>
      <c r="B527" s="208" t="n"/>
      <c r="C527" s="207" t="n"/>
      <c r="D527" s="207" t="n"/>
      <c r="E527" s="207" t="n"/>
      <c r="F527" s="207" t="n"/>
      <c r="G527" s="207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</row>
    <row r="528" ht="26.25" customHeight="1" s="251">
      <c r="A528" s="208" t="n"/>
      <c r="B528" s="208" t="n"/>
      <c r="C528" s="207" t="n"/>
      <c r="D528" s="207" t="n"/>
      <c r="E528" s="207" t="n"/>
      <c r="F528" s="207" t="n"/>
      <c r="G528" s="207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</row>
    <row r="529" ht="26.25" customHeight="1" s="251">
      <c r="A529" s="208" t="n"/>
      <c r="B529" s="208" t="n"/>
      <c r="C529" s="207" t="n"/>
      <c r="D529" s="207" t="n"/>
      <c r="E529" s="207" t="n"/>
      <c r="F529" s="207" t="n"/>
      <c r="G529" s="207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</row>
    <row r="530" ht="26.25" customHeight="1" s="251">
      <c r="A530" s="208" t="n"/>
      <c r="B530" s="208" t="n"/>
      <c r="C530" s="207" t="n"/>
      <c r="D530" s="207" t="n"/>
      <c r="E530" s="207" t="n"/>
      <c r="F530" s="207" t="n"/>
      <c r="G530" s="207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</row>
    <row r="531" ht="26.25" customHeight="1" s="251">
      <c r="A531" s="208" t="n"/>
      <c r="B531" s="208" t="n"/>
      <c r="C531" s="207" t="n"/>
      <c r="D531" s="207" t="n"/>
      <c r="E531" s="207" t="n"/>
      <c r="F531" s="207" t="n"/>
      <c r="G531" s="207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</row>
    <row r="532" ht="26.25" customHeight="1" s="251">
      <c r="A532" s="208" t="n"/>
      <c r="B532" s="208" t="n"/>
      <c r="C532" s="207" t="n"/>
      <c r="D532" s="207" t="n"/>
      <c r="E532" s="207" t="n"/>
      <c r="F532" s="207" t="n"/>
      <c r="G532" s="207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</row>
    <row r="533" ht="26.25" customHeight="1" s="251">
      <c r="A533" s="208" t="n"/>
      <c r="B533" s="208" t="n"/>
      <c r="C533" s="207" t="n"/>
      <c r="D533" s="207" t="n"/>
      <c r="E533" s="207" t="n"/>
      <c r="F533" s="207" t="n"/>
      <c r="G533" s="207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</row>
    <row r="534" ht="26.25" customHeight="1" s="251">
      <c r="A534" s="208" t="n"/>
      <c r="B534" s="208" t="n"/>
      <c r="C534" s="207" t="n"/>
      <c r="D534" s="207" t="n"/>
      <c r="E534" s="207" t="n"/>
      <c r="F534" s="207" t="n"/>
      <c r="G534" s="207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</row>
    <row r="535" ht="26.25" customHeight="1" s="251">
      <c r="A535" s="208" t="n"/>
      <c r="B535" s="208" t="n"/>
      <c r="C535" s="207" t="n"/>
      <c r="D535" s="207" t="n"/>
      <c r="E535" s="207" t="n"/>
      <c r="F535" s="207" t="n"/>
      <c r="G535" s="207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</row>
    <row r="536" ht="26.25" customHeight="1" s="251">
      <c r="A536" s="208" t="n"/>
      <c r="B536" s="208" t="n"/>
      <c r="C536" s="207" t="n"/>
      <c r="D536" s="207" t="n"/>
      <c r="E536" s="207" t="n"/>
      <c r="F536" s="207" t="n"/>
      <c r="G536" s="207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</row>
    <row r="537" ht="26.25" customHeight="1" s="251">
      <c r="A537" s="208" t="n"/>
      <c r="B537" s="208" t="n"/>
      <c r="C537" s="207" t="n"/>
      <c r="D537" s="207" t="n"/>
      <c r="E537" s="207" t="n"/>
      <c r="F537" s="207" t="n"/>
      <c r="G537" s="207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</row>
    <row r="538" ht="26.25" customHeight="1" s="251">
      <c r="A538" s="208" t="n"/>
      <c r="B538" s="208" t="n"/>
      <c r="C538" s="207" t="n"/>
      <c r="D538" s="207" t="n"/>
      <c r="E538" s="207" t="n"/>
      <c r="F538" s="207" t="n"/>
      <c r="G538" s="207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</row>
    <row r="539" ht="26.25" customHeight="1" s="251">
      <c r="A539" s="208" t="n"/>
      <c r="B539" s="208" t="n"/>
      <c r="C539" s="207" t="n"/>
      <c r="D539" s="207" t="n"/>
      <c r="E539" s="207" t="n"/>
      <c r="F539" s="207" t="n"/>
      <c r="G539" s="207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</row>
    <row r="540" ht="26.25" customHeight="1" s="251">
      <c r="A540" s="208" t="n"/>
      <c r="B540" s="208" t="n"/>
      <c r="C540" s="207" t="n"/>
      <c r="D540" s="207" t="n"/>
      <c r="E540" s="207" t="n"/>
      <c r="F540" s="207" t="n"/>
      <c r="G540" s="207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</row>
    <row r="541" ht="26.25" customHeight="1" s="251">
      <c r="A541" s="208" t="n"/>
      <c r="B541" s="208" t="n"/>
      <c r="C541" s="207" t="n"/>
      <c r="D541" s="207" t="n"/>
      <c r="E541" s="207" t="n"/>
      <c r="F541" s="207" t="n"/>
      <c r="G541" s="207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</row>
    <row r="542" ht="26.25" customHeight="1" s="251">
      <c r="A542" s="208" t="n"/>
      <c r="B542" s="208" t="n"/>
      <c r="C542" s="207" t="n"/>
      <c r="D542" s="207" t="n"/>
      <c r="E542" s="207" t="n"/>
      <c r="F542" s="207" t="n"/>
      <c r="G542" s="207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</row>
    <row r="543" ht="26.25" customHeight="1" s="251">
      <c r="A543" s="208" t="n"/>
      <c r="B543" s="208" t="n"/>
      <c r="C543" s="207" t="n"/>
      <c r="D543" s="207" t="n"/>
      <c r="E543" s="207" t="n"/>
      <c r="F543" s="207" t="n"/>
      <c r="G543" s="207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</row>
    <row r="544" ht="26.25" customHeight="1" s="251">
      <c r="A544" s="208" t="n"/>
      <c r="B544" s="208" t="n"/>
      <c r="C544" s="207" t="n"/>
      <c r="D544" s="207" t="n"/>
      <c r="E544" s="207" t="n"/>
      <c r="F544" s="207" t="n"/>
      <c r="G544" s="207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</row>
    <row r="545" ht="26.25" customHeight="1" s="251">
      <c r="A545" s="208" t="n"/>
      <c r="B545" s="208" t="n"/>
      <c r="C545" s="207" t="n"/>
      <c r="D545" s="207" t="n"/>
      <c r="E545" s="207" t="n"/>
      <c r="F545" s="207" t="n"/>
      <c r="G545" s="207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</row>
    <row r="546" ht="26.25" customHeight="1" s="251">
      <c r="A546" s="208" t="n"/>
      <c r="B546" s="208" t="n"/>
      <c r="C546" s="207" t="n"/>
      <c r="D546" s="207" t="n"/>
      <c r="E546" s="207" t="n"/>
      <c r="F546" s="207" t="n"/>
      <c r="G546" s="207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</row>
    <row r="547" ht="26.25" customHeight="1" s="251">
      <c r="A547" s="208" t="n"/>
      <c r="B547" s="208" t="n"/>
      <c r="C547" s="207" t="n"/>
      <c r="D547" s="207" t="n"/>
      <c r="E547" s="207" t="n"/>
      <c r="F547" s="207" t="n"/>
      <c r="G547" s="207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</row>
    <row r="548" ht="26.25" customHeight="1" s="251">
      <c r="A548" s="208" t="n"/>
      <c r="B548" s="208" t="n"/>
      <c r="C548" s="207" t="n"/>
      <c r="D548" s="207" t="n"/>
      <c r="E548" s="207" t="n"/>
      <c r="F548" s="207" t="n"/>
      <c r="G548" s="207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</row>
    <row r="549" ht="26.25" customHeight="1" s="251">
      <c r="A549" s="208" t="n"/>
      <c r="B549" s="208" t="n"/>
      <c r="C549" s="207" t="n"/>
      <c r="D549" s="207" t="n"/>
      <c r="E549" s="207" t="n"/>
      <c r="F549" s="207" t="n"/>
      <c r="G549" s="207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</row>
    <row r="550" ht="26.25" customHeight="1" s="251">
      <c r="A550" s="208" t="n"/>
      <c r="B550" s="208" t="n"/>
      <c r="C550" s="207" t="n"/>
      <c r="D550" s="207" t="n"/>
      <c r="E550" s="207" t="n"/>
      <c r="F550" s="207" t="n"/>
      <c r="G550" s="207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</row>
    <row r="551" ht="26.25" customHeight="1" s="251">
      <c r="A551" s="208" t="n"/>
      <c r="B551" s="208" t="n"/>
      <c r="C551" s="207" t="n"/>
      <c r="D551" s="207" t="n"/>
      <c r="E551" s="207" t="n"/>
      <c r="F551" s="207" t="n"/>
      <c r="G551" s="207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</row>
    <row r="552" ht="26.25" customHeight="1" s="251">
      <c r="A552" s="208" t="n"/>
      <c r="B552" s="208" t="n"/>
      <c r="C552" s="207" t="n"/>
      <c r="D552" s="207" t="n"/>
      <c r="E552" s="207" t="n"/>
      <c r="F552" s="207" t="n"/>
      <c r="G552" s="207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</row>
    <row r="553" ht="26.25" customHeight="1" s="251">
      <c r="A553" s="208" t="n"/>
      <c r="B553" s="208" t="n"/>
      <c r="C553" s="207" t="n"/>
      <c r="D553" s="207" t="n"/>
      <c r="E553" s="207" t="n"/>
      <c r="F553" s="207" t="n"/>
      <c r="G553" s="207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</row>
    <row r="554" ht="26.25" customHeight="1" s="251">
      <c r="A554" s="208" t="n"/>
      <c r="B554" s="208" t="n"/>
      <c r="C554" s="207" t="n"/>
      <c r="D554" s="207" t="n"/>
      <c r="E554" s="207" t="n"/>
      <c r="F554" s="207" t="n"/>
      <c r="G554" s="207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</row>
    <row r="555" ht="26.25" customHeight="1" s="251">
      <c r="A555" s="208" t="n"/>
      <c r="B555" s="208" t="n"/>
      <c r="C555" s="207" t="n"/>
      <c r="D555" s="207" t="n"/>
      <c r="E555" s="207" t="n"/>
      <c r="F555" s="207" t="n"/>
      <c r="G555" s="207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</row>
    <row r="556" ht="26.25" customHeight="1" s="251">
      <c r="A556" s="208" t="n"/>
      <c r="B556" s="208" t="n"/>
      <c r="C556" s="207" t="n"/>
      <c r="D556" s="207" t="n"/>
      <c r="E556" s="207" t="n"/>
      <c r="F556" s="207" t="n"/>
      <c r="G556" s="207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</row>
    <row r="557" ht="26.25" customHeight="1" s="251">
      <c r="A557" s="208" t="n"/>
      <c r="B557" s="208" t="n"/>
      <c r="C557" s="207" t="n"/>
      <c r="D557" s="207" t="n"/>
      <c r="E557" s="207" t="n"/>
      <c r="F557" s="207" t="n"/>
      <c r="G557" s="207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</row>
    <row r="558" ht="26.25" customHeight="1" s="251">
      <c r="A558" s="208" t="n"/>
      <c r="B558" s="208" t="n"/>
      <c r="C558" s="207" t="n"/>
      <c r="D558" s="207" t="n"/>
      <c r="E558" s="207" t="n"/>
      <c r="F558" s="207" t="n"/>
      <c r="G558" s="207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</row>
    <row r="559" ht="26.25" customHeight="1" s="251">
      <c r="A559" s="208" t="n"/>
      <c r="B559" s="208" t="n"/>
      <c r="C559" s="207" t="n"/>
      <c r="D559" s="207" t="n"/>
      <c r="E559" s="207" t="n"/>
      <c r="F559" s="207" t="n"/>
      <c r="G559" s="207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</row>
    <row r="560" ht="26.25" customHeight="1" s="251">
      <c r="A560" s="208" t="n"/>
      <c r="B560" s="208" t="n"/>
      <c r="C560" s="207" t="n"/>
      <c r="D560" s="207" t="n"/>
      <c r="E560" s="207" t="n"/>
      <c r="F560" s="207" t="n"/>
      <c r="G560" s="207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</row>
    <row r="561" ht="26.25" customHeight="1" s="251">
      <c r="A561" s="208" t="n"/>
      <c r="B561" s="208" t="n"/>
      <c r="C561" s="207" t="n"/>
      <c r="D561" s="207" t="n"/>
      <c r="E561" s="207" t="n"/>
      <c r="F561" s="207" t="n"/>
      <c r="G561" s="207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</row>
    <row r="562" ht="26.25" customHeight="1" s="251">
      <c r="A562" s="208" t="n"/>
      <c r="B562" s="208" t="n"/>
      <c r="C562" s="207" t="n"/>
      <c r="D562" s="207" t="n"/>
      <c r="E562" s="207" t="n"/>
      <c r="F562" s="207" t="n"/>
      <c r="G562" s="207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</row>
    <row r="563" ht="26.25" customHeight="1" s="251">
      <c r="A563" s="208" t="n"/>
      <c r="B563" s="208" t="n"/>
      <c r="C563" s="207" t="n"/>
      <c r="D563" s="207" t="n"/>
      <c r="E563" s="207" t="n"/>
      <c r="F563" s="207" t="n"/>
      <c r="G563" s="207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</row>
    <row r="564" ht="26.25" customHeight="1" s="251">
      <c r="A564" s="208" t="n"/>
      <c r="B564" s="208" t="n"/>
      <c r="C564" s="207" t="n"/>
      <c r="D564" s="207" t="n"/>
      <c r="E564" s="207" t="n"/>
      <c r="F564" s="207" t="n"/>
      <c r="G564" s="207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</row>
    <row r="565" ht="26.25" customHeight="1" s="251">
      <c r="A565" s="208" t="n"/>
      <c r="B565" s="208" t="n"/>
      <c r="C565" s="207" t="n"/>
      <c r="D565" s="207" t="n"/>
      <c r="E565" s="207" t="n"/>
      <c r="F565" s="207" t="n"/>
      <c r="G565" s="207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</row>
    <row r="566" ht="26.25" customHeight="1" s="251">
      <c r="A566" s="208" t="n"/>
      <c r="B566" s="208" t="n"/>
      <c r="C566" s="207" t="n"/>
      <c r="D566" s="207" t="n"/>
      <c r="E566" s="207" t="n"/>
      <c r="F566" s="207" t="n"/>
      <c r="G566" s="207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</row>
    <row r="567" ht="26.25" customHeight="1" s="251">
      <c r="A567" s="208" t="n"/>
      <c r="B567" s="208" t="n"/>
      <c r="C567" s="207" t="n"/>
      <c r="D567" s="207" t="n"/>
      <c r="E567" s="207" t="n"/>
      <c r="F567" s="207" t="n"/>
      <c r="G567" s="207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</row>
    <row r="568" ht="26.25" customHeight="1" s="251">
      <c r="A568" s="208" t="n"/>
      <c r="B568" s="208" t="n"/>
      <c r="C568" s="207" t="n"/>
      <c r="D568" s="207" t="n"/>
      <c r="E568" s="207" t="n"/>
      <c r="F568" s="207" t="n"/>
      <c r="G568" s="207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</row>
    <row r="569" ht="26.25" customHeight="1" s="251">
      <c r="A569" s="208" t="n"/>
      <c r="B569" s="208" t="n"/>
      <c r="C569" s="207" t="n"/>
      <c r="D569" s="207" t="n"/>
      <c r="E569" s="207" t="n"/>
      <c r="F569" s="207" t="n"/>
      <c r="G569" s="207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</row>
    <row r="570" ht="26.25" customHeight="1" s="251">
      <c r="A570" s="208" t="n"/>
      <c r="B570" s="208" t="n"/>
      <c r="C570" s="207" t="n"/>
      <c r="D570" s="207" t="n"/>
      <c r="E570" s="207" t="n"/>
      <c r="F570" s="207" t="n"/>
      <c r="G570" s="207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</row>
    <row r="571" ht="26.25" customHeight="1" s="251">
      <c r="A571" s="208" t="n"/>
      <c r="B571" s="208" t="n"/>
      <c r="C571" s="207" t="n"/>
      <c r="D571" s="207" t="n"/>
      <c r="E571" s="207" t="n"/>
      <c r="F571" s="207" t="n"/>
      <c r="G571" s="207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</row>
    <row r="572" ht="26.25" customHeight="1" s="251">
      <c r="A572" s="208" t="n"/>
      <c r="B572" s="208" t="n"/>
      <c r="C572" s="207" t="n"/>
      <c r="D572" s="207" t="n"/>
      <c r="E572" s="207" t="n"/>
      <c r="F572" s="207" t="n"/>
      <c r="G572" s="207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</row>
    <row r="573" ht="26.25" customHeight="1" s="251">
      <c r="A573" s="208" t="n"/>
      <c r="B573" s="208" t="n"/>
      <c r="C573" s="207" t="n"/>
      <c r="D573" s="207" t="n"/>
      <c r="E573" s="207" t="n"/>
      <c r="F573" s="207" t="n"/>
      <c r="G573" s="207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</row>
    <row r="574" ht="26.25" customHeight="1" s="251">
      <c r="A574" s="208" t="n"/>
      <c r="B574" s="208" t="n"/>
      <c r="C574" s="207" t="n"/>
      <c r="D574" s="207" t="n"/>
      <c r="E574" s="207" t="n"/>
      <c r="F574" s="207" t="n"/>
      <c r="G574" s="207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</row>
    <row r="575" ht="26.25" customHeight="1" s="251">
      <c r="A575" s="208" t="n"/>
      <c r="B575" s="208" t="n"/>
      <c r="C575" s="207" t="n"/>
      <c r="D575" s="207" t="n"/>
      <c r="E575" s="207" t="n"/>
      <c r="F575" s="207" t="n"/>
      <c r="G575" s="207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</row>
    <row r="576" ht="26.25" customHeight="1" s="251">
      <c r="A576" s="208" t="n"/>
      <c r="B576" s="208" t="n"/>
      <c r="C576" s="207" t="n"/>
      <c r="D576" s="207" t="n"/>
      <c r="E576" s="207" t="n"/>
      <c r="F576" s="207" t="n"/>
      <c r="G576" s="207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</row>
    <row r="577" ht="26.25" customHeight="1" s="251">
      <c r="A577" s="208" t="n"/>
      <c r="B577" s="208" t="n"/>
      <c r="C577" s="207" t="n"/>
      <c r="D577" s="207" t="n"/>
      <c r="E577" s="207" t="n"/>
      <c r="F577" s="207" t="n"/>
      <c r="G577" s="207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</row>
    <row r="578" ht="26.25" customHeight="1" s="251">
      <c r="A578" s="208" t="n"/>
      <c r="B578" s="208" t="n"/>
      <c r="C578" s="207" t="n"/>
      <c r="D578" s="207" t="n"/>
      <c r="E578" s="207" t="n"/>
      <c r="F578" s="207" t="n"/>
      <c r="G578" s="207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</row>
    <row r="579" ht="26.25" customHeight="1" s="251">
      <c r="A579" s="208" t="n"/>
      <c r="B579" s="208" t="n"/>
      <c r="C579" s="207" t="n"/>
      <c r="D579" s="207" t="n"/>
      <c r="E579" s="207" t="n"/>
      <c r="F579" s="207" t="n"/>
      <c r="G579" s="207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</row>
    <row r="580" ht="26.25" customHeight="1" s="251">
      <c r="A580" s="208" t="n"/>
      <c r="B580" s="208" t="n"/>
      <c r="C580" s="207" t="n"/>
      <c r="D580" s="207" t="n"/>
      <c r="E580" s="207" t="n"/>
      <c r="F580" s="207" t="n"/>
      <c r="G580" s="207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</row>
    <row r="581" ht="26.25" customHeight="1" s="251">
      <c r="A581" s="208" t="n"/>
      <c r="B581" s="208" t="n"/>
      <c r="C581" s="207" t="n"/>
      <c r="D581" s="207" t="n"/>
      <c r="E581" s="207" t="n"/>
      <c r="F581" s="207" t="n"/>
      <c r="G581" s="207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</row>
    <row r="582" ht="26.25" customHeight="1" s="251">
      <c r="A582" s="208" t="n"/>
      <c r="B582" s="208" t="n"/>
      <c r="C582" s="207" t="n"/>
      <c r="D582" s="207" t="n"/>
      <c r="E582" s="207" t="n"/>
      <c r="F582" s="207" t="n"/>
      <c r="G582" s="207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</row>
    <row r="583" ht="26.25" customHeight="1" s="251">
      <c r="A583" s="208" t="n"/>
      <c r="B583" s="208" t="n"/>
      <c r="C583" s="207" t="n"/>
      <c r="D583" s="207" t="n"/>
      <c r="E583" s="207" t="n"/>
      <c r="F583" s="207" t="n"/>
      <c r="G583" s="207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</row>
    <row r="584" ht="26.25" customHeight="1" s="251">
      <c r="A584" s="208" t="n"/>
      <c r="B584" s="208" t="n"/>
      <c r="C584" s="207" t="n"/>
      <c r="D584" s="207" t="n"/>
      <c r="E584" s="207" t="n"/>
      <c r="F584" s="207" t="n"/>
      <c r="G584" s="207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</row>
    <row r="585" ht="26.25" customHeight="1" s="251">
      <c r="A585" s="208" t="n"/>
      <c r="B585" s="208" t="n"/>
      <c r="C585" s="207" t="n"/>
      <c r="D585" s="207" t="n"/>
      <c r="E585" s="207" t="n"/>
      <c r="F585" s="207" t="n"/>
      <c r="G585" s="207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</row>
    <row r="586" ht="26.25" customHeight="1" s="251">
      <c r="A586" s="208" t="n"/>
      <c r="B586" s="208" t="n"/>
      <c r="C586" s="207" t="n"/>
      <c r="D586" s="207" t="n"/>
      <c r="E586" s="207" t="n"/>
      <c r="F586" s="207" t="n"/>
      <c r="G586" s="207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</row>
    <row r="587" ht="26.25" customHeight="1" s="251">
      <c r="A587" s="208" t="n"/>
      <c r="B587" s="208" t="n"/>
      <c r="C587" s="207" t="n"/>
      <c r="D587" s="207" t="n"/>
      <c r="E587" s="207" t="n"/>
      <c r="F587" s="207" t="n"/>
      <c r="G587" s="207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</row>
    <row r="588" ht="26.25" customHeight="1" s="251">
      <c r="A588" s="208" t="n"/>
      <c r="B588" s="208" t="n"/>
      <c r="C588" s="207" t="n"/>
      <c r="D588" s="207" t="n"/>
      <c r="E588" s="207" t="n"/>
      <c r="F588" s="207" t="n"/>
      <c r="G588" s="207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</row>
    <row r="589" ht="26.25" customHeight="1" s="251">
      <c r="A589" s="208" t="n"/>
      <c r="B589" s="208" t="n"/>
      <c r="C589" s="207" t="n"/>
      <c r="D589" s="207" t="n"/>
      <c r="E589" s="207" t="n"/>
      <c r="F589" s="207" t="n"/>
      <c r="G589" s="207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</row>
    <row r="590" ht="26.25" customHeight="1" s="251">
      <c r="A590" s="208" t="n"/>
      <c r="B590" s="208" t="n"/>
      <c r="C590" s="207" t="n"/>
      <c r="D590" s="207" t="n"/>
      <c r="E590" s="207" t="n"/>
      <c r="F590" s="207" t="n"/>
      <c r="G590" s="207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</row>
    <row r="591" ht="26.25" customHeight="1" s="251">
      <c r="A591" s="208" t="n"/>
      <c r="B591" s="208" t="n"/>
      <c r="C591" s="207" t="n"/>
      <c r="D591" s="207" t="n"/>
      <c r="E591" s="207" t="n"/>
      <c r="F591" s="207" t="n"/>
      <c r="G591" s="207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</row>
    <row r="592" ht="26.25" customHeight="1" s="251">
      <c r="A592" s="208" t="n"/>
      <c r="B592" s="208" t="n"/>
      <c r="C592" s="207" t="n"/>
      <c r="D592" s="207" t="n"/>
      <c r="E592" s="207" t="n"/>
      <c r="F592" s="207" t="n"/>
      <c r="G592" s="207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</row>
    <row r="593" ht="26.25" customHeight="1" s="251">
      <c r="A593" s="208" t="n"/>
      <c r="B593" s="208" t="n"/>
      <c r="C593" s="207" t="n"/>
      <c r="D593" s="207" t="n"/>
      <c r="E593" s="207" t="n"/>
      <c r="F593" s="207" t="n"/>
      <c r="G593" s="207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</row>
    <row r="594" ht="26.25" customHeight="1" s="251">
      <c r="A594" s="208" t="n"/>
      <c r="B594" s="208" t="n"/>
      <c r="C594" s="207" t="n"/>
      <c r="D594" s="207" t="n"/>
      <c r="E594" s="207" t="n"/>
      <c r="F594" s="207" t="n"/>
      <c r="G594" s="207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</row>
    <row r="595" ht="26.25" customHeight="1" s="251">
      <c r="A595" s="208" t="n"/>
      <c r="B595" s="208" t="n"/>
      <c r="C595" s="207" t="n"/>
      <c r="D595" s="207" t="n"/>
      <c r="E595" s="207" t="n"/>
      <c r="F595" s="207" t="n"/>
      <c r="G595" s="207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</row>
    <row r="596" ht="26.25" customHeight="1" s="251">
      <c r="A596" s="208" t="n"/>
      <c r="B596" s="208" t="n"/>
      <c r="C596" s="207" t="n"/>
      <c r="D596" s="207" t="n"/>
      <c r="E596" s="207" t="n"/>
      <c r="F596" s="207" t="n"/>
      <c r="G596" s="207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</row>
    <row r="597" ht="26.25" customHeight="1" s="251">
      <c r="A597" s="208" t="n"/>
      <c r="B597" s="208" t="n"/>
      <c r="C597" s="207" t="n"/>
      <c r="D597" s="207" t="n"/>
      <c r="E597" s="207" t="n"/>
      <c r="F597" s="207" t="n"/>
      <c r="G597" s="207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</row>
    <row r="598" ht="26.25" customHeight="1" s="251">
      <c r="A598" s="208" t="n"/>
      <c r="B598" s="208" t="n"/>
      <c r="C598" s="207" t="n"/>
      <c r="D598" s="207" t="n"/>
      <c r="E598" s="207" t="n"/>
      <c r="F598" s="207" t="n"/>
      <c r="G598" s="207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</row>
    <row r="599" ht="26.25" customHeight="1" s="251">
      <c r="A599" s="208" t="n"/>
      <c r="B599" s="208" t="n"/>
      <c r="C599" s="207" t="n"/>
      <c r="D599" s="207" t="n"/>
      <c r="E599" s="207" t="n"/>
      <c r="F599" s="207" t="n"/>
      <c r="G599" s="207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</row>
    <row r="600" ht="26.25" customHeight="1" s="251">
      <c r="A600" s="208" t="n"/>
      <c r="B600" s="208" t="n"/>
      <c r="C600" s="207" t="n"/>
      <c r="D600" s="207" t="n"/>
      <c r="E600" s="207" t="n"/>
      <c r="F600" s="207" t="n"/>
      <c r="G600" s="207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</row>
    <row r="601" ht="26.25" customHeight="1" s="251">
      <c r="A601" s="208" t="n"/>
      <c r="B601" s="208" t="n"/>
      <c r="C601" s="207" t="n"/>
      <c r="D601" s="207" t="n"/>
      <c r="E601" s="207" t="n"/>
      <c r="F601" s="207" t="n"/>
      <c r="G601" s="207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</row>
    <row r="602" ht="26.25" customHeight="1" s="251">
      <c r="A602" s="208" t="n"/>
      <c r="B602" s="208" t="n"/>
      <c r="C602" s="207" t="n"/>
      <c r="D602" s="207" t="n"/>
      <c r="E602" s="207" t="n"/>
      <c r="F602" s="207" t="n"/>
      <c r="G602" s="207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</row>
    <row r="603" ht="26.25" customHeight="1" s="251">
      <c r="A603" s="208" t="n"/>
      <c r="B603" s="208" t="n"/>
      <c r="C603" s="207" t="n"/>
      <c r="D603" s="207" t="n"/>
      <c r="E603" s="207" t="n"/>
      <c r="F603" s="207" t="n"/>
      <c r="G603" s="207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</row>
    <row r="604" ht="26.25" customHeight="1" s="251">
      <c r="A604" s="208" t="n"/>
      <c r="B604" s="208" t="n"/>
      <c r="C604" s="207" t="n"/>
      <c r="D604" s="207" t="n"/>
      <c r="E604" s="207" t="n"/>
      <c r="F604" s="207" t="n"/>
      <c r="G604" s="207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</row>
    <row r="605" ht="26.25" customHeight="1" s="251">
      <c r="A605" s="208" t="n"/>
      <c r="B605" s="208" t="n"/>
      <c r="C605" s="207" t="n"/>
      <c r="D605" s="207" t="n"/>
      <c r="E605" s="207" t="n"/>
      <c r="F605" s="207" t="n"/>
      <c r="G605" s="207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</row>
    <row r="606" ht="26.25" customHeight="1" s="251">
      <c r="A606" s="208" t="n"/>
      <c r="B606" s="208" t="n"/>
      <c r="C606" s="207" t="n"/>
      <c r="D606" s="207" t="n"/>
      <c r="E606" s="207" t="n"/>
      <c r="F606" s="207" t="n"/>
      <c r="G606" s="207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</row>
    <row r="607" ht="26.25" customHeight="1" s="251">
      <c r="A607" s="208" t="n"/>
      <c r="B607" s="208" t="n"/>
      <c r="C607" s="207" t="n"/>
      <c r="D607" s="207" t="n"/>
      <c r="E607" s="207" t="n"/>
      <c r="F607" s="207" t="n"/>
      <c r="G607" s="207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</row>
    <row r="608" ht="26.25" customHeight="1" s="251">
      <c r="A608" s="208" t="n"/>
      <c r="B608" s="208" t="n"/>
      <c r="C608" s="207" t="n"/>
      <c r="D608" s="207" t="n"/>
      <c r="E608" s="207" t="n"/>
      <c r="F608" s="207" t="n"/>
      <c r="G608" s="207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</row>
    <row r="609" ht="26.25" customHeight="1" s="251">
      <c r="A609" s="208" t="n"/>
      <c r="B609" s="208" t="n"/>
      <c r="C609" s="207" t="n"/>
      <c r="D609" s="207" t="n"/>
      <c r="E609" s="207" t="n"/>
      <c r="F609" s="207" t="n"/>
      <c r="G609" s="207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</row>
    <row r="610" ht="26.25" customHeight="1" s="251">
      <c r="A610" s="208" t="n"/>
      <c r="B610" s="208" t="n"/>
      <c r="C610" s="207" t="n"/>
      <c r="D610" s="207" t="n"/>
      <c r="E610" s="207" t="n"/>
      <c r="F610" s="207" t="n"/>
      <c r="G610" s="207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</row>
    <row r="611" ht="26.25" customHeight="1" s="251">
      <c r="A611" s="208" t="n"/>
      <c r="B611" s="208" t="n"/>
      <c r="C611" s="207" t="n"/>
      <c r="D611" s="207" t="n"/>
      <c r="E611" s="207" t="n"/>
      <c r="F611" s="207" t="n"/>
      <c r="G611" s="207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</row>
    <row r="612" ht="26.25" customHeight="1" s="251">
      <c r="A612" s="208" t="n"/>
      <c r="B612" s="208" t="n"/>
      <c r="C612" s="207" t="n"/>
      <c r="D612" s="207" t="n"/>
      <c r="E612" s="207" t="n"/>
      <c r="F612" s="207" t="n"/>
      <c r="G612" s="207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</row>
    <row r="613" ht="26.25" customHeight="1" s="251">
      <c r="A613" s="208" t="n"/>
      <c r="B613" s="208" t="n"/>
      <c r="C613" s="207" t="n"/>
      <c r="D613" s="207" t="n"/>
      <c r="E613" s="207" t="n"/>
      <c r="F613" s="207" t="n"/>
      <c r="G613" s="207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</row>
    <row r="614" ht="26.25" customHeight="1" s="251">
      <c r="A614" s="208" t="n"/>
      <c r="B614" s="208" t="n"/>
      <c r="C614" s="207" t="n"/>
      <c r="D614" s="207" t="n"/>
      <c r="E614" s="207" t="n"/>
      <c r="F614" s="207" t="n"/>
      <c r="G614" s="207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</row>
    <row r="615" ht="26.25" customHeight="1" s="251">
      <c r="A615" s="208" t="n"/>
      <c r="B615" s="208" t="n"/>
      <c r="C615" s="207" t="n"/>
      <c r="D615" s="207" t="n"/>
      <c r="E615" s="207" t="n"/>
      <c r="F615" s="207" t="n"/>
      <c r="G615" s="207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</row>
    <row r="616" ht="26.25" customHeight="1" s="251">
      <c r="A616" s="208" t="n"/>
      <c r="B616" s="208" t="n"/>
      <c r="C616" s="207" t="n"/>
      <c r="D616" s="207" t="n"/>
      <c r="E616" s="207" t="n"/>
      <c r="F616" s="207" t="n"/>
      <c r="G616" s="207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</row>
    <row r="617" ht="26.25" customHeight="1" s="251">
      <c r="A617" s="208" t="n"/>
      <c r="B617" s="208" t="n"/>
      <c r="C617" s="207" t="n"/>
      <c r="D617" s="207" t="n"/>
      <c r="E617" s="207" t="n"/>
      <c r="F617" s="207" t="n"/>
      <c r="G617" s="207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</row>
    <row r="618" ht="26.25" customHeight="1" s="251">
      <c r="A618" s="208" t="n"/>
      <c r="B618" s="208" t="n"/>
      <c r="C618" s="207" t="n"/>
      <c r="D618" s="207" t="n"/>
      <c r="E618" s="207" t="n"/>
      <c r="F618" s="207" t="n"/>
      <c r="G618" s="207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</row>
    <row r="619" ht="26.25" customHeight="1" s="251">
      <c r="A619" s="208" t="n"/>
      <c r="B619" s="208" t="n"/>
      <c r="C619" s="207" t="n"/>
      <c r="D619" s="207" t="n"/>
      <c r="E619" s="207" t="n"/>
      <c r="F619" s="207" t="n"/>
      <c r="G619" s="207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</row>
    <row r="620" ht="26.25" customHeight="1" s="251">
      <c r="A620" s="208" t="n"/>
      <c r="B620" s="208" t="n"/>
      <c r="C620" s="207" t="n"/>
      <c r="D620" s="207" t="n"/>
      <c r="E620" s="207" t="n"/>
      <c r="F620" s="207" t="n"/>
      <c r="G620" s="207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</row>
    <row r="621" ht="26.25" customHeight="1" s="251">
      <c r="A621" s="208" t="n"/>
      <c r="B621" s="208" t="n"/>
      <c r="C621" s="207" t="n"/>
      <c r="D621" s="207" t="n"/>
      <c r="E621" s="207" t="n"/>
      <c r="F621" s="207" t="n"/>
      <c r="G621" s="207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</row>
    <row r="622" ht="26.25" customHeight="1" s="251">
      <c r="A622" s="208" t="n"/>
      <c r="B622" s="208" t="n"/>
      <c r="C622" s="207" t="n"/>
      <c r="D622" s="207" t="n"/>
      <c r="E622" s="207" t="n"/>
      <c r="F622" s="207" t="n"/>
      <c r="G622" s="207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</row>
    <row r="623" ht="26.25" customHeight="1" s="251">
      <c r="A623" s="208" t="n"/>
      <c r="B623" s="208" t="n"/>
      <c r="C623" s="207" t="n"/>
      <c r="D623" s="207" t="n"/>
      <c r="E623" s="207" t="n"/>
      <c r="F623" s="207" t="n"/>
      <c r="G623" s="207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</row>
    <row r="624" ht="26.25" customHeight="1" s="251">
      <c r="A624" s="208" t="n"/>
      <c r="B624" s="208" t="n"/>
      <c r="C624" s="207" t="n"/>
      <c r="D624" s="207" t="n"/>
      <c r="E624" s="207" t="n"/>
      <c r="F624" s="207" t="n"/>
      <c r="G624" s="207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</row>
    <row r="625" ht="26.25" customHeight="1" s="251">
      <c r="A625" s="208" t="n"/>
      <c r="B625" s="208" t="n"/>
      <c r="C625" s="207" t="n"/>
      <c r="D625" s="207" t="n"/>
      <c r="E625" s="207" t="n"/>
      <c r="F625" s="207" t="n"/>
      <c r="G625" s="207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</row>
    <row r="626" ht="26.25" customHeight="1" s="251">
      <c r="A626" s="208" t="n"/>
      <c r="B626" s="208" t="n"/>
      <c r="C626" s="207" t="n"/>
      <c r="D626" s="207" t="n"/>
      <c r="E626" s="207" t="n"/>
      <c r="F626" s="207" t="n"/>
      <c r="G626" s="207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</row>
    <row r="627" ht="26.25" customHeight="1" s="251">
      <c r="A627" s="208" t="n"/>
      <c r="B627" s="208" t="n"/>
      <c r="C627" s="207" t="n"/>
      <c r="D627" s="207" t="n"/>
      <c r="E627" s="207" t="n"/>
      <c r="F627" s="207" t="n"/>
      <c r="G627" s="207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</row>
    <row r="628" ht="26.25" customHeight="1" s="251">
      <c r="A628" s="208" t="n"/>
      <c r="B628" s="208" t="n"/>
      <c r="C628" s="207" t="n"/>
      <c r="D628" s="207" t="n"/>
      <c r="E628" s="207" t="n"/>
      <c r="F628" s="207" t="n"/>
      <c r="G628" s="207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</row>
    <row r="629" ht="26.25" customHeight="1" s="251">
      <c r="A629" s="208" t="n"/>
      <c r="B629" s="208" t="n"/>
      <c r="C629" s="207" t="n"/>
      <c r="D629" s="207" t="n"/>
      <c r="E629" s="207" t="n"/>
      <c r="F629" s="207" t="n"/>
      <c r="G629" s="207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</row>
    <row r="630" ht="26.25" customHeight="1" s="251">
      <c r="A630" s="208" t="n"/>
      <c r="B630" s="208" t="n"/>
      <c r="C630" s="207" t="n"/>
      <c r="D630" s="207" t="n"/>
      <c r="E630" s="207" t="n"/>
      <c r="F630" s="207" t="n"/>
      <c r="G630" s="207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</row>
    <row r="631" ht="26.25" customHeight="1" s="251">
      <c r="A631" s="208" t="n"/>
      <c r="B631" s="208" t="n"/>
      <c r="C631" s="207" t="n"/>
      <c r="D631" s="207" t="n"/>
      <c r="E631" s="207" t="n"/>
      <c r="F631" s="207" t="n"/>
      <c r="G631" s="207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</row>
    <row r="632" ht="26.25" customHeight="1" s="251">
      <c r="A632" s="208" t="n"/>
      <c r="B632" s="208" t="n"/>
      <c r="C632" s="207" t="n"/>
      <c r="D632" s="207" t="n"/>
      <c r="E632" s="207" t="n"/>
      <c r="F632" s="207" t="n"/>
      <c r="G632" s="207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</row>
    <row r="633" ht="26.25" customHeight="1" s="251">
      <c r="A633" s="208" t="n"/>
      <c r="B633" s="208" t="n"/>
      <c r="C633" s="207" t="n"/>
      <c r="D633" s="207" t="n"/>
      <c r="E633" s="207" t="n"/>
      <c r="F633" s="207" t="n"/>
      <c r="G633" s="207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</row>
    <row r="634" ht="26.25" customHeight="1" s="251">
      <c r="A634" s="208" t="n"/>
      <c r="B634" s="208" t="n"/>
      <c r="C634" s="207" t="n"/>
      <c r="D634" s="207" t="n"/>
      <c r="E634" s="207" t="n"/>
      <c r="F634" s="207" t="n"/>
      <c r="G634" s="207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</row>
    <row r="635" ht="26.25" customHeight="1" s="251">
      <c r="A635" s="208" t="n"/>
      <c r="B635" s="208" t="n"/>
      <c r="C635" s="207" t="n"/>
      <c r="D635" s="207" t="n"/>
      <c r="E635" s="207" t="n"/>
      <c r="F635" s="207" t="n"/>
      <c r="G635" s="207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</row>
    <row r="636" ht="26.25" customHeight="1" s="251">
      <c r="A636" s="208" t="n"/>
      <c r="B636" s="208" t="n"/>
      <c r="C636" s="207" t="n"/>
      <c r="D636" s="207" t="n"/>
      <c r="E636" s="207" t="n"/>
      <c r="F636" s="207" t="n"/>
      <c r="G636" s="207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</row>
    <row r="637" ht="26.25" customHeight="1" s="251">
      <c r="A637" s="208" t="n"/>
      <c r="B637" s="208" t="n"/>
      <c r="C637" s="207" t="n"/>
      <c r="D637" s="207" t="n"/>
      <c r="E637" s="207" t="n"/>
      <c r="F637" s="207" t="n"/>
      <c r="G637" s="207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</row>
    <row r="638" ht="26.25" customHeight="1" s="251">
      <c r="A638" s="208" t="n"/>
      <c r="B638" s="208" t="n"/>
      <c r="C638" s="207" t="n"/>
      <c r="D638" s="207" t="n"/>
      <c r="E638" s="207" t="n"/>
      <c r="F638" s="207" t="n"/>
      <c r="G638" s="207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</row>
    <row r="639" ht="26.25" customHeight="1" s="251">
      <c r="A639" s="208" t="n"/>
      <c r="B639" s="208" t="n"/>
      <c r="C639" s="207" t="n"/>
      <c r="D639" s="207" t="n"/>
      <c r="E639" s="207" t="n"/>
      <c r="F639" s="207" t="n"/>
      <c r="G639" s="207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</row>
    <row r="640" ht="26.25" customHeight="1" s="251">
      <c r="A640" s="208" t="n"/>
      <c r="B640" s="208" t="n"/>
      <c r="C640" s="207" t="n"/>
      <c r="D640" s="207" t="n"/>
      <c r="E640" s="207" t="n"/>
      <c r="F640" s="207" t="n"/>
      <c r="G640" s="207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</row>
    <row r="641" ht="26.25" customHeight="1" s="251">
      <c r="A641" s="208" t="n"/>
      <c r="B641" s="208" t="n"/>
      <c r="C641" s="207" t="n"/>
      <c r="D641" s="207" t="n"/>
      <c r="E641" s="207" t="n"/>
      <c r="F641" s="207" t="n"/>
      <c r="G641" s="207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</row>
    <row r="642" ht="26.25" customHeight="1" s="251">
      <c r="A642" s="208" t="n"/>
      <c r="B642" s="208" t="n"/>
      <c r="C642" s="207" t="n"/>
      <c r="D642" s="207" t="n"/>
      <c r="E642" s="207" t="n"/>
      <c r="F642" s="207" t="n"/>
      <c r="G642" s="207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</row>
    <row r="643" ht="26.25" customHeight="1" s="251">
      <c r="A643" s="208" t="n"/>
      <c r="B643" s="208" t="n"/>
      <c r="C643" s="207" t="n"/>
      <c r="D643" s="207" t="n"/>
      <c r="E643" s="207" t="n"/>
      <c r="F643" s="207" t="n"/>
      <c r="G643" s="207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</row>
    <row r="644" ht="26.25" customHeight="1" s="251">
      <c r="A644" s="208" t="n"/>
      <c r="B644" s="208" t="n"/>
      <c r="C644" s="207" t="n"/>
      <c r="D644" s="207" t="n"/>
      <c r="E644" s="207" t="n"/>
      <c r="F644" s="207" t="n"/>
      <c r="G644" s="207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</row>
    <row r="645" ht="26.25" customHeight="1" s="251">
      <c r="A645" s="208" t="n"/>
      <c r="B645" s="208" t="n"/>
      <c r="C645" s="207" t="n"/>
      <c r="D645" s="207" t="n"/>
      <c r="E645" s="207" t="n"/>
      <c r="F645" s="207" t="n"/>
      <c r="G645" s="207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</row>
    <row r="646" ht="26.25" customHeight="1" s="251">
      <c r="A646" s="208" t="n"/>
      <c r="B646" s="208" t="n"/>
      <c r="C646" s="207" t="n"/>
      <c r="D646" s="207" t="n"/>
      <c r="E646" s="207" t="n"/>
      <c r="F646" s="207" t="n"/>
      <c r="G646" s="207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</row>
    <row r="647" ht="26.25" customHeight="1" s="251">
      <c r="A647" s="208" t="n"/>
      <c r="B647" s="208" t="n"/>
      <c r="C647" s="207" t="n"/>
      <c r="D647" s="207" t="n"/>
      <c r="E647" s="207" t="n"/>
      <c r="F647" s="207" t="n"/>
      <c r="G647" s="207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</row>
    <row r="648" ht="26.25" customHeight="1" s="251">
      <c r="A648" s="208" t="n"/>
      <c r="B648" s="208" t="n"/>
      <c r="C648" s="207" t="n"/>
      <c r="D648" s="207" t="n"/>
      <c r="E648" s="207" t="n"/>
      <c r="F648" s="207" t="n"/>
      <c r="G648" s="207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</row>
    <row r="649" ht="26.25" customHeight="1" s="251">
      <c r="A649" s="208" t="n"/>
      <c r="B649" s="208" t="n"/>
      <c r="C649" s="207" t="n"/>
      <c r="D649" s="207" t="n"/>
      <c r="E649" s="207" t="n"/>
      <c r="F649" s="207" t="n"/>
      <c r="G649" s="207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</row>
    <row r="650" ht="26.25" customHeight="1" s="251">
      <c r="A650" s="208" t="n"/>
      <c r="B650" s="208" t="n"/>
      <c r="C650" s="207" t="n"/>
      <c r="D650" s="207" t="n"/>
      <c r="E650" s="207" t="n"/>
      <c r="F650" s="207" t="n"/>
      <c r="G650" s="207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</row>
    <row r="651" ht="26.25" customHeight="1" s="251">
      <c r="A651" s="208" t="n"/>
      <c r="B651" s="208" t="n"/>
      <c r="C651" s="207" t="n"/>
      <c r="D651" s="207" t="n"/>
      <c r="E651" s="207" t="n"/>
      <c r="F651" s="207" t="n"/>
      <c r="G651" s="207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</row>
    <row r="652" ht="26.25" customHeight="1" s="251">
      <c r="A652" s="208" t="n"/>
      <c r="B652" s="208" t="n"/>
      <c r="C652" s="207" t="n"/>
      <c r="D652" s="207" t="n"/>
      <c r="E652" s="207" t="n"/>
      <c r="F652" s="207" t="n"/>
      <c r="G652" s="207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</row>
    <row r="653" ht="26.25" customHeight="1" s="251">
      <c r="A653" s="208" t="n"/>
      <c r="B653" s="208" t="n"/>
      <c r="C653" s="207" t="n"/>
      <c r="D653" s="207" t="n"/>
      <c r="E653" s="207" t="n"/>
      <c r="F653" s="207" t="n"/>
      <c r="G653" s="207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</row>
    <row r="654" ht="26.25" customHeight="1" s="251">
      <c r="A654" s="208" t="n"/>
      <c r="B654" s="208" t="n"/>
      <c r="C654" s="207" t="n"/>
      <c r="D654" s="207" t="n"/>
      <c r="E654" s="207" t="n"/>
      <c r="F654" s="207" t="n"/>
      <c r="G654" s="207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</row>
    <row r="655" ht="26.25" customHeight="1" s="251">
      <c r="A655" s="208" t="n"/>
      <c r="B655" s="208" t="n"/>
      <c r="C655" s="207" t="n"/>
      <c r="D655" s="207" t="n"/>
      <c r="E655" s="207" t="n"/>
      <c r="F655" s="207" t="n"/>
      <c r="G655" s="207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</row>
    <row r="656" ht="26.25" customHeight="1" s="251">
      <c r="A656" s="208" t="n"/>
      <c r="B656" s="208" t="n"/>
      <c r="C656" s="207" t="n"/>
      <c r="D656" s="207" t="n"/>
      <c r="E656" s="207" t="n"/>
      <c r="F656" s="207" t="n"/>
      <c r="G656" s="207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</row>
    <row r="657" ht="26.25" customHeight="1" s="251">
      <c r="A657" s="208" t="n"/>
      <c r="B657" s="208" t="n"/>
      <c r="C657" s="207" t="n"/>
      <c r="D657" s="207" t="n"/>
      <c r="E657" s="207" t="n"/>
      <c r="F657" s="207" t="n"/>
      <c r="G657" s="207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</row>
    <row r="658" ht="26.25" customHeight="1" s="251">
      <c r="A658" s="208" t="n"/>
      <c r="B658" s="208" t="n"/>
      <c r="C658" s="207" t="n"/>
      <c r="D658" s="207" t="n"/>
      <c r="E658" s="207" t="n"/>
      <c r="F658" s="207" t="n"/>
      <c r="G658" s="207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</row>
    <row r="659" ht="26.25" customHeight="1" s="251">
      <c r="A659" s="208" t="n"/>
      <c r="B659" s="208" t="n"/>
      <c r="C659" s="207" t="n"/>
      <c r="D659" s="207" t="n"/>
      <c r="E659" s="207" t="n"/>
      <c r="F659" s="207" t="n"/>
      <c r="G659" s="207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</row>
    <row r="660" ht="26.25" customHeight="1" s="251">
      <c r="A660" s="208" t="n"/>
      <c r="B660" s="208" t="n"/>
      <c r="C660" s="207" t="n"/>
      <c r="D660" s="207" t="n"/>
      <c r="E660" s="207" t="n"/>
      <c r="F660" s="207" t="n"/>
      <c r="G660" s="207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</row>
    <row r="661" ht="26.25" customHeight="1" s="251">
      <c r="A661" s="208" t="n"/>
      <c r="B661" s="208" t="n"/>
      <c r="C661" s="207" t="n"/>
      <c r="D661" s="207" t="n"/>
      <c r="E661" s="207" t="n"/>
      <c r="F661" s="207" t="n"/>
      <c r="G661" s="207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</row>
    <row r="662" ht="26.25" customHeight="1" s="251">
      <c r="A662" s="208" t="n"/>
      <c r="B662" s="208" t="n"/>
      <c r="C662" s="207" t="n"/>
      <c r="D662" s="207" t="n"/>
      <c r="E662" s="207" t="n"/>
      <c r="F662" s="207" t="n"/>
      <c r="G662" s="207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</row>
    <row r="663" ht="26.25" customHeight="1" s="251">
      <c r="A663" s="208" t="n"/>
      <c r="B663" s="208" t="n"/>
      <c r="C663" s="207" t="n"/>
      <c r="D663" s="207" t="n"/>
      <c r="E663" s="207" t="n"/>
      <c r="F663" s="207" t="n"/>
      <c r="G663" s="207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</row>
    <row r="664" ht="26.25" customHeight="1" s="251">
      <c r="A664" s="208" t="n"/>
      <c r="B664" s="208" t="n"/>
      <c r="C664" s="207" t="n"/>
      <c r="D664" s="207" t="n"/>
      <c r="E664" s="207" t="n"/>
      <c r="F664" s="207" t="n"/>
      <c r="G664" s="207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</row>
    <row r="665" ht="26.25" customHeight="1" s="251">
      <c r="A665" s="208" t="n"/>
      <c r="B665" s="208" t="n"/>
      <c r="C665" s="207" t="n"/>
      <c r="D665" s="207" t="n"/>
      <c r="E665" s="207" t="n"/>
      <c r="F665" s="207" t="n"/>
      <c r="G665" s="207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</row>
    <row r="666" ht="26.25" customHeight="1" s="251">
      <c r="A666" s="208" t="n"/>
      <c r="B666" s="208" t="n"/>
      <c r="C666" s="207" t="n"/>
      <c r="D666" s="207" t="n"/>
      <c r="E666" s="207" t="n"/>
      <c r="F666" s="207" t="n"/>
      <c r="G666" s="207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</row>
    <row r="667" ht="26.25" customHeight="1" s="251">
      <c r="A667" s="208" t="n"/>
      <c r="B667" s="208" t="n"/>
      <c r="C667" s="207" t="n"/>
      <c r="D667" s="207" t="n"/>
      <c r="E667" s="207" t="n"/>
      <c r="F667" s="207" t="n"/>
      <c r="G667" s="207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</row>
    <row r="668" ht="26.25" customHeight="1" s="251">
      <c r="A668" s="208" t="n"/>
      <c r="B668" s="208" t="n"/>
      <c r="C668" s="207" t="n"/>
      <c r="D668" s="207" t="n"/>
      <c r="E668" s="207" t="n"/>
      <c r="F668" s="207" t="n"/>
      <c r="G668" s="207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</row>
    <row r="669" ht="26.25" customHeight="1" s="251">
      <c r="A669" s="208" t="n"/>
      <c r="B669" s="208" t="n"/>
      <c r="C669" s="207" t="n"/>
      <c r="D669" s="207" t="n"/>
      <c r="E669" s="207" t="n"/>
      <c r="F669" s="207" t="n"/>
      <c r="G669" s="207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</row>
    <row r="670" ht="26.25" customHeight="1" s="251">
      <c r="A670" s="208" t="n"/>
      <c r="B670" s="208" t="n"/>
      <c r="C670" s="207" t="n"/>
      <c r="D670" s="207" t="n"/>
      <c r="E670" s="207" t="n"/>
      <c r="F670" s="207" t="n"/>
      <c r="G670" s="207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</row>
    <row r="671" ht="26.25" customHeight="1" s="251">
      <c r="A671" s="208" t="n"/>
      <c r="B671" s="208" t="n"/>
      <c r="C671" s="207" t="n"/>
      <c r="D671" s="207" t="n"/>
      <c r="E671" s="207" t="n"/>
      <c r="F671" s="207" t="n"/>
      <c r="G671" s="207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</row>
    <row r="672" ht="26.25" customHeight="1" s="251">
      <c r="A672" s="208" t="n"/>
      <c r="B672" s="208" t="n"/>
      <c r="C672" s="207" t="n"/>
      <c r="D672" s="207" t="n"/>
      <c r="E672" s="207" t="n"/>
      <c r="F672" s="207" t="n"/>
      <c r="G672" s="207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</row>
    <row r="673" ht="26.25" customHeight="1" s="251">
      <c r="A673" s="208" t="n"/>
      <c r="B673" s="208" t="n"/>
      <c r="C673" s="207" t="n"/>
      <c r="D673" s="207" t="n"/>
      <c r="E673" s="207" t="n"/>
      <c r="F673" s="207" t="n"/>
      <c r="G673" s="207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</row>
    <row r="674" ht="26.25" customHeight="1" s="251">
      <c r="A674" s="208" t="n"/>
      <c r="B674" s="208" t="n"/>
      <c r="C674" s="207" t="n"/>
      <c r="D674" s="207" t="n"/>
      <c r="E674" s="207" t="n"/>
      <c r="F674" s="207" t="n"/>
      <c r="G674" s="207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</row>
    <row r="675" ht="26.25" customHeight="1" s="251">
      <c r="A675" s="208" t="n"/>
      <c r="B675" s="208" t="n"/>
      <c r="C675" s="207" t="n"/>
      <c r="D675" s="207" t="n"/>
      <c r="E675" s="207" t="n"/>
      <c r="F675" s="207" t="n"/>
      <c r="G675" s="207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</row>
    <row r="676" ht="26.25" customHeight="1" s="251">
      <c r="A676" s="208" t="n"/>
      <c r="B676" s="208" t="n"/>
      <c r="C676" s="207" t="n"/>
      <c r="D676" s="207" t="n"/>
      <c r="E676" s="207" t="n"/>
      <c r="F676" s="207" t="n"/>
      <c r="G676" s="207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</row>
    <row r="677" ht="26.25" customHeight="1" s="251">
      <c r="A677" s="208" t="n"/>
      <c r="B677" s="208" t="n"/>
      <c r="C677" s="207" t="n"/>
      <c r="D677" s="207" t="n"/>
      <c r="E677" s="207" t="n"/>
      <c r="F677" s="207" t="n"/>
      <c r="G677" s="207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</row>
    <row r="678" ht="26.25" customHeight="1" s="251">
      <c r="A678" s="208" t="n"/>
      <c r="B678" s="208" t="n"/>
      <c r="C678" s="207" t="n"/>
      <c r="D678" s="207" t="n"/>
      <c r="E678" s="207" t="n"/>
      <c r="F678" s="207" t="n"/>
      <c r="G678" s="207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</row>
    <row r="679" ht="26.25" customHeight="1" s="251">
      <c r="A679" s="208" t="n"/>
      <c r="B679" s="208" t="n"/>
      <c r="C679" s="207" t="n"/>
      <c r="D679" s="207" t="n"/>
      <c r="E679" s="207" t="n"/>
      <c r="F679" s="207" t="n"/>
      <c r="G679" s="207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</row>
    <row r="680" ht="26.25" customHeight="1" s="251">
      <c r="A680" s="208" t="n"/>
      <c r="B680" s="208" t="n"/>
      <c r="C680" s="207" t="n"/>
      <c r="D680" s="207" t="n"/>
      <c r="E680" s="207" t="n"/>
      <c r="F680" s="207" t="n"/>
      <c r="G680" s="207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</row>
    <row r="681" ht="26.25" customHeight="1" s="251">
      <c r="A681" s="208" t="n"/>
      <c r="B681" s="208" t="n"/>
      <c r="C681" s="207" t="n"/>
      <c r="D681" s="207" t="n"/>
      <c r="E681" s="207" t="n"/>
      <c r="F681" s="207" t="n"/>
      <c r="G681" s="207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</row>
    <row r="682" ht="26.25" customHeight="1" s="251">
      <c r="A682" s="208" t="n"/>
      <c r="B682" s="208" t="n"/>
      <c r="C682" s="207" t="n"/>
      <c r="D682" s="207" t="n"/>
      <c r="E682" s="207" t="n"/>
      <c r="F682" s="207" t="n"/>
      <c r="G682" s="207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</row>
    <row r="683" ht="26.25" customHeight="1" s="251">
      <c r="A683" s="208" t="n"/>
      <c r="B683" s="208" t="n"/>
      <c r="C683" s="207" t="n"/>
      <c r="D683" s="207" t="n"/>
      <c r="E683" s="207" t="n"/>
      <c r="F683" s="207" t="n"/>
      <c r="G683" s="207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</row>
    <row r="684" ht="26.25" customHeight="1" s="251">
      <c r="A684" s="208" t="n"/>
      <c r="B684" s="208" t="n"/>
      <c r="C684" s="207" t="n"/>
      <c r="D684" s="207" t="n"/>
      <c r="E684" s="207" t="n"/>
      <c r="F684" s="207" t="n"/>
      <c r="G684" s="207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</row>
    <row r="685" ht="26.25" customHeight="1" s="251">
      <c r="A685" s="208" t="n"/>
      <c r="B685" s="208" t="n"/>
      <c r="C685" s="207" t="n"/>
      <c r="D685" s="207" t="n"/>
      <c r="E685" s="207" t="n"/>
      <c r="F685" s="207" t="n"/>
      <c r="G685" s="207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</row>
    <row r="686" ht="26.25" customHeight="1" s="251">
      <c r="A686" s="208" t="n"/>
      <c r="B686" s="208" t="n"/>
      <c r="C686" s="207" t="n"/>
      <c r="D686" s="207" t="n"/>
      <c r="E686" s="207" t="n"/>
      <c r="F686" s="207" t="n"/>
      <c r="G686" s="207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</row>
    <row r="687" ht="26.25" customHeight="1" s="251">
      <c r="A687" s="208" t="n"/>
      <c r="B687" s="208" t="n"/>
      <c r="C687" s="207" t="n"/>
      <c r="D687" s="207" t="n"/>
      <c r="E687" s="207" t="n"/>
      <c r="F687" s="207" t="n"/>
      <c r="G687" s="207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</row>
    <row r="688" ht="26.25" customHeight="1" s="251">
      <c r="A688" s="208" t="n"/>
      <c r="B688" s="208" t="n"/>
      <c r="C688" s="207" t="n"/>
      <c r="D688" s="207" t="n"/>
      <c r="E688" s="207" t="n"/>
      <c r="F688" s="207" t="n"/>
      <c r="G688" s="207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</row>
    <row r="689" ht="26.25" customHeight="1" s="251">
      <c r="A689" s="208" t="n"/>
      <c r="B689" s="208" t="n"/>
      <c r="C689" s="207" t="n"/>
      <c r="D689" s="207" t="n"/>
      <c r="E689" s="207" t="n"/>
      <c r="F689" s="207" t="n"/>
      <c r="G689" s="207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</row>
    <row r="690" ht="26.25" customHeight="1" s="251">
      <c r="A690" s="208" t="n"/>
      <c r="B690" s="208" t="n"/>
      <c r="C690" s="207" t="n"/>
      <c r="D690" s="207" t="n"/>
      <c r="E690" s="207" t="n"/>
      <c r="F690" s="207" t="n"/>
      <c r="G690" s="207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</row>
    <row r="691" ht="26.25" customHeight="1" s="251">
      <c r="A691" s="208" t="n"/>
      <c r="B691" s="208" t="n"/>
      <c r="C691" s="207" t="n"/>
      <c r="D691" s="207" t="n"/>
      <c r="E691" s="207" t="n"/>
      <c r="F691" s="207" t="n"/>
      <c r="G691" s="207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</row>
    <row r="692" ht="26.25" customHeight="1" s="251">
      <c r="A692" s="208" t="n"/>
      <c r="B692" s="208" t="n"/>
      <c r="C692" s="207" t="n"/>
      <c r="D692" s="207" t="n"/>
      <c r="E692" s="207" t="n"/>
      <c r="F692" s="207" t="n"/>
      <c r="G692" s="207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</row>
    <row r="693" ht="26.25" customHeight="1" s="251">
      <c r="A693" s="208" t="n"/>
      <c r="B693" s="208" t="n"/>
      <c r="C693" s="207" t="n"/>
      <c r="D693" s="207" t="n"/>
      <c r="E693" s="207" t="n"/>
      <c r="F693" s="207" t="n"/>
      <c r="G693" s="207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</row>
    <row r="694" ht="26.25" customHeight="1" s="251">
      <c r="A694" s="208" t="n"/>
      <c r="B694" s="208" t="n"/>
      <c r="C694" s="207" t="n"/>
      <c r="D694" s="207" t="n"/>
      <c r="E694" s="207" t="n"/>
      <c r="F694" s="207" t="n"/>
      <c r="G694" s="207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</row>
    <row r="695" ht="26.25" customHeight="1" s="251">
      <c r="A695" s="208" t="n"/>
      <c r="B695" s="208" t="n"/>
      <c r="C695" s="207" t="n"/>
      <c r="D695" s="207" t="n"/>
      <c r="E695" s="207" t="n"/>
      <c r="F695" s="207" t="n"/>
      <c r="G695" s="207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</row>
    <row r="696" ht="26.25" customHeight="1" s="251">
      <c r="A696" s="208" t="n"/>
      <c r="B696" s="208" t="n"/>
      <c r="C696" s="207" t="n"/>
      <c r="D696" s="207" t="n"/>
      <c r="E696" s="207" t="n"/>
      <c r="F696" s="207" t="n"/>
      <c r="G696" s="207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</row>
    <row r="697" ht="26.25" customHeight="1" s="251">
      <c r="A697" s="208" t="n"/>
      <c r="B697" s="208" t="n"/>
      <c r="C697" s="207" t="n"/>
      <c r="D697" s="207" t="n"/>
      <c r="E697" s="207" t="n"/>
      <c r="F697" s="207" t="n"/>
      <c r="G697" s="207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</row>
    <row r="698" ht="26.25" customHeight="1" s="251">
      <c r="A698" s="208" t="n"/>
      <c r="B698" s="208" t="n"/>
      <c r="C698" s="207" t="n"/>
      <c r="D698" s="207" t="n"/>
      <c r="E698" s="207" t="n"/>
      <c r="F698" s="207" t="n"/>
      <c r="G698" s="207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</row>
    <row r="699" ht="26.25" customHeight="1" s="251">
      <c r="A699" s="208" t="n"/>
      <c r="B699" s="208" t="n"/>
      <c r="C699" s="207" t="n"/>
      <c r="D699" s="207" t="n"/>
      <c r="E699" s="207" t="n"/>
      <c r="F699" s="207" t="n"/>
      <c r="G699" s="207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</row>
    <row r="700" ht="26.25" customHeight="1" s="251">
      <c r="A700" s="208" t="n"/>
      <c r="B700" s="208" t="n"/>
      <c r="C700" s="207" t="n"/>
      <c r="D700" s="207" t="n"/>
      <c r="E700" s="207" t="n"/>
      <c r="F700" s="207" t="n"/>
      <c r="G700" s="207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</row>
    <row r="701" ht="26.25" customHeight="1" s="251">
      <c r="A701" s="208" t="n"/>
      <c r="B701" s="208" t="n"/>
      <c r="C701" s="207" t="n"/>
      <c r="D701" s="207" t="n"/>
      <c r="E701" s="207" t="n"/>
      <c r="F701" s="207" t="n"/>
      <c r="G701" s="207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</row>
    <row r="702" ht="26.25" customHeight="1" s="251">
      <c r="A702" s="208" t="n"/>
      <c r="B702" s="208" t="n"/>
      <c r="C702" s="207" t="n"/>
      <c r="D702" s="207" t="n"/>
      <c r="E702" s="207" t="n"/>
      <c r="F702" s="207" t="n"/>
      <c r="G702" s="207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</row>
    <row r="703" ht="26.25" customHeight="1" s="251">
      <c r="A703" s="208" t="n"/>
      <c r="B703" s="208" t="n"/>
      <c r="C703" s="207" t="n"/>
      <c r="D703" s="207" t="n"/>
      <c r="E703" s="207" t="n"/>
      <c r="F703" s="207" t="n"/>
      <c r="G703" s="207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</row>
    <row r="704" ht="26.25" customHeight="1" s="251">
      <c r="A704" s="208" t="n"/>
      <c r="B704" s="208" t="n"/>
      <c r="C704" s="207" t="n"/>
      <c r="D704" s="207" t="n"/>
      <c r="E704" s="207" t="n"/>
      <c r="F704" s="207" t="n"/>
      <c r="G704" s="207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</row>
    <row r="705" ht="26.25" customHeight="1" s="251">
      <c r="A705" s="208" t="n"/>
      <c r="B705" s="208" t="n"/>
      <c r="C705" s="207" t="n"/>
      <c r="D705" s="207" t="n"/>
      <c r="E705" s="207" t="n"/>
      <c r="F705" s="207" t="n"/>
      <c r="G705" s="207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</row>
    <row r="706" ht="26.25" customHeight="1" s="251">
      <c r="A706" s="208" t="n"/>
      <c r="B706" s="208" t="n"/>
      <c r="C706" s="207" t="n"/>
      <c r="D706" s="207" t="n"/>
      <c r="E706" s="207" t="n"/>
      <c r="F706" s="207" t="n"/>
      <c r="G706" s="207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</row>
    <row r="707" ht="26.25" customHeight="1" s="251">
      <c r="A707" s="208" t="n"/>
      <c r="B707" s="208" t="n"/>
      <c r="C707" s="207" t="n"/>
      <c r="D707" s="207" t="n"/>
      <c r="E707" s="207" t="n"/>
      <c r="F707" s="207" t="n"/>
      <c r="G707" s="207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</row>
    <row r="708" ht="26.25" customHeight="1" s="251">
      <c r="A708" s="208" t="n"/>
      <c r="B708" s="208" t="n"/>
      <c r="C708" s="207" t="n"/>
      <c r="D708" s="207" t="n"/>
      <c r="E708" s="207" t="n"/>
      <c r="F708" s="207" t="n"/>
      <c r="G708" s="207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</row>
    <row r="709" ht="26.25" customHeight="1" s="251">
      <c r="A709" s="208" t="n"/>
      <c r="B709" s="208" t="n"/>
      <c r="C709" s="207" t="n"/>
      <c r="D709" s="207" t="n"/>
      <c r="E709" s="207" t="n"/>
      <c r="F709" s="207" t="n"/>
      <c r="G709" s="207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</row>
    <row r="710" ht="26.25" customHeight="1" s="251">
      <c r="A710" s="208" t="n"/>
      <c r="B710" s="208" t="n"/>
      <c r="C710" s="207" t="n"/>
      <c r="D710" s="207" t="n"/>
      <c r="E710" s="207" t="n"/>
      <c r="F710" s="207" t="n"/>
      <c r="G710" s="207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</row>
    <row r="711" ht="26.25" customHeight="1" s="251">
      <c r="A711" s="208" t="n"/>
      <c r="B711" s="208" t="n"/>
      <c r="C711" s="207" t="n"/>
      <c r="D711" s="207" t="n"/>
      <c r="E711" s="207" t="n"/>
      <c r="F711" s="207" t="n"/>
      <c r="G711" s="207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</row>
    <row r="712" ht="26.25" customHeight="1" s="251">
      <c r="A712" s="208" t="n"/>
      <c r="B712" s="208" t="n"/>
      <c r="C712" s="207" t="n"/>
      <c r="D712" s="207" t="n"/>
      <c r="E712" s="207" t="n"/>
      <c r="F712" s="207" t="n"/>
      <c r="G712" s="207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</row>
    <row r="713" ht="26.25" customHeight="1" s="251">
      <c r="A713" s="208" t="n"/>
      <c r="B713" s="208" t="n"/>
      <c r="C713" s="207" t="n"/>
      <c r="D713" s="207" t="n"/>
      <c r="E713" s="207" t="n"/>
      <c r="F713" s="207" t="n"/>
      <c r="G713" s="207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</row>
    <row r="714" ht="26.25" customHeight="1" s="251">
      <c r="A714" s="208" t="n"/>
      <c r="B714" s="208" t="n"/>
      <c r="C714" s="207" t="n"/>
      <c r="D714" s="207" t="n"/>
      <c r="E714" s="207" t="n"/>
      <c r="F714" s="207" t="n"/>
      <c r="G714" s="207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</row>
    <row r="715" ht="26.25" customHeight="1" s="251">
      <c r="A715" s="208" t="n"/>
      <c r="B715" s="208" t="n"/>
      <c r="C715" s="207" t="n"/>
      <c r="D715" s="207" t="n"/>
      <c r="E715" s="207" t="n"/>
      <c r="F715" s="207" t="n"/>
      <c r="G715" s="207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</row>
    <row r="716" ht="26.25" customHeight="1" s="251">
      <c r="A716" s="208" t="n"/>
      <c r="B716" s="208" t="n"/>
      <c r="C716" s="207" t="n"/>
      <c r="D716" s="207" t="n"/>
      <c r="E716" s="207" t="n"/>
      <c r="F716" s="207" t="n"/>
      <c r="G716" s="207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</row>
    <row r="717" ht="26.25" customHeight="1" s="251">
      <c r="A717" s="208" t="n"/>
      <c r="B717" s="208" t="n"/>
      <c r="C717" s="207" t="n"/>
      <c r="D717" s="207" t="n"/>
      <c r="E717" s="207" t="n"/>
      <c r="F717" s="207" t="n"/>
      <c r="G717" s="207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</row>
    <row r="718" ht="26.25" customHeight="1" s="251">
      <c r="A718" s="208" t="n"/>
      <c r="B718" s="208" t="n"/>
      <c r="C718" s="207" t="n"/>
      <c r="D718" s="207" t="n"/>
      <c r="E718" s="207" t="n"/>
      <c r="F718" s="207" t="n"/>
      <c r="G718" s="207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</row>
    <row r="719" ht="26.25" customHeight="1" s="251">
      <c r="A719" s="208" t="n"/>
      <c r="B719" s="208" t="n"/>
      <c r="C719" s="207" t="n"/>
      <c r="D719" s="207" t="n"/>
      <c r="E719" s="207" t="n"/>
      <c r="F719" s="207" t="n"/>
      <c r="G719" s="207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</row>
    <row r="720" ht="26.25" customHeight="1" s="251">
      <c r="A720" s="208" t="n"/>
      <c r="B720" s="208" t="n"/>
      <c r="C720" s="207" t="n"/>
      <c r="D720" s="207" t="n"/>
      <c r="E720" s="207" t="n"/>
      <c r="F720" s="207" t="n"/>
      <c r="G720" s="207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</row>
    <row r="721" ht="26.25" customHeight="1" s="251">
      <c r="A721" s="208" t="n"/>
      <c r="B721" s="208" t="n"/>
      <c r="C721" s="207" t="n"/>
      <c r="D721" s="207" t="n"/>
      <c r="E721" s="207" t="n"/>
      <c r="F721" s="207" t="n"/>
      <c r="G721" s="207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</row>
    <row r="722" ht="26.25" customHeight="1" s="251">
      <c r="A722" s="208" t="n"/>
      <c r="B722" s="208" t="n"/>
      <c r="C722" s="207" t="n"/>
      <c r="D722" s="207" t="n"/>
      <c r="E722" s="207" t="n"/>
      <c r="F722" s="207" t="n"/>
      <c r="G722" s="207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</row>
    <row r="723" ht="26.25" customHeight="1" s="251">
      <c r="A723" s="208" t="n"/>
      <c r="B723" s="208" t="n"/>
      <c r="C723" s="207" t="n"/>
      <c r="D723" s="207" t="n"/>
      <c r="E723" s="207" t="n"/>
      <c r="F723" s="207" t="n"/>
      <c r="G723" s="207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</row>
    <row r="724" ht="26.25" customHeight="1" s="251">
      <c r="A724" s="208" t="n"/>
      <c r="B724" s="208" t="n"/>
      <c r="C724" s="207" t="n"/>
      <c r="D724" s="207" t="n"/>
      <c r="E724" s="207" t="n"/>
      <c r="F724" s="207" t="n"/>
      <c r="G724" s="207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</row>
    <row r="725" ht="26.25" customHeight="1" s="251">
      <c r="A725" s="208" t="n"/>
      <c r="B725" s="208" t="n"/>
      <c r="C725" s="207" t="n"/>
      <c r="D725" s="207" t="n"/>
      <c r="E725" s="207" t="n"/>
      <c r="F725" s="207" t="n"/>
      <c r="G725" s="207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</row>
    <row r="726" ht="26.25" customHeight="1" s="251">
      <c r="A726" s="208" t="n"/>
      <c r="B726" s="208" t="n"/>
      <c r="C726" s="207" t="n"/>
      <c r="D726" s="207" t="n"/>
      <c r="E726" s="207" t="n"/>
      <c r="F726" s="207" t="n"/>
      <c r="G726" s="207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</row>
    <row r="727" ht="26.25" customHeight="1" s="251">
      <c r="A727" s="208" t="n"/>
      <c r="B727" s="208" t="n"/>
      <c r="C727" s="207" t="n"/>
      <c r="D727" s="207" t="n"/>
      <c r="E727" s="207" t="n"/>
      <c r="F727" s="207" t="n"/>
      <c r="G727" s="207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</row>
    <row r="728" ht="26.25" customHeight="1" s="251">
      <c r="A728" s="208" t="n"/>
      <c r="B728" s="208" t="n"/>
      <c r="C728" s="207" t="n"/>
      <c r="D728" s="207" t="n"/>
      <c r="E728" s="207" t="n"/>
      <c r="F728" s="207" t="n"/>
      <c r="G728" s="207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</row>
    <row r="729" ht="26.25" customHeight="1" s="251">
      <c r="A729" s="208" t="n"/>
      <c r="B729" s="208" t="n"/>
      <c r="C729" s="207" t="n"/>
      <c r="D729" s="207" t="n"/>
      <c r="E729" s="207" t="n"/>
      <c r="F729" s="207" t="n"/>
      <c r="G729" s="207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</row>
    <row r="730" ht="26.25" customHeight="1" s="251">
      <c r="A730" s="208" t="n"/>
      <c r="B730" s="208" t="n"/>
      <c r="C730" s="207" t="n"/>
      <c r="D730" s="207" t="n"/>
      <c r="E730" s="207" t="n"/>
      <c r="F730" s="207" t="n"/>
      <c r="G730" s="207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</row>
    <row r="731" ht="26.25" customHeight="1" s="251">
      <c r="A731" s="208" t="n"/>
      <c r="B731" s="208" t="n"/>
      <c r="C731" s="207" t="n"/>
      <c r="D731" s="207" t="n"/>
      <c r="E731" s="207" t="n"/>
      <c r="F731" s="207" t="n"/>
      <c r="G731" s="207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</row>
    <row r="732" ht="26.25" customHeight="1" s="251">
      <c r="A732" s="208" t="n"/>
      <c r="B732" s="208" t="n"/>
      <c r="C732" s="207" t="n"/>
      <c r="D732" s="207" t="n"/>
      <c r="E732" s="207" t="n"/>
      <c r="F732" s="207" t="n"/>
      <c r="G732" s="207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</row>
    <row r="733" ht="26.25" customHeight="1" s="251">
      <c r="A733" s="208" t="n"/>
      <c r="B733" s="208" t="n"/>
      <c r="C733" s="207" t="n"/>
      <c r="D733" s="207" t="n"/>
      <c r="E733" s="207" t="n"/>
      <c r="F733" s="207" t="n"/>
      <c r="G733" s="207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</row>
    <row r="734" ht="26.25" customHeight="1" s="251">
      <c r="A734" s="208" t="n"/>
      <c r="B734" s="208" t="n"/>
      <c r="C734" s="207" t="n"/>
      <c r="D734" s="207" t="n"/>
      <c r="E734" s="207" t="n"/>
      <c r="F734" s="207" t="n"/>
      <c r="G734" s="207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</row>
    <row r="735" ht="26.25" customHeight="1" s="251">
      <c r="A735" s="208" t="n"/>
      <c r="B735" s="208" t="n"/>
      <c r="C735" s="207" t="n"/>
      <c r="D735" s="207" t="n"/>
      <c r="E735" s="207" t="n"/>
      <c r="F735" s="207" t="n"/>
      <c r="G735" s="207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</row>
    <row r="736" ht="26.25" customHeight="1" s="251">
      <c r="A736" s="208" t="n"/>
      <c r="B736" s="208" t="n"/>
      <c r="C736" s="207" t="n"/>
      <c r="D736" s="207" t="n"/>
      <c r="E736" s="207" t="n"/>
      <c r="F736" s="207" t="n"/>
      <c r="G736" s="207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</row>
    <row r="737" ht="26.25" customHeight="1" s="251">
      <c r="A737" s="208" t="n"/>
      <c r="B737" s="208" t="n"/>
      <c r="C737" s="207" t="n"/>
      <c r="D737" s="207" t="n"/>
      <c r="E737" s="207" t="n"/>
      <c r="F737" s="207" t="n"/>
      <c r="G737" s="207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</row>
    <row r="738" ht="26.25" customHeight="1" s="251">
      <c r="A738" s="208" t="n"/>
      <c r="B738" s="208" t="n"/>
      <c r="C738" s="207" t="n"/>
      <c r="D738" s="207" t="n"/>
      <c r="E738" s="207" t="n"/>
      <c r="F738" s="207" t="n"/>
      <c r="G738" s="207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</row>
    <row r="739" ht="26.25" customHeight="1" s="251">
      <c r="A739" s="208" t="n"/>
      <c r="B739" s="208" t="n"/>
      <c r="C739" s="207" t="n"/>
      <c r="D739" s="207" t="n"/>
      <c r="E739" s="207" t="n"/>
      <c r="F739" s="207" t="n"/>
      <c r="G739" s="207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</row>
    <row r="740" ht="26.25" customHeight="1" s="251">
      <c r="A740" s="208" t="n"/>
      <c r="B740" s="208" t="n"/>
      <c r="C740" s="207" t="n"/>
      <c r="D740" s="207" t="n"/>
      <c r="E740" s="207" t="n"/>
      <c r="F740" s="207" t="n"/>
      <c r="G740" s="207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</row>
    <row r="741" ht="26.25" customHeight="1" s="251">
      <c r="A741" s="208" t="n"/>
      <c r="B741" s="208" t="n"/>
      <c r="C741" s="207" t="n"/>
      <c r="D741" s="207" t="n"/>
      <c r="E741" s="207" t="n"/>
      <c r="F741" s="207" t="n"/>
      <c r="G741" s="207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</row>
    <row r="742" ht="26.25" customHeight="1" s="251">
      <c r="A742" s="208" t="n"/>
      <c r="B742" s="208" t="n"/>
      <c r="C742" s="207" t="n"/>
      <c r="D742" s="207" t="n"/>
      <c r="E742" s="207" t="n"/>
      <c r="F742" s="207" t="n"/>
      <c r="G742" s="207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</row>
    <row r="743" ht="26.25" customHeight="1" s="251">
      <c r="A743" s="208" t="n"/>
      <c r="B743" s="208" t="n"/>
      <c r="C743" s="207" t="n"/>
      <c r="D743" s="207" t="n"/>
      <c r="E743" s="207" t="n"/>
      <c r="F743" s="207" t="n"/>
      <c r="G743" s="207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</row>
    <row r="744" ht="26.25" customHeight="1" s="251">
      <c r="A744" s="208" t="n"/>
      <c r="B744" s="208" t="n"/>
      <c r="C744" s="207" t="n"/>
      <c r="D744" s="207" t="n"/>
      <c r="E744" s="207" t="n"/>
      <c r="F744" s="207" t="n"/>
      <c r="G744" s="207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</row>
    <row r="745" ht="26.25" customHeight="1" s="251">
      <c r="A745" s="208" t="n"/>
      <c r="B745" s="208" t="n"/>
      <c r="C745" s="207" t="n"/>
      <c r="D745" s="207" t="n"/>
      <c r="E745" s="207" t="n"/>
      <c r="F745" s="207" t="n"/>
      <c r="G745" s="207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</row>
    <row r="746" ht="26.25" customHeight="1" s="251">
      <c r="A746" s="208" t="n"/>
      <c r="B746" s="208" t="n"/>
      <c r="C746" s="207" t="n"/>
      <c r="D746" s="207" t="n"/>
      <c r="E746" s="207" t="n"/>
      <c r="F746" s="207" t="n"/>
      <c r="G746" s="207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</row>
    <row r="747" ht="26.25" customHeight="1" s="251">
      <c r="A747" s="208" t="n"/>
      <c r="B747" s="208" t="n"/>
      <c r="C747" s="207" t="n"/>
      <c r="D747" s="207" t="n"/>
      <c r="E747" s="207" t="n"/>
      <c r="F747" s="207" t="n"/>
      <c r="G747" s="207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</row>
    <row r="748" ht="26.25" customHeight="1" s="251">
      <c r="A748" s="208" t="n"/>
      <c r="B748" s="208" t="n"/>
      <c r="C748" s="207" t="n"/>
      <c r="D748" s="207" t="n"/>
      <c r="E748" s="207" t="n"/>
      <c r="F748" s="207" t="n"/>
      <c r="G748" s="207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</row>
    <row r="749" ht="26.25" customHeight="1" s="251">
      <c r="A749" s="208" t="n"/>
      <c r="B749" s="208" t="n"/>
      <c r="C749" s="207" t="n"/>
      <c r="D749" s="207" t="n"/>
      <c r="E749" s="207" t="n"/>
      <c r="F749" s="207" t="n"/>
      <c r="G749" s="207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</row>
    <row r="750" ht="26.25" customHeight="1" s="251">
      <c r="A750" s="208" t="n"/>
      <c r="B750" s="208" t="n"/>
      <c r="C750" s="207" t="n"/>
      <c r="D750" s="207" t="n"/>
      <c r="E750" s="207" t="n"/>
      <c r="F750" s="207" t="n"/>
      <c r="G750" s="207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</row>
    <row r="751" ht="26.25" customHeight="1" s="251">
      <c r="A751" s="208" t="n"/>
      <c r="B751" s="208" t="n"/>
      <c r="C751" s="207" t="n"/>
      <c r="D751" s="207" t="n"/>
      <c r="E751" s="207" t="n"/>
      <c r="F751" s="207" t="n"/>
      <c r="G751" s="207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</row>
    <row r="752" ht="26.25" customHeight="1" s="251">
      <c r="A752" s="208" t="n"/>
      <c r="B752" s="208" t="n"/>
      <c r="C752" s="207" t="n"/>
      <c r="D752" s="207" t="n"/>
      <c r="E752" s="207" t="n"/>
      <c r="F752" s="207" t="n"/>
      <c r="G752" s="207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</row>
    <row r="753" ht="26.25" customHeight="1" s="251">
      <c r="A753" s="208" t="n"/>
      <c r="B753" s="208" t="n"/>
      <c r="C753" s="207" t="n"/>
      <c r="D753" s="207" t="n"/>
      <c r="E753" s="207" t="n"/>
      <c r="F753" s="207" t="n"/>
      <c r="G753" s="207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</row>
    <row r="754" ht="26.25" customHeight="1" s="251">
      <c r="A754" s="208" t="n"/>
      <c r="B754" s="208" t="n"/>
      <c r="C754" s="207" t="n"/>
      <c r="D754" s="207" t="n"/>
      <c r="E754" s="207" t="n"/>
      <c r="F754" s="207" t="n"/>
      <c r="G754" s="207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</row>
    <row r="755" ht="26.25" customHeight="1" s="251">
      <c r="A755" s="208" t="n"/>
      <c r="B755" s="208" t="n"/>
      <c r="C755" s="207" t="n"/>
      <c r="D755" s="207" t="n"/>
      <c r="E755" s="207" t="n"/>
      <c r="F755" s="207" t="n"/>
      <c r="G755" s="207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</row>
    <row r="756" ht="26.25" customHeight="1" s="251">
      <c r="A756" s="208" t="n"/>
      <c r="B756" s="208" t="n"/>
      <c r="C756" s="207" t="n"/>
      <c r="D756" s="207" t="n"/>
      <c r="E756" s="207" t="n"/>
      <c r="F756" s="207" t="n"/>
      <c r="G756" s="207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</row>
    <row r="757" ht="26.25" customHeight="1" s="251">
      <c r="A757" s="208" t="n"/>
      <c r="B757" s="208" t="n"/>
      <c r="C757" s="207" t="n"/>
      <c r="D757" s="207" t="n"/>
      <c r="E757" s="207" t="n"/>
      <c r="F757" s="207" t="n"/>
      <c r="G757" s="207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</row>
    <row r="758" ht="26.25" customHeight="1" s="251">
      <c r="A758" s="208" t="n"/>
      <c r="B758" s="208" t="n"/>
      <c r="C758" s="207" t="n"/>
      <c r="D758" s="207" t="n"/>
      <c r="E758" s="207" t="n"/>
      <c r="F758" s="207" t="n"/>
      <c r="G758" s="207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</row>
    <row r="759" ht="26.25" customHeight="1" s="251">
      <c r="A759" s="208" t="n"/>
      <c r="B759" s="208" t="n"/>
      <c r="C759" s="207" t="n"/>
      <c r="D759" s="207" t="n"/>
      <c r="E759" s="207" t="n"/>
      <c r="F759" s="207" t="n"/>
      <c r="G759" s="207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</row>
    <row r="760" ht="26.25" customHeight="1" s="251">
      <c r="A760" s="208" t="n"/>
      <c r="B760" s="208" t="n"/>
      <c r="C760" s="207" t="n"/>
      <c r="D760" s="207" t="n"/>
      <c r="E760" s="207" t="n"/>
      <c r="F760" s="207" t="n"/>
      <c r="G760" s="207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</row>
    <row r="761" ht="26.25" customHeight="1" s="251">
      <c r="A761" s="208" t="n"/>
      <c r="B761" s="208" t="n"/>
      <c r="C761" s="207" t="n"/>
      <c r="D761" s="207" t="n"/>
      <c r="E761" s="207" t="n"/>
      <c r="F761" s="207" t="n"/>
      <c r="G761" s="207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</row>
    <row r="762" ht="26.25" customHeight="1" s="251">
      <c r="A762" s="208" t="n"/>
      <c r="B762" s="208" t="n"/>
      <c r="C762" s="207" t="n"/>
      <c r="D762" s="207" t="n"/>
      <c r="E762" s="207" t="n"/>
      <c r="F762" s="207" t="n"/>
      <c r="G762" s="207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</row>
    <row r="763" ht="26.25" customHeight="1" s="251">
      <c r="A763" s="208" t="n"/>
      <c r="B763" s="208" t="n"/>
      <c r="C763" s="207" t="n"/>
      <c r="D763" s="207" t="n"/>
      <c r="E763" s="207" t="n"/>
      <c r="F763" s="207" t="n"/>
      <c r="G763" s="207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</row>
    <row r="764" ht="26.25" customHeight="1" s="251">
      <c r="A764" s="208" t="n"/>
      <c r="B764" s="208" t="n"/>
      <c r="C764" s="207" t="n"/>
      <c r="D764" s="207" t="n"/>
      <c r="E764" s="207" t="n"/>
      <c r="F764" s="207" t="n"/>
      <c r="G764" s="207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</row>
    <row r="765" ht="26.25" customHeight="1" s="251">
      <c r="A765" s="208" t="n"/>
      <c r="B765" s="208" t="n"/>
      <c r="C765" s="207" t="n"/>
      <c r="D765" s="207" t="n"/>
      <c r="E765" s="207" t="n"/>
      <c r="F765" s="207" t="n"/>
      <c r="G765" s="207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</row>
    <row r="766" ht="26.25" customHeight="1" s="251">
      <c r="A766" s="208" t="n"/>
      <c r="B766" s="208" t="n"/>
      <c r="C766" s="207" t="n"/>
      <c r="D766" s="207" t="n"/>
      <c r="E766" s="207" t="n"/>
      <c r="F766" s="207" t="n"/>
      <c r="G766" s="207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</row>
    <row r="767" ht="26.25" customHeight="1" s="251">
      <c r="A767" s="208" t="n"/>
      <c r="B767" s="208" t="n"/>
      <c r="C767" s="207" t="n"/>
      <c r="D767" s="207" t="n"/>
      <c r="E767" s="207" t="n"/>
      <c r="F767" s="207" t="n"/>
      <c r="G767" s="207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</row>
    <row r="768" ht="26.25" customHeight="1" s="251">
      <c r="A768" s="208" t="n"/>
      <c r="B768" s="208" t="n"/>
      <c r="C768" s="207" t="n"/>
      <c r="D768" s="207" t="n"/>
      <c r="E768" s="207" t="n"/>
      <c r="F768" s="207" t="n"/>
      <c r="G768" s="207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</row>
    <row r="769" ht="26.25" customHeight="1" s="251">
      <c r="A769" s="208" t="n"/>
      <c r="B769" s="208" t="n"/>
      <c r="C769" s="207" t="n"/>
      <c r="D769" s="207" t="n"/>
      <c r="E769" s="207" t="n"/>
      <c r="F769" s="207" t="n"/>
      <c r="G769" s="207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</row>
    <row r="770" ht="26.25" customHeight="1" s="251">
      <c r="A770" s="208" t="n"/>
      <c r="B770" s="208" t="n"/>
      <c r="C770" s="207" t="n"/>
      <c r="D770" s="207" t="n"/>
      <c r="E770" s="207" t="n"/>
      <c r="F770" s="207" t="n"/>
      <c r="G770" s="207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</row>
    <row r="771" ht="26.25" customHeight="1" s="251">
      <c r="A771" s="208" t="n"/>
      <c r="B771" s="208" t="n"/>
      <c r="C771" s="207" t="n"/>
      <c r="D771" s="207" t="n"/>
      <c r="E771" s="207" t="n"/>
      <c r="F771" s="207" t="n"/>
      <c r="G771" s="207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</row>
    <row r="772" ht="26.25" customHeight="1" s="251">
      <c r="A772" s="208" t="n"/>
      <c r="B772" s="208" t="n"/>
      <c r="C772" s="207" t="n"/>
      <c r="D772" s="207" t="n"/>
      <c r="E772" s="207" t="n"/>
      <c r="F772" s="207" t="n"/>
      <c r="G772" s="207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</row>
    <row r="773" ht="26.25" customHeight="1" s="251">
      <c r="A773" s="208" t="n"/>
      <c r="B773" s="208" t="n"/>
      <c r="C773" s="207" t="n"/>
      <c r="D773" s="207" t="n"/>
      <c r="E773" s="207" t="n"/>
      <c r="F773" s="207" t="n"/>
      <c r="G773" s="207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</row>
    <row r="774" ht="26.25" customHeight="1" s="251">
      <c r="A774" s="208" t="n"/>
      <c r="B774" s="208" t="n"/>
      <c r="C774" s="207" t="n"/>
      <c r="D774" s="207" t="n"/>
      <c r="E774" s="207" t="n"/>
      <c r="F774" s="207" t="n"/>
      <c r="G774" s="207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</row>
    <row r="775" ht="26.25" customHeight="1" s="251">
      <c r="A775" s="208" t="n"/>
      <c r="B775" s="208" t="n"/>
      <c r="C775" s="207" t="n"/>
      <c r="D775" s="207" t="n"/>
      <c r="E775" s="207" t="n"/>
      <c r="F775" s="207" t="n"/>
      <c r="G775" s="207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</row>
    <row r="776" ht="26.25" customHeight="1" s="251">
      <c r="A776" s="208" t="n"/>
      <c r="B776" s="208" t="n"/>
      <c r="C776" s="207" t="n"/>
      <c r="D776" s="207" t="n"/>
      <c r="E776" s="207" t="n"/>
      <c r="F776" s="207" t="n"/>
      <c r="G776" s="207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</row>
    <row r="777" ht="26.25" customHeight="1" s="251">
      <c r="A777" s="208" t="n"/>
      <c r="B777" s="208" t="n"/>
      <c r="C777" s="207" t="n"/>
      <c r="D777" s="207" t="n"/>
      <c r="E777" s="207" t="n"/>
      <c r="F777" s="207" t="n"/>
      <c r="G777" s="207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</row>
    <row r="778" ht="26.25" customHeight="1" s="251">
      <c r="A778" s="208" t="n"/>
      <c r="B778" s="208" t="n"/>
      <c r="C778" s="207" t="n"/>
      <c r="D778" s="207" t="n"/>
      <c r="E778" s="207" t="n"/>
      <c r="F778" s="207" t="n"/>
      <c r="G778" s="207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</row>
    <row r="779" ht="26.25" customHeight="1" s="251">
      <c r="A779" s="208" t="n"/>
      <c r="B779" s="208" t="n"/>
      <c r="C779" s="207" t="n"/>
      <c r="D779" s="207" t="n"/>
      <c r="E779" s="207" t="n"/>
      <c r="F779" s="207" t="n"/>
      <c r="G779" s="207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</row>
    <row r="780" ht="26.25" customHeight="1" s="251">
      <c r="A780" s="208" t="n"/>
      <c r="B780" s="208" t="n"/>
      <c r="C780" s="207" t="n"/>
      <c r="D780" s="207" t="n"/>
      <c r="E780" s="207" t="n"/>
      <c r="F780" s="207" t="n"/>
      <c r="G780" s="207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</row>
    <row r="781" ht="26.25" customHeight="1" s="251">
      <c r="A781" s="208" t="n"/>
      <c r="B781" s="208" t="n"/>
      <c r="C781" s="207" t="n"/>
      <c r="D781" s="207" t="n"/>
      <c r="E781" s="207" t="n"/>
      <c r="F781" s="207" t="n"/>
      <c r="G781" s="207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</row>
    <row r="782" ht="26.25" customHeight="1" s="251">
      <c r="A782" s="208" t="n"/>
      <c r="B782" s="208" t="n"/>
      <c r="C782" s="207" t="n"/>
      <c r="D782" s="207" t="n"/>
      <c r="E782" s="207" t="n"/>
      <c r="F782" s="207" t="n"/>
      <c r="G782" s="207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</row>
    <row r="783" ht="26.25" customHeight="1" s="251">
      <c r="A783" s="208" t="n"/>
      <c r="B783" s="208" t="n"/>
      <c r="C783" s="207" t="n"/>
      <c r="D783" s="207" t="n"/>
      <c r="E783" s="207" t="n"/>
      <c r="F783" s="207" t="n"/>
      <c r="G783" s="207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</row>
    <row r="784" ht="26.25" customHeight="1" s="251">
      <c r="A784" s="208" t="n"/>
      <c r="B784" s="208" t="n"/>
      <c r="C784" s="207" t="n"/>
      <c r="D784" s="207" t="n"/>
      <c r="E784" s="207" t="n"/>
      <c r="F784" s="207" t="n"/>
      <c r="G784" s="207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</row>
    <row r="785" ht="26.25" customHeight="1" s="251">
      <c r="A785" s="208" t="n"/>
      <c r="B785" s="208" t="n"/>
      <c r="C785" s="207" t="n"/>
      <c r="D785" s="207" t="n"/>
      <c r="E785" s="207" t="n"/>
      <c r="F785" s="207" t="n"/>
      <c r="G785" s="207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</row>
    <row r="786" ht="26.25" customHeight="1" s="251">
      <c r="A786" s="208" t="n"/>
      <c r="B786" s="208" t="n"/>
      <c r="C786" s="207" t="n"/>
      <c r="D786" s="207" t="n"/>
      <c r="E786" s="207" t="n"/>
      <c r="F786" s="207" t="n"/>
      <c r="G786" s="207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</row>
    <row r="787" ht="26.25" customHeight="1" s="251">
      <c r="A787" s="208" t="n"/>
      <c r="B787" s="208" t="n"/>
      <c r="C787" s="207" t="n"/>
      <c r="D787" s="207" t="n"/>
      <c r="E787" s="207" t="n"/>
      <c r="F787" s="207" t="n"/>
      <c r="G787" s="207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</row>
    <row r="788" ht="26.25" customHeight="1" s="251">
      <c r="A788" s="208" t="n"/>
      <c r="B788" s="208" t="n"/>
      <c r="C788" s="207" t="n"/>
      <c r="D788" s="207" t="n"/>
      <c r="E788" s="207" t="n"/>
      <c r="F788" s="207" t="n"/>
      <c r="G788" s="207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</row>
    <row r="789" ht="26.25" customHeight="1" s="251">
      <c r="A789" s="208" t="n"/>
      <c r="B789" s="208" t="n"/>
      <c r="C789" s="207" t="n"/>
      <c r="D789" s="207" t="n"/>
      <c r="E789" s="207" t="n"/>
      <c r="F789" s="207" t="n"/>
      <c r="G789" s="207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</row>
    <row r="790" ht="26.25" customHeight="1" s="251">
      <c r="A790" s="208" t="n"/>
      <c r="B790" s="208" t="n"/>
      <c r="C790" s="207" t="n"/>
      <c r="D790" s="207" t="n"/>
      <c r="E790" s="207" t="n"/>
      <c r="F790" s="207" t="n"/>
      <c r="G790" s="207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</row>
    <row r="791" ht="26.25" customHeight="1" s="251">
      <c r="A791" s="208" t="n"/>
      <c r="B791" s="208" t="n"/>
      <c r="C791" s="207" t="n"/>
      <c r="D791" s="207" t="n"/>
      <c r="E791" s="207" t="n"/>
      <c r="F791" s="207" t="n"/>
      <c r="G791" s="207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</row>
    <row r="792" ht="26.25" customHeight="1" s="251">
      <c r="A792" s="208" t="n"/>
      <c r="B792" s="208" t="n"/>
      <c r="C792" s="207" t="n"/>
      <c r="D792" s="207" t="n"/>
      <c r="E792" s="207" t="n"/>
      <c r="F792" s="207" t="n"/>
      <c r="G792" s="207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</row>
    <row r="793" ht="26.25" customHeight="1" s="251">
      <c r="A793" s="208" t="n"/>
      <c r="B793" s="208" t="n"/>
      <c r="C793" s="207" t="n"/>
      <c r="D793" s="207" t="n"/>
      <c r="E793" s="207" t="n"/>
      <c r="F793" s="207" t="n"/>
      <c r="G793" s="207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</row>
    <row r="794" ht="26.25" customHeight="1" s="251">
      <c r="A794" s="208" t="n"/>
      <c r="B794" s="208" t="n"/>
      <c r="C794" s="207" t="n"/>
      <c r="D794" s="207" t="n"/>
      <c r="E794" s="207" t="n"/>
      <c r="F794" s="207" t="n"/>
      <c r="G794" s="207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</row>
    <row r="795" ht="26.25" customHeight="1" s="251">
      <c r="A795" s="208" t="n"/>
      <c r="B795" s="208" t="n"/>
      <c r="C795" s="207" t="n"/>
      <c r="D795" s="207" t="n"/>
      <c r="E795" s="207" t="n"/>
      <c r="F795" s="207" t="n"/>
      <c r="G795" s="207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</row>
    <row r="796" ht="26.25" customHeight="1" s="251">
      <c r="A796" s="208" t="n"/>
      <c r="B796" s="208" t="n"/>
      <c r="C796" s="207" t="n"/>
      <c r="D796" s="207" t="n"/>
      <c r="E796" s="207" t="n"/>
      <c r="F796" s="207" t="n"/>
      <c r="G796" s="207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</row>
    <row r="797" ht="26.25" customHeight="1" s="251">
      <c r="A797" s="208" t="n"/>
      <c r="B797" s="208" t="n"/>
      <c r="C797" s="207" t="n"/>
      <c r="D797" s="207" t="n"/>
      <c r="E797" s="207" t="n"/>
      <c r="F797" s="207" t="n"/>
      <c r="G797" s="207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</row>
    <row r="798" ht="26.25" customHeight="1" s="251">
      <c r="A798" s="208" t="n"/>
      <c r="B798" s="208" t="n"/>
      <c r="C798" s="207" t="n"/>
      <c r="D798" s="207" t="n"/>
      <c r="E798" s="207" t="n"/>
      <c r="F798" s="207" t="n"/>
      <c r="G798" s="207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</row>
    <row r="799" ht="26.25" customHeight="1" s="251">
      <c r="A799" s="208" t="n"/>
      <c r="B799" s="208" t="n"/>
      <c r="C799" s="207" t="n"/>
      <c r="D799" s="207" t="n"/>
      <c r="E799" s="207" t="n"/>
      <c r="F799" s="207" t="n"/>
      <c r="G799" s="207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</row>
    <row r="800" ht="26.25" customHeight="1" s="251">
      <c r="A800" s="208" t="n"/>
      <c r="B800" s="208" t="n"/>
      <c r="C800" s="207" t="n"/>
      <c r="D800" s="207" t="n"/>
      <c r="E800" s="207" t="n"/>
      <c r="F800" s="207" t="n"/>
      <c r="G800" s="207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</row>
    <row r="801" ht="26.25" customHeight="1" s="251">
      <c r="A801" s="208" t="n"/>
      <c r="B801" s="208" t="n"/>
      <c r="C801" s="207" t="n"/>
      <c r="D801" s="207" t="n"/>
      <c r="E801" s="207" t="n"/>
      <c r="F801" s="207" t="n"/>
      <c r="G801" s="207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</row>
    <row r="802" ht="26.25" customHeight="1" s="251">
      <c r="A802" s="208" t="n"/>
      <c r="B802" s="208" t="n"/>
      <c r="C802" s="207" t="n"/>
      <c r="D802" s="207" t="n"/>
      <c r="E802" s="207" t="n"/>
      <c r="F802" s="207" t="n"/>
      <c r="G802" s="207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</row>
    <row r="803" ht="26.25" customHeight="1" s="251">
      <c r="A803" s="208" t="n"/>
      <c r="B803" s="208" t="n"/>
      <c r="C803" s="207" t="n"/>
      <c r="D803" s="207" t="n"/>
      <c r="E803" s="207" t="n"/>
      <c r="F803" s="207" t="n"/>
      <c r="G803" s="207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</row>
    <row r="804" ht="26.25" customHeight="1" s="251">
      <c r="A804" s="208" t="n"/>
      <c r="B804" s="208" t="n"/>
      <c r="C804" s="207" t="n"/>
      <c r="D804" s="207" t="n"/>
      <c r="E804" s="207" t="n"/>
      <c r="F804" s="207" t="n"/>
      <c r="G804" s="207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</row>
    <row r="805" ht="26.25" customHeight="1" s="251">
      <c r="A805" s="208" t="n"/>
      <c r="B805" s="208" t="n"/>
      <c r="C805" s="207" t="n"/>
      <c r="D805" s="207" t="n"/>
      <c r="E805" s="207" t="n"/>
      <c r="F805" s="207" t="n"/>
      <c r="G805" s="207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</row>
    <row r="806" ht="26.25" customHeight="1" s="251">
      <c r="A806" s="208" t="n"/>
      <c r="B806" s="208" t="n"/>
      <c r="C806" s="207" t="n"/>
      <c r="D806" s="207" t="n"/>
      <c r="E806" s="207" t="n"/>
      <c r="F806" s="207" t="n"/>
      <c r="G806" s="207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</row>
    <row r="807" ht="26.25" customHeight="1" s="251">
      <c r="A807" s="208" t="n"/>
      <c r="B807" s="208" t="n"/>
      <c r="C807" s="207" t="n"/>
      <c r="D807" s="207" t="n"/>
      <c r="E807" s="207" t="n"/>
      <c r="F807" s="207" t="n"/>
      <c r="G807" s="207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</row>
    <row r="808" ht="26.25" customHeight="1" s="251">
      <c r="A808" s="208" t="n"/>
      <c r="B808" s="208" t="n"/>
      <c r="C808" s="207" t="n"/>
      <c r="D808" s="207" t="n"/>
      <c r="E808" s="207" t="n"/>
      <c r="F808" s="207" t="n"/>
      <c r="G808" s="207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</row>
    <row r="809" ht="26.25" customHeight="1" s="251">
      <c r="A809" s="208" t="n"/>
      <c r="B809" s="208" t="n"/>
      <c r="C809" s="207" t="n"/>
      <c r="D809" s="207" t="n"/>
      <c r="E809" s="207" t="n"/>
      <c r="F809" s="207" t="n"/>
      <c r="G809" s="207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</row>
    <row r="810" ht="26.25" customHeight="1" s="251">
      <c r="A810" s="208" t="n"/>
      <c r="B810" s="208" t="n"/>
      <c r="C810" s="207" t="n"/>
      <c r="D810" s="207" t="n"/>
      <c r="E810" s="207" t="n"/>
      <c r="F810" s="207" t="n"/>
      <c r="G810" s="207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</row>
    <row r="811" ht="26.25" customHeight="1" s="251">
      <c r="A811" s="208" t="n"/>
      <c r="B811" s="208" t="n"/>
      <c r="C811" s="207" t="n"/>
      <c r="D811" s="207" t="n"/>
      <c r="E811" s="207" t="n"/>
      <c r="F811" s="207" t="n"/>
      <c r="G811" s="207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</row>
    <row r="812" ht="26.25" customHeight="1" s="251">
      <c r="A812" s="208" t="n"/>
      <c r="B812" s="208" t="n"/>
      <c r="C812" s="207" t="n"/>
      <c r="D812" s="207" t="n"/>
      <c r="E812" s="207" t="n"/>
      <c r="F812" s="207" t="n"/>
      <c r="G812" s="207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</row>
    <row r="813" ht="26.25" customHeight="1" s="251">
      <c r="A813" s="208" t="n"/>
      <c r="B813" s="208" t="n"/>
      <c r="C813" s="207" t="n"/>
      <c r="D813" s="207" t="n"/>
      <c r="E813" s="207" t="n"/>
      <c r="F813" s="207" t="n"/>
      <c r="G813" s="207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</row>
    <row r="814" ht="26.25" customHeight="1" s="251">
      <c r="A814" s="208" t="n"/>
      <c r="B814" s="208" t="n"/>
      <c r="C814" s="207" t="n"/>
      <c r="D814" s="207" t="n"/>
      <c r="E814" s="207" t="n"/>
      <c r="F814" s="207" t="n"/>
      <c r="G814" s="207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</row>
    <row r="815" ht="26.25" customHeight="1" s="251">
      <c r="A815" s="208" t="n"/>
      <c r="B815" s="208" t="n"/>
      <c r="C815" s="207" t="n"/>
      <c r="D815" s="207" t="n"/>
      <c r="E815" s="207" t="n"/>
      <c r="F815" s="207" t="n"/>
      <c r="G815" s="207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</row>
    <row r="816" ht="26.25" customHeight="1" s="251">
      <c r="A816" s="208" t="n"/>
      <c r="B816" s="208" t="n"/>
      <c r="C816" s="207" t="n"/>
      <c r="D816" s="207" t="n"/>
      <c r="E816" s="207" t="n"/>
      <c r="F816" s="207" t="n"/>
      <c r="G816" s="207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</row>
    <row r="817" ht="26.25" customHeight="1" s="251">
      <c r="A817" s="208" t="n"/>
      <c r="B817" s="208" t="n"/>
      <c r="C817" s="207" t="n"/>
      <c r="D817" s="207" t="n"/>
      <c r="E817" s="207" t="n"/>
      <c r="F817" s="207" t="n"/>
      <c r="G817" s="207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</row>
    <row r="818" ht="26.25" customHeight="1" s="251">
      <c r="A818" s="208" t="n"/>
      <c r="B818" s="208" t="n"/>
      <c r="C818" s="207" t="n"/>
      <c r="D818" s="207" t="n"/>
      <c r="E818" s="207" t="n"/>
      <c r="F818" s="207" t="n"/>
      <c r="G818" s="207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</row>
    <row r="819" ht="26.25" customHeight="1" s="251">
      <c r="A819" s="208" t="n"/>
      <c r="B819" s="208" t="n"/>
      <c r="C819" s="207" t="n"/>
      <c r="D819" s="207" t="n"/>
      <c r="E819" s="207" t="n"/>
      <c r="F819" s="207" t="n"/>
      <c r="G819" s="207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</row>
    <row r="820" ht="26.25" customHeight="1" s="251">
      <c r="A820" s="208" t="n"/>
      <c r="B820" s="208" t="n"/>
      <c r="C820" s="207" t="n"/>
      <c r="D820" s="207" t="n"/>
      <c r="E820" s="207" t="n"/>
      <c r="F820" s="207" t="n"/>
      <c r="G820" s="207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</row>
    <row r="821" ht="26.25" customHeight="1" s="251">
      <c r="A821" s="208" t="n"/>
      <c r="B821" s="208" t="n"/>
      <c r="C821" s="207" t="n"/>
      <c r="D821" s="207" t="n"/>
      <c r="E821" s="207" t="n"/>
      <c r="F821" s="207" t="n"/>
      <c r="G821" s="207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</row>
    <row r="822" ht="26.25" customHeight="1" s="251">
      <c r="A822" s="208" t="n"/>
      <c r="B822" s="208" t="n"/>
      <c r="C822" s="207" t="n"/>
      <c r="D822" s="207" t="n"/>
      <c r="E822" s="207" t="n"/>
      <c r="F822" s="207" t="n"/>
      <c r="G822" s="207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</row>
    <row r="823" ht="26.25" customHeight="1" s="251">
      <c r="A823" s="208" t="n"/>
      <c r="B823" s="208" t="n"/>
      <c r="C823" s="207" t="n"/>
      <c r="D823" s="207" t="n"/>
      <c r="E823" s="207" t="n"/>
      <c r="F823" s="207" t="n"/>
      <c r="G823" s="207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</row>
    <row r="824" ht="26.25" customHeight="1" s="251">
      <c r="A824" s="208" t="n"/>
      <c r="B824" s="208" t="n"/>
      <c r="C824" s="207" t="n"/>
      <c r="D824" s="207" t="n"/>
      <c r="E824" s="207" t="n"/>
      <c r="F824" s="207" t="n"/>
      <c r="G824" s="207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</row>
    <row r="825" ht="26.25" customHeight="1" s="251">
      <c r="A825" s="208" t="n"/>
      <c r="B825" s="208" t="n"/>
      <c r="C825" s="207" t="n"/>
      <c r="D825" s="207" t="n"/>
      <c r="E825" s="207" t="n"/>
      <c r="F825" s="207" t="n"/>
      <c r="G825" s="207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</row>
    <row r="826" ht="26.25" customHeight="1" s="251">
      <c r="A826" s="208" t="n"/>
      <c r="B826" s="208" t="n"/>
      <c r="C826" s="207" t="n"/>
      <c r="D826" s="207" t="n"/>
      <c r="E826" s="207" t="n"/>
      <c r="F826" s="207" t="n"/>
      <c r="G826" s="207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</row>
    <row r="827" ht="26.25" customHeight="1" s="251">
      <c r="A827" s="208" t="n"/>
      <c r="B827" s="208" t="n"/>
      <c r="C827" s="207" t="n"/>
      <c r="D827" s="207" t="n"/>
      <c r="E827" s="207" t="n"/>
      <c r="F827" s="207" t="n"/>
      <c r="G827" s="207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</row>
    <row r="828" ht="26.25" customHeight="1" s="251">
      <c r="A828" s="208" t="n"/>
      <c r="B828" s="208" t="n"/>
      <c r="C828" s="207" t="n"/>
      <c r="D828" s="207" t="n"/>
      <c r="E828" s="207" t="n"/>
      <c r="F828" s="207" t="n"/>
      <c r="G828" s="207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</row>
    <row r="829" ht="26.25" customHeight="1" s="251">
      <c r="A829" s="208" t="n"/>
      <c r="B829" s="208" t="n"/>
      <c r="C829" s="207" t="n"/>
      <c r="D829" s="207" t="n"/>
      <c r="E829" s="207" t="n"/>
      <c r="F829" s="207" t="n"/>
      <c r="G829" s="207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</row>
    <row r="830" ht="26.25" customHeight="1" s="251">
      <c r="A830" s="208" t="n"/>
      <c r="B830" s="208" t="n"/>
      <c r="C830" s="207" t="n"/>
      <c r="D830" s="207" t="n"/>
      <c r="E830" s="207" t="n"/>
      <c r="F830" s="207" t="n"/>
      <c r="G830" s="207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</row>
    <row r="831" ht="26.25" customHeight="1" s="251">
      <c r="A831" s="208" t="n"/>
      <c r="B831" s="208" t="n"/>
      <c r="C831" s="207" t="n"/>
      <c r="D831" s="207" t="n"/>
      <c r="E831" s="207" t="n"/>
      <c r="F831" s="207" t="n"/>
      <c r="G831" s="207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</row>
    <row r="832" ht="26.25" customHeight="1" s="251">
      <c r="A832" s="208" t="n"/>
      <c r="B832" s="208" t="n"/>
      <c r="C832" s="207" t="n"/>
      <c r="D832" s="207" t="n"/>
      <c r="E832" s="207" t="n"/>
      <c r="F832" s="207" t="n"/>
      <c r="G832" s="207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</row>
    <row r="833" ht="26.25" customHeight="1" s="251">
      <c r="A833" s="208" t="n"/>
      <c r="B833" s="208" t="n"/>
      <c r="C833" s="207" t="n"/>
      <c r="D833" s="207" t="n"/>
      <c r="E833" s="207" t="n"/>
      <c r="F833" s="207" t="n"/>
      <c r="G833" s="207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</row>
    <row r="834" ht="26.25" customHeight="1" s="251">
      <c r="A834" s="208" t="n"/>
      <c r="B834" s="208" t="n"/>
      <c r="C834" s="207" t="n"/>
      <c r="D834" s="207" t="n"/>
      <c r="E834" s="207" t="n"/>
      <c r="F834" s="207" t="n"/>
      <c r="G834" s="207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</row>
    <row r="835" ht="26.25" customHeight="1" s="251">
      <c r="A835" s="208" t="n"/>
      <c r="B835" s="208" t="n"/>
      <c r="C835" s="207" t="n"/>
      <c r="D835" s="207" t="n"/>
      <c r="E835" s="207" t="n"/>
      <c r="F835" s="207" t="n"/>
      <c r="G835" s="207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</row>
    <row r="836" ht="26.25" customHeight="1" s="251">
      <c r="A836" s="208" t="n"/>
      <c r="B836" s="208" t="n"/>
      <c r="C836" s="207" t="n"/>
      <c r="D836" s="207" t="n"/>
      <c r="E836" s="207" t="n"/>
      <c r="F836" s="207" t="n"/>
      <c r="G836" s="207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</row>
    <row r="837" ht="26.25" customHeight="1" s="251">
      <c r="A837" s="208" t="n"/>
      <c r="B837" s="208" t="n"/>
      <c r="C837" s="207" t="n"/>
      <c r="D837" s="207" t="n"/>
      <c r="E837" s="207" t="n"/>
      <c r="F837" s="207" t="n"/>
      <c r="G837" s="207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</row>
    <row r="838" ht="26.25" customHeight="1" s="251">
      <c r="A838" s="208" t="n"/>
      <c r="B838" s="208" t="n"/>
      <c r="C838" s="207" t="n"/>
      <c r="D838" s="207" t="n"/>
      <c r="E838" s="207" t="n"/>
      <c r="F838" s="207" t="n"/>
      <c r="G838" s="207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</row>
    <row r="839" ht="26.25" customHeight="1" s="251">
      <c r="A839" s="208" t="n"/>
      <c r="B839" s="208" t="n"/>
      <c r="C839" s="207" t="n"/>
      <c r="D839" s="207" t="n"/>
      <c r="E839" s="207" t="n"/>
      <c r="F839" s="207" t="n"/>
      <c r="G839" s="207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</row>
    <row r="840" ht="26.25" customHeight="1" s="251">
      <c r="A840" s="208" t="n"/>
      <c r="B840" s="208" t="n"/>
      <c r="C840" s="207" t="n"/>
      <c r="D840" s="207" t="n"/>
      <c r="E840" s="207" t="n"/>
      <c r="F840" s="207" t="n"/>
      <c r="G840" s="207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</row>
    <row r="841" ht="26.25" customHeight="1" s="251">
      <c r="A841" s="208" t="n"/>
      <c r="B841" s="208" t="n"/>
      <c r="C841" s="207" t="n"/>
      <c r="D841" s="207" t="n"/>
      <c r="E841" s="207" t="n"/>
      <c r="F841" s="207" t="n"/>
      <c r="G841" s="207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</row>
    <row r="842" ht="26.25" customHeight="1" s="251">
      <c r="A842" s="208" t="n"/>
      <c r="B842" s="208" t="n"/>
      <c r="C842" s="207" t="n"/>
      <c r="D842" s="207" t="n"/>
      <c r="E842" s="207" t="n"/>
      <c r="F842" s="207" t="n"/>
      <c r="G842" s="207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</row>
    <row r="843" ht="26.25" customHeight="1" s="251">
      <c r="A843" s="208" t="n"/>
      <c r="B843" s="208" t="n"/>
      <c r="C843" s="207" t="n"/>
      <c r="D843" s="207" t="n"/>
      <c r="E843" s="207" t="n"/>
      <c r="F843" s="207" t="n"/>
      <c r="G843" s="207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</row>
    <row r="844" ht="26.25" customHeight="1" s="251">
      <c r="A844" s="208" t="n"/>
      <c r="B844" s="208" t="n"/>
      <c r="C844" s="207" t="n"/>
      <c r="D844" s="207" t="n"/>
      <c r="E844" s="207" t="n"/>
      <c r="F844" s="207" t="n"/>
      <c r="G844" s="207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</row>
    <row r="845" ht="26.25" customHeight="1" s="251">
      <c r="A845" s="208" t="n"/>
      <c r="B845" s="208" t="n"/>
      <c r="C845" s="207" t="n"/>
      <c r="D845" s="207" t="n"/>
      <c r="E845" s="207" t="n"/>
      <c r="F845" s="207" t="n"/>
      <c r="G845" s="207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</row>
    <row r="846" ht="26.25" customHeight="1" s="251">
      <c r="A846" s="208" t="n"/>
      <c r="B846" s="208" t="n"/>
      <c r="C846" s="207" t="n"/>
      <c r="D846" s="207" t="n"/>
      <c r="E846" s="207" t="n"/>
      <c r="F846" s="207" t="n"/>
      <c r="G846" s="207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</row>
    <row r="847" ht="26.25" customHeight="1" s="251">
      <c r="A847" s="208" t="n"/>
      <c r="B847" s="208" t="n"/>
      <c r="C847" s="207" t="n"/>
      <c r="D847" s="207" t="n"/>
      <c r="E847" s="207" t="n"/>
      <c r="F847" s="207" t="n"/>
      <c r="G847" s="207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</row>
    <row r="848" ht="26.25" customHeight="1" s="251">
      <c r="A848" s="208" t="n"/>
      <c r="B848" s="208" t="n"/>
      <c r="C848" s="207" t="n"/>
      <c r="D848" s="207" t="n"/>
      <c r="E848" s="207" t="n"/>
      <c r="F848" s="207" t="n"/>
      <c r="G848" s="207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</row>
    <row r="849" ht="26.25" customHeight="1" s="251">
      <c r="A849" s="208" t="n"/>
      <c r="B849" s="208" t="n"/>
      <c r="C849" s="207" t="n"/>
      <c r="D849" s="207" t="n"/>
      <c r="E849" s="207" t="n"/>
      <c r="F849" s="207" t="n"/>
      <c r="G849" s="207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</row>
    <row r="850" ht="26.25" customHeight="1" s="251">
      <c r="A850" s="208" t="n"/>
      <c r="B850" s="208" t="n"/>
      <c r="C850" s="207" t="n"/>
      <c r="D850" s="207" t="n"/>
      <c r="E850" s="207" t="n"/>
      <c r="F850" s="207" t="n"/>
      <c r="G850" s="207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</row>
    <row r="851" ht="26.25" customHeight="1" s="251">
      <c r="A851" s="208" t="n"/>
      <c r="B851" s="208" t="n"/>
      <c r="C851" s="207" t="n"/>
      <c r="D851" s="207" t="n"/>
      <c r="E851" s="207" t="n"/>
      <c r="F851" s="207" t="n"/>
      <c r="G851" s="207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</row>
    <row r="852" ht="26.25" customHeight="1" s="251">
      <c r="A852" s="208" t="n"/>
      <c r="B852" s="208" t="n"/>
      <c r="C852" s="207" t="n"/>
      <c r="D852" s="207" t="n"/>
      <c r="E852" s="207" t="n"/>
      <c r="F852" s="207" t="n"/>
      <c r="G852" s="207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</row>
    <row r="853" ht="26.25" customHeight="1" s="251">
      <c r="A853" s="208" t="n"/>
      <c r="B853" s="208" t="n"/>
      <c r="C853" s="207" t="n"/>
      <c r="D853" s="207" t="n"/>
      <c r="E853" s="207" t="n"/>
      <c r="F853" s="207" t="n"/>
      <c r="G853" s="207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</row>
    <row r="854" ht="26.25" customHeight="1" s="251">
      <c r="A854" s="208" t="n"/>
      <c r="B854" s="208" t="n"/>
      <c r="C854" s="207" t="n"/>
      <c r="D854" s="207" t="n"/>
      <c r="E854" s="207" t="n"/>
      <c r="F854" s="207" t="n"/>
      <c r="G854" s="207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</row>
    <row r="855" ht="26.25" customHeight="1" s="251">
      <c r="A855" s="208" t="n"/>
      <c r="B855" s="208" t="n"/>
      <c r="C855" s="207" t="n"/>
      <c r="D855" s="207" t="n"/>
      <c r="E855" s="207" t="n"/>
      <c r="F855" s="207" t="n"/>
      <c r="G855" s="207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</row>
    <row r="856" ht="26.25" customHeight="1" s="251">
      <c r="A856" s="208" t="n"/>
      <c r="B856" s="208" t="n"/>
      <c r="C856" s="207" t="n"/>
      <c r="D856" s="207" t="n"/>
      <c r="E856" s="207" t="n"/>
      <c r="F856" s="207" t="n"/>
      <c r="G856" s="207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</row>
    <row r="857" ht="26.25" customHeight="1" s="251">
      <c r="A857" s="208" t="n"/>
      <c r="B857" s="208" t="n"/>
      <c r="C857" s="207" t="n"/>
      <c r="D857" s="207" t="n"/>
      <c r="E857" s="207" t="n"/>
      <c r="F857" s="207" t="n"/>
      <c r="G857" s="207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</row>
    <row r="858" ht="26.25" customHeight="1" s="251">
      <c r="A858" s="208" t="n"/>
      <c r="B858" s="208" t="n"/>
      <c r="C858" s="207" t="n"/>
      <c r="D858" s="207" t="n"/>
      <c r="E858" s="207" t="n"/>
      <c r="F858" s="207" t="n"/>
      <c r="G858" s="207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</row>
    <row r="859" ht="26.25" customHeight="1" s="251">
      <c r="A859" s="208" t="n"/>
      <c r="B859" s="208" t="n"/>
      <c r="C859" s="207" t="n"/>
      <c r="D859" s="207" t="n"/>
      <c r="E859" s="207" t="n"/>
      <c r="F859" s="207" t="n"/>
      <c r="G859" s="207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</row>
    <row r="860" ht="26.25" customHeight="1" s="251">
      <c r="A860" s="208" t="n"/>
      <c r="B860" s="208" t="n"/>
      <c r="C860" s="207" t="n"/>
      <c r="D860" s="207" t="n"/>
      <c r="E860" s="207" t="n"/>
      <c r="F860" s="207" t="n"/>
      <c r="G860" s="207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</row>
    <row r="861" ht="26.25" customHeight="1" s="251">
      <c r="A861" s="208" t="n"/>
      <c r="B861" s="208" t="n"/>
      <c r="C861" s="207" t="n"/>
      <c r="D861" s="207" t="n"/>
      <c r="E861" s="207" t="n"/>
      <c r="F861" s="207" t="n"/>
      <c r="G861" s="207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</row>
    <row r="862" ht="26.25" customHeight="1" s="251">
      <c r="A862" s="208" t="n"/>
      <c r="B862" s="208" t="n"/>
      <c r="C862" s="207" t="n"/>
      <c r="D862" s="207" t="n"/>
      <c r="E862" s="207" t="n"/>
      <c r="F862" s="207" t="n"/>
      <c r="G862" s="207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</row>
    <row r="863" ht="26.25" customHeight="1" s="251">
      <c r="A863" s="208" t="n"/>
      <c r="B863" s="208" t="n"/>
      <c r="C863" s="207" t="n"/>
      <c r="D863" s="207" t="n"/>
      <c r="E863" s="207" t="n"/>
      <c r="F863" s="207" t="n"/>
      <c r="G863" s="207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</row>
    <row r="864" ht="26.25" customHeight="1" s="251">
      <c r="A864" s="208" t="n"/>
      <c r="B864" s="208" t="n"/>
      <c r="C864" s="207" t="n"/>
      <c r="D864" s="207" t="n"/>
      <c r="E864" s="207" t="n"/>
      <c r="F864" s="207" t="n"/>
      <c r="G864" s="207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</row>
    <row r="865" ht="26.25" customHeight="1" s="251">
      <c r="A865" s="208" t="n"/>
      <c r="B865" s="208" t="n"/>
      <c r="C865" s="207" t="n"/>
      <c r="D865" s="207" t="n"/>
      <c r="E865" s="207" t="n"/>
      <c r="F865" s="207" t="n"/>
      <c r="G865" s="207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</row>
    <row r="866" ht="26.25" customHeight="1" s="251">
      <c r="A866" s="208" t="n"/>
      <c r="B866" s="208" t="n"/>
      <c r="C866" s="207" t="n"/>
      <c r="D866" s="207" t="n"/>
      <c r="E866" s="207" t="n"/>
      <c r="F866" s="207" t="n"/>
      <c r="G866" s="207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</row>
    <row r="867" ht="26.25" customHeight="1" s="251">
      <c r="A867" s="208" t="n"/>
      <c r="B867" s="208" t="n"/>
      <c r="C867" s="207" t="n"/>
      <c r="D867" s="207" t="n"/>
      <c r="E867" s="207" t="n"/>
      <c r="F867" s="207" t="n"/>
      <c r="G867" s="207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</row>
    <row r="868" ht="26.25" customHeight="1" s="251">
      <c r="A868" s="208" t="n"/>
      <c r="B868" s="208" t="n"/>
      <c r="C868" s="207" t="n"/>
      <c r="D868" s="207" t="n"/>
      <c r="E868" s="207" t="n"/>
      <c r="F868" s="207" t="n"/>
      <c r="G868" s="207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</row>
    <row r="869" ht="26.25" customHeight="1" s="251">
      <c r="A869" s="208" t="n"/>
      <c r="B869" s="208" t="n"/>
      <c r="C869" s="207" t="n"/>
      <c r="D869" s="207" t="n"/>
      <c r="E869" s="207" t="n"/>
      <c r="F869" s="207" t="n"/>
      <c r="G869" s="207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</row>
    <row r="870" ht="26.25" customHeight="1" s="251">
      <c r="A870" s="208" t="n"/>
      <c r="B870" s="208" t="n"/>
      <c r="C870" s="207" t="n"/>
      <c r="D870" s="207" t="n"/>
      <c r="E870" s="207" t="n"/>
      <c r="F870" s="207" t="n"/>
      <c r="G870" s="207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</row>
    <row r="871" ht="26.25" customHeight="1" s="251">
      <c r="A871" s="208" t="n"/>
      <c r="B871" s="208" t="n"/>
      <c r="C871" s="207" t="n"/>
      <c r="D871" s="207" t="n"/>
      <c r="E871" s="207" t="n"/>
      <c r="F871" s="207" t="n"/>
      <c r="G871" s="207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</row>
    <row r="872" ht="26.25" customHeight="1" s="251">
      <c r="A872" s="208" t="n"/>
      <c r="B872" s="208" t="n"/>
      <c r="C872" s="207" t="n"/>
      <c r="D872" s="207" t="n"/>
      <c r="E872" s="207" t="n"/>
      <c r="F872" s="207" t="n"/>
      <c r="G872" s="207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</row>
    <row r="873" ht="26.25" customHeight="1" s="251">
      <c r="A873" s="208" t="n"/>
      <c r="B873" s="208" t="n"/>
      <c r="C873" s="207" t="n"/>
      <c r="D873" s="207" t="n"/>
      <c r="E873" s="207" t="n"/>
      <c r="F873" s="207" t="n"/>
      <c r="G873" s="207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</row>
    <row r="874" ht="26.25" customHeight="1" s="251">
      <c r="A874" s="208" t="n"/>
      <c r="B874" s="208" t="n"/>
      <c r="C874" s="207" t="n"/>
      <c r="D874" s="207" t="n"/>
      <c r="E874" s="207" t="n"/>
      <c r="F874" s="207" t="n"/>
      <c r="G874" s="207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</row>
    <row r="875" ht="26.25" customHeight="1" s="251">
      <c r="A875" s="208" t="n"/>
      <c r="B875" s="208" t="n"/>
      <c r="C875" s="207" t="n"/>
      <c r="D875" s="207" t="n"/>
      <c r="E875" s="207" t="n"/>
      <c r="F875" s="207" t="n"/>
      <c r="G875" s="207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</row>
    <row r="876" ht="26.25" customHeight="1" s="251">
      <c r="A876" s="208" t="n"/>
      <c r="B876" s="208" t="n"/>
      <c r="C876" s="207" t="n"/>
      <c r="D876" s="207" t="n"/>
      <c r="E876" s="207" t="n"/>
      <c r="F876" s="207" t="n"/>
      <c r="G876" s="207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</row>
    <row r="877" ht="26.25" customHeight="1" s="251">
      <c r="A877" s="208" t="n"/>
      <c r="B877" s="208" t="n"/>
      <c r="C877" s="207" t="n"/>
      <c r="D877" s="207" t="n"/>
      <c r="E877" s="207" t="n"/>
      <c r="F877" s="207" t="n"/>
      <c r="G877" s="207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</row>
    <row r="878" ht="26.25" customHeight="1" s="251">
      <c r="A878" s="208" t="n"/>
      <c r="B878" s="208" t="n"/>
      <c r="C878" s="207" t="n"/>
      <c r="D878" s="207" t="n"/>
      <c r="E878" s="207" t="n"/>
      <c r="F878" s="207" t="n"/>
      <c r="G878" s="207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</row>
    <row r="879" ht="26.25" customHeight="1" s="251">
      <c r="A879" s="208" t="n"/>
      <c r="B879" s="208" t="n"/>
      <c r="C879" s="207" t="n"/>
      <c r="D879" s="207" t="n"/>
      <c r="E879" s="207" t="n"/>
      <c r="F879" s="207" t="n"/>
      <c r="G879" s="207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</row>
    <row r="880" ht="26.25" customHeight="1" s="251">
      <c r="A880" s="208" t="n"/>
      <c r="B880" s="208" t="n"/>
      <c r="C880" s="207" t="n"/>
      <c r="D880" s="207" t="n"/>
      <c r="E880" s="207" t="n"/>
      <c r="F880" s="207" t="n"/>
      <c r="G880" s="207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</row>
    <row r="881" ht="26.25" customHeight="1" s="251">
      <c r="A881" s="208" t="n"/>
      <c r="B881" s="208" t="n"/>
      <c r="C881" s="207" t="n"/>
      <c r="D881" s="207" t="n"/>
      <c r="E881" s="207" t="n"/>
      <c r="F881" s="207" t="n"/>
      <c r="G881" s="207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</row>
    <row r="882" ht="26.25" customHeight="1" s="251">
      <c r="A882" s="208" t="n"/>
      <c r="B882" s="208" t="n"/>
      <c r="C882" s="207" t="n"/>
      <c r="D882" s="207" t="n"/>
      <c r="E882" s="207" t="n"/>
      <c r="F882" s="207" t="n"/>
      <c r="G882" s="207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</row>
    <row r="883" ht="26.25" customHeight="1" s="251">
      <c r="A883" s="208" t="n"/>
      <c r="B883" s="208" t="n"/>
      <c r="C883" s="207" t="n"/>
      <c r="D883" s="207" t="n"/>
      <c r="E883" s="207" t="n"/>
      <c r="F883" s="207" t="n"/>
      <c r="G883" s="207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</row>
    <row r="884" ht="26.25" customHeight="1" s="251">
      <c r="A884" s="208" t="n"/>
      <c r="B884" s="208" t="n"/>
      <c r="C884" s="207" t="n"/>
      <c r="D884" s="207" t="n"/>
      <c r="E884" s="207" t="n"/>
      <c r="F884" s="207" t="n"/>
      <c r="G884" s="207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</row>
    <row r="885" ht="26.25" customHeight="1" s="251">
      <c r="A885" s="208" t="n"/>
      <c r="B885" s="208" t="n"/>
      <c r="C885" s="207" t="n"/>
      <c r="D885" s="207" t="n"/>
      <c r="E885" s="207" t="n"/>
      <c r="F885" s="207" t="n"/>
      <c r="G885" s="207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</row>
    <row r="886" ht="26.25" customHeight="1" s="251">
      <c r="A886" s="208" t="n"/>
      <c r="B886" s="208" t="n"/>
      <c r="C886" s="207" t="n"/>
      <c r="D886" s="207" t="n"/>
      <c r="E886" s="207" t="n"/>
      <c r="F886" s="207" t="n"/>
      <c r="G886" s="207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</row>
    <row r="887" ht="26.25" customHeight="1" s="251">
      <c r="A887" s="208" t="n"/>
      <c r="B887" s="208" t="n"/>
      <c r="C887" s="207" t="n"/>
      <c r="D887" s="207" t="n"/>
      <c r="E887" s="207" t="n"/>
      <c r="F887" s="207" t="n"/>
      <c r="G887" s="207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</row>
    <row r="888" ht="26.25" customHeight="1" s="251">
      <c r="A888" s="208" t="n"/>
      <c r="B888" s="208" t="n"/>
      <c r="C888" s="207" t="n"/>
      <c r="D888" s="207" t="n"/>
      <c r="E888" s="207" t="n"/>
      <c r="F888" s="207" t="n"/>
      <c r="G888" s="207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</row>
    <row r="889" ht="26.25" customHeight="1" s="251">
      <c r="A889" s="208" t="n"/>
      <c r="B889" s="208" t="n"/>
      <c r="C889" s="207" t="n"/>
      <c r="D889" s="207" t="n"/>
      <c r="E889" s="207" t="n"/>
      <c r="F889" s="207" t="n"/>
      <c r="G889" s="207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</row>
    <row r="890" ht="26.25" customHeight="1" s="251">
      <c r="A890" s="208" t="n"/>
      <c r="B890" s="208" t="n"/>
      <c r="C890" s="207" t="n"/>
      <c r="D890" s="207" t="n"/>
      <c r="E890" s="207" t="n"/>
      <c r="F890" s="207" t="n"/>
      <c r="G890" s="207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</row>
    <row r="891" ht="26.25" customHeight="1" s="251">
      <c r="A891" s="208" t="n"/>
      <c r="B891" s="208" t="n"/>
      <c r="C891" s="207" t="n"/>
      <c r="D891" s="207" t="n"/>
      <c r="E891" s="207" t="n"/>
      <c r="F891" s="207" t="n"/>
      <c r="G891" s="207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</row>
    <row r="892" ht="26.25" customHeight="1" s="251">
      <c r="A892" s="208" t="n"/>
      <c r="B892" s="208" t="n"/>
      <c r="C892" s="207" t="n"/>
      <c r="D892" s="207" t="n"/>
      <c r="E892" s="207" t="n"/>
      <c r="F892" s="207" t="n"/>
      <c r="G892" s="207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</row>
    <row r="893" ht="26.25" customHeight="1" s="251">
      <c r="A893" s="208" t="n"/>
      <c r="B893" s="208" t="n"/>
      <c r="C893" s="207" t="n"/>
      <c r="D893" s="207" t="n"/>
      <c r="E893" s="207" t="n"/>
      <c r="F893" s="207" t="n"/>
      <c r="G893" s="207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</row>
    <row r="894" ht="26.25" customHeight="1" s="251">
      <c r="A894" s="208" t="n"/>
      <c r="B894" s="208" t="n"/>
      <c r="C894" s="207" t="n"/>
      <c r="D894" s="207" t="n"/>
      <c r="E894" s="207" t="n"/>
      <c r="F894" s="207" t="n"/>
      <c r="G894" s="207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</row>
    <row r="895" ht="26.25" customHeight="1" s="251">
      <c r="A895" s="208" t="n"/>
      <c r="B895" s="208" t="n"/>
      <c r="C895" s="207" t="n"/>
      <c r="D895" s="207" t="n"/>
      <c r="E895" s="207" t="n"/>
      <c r="F895" s="207" t="n"/>
      <c r="G895" s="207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</row>
    <row r="896" ht="26.25" customHeight="1" s="251">
      <c r="A896" s="208" t="n"/>
      <c r="B896" s="208" t="n"/>
      <c r="C896" s="207" t="n"/>
      <c r="D896" s="207" t="n"/>
      <c r="E896" s="207" t="n"/>
      <c r="F896" s="207" t="n"/>
      <c r="G896" s="207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</row>
    <row r="897" ht="26.25" customHeight="1" s="251">
      <c r="A897" s="208" t="n"/>
      <c r="B897" s="208" t="n"/>
      <c r="C897" s="207" t="n"/>
      <c r="D897" s="207" t="n"/>
      <c r="E897" s="207" t="n"/>
      <c r="F897" s="207" t="n"/>
      <c r="G897" s="207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</row>
    <row r="898" ht="26.25" customHeight="1" s="251">
      <c r="A898" s="208" t="n"/>
      <c r="B898" s="208" t="n"/>
      <c r="C898" s="207" t="n"/>
      <c r="D898" s="207" t="n"/>
      <c r="E898" s="207" t="n"/>
      <c r="F898" s="207" t="n"/>
      <c r="G898" s="207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</row>
    <row r="899" ht="26.25" customHeight="1" s="251">
      <c r="A899" s="208" t="n"/>
      <c r="B899" s="208" t="n"/>
      <c r="C899" s="207" t="n"/>
      <c r="D899" s="207" t="n"/>
      <c r="E899" s="207" t="n"/>
      <c r="F899" s="207" t="n"/>
      <c r="G899" s="207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</row>
    <row r="900" ht="26.25" customHeight="1" s="251">
      <c r="A900" s="208" t="n"/>
      <c r="B900" s="208" t="n"/>
      <c r="C900" s="207" t="n"/>
      <c r="D900" s="207" t="n"/>
      <c r="E900" s="207" t="n"/>
      <c r="F900" s="207" t="n"/>
      <c r="G900" s="207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</row>
    <row r="901" ht="26.25" customHeight="1" s="251">
      <c r="A901" s="208" t="n"/>
      <c r="B901" s="208" t="n"/>
      <c r="C901" s="207" t="n"/>
      <c r="D901" s="207" t="n"/>
      <c r="E901" s="207" t="n"/>
      <c r="F901" s="207" t="n"/>
      <c r="G901" s="207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</row>
    <row r="902" ht="26.25" customHeight="1" s="251">
      <c r="A902" s="208" t="n"/>
      <c r="B902" s="208" t="n"/>
      <c r="C902" s="207" t="n"/>
      <c r="D902" s="207" t="n"/>
      <c r="E902" s="207" t="n"/>
      <c r="F902" s="207" t="n"/>
      <c r="G902" s="207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</row>
    <row r="903" ht="26.25" customHeight="1" s="251">
      <c r="A903" s="208" t="n"/>
      <c r="B903" s="208" t="n"/>
      <c r="C903" s="207" t="n"/>
      <c r="D903" s="207" t="n"/>
      <c r="E903" s="207" t="n"/>
      <c r="F903" s="207" t="n"/>
      <c r="G903" s="207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</row>
    <row r="904" ht="26.25" customHeight="1" s="251">
      <c r="A904" s="208" t="n"/>
      <c r="B904" s="208" t="n"/>
      <c r="C904" s="207" t="n"/>
      <c r="D904" s="207" t="n"/>
      <c r="E904" s="207" t="n"/>
      <c r="F904" s="207" t="n"/>
      <c r="G904" s="207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</row>
    <row r="905" ht="26.25" customHeight="1" s="251">
      <c r="A905" s="208" t="n"/>
      <c r="B905" s="208" t="n"/>
      <c r="C905" s="207" t="n"/>
      <c r="D905" s="207" t="n"/>
      <c r="E905" s="207" t="n"/>
      <c r="F905" s="207" t="n"/>
      <c r="G905" s="207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</row>
    <row r="906" ht="26.25" customHeight="1" s="251">
      <c r="A906" s="208" t="n"/>
      <c r="B906" s="208" t="n"/>
      <c r="C906" s="207" t="n"/>
      <c r="D906" s="207" t="n"/>
      <c r="E906" s="207" t="n"/>
      <c r="F906" s="207" t="n"/>
      <c r="G906" s="207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</row>
    <row r="907" ht="26.25" customHeight="1" s="251">
      <c r="A907" s="208" t="n"/>
      <c r="B907" s="208" t="n"/>
      <c r="C907" s="207" t="n"/>
      <c r="D907" s="207" t="n"/>
      <c r="E907" s="207" t="n"/>
      <c r="F907" s="207" t="n"/>
      <c r="G907" s="207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</row>
    <row r="908" ht="26.25" customHeight="1" s="251">
      <c r="A908" s="208" t="n"/>
      <c r="B908" s="208" t="n"/>
      <c r="C908" s="207" t="n"/>
      <c r="D908" s="207" t="n"/>
      <c r="E908" s="207" t="n"/>
      <c r="F908" s="207" t="n"/>
      <c r="G908" s="207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</row>
    <row r="909" ht="26.25" customHeight="1" s="251">
      <c r="A909" s="208" t="n"/>
      <c r="B909" s="208" t="n"/>
      <c r="C909" s="207" t="n"/>
      <c r="D909" s="207" t="n"/>
      <c r="E909" s="207" t="n"/>
      <c r="F909" s="207" t="n"/>
      <c r="G909" s="207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</row>
    <row r="910" ht="26.25" customHeight="1" s="251">
      <c r="A910" s="208" t="n"/>
      <c r="B910" s="208" t="n"/>
      <c r="C910" s="207" t="n"/>
      <c r="D910" s="207" t="n"/>
      <c r="E910" s="207" t="n"/>
      <c r="F910" s="207" t="n"/>
      <c r="G910" s="207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</row>
    <row r="911" ht="26.25" customHeight="1" s="251">
      <c r="A911" s="208" t="n"/>
      <c r="B911" s="208" t="n"/>
      <c r="C911" s="207" t="n"/>
      <c r="D911" s="207" t="n"/>
      <c r="E911" s="207" t="n"/>
      <c r="F911" s="207" t="n"/>
      <c r="G911" s="207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</row>
    <row r="912" ht="26.25" customHeight="1" s="251">
      <c r="A912" s="208" t="n"/>
      <c r="B912" s="208" t="n"/>
      <c r="C912" s="207" t="n"/>
      <c r="D912" s="207" t="n"/>
      <c r="E912" s="207" t="n"/>
      <c r="F912" s="207" t="n"/>
      <c r="G912" s="207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</row>
    <row r="913" ht="26.25" customHeight="1" s="251">
      <c r="A913" s="208" t="n"/>
      <c r="B913" s="208" t="n"/>
      <c r="C913" s="207" t="n"/>
      <c r="D913" s="207" t="n"/>
      <c r="E913" s="207" t="n"/>
      <c r="F913" s="207" t="n"/>
      <c r="G913" s="207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</row>
    <row r="914" ht="26.25" customHeight="1" s="251">
      <c r="A914" s="208" t="n"/>
      <c r="B914" s="208" t="n"/>
      <c r="C914" s="207" t="n"/>
      <c r="D914" s="207" t="n"/>
      <c r="E914" s="207" t="n"/>
      <c r="F914" s="207" t="n"/>
      <c r="G914" s="207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</row>
    <row r="915" ht="26.25" customHeight="1" s="251">
      <c r="A915" s="208" t="n"/>
      <c r="B915" s="208" t="n"/>
      <c r="C915" s="207" t="n"/>
      <c r="D915" s="207" t="n"/>
      <c r="E915" s="207" t="n"/>
      <c r="F915" s="207" t="n"/>
      <c r="G915" s="207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</row>
    <row r="916" ht="26.25" customHeight="1" s="251">
      <c r="A916" s="208" t="n"/>
      <c r="B916" s="208" t="n"/>
      <c r="C916" s="207" t="n"/>
      <c r="D916" s="207" t="n"/>
      <c r="E916" s="207" t="n"/>
      <c r="F916" s="207" t="n"/>
      <c r="G916" s="207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</row>
    <row r="917" ht="26.25" customHeight="1" s="251">
      <c r="A917" s="208" t="n"/>
      <c r="B917" s="208" t="n"/>
      <c r="C917" s="207" t="n"/>
      <c r="D917" s="207" t="n"/>
      <c r="E917" s="207" t="n"/>
      <c r="F917" s="207" t="n"/>
      <c r="G917" s="207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</row>
    <row r="918" ht="26.25" customHeight="1" s="251">
      <c r="A918" s="208" t="n"/>
      <c r="B918" s="208" t="n"/>
      <c r="C918" s="207" t="n"/>
      <c r="D918" s="207" t="n"/>
      <c r="E918" s="207" t="n"/>
      <c r="F918" s="207" t="n"/>
      <c r="G918" s="207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</row>
    <row r="919" ht="26.25" customHeight="1" s="251">
      <c r="A919" s="208" t="n"/>
      <c r="B919" s="208" t="n"/>
      <c r="C919" s="207" t="n"/>
      <c r="D919" s="207" t="n"/>
      <c r="E919" s="207" t="n"/>
      <c r="F919" s="207" t="n"/>
      <c r="G919" s="207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</row>
    <row r="920" ht="26.25" customHeight="1" s="251">
      <c r="A920" s="208" t="n"/>
      <c r="B920" s="208" t="n"/>
      <c r="C920" s="207" t="n"/>
      <c r="D920" s="207" t="n"/>
      <c r="E920" s="207" t="n"/>
      <c r="F920" s="207" t="n"/>
      <c r="G920" s="207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</row>
    <row r="921" ht="26.25" customHeight="1" s="251">
      <c r="A921" s="208" t="n"/>
      <c r="B921" s="208" t="n"/>
      <c r="C921" s="207" t="n"/>
      <c r="D921" s="207" t="n"/>
      <c r="E921" s="207" t="n"/>
      <c r="F921" s="207" t="n"/>
      <c r="G921" s="207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</row>
    <row r="922" ht="26.25" customHeight="1" s="251">
      <c r="A922" s="208" t="n"/>
      <c r="B922" s="208" t="n"/>
      <c r="C922" s="207" t="n"/>
      <c r="D922" s="207" t="n"/>
      <c r="E922" s="207" t="n"/>
      <c r="F922" s="207" t="n"/>
      <c r="G922" s="207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</row>
    <row r="923" ht="26.25" customHeight="1" s="251">
      <c r="A923" s="208" t="n"/>
      <c r="B923" s="208" t="n"/>
      <c r="C923" s="207" t="n"/>
      <c r="D923" s="207" t="n"/>
      <c r="E923" s="207" t="n"/>
      <c r="F923" s="207" t="n"/>
      <c r="G923" s="207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</row>
    <row r="924" ht="26.25" customHeight="1" s="251">
      <c r="A924" s="208" t="n"/>
      <c r="B924" s="208" t="n"/>
      <c r="C924" s="207" t="n"/>
      <c r="D924" s="207" t="n"/>
      <c r="E924" s="207" t="n"/>
      <c r="F924" s="207" t="n"/>
      <c r="G924" s="207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</row>
    <row r="925" ht="26.25" customHeight="1" s="251">
      <c r="A925" s="208" t="n"/>
      <c r="B925" s="208" t="n"/>
      <c r="C925" s="207" t="n"/>
      <c r="D925" s="207" t="n"/>
      <c r="E925" s="207" t="n"/>
      <c r="F925" s="207" t="n"/>
      <c r="G925" s="207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</row>
    <row r="926" ht="26.25" customHeight="1" s="251">
      <c r="A926" s="208" t="n"/>
      <c r="B926" s="208" t="n"/>
      <c r="C926" s="207" t="n"/>
      <c r="D926" s="207" t="n"/>
      <c r="E926" s="207" t="n"/>
      <c r="F926" s="207" t="n"/>
      <c r="G926" s="207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</row>
    <row r="927" ht="26.25" customHeight="1" s="251">
      <c r="A927" s="208" t="n"/>
      <c r="B927" s="208" t="n"/>
      <c r="C927" s="207" t="n"/>
      <c r="D927" s="207" t="n"/>
      <c r="E927" s="207" t="n"/>
      <c r="F927" s="207" t="n"/>
      <c r="G927" s="207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</row>
    <row r="928" ht="26.25" customHeight="1" s="251">
      <c r="A928" s="208" t="n"/>
      <c r="B928" s="208" t="n"/>
      <c r="C928" s="207" t="n"/>
      <c r="D928" s="207" t="n"/>
      <c r="E928" s="207" t="n"/>
      <c r="F928" s="207" t="n"/>
      <c r="G928" s="207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</row>
    <row r="929" ht="26.25" customHeight="1" s="251">
      <c r="A929" s="208" t="n"/>
      <c r="B929" s="208" t="n"/>
      <c r="C929" s="207" t="n"/>
      <c r="D929" s="207" t="n"/>
      <c r="E929" s="207" t="n"/>
      <c r="F929" s="207" t="n"/>
      <c r="G929" s="207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</row>
    <row r="930" ht="26.25" customHeight="1" s="251">
      <c r="A930" s="208" t="n"/>
      <c r="B930" s="208" t="n"/>
      <c r="C930" s="207" t="n"/>
      <c r="D930" s="207" t="n"/>
      <c r="E930" s="207" t="n"/>
      <c r="F930" s="207" t="n"/>
      <c r="G930" s="207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</row>
    <row r="931" ht="26.25" customHeight="1" s="251">
      <c r="A931" s="208" t="n"/>
      <c r="B931" s="208" t="n"/>
      <c r="C931" s="207" t="n"/>
      <c r="D931" s="207" t="n"/>
      <c r="E931" s="207" t="n"/>
      <c r="F931" s="207" t="n"/>
      <c r="G931" s="207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</row>
    <row r="932" ht="26.25" customHeight="1" s="251">
      <c r="A932" s="208" t="n"/>
      <c r="B932" s="208" t="n"/>
      <c r="C932" s="207" t="n"/>
      <c r="D932" s="207" t="n"/>
      <c r="E932" s="207" t="n"/>
      <c r="F932" s="207" t="n"/>
      <c r="G932" s="207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</row>
    <row r="933" ht="26.25" customHeight="1" s="251">
      <c r="A933" s="208" t="n"/>
      <c r="B933" s="208" t="n"/>
      <c r="C933" s="207" t="n"/>
      <c r="D933" s="207" t="n"/>
      <c r="E933" s="207" t="n"/>
      <c r="F933" s="207" t="n"/>
      <c r="G933" s="207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</row>
    <row r="934" ht="26.25" customHeight="1" s="251">
      <c r="A934" s="208" t="n"/>
      <c r="B934" s="208" t="n"/>
      <c r="C934" s="207" t="n"/>
      <c r="D934" s="207" t="n"/>
      <c r="E934" s="207" t="n"/>
      <c r="F934" s="207" t="n"/>
      <c r="G934" s="207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</row>
    <row r="935" ht="26.25" customHeight="1" s="251">
      <c r="A935" s="208" t="n"/>
      <c r="B935" s="208" t="n"/>
      <c r="C935" s="207" t="n"/>
      <c r="D935" s="207" t="n"/>
      <c r="E935" s="207" t="n"/>
      <c r="F935" s="207" t="n"/>
      <c r="G935" s="207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</row>
    <row r="936" ht="26.25" customHeight="1" s="251">
      <c r="A936" s="208" t="n"/>
      <c r="B936" s="208" t="n"/>
      <c r="C936" s="207" t="n"/>
      <c r="D936" s="207" t="n"/>
      <c r="E936" s="207" t="n"/>
      <c r="F936" s="207" t="n"/>
      <c r="G936" s="207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</row>
    <row r="937" ht="26.25" customHeight="1" s="251">
      <c r="A937" s="208" t="n"/>
      <c r="B937" s="208" t="n"/>
      <c r="C937" s="207" t="n"/>
      <c r="D937" s="207" t="n"/>
      <c r="E937" s="207" t="n"/>
      <c r="F937" s="207" t="n"/>
      <c r="G937" s="207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</row>
    <row r="938" ht="26.25" customHeight="1" s="251">
      <c r="A938" s="208" t="n"/>
      <c r="B938" s="208" t="n"/>
      <c r="C938" s="207" t="n"/>
      <c r="D938" s="207" t="n"/>
      <c r="E938" s="207" t="n"/>
      <c r="F938" s="207" t="n"/>
      <c r="G938" s="207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</row>
    <row r="939" ht="26.25" customHeight="1" s="251">
      <c r="A939" s="208" t="n"/>
      <c r="B939" s="208" t="n"/>
      <c r="C939" s="207" t="n"/>
      <c r="D939" s="207" t="n"/>
      <c r="E939" s="207" t="n"/>
      <c r="F939" s="207" t="n"/>
      <c r="G939" s="207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</row>
    <row r="940" ht="26.25" customHeight="1" s="251">
      <c r="A940" s="208" t="n"/>
      <c r="B940" s="208" t="n"/>
      <c r="C940" s="207" t="n"/>
      <c r="D940" s="207" t="n"/>
      <c r="E940" s="207" t="n"/>
      <c r="F940" s="207" t="n"/>
      <c r="G940" s="207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</row>
    <row r="941" ht="26.25" customHeight="1" s="251">
      <c r="A941" s="208" t="n"/>
      <c r="B941" s="208" t="n"/>
      <c r="C941" s="207" t="n"/>
      <c r="D941" s="207" t="n"/>
      <c r="E941" s="207" t="n"/>
      <c r="F941" s="207" t="n"/>
      <c r="G941" s="207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</row>
    <row r="942" ht="26.25" customHeight="1" s="251">
      <c r="A942" s="208" t="n"/>
      <c r="B942" s="208" t="n"/>
      <c r="C942" s="207" t="n"/>
      <c r="D942" s="207" t="n"/>
      <c r="E942" s="207" t="n"/>
      <c r="F942" s="207" t="n"/>
      <c r="G942" s="207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</row>
    <row r="943" ht="26.25" customHeight="1" s="251">
      <c r="A943" s="208" t="n"/>
      <c r="B943" s="208" t="n"/>
      <c r="C943" s="207" t="n"/>
      <c r="D943" s="207" t="n"/>
      <c r="E943" s="207" t="n"/>
      <c r="F943" s="207" t="n"/>
      <c r="G943" s="207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</row>
    <row r="944" ht="26.25" customHeight="1" s="251">
      <c r="A944" s="208" t="n"/>
      <c r="B944" s="208" t="n"/>
      <c r="C944" s="207" t="n"/>
      <c r="D944" s="207" t="n"/>
      <c r="E944" s="207" t="n"/>
      <c r="F944" s="207" t="n"/>
      <c r="G944" s="207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</row>
    <row r="945" ht="26.25" customHeight="1" s="251">
      <c r="A945" s="208" t="n"/>
      <c r="B945" s="208" t="n"/>
      <c r="C945" s="207" t="n"/>
      <c r="D945" s="207" t="n"/>
      <c r="E945" s="207" t="n"/>
      <c r="F945" s="207" t="n"/>
      <c r="G945" s="207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</row>
    <row r="946" ht="26.25" customHeight="1" s="251">
      <c r="A946" s="208" t="n"/>
      <c r="B946" s="208" t="n"/>
      <c r="C946" s="207" t="n"/>
      <c r="D946" s="207" t="n"/>
      <c r="E946" s="207" t="n"/>
      <c r="F946" s="207" t="n"/>
      <c r="G946" s="207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</row>
    <row r="947" ht="26.25" customHeight="1" s="251">
      <c r="A947" s="208" t="n"/>
      <c r="B947" s="208" t="n"/>
      <c r="C947" s="207" t="n"/>
      <c r="D947" s="207" t="n"/>
      <c r="E947" s="207" t="n"/>
      <c r="F947" s="207" t="n"/>
      <c r="G947" s="207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</row>
    <row r="948" ht="26.25" customHeight="1" s="251">
      <c r="A948" s="208" t="n"/>
      <c r="B948" s="208" t="n"/>
      <c r="C948" s="207" t="n"/>
      <c r="D948" s="207" t="n"/>
      <c r="E948" s="207" t="n"/>
      <c r="F948" s="207" t="n"/>
      <c r="G948" s="207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</row>
    <row r="949" ht="26.25" customHeight="1" s="251">
      <c r="A949" s="208" t="n"/>
      <c r="B949" s="208" t="n"/>
      <c r="C949" s="207" t="n"/>
      <c r="D949" s="207" t="n"/>
      <c r="E949" s="207" t="n"/>
      <c r="F949" s="207" t="n"/>
      <c r="G949" s="207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</row>
    <row r="950" ht="26.25" customHeight="1" s="251">
      <c r="A950" s="208" t="n"/>
      <c r="B950" s="208" t="n"/>
      <c r="C950" s="207" t="n"/>
      <c r="D950" s="207" t="n"/>
      <c r="E950" s="207" t="n"/>
      <c r="F950" s="207" t="n"/>
      <c r="G950" s="207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</row>
    <row r="951" ht="26.25" customHeight="1" s="251">
      <c r="A951" s="208" t="n"/>
      <c r="B951" s="208" t="n"/>
      <c r="C951" s="207" t="n"/>
      <c r="D951" s="207" t="n"/>
      <c r="E951" s="207" t="n"/>
      <c r="F951" s="207" t="n"/>
      <c r="G951" s="207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</row>
    <row r="952" ht="26.25" customHeight="1" s="251">
      <c r="A952" s="208" t="n"/>
      <c r="B952" s="208" t="n"/>
      <c r="C952" s="207" t="n"/>
      <c r="D952" s="207" t="n"/>
      <c r="E952" s="207" t="n"/>
      <c r="F952" s="207" t="n"/>
      <c r="G952" s="207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</row>
    <row r="953" ht="26.25" customHeight="1" s="251">
      <c r="A953" s="208" t="n"/>
      <c r="B953" s="208" t="n"/>
      <c r="C953" s="207" t="n"/>
      <c r="D953" s="207" t="n"/>
      <c r="E953" s="207" t="n"/>
      <c r="F953" s="207" t="n"/>
      <c r="G953" s="207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</row>
    <row r="954" ht="26.25" customHeight="1" s="251">
      <c r="A954" s="208" t="n"/>
      <c r="B954" s="208" t="n"/>
      <c r="C954" s="207" t="n"/>
      <c r="D954" s="207" t="n"/>
      <c r="E954" s="207" t="n"/>
      <c r="F954" s="207" t="n"/>
      <c r="G954" s="207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</row>
    <row r="955" ht="26.25" customHeight="1" s="251">
      <c r="A955" s="208" t="n"/>
      <c r="B955" s="208" t="n"/>
      <c r="C955" s="207" t="n"/>
      <c r="D955" s="207" t="n"/>
      <c r="E955" s="207" t="n"/>
      <c r="F955" s="207" t="n"/>
      <c r="G955" s="207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</row>
    <row r="956" ht="26.25" customHeight="1" s="251">
      <c r="A956" s="208" t="n"/>
      <c r="B956" s="208" t="n"/>
      <c r="C956" s="207" t="n"/>
      <c r="D956" s="207" t="n"/>
      <c r="E956" s="207" t="n"/>
      <c r="F956" s="207" t="n"/>
      <c r="G956" s="207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</row>
    <row r="957" ht="26.25" customHeight="1" s="251">
      <c r="A957" s="208" t="n"/>
      <c r="B957" s="208" t="n"/>
      <c r="C957" s="207" t="n"/>
      <c r="D957" s="207" t="n"/>
      <c r="E957" s="207" t="n"/>
      <c r="F957" s="207" t="n"/>
      <c r="G957" s="207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</row>
    <row r="958" ht="26.25" customHeight="1" s="251">
      <c r="A958" s="208" t="n"/>
      <c r="B958" s="208" t="n"/>
      <c r="C958" s="207" t="n"/>
      <c r="D958" s="207" t="n"/>
      <c r="E958" s="207" t="n"/>
      <c r="F958" s="207" t="n"/>
      <c r="G958" s="207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</row>
    <row r="959" ht="26.25" customHeight="1" s="251">
      <c r="A959" s="208" t="n"/>
      <c r="B959" s="208" t="n"/>
      <c r="C959" s="207" t="n"/>
      <c r="D959" s="207" t="n"/>
      <c r="E959" s="207" t="n"/>
      <c r="F959" s="207" t="n"/>
      <c r="G959" s="207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</row>
    <row r="960" ht="26.25" customHeight="1" s="251">
      <c r="A960" s="208" t="n"/>
      <c r="B960" s="208" t="n"/>
      <c r="C960" s="207" t="n"/>
      <c r="D960" s="207" t="n"/>
      <c r="E960" s="207" t="n"/>
      <c r="F960" s="207" t="n"/>
      <c r="G960" s="207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</row>
    <row r="961" ht="26.25" customHeight="1" s="251">
      <c r="A961" s="208" t="n"/>
      <c r="B961" s="208" t="n"/>
      <c r="C961" s="207" t="n"/>
      <c r="D961" s="207" t="n"/>
      <c r="E961" s="207" t="n"/>
      <c r="F961" s="207" t="n"/>
      <c r="G961" s="207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</row>
    <row r="962" ht="26.25" customHeight="1" s="251">
      <c r="A962" s="208" t="n"/>
      <c r="B962" s="208" t="n"/>
      <c r="C962" s="207" t="n"/>
      <c r="D962" s="207" t="n"/>
      <c r="E962" s="207" t="n"/>
      <c r="F962" s="207" t="n"/>
      <c r="G962" s="207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</row>
    <row r="963" ht="26.25" customHeight="1" s="251">
      <c r="A963" s="208" t="n"/>
      <c r="B963" s="208" t="n"/>
      <c r="C963" s="207" t="n"/>
      <c r="D963" s="207" t="n"/>
      <c r="E963" s="207" t="n"/>
      <c r="F963" s="207" t="n"/>
      <c r="G963" s="207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</row>
    <row r="964" ht="26.25" customHeight="1" s="251">
      <c r="A964" s="208" t="n"/>
      <c r="B964" s="208" t="n"/>
      <c r="C964" s="207" t="n"/>
      <c r="D964" s="207" t="n"/>
      <c r="E964" s="207" t="n"/>
      <c r="F964" s="207" t="n"/>
      <c r="G964" s="207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</row>
    <row r="965" ht="26.25" customHeight="1" s="251">
      <c r="A965" s="208" t="n"/>
      <c r="B965" s="208" t="n"/>
      <c r="C965" s="207" t="n"/>
      <c r="D965" s="207" t="n"/>
      <c r="E965" s="207" t="n"/>
      <c r="F965" s="207" t="n"/>
      <c r="G965" s="207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</row>
    <row r="966" ht="26.25" customHeight="1" s="251">
      <c r="A966" s="208" t="n"/>
      <c r="B966" s="208" t="n"/>
      <c r="C966" s="207" t="n"/>
      <c r="D966" s="207" t="n"/>
      <c r="E966" s="207" t="n"/>
      <c r="F966" s="207" t="n"/>
      <c r="G966" s="207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</row>
    <row r="967" ht="26.25" customHeight="1" s="251">
      <c r="A967" s="208" t="n"/>
      <c r="B967" s="208" t="n"/>
      <c r="C967" s="207" t="n"/>
      <c r="D967" s="207" t="n"/>
      <c r="E967" s="207" t="n"/>
      <c r="F967" s="207" t="n"/>
      <c r="G967" s="207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</row>
    <row r="968" ht="26.25" customHeight="1" s="251">
      <c r="A968" s="208" t="n"/>
      <c r="B968" s="208" t="n"/>
      <c r="C968" s="207" t="n"/>
      <c r="D968" s="207" t="n"/>
      <c r="E968" s="207" t="n"/>
      <c r="F968" s="207" t="n"/>
      <c r="G968" s="207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</row>
    <row r="969" ht="26.25" customHeight="1" s="251">
      <c r="A969" s="208" t="n"/>
      <c r="B969" s="208" t="n"/>
      <c r="C969" s="207" t="n"/>
      <c r="D969" s="207" t="n"/>
      <c r="E969" s="207" t="n"/>
      <c r="F969" s="207" t="n"/>
      <c r="G969" s="207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</row>
    <row r="970" ht="26.25" customHeight="1" s="251">
      <c r="A970" s="208" t="n"/>
      <c r="B970" s="208" t="n"/>
      <c r="C970" s="207" t="n"/>
      <c r="D970" s="207" t="n"/>
      <c r="E970" s="207" t="n"/>
      <c r="F970" s="207" t="n"/>
      <c r="G970" s="207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</row>
    <row r="971" ht="26.25" customHeight="1" s="251">
      <c r="A971" s="208" t="n"/>
      <c r="B971" s="208" t="n"/>
      <c r="C971" s="207" t="n"/>
      <c r="D971" s="207" t="n"/>
      <c r="E971" s="207" t="n"/>
      <c r="F971" s="207" t="n"/>
      <c r="G971" s="207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</row>
    <row r="972" ht="26.25" customHeight="1" s="251">
      <c r="A972" s="208" t="n"/>
      <c r="B972" s="208" t="n"/>
      <c r="C972" s="207" t="n"/>
      <c r="D972" s="207" t="n"/>
      <c r="E972" s="207" t="n"/>
      <c r="F972" s="207" t="n"/>
      <c r="G972" s="207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</row>
    <row r="973" ht="26.25" customHeight="1" s="251">
      <c r="A973" s="208" t="n"/>
      <c r="B973" s="208" t="n"/>
      <c r="C973" s="207" t="n"/>
      <c r="D973" s="207" t="n"/>
      <c r="E973" s="207" t="n"/>
      <c r="F973" s="207" t="n"/>
      <c r="G973" s="207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</row>
    <row r="974" ht="26.25" customHeight="1" s="251">
      <c r="A974" s="208" t="n"/>
      <c r="B974" s="208" t="n"/>
      <c r="C974" s="207" t="n"/>
      <c r="D974" s="207" t="n"/>
      <c r="E974" s="207" t="n"/>
      <c r="F974" s="207" t="n"/>
      <c r="G974" s="207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</row>
    <row r="975" ht="26.25" customHeight="1" s="251">
      <c r="A975" s="208" t="n"/>
      <c r="B975" s="208" t="n"/>
      <c r="C975" s="207" t="n"/>
      <c r="D975" s="207" t="n"/>
      <c r="E975" s="207" t="n"/>
      <c r="F975" s="207" t="n"/>
      <c r="G975" s="207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</row>
    <row r="976" ht="26.25" customHeight="1" s="251">
      <c r="A976" s="208" t="n"/>
      <c r="B976" s="208" t="n"/>
      <c r="C976" s="207" t="n"/>
      <c r="D976" s="207" t="n"/>
      <c r="E976" s="207" t="n"/>
      <c r="F976" s="207" t="n"/>
      <c r="G976" s="207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8" t="n"/>
      <c r="S976" s="208" t="n"/>
      <c r="T976" s="208" t="n"/>
      <c r="U976" s="208" t="n"/>
      <c r="V976" s="208" t="n"/>
      <c r="W976" s="208" t="n"/>
    </row>
    <row r="977" ht="26.25" customHeight="1" s="251">
      <c r="A977" s="208" t="n"/>
      <c r="B977" s="208" t="n"/>
      <c r="C977" s="207" t="n"/>
      <c r="D977" s="207" t="n"/>
      <c r="E977" s="207" t="n"/>
      <c r="F977" s="207" t="n"/>
      <c r="G977" s="207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8" t="n"/>
      <c r="S977" s="208" t="n"/>
      <c r="T977" s="208" t="n"/>
      <c r="U977" s="208" t="n"/>
      <c r="V977" s="208" t="n"/>
      <c r="W977" s="208" t="n"/>
    </row>
    <row r="978" ht="26.25" customHeight="1" s="251">
      <c r="A978" s="208" t="n"/>
      <c r="B978" s="208" t="n"/>
      <c r="C978" s="207" t="n"/>
      <c r="D978" s="207" t="n"/>
      <c r="E978" s="207" t="n"/>
      <c r="F978" s="207" t="n"/>
      <c r="G978" s="207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8" t="n"/>
      <c r="S978" s="208" t="n"/>
      <c r="T978" s="208" t="n"/>
      <c r="U978" s="208" t="n"/>
      <c r="V978" s="208" t="n"/>
      <c r="W978" s="208" t="n"/>
    </row>
    <row r="979" ht="26.25" customHeight="1" s="251">
      <c r="A979" s="208" t="n"/>
      <c r="B979" s="208" t="n"/>
      <c r="C979" s="207" t="n"/>
      <c r="D979" s="207" t="n"/>
      <c r="E979" s="207" t="n"/>
      <c r="F979" s="207" t="n"/>
      <c r="G979" s="207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8" t="n"/>
      <c r="S979" s="208" t="n"/>
      <c r="T979" s="208" t="n"/>
      <c r="U979" s="208" t="n"/>
      <c r="V979" s="208" t="n"/>
      <c r="W979" s="208" t="n"/>
    </row>
    <row r="980" ht="26.25" customHeight="1" s="251">
      <c r="A980" s="208" t="n"/>
      <c r="B980" s="208" t="n"/>
      <c r="C980" s="207" t="n"/>
      <c r="D980" s="207" t="n"/>
      <c r="E980" s="207" t="n"/>
      <c r="F980" s="207" t="n"/>
      <c r="G980" s="207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8" t="n"/>
      <c r="S980" s="208" t="n"/>
      <c r="T980" s="208" t="n"/>
      <c r="U980" s="208" t="n"/>
      <c r="V980" s="208" t="n"/>
      <c r="W980" s="208" t="n"/>
    </row>
  </sheetData>
  <autoFilter ref="A1:G66"/>
  <conditionalFormatting sqref="G1:G65 G67:G980">
    <cfRule type="cellIs" priority="1" operator="greaterThanOrEqual" dxfId="1">
      <formula>5000</formula>
    </cfRule>
    <cfRule type="cellIs" priority="2" operator="equal" dxfId="0">
      <formula>0</formula>
    </cfRule>
  </conditionalFormatting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Z65"/>
  <sheetViews>
    <sheetView workbookViewId="0">
      <selection activeCell="A1" sqref="A1"/>
    </sheetView>
  </sheetViews>
  <sheetFormatPr baseColWidth="10" defaultColWidth="14.5" defaultRowHeight="15" customHeight="1"/>
  <cols>
    <col width="64.33203125" customWidth="1" style="251" min="2" max="2"/>
  </cols>
  <sheetData>
    <row r="1">
      <c r="A1" s="209" t="inlineStr">
        <is>
          <t>Flat</t>
        </is>
      </c>
      <c r="B1" s="210" t="inlineStr">
        <is>
          <t>Name</t>
        </is>
      </c>
      <c r="C1" s="184" t="inlineStr">
        <is>
          <t>Go?</t>
        </is>
      </c>
      <c r="D1" s="184" t="inlineStr">
        <is>
          <t>Conditions?</t>
        </is>
      </c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84" t="n"/>
      <c r="Y1" s="184" t="n"/>
      <c r="Z1" s="184" t="n"/>
    </row>
    <row r="2">
      <c r="A2" s="41" t="inlineStr">
        <is>
          <t>F1</t>
        </is>
      </c>
      <c r="B2" s="211" t="inlineStr">
        <is>
          <t>Azeem Nawaz / Shailesh Srivastava</t>
        </is>
      </c>
      <c r="C2" s="40" t="inlineStr">
        <is>
          <t>Y</t>
        </is>
      </c>
      <c r="D2" s="40" t="inlineStr">
        <is>
          <t>Y</t>
        </is>
      </c>
    </row>
    <row r="3">
      <c r="A3" s="41" t="inlineStr">
        <is>
          <t>F2</t>
        </is>
      </c>
      <c r="B3" s="211" t="inlineStr">
        <is>
          <t>Ramamurthy P / Shantanu Singh</t>
        </is>
      </c>
    </row>
    <row r="4">
      <c r="A4" s="212" t="inlineStr">
        <is>
          <t>F3</t>
        </is>
      </c>
      <c r="B4" s="211" t="inlineStr">
        <is>
          <t>Samrat Kar</t>
        </is>
      </c>
      <c r="C4" s="40" t="inlineStr">
        <is>
          <t>Y</t>
        </is>
      </c>
      <c r="D4" s="40" t="inlineStr">
        <is>
          <t>N</t>
        </is>
      </c>
    </row>
    <row r="5">
      <c r="A5" s="212" t="inlineStr">
        <is>
          <t>F4</t>
        </is>
      </c>
      <c r="B5" s="211" t="inlineStr">
        <is>
          <t>Renu R</t>
        </is>
      </c>
      <c r="C5" s="40" t="inlineStr">
        <is>
          <t>Y</t>
        </is>
      </c>
      <c r="D5" s="40" t="inlineStr">
        <is>
          <t>N</t>
        </is>
      </c>
    </row>
    <row r="6">
      <c r="A6" s="41" t="inlineStr">
        <is>
          <t>F5</t>
        </is>
      </c>
      <c r="B6" s="213" t="inlineStr">
        <is>
          <t>PRIYABRATA MOHAPATRA</t>
        </is>
      </c>
    </row>
    <row r="7">
      <c r="A7" s="41" t="inlineStr">
        <is>
          <t>F6</t>
        </is>
      </c>
      <c r="B7" s="211" t="inlineStr">
        <is>
          <t>Viral Sailesh Shah</t>
        </is>
      </c>
      <c r="C7" s="40" t="inlineStr">
        <is>
          <t>Y</t>
        </is>
      </c>
      <c r="D7" s="40" t="inlineStr">
        <is>
          <t>N</t>
        </is>
      </c>
    </row>
    <row r="8">
      <c r="A8" s="41" t="inlineStr">
        <is>
          <t>F7</t>
        </is>
      </c>
      <c r="B8" s="213" t="inlineStr">
        <is>
          <t>Vimal NK</t>
        </is>
      </c>
      <c r="C8" s="40" t="inlineStr">
        <is>
          <t>Y</t>
        </is>
      </c>
      <c r="D8" s="40" t="inlineStr">
        <is>
          <t>N</t>
        </is>
      </c>
    </row>
    <row r="9">
      <c r="A9" s="41" t="inlineStr">
        <is>
          <t>F8</t>
        </is>
      </c>
      <c r="B9" s="211" t="inlineStr">
        <is>
          <t>K sateesh Kumar/ Sreejith Menon</t>
        </is>
      </c>
      <c r="C9" s="40" t="inlineStr">
        <is>
          <t>Y</t>
        </is>
      </c>
      <c r="D9" s="40" t="inlineStr">
        <is>
          <t>N</t>
        </is>
      </c>
    </row>
    <row r="10">
      <c r="A10" s="212" t="inlineStr">
        <is>
          <t>F9</t>
        </is>
      </c>
      <c r="B10" s="211" t="inlineStr">
        <is>
          <t>Vijay Suswaram</t>
        </is>
      </c>
      <c r="C10" s="40" t="inlineStr">
        <is>
          <t>Y</t>
        </is>
      </c>
      <c r="D10" s="40" t="inlineStr">
        <is>
          <t>N</t>
        </is>
      </c>
    </row>
    <row r="11">
      <c r="A11" s="41" t="inlineStr">
        <is>
          <t>F10</t>
        </is>
      </c>
      <c r="B11" s="211" t="inlineStr">
        <is>
          <t>Aby Thomas</t>
        </is>
      </c>
      <c r="C11" s="40" t="inlineStr">
        <is>
          <t>Y</t>
        </is>
      </c>
      <c r="D11" s="40" t="inlineStr">
        <is>
          <t>N</t>
        </is>
      </c>
    </row>
    <row r="12">
      <c r="A12" s="212" t="inlineStr">
        <is>
          <t>F11</t>
        </is>
      </c>
      <c r="B12" s="211" t="inlineStr">
        <is>
          <t>N.Geetha</t>
        </is>
      </c>
      <c r="C12" s="40" t="inlineStr">
        <is>
          <t>Y</t>
        </is>
      </c>
      <c r="D12" s="40" t="inlineStr">
        <is>
          <t>N</t>
        </is>
      </c>
    </row>
    <row r="13">
      <c r="A13" s="41" t="inlineStr">
        <is>
          <t>F12</t>
        </is>
      </c>
      <c r="B13" s="211" t="inlineStr">
        <is>
          <t>Anirudh Singh / Debashish Ghoshal</t>
        </is>
      </c>
      <c r="C13" s="40" t="inlineStr">
        <is>
          <t>Y</t>
        </is>
      </c>
      <c r="D13" s="40" t="inlineStr">
        <is>
          <t>N</t>
        </is>
      </c>
    </row>
    <row r="14">
      <c r="A14" s="41" t="inlineStr">
        <is>
          <t>F13</t>
        </is>
      </c>
      <c r="B14" s="211" t="inlineStr">
        <is>
          <t>Deepak .P / Sreeniwasa Rao / S Rama Devi</t>
        </is>
      </c>
      <c r="C14" s="40" t="inlineStr">
        <is>
          <t>Y</t>
        </is>
      </c>
      <c r="D14" s="40" t="inlineStr">
        <is>
          <t>N</t>
        </is>
      </c>
    </row>
    <row r="15">
      <c r="A15" s="41" t="inlineStr">
        <is>
          <t>F14</t>
        </is>
      </c>
      <c r="B15" s="211" t="inlineStr">
        <is>
          <t>Hemant Patel</t>
        </is>
      </c>
      <c r="C15" s="40" t="inlineStr">
        <is>
          <t>Y</t>
        </is>
      </c>
      <c r="D15" s="40" t="inlineStr">
        <is>
          <t>N</t>
        </is>
      </c>
    </row>
    <row r="16">
      <c r="A16" s="212" t="inlineStr">
        <is>
          <t>F15</t>
        </is>
      </c>
      <c r="B16" s="213" t="inlineStr">
        <is>
          <t>Senthil.Vijayaragavan / Malini Balasubramaniam</t>
        </is>
      </c>
      <c r="C16" s="40" t="inlineStr">
        <is>
          <t>Y</t>
        </is>
      </c>
      <c r="D16" s="40" t="inlineStr">
        <is>
          <t>N</t>
        </is>
      </c>
    </row>
    <row r="17">
      <c r="A17" s="41" t="inlineStr">
        <is>
          <t>F16</t>
        </is>
      </c>
      <c r="B17" s="211" t="inlineStr">
        <is>
          <t>Sreeja Sudharma</t>
        </is>
      </c>
    </row>
    <row r="18">
      <c r="A18" s="41" t="inlineStr">
        <is>
          <t>G1</t>
        </is>
      </c>
      <c r="B18" s="211" t="inlineStr">
        <is>
          <t>Venkataramanan C</t>
        </is>
      </c>
      <c r="C18" s="40" t="inlineStr">
        <is>
          <t>Y</t>
        </is>
      </c>
      <c r="D18" s="40" t="inlineStr">
        <is>
          <t>N</t>
        </is>
      </c>
    </row>
    <row r="19">
      <c r="A19" s="212" t="inlineStr">
        <is>
          <t>G2</t>
        </is>
      </c>
      <c r="B19" s="211" t="inlineStr">
        <is>
          <t>Venkat Atukuri / Kaushik 9900523388</t>
        </is>
      </c>
      <c r="C19" s="40" t="inlineStr">
        <is>
          <t>Y</t>
        </is>
      </c>
      <c r="D19" s="40" t="inlineStr">
        <is>
          <t>N</t>
        </is>
      </c>
    </row>
    <row r="20">
      <c r="A20" s="212" t="inlineStr">
        <is>
          <t>G3</t>
        </is>
      </c>
      <c r="B20" s="211" t="inlineStr">
        <is>
          <t>Balakrishnan</t>
        </is>
      </c>
      <c r="C20" s="40" t="inlineStr">
        <is>
          <t>Y</t>
        </is>
      </c>
      <c r="D20" s="40" t="inlineStr">
        <is>
          <t>N</t>
        </is>
      </c>
    </row>
    <row r="21">
      <c r="A21" s="41" t="inlineStr">
        <is>
          <t>G4</t>
        </is>
      </c>
      <c r="B21" s="211" t="inlineStr">
        <is>
          <t>Ashwin Pandith</t>
        </is>
      </c>
      <c r="C21" s="40" t="inlineStr">
        <is>
          <t>Y</t>
        </is>
      </c>
      <c r="D21" s="40" t="inlineStr">
        <is>
          <t>N</t>
        </is>
      </c>
    </row>
    <row r="22">
      <c r="A22" s="41" t="inlineStr">
        <is>
          <t>G5</t>
        </is>
      </c>
      <c r="B22" s="213" t="inlineStr">
        <is>
          <t>Mayank Phophaliya / Abhishek Srawan</t>
        </is>
      </c>
    </row>
    <row r="23">
      <c r="A23" s="41" t="inlineStr">
        <is>
          <t>G6</t>
        </is>
      </c>
      <c r="B23" s="211" t="inlineStr">
        <is>
          <t xml:space="preserve">Mohit Daga/Sreenath </t>
        </is>
      </c>
    </row>
    <row r="24">
      <c r="A24" s="212" t="inlineStr">
        <is>
          <t>G7</t>
        </is>
      </c>
      <c r="B24" s="211" t="inlineStr">
        <is>
          <t>Prince Richfield</t>
        </is>
      </c>
      <c r="C24" s="40" t="inlineStr">
        <is>
          <t>Y</t>
        </is>
      </c>
      <c r="D24" s="40" t="inlineStr">
        <is>
          <t>N</t>
        </is>
      </c>
    </row>
    <row r="25">
      <c r="A25" s="41" t="inlineStr">
        <is>
          <t>G8</t>
        </is>
      </c>
      <c r="B25" s="213" t="inlineStr">
        <is>
          <t>R.Ganesh Babu / Ranjith Kumar Ra</t>
        </is>
      </c>
    </row>
    <row r="26">
      <c r="A26" s="41" t="inlineStr">
        <is>
          <t>G9</t>
        </is>
      </c>
      <c r="B26" s="211" t="inlineStr">
        <is>
          <t>Bishnu / Chandramouli / Ankur Agarwal</t>
        </is>
      </c>
      <c r="C26" s="40" t="inlineStr">
        <is>
          <t>Y</t>
        </is>
      </c>
      <c r="D26" s="40" t="inlineStr">
        <is>
          <t>N</t>
        </is>
      </c>
    </row>
    <row r="27">
      <c r="A27" s="41" t="inlineStr">
        <is>
          <t>G10</t>
        </is>
      </c>
      <c r="B27" s="213" t="inlineStr">
        <is>
          <t>Cijo Jacob</t>
        </is>
      </c>
      <c r="C27" s="40" t="inlineStr">
        <is>
          <t>Y</t>
        </is>
      </c>
      <c r="D27" s="40" t="inlineStr">
        <is>
          <t>N</t>
        </is>
      </c>
    </row>
    <row r="28">
      <c r="A28" s="41" t="inlineStr">
        <is>
          <t>G11</t>
        </is>
      </c>
      <c r="B28" s="211" t="inlineStr">
        <is>
          <t>Ketan Vinay Prabhuverlekar</t>
        </is>
      </c>
    </row>
    <row r="29">
      <c r="A29" s="41" t="inlineStr">
        <is>
          <t>G12</t>
        </is>
      </c>
      <c r="B29" s="211" t="inlineStr">
        <is>
          <t>Shyam Nair</t>
        </is>
      </c>
    </row>
    <row r="30">
      <c r="A30" s="41" t="inlineStr">
        <is>
          <t>G13</t>
        </is>
      </c>
      <c r="B30" s="211" t="inlineStr">
        <is>
          <t>Ajai Balachandran</t>
        </is>
      </c>
    </row>
    <row r="31">
      <c r="A31" s="41" t="inlineStr">
        <is>
          <t>G14</t>
        </is>
      </c>
      <c r="B31" s="211" t="inlineStr">
        <is>
          <t>Surajit Borah</t>
        </is>
      </c>
      <c r="C31" s="40" t="inlineStr">
        <is>
          <t>Y</t>
        </is>
      </c>
      <c r="D31" s="40" t="inlineStr">
        <is>
          <t>N</t>
        </is>
      </c>
    </row>
    <row r="32">
      <c r="A32" s="212" t="inlineStr">
        <is>
          <t>G15</t>
        </is>
      </c>
      <c r="B32" s="213" t="inlineStr">
        <is>
          <t>Alka Singh / Suresh Nallusamy (6305967349)</t>
        </is>
      </c>
      <c r="C32" s="40" t="inlineStr">
        <is>
          <t>Y</t>
        </is>
      </c>
      <c r="D32" s="40" t="inlineStr">
        <is>
          <t>N</t>
        </is>
      </c>
    </row>
    <row r="33">
      <c r="A33" s="41" t="inlineStr">
        <is>
          <t>G16</t>
        </is>
      </c>
      <c r="B33" s="211" t="inlineStr">
        <is>
          <t>Premalatha / Praveen Ganesan (owner) 9442827674/ Ganesan Srirangam</t>
        </is>
      </c>
      <c r="C33" s="40" t="inlineStr">
        <is>
          <t>N</t>
        </is>
      </c>
    </row>
    <row r="34">
      <c r="A34" s="41" t="inlineStr">
        <is>
          <t>S1</t>
        </is>
      </c>
      <c r="B34" s="211" t="inlineStr">
        <is>
          <t>S.N.Behera</t>
        </is>
      </c>
      <c r="C34" s="40" t="inlineStr">
        <is>
          <t>N</t>
        </is>
      </c>
      <c r="D34" s="40" t="inlineStr">
        <is>
          <t>Y</t>
        </is>
      </c>
    </row>
    <row r="35">
      <c r="A35" s="41" t="inlineStr">
        <is>
          <t>S2</t>
        </is>
      </c>
      <c r="B35" s="211" t="inlineStr">
        <is>
          <t>Sonal Singhal</t>
        </is>
      </c>
    </row>
    <row r="36">
      <c r="A36" s="41" t="inlineStr">
        <is>
          <t>S3</t>
        </is>
      </c>
      <c r="B36" s="213" t="inlineStr">
        <is>
          <t>Koteswararao / Suresh Kr Nataraja / Manikandan Natarajan</t>
        </is>
      </c>
    </row>
    <row r="37">
      <c r="A37" s="41" t="inlineStr">
        <is>
          <t>S4</t>
        </is>
      </c>
      <c r="B37" s="211" t="inlineStr">
        <is>
          <t>Swaminathan R / Vijayalakshmi G / Ankit Chandra (9006212132)</t>
        </is>
      </c>
      <c r="C37" s="40" t="inlineStr">
        <is>
          <t>Y</t>
        </is>
      </c>
      <c r="D37" s="40" t="inlineStr">
        <is>
          <t>N</t>
        </is>
      </c>
    </row>
    <row r="38">
      <c r="A38" s="41" t="inlineStr">
        <is>
          <t>S5</t>
        </is>
      </c>
      <c r="B38" s="213" t="inlineStr">
        <is>
          <t>Abhishek Gopalakrishnan</t>
        </is>
      </c>
      <c r="C38" s="40" t="inlineStr">
        <is>
          <t>Y</t>
        </is>
      </c>
      <c r="D38" s="40" t="inlineStr">
        <is>
          <t>N</t>
        </is>
      </c>
    </row>
    <row r="39">
      <c r="A39" s="41" t="inlineStr">
        <is>
          <t>S6</t>
        </is>
      </c>
      <c r="B39" s="211" t="inlineStr">
        <is>
          <t>Priya Prabhu / Vivek Dhingra</t>
        </is>
      </c>
      <c r="C39" s="40" t="inlineStr">
        <is>
          <t>Y</t>
        </is>
      </c>
      <c r="D39" s="40" t="inlineStr">
        <is>
          <t>N</t>
        </is>
      </c>
    </row>
    <row r="40">
      <c r="A40" s="41" t="inlineStr">
        <is>
          <t>S7</t>
        </is>
      </c>
      <c r="B40" s="211" t="inlineStr">
        <is>
          <t>Harish B</t>
        </is>
      </c>
      <c r="C40" s="40" t="inlineStr">
        <is>
          <t>Y</t>
        </is>
      </c>
      <c r="D40" s="40" t="inlineStr">
        <is>
          <t>N</t>
        </is>
      </c>
    </row>
    <row r="41">
      <c r="A41" s="41" t="inlineStr">
        <is>
          <t>S8</t>
        </is>
      </c>
      <c r="B41" s="211" t="inlineStr">
        <is>
          <t>Irudayaraj Alwin</t>
        </is>
      </c>
      <c r="C41" s="40" t="inlineStr">
        <is>
          <t>Y</t>
        </is>
      </c>
      <c r="D41" s="40" t="inlineStr">
        <is>
          <t>Y</t>
        </is>
      </c>
    </row>
    <row r="42">
      <c r="A42" s="41" t="inlineStr">
        <is>
          <t>S9</t>
        </is>
      </c>
      <c r="B42" s="211" t="inlineStr">
        <is>
          <t>Pawan GS</t>
        </is>
      </c>
      <c r="C42" s="40" t="inlineStr">
        <is>
          <t>Y</t>
        </is>
      </c>
      <c r="D42" s="40" t="inlineStr">
        <is>
          <t>Y</t>
        </is>
      </c>
    </row>
    <row r="43">
      <c r="A43" s="41" t="inlineStr">
        <is>
          <t>S10</t>
        </is>
      </c>
      <c r="B43" s="213" t="inlineStr">
        <is>
          <t>Lakshmikanth / Rohit Sadanand / Aman Raj from Nov 2021</t>
        </is>
      </c>
    </row>
    <row r="44" ht="15" customHeight="1" s="251">
      <c r="A44" s="41" t="inlineStr">
        <is>
          <t>S11</t>
        </is>
      </c>
      <c r="B44" s="214" t="inlineStr">
        <is>
          <t>Gowrish Patnaik / Somananth GM</t>
        </is>
      </c>
    </row>
    <row r="45">
      <c r="A45" s="41" t="inlineStr">
        <is>
          <t>S12</t>
        </is>
      </c>
      <c r="B45" s="211" t="inlineStr">
        <is>
          <t>Saovik Mondal</t>
        </is>
      </c>
    </row>
    <row r="46">
      <c r="A46" s="41" t="inlineStr">
        <is>
          <t>S13</t>
        </is>
      </c>
      <c r="B46" s="211" t="inlineStr">
        <is>
          <t>Srinivasa Rao / S Rama Devi</t>
        </is>
      </c>
      <c r="C46" s="40" t="inlineStr">
        <is>
          <t>Y</t>
        </is>
      </c>
      <c r="D46" s="40" t="inlineStr">
        <is>
          <t>N</t>
        </is>
      </c>
    </row>
    <row r="47">
      <c r="A47" s="41" t="inlineStr">
        <is>
          <t>S14</t>
        </is>
      </c>
      <c r="B47" s="211" t="inlineStr">
        <is>
          <t>Nishant Upadhyay / Anuj Sehgal</t>
        </is>
      </c>
      <c r="C47" s="40" t="inlineStr">
        <is>
          <t>Y</t>
        </is>
      </c>
      <c r="D47" s="40" t="inlineStr">
        <is>
          <t>Y</t>
        </is>
      </c>
    </row>
    <row r="48">
      <c r="A48" s="41" t="inlineStr">
        <is>
          <t>S15</t>
        </is>
      </c>
      <c r="B48" s="211" t="inlineStr">
        <is>
          <t>Manas Dasgupta</t>
        </is>
      </c>
      <c r="C48" s="40" t="inlineStr">
        <is>
          <t>Y</t>
        </is>
      </c>
      <c r="D48" s="40" t="inlineStr">
        <is>
          <t>N</t>
        </is>
      </c>
    </row>
    <row r="49">
      <c r="A49" s="41" t="inlineStr">
        <is>
          <t>S16</t>
        </is>
      </c>
      <c r="B49" s="211" t="inlineStr">
        <is>
          <t>Devendra Singh Rawat / Nancy / Sadhana R</t>
        </is>
      </c>
      <c r="C49" s="40" t="inlineStr">
        <is>
          <t>Y</t>
        </is>
      </c>
      <c r="D49" s="40" t="inlineStr">
        <is>
          <t>N</t>
        </is>
      </c>
    </row>
    <row r="50">
      <c r="A50" s="212" t="inlineStr">
        <is>
          <t>T1</t>
        </is>
      </c>
      <c r="B50" s="211" t="inlineStr">
        <is>
          <t>Prashant Sikdar</t>
        </is>
      </c>
      <c r="C50" s="40" t="inlineStr">
        <is>
          <t>Y</t>
        </is>
      </c>
      <c r="D50" s="40" t="inlineStr">
        <is>
          <t>N</t>
        </is>
      </c>
    </row>
    <row r="51">
      <c r="A51" s="212" t="inlineStr">
        <is>
          <t>T2</t>
        </is>
      </c>
      <c r="B51" s="211" t="inlineStr">
        <is>
          <t>Kunal Raj Mehta</t>
        </is>
      </c>
      <c r="C51" s="40" t="inlineStr">
        <is>
          <t>Y</t>
        </is>
      </c>
      <c r="D51" s="40" t="inlineStr">
        <is>
          <t>N</t>
        </is>
      </c>
    </row>
    <row r="52">
      <c r="A52" s="41" t="inlineStr">
        <is>
          <t>T3</t>
        </is>
      </c>
      <c r="B52" s="211" t="inlineStr">
        <is>
          <t>Kapil Garg</t>
        </is>
      </c>
      <c r="C52" s="40" t="inlineStr">
        <is>
          <t>Y</t>
        </is>
      </c>
      <c r="D52" s="40" t="inlineStr">
        <is>
          <t>N</t>
        </is>
      </c>
    </row>
    <row r="53">
      <c r="A53" s="41" t="inlineStr">
        <is>
          <t>T4</t>
        </is>
      </c>
      <c r="B53" s="211" t="inlineStr">
        <is>
          <t>Vijet Alva / Masood Ali Mohammad</t>
        </is>
      </c>
      <c r="C53" s="40" t="inlineStr">
        <is>
          <t>Y</t>
        </is>
      </c>
      <c r="D53" s="40" t="inlineStr">
        <is>
          <t>N</t>
        </is>
      </c>
    </row>
    <row r="54">
      <c r="A54" s="41" t="inlineStr">
        <is>
          <t>T5</t>
        </is>
      </c>
      <c r="B54" s="211" t="inlineStr">
        <is>
          <t>Karthikeyan Rajendran / Lata Iyer / Ganesh Iyer</t>
        </is>
      </c>
      <c r="C54" s="40" t="inlineStr">
        <is>
          <t>Y</t>
        </is>
      </c>
      <c r="D54" s="40" t="inlineStr">
        <is>
          <t>N</t>
        </is>
      </c>
    </row>
    <row r="55">
      <c r="A55" s="41" t="inlineStr">
        <is>
          <t>T6</t>
        </is>
      </c>
      <c r="B55" s="211" t="inlineStr">
        <is>
          <t>Mythili Ramesh</t>
        </is>
      </c>
      <c r="C55" s="40" t="inlineStr">
        <is>
          <t>Y</t>
        </is>
      </c>
      <c r="D55" s="40" t="inlineStr">
        <is>
          <t>N</t>
        </is>
      </c>
    </row>
    <row r="56">
      <c r="A56" s="212" t="inlineStr">
        <is>
          <t>T7</t>
        </is>
      </c>
      <c r="B56" s="211" t="inlineStr">
        <is>
          <t>Mahak / Vinyas Ramachandran</t>
        </is>
      </c>
      <c r="C56" s="40" t="inlineStr">
        <is>
          <t>Y</t>
        </is>
      </c>
      <c r="D56" s="40" t="inlineStr">
        <is>
          <t>N</t>
        </is>
      </c>
    </row>
    <row r="57">
      <c r="A57" s="41" t="inlineStr">
        <is>
          <t>T8</t>
        </is>
      </c>
      <c r="B57" s="213" t="inlineStr">
        <is>
          <t>Lalit Kumar Sharma / Jaishree Sharma</t>
        </is>
      </c>
    </row>
    <row r="58">
      <c r="A58" s="41" t="inlineStr">
        <is>
          <t>T9</t>
        </is>
      </c>
      <c r="B58" s="213" t="inlineStr">
        <is>
          <t>Nishith Sahoo / Mohit CH / Anmol Verma</t>
        </is>
      </c>
      <c r="C58" s="40" t="inlineStr">
        <is>
          <t>Y</t>
        </is>
      </c>
      <c r="D58" s="40" t="inlineStr">
        <is>
          <t>Y</t>
        </is>
      </c>
    </row>
    <row r="59">
      <c r="A59" s="212" t="inlineStr">
        <is>
          <t>T10</t>
        </is>
      </c>
      <c r="B59" s="211" t="inlineStr">
        <is>
          <t>Vamsidhar</t>
        </is>
      </c>
      <c r="C59" s="40" t="inlineStr">
        <is>
          <t>Y</t>
        </is>
      </c>
      <c r="D59" s="40" t="inlineStr">
        <is>
          <t>N</t>
        </is>
      </c>
    </row>
    <row r="60">
      <c r="A60" s="41" t="inlineStr">
        <is>
          <t>T11</t>
        </is>
      </c>
      <c r="B60" s="211" t="inlineStr">
        <is>
          <t>Chaitanya Suthapalli / Vaishnavi Suthapalli / Rahul Kumar - 7349095255</t>
        </is>
      </c>
      <c r="C60" s="40" t="inlineStr">
        <is>
          <t>Y</t>
        </is>
      </c>
      <c r="D60" s="40" t="inlineStr">
        <is>
          <t>Y</t>
        </is>
      </c>
    </row>
    <row r="61">
      <c r="A61" s="41" t="inlineStr">
        <is>
          <t>T12</t>
        </is>
      </c>
      <c r="B61" s="213" t="inlineStr">
        <is>
          <t>MAJ PRASENJIT CHAKRAVARTY</t>
        </is>
      </c>
      <c r="C61" s="40" t="inlineStr">
        <is>
          <t>Y</t>
        </is>
      </c>
      <c r="D61" s="40" t="inlineStr">
        <is>
          <t>Y</t>
        </is>
      </c>
    </row>
    <row r="62">
      <c r="A62" s="41" t="inlineStr">
        <is>
          <t>T13</t>
        </is>
      </c>
      <c r="B62" s="213" t="inlineStr">
        <is>
          <t>Sonali Deokule</t>
        </is>
      </c>
    </row>
    <row r="63">
      <c r="A63" s="41" t="inlineStr">
        <is>
          <t>T14</t>
        </is>
      </c>
      <c r="B63" s="213" t="inlineStr">
        <is>
          <t>Godwin / Jeyarani Jeganathan</t>
        </is>
      </c>
      <c r="C63" s="40" t="inlineStr">
        <is>
          <t>Y</t>
        </is>
      </c>
      <c r="D63" s="40" t="inlineStr">
        <is>
          <t>N</t>
        </is>
      </c>
    </row>
    <row r="64">
      <c r="A64" s="41" t="inlineStr">
        <is>
          <t>T15</t>
        </is>
      </c>
      <c r="B64" s="211" t="inlineStr">
        <is>
          <t>Trevor</t>
        </is>
      </c>
      <c r="C64" s="40" t="inlineStr">
        <is>
          <t>Y</t>
        </is>
      </c>
      <c r="D64" s="40" t="inlineStr">
        <is>
          <t>N</t>
        </is>
      </c>
    </row>
    <row r="65">
      <c r="A65" s="41" t="inlineStr">
        <is>
          <t>T16</t>
        </is>
      </c>
      <c r="B65" s="211" t="inlineStr">
        <is>
          <t>Madhusoodanan P.R.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0" summaryRight="0"/>
    <pageSetUpPr fitToPage="1"/>
  </sheetPr>
  <dimension ref="A1:X1002"/>
  <sheetViews>
    <sheetView workbookViewId="0">
      <selection activeCell="A1" sqref="A1"/>
    </sheetView>
  </sheetViews>
  <sheetFormatPr baseColWidth="10" defaultColWidth="14.5" defaultRowHeight="15" customHeight="1"/>
  <cols>
    <col width="11.5" customWidth="1" style="251" min="1" max="1"/>
    <col width="16.83203125" customWidth="1" style="251" min="2" max="2"/>
    <col width="22.1640625" customWidth="1" style="251" min="3" max="3"/>
    <col width="22.83203125" customWidth="1" style="251" min="4" max="4"/>
    <col width="14.5" customWidth="1" style="251" min="5" max="5"/>
    <col width="28.33203125" customWidth="1" style="251" min="6" max="6"/>
    <col hidden="1" width="14.5" customWidth="1" style="251" min="7" max="7"/>
    <col width="15" customWidth="1" style="251" min="8" max="8"/>
    <col width="11.5" customWidth="1" style="251" min="9" max="10"/>
    <col width="15" customWidth="1" style="251" min="11" max="11"/>
  </cols>
  <sheetData>
    <row r="1">
      <c r="A1" s="289" t="inlineStr">
        <is>
          <t>Maintenance</t>
        </is>
      </c>
      <c r="E1" s="216" t="inlineStr">
        <is>
          <t>Project Balance since 2013</t>
        </is>
      </c>
      <c r="F1" s="217" t="inlineStr">
        <is>
          <t>Maintenance + Project Balance since 2013 including Mar'26 expense</t>
        </is>
      </c>
      <c r="G1" s="218" t="inlineStr">
        <is>
          <t>Feb'26 Expense</t>
        </is>
      </c>
      <c r="H1" s="219" t="inlineStr">
        <is>
          <t>Mar'26 Expense</t>
        </is>
      </c>
      <c r="I1" s="40" t="n"/>
      <c r="J1" s="261" t="inlineStr">
        <is>
          <t>Flat</t>
        </is>
      </c>
      <c r="K1" s="219" t="inlineStr">
        <is>
          <t>Mar'26 Expense</t>
        </is>
      </c>
      <c r="O1" s="110" t="n"/>
      <c r="P1" s="110" t="n"/>
    </row>
    <row r="2">
      <c r="A2" s="220" t="n"/>
      <c r="B2" s="221" t="inlineStr">
        <is>
          <t>Balance till Oct'25</t>
        </is>
      </c>
      <c r="C2" s="221" t="inlineStr">
        <is>
          <t>Nov'25-Feb'26 Expenses</t>
        </is>
      </c>
      <c r="D2" s="221" t="inlineStr">
        <is>
          <t>Nov'25-Feb'26 Collection</t>
        </is>
      </c>
      <c r="E2" s="221" t="n"/>
      <c r="F2" s="222" t="n"/>
      <c r="G2" s="184" t="n"/>
      <c r="H2" s="184" t="n"/>
      <c r="I2" s="220" t="n"/>
      <c r="J2" s="220" t="n"/>
      <c r="K2" s="184" t="n"/>
      <c r="L2" s="184" t="n"/>
      <c r="M2" s="184" t="n"/>
      <c r="N2" s="184" t="n"/>
      <c r="O2" s="109" t="n"/>
      <c r="P2" s="109" t="n"/>
      <c r="Q2" s="184" t="n"/>
      <c r="R2" s="184" t="n"/>
      <c r="S2" s="184" t="n"/>
      <c r="T2" s="184" t="n"/>
      <c r="U2" s="184" t="n"/>
      <c r="V2" s="184" t="n"/>
      <c r="W2" s="184" t="n"/>
      <c r="X2" s="184" t="n"/>
    </row>
    <row r="3">
      <c r="A3" s="223" t="n"/>
      <c r="B3" s="262" t="inlineStr">
        <is>
          <t>As per CA's records</t>
        </is>
      </c>
      <c r="C3" s="290" t="inlineStr">
        <is>
          <t>As per our records</t>
        </is>
      </c>
      <c r="E3" s="262" t="inlineStr">
        <is>
          <t>As per CA's records</t>
        </is>
      </c>
      <c r="F3" s="225" t="n"/>
      <c r="G3" s="226" t="inlineStr">
        <is>
          <t>TO BE PAID</t>
        </is>
      </c>
      <c r="I3" s="223" t="n"/>
      <c r="J3" s="223" t="n"/>
      <c r="K3" s="226" t="inlineStr">
        <is>
          <t>TO BE PAID</t>
        </is>
      </c>
      <c r="O3" s="104" t="n"/>
      <c r="P3" s="104" t="n"/>
    </row>
    <row r="4">
      <c r="A4" s="223" t="inlineStr">
        <is>
          <t>Flat F1</t>
        </is>
      </c>
      <c r="B4" s="40" t="n">
        <v>0</v>
      </c>
      <c r="C4" s="46">
        <f>'INCOME-EXPENSE-CYCLES'!AH3+'INCOME-EXPENSE-CYCLES'!AL3+'INCOME-EXPENSE-CYCLES'!AP3+'INCOME-EXPENSE-CYCLES'!AT3+'INCOME-EXPENSE-CYCLES'!AX3</f>
        <v/>
      </c>
      <c r="D4" s="46">
        <f>'INCOME-EXPENSE-CYCLES'!AG3+'INCOME-EXPENSE-CYCLES'!AK3+'INCOME-EXPENSE-CYCLES'!AO3+'INCOME-EXPENSE-CYCLES'!AS3+'INCOME-EXPENSE-CYCLES'!AW3</f>
        <v/>
      </c>
      <c r="E4" s="179" t="n">
        <v>0</v>
      </c>
      <c r="F4" s="227">
        <f>(D4-C4)+B4+E4</f>
        <v/>
      </c>
      <c r="G4" s="184">
        <f>IFERROR(__xludf.DUMMYFUNCTION("IMPORTRANGE(""https://docs.google.com/spreadsheets/d/1fWBYxKVkH-hZRWFcQqynGDAsjpSwrIJaozXRb8KlvuE/edit?gid=1048737824"",""'INCOME-EXPENSE-CYCLES'!AU3:AU66"")"),"#REF!")</f>
        <v/>
      </c>
      <c r="H4" s="184">
        <f>IFERROR(__xludf.DUMMYFUNCTION("IMPORTRANGE(""https://docs.google.com/spreadsheets/d/1fWBYxKVkH-hZRWFcQqynGDAsjpSwrIJaozXRb8KlvuE/edit?gid=1048737824"",""'INCOME-EXPENSE-CYCLES'!AY3:AY66"")"),"#REF!")</f>
        <v/>
      </c>
      <c r="I4" s="223" t="n"/>
      <c r="J4" s="223" t="inlineStr">
        <is>
          <t>Flat F1</t>
        </is>
      </c>
      <c r="K4" s="184">
        <f>IFERROR(__xludf.DUMMYFUNCTION("IMPORTRANGE(""https://docs.google.com/spreadsheets/d/1fWBYxKVkH-hZRWFcQqynGDAsjpSwrIJaozXRb8KlvuE/edit?gid=1048737824"",""'INCOME-EXPENSE-CYCLES'!AY3:AY66"")"),"#REF!")</f>
        <v/>
      </c>
      <c r="L4" s="46" t="n">
        <v>0</v>
      </c>
      <c r="O4" s="104" t="n"/>
      <c r="P4" s="104" t="n"/>
    </row>
    <row r="5">
      <c r="A5" s="223" t="inlineStr">
        <is>
          <t>Flat F2</t>
        </is>
      </c>
      <c r="B5" s="40" t="n">
        <v>0</v>
      </c>
      <c r="C5" s="46">
        <f>'INCOME-EXPENSE-CYCLES'!AH4+'INCOME-EXPENSE-CYCLES'!AL4+'INCOME-EXPENSE-CYCLES'!AP4+'INCOME-EXPENSE-CYCLES'!AT4+'INCOME-EXPENSE-CYCLES'!AX4</f>
        <v/>
      </c>
      <c r="D5" s="46">
        <f>'INCOME-EXPENSE-CYCLES'!AG4+'INCOME-EXPENSE-CYCLES'!AK4+'INCOME-EXPENSE-CYCLES'!AO4+'INCOME-EXPENSE-CYCLES'!AS4+'INCOME-EXPENSE-CYCLES'!AW4</f>
        <v/>
      </c>
      <c r="E5" s="179" t="n">
        <v>0</v>
      </c>
      <c r="F5" s="227">
        <f>(D5-C5)+B5+E5</f>
        <v/>
      </c>
      <c r="G5" s="184" t="n"/>
      <c r="I5" s="223" t="n"/>
      <c r="J5" s="223" t="inlineStr">
        <is>
          <t>Flat F2</t>
        </is>
      </c>
      <c r="K5" s="184" t="n"/>
      <c r="L5" s="46" t="n">
        <v>0</v>
      </c>
      <c r="O5" s="104" t="n"/>
      <c r="P5" s="104" t="n"/>
    </row>
    <row r="6">
      <c r="A6" s="223" t="inlineStr">
        <is>
          <t>Flat F3</t>
        </is>
      </c>
      <c r="B6" s="40" t="n">
        <v>0</v>
      </c>
      <c r="C6" s="46">
        <f>'INCOME-EXPENSE-CYCLES'!AH5+'INCOME-EXPENSE-CYCLES'!AL5+'INCOME-EXPENSE-CYCLES'!AP5+'INCOME-EXPENSE-CYCLES'!AT5+'INCOME-EXPENSE-CYCLES'!AX5</f>
        <v/>
      </c>
      <c r="D6" s="46">
        <f>'INCOME-EXPENSE-CYCLES'!AG5+'INCOME-EXPENSE-CYCLES'!AK5+'INCOME-EXPENSE-CYCLES'!AO5+'INCOME-EXPENSE-CYCLES'!AS5+'INCOME-EXPENSE-CYCLES'!AW5</f>
        <v/>
      </c>
      <c r="E6" s="179" t="n">
        <v>0</v>
      </c>
      <c r="F6" s="227">
        <f>(D6-C6)+B6+E6</f>
        <v/>
      </c>
      <c r="G6" s="184" t="n"/>
      <c r="I6" s="223" t="n"/>
      <c r="J6" s="223" t="inlineStr">
        <is>
          <t>Flat F3</t>
        </is>
      </c>
      <c r="K6" s="184" t="n"/>
      <c r="L6" s="46" t="n">
        <v>0</v>
      </c>
      <c r="O6" s="104" t="n"/>
      <c r="P6" s="104" t="n"/>
    </row>
    <row r="7">
      <c r="A7" s="223" t="inlineStr">
        <is>
          <t>Flat F4</t>
        </is>
      </c>
      <c r="B7" s="40" t="n">
        <v>0</v>
      </c>
      <c r="C7" s="46">
        <f>'INCOME-EXPENSE-CYCLES'!AH6+'INCOME-EXPENSE-CYCLES'!AL6+'INCOME-EXPENSE-CYCLES'!AP6+'INCOME-EXPENSE-CYCLES'!AT6+'INCOME-EXPENSE-CYCLES'!AX6</f>
        <v/>
      </c>
      <c r="D7" s="46">
        <f>'INCOME-EXPENSE-CYCLES'!AG6+'INCOME-EXPENSE-CYCLES'!AK6+'INCOME-EXPENSE-CYCLES'!AO6+'INCOME-EXPENSE-CYCLES'!AS6+'INCOME-EXPENSE-CYCLES'!AW6</f>
        <v/>
      </c>
      <c r="E7" s="179" t="n">
        <v>0</v>
      </c>
      <c r="F7" s="227">
        <f>(D7-C7)+B7+E7</f>
        <v/>
      </c>
      <c r="G7" s="184" t="n"/>
      <c r="I7" s="223" t="n"/>
      <c r="J7" s="223" t="inlineStr">
        <is>
          <t>Flat F4</t>
        </is>
      </c>
      <c r="K7" s="184" t="n"/>
      <c r="L7" s="46" t="n">
        <v>0</v>
      </c>
      <c r="O7" s="104" t="n"/>
      <c r="P7" s="104" t="n"/>
    </row>
    <row r="8">
      <c r="A8" s="223" t="inlineStr">
        <is>
          <t>Flat F5</t>
        </is>
      </c>
      <c r="B8" s="40" t="n">
        <v>0</v>
      </c>
      <c r="C8" s="46">
        <f>'INCOME-EXPENSE-CYCLES'!AH7+'INCOME-EXPENSE-CYCLES'!AL7+'INCOME-EXPENSE-CYCLES'!AP7+'INCOME-EXPENSE-CYCLES'!AT7+'INCOME-EXPENSE-CYCLES'!AX7</f>
        <v/>
      </c>
      <c r="D8" s="46">
        <f>'INCOME-EXPENSE-CYCLES'!AG7+'INCOME-EXPENSE-CYCLES'!AK7+'INCOME-EXPENSE-CYCLES'!AO7+'INCOME-EXPENSE-CYCLES'!AS7+'INCOME-EXPENSE-CYCLES'!AW7</f>
        <v/>
      </c>
      <c r="E8" s="179" t="n">
        <v>0</v>
      </c>
      <c r="F8" s="227">
        <f>(D8-C8)+B8+E8</f>
        <v/>
      </c>
      <c r="G8" s="184" t="n"/>
      <c r="I8" s="223" t="n"/>
      <c r="J8" s="223" t="inlineStr">
        <is>
          <t>Flat F5</t>
        </is>
      </c>
      <c r="K8" s="184" t="n"/>
      <c r="L8" s="46" t="n">
        <v>0</v>
      </c>
      <c r="O8" s="104" t="n"/>
      <c r="P8" s="104" t="n"/>
    </row>
    <row r="9">
      <c r="A9" s="223" t="inlineStr">
        <is>
          <t>Flat F6</t>
        </is>
      </c>
      <c r="B9" s="40" t="n">
        <v>0</v>
      </c>
      <c r="C9" s="46">
        <f>'INCOME-EXPENSE-CYCLES'!AH8+'INCOME-EXPENSE-CYCLES'!AL8+'INCOME-EXPENSE-CYCLES'!AP8+'INCOME-EXPENSE-CYCLES'!AT8+'INCOME-EXPENSE-CYCLES'!AX8</f>
        <v/>
      </c>
      <c r="D9" s="46">
        <f>'INCOME-EXPENSE-CYCLES'!AG8+'INCOME-EXPENSE-CYCLES'!AK8+'INCOME-EXPENSE-CYCLES'!AO8+'INCOME-EXPENSE-CYCLES'!AS8+'INCOME-EXPENSE-CYCLES'!AW8</f>
        <v/>
      </c>
      <c r="E9" s="179" t="n">
        <v>0</v>
      </c>
      <c r="F9" s="227">
        <f>(D9-C9)+B9+E9</f>
        <v/>
      </c>
      <c r="G9" s="184" t="n"/>
      <c r="I9" s="223" t="n"/>
      <c r="J9" s="223" t="inlineStr">
        <is>
          <t>Flat F6</t>
        </is>
      </c>
      <c r="K9" s="184" t="n"/>
      <c r="L9" s="46" t="n">
        <v>0</v>
      </c>
      <c r="O9" s="104" t="n"/>
      <c r="P9" s="104" t="n"/>
    </row>
    <row r="10">
      <c r="A10" s="223" t="inlineStr">
        <is>
          <t>Flat F7</t>
        </is>
      </c>
      <c r="B10" s="40" t="n">
        <v>0</v>
      </c>
      <c r="C10" s="46">
        <f>'INCOME-EXPENSE-CYCLES'!AH9+'INCOME-EXPENSE-CYCLES'!AL9+'INCOME-EXPENSE-CYCLES'!AP9+'INCOME-EXPENSE-CYCLES'!AT9+'INCOME-EXPENSE-CYCLES'!AX9</f>
        <v/>
      </c>
      <c r="D10" s="46">
        <f>'INCOME-EXPENSE-CYCLES'!AG9+'INCOME-EXPENSE-CYCLES'!AK9+'INCOME-EXPENSE-CYCLES'!AO9+'INCOME-EXPENSE-CYCLES'!AS9+'INCOME-EXPENSE-CYCLES'!AW9</f>
        <v/>
      </c>
      <c r="E10" s="179" t="n">
        <v>0</v>
      </c>
      <c r="F10" s="227">
        <f>(D10-C10)+B10+E10</f>
        <v/>
      </c>
      <c r="G10" s="184" t="n"/>
      <c r="I10" s="223" t="n"/>
      <c r="J10" s="223" t="inlineStr">
        <is>
          <t>Flat F7</t>
        </is>
      </c>
      <c r="K10" s="184" t="n"/>
      <c r="L10" s="46" t="n">
        <v>0</v>
      </c>
      <c r="O10" s="104" t="n"/>
      <c r="P10" s="104" t="n"/>
    </row>
    <row r="11">
      <c r="A11" s="223" t="inlineStr">
        <is>
          <t>Flat F8</t>
        </is>
      </c>
      <c r="B11" s="40" t="n">
        <v>0</v>
      </c>
      <c r="C11" s="46">
        <f>'INCOME-EXPENSE-CYCLES'!AH10+'INCOME-EXPENSE-CYCLES'!AL10+'INCOME-EXPENSE-CYCLES'!AP10+'INCOME-EXPENSE-CYCLES'!AT10+'INCOME-EXPENSE-CYCLES'!AX10</f>
        <v/>
      </c>
      <c r="D11" s="46">
        <f>'INCOME-EXPENSE-CYCLES'!AG10+'INCOME-EXPENSE-CYCLES'!AK10+'INCOME-EXPENSE-CYCLES'!AO10+'INCOME-EXPENSE-CYCLES'!AS10+'INCOME-EXPENSE-CYCLES'!AW10</f>
        <v/>
      </c>
      <c r="E11" s="179" t="n">
        <v>0</v>
      </c>
      <c r="F11" s="227">
        <f>(D11-C11)+B11+E11</f>
        <v/>
      </c>
      <c r="G11" s="184" t="n"/>
      <c r="I11" s="223" t="n"/>
      <c r="J11" s="223" t="inlineStr">
        <is>
          <t>Flat F8</t>
        </is>
      </c>
      <c r="K11" s="184" t="n"/>
      <c r="L11" s="46" t="n">
        <v>0</v>
      </c>
      <c r="O11" s="104" t="n"/>
      <c r="P11" s="104" t="n"/>
    </row>
    <row r="12">
      <c r="A12" s="223" t="inlineStr">
        <is>
          <t>Flat F9</t>
        </is>
      </c>
      <c r="B12" s="40" t="n">
        <v>0</v>
      </c>
      <c r="C12" s="46">
        <f>'INCOME-EXPENSE-CYCLES'!AH11+'INCOME-EXPENSE-CYCLES'!AL11+'INCOME-EXPENSE-CYCLES'!AP11+'INCOME-EXPENSE-CYCLES'!AT11+'INCOME-EXPENSE-CYCLES'!AX11</f>
        <v/>
      </c>
      <c r="D12" s="46">
        <f>'INCOME-EXPENSE-CYCLES'!AG11+'INCOME-EXPENSE-CYCLES'!AK11+'INCOME-EXPENSE-CYCLES'!AO11+'INCOME-EXPENSE-CYCLES'!AS11+'INCOME-EXPENSE-CYCLES'!AW11</f>
        <v/>
      </c>
      <c r="E12" s="179" t="n">
        <v>0</v>
      </c>
      <c r="F12" s="227">
        <f>(D12-C12)+B12+E12</f>
        <v/>
      </c>
      <c r="G12" s="184" t="n"/>
      <c r="I12" s="223" t="n"/>
      <c r="J12" s="223" t="inlineStr">
        <is>
          <t>Flat F9</t>
        </is>
      </c>
      <c r="K12" s="184" t="n"/>
      <c r="L12" s="46" t="n">
        <v>0</v>
      </c>
      <c r="O12" s="104" t="n"/>
      <c r="P12" s="104" t="n"/>
    </row>
    <row r="13">
      <c r="A13" s="223" t="inlineStr">
        <is>
          <t>Flat F10</t>
        </is>
      </c>
      <c r="B13" s="40" t="n">
        <v>0</v>
      </c>
      <c r="C13" s="46">
        <f>'INCOME-EXPENSE-CYCLES'!AH12+'INCOME-EXPENSE-CYCLES'!AL12+'INCOME-EXPENSE-CYCLES'!AP12+'INCOME-EXPENSE-CYCLES'!AT12+'INCOME-EXPENSE-CYCLES'!AX12</f>
        <v/>
      </c>
      <c r="D13" s="46">
        <f>'INCOME-EXPENSE-CYCLES'!AG12+'INCOME-EXPENSE-CYCLES'!AK12+'INCOME-EXPENSE-CYCLES'!AO12+'INCOME-EXPENSE-CYCLES'!AS12+'INCOME-EXPENSE-CYCLES'!AW12</f>
        <v/>
      </c>
      <c r="E13" s="179" t="n">
        <v>0</v>
      </c>
      <c r="F13" s="227">
        <f>(D13-C13)+B13+E13</f>
        <v/>
      </c>
      <c r="G13" s="184" t="n"/>
      <c r="I13" s="223" t="n"/>
      <c r="J13" s="223" t="inlineStr">
        <is>
          <t>Flat F10</t>
        </is>
      </c>
      <c r="K13" s="184" t="n"/>
      <c r="L13" s="46" t="n">
        <v>0</v>
      </c>
      <c r="O13" s="104" t="n"/>
      <c r="P13" s="104" t="n"/>
    </row>
    <row r="14">
      <c r="A14" s="223" t="inlineStr">
        <is>
          <t>Flat F11</t>
        </is>
      </c>
      <c r="B14" s="40" t="n">
        <v>0</v>
      </c>
      <c r="C14" s="46">
        <f>'INCOME-EXPENSE-CYCLES'!AH13+'INCOME-EXPENSE-CYCLES'!AL13+'INCOME-EXPENSE-CYCLES'!AP13+'INCOME-EXPENSE-CYCLES'!AT13+'INCOME-EXPENSE-CYCLES'!AX13</f>
        <v/>
      </c>
      <c r="D14" s="46">
        <f>'INCOME-EXPENSE-CYCLES'!AG13+'INCOME-EXPENSE-CYCLES'!AK13+'INCOME-EXPENSE-CYCLES'!AO13+'INCOME-EXPENSE-CYCLES'!AS13+'INCOME-EXPENSE-CYCLES'!AW13</f>
        <v/>
      </c>
      <c r="E14" s="179" t="n">
        <v>0</v>
      </c>
      <c r="F14" s="227">
        <f>(D14-C14)+B14+E14</f>
        <v/>
      </c>
      <c r="G14" s="184" t="n"/>
      <c r="I14" s="223" t="n"/>
      <c r="J14" s="223" t="inlineStr">
        <is>
          <t>Flat F11</t>
        </is>
      </c>
      <c r="K14" s="184" t="n"/>
      <c r="L14" s="46" t="n">
        <v>0</v>
      </c>
      <c r="O14" s="104" t="n"/>
      <c r="P14" s="104" t="n"/>
    </row>
    <row r="15">
      <c r="A15" s="223" t="inlineStr">
        <is>
          <t>Flat F12</t>
        </is>
      </c>
      <c r="B15" s="40" t="n">
        <v>0</v>
      </c>
      <c r="C15" s="46">
        <f>'INCOME-EXPENSE-CYCLES'!AH14+'INCOME-EXPENSE-CYCLES'!AL14+'INCOME-EXPENSE-CYCLES'!AP14+'INCOME-EXPENSE-CYCLES'!AT14+'INCOME-EXPENSE-CYCLES'!AX14</f>
        <v/>
      </c>
      <c r="D15" s="46">
        <f>'INCOME-EXPENSE-CYCLES'!AG14+'INCOME-EXPENSE-CYCLES'!AK14+'INCOME-EXPENSE-CYCLES'!AO14+'INCOME-EXPENSE-CYCLES'!AS14+'INCOME-EXPENSE-CYCLES'!AW14</f>
        <v/>
      </c>
      <c r="E15" s="179" t="n">
        <v>0</v>
      </c>
      <c r="F15" s="227">
        <f>(D15-C15)+B15+E15</f>
        <v/>
      </c>
      <c r="G15" s="184" t="n"/>
      <c r="I15" s="223" t="n"/>
      <c r="J15" s="223" t="inlineStr">
        <is>
          <t>Flat F12</t>
        </is>
      </c>
      <c r="K15" s="184" t="n"/>
      <c r="L15" s="46" t="n">
        <v>0</v>
      </c>
      <c r="O15" s="104" t="n"/>
      <c r="P15" s="104" t="n"/>
    </row>
    <row r="16">
      <c r="A16" s="223" t="inlineStr">
        <is>
          <t>Flat F13</t>
        </is>
      </c>
      <c r="B16" s="40" t="n">
        <v>0</v>
      </c>
      <c r="C16" s="46">
        <f>'INCOME-EXPENSE-CYCLES'!AH15+'INCOME-EXPENSE-CYCLES'!AL15+'INCOME-EXPENSE-CYCLES'!AP15+'INCOME-EXPENSE-CYCLES'!AT15+'INCOME-EXPENSE-CYCLES'!AX15</f>
        <v/>
      </c>
      <c r="D16" s="46">
        <f>'INCOME-EXPENSE-CYCLES'!AG15+'INCOME-EXPENSE-CYCLES'!AK15+'INCOME-EXPENSE-CYCLES'!AO15+'INCOME-EXPENSE-CYCLES'!AS15+'INCOME-EXPENSE-CYCLES'!AW15</f>
        <v/>
      </c>
      <c r="E16" s="179" t="n">
        <v>0</v>
      </c>
      <c r="F16" s="227">
        <f>(D16-C16)+B16+E16</f>
        <v/>
      </c>
      <c r="G16" s="184" t="n"/>
      <c r="I16" s="223" t="n"/>
      <c r="J16" s="223" t="inlineStr">
        <is>
          <t>Flat F13</t>
        </is>
      </c>
      <c r="K16" s="184" t="n"/>
      <c r="L16" s="46" t="n">
        <v>0</v>
      </c>
      <c r="O16" s="104" t="n"/>
      <c r="P16" s="104" t="n"/>
    </row>
    <row r="17">
      <c r="A17" s="223" t="inlineStr">
        <is>
          <t>Flat F14</t>
        </is>
      </c>
      <c r="B17" s="40" t="n">
        <v>0</v>
      </c>
      <c r="C17" s="46">
        <f>'INCOME-EXPENSE-CYCLES'!AH16+'INCOME-EXPENSE-CYCLES'!AL16+'INCOME-EXPENSE-CYCLES'!AP16+'INCOME-EXPENSE-CYCLES'!AT16+'INCOME-EXPENSE-CYCLES'!AX16</f>
        <v/>
      </c>
      <c r="D17" s="46">
        <f>'INCOME-EXPENSE-CYCLES'!AG16+'INCOME-EXPENSE-CYCLES'!AK16+'INCOME-EXPENSE-CYCLES'!AO16+'INCOME-EXPENSE-CYCLES'!AS16+'INCOME-EXPENSE-CYCLES'!AW16</f>
        <v/>
      </c>
      <c r="E17" s="179" t="n">
        <v>0</v>
      </c>
      <c r="F17" s="227">
        <f>(D17-C17)+B17+E17</f>
        <v/>
      </c>
      <c r="G17" s="184" t="n"/>
      <c r="I17" s="223" t="n"/>
      <c r="J17" s="223" t="inlineStr">
        <is>
          <t>Flat F14</t>
        </is>
      </c>
      <c r="K17" s="184" t="n"/>
      <c r="L17" s="46" t="n">
        <v>0</v>
      </c>
      <c r="O17" s="104" t="n"/>
      <c r="P17" s="104" t="n"/>
    </row>
    <row r="18">
      <c r="A18" s="223" t="inlineStr">
        <is>
          <t>Flat F15</t>
        </is>
      </c>
      <c r="B18" s="40" t="n">
        <v>0</v>
      </c>
      <c r="C18" s="46">
        <f>'INCOME-EXPENSE-CYCLES'!AH17+'INCOME-EXPENSE-CYCLES'!AL17+'INCOME-EXPENSE-CYCLES'!AP17+'INCOME-EXPENSE-CYCLES'!AT17+'INCOME-EXPENSE-CYCLES'!AX17</f>
        <v/>
      </c>
      <c r="D18" s="46">
        <f>'INCOME-EXPENSE-CYCLES'!AG17+'INCOME-EXPENSE-CYCLES'!AK17+'INCOME-EXPENSE-CYCLES'!AO17+'INCOME-EXPENSE-CYCLES'!AS17+'INCOME-EXPENSE-CYCLES'!AW17</f>
        <v/>
      </c>
      <c r="E18" s="179" t="n">
        <v>0</v>
      </c>
      <c r="F18" s="227">
        <f>(D18-C18)+B18+E18</f>
        <v/>
      </c>
      <c r="G18" s="184" t="n"/>
      <c r="I18" s="223" t="n"/>
      <c r="J18" s="223" t="inlineStr">
        <is>
          <t>Flat F15</t>
        </is>
      </c>
      <c r="K18" s="184" t="n"/>
      <c r="L18" s="46" t="n">
        <v>0</v>
      </c>
      <c r="O18" s="104" t="n"/>
      <c r="P18" s="104" t="n"/>
    </row>
    <row r="19">
      <c r="A19" s="223" t="inlineStr">
        <is>
          <t>Flat F16</t>
        </is>
      </c>
      <c r="B19" s="40" t="n">
        <v>0</v>
      </c>
      <c r="C19" s="46">
        <f>'INCOME-EXPENSE-CYCLES'!AH18+'INCOME-EXPENSE-CYCLES'!AL18+'INCOME-EXPENSE-CYCLES'!AP18+'INCOME-EXPENSE-CYCLES'!AT18+'INCOME-EXPENSE-CYCLES'!AX18</f>
        <v/>
      </c>
      <c r="D19" s="46">
        <f>'INCOME-EXPENSE-CYCLES'!AG18+'INCOME-EXPENSE-CYCLES'!AK18+'INCOME-EXPENSE-CYCLES'!AO18+'INCOME-EXPENSE-CYCLES'!AS18+'INCOME-EXPENSE-CYCLES'!AW18</f>
        <v/>
      </c>
      <c r="E19" s="179" t="n">
        <v>0</v>
      </c>
      <c r="F19" s="227">
        <f>(D19-C19)+B19+E19</f>
        <v/>
      </c>
      <c r="G19" s="184" t="n"/>
      <c r="I19" s="223" t="n"/>
      <c r="J19" s="223" t="inlineStr">
        <is>
          <t>Flat F16</t>
        </is>
      </c>
      <c r="K19" s="184" t="n"/>
      <c r="L19" s="46" t="n">
        <v>0</v>
      </c>
      <c r="O19" s="104" t="n"/>
      <c r="P19" s="104" t="n"/>
    </row>
    <row r="20">
      <c r="A20" s="223" t="inlineStr">
        <is>
          <t>Flat G1</t>
        </is>
      </c>
      <c r="B20" s="40" t="n">
        <v>0</v>
      </c>
      <c r="C20" s="46">
        <f>'INCOME-EXPENSE-CYCLES'!AH19+'INCOME-EXPENSE-CYCLES'!AL19+'INCOME-EXPENSE-CYCLES'!AP19+'INCOME-EXPENSE-CYCLES'!AT19+'INCOME-EXPENSE-CYCLES'!AX19</f>
        <v/>
      </c>
      <c r="D20" s="46">
        <f>'INCOME-EXPENSE-CYCLES'!AG19+'INCOME-EXPENSE-CYCLES'!AK19+'INCOME-EXPENSE-CYCLES'!AO19+'INCOME-EXPENSE-CYCLES'!AS19+'INCOME-EXPENSE-CYCLES'!AW19</f>
        <v/>
      </c>
      <c r="E20" s="179" t="n">
        <v>0</v>
      </c>
      <c r="F20" s="227">
        <f>(D20-C20)+B20+E20</f>
        <v/>
      </c>
      <c r="G20" s="184" t="n"/>
      <c r="I20" s="223" t="n"/>
      <c r="J20" s="223" t="inlineStr">
        <is>
          <t>Flat G1</t>
        </is>
      </c>
      <c r="K20" s="184" t="n"/>
      <c r="L20" s="46" t="n">
        <v>0</v>
      </c>
      <c r="O20" s="104" t="n"/>
      <c r="P20" s="104" t="n"/>
    </row>
    <row r="21">
      <c r="A21" s="223" t="inlineStr">
        <is>
          <t>Flat G2</t>
        </is>
      </c>
      <c r="B21" s="40" t="n">
        <v>0</v>
      </c>
      <c r="C21" s="46">
        <f>'INCOME-EXPENSE-CYCLES'!AH20+'INCOME-EXPENSE-CYCLES'!AL20+'INCOME-EXPENSE-CYCLES'!AP20+'INCOME-EXPENSE-CYCLES'!AT20+'INCOME-EXPENSE-CYCLES'!AX20</f>
        <v/>
      </c>
      <c r="D21" s="46">
        <f>'INCOME-EXPENSE-CYCLES'!AG20+'INCOME-EXPENSE-CYCLES'!AK20+'INCOME-EXPENSE-CYCLES'!AO20+'INCOME-EXPENSE-CYCLES'!AS20+'INCOME-EXPENSE-CYCLES'!AW20</f>
        <v/>
      </c>
      <c r="E21" s="179" t="n">
        <v>0</v>
      </c>
      <c r="F21" s="227">
        <f>(D21-C21)+B21+E21</f>
        <v/>
      </c>
      <c r="G21" s="184" t="n"/>
      <c r="I21" s="223" t="n"/>
      <c r="J21" s="223" t="inlineStr">
        <is>
          <t>Flat G2</t>
        </is>
      </c>
      <c r="K21" s="184" t="n"/>
      <c r="L21" s="46" t="n">
        <v>0</v>
      </c>
      <c r="O21" s="104" t="n"/>
      <c r="P21" s="104" t="n"/>
    </row>
    <row r="22">
      <c r="A22" s="223" t="inlineStr">
        <is>
          <t>Flat G3</t>
        </is>
      </c>
      <c r="B22" s="40" t="n">
        <v>0</v>
      </c>
      <c r="C22" s="46">
        <f>'INCOME-EXPENSE-CYCLES'!AH21+'INCOME-EXPENSE-CYCLES'!AL21+'INCOME-EXPENSE-CYCLES'!AP21+'INCOME-EXPENSE-CYCLES'!AT21+'INCOME-EXPENSE-CYCLES'!AX21</f>
        <v/>
      </c>
      <c r="D22" s="46">
        <f>'INCOME-EXPENSE-CYCLES'!AG21+'INCOME-EXPENSE-CYCLES'!AK21+'INCOME-EXPENSE-CYCLES'!AO21+'INCOME-EXPENSE-CYCLES'!AS21+'INCOME-EXPENSE-CYCLES'!AW21</f>
        <v/>
      </c>
      <c r="E22" s="179" t="n">
        <v>0</v>
      </c>
      <c r="F22" s="227">
        <f>(D22-C22)+B22+E22</f>
        <v/>
      </c>
      <c r="G22" s="184" t="n"/>
      <c r="I22" s="223" t="n"/>
      <c r="J22" s="223" t="inlineStr">
        <is>
          <t>Flat G3</t>
        </is>
      </c>
      <c r="K22" s="184" t="n"/>
      <c r="L22" s="46" t="n">
        <v>0</v>
      </c>
      <c r="O22" s="104" t="n"/>
      <c r="P22" s="104" t="n"/>
    </row>
    <row r="23">
      <c r="A23" s="223" t="inlineStr">
        <is>
          <t>Flat G4</t>
        </is>
      </c>
      <c r="B23" s="40" t="n">
        <v>0</v>
      </c>
      <c r="C23" s="46">
        <f>'INCOME-EXPENSE-CYCLES'!AH22+'INCOME-EXPENSE-CYCLES'!AL22+'INCOME-EXPENSE-CYCLES'!AP22+'INCOME-EXPENSE-CYCLES'!AT22+'INCOME-EXPENSE-CYCLES'!AX22</f>
        <v/>
      </c>
      <c r="D23" s="46">
        <f>'INCOME-EXPENSE-CYCLES'!AG22+'INCOME-EXPENSE-CYCLES'!AK22+'INCOME-EXPENSE-CYCLES'!AO22+'INCOME-EXPENSE-CYCLES'!AS22+'INCOME-EXPENSE-CYCLES'!AW22</f>
        <v/>
      </c>
      <c r="E23" s="179" t="n">
        <v>0</v>
      </c>
      <c r="F23" s="227">
        <f>(D23-C23)+B23+E23</f>
        <v/>
      </c>
      <c r="G23" s="184" t="n"/>
      <c r="I23" s="223" t="n"/>
      <c r="J23" s="223" t="inlineStr">
        <is>
          <t>Flat G4</t>
        </is>
      </c>
      <c r="K23" s="184" t="n"/>
      <c r="L23" s="46" t="n">
        <v>0</v>
      </c>
      <c r="O23" s="104" t="n"/>
      <c r="P23" s="104" t="n"/>
    </row>
    <row r="24">
      <c r="A24" s="223" t="inlineStr">
        <is>
          <t>Flat G5</t>
        </is>
      </c>
      <c r="B24" s="40" t="n">
        <v>0</v>
      </c>
      <c r="C24" s="46">
        <f>'INCOME-EXPENSE-CYCLES'!AH23+'INCOME-EXPENSE-CYCLES'!AL23+'INCOME-EXPENSE-CYCLES'!AP23+'INCOME-EXPENSE-CYCLES'!AT23+'INCOME-EXPENSE-CYCLES'!AX23</f>
        <v/>
      </c>
      <c r="D24" s="46">
        <f>'INCOME-EXPENSE-CYCLES'!AG23+'INCOME-EXPENSE-CYCLES'!AK23+'INCOME-EXPENSE-CYCLES'!AO23+'INCOME-EXPENSE-CYCLES'!AS23+'INCOME-EXPENSE-CYCLES'!AW23</f>
        <v/>
      </c>
      <c r="E24" s="179" t="n">
        <v>0</v>
      </c>
      <c r="F24" s="227">
        <f>(D24-C24)+B24+E24</f>
        <v/>
      </c>
      <c r="G24" s="184" t="n"/>
      <c r="I24" s="223" t="n"/>
      <c r="J24" s="223" t="inlineStr">
        <is>
          <t>Flat G5</t>
        </is>
      </c>
      <c r="K24" s="184" t="n"/>
      <c r="L24" s="46" t="n">
        <v>0</v>
      </c>
      <c r="O24" s="104" t="n"/>
      <c r="P24" s="104" t="n"/>
    </row>
    <row r="25">
      <c r="A25" s="223" t="inlineStr">
        <is>
          <t>Flat G6</t>
        </is>
      </c>
      <c r="B25" s="40" t="n">
        <v>0</v>
      </c>
      <c r="C25" s="46">
        <f>'INCOME-EXPENSE-CYCLES'!AH24+'INCOME-EXPENSE-CYCLES'!AL24+'INCOME-EXPENSE-CYCLES'!AP24+'INCOME-EXPENSE-CYCLES'!AT24+'INCOME-EXPENSE-CYCLES'!AX24</f>
        <v/>
      </c>
      <c r="D25" s="46">
        <f>'INCOME-EXPENSE-CYCLES'!AG24+'INCOME-EXPENSE-CYCLES'!AK24+'INCOME-EXPENSE-CYCLES'!AO24+'INCOME-EXPENSE-CYCLES'!AS24+'INCOME-EXPENSE-CYCLES'!AW24</f>
        <v/>
      </c>
      <c r="E25" s="179" t="n">
        <v>0</v>
      </c>
      <c r="F25" s="227">
        <f>(D25-C25)+B25+E25</f>
        <v/>
      </c>
      <c r="G25" s="184" t="n"/>
      <c r="I25" s="223" t="n"/>
      <c r="J25" s="223" t="inlineStr">
        <is>
          <t>Flat G6</t>
        </is>
      </c>
      <c r="K25" s="184" t="n"/>
      <c r="L25" s="46" t="n">
        <v>0</v>
      </c>
      <c r="O25" s="104" t="n"/>
      <c r="P25" s="104" t="n"/>
    </row>
    <row r="26">
      <c r="A26" s="223" t="inlineStr">
        <is>
          <t>Flat G7</t>
        </is>
      </c>
      <c r="B26" s="40" t="n">
        <v>0</v>
      </c>
      <c r="C26" s="46">
        <f>'INCOME-EXPENSE-CYCLES'!AH25+'INCOME-EXPENSE-CYCLES'!AL25+'INCOME-EXPENSE-CYCLES'!AP25+'INCOME-EXPENSE-CYCLES'!AT25+'INCOME-EXPENSE-CYCLES'!AX25</f>
        <v/>
      </c>
      <c r="D26" s="46">
        <f>'INCOME-EXPENSE-CYCLES'!AG25+'INCOME-EXPENSE-CYCLES'!AK25+'INCOME-EXPENSE-CYCLES'!AO25+'INCOME-EXPENSE-CYCLES'!AS25+'INCOME-EXPENSE-CYCLES'!AW25</f>
        <v/>
      </c>
      <c r="E26" s="179" t="n">
        <v>0</v>
      </c>
      <c r="F26" s="227">
        <f>(D26-C26)+B26+E26</f>
        <v/>
      </c>
      <c r="G26" s="184" t="n"/>
      <c r="I26" s="223" t="n"/>
      <c r="J26" s="223" t="inlineStr">
        <is>
          <t>Flat G7</t>
        </is>
      </c>
      <c r="K26" s="184" t="n"/>
      <c r="L26" s="46" t="n">
        <v>0</v>
      </c>
      <c r="O26" s="104" t="n"/>
      <c r="P26" s="104" t="n"/>
    </row>
    <row r="27">
      <c r="A27" s="223" t="inlineStr">
        <is>
          <t>Flat G8</t>
        </is>
      </c>
      <c r="B27" s="40" t="n">
        <v>0</v>
      </c>
      <c r="C27" s="46">
        <f>'INCOME-EXPENSE-CYCLES'!AH26+'INCOME-EXPENSE-CYCLES'!AL26+'INCOME-EXPENSE-CYCLES'!AP26+'INCOME-EXPENSE-CYCLES'!AT26+'INCOME-EXPENSE-CYCLES'!AX26</f>
        <v/>
      </c>
      <c r="D27" s="46">
        <f>'INCOME-EXPENSE-CYCLES'!AG26+'INCOME-EXPENSE-CYCLES'!AK26+'INCOME-EXPENSE-CYCLES'!AO26+'INCOME-EXPENSE-CYCLES'!AS26+'INCOME-EXPENSE-CYCLES'!AW26</f>
        <v/>
      </c>
      <c r="E27" s="179" t="n">
        <v>0</v>
      </c>
      <c r="F27" s="227">
        <f>(D27-C27)+B27+E27</f>
        <v/>
      </c>
      <c r="G27" s="184" t="n"/>
      <c r="I27" s="223" t="n"/>
      <c r="J27" s="223" t="inlineStr">
        <is>
          <t>Flat G8</t>
        </is>
      </c>
      <c r="K27" s="184" t="n"/>
      <c r="L27" s="46" t="n">
        <v>0</v>
      </c>
      <c r="O27" s="104" t="n"/>
      <c r="P27" s="104" t="n"/>
    </row>
    <row r="28">
      <c r="A28" s="223" t="inlineStr">
        <is>
          <t>Flat G9</t>
        </is>
      </c>
      <c r="B28" s="40" t="n">
        <v>0</v>
      </c>
      <c r="C28" s="46">
        <f>'INCOME-EXPENSE-CYCLES'!AH27+'INCOME-EXPENSE-CYCLES'!AL27+'INCOME-EXPENSE-CYCLES'!AP27+'INCOME-EXPENSE-CYCLES'!AT27+'INCOME-EXPENSE-CYCLES'!AX27</f>
        <v/>
      </c>
      <c r="D28" s="46">
        <f>'INCOME-EXPENSE-CYCLES'!AG27+'INCOME-EXPENSE-CYCLES'!AK27+'INCOME-EXPENSE-CYCLES'!AO27+'INCOME-EXPENSE-CYCLES'!AS27+'INCOME-EXPENSE-CYCLES'!AW27</f>
        <v/>
      </c>
      <c r="E28" s="179" t="n">
        <v>0</v>
      </c>
      <c r="F28" s="227">
        <f>(D28-C28)+B28+E28</f>
        <v/>
      </c>
      <c r="G28" s="184" t="n"/>
      <c r="I28" s="223" t="n"/>
      <c r="J28" s="223" t="inlineStr">
        <is>
          <t>Flat G9</t>
        </is>
      </c>
      <c r="K28" s="184" t="n"/>
      <c r="L28" s="46" t="n">
        <v>0</v>
      </c>
      <c r="O28" s="104" t="n"/>
      <c r="P28" s="104" t="n"/>
    </row>
    <row r="29">
      <c r="A29" s="223" t="inlineStr">
        <is>
          <t>Flat G10</t>
        </is>
      </c>
      <c r="B29" s="40" t="n">
        <v>0</v>
      </c>
      <c r="C29" s="46">
        <f>'INCOME-EXPENSE-CYCLES'!AH28+'INCOME-EXPENSE-CYCLES'!AL28+'INCOME-EXPENSE-CYCLES'!AP28+'INCOME-EXPENSE-CYCLES'!AT28+'INCOME-EXPENSE-CYCLES'!AX28</f>
        <v/>
      </c>
      <c r="D29" s="46">
        <f>'INCOME-EXPENSE-CYCLES'!AG28+'INCOME-EXPENSE-CYCLES'!AK28+'INCOME-EXPENSE-CYCLES'!AO28+'INCOME-EXPENSE-CYCLES'!AS28+'INCOME-EXPENSE-CYCLES'!AW28</f>
        <v/>
      </c>
      <c r="E29" s="179" t="n">
        <v>0</v>
      </c>
      <c r="F29" s="227">
        <f>(D29-C29)+B29+E29</f>
        <v/>
      </c>
      <c r="G29" s="184" t="n"/>
      <c r="I29" s="223" t="n"/>
      <c r="J29" s="223" t="inlineStr">
        <is>
          <t>Flat G10</t>
        </is>
      </c>
      <c r="K29" s="184" t="n"/>
      <c r="L29" s="46" t="n">
        <v>0</v>
      </c>
      <c r="O29" s="104" t="n"/>
      <c r="P29" s="104" t="n"/>
    </row>
    <row r="30">
      <c r="A30" s="223" t="inlineStr">
        <is>
          <t>Flat G11</t>
        </is>
      </c>
      <c r="B30" s="40" t="n">
        <v>0</v>
      </c>
      <c r="C30" s="46">
        <f>'INCOME-EXPENSE-CYCLES'!AH29+'INCOME-EXPENSE-CYCLES'!AL29+'INCOME-EXPENSE-CYCLES'!AP29+'INCOME-EXPENSE-CYCLES'!AT29+'INCOME-EXPENSE-CYCLES'!AX29</f>
        <v/>
      </c>
      <c r="D30" s="46">
        <f>'INCOME-EXPENSE-CYCLES'!AG29+'INCOME-EXPENSE-CYCLES'!AK29+'INCOME-EXPENSE-CYCLES'!AO29+'INCOME-EXPENSE-CYCLES'!AS29+'INCOME-EXPENSE-CYCLES'!AW29</f>
        <v/>
      </c>
      <c r="E30" s="179" t="n">
        <v>0</v>
      </c>
      <c r="F30" s="227">
        <f>(D30-C30)+B30+E30</f>
        <v/>
      </c>
      <c r="G30" s="184" t="n"/>
      <c r="I30" s="223" t="n"/>
      <c r="J30" s="223" t="inlineStr">
        <is>
          <t>Flat G11</t>
        </is>
      </c>
      <c r="K30" s="184" t="n"/>
      <c r="L30" s="46" t="n">
        <v>0</v>
      </c>
      <c r="O30" s="104" t="n"/>
      <c r="P30" s="104" t="n"/>
    </row>
    <row r="31">
      <c r="A31" s="223" t="inlineStr">
        <is>
          <t>Flat G12</t>
        </is>
      </c>
      <c r="B31" s="40" t="n">
        <v>0</v>
      </c>
      <c r="C31" s="46">
        <f>'INCOME-EXPENSE-CYCLES'!AH30+'INCOME-EXPENSE-CYCLES'!AL30+'INCOME-EXPENSE-CYCLES'!AP30+'INCOME-EXPENSE-CYCLES'!AT30+'INCOME-EXPENSE-CYCLES'!AX30</f>
        <v/>
      </c>
      <c r="D31" s="46">
        <f>'INCOME-EXPENSE-CYCLES'!AG30+'INCOME-EXPENSE-CYCLES'!AK30+'INCOME-EXPENSE-CYCLES'!AO30+'INCOME-EXPENSE-CYCLES'!AS30+'INCOME-EXPENSE-CYCLES'!AW30</f>
        <v/>
      </c>
      <c r="E31" s="179" t="n">
        <v>0</v>
      </c>
      <c r="F31" s="227">
        <f>(D31-C31)+B31+E31</f>
        <v/>
      </c>
      <c r="G31" s="184" t="n"/>
      <c r="I31" s="223" t="n"/>
      <c r="J31" s="223" t="inlineStr">
        <is>
          <t>Flat G12</t>
        </is>
      </c>
      <c r="K31" s="184" t="n"/>
      <c r="L31" s="46" t="n">
        <v>0</v>
      </c>
      <c r="O31" s="104" t="n"/>
      <c r="P31" s="104" t="n"/>
    </row>
    <row r="32">
      <c r="A32" s="223" t="inlineStr">
        <is>
          <t>Flat G13</t>
        </is>
      </c>
      <c r="B32" s="40" t="n">
        <v>0</v>
      </c>
      <c r="C32" s="46">
        <f>'INCOME-EXPENSE-CYCLES'!AH31+'INCOME-EXPENSE-CYCLES'!AL31+'INCOME-EXPENSE-CYCLES'!AP31+'INCOME-EXPENSE-CYCLES'!AT31+'INCOME-EXPENSE-CYCLES'!AX31</f>
        <v/>
      </c>
      <c r="D32" s="46">
        <f>'INCOME-EXPENSE-CYCLES'!AG31+'INCOME-EXPENSE-CYCLES'!AK31+'INCOME-EXPENSE-CYCLES'!AO31+'INCOME-EXPENSE-CYCLES'!AS31+'INCOME-EXPENSE-CYCLES'!AW31</f>
        <v/>
      </c>
      <c r="E32" s="179" t="n">
        <v>0</v>
      </c>
      <c r="F32" s="227">
        <f>(D32-C32)+B32+E32</f>
        <v/>
      </c>
      <c r="G32" s="184" t="n"/>
      <c r="I32" s="223" t="n"/>
      <c r="J32" s="223" t="inlineStr">
        <is>
          <t>Flat G13</t>
        </is>
      </c>
      <c r="K32" s="184" t="n"/>
      <c r="L32" s="46" t="n">
        <v>0</v>
      </c>
      <c r="O32" s="104" t="n"/>
      <c r="P32" s="104" t="n"/>
    </row>
    <row r="33">
      <c r="A33" s="223" t="inlineStr">
        <is>
          <t>Flat G14</t>
        </is>
      </c>
      <c r="B33" s="40" t="n">
        <v>0</v>
      </c>
      <c r="C33" s="46">
        <f>'INCOME-EXPENSE-CYCLES'!AH32+'INCOME-EXPENSE-CYCLES'!AL32+'INCOME-EXPENSE-CYCLES'!AP32+'INCOME-EXPENSE-CYCLES'!AT32+'INCOME-EXPENSE-CYCLES'!AX32</f>
        <v/>
      </c>
      <c r="D33" s="46">
        <f>'INCOME-EXPENSE-CYCLES'!AG32+'INCOME-EXPENSE-CYCLES'!AK32+'INCOME-EXPENSE-CYCLES'!AO32+'INCOME-EXPENSE-CYCLES'!AS32+'INCOME-EXPENSE-CYCLES'!AW32</f>
        <v/>
      </c>
      <c r="E33" s="179" t="n">
        <v>0</v>
      </c>
      <c r="F33" s="227">
        <f>(D33-C33)+B33+E33</f>
        <v/>
      </c>
      <c r="G33" s="184" t="n"/>
      <c r="I33" s="223" t="n"/>
      <c r="J33" s="223" t="inlineStr">
        <is>
          <t>Flat G14</t>
        </is>
      </c>
      <c r="K33" s="184" t="n"/>
      <c r="L33" s="46" t="n">
        <v>0</v>
      </c>
      <c r="O33" s="104" t="n"/>
      <c r="P33" s="104" t="n"/>
    </row>
    <row r="34">
      <c r="A34" s="223" t="inlineStr">
        <is>
          <t>Flat G15</t>
        </is>
      </c>
      <c r="B34" s="40" t="n">
        <v>0</v>
      </c>
      <c r="C34" s="46">
        <f>'INCOME-EXPENSE-CYCLES'!AH33+'INCOME-EXPENSE-CYCLES'!AL33+'INCOME-EXPENSE-CYCLES'!AP33+'INCOME-EXPENSE-CYCLES'!AT33+'INCOME-EXPENSE-CYCLES'!AX33</f>
        <v/>
      </c>
      <c r="D34" s="46">
        <f>'INCOME-EXPENSE-CYCLES'!AG33+'INCOME-EXPENSE-CYCLES'!AK33+'INCOME-EXPENSE-CYCLES'!AO33+'INCOME-EXPENSE-CYCLES'!AS33+'INCOME-EXPENSE-CYCLES'!AW33</f>
        <v/>
      </c>
      <c r="E34" s="179" t="n">
        <v>0</v>
      </c>
      <c r="F34" s="227">
        <f>(D34-C34)+B34+E34</f>
        <v/>
      </c>
      <c r="G34" s="184" t="n"/>
      <c r="I34" s="223" t="n"/>
      <c r="J34" s="223" t="inlineStr">
        <is>
          <t>Flat G15</t>
        </is>
      </c>
      <c r="K34" s="184" t="n"/>
      <c r="L34" s="46" t="n">
        <v>0</v>
      </c>
      <c r="O34" s="104" t="n"/>
      <c r="P34" s="104" t="n"/>
    </row>
    <row r="35">
      <c r="A35" s="223" t="inlineStr">
        <is>
          <t>Flat G16</t>
        </is>
      </c>
      <c r="B35" s="40" t="n">
        <v>0</v>
      </c>
      <c r="C35" s="46">
        <f>'INCOME-EXPENSE-CYCLES'!AH34+'INCOME-EXPENSE-CYCLES'!AL34+'INCOME-EXPENSE-CYCLES'!AP34+'INCOME-EXPENSE-CYCLES'!AT34+'INCOME-EXPENSE-CYCLES'!AX34</f>
        <v/>
      </c>
      <c r="D35" s="46">
        <f>'INCOME-EXPENSE-CYCLES'!AG34+'INCOME-EXPENSE-CYCLES'!AK34+'INCOME-EXPENSE-CYCLES'!AO34+'INCOME-EXPENSE-CYCLES'!AS34+'INCOME-EXPENSE-CYCLES'!AW34</f>
        <v/>
      </c>
      <c r="E35" s="179" t="n">
        <v>0</v>
      </c>
      <c r="F35" s="227">
        <f>(D35-C35)+B35+E35</f>
        <v/>
      </c>
      <c r="G35" s="184" t="n"/>
      <c r="I35" s="223" t="n"/>
      <c r="J35" s="223" t="inlineStr">
        <is>
          <t>Flat G16</t>
        </is>
      </c>
      <c r="K35" s="184" t="n"/>
      <c r="L35" s="46" t="n">
        <v>0</v>
      </c>
      <c r="O35" s="104" t="n"/>
      <c r="P35" s="104" t="n"/>
    </row>
    <row r="36">
      <c r="A36" s="223" t="inlineStr">
        <is>
          <t>Flat S1</t>
        </is>
      </c>
      <c r="B36" s="40" t="n">
        <v>0</v>
      </c>
      <c r="C36" s="46">
        <f>'INCOME-EXPENSE-CYCLES'!AH35+'INCOME-EXPENSE-CYCLES'!AL35+'INCOME-EXPENSE-CYCLES'!AP35+'INCOME-EXPENSE-CYCLES'!AT35+'INCOME-EXPENSE-CYCLES'!AX35</f>
        <v/>
      </c>
      <c r="D36" s="46">
        <f>'INCOME-EXPENSE-CYCLES'!AG35+'INCOME-EXPENSE-CYCLES'!AK35+'INCOME-EXPENSE-CYCLES'!AO35+'INCOME-EXPENSE-CYCLES'!AS35+'INCOME-EXPENSE-CYCLES'!AW35</f>
        <v/>
      </c>
      <c r="E36" s="179" t="n">
        <v>0</v>
      </c>
      <c r="F36" s="227">
        <f>(D36-C36)+B36+E36</f>
        <v/>
      </c>
      <c r="G36" s="184" t="n"/>
      <c r="I36" s="223" t="n"/>
      <c r="J36" s="223" t="inlineStr">
        <is>
          <t>Flat S1</t>
        </is>
      </c>
      <c r="K36" s="184" t="n"/>
      <c r="L36" s="46" t="n">
        <v>0</v>
      </c>
      <c r="O36" s="104" t="n"/>
      <c r="P36" s="104" t="n"/>
    </row>
    <row r="37">
      <c r="A37" s="223" t="inlineStr">
        <is>
          <t>Flat S2</t>
        </is>
      </c>
      <c r="B37" s="40" t="n">
        <v>0</v>
      </c>
      <c r="C37" s="46">
        <f>'INCOME-EXPENSE-CYCLES'!AH36+'INCOME-EXPENSE-CYCLES'!AL36+'INCOME-EXPENSE-CYCLES'!AP36+'INCOME-EXPENSE-CYCLES'!AT36+'INCOME-EXPENSE-CYCLES'!AX36</f>
        <v/>
      </c>
      <c r="D37" s="46">
        <f>'INCOME-EXPENSE-CYCLES'!AG36+'INCOME-EXPENSE-CYCLES'!AK36+'INCOME-EXPENSE-CYCLES'!AO36+'INCOME-EXPENSE-CYCLES'!AS36+'INCOME-EXPENSE-CYCLES'!AW36</f>
        <v/>
      </c>
      <c r="E37" s="179" t="n">
        <v>0</v>
      </c>
      <c r="F37" s="227">
        <f>(D37-C37)+B37+E37</f>
        <v/>
      </c>
      <c r="G37" s="184" t="n"/>
      <c r="I37" s="223" t="n"/>
      <c r="J37" s="223" t="inlineStr">
        <is>
          <t>Flat S2</t>
        </is>
      </c>
      <c r="K37" s="184" t="n"/>
      <c r="L37" s="46" t="n">
        <v>0</v>
      </c>
      <c r="O37" s="104" t="n"/>
      <c r="P37" s="104" t="n"/>
    </row>
    <row r="38">
      <c r="A38" s="223" t="inlineStr">
        <is>
          <t>Flat S3</t>
        </is>
      </c>
      <c r="B38" s="40" t="n">
        <v>0</v>
      </c>
      <c r="C38" s="46">
        <f>'INCOME-EXPENSE-CYCLES'!AH37+'INCOME-EXPENSE-CYCLES'!AL37+'INCOME-EXPENSE-CYCLES'!AP37+'INCOME-EXPENSE-CYCLES'!AT37+'INCOME-EXPENSE-CYCLES'!AX37</f>
        <v/>
      </c>
      <c r="D38" s="46">
        <f>'INCOME-EXPENSE-CYCLES'!AG37+'INCOME-EXPENSE-CYCLES'!AK37+'INCOME-EXPENSE-CYCLES'!AO37+'INCOME-EXPENSE-CYCLES'!AS37+'INCOME-EXPENSE-CYCLES'!AW37</f>
        <v/>
      </c>
      <c r="E38" s="179" t="n">
        <v>0</v>
      </c>
      <c r="F38" s="227">
        <f>(D38-C38)+B38+E38</f>
        <v/>
      </c>
      <c r="G38" s="184" t="n"/>
      <c r="I38" s="223" t="n"/>
      <c r="J38" s="223" t="inlineStr">
        <is>
          <t>Flat S3</t>
        </is>
      </c>
      <c r="K38" s="184" t="n"/>
      <c r="L38" s="46" t="n">
        <v>0</v>
      </c>
      <c r="O38" s="104" t="n"/>
      <c r="P38" s="104" t="n"/>
    </row>
    <row r="39">
      <c r="A39" s="223" t="inlineStr">
        <is>
          <t>Flat S4</t>
        </is>
      </c>
      <c r="B39" s="40" t="n">
        <v>0</v>
      </c>
      <c r="C39" s="46">
        <f>'INCOME-EXPENSE-CYCLES'!AH38+'INCOME-EXPENSE-CYCLES'!AL38+'INCOME-EXPENSE-CYCLES'!AP38+'INCOME-EXPENSE-CYCLES'!AT38+'INCOME-EXPENSE-CYCLES'!AX38</f>
        <v/>
      </c>
      <c r="D39" s="46">
        <f>'INCOME-EXPENSE-CYCLES'!AG38+'INCOME-EXPENSE-CYCLES'!AK38+'INCOME-EXPENSE-CYCLES'!AO38+'INCOME-EXPENSE-CYCLES'!AS38+'INCOME-EXPENSE-CYCLES'!AW38</f>
        <v/>
      </c>
      <c r="E39" s="179" t="n">
        <v>0</v>
      </c>
      <c r="F39" s="227">
        <f>(D39-C39)+B39+E39</f>
        <v/>
      </c>
      <c r="G39" s="184" t="n"/>
      <c r="I39" s="223" t="n"/>
      <c r="J39" s="223" t="inlineStr">
        <is>
          <t>Flat S4</t>
        </is>
      </c>
      <c r="K39" s="184" t="n"/>
      <c r="L39" s="46" t="n">
        <v>0</v>
      </c>
      <c r="O39" s="104" t="n"/>
      <c r="P39" s="104" t="n"/>
    </row>
    <row r="40">
      <c r="A40" s="223" t="inlineStr">
        <is>
          <t>Flat S5</t>
        </is>
      </c>
      <c r="B40" s="40" t="n">
        <v>0</v>
      </c>
      <c r="C40" s="46">
        <f>'INCOME-EXPENSE-CYCLES'!AH39+'INCOME-EXPENSE-CYCLES'!AL39+'INCOME-EXPENSE-CYCLES'!AP39+'INCOME-EXPENSE-CYCLES'!AT39+'INCOME-EXPENSE-CYCLES'!AX39</f>
        <v/>
      </c>
      <c r="D40" s="46">
        <f>'INCOME-EXPENSE-CYCLES'!AG39+'INCOME-EXPENSE-CYCLES'!AK39+'INCOME-EXPENSE-CYCLES'!AO39+'INCOME-EXPENSE-CYCLES'!AS39+'INCOME-EXPENSE-CYCLES'!AW39</f>
        <v/>
      </c>
      <c r="E40" s="179" t="n">
        <v>0</v>
      </c>
      <c r="F40" s="227">
        <f>(D40-C40)+B40+E40</f>
        <v/>
      </c>
      <c r="G40" s="184" t="n"/>
      <c r="I40" s="223" t="n"/>
      <c r="J40" s="223" t="inlineStr">
        <is>
          <t>Flat S5</t>
        </is>
      </c>
      <c r="K40" s="184" t="n"/>
      <c r="L40" s="46" t="n">
        <v>0</v>
      </c>
      <c r="O40" s="104" t="n"/>
      <c r="P40" s="104" t="n"/>
    </row>
    <row r="41">
      <c r="A41" s="223" t="inlineStr">
        <is>
          <t>Flat S6</t>
        </is>
      </c>
      <c r="B41" s="40" t="n">
        <v>0</v>
      </c>
      <c r="C41" s="46">
        <f>'INCOME-EXPENSE-CYCLES'!AH40+'INCOME-EXPENSE-CYCLES'!AL40+'INCOME-EXPENSE-CYCLES'!AP40+'INCOME-EXPENSE-CYCLES'!AT40+'INCOME-EXPENSE-CYCLES'!AX40</f>
        <v/>
      </c>
      <c r="D41" s="46">
        <f>'INCOME-EXPENSE-CYCLES'!AG40+'INCOME-EXPENSE-CYCLES'!AK40+'INCOME-EXPENSE-CYCLES'!AO40+'INCOME-EXPENSE-CYCLES'!AS40+'INCOME-EXPENSE-CYCLES'!AW40</f>
        <v/>
      </c>
      <c r="E41" s="179" t="n">
        <v>0</v>
      </c>
      <c r="F41" s="227">
        <f>(D41-C41)+B41+E41</f>
        <v/>
      </c>
      <c r="G41" s="184" t="n"/>
      <c r="I41" s="223" t="n"/>
      <c r="J41" s="223" t="inlineStr">
        <is>
          <t>Flat S6</t>
        </is>
      </c>
      <c r="K41" s="184" t="n"/>
      <c r="L41" s="46" t="n">
        <v>0</v>
      </c>
      <c r="O41" s="104" t="n"/>
      <c r="P41" s="104" t="n"/>
    </row>
    <row r="42">
      <c r="A42" s="223" t="inlineStr">
        <is>
          <t>Flat S7</t>
        </is>
      </c>
      <c r="B42" s="40" t="n">
        <v>0</v>
      </c>
      <c r="C42" s="46">
        <f>'INCOME-EXPENSE-CYCLES'!AH41+'INCOME-EXPENSE-CYCLES'!AL41+'INCOME-EXPENSE-CYCLES'!AP41+'INCOME-EXPENSE-CYCLES'!AT41+'INCOME-EXPENSE-CYCLES'!AX41</f>
        <v/>
      </c>
      <c r="D42" s="46">
        <f>'INCOME-EXPENSE-CYCLES'!AG41+'INCOME-EXPENSE-CYCLES'!AK41+'INCOME-EXPENSE-CYCLES'!AO41+'INCOME-EXPENSE-CYCLES'!AS41+'INCOME-EXPENSE-CYCLES'!AW41</f>
        <v/>
      </c>
      <c r="E42" s="179" t="n">
        <v>0</v>
      </c>
      <c r="F42" s="227">
        <f>(D42-C42)+B42+E42</f>
        <v/>
      </c>
      <c r="G42" s="184" t="n"/>
      <c r="I42" s="223" t="n"/>
      <c r="J42" s="223" t="inlineStr">
        <is>
          <t>Flat S7</t>
        </is>
      </c>
      <c r="K42" s="184" t="n"/>
      <c r="L42" s="46" t="n">
        <v>0</v>
      </c>
      <c r="O42" s="104" t="n"/>
      <c r="P42" s="104" t="n"/>
    </row>
    <row r="43">
      <c r="A43" s="223" t="inlineStr">
        <is>
          <t>Flat S8</t>
        </is>
      </c>
      <c r="B43" s="40" t="n">
        <v>0</v>
      </c>
      <c r="C43" s="46">
        <f>'INCOME-EXPENSE-CYCLES'!AH42+'INCOME-EXPENSE-CYCLES'!AL42+'INCOME-EXPENSE-CYCLES'!AP42+'INCOME-EXPENSE-CYCLES'!AT42+'INCOME-EXPENSE-CYCLES'!AX42</f>
        <v/>
      </c>
      <c r="D43" s="46">
        <f>'INCOME-EXPENSE-CYCLES'!AG42+'INCOME-EXPENSE-CYCLES'!AK42+'INCOME-EXPENSE-CYCLES'!AO42+'INCOME-EXPENSE-CYCLES'!AS42+'INCOME-EXPENSE-CYCLES'!AW42</f>
        <v/>
      </c>
      <c r="E43" s="179" t="n">
        <v>0</v>
      </c>
      <c r="F43" s="227">
        <f>(D43-C43)+B43+E43</f>
        <v/>
      </c>
      <c r="G43" s="184" t="n"/>
      <c r="I43" s="223" t="n"/>
      <c r="J43" s="223" t="inlineStr">
        <is>
          <t>Flat S8</t>
        </is>
      </c>
      <c r="K43" s="184" t="n"/>
      <c r="L43" s="46" t="n">
        <v>0</v>
      </c>
      <c r="O43" s="104" t="n"/>
      <c r="P43" s="104" t="n"/>
    </row>
    <row r="44">
      <c r="A44" s="223" t="inlineStr">
        <is>
          <t>Flat S9</t>
        </is>
      </c>
      <c r="B44" s="40" t="n">
        <v>0</v>
      </c>
      <c r="C44" s="46">
        <f>'INCOME-EXPENSE-CYCLES'!AH43+'INCOME-EXPENSE-CYCLES'!AL43+'INCOME-EXPENSE-CYCLES'!AP43+'INCOME-EXPENSE-CYCLES'!AT43+'INCOME-EXPENSE-CYCLES'!AX43</f>
        <v/>
      </c>
      <c r="D44" s="46">
        <f>'INCOME-EXPENSE-CYCLES'!AG43+'INCOME-EXPENSE-CYCLES'!AK43+'INCOME-EXPENSE-CYCLES'!AO43+'INCOME-EXPENSE-CYCLES'!AS43+'INCOME-EXPENSE-CYCLES'!AW43</f>
        <v/>
      </c>
      <c r="E44" s="179" t="n">
        <v>0</v>
      </c>
      <c r="F44" s="227">
        <f>(D44-C44)+B44+E44</f>
        <v/>
      </c>
      <c r="G44" s="184" t="n"/>
      <c r="I44" s="223" t="n"/>
      <c r="J44" s="223" t="inlineStr">
        <is>
          <t>Flat S9</t>
        </is>
      </c>
      <c r="K44" s="184" t="n"/>
      <c r="L44" s="46" t="n">
        <v>0</v>
      </c>
      <c r="O44" s="104" t="n"/>
      <c r="P44" s="104" t="n"/>
    </row>
    <row r="45">
      <c r="A45" s="223" t="inlineStr">
        <is>
          <t>Flat S10</t>
        </is>
      </c>
      <c r="B45" s="40" t="n">
        <v>0</v>
      </c>
      <c r="C45" s="46">
        <f>'INCOME-EXPENSE-CYCLES'!AH44+'INCOME-EXPENSE-CYCLES'!AL44+'INCOME-EXPENSE-CYCLES'!AP44+'INCOME-EXPENSE-CYCLES'!AT44+'INCOME-EXPENSE-CYCLES'!AX44</f>
        <v/>
      </c>
      <c r="D45" s="46">
        <f>'INCOME-EXPENSE-CYCLES'!AG44+'INCOME-EXPENSE-CYCLES'!AK44+'INCOME-EXPENSE-CYCLES'!AO44+'INCOME-EXPENSE-CYCLES'!AS44+'INCOME-EXPENSE-CYCLES'!AW44</f>
        <v/>
      </c>
      <c r="E45" s="179" t="n">
        <v>0</v>
      </c>
      <c r="F45" s="227">
        <f>(D45-C45)+B45+E45</f>
        <v/>
      </c>
      <c r="G45" s="184" t="n"/>
      <c r="I45" s="223" t="n"/>
      <c r="J45" s="223" t="inlineStr">
        <is>
          <t>Flat S10</t>
        </is>
      </c>
      <c r="K45" s="184" t="n"/>
      <c r="L45" s="46" t="n">
        <v>0</v>
      </c>
      <c r="O45" s="104" t="n"/>
      <c r="P45" s="104" t="n"/>
    </row>
    <row r="46">
      <c r="A46" s="223" t="inlineStr">
        <is>
          <t>Flat S11</t>
        </is>
      </c>
      <c r="B46" s="40" t="n">
        <v>0</v>
      </c>
      <c r="C46" s="46">
        <f>'INCOME-EXPENSE-CYCLES'!AH45+'INCOME-EXPENSE-CYCLES'!AL45+'INCOME-EXPENSE-CYCLES'!AP45+'INCOME-EXPENSE-CYCLES'!AT45+'INCOME-EXPENSE-CYCLES'!AX45</f>
        <v/>
      </c>
      <c r="D46" s="46">
        <f>'INCOME-EXPENSE-CYCLES'!AG45+'INCOME-EXPENSE-CYCLES'!AK45+'INCOME-EXPENSE-CYCLES'!AO45+'INCOME-EXPENSE-CYCLES'!AS45+'INCOME-EXPENSE-CYCLES'!AW45</f>
        <v/>
      </c>
      <c r="E46" s="179" t="n">
        <v>0</v>
      </c>
      <c r="F46" s="227">
        <f>(D46-C46)+B46+E46</f>
        <v/>
      </c>
      <c r="G46" s="184" t="n"/>
      <c r="I46" s="223" t="n"/>
      <c r="J46" s="223" t="inlineStr">
        <is>
          <t>Flat S11</t>
        </is>
      </c>
      <c r="K46" s="184" t="n"/>
      <c r="L46" s="46" t="n">
        <v>0</v>
      </c>
      <c r="O46" s="104" t="n"/>
      <c r="P46" s="104" t="n"/>
    </row>
    <row r="47">
      <c r="A47" s="223" t="inlineStr">
        <is>
          <t>Flat S12</t>
        </is>
      </c>
      <c r="B47" s="40" t="n">
        <v>0</v>
      </c>
      <c r="C47" s="46">
        <f>'INCOME-EXPENSE-CYCLES'!AH46+'INCOME-EXPENSE-CYCLES'!AL46+'INCOME-EXPENSE-CYCLES'!AP46+'INCOME-EXPENSE-CYCLES'!AT46+'INCOME-EXPENSE-CYCLES'!AX46</f>
        <v/>
      </c>
      <c r="D47" s="46">
        <f>'INCOME-EXPENSE-CYCLES'!AG46+'INCOME-EXPENSE-CYCLES'!AK46+'INCOME-EXPENSE-CYCLES'!AO46+'INCOME-EXPENSE-CYCLES'!AS46+'INCOME-EXPENSE-CYCLES'!AW46</f>
        <v/>
      </c>
      <c r="E47" s="179" t="n">
        <v>0</v>
      </c>
      <c r="F47" s="227">
        <f>(D47-C47)+B47+E47</f>
        <v/>
      </c>
      <c r="G47" s="184" t="n"/>
      <c r="I47" s="223" t="n"/>
      <c r="J47" s="223" t="inlineStr">
        <is>
          <t>Flat S12</t>
        </is>
      </c>
      <c r="K47" s="184" t="n"/>
      <c r="L47" s="46" t="n">
        <v>0</v>
      </c>
      <c r="O47" s="104" t="n"/>
      <c r="P47" s="104" t="n"/>
    </row>
    <row r="48">
      <c r="A48" s="223" t="inlineStr">
        <is>
          <t>Flat S13</t>
        </is>
      </c>
      <c r="B48" s="40" t="n">
        <v>0</v>
      </c>
      <c r="C48" s="46">
        <f>'INCOME-EXPENSE-CYCLES'!AH47+'INCOME-EXPENSE-CYCLES'!AL47+'INCOME-EXPENSE-CYCLES'!AP47+'INCOME-EXPENSE-CYCLES'!AT47+'INCOME-EXPENSE-CYCLES'!AX47</f>
        <v/>
      </c>
      <c r="D48" s="46">
        <f>'INCOME-EXPENSE-CYCLES'!AG47+'INCOME-EXPENSE-CYCLES'!AK47+'INCOME-EXPENSE-CYCLES'!AO47+'INCOME-EXPENSE-CYCLES'!AS47+'INCOME-EXPENSE-CYCLES'!AW47</f>
        <v/>
      </c>
      <c r="E48" s="179" t="n">
        <v>0</v>
      </c>
      <c r="F48" s="227">
        <f>(D48-C48)+B48+E48</f>
        <v/>
      </c>
      <c r="G48" s="184" t="n"/>
      <c r="I48" s="223" t="n"/>
      <c r="J48" s="223" t="inlineStr">
        <is>
          <t>Flat S13</t>
        </is>
      </c>
      <c r="K48" s="184" t="n"/>
      <c r="L48" s="46" t="n">
        <v>0</v>
      </c>
      <c r="O48" s="104" t="n"/>
      <c r="P48" s="104" t="n"/>
    </row>
    <row r="49">
      <c r="A49" s="223" t="inlineStr">
        <is>
          <t>Flat S14</t>
        </is>
      </c>
      <c r="B49" s="40" t="n">
        <v>0</v>
      </c>
      <c r="C49" s="46">
        <f>'INCOME-EXPENSE-CYCLES'!AH48+'INCOME-EXPENSE-CYCLES'!AL48+'INCOME-EXPENSE-CYCLES'!AP48+'INCOME-EXPENSE-CYCLES'!AT48+'INCOME-EXPENSE-CYCLES'!AX48</f>
        <v/>
      </c>
      <c r="D49" s="46">
        <f>'INCOME-EXPENSE-CYCLES'!AG48+'INCOME-EXPENSE-CYCLES'!AK48+'INCOME-EXPENSE-CYCLES'!AO48+'INCOME-EXPENSE-CYCLES'!AS48+'INCOME-EXPENSE-CYCLES'!AW48</f>
        <v/>
      </c>
      <c r="E49" s="179" t="n">
        <v>0</v>
      </c>
      <c r="F49" s="227">
        <f>(D49-C49)+B49+E49</f>
        <v/>
      </c>
      <c r="G49" s="184" t="n"/>
      <c r="I49" s="223" t="n"/>
      <c r="J49" s="223" t="inlineStr">
        <is>
          <t>Flat S14</t>
        </is>
      </c>
      <c r="K49" s="184" t="n"/>
      <c r="L49" s="46" t="n">
        <v>0</v>
      </c>
      <c r="O49" s="104" t="n"/>
      <c r="P49" s="104" t="n"/>
    </row>
    <row r="50">
      <c r="A50" s="223" t="inlineStr">
        <is>
          <t>Flat S15</t>
        </is>
      </c>
      <c r="B50" s="40" t="n">
        <v>0</v>
      </c>
      <c r="C50" s="46">
        <f>'INCOME-EXPENSE-CYCLES'!AH49+'INCOME-EXPENSE-CYCLES'!AL49+'INCOME-EXPENSE-CYCLES'!AP49+'INCOME-EXPENSE-CYCLES'!AT49+'INCOME-EXPENSE-CYCLES'!AX49</f>
        <v/>
      </c>
      <c r="D50" s="46">
        <f>'INCOME-EXPENSE-CYCLES'!AG49+'INCOME-EXPENSE-CYCLES'!AK49+'INCOME-EXPENSE-CYCLES'!AO49+'INCOME-EXPENSE-CYCLES'!AS49+'INCOME-EXPENSE-CYCLES'!AW49</f>
        <v/>
      </c>
      <c r="E50" s="179" t="n">
        <v>0</v>
      </c>
      <c r="F50" s="227">
        <f>(D50-C50)+B50+E50</f>
        <v/>
      </c>
      <c r="G50" s="184" t="n"/>
      <c r="I50" s="223" t="n"/>
      <c r="J50" s="223" t="inlineStr">
        <is>
          <t>Flat S15</t>
        </is>
      </c>
      <c r="K50" s="184" t="n"/>
      <c r="L50" s="46" t="n">
        <v>0</v>
      </c>
      <c r="O50" s="104" t="n"/>
      <c r="P50" s="104" t="n"/>
    </row>
    <row r="51">
      <c r="A51" s="223" t="inlineStr">
        <is>
          <t>Flat S16</t>
        </is>
      </c>
      <c r="B51" s="40" t="n">
        <v>0</v>
      </c>
      <c r="C51" s="46">
        <f>'INCOME-EXPENSE-CYCLES'!AH50+'INCOME-EXPENSE-CYCLES'!AL50+'INCOME-EXPENSE-CYCLES'!AP50+'INCOME-EXPENSE-CYCLES'!AT50+'INCOME-EXPENSE-CYCLES'!AX50</f>
        <v/>
      </c>
      <c r="D51" s="46">
        <f>'INCOME-EXPENSE-CYCLES'!AG50+'INCOME-EXPENSE-CYCLES'!AK50+'INCOME-EXPENSE-CYCLES'!AO50+'INCOME-EXPENSE-CYCLES'!AS50+'INCOME-EXPENSE-CYCLES'!AW50</f>
        <v/>
      </c>
      <c r="E51" s="179" t="n">
        <v>0</v>
      </c>
      <c r="F51" s="227">
        <f>(D51-C51)+B51+E51</f>
        <v/>
      </c>
      <c r="G51" s="184" t="n"/>
      <c r="I51" s="223" t="n"/>
      <c r="J51" s="223" t="inlineStr">
        <is>
          <t>Flat S16</t>
        </is>
      </c>
      <c r="K51" s="184" t="n"/>
      <c r="L51" s="46" t="n">
        <v>0</v>
      </c>
      <c r="O51" s="104" t="n"/>
      <c r="P51" s="104" t="n"/>
    </row>
    <row r="52">
      <c r="A52" s="223" t="inlineStr">
        <is>
          <t>Flat T1</t>
        </is>
      </c>
      <c r="B52" s="40" t="n">
        <v>0</v>
      </c>
      <c r="C52" s="46">
        <f>'INCOME-EXPENSE-CYCLES'!AH51+'INCOME-EXPENSE-CYCLES'!AL51+'INCOME-EXPENSE-CYCLES'!AP51+'INCOME-EXPENSE-CYCLES'!AT51+'INCOME-EXPENSE-CYCLES'!AX51</f>
        <v/>
      </c>
      <c r="D52" s="46">
        <f>'INCOME-EXPENSE-CYCLES'!AG51+'INCOME-EXPENSE-CYCLES'!AK51+'INCOME-EXPENSE-CYCLES'!AO51+'INCOME-EXPENSE-CYCLES'!AS51+'INCOME-EXPENSE-CYCLES'!AW51</f>
        <v/>
      </c>
      <c r="E52" s="179" t="n">
        <v>0</v>
      </c>
      <c r="F52" s="227">
        <f>(D52-C52)+B52+E52</f>
        <v/>
      </c>
      <c r="G52" s="184" t="n"/>
      <c r="I52" s="223" t="n"/>
      <c r="J52" s="223" t="inlineStr">
        <is>
          <t>Flat T1</t>
        </is>
      </c>
      <c r="K52" s="184" t="n"/>
      <c r="L52" s="46" t="n">
        <v>0</v>
      </c>
      <c r="O52" s="104" t="n"/>
      <c r="P52" s="104" t="n"/>
    </row>
    <row r="53">
      <c r="A53" s="223" t="inlineStr">
        <is>
          <t>Flat T2</t>
        </is>
      </c>
      <c r="B53" s="40" t="n">
        <v>0</v>
      </c>
      <c r="C53" s="46">
        <f>'INCOME-EXPENSE-CYCLES'!AH52+'INCOME-EXPENSE-CYCLES'!AL52+'INCOME-EXPENSE-CYCLES'!AP52+'INCOME-EXPENSE-CYCLES'!AT52+'INCOME-EXPENSE-CYCLES'!AX52</f>
        <v/>
      </c>
      <c r="D53" s="46">
        <f>'INCOME-EXPENSE-CYCLES'!AG52+'INCOME-EXPENSE-CYCLES'!AK52+'INCOME-EXPENSE-CYCLES'!AO52+'INCOME-EXPENSE-CYCLES'!AS52+'INCOME-EXPENSE-CYCLES'!AW52</f>
        <v/>
      </c>
      <c r="E53" s="179" t="n">
        <v>0</v>
      </c>
      <c r="F53" s="227">
        <f>(D53-C53)+B53+E53</f>
        <v/>
      </c>
      <c r="G53" s="184" t="n"/>
      <c r="I53" s="223" t="n"/>
      <c r="J53" s="223" t="inlineStr">
        <is>
          <t>Flat T2</t>
        </is>
      </c>
      <c r="K53" s="184" t="n"/>
      <c r="L53" s="46" t="n">
        <v>0</v>
      </c>
      <c r="O53" s="104" t="n"/>
      <c r="P53" s="104" t="n"/>
    </row>
    <row r="54">
      <c r="A54" s="223" t="inlineStr">
        <is>
          <t>Flat T3</t>
        </is>
      </c>
      <c r="B54" s="40" t="n">
        <v>0</v>
      </c>
      <c r="C54" s="46">
        <f>'INCOME-EXPENSE-CYCLES'!AH53+'INCOME-EXPENSE-CYCLES'!AL53+'INCOME-EXPENSE-CYCLES'!AP53+'INCOME-EXPENSE-CYCLES'!AT53+'INCOME-EXPENSE-CYCLES'!AX53</f>
        <v/>
      </c>
      <c r="D54" s="46">
        <f>'INCOME-EXPENSE-CYCLES'!AG53+'INCOME-EXPENSE-CYCLES'!AK53+'INCOME-EXPENSE-CYCLES'!AO53+'INCOME-EXPENSE-CYCLES'!AS53+'INCOME-EXPENSE-CYCLES'!AW53</f>
        <v/>
      </c>
      <c r="E54" s="179" t="n">
        <v>0</v>
      </c>
      <c r="F54" s="227">
        <f>(D54-C54)+B54+E54</f>
        <v/>
      </c>
      <c r="G54" s="184" t="n"/>
      <c r="I54" s="223" t="n"/>
      <c r="J54" s="223" t="inlineStr">
        <is>
          <t>Flat T3</t>
        </is>
      </c>
      <c r="K54" s="184" t="n"/>
      <c r="L54" s="46" t="n">
        <v>0</v>
      </c>
      <c r="O54" s="104" t="n"/>
      <c r="P54" s="104" t="n"/>
    </row>
    <row r="55">
      <c r="A55" s="223" t="inlineStr">
        <is>
          <t>Flat T4</t>
        </is>
      </c>
      <c r="B55" s="40" t="n">
        <v>0</v>
      </c>
      <c r="C55" s="46">
        <f>'INCOME-EXPENSE-CYCLES'!AH54+'INCOME-EXPENSE-CYCLES'!AL54+'INCOME-EXPENSE-CYCLES'!AP54+'INCOME-EXPENSE-CYCLES'!AT54+'INCOME-EXPENSE-CYCLES'!AX54</f>
        <v/>
      </c>
      <c r="D55" s="46">
        <f>'INCOME-EXPENSE-CYCLES'!AG54+'INCOME-EXPENSE-CYCLES'!AK54+'INCOME-EXPENSE-CYCLES'!AO54+'INCOME-EXPENSE-CYCLES'!AS54+'INCOME-EXPENSE-CYCLES'!AW54</f>
        <v/>
      </c>
      <c r="E55" s="179" t="n">
        <v>0</v>
      </c>
      <c r="F55" s="227">
        <f>(D55-C55)+B55+E55</f>
        <v/>
      </c>
      <c r="G55" s="184" t="n"/>
      <c r="I55" s="223" t="n"/>
      <c r="J55" s="223" t="inlineStr">
        <is>
          <t>Flat T4</t>
        </is>
      </c>
      <c r="K55" s="184" t="n"/>
      <c r="L55" s="46" t="n">
        <v>0</v>
      </c>
      <c r="O55" s="104" t="n"/>
      <c r="P55" s="104" t="n"/>
    </row>
    <row r="56">
      <c r="A56" s="223" t="inlineStr">
        <is>
          <t>Flat T5</t>
        </is>
      </c>
      <c r="B56" s="40" t="n">
        <v>0</v>
      </c>
      <c r="C56" s="46">
        <f>'INCOME-EXPENSE-CYCLES'!AH55+'INCOME-EXPENSE-CYCLES'!AL55+'INCOME-EXPENSE-CYCLES'!AP55+'INCOME-EXPENSE-CYCLES'!AT55+'INCOME-EXPENSE-CYCLES'!AX55</f>
        <v/>
      </c>
      <c r="D56" s="46">
        <f>'INCOME-EXPENSE-CYCLES'!AG55+'INCOME-EXPENSE-CYCLES'!AK55+'INCOME-EXPENSE-CYCLES'!AO55+'INCOME-EXPENSE-CYCLES'!AS55+'INCOME-EXPENSE-CYCLES'!AW55</f>
        <v/>
      </c>
      <c r="E56" s="179" t="n">
        <v>0</v>
      </c>
      <c r="F56" s="227">
        <f>(D56-C56)+B56+E56</f>
        <v/>
      </c>
      <c r="G56" s="184" t="n"/>
      <c r="I56" s="223" t="n"/>
      <c r="J56" s="223" t="inlineStr">
        <is>
          <t>Flat T5</t>
        </is>
      </c>
      <c r="K56" s="184" t="n"/>
      <c r="L56" s="46" t="n">
        <v>0</v>
      </c>
      <c r="O56" s="104" t="n"/>
      <c r="P56" s="104" t="n"/>
    </row>
    <row r="57">
      <c r="A57" s="223" t="inlineStr">
        <is>
          <t>Flat T6</t>
        </is>
      </c>
      <c r="B57" s="40" t="n">
        <v>0</v>
      </c>
      <c r="C57" s="46">
        <f>'INCOME-EXPENSE-CYCLES'!AH56+'INCOME-EXPENSE-CYCLES'!AL56+'INCOME-EXPENSE-CYCLES'!AP56+'INCOME-EXPENSE-CYCLES'!AT56+'INCOME-EXPENSE-CYCLES'!AX56</f>
        <v/>
      </c>
      <c r="D57" s="46">
        <f>'INCOME-EXPENSE-CYCLES'!AG56+'INCOME-EXPENSE-CYCLES'!AK56+'INCOME-EXPENSE-CYCLES'!AO56+'INCOME-EXPENSE-CYCLES'!AS56+'INCOME-EXPENSE-CYCLES'!AW56</f>
        <v/>
      </c>
      <c r="E57" s="179" t="n">
        <v>0</v>
      </c>
      <c r="F57" s="227">
        <f>(D57-C57)+B57+E57</f>
        <v/>
      </c>
      <c r="G57" s="184" t="n"/>
      <c r="I57" s="223" t="n"/>
      <c r="J57" s="223" t="inlineStr">
        <is>
          <t>Flat T6</t>
        </is>
      </c>
      <c r="K57" s="184" t="n"/>
      <c r="L57" s="46" t="n">
        <v>0</v>
      </c>
      <c r="O57" s="104" t="n"/>
      <c r="P57" s="104" t="n"/>
    </row>
    <row r="58">
      <c r="A58" s="223" t="inlineStr">
        <is>
          <t>Flat T7</t>
        </is>
      </c>
      <c r="B58" s="40" t="n">
        <v>0</v>
      </c>
      <c r="C58" s="46">
        <f>'INCOME-EXPENSE-CYCLES'!AH57+'INCOME-EXPENSE-CYCLES'!AL57+'INCOME-EXPENSE-CYCLES'!AP57+'INCOME-EXPENSE-CYCLES'!AT57+'INCOME-EXPENSE-CYCLES'!AX57</f>
        <v/>
      </c>
      <c r="D58" s="46">
        <f>'INCOME-EXPENSE-CYCLES'!AG57+'INCOME-EXPENSE-CYCLES'!AK57+'INCOME-EXPENSE-CYCLES'!AO57+'INCOME-EXPENSE-CYCLES'!AS57+'INCOME-EXPENSE-CYCLES'!AW57</f>
        <v/>
      </c>
      <c r="E58" s="179" t="n">
        <v>0</v>
      </c>
      <c r="F58" s="227">
        <f>(D58-C58)+B58+E58</f>
        <v/>
      </c>
      <c r="G58" s="184" t="n"/>
      <c r="I58" s="223" t="n"/>
      <c r="J58" s="223" t="inlineStr">
        <is>
          <t>Flat T7</t>
        </is>
      </c>
      <c r="K58" s="184" t="n"/>
      <c r="L58" s="46" t="n">
        <v>0</v>
      </c>
      <c r="O58" s="104" t="n"/>
      <c r="P58" s="104" t="n"/>
    </row>
    <row r="59">
      <c r="A59" s="223" t="inlineStr">
        <is>
          <t>Flat T8</t>
        </is>
      </c>
      <c r="B59" s="40" t="n">
        <v>0</v>
      </c>
      <c r="C59" s="46">
        <f>'INCOME-EXPENSE-CYCLES'!AH58+'INCOME-EXPENSE-CYCLES'!AL58+'INCOME-EXPENSE-CYCLES'!AP58+'INCOME-EXPENSE-CYCLES'!AT58+'INCOME-EXPENSE-CYCLES'!AX58</f>
        <v/>
      </c>
      <c r="D59" s="46">
        <f>'INCOME-EXPENSE-CYCLES'!AG58+'INCOME-EXPENSE-CYCLES'!AK58+'INCOME-EXPENSE-CYCLES'!AO58+'INCOME-EXPENSE-CYCLES'!AS58+'INCOME-EXPENSE-CYCLES'!AW58</f>
        <v/>
      </c>
      <c r="E59" s="179" t="n">
        <v>0</v>
      </c>
      <c r="F59" s="227">
        <f>(D59-C59)+B59+E59</f>
        <v/>
      </c>
      <c r="G59" s="184" t="n"/>
      <c r="I59" s="223" t="n"/>
      <c r="J59" s="223" t="inlineStr">
        <is>
          <t>Flat T8</t>
        </is>
      </c>
      <c r="K59" s="184" t="n"/>
      <c r="L59" s="46" t="n">
        <v>0</v>
      </c>
      <c r="O59" s="104" t="n"/>
      <c r="P59" s="104" t="n"/>
    </row>
    <row r="60">
      <c r="A60" s="223" t="inlineStr">
        <is>
          <t>Flat T9</t>
        </is>
      </c>
      <c r="B60" s="40" t="n">
        <v>0</v>
      </c>
      <c r="C60" s="46">
        <f>'INCOME-EXPENSE-CYCLES'!AH59+'INCOME-EXPENSE-CYCLES'!AL59+'INCOME-EXPENSE-CYCLES'!AP59+'INCOME-EXPENSE-CYCLES'!AT59+'INCOME-EXPENSE-CYCLES'!AX59</f>
        <v/>
      </c>
      <c r="D60" s="46">
        <f>'INCOME-EXPENSE-CYCLES'!AG59+'INCOME-EXPENSE-CYCLES'!AK59+'INCOME-EXPENSE-CYCLES'!AO59+'INCOME-EXPENSE-CYCLES'!AS59+'INCOME-EXPENSE-CYCLES'!AW59</f>
        <v/>
      </c>
      <c r="E60" s="179" t="n">
        <v>0</v>
      </c>
      <c r="F60" s="227">
        <f>(D60-C60)+B60+E60</f>
        <v/>
      </c>
      <c r="G60" s="184" t="n"/>
      <c r="I60" s="223" t="n"/>
      <c r="J60" s="223" t="inlineStr">
        <is>
          <t>Flat T9</t>
        </is>
      </c>
      <c r="K60" s="184" t="n"/>
      <c r="L60" s="46" t="n">
        <v>0</v>
      </c>
      <c r="O60" s="104" t="n"/>
      <c r="P60" s="104" t="n"/>
    </row>
    <row r="61">
      <c r="A61" s="223" t="inlineStr">
        <is>
          <t>Flat T10</t>
        </is>
      </c>
      <c r="B61" s="40" t="n">
        <v>0</v>
      </c>
      <c r="C61" s="46">
        <f>'INCOME-EXPENSE-CYCLES'!AH60+'INCOME-EXPENSE-CYCLES'!AL60+'INCOME-EXPENSE-CYCLES'!AP60+'INCOME-EXPENSE-CYCLES'!AT60+'INCOME-EXPENSE-CYCLES'!AX60</f>
        <v/>
      </c>
      <c r="D61" s="46">
        <f>'INCOME-EXPENSE-CYCLES'!AG60+'INCOME-EXPENSE-CYCLES'!AK60+'INCOME-EXPENSE-CYCLES'!AO60+'INCOME-EXPENSE-CYCLES'!AS60+'INCOME-EXPENSE-CYCLES'!AW60</f>
        <v/>
      </c>
      <c r="E61" s="179" t="n">
        <v>0</v>
      </c>
      <c r="F61" s="227">
        <f>(D61-C61)+B61+E61</f>
        <v/>
      </c>
      <c r="G61" s="184" t="n"/>
      <c r="I61" s="223" t="n"/>
      <c r="J61" s="223" t="inlineStr">
        <is>
          <t>Flat T10</t>
        </is>
      </c>
      <c r="K61" s="184" t="n"/>
      <c r="L61" s="46" t="n">
        <v>0</v>
      </c>
      <c r="O61" s="104" t="n"/>
      <c r="P61" s="104" t="n"/>
    </row>
    <row r="62">
      <c r="A62" s="223" t="inlineStr">
        <is>
          <t>Flat T11</t>
        </is>
      </c>
      <c r="B62" s="40" t="n">
        <v>0</v>
      </c>
      <c r="C62" s="46">
        <f>'INCOME-EXPENSE-CYCLES'!AH61+'INCOME-EXPENSE-CYCLES'!AL61+'INCOME-EXPENSE-CYCLES'!AP61+'INCOME-EXPENSE-CYCLES'!AT61+'INCOME-EXPENSE-CYCLES'!AX61</f>
        <v/>
      </c>
      <c r="D62" s="46">
        <f>'INCOME-EXPENSE-CYCLES'!AG61+'INCOME-EXPENSE-CYCLES'!AK61+'INCOME-EXPENSE-CYCLES'!AO61+'INCOME-EXPENSE-CYCLES'!AS61+'INCOME-EXPENSE-CYCLES'!AW61</f>
        <v/>
      </c>
      <c r="E62" s="179" t="n">
        <v>0</v>
      </c>
      <c r="F62" s="227">
        <f>(D62-C62)+B62+E62</f>
        <v/>
      </c>
      <c r="G62" s="184" t="n"/>
      <c r="I62" s="223" t="n"/>
      <c r="J62" s="223" t="inlineStr">
        <is>
          <t>Flat T11</t>
        </is>
      </c>
      <c r="K62" s="184" t="n"/>
      <c r="L62" s="46" t="n">
        <v>0</v>
      </c>
      <c r="O62" s="104" t="n"/>
      <c r="P62" s="104" t="n"/>
    </row>
    <row r="63">
      <c r="A63" s="223" t="inlineStr">
        <is>
          <t>Flat T12</t>
        </is>
      </c>
      <c r="B63" s="40" t="n">
        <v>0</v>
      </c>
      <c r="C63" s="46">
        <f>'INCOME-EXPENSE-CYCLES'!AH62+'INCOME-EXPENSE-CYCLES'!AL62+'INCOME-EXPENSE-CYCLES'!AP62+'INCOME-EXPENSE-CYCLES'!AT62+'INCOME-EXPENSE-CYCLES'!AX62</f>
        <v/>
      </c>
      <c r="D63" s="46">
        <f>'INCOME-EXPENSE-CYCLES'!AG62+'INCOME-EXPENSE-CYCLES'!AK62+'INCOME-EXPENSE-CYCLES'!AO62+'INCOME-EXPENSE-CYCLES'!AS62+'INCOME-EXPENSE-CYCLES'!AW62</f>
        <v/>
      </c>
      <c r="E63" s="179" t="n">
        <v>0</v>
      </c>
      <c r="F63" s="227">
        <f>(D63-C63)+B63+E63</f>
        <v/>
      </c>
      <c r="G63" s="184" t="n"/>
      <c r="I63" s="223" t="n"/>
      <c r="J63" s="223" t="inlineStr">
        <is>
          <t>Flat T12</t>
        </is>
      </c>
      <c r="K63" s="184" t="n"/>
      <c r="L63" s="46" t="n">
        <v>0</v>
      </c>
      <c r="O63" s="104" t="n"/>
      <c r="P63" s="104" t="n"/>
    </row>
    <row r="64">
      <c r="A64" s="223" t="inlineStr">
        <is>
          <t>Flat T13</t>
        </is>
      </c>
      <c r="B64" s="40" t="n">
        <v>0</v>
      </c>
      <c r="C64" s="46">
        <f>'INCOME-EXPENSE-CYCLES'!AH63+'INCOME-EXPENSE-CYCLES'!AL63+'INCOME-EXPENSE-CYCLES'!AP63+'INCOME-EXPENSE-CYCLES'!AT63+'INCOME-EXPENSE-CYCLES'!AX63</f>
        <v/>
      </c>
      <c r="D64" s="46">
        <f>'INCOME-EXPENSE-CYCLES'!AG63+'INCOME-EXPENSE-CYCLES'!AK63+'INCOME-EXPENSE-CYCLES'!AO63+'INCOME-EXPENSE-CYCLES'!AS63+'INCOME-EXPENSE-CYCLES'!AW63</f>
        <v/>
      </c>
      <c r="E64" s="179" t="n">
        <v>0</v>
      </c>
      <c r="F64" s="227">
        <f>(D64-C64)+B64+E64</f>
        <v/>
      </c>
      <c r="G64" s="184" t="n"/>
      <c r="I64" s="223" t="n"/>
      <c r="J64" s="223" t="inlineStr">
        <is>
          <t>Flat T13</t>
        </is>
      </c>
      <c r="K64" s="184" t="n"/>
      <c r="L64" s="46" t="n">
        <v>0</v>
      </c>
      <c r="O64" s="104" t="n"/>
      <c r="P64" s="104" t="n"/>
    </row>
    <row r="65">
      <c r="A65" s="223" t="inlineStr">
        <is>
          <t>Flat T14</t>
        </is>
      </c>
      <c r="B65" s="40" t="n">
        <v>0</v>
      </c>
      <c r="C65" s="46">
        <f>'INCOME-EXPENSE-CYCLES'!AH64+'INCOME-EXPENSE-CYCLES'!AL64+'INCOME-EXPENSE-CYCLES'!AP64+'INCOME-EXPENSE-CYCLES'!AT64+'INCOME-EXPENSE-CYCLES'!AX64</f>
        <v/>
      </c>
      <c r="D65" s="46">
        <f>'INCOME-EXPENSE-CYCLES'!AG64+'INCOME-EXPENSE-CYCLES'!AK64+'INCOME-EXPENSE-CYCLES'!AO64+'INCOME-EXPENSE-CYCLES'!AS64+'INCOME-EXPENSE-CYCLES'!AW64</f>
        <v/>
      </c>
      <c r="E65" s="179" t="n">
        <v>0</v>
      </c>
      <c r="F65" s="227">
        <f>(D65-C65)+B65+E65</f>
        <v/>
      </c>
      <c r="G65" s="184" t="n"/>
      <c r="I65" s="223" t="n"/>
      <c r="J65" s="223" t="inlineStr">
        <is>
          <t>Flat T14</t>
        </is>
      </c>
      <c r="K65" s="184" t="n"/>
      <c r="L65" s="46" t="n">
        <v>0</v>
      </c>
      <c r="O65" s="104" t="n"/>
      <c r="P65" s="104" t="n"/>
    </row>
    <row r="66">
      <c r="A66" s="223" t="inlineStr">
        <is>
          <t>Flat T15</t>
        </is>
      </c>
      <c r="B66" s="40" t="n">
        <v>0</v>
      </c>
      <c r="C66" s="46">
        <f>'INCOME-EXPENSE-CYCLES'!AH65+'INCOME-EXPENSE-CYCLES'!AL65+'INCOME-EXPENSE-CYCLES'!AP65+'INCOME-EXPENSE-CYCLES'!AT65+'INCOME-EXPENSE-CYCLES'!AX65</f>
        <v/>
      </c>
      <c r="D66" s="46">
        <f>'INCOME-EXPENSE-CYCLES'!AG65+'INCOME-EXPENSE-CYCLES'!AK65+'INCOME-EXPENSE-CYCLES'!AO65+'INCOME-EXPENSE-CYCLES'!AS65+'INCOME-EXPENSE-CYCLES'!AW65</f>
        <v/>
      </c>
      <c r="E66" s="179" t="n">
        <v>0</v>
      </c>
      <c r="F66" s="227">
        <f>(D66-C66)+B66+E66</f>
        <v/>
      </c>
      <c r="G66" s="184" t="n"/>
      <c r="I66" s="223" t="n"/>
      <c r="J66" s="223" t="inlineStr">
        <is>
          <t>Flat T15</t>
        </is>
      </c>
      <c r="K66" s="184" t="n"/>
      <c r="L66" s="46" t="n">
        <v>0</v>
      </c>
      <c r="O66" s="104" t="n"/>
      <c r="P66" s="104" t="n"/>
    </row>
    <row r="67">
      <c r="A67" s="223" t="inlineStr">
        <is>
          <t>Flat T16</t>
        </is>
      </c>
      <c r="B67" s="40" t="n">
        <v>0</v>
      </c>
      <c r="C67" s="46">
        <f>'INCOME-EXPENSE-CYCLES'!AH66+'INCOME-EXPENSE-CYCLES'!AL66+'INCOME-EXPENSE-CYCLES'!AP66+'INCOME-EXPENSE-CYCLES'!AT66+'INCOME-EXPENSE-CYCLES'!AX66</f>
        <v/>
      </c>
      <c r="D67" s="46">
        <f>'INCOME-EXPENSE-CYCLES'!AG66+'INCOME-EXPENSE-CYCLES'!AK66+'INCOME-EXPENSE-CYCLES'!AO66+'INCOME-EXPENSE-CYCLES'!AS66+'INCOME-EXPENSE-CYCLES'!AW66</f>
        <v/>
      </c>
      <c r="E67" s="179" t="n">
        <v>0</v>
      </c>
      <c r="F67" s="227">
        <f>(D67-C67)+B67+E67</f>
        <v/>
      </c>
      <c r="G67" s="184" t="n"/>
      <c r="I67" s="223" t="n"/>
      <c r="J67" s="223" t="inlineStr">
        <is>
          <t>Flat T16</t>
        </is>
      </c>
      <c r="K67" s="184" t="n"/>
      <c r="L67" s="46" t="n">
        <v>0</v>
      </c>
      <c r="O67" s="104" t="n"/>
      <c r="P67" s="104" t="n"/>
    </row>
    <row r="68">
      <c r="F68" s="222" t="n"/>
      <c r="O68" s="104" t="n"/>
      <c r="P68" s="104" t="n"/>
    </row>
    <row r="69">
      <c r="F69" s="222" t="n"/>
      <c r="O69" s="104" t="n"/>
      <c r="P69" s="104" t="n"/>
    </row>
    <row r="70">
      <c r="F70" s="222" t="n"/>
    </row>
    <row r="71">
      <c r="F71" s="222" t="n"/>
    </row>
    <row r="72">
      <c r="F72" s="222" t="n"/>
    </row>
    <row r="73">
      <c r="F73" s="222" t="n"/>
    </row>
    <row r="74">
      <c r="F74" s="222" t="n"/>
    </row>
    <row r="75">
      <c r="F75" s="222" t="n"/>
    </row>
    <row r="76">
      <c r="F76" s="222" t="n"/>
    </row>
    <row r="77">
      <c r="F77" s="222" t="n"/>
    </row>
    <row r="78">
      <c r="F78" s="222" t="n"/>
    </row>
    <row r="79">
      <c r="F79" s="222" t="n"/>
    </row>
    <row r="80">
      <c r="F80" s="222" t="n"/>
    </row>
    <row r="81">
      <c r="F81" s="222" t="n"/>
    </row>
    <row r="82">
      <c r="F82" s="222" t="n"/>
    </row>
    <row r="83">
      <c r="F83" s="222" t="n"/>
    </row>
    <row r="84">
      <c r="F84" s="222" t="n"/>
    </row>
    <row r="85">
      <c r="F85" s="222" t="n"/>
    </row>
    <row r="86">
      <c r="F86" s="222" t="n"/>
    </row>
    <row r="87">
      <c r="F87" s="222" t="n"/>
    </row>
    <row r="88">
      <c r="F88" s="222" t="n"/>
    </row>
    <row r="89">
      <c r="F89" s="222" t="n"/>
    </row>
    <row r="90">
      <c r="F90" s="222" t="n"/>
    </row>
    <row r="91">
      <c r="F91" s="222" t="n"/>
    </row>
    <row r="92">
      <c r="F92" s="222" t="n"/>
    </row>
    <row r="93">
      <c r="F93" s="222" t="n"/>
    </row>
    <row r="94">
      <c r="F94" s="222" t="n"/>
    </row>
    <row r="95">
      <c r="F95" s="222" t="n"/>
    </row>
    <row r="96">
      <c r="F96" s="222" t="n"/>
    </row>
    <row r="97">
      <c r="F97" s="222" t="n"/>
    </row>
    <row r="98">
      <c r="F98" s="222" t="n"/>
    </row>
    <row r="99">
      <c r="F99" s="222" t="n"/>
    </row>
    <row r="100">
      <c r="F100" s="222" t="n"/>
    </row>
    <row r="101">
      <c r="F101" s="222" t="n"/>
    </row>
    <row r="102">
      <c r="F102" s="222" t="n"/>
    </row>
    <row r="103">
      <c r="F103" s="222" t="n"/>
    </row>
    <row r="104">
      <c r="F104" s="222" t="n"/>
    </row>
    <row r="105">
      <c r="F105" s="222" t="n"/>
    </row>
    <row r="106">
      <c r="F106" s="222" t="n"/>
    </row>
    <row r="107">
      <c r="F107" s="222" t="n"/>
    </row>
    <row r="108">
      <c r="F108" s="222" t="n"/>
    </row>
    <row r="109">
      <c r="F109" s="222" t="n"/>
    </row>
    <row r="110">
      <c r="F110" s="222" t="n"/>
    </row>
    <row r="111">
      <c r="F111" s="222" t="n"/>
    </row>
    <row r="112">
      <c r="F112" s="222" t="n"/>
    </row>
    <row r="113">
      <c r="F113" s="222" t="n"/>
    </row>
    <row r="114">
      <c r="F114" s="222" t="n"/>
    </row>
    <row r="115">
      <c r="F115" s="222" t="n"/>
    </row>
    <row r="116">
      <c r="F116" s="222" t="n"/>
    </row>
    <row r="117">
      <c r="F117" s="222" t="n"/>
    </row>
    <row r="118">
      <c r="F118" s="222" t="n"/>
    </row>
    <row r="119">
      <c r="F119" s="222" t="n"/>
    </row>
    <row r="120">
      <c r="F120" s="222" t="n"/>
    </row>
    <row r="121">
      <c r="F121" s="222" t="n"/>
    </row>
    <row r="122">
      <c r="F122" s="222" t="n"/>
    </row>
    <row r="123">
      <c r="F123" s="222" t="n"/>
    </row>
    <row r="124">
      <c r="F124" s="222" t="n"/>
    </row>
    <row r="125">
      <c r="F125" s="222" t="n"/>
    </row>
    <row r="126">
      <c r="F126" s="222" t="n"/>
    </row>
    <row r="127">
      <c r="F127" s="222" t="n"/>
    </row>
    <row r="128">
      <c r="F128" s="222" t="n"/>
    </row>
    <row r="129">
      <c r="F129" s="222" t="n"/>
    </row>
    <row r="130">
      <c r="F130" s="222" t="n"/>
    </row>
    <row r="131">
      <c r="F131" s="222" t="n"/>
    </row>
    <row r="132">
      <c r="F132" s="222" t="n"/>
    </row>
    <row r="133">
      <c r="F133" s="222" t="n"/>
    </row>
    <row r="134">
      <c r="F134" s="222" t="n"/>
    </row>
    <row r="135">
      <c r="F135" s="222" t="n"/>
    </row>
    <row r="136">
      <c r="F136" s="222" t="n"/>
    </row>
    <row r="137">
      <c r="F137" s="222" t="n"/>
    </row>
    <row r="138">
      <c r="F138" s="222" t="n"/>
    </row>
    <row r="139">
      <c r="F139" s="222" t="n"/>
    </row>
    <row r="140">
      <c r="F140" s="222" t="n"/>
    </row>
    <row r="141">
      <c r="F141" s="222" t="n"/>
    </row>
    <row r="142">
      <c r="F142" s="222" t="n"/>
    </row>
    <row r="143">
      <c r="F143" s="222" t="n"/>
    </row>
    <row r="144">
      <c r="F144" s="222" t="n"/>
    </row>
    <row r="145">
      <c r="F145" s="222" t="n"/>
    </row>
    <row r="146">
      <c r="F146" s="222" t="n"/>
    </row>
    <row r="147">
      <c r="F147" s="222" t="n"/>
    </row>
    <row r="148">
      <c r="F148" s="222" t="n"/>
    </row>
    <row r="149">
      <c r="F149" s="222" t="n"/>
    </row>
    <row r="150">
      <c r="F150" s="222" t="n"/>
    </row>
    <row r="151">
      <c r="F151" s="222" t="n"/>
    </row>
    <row r="152">
      <c r="F152" s="222" t="n"/>
    </row>
    <row r="153">
      <c r="F153" s="222" t="n"/>
    </row>
    <row r="154">
      <c r="F154" s="222" t="n"/>
    </row>
    <row r="155">
      <c r="F155" s="222" t="n"/>
    </row>
    <row r="156">
      <c r="F156" s="222" t="n"/>
    </row>
    <row r="157">
      <c r="F157" s="222" t="n"/>
    </row>
    <row r="158">
      <c r="F158" s="222" t="n"/>
    </row>
    <row r="159">
      <c r="F159" s="222" t="n"/>
    </row>
    <row r="160">
      <c r="F160" s="222" t="n"/>
    </row>
    <row r="161">
      <c r="F161" s="222" t="n"/>
    </row>
    <row r="162">
      <c r="F162" s="222" t="n"/>
    </row>
    <row r="163">
      <c r="F163" s="222" t="n"/>
    </row>
    <row r="164">
      <c r="F164" s="222" t="n"/>
    </row>
    <row r="165">
      <c r="F165" s="222" t="n"/>
    </row>
    <row r="166">
      <c r="F166" s="222" t="n"/>
    </row>
    <row r="167">
      <c r="F167" s="222" t="n"/>
    </row>
    <row r="168">
      <c r="F168" s="222" t="n"/>
    </row>
    <row r="169">
      <c r="F169" s="222" t="n"/>
    </row>
    <row r="170">
      <c r="F170" s="222" t="n"/>
    </row>
    <row r="171">
      <c r="F171" s="222" t="n"/>
    </row>
    <row r="172">
      <c r="F172" s="222" t="n"/>
    </row>
    <row r="173">
      <c r="F173" s="222" t="n"/>
    </row>
    <row r="174">
      <c r="F174" s="222" t="n"/>
    </row>
    <row r="175">
      <c r="F175" s="222" t="n"/>
    </row>
    <row r="176">
      <c r="F176" s="222" t="n"/>
    </row>
    <row r="177">
      <c r="F177" s="222" t="n"/>
    </row>
    <row r="178">
      <c r="F178" s="222" t="n"/>
    </row>
    <row r="179">
      <c r="F179" s="222" t="n"/>
    </row>
    <row r="180">
      <c r="F180" s="222" t="n"/>
    </row>
    <row r="181">
      <c r="F181" s="222" t="n"/>
    </row>
    <row r="182">
      <c r="F182" s="222" t="n"/>
    </row>
    <row r="183">
      <c r="F183" s="222" t="n"/>
    </row>
    <row r="184">
      <c r="F184" s="222" t="n"/>
    </row>
    <row r="185">
      <c r="F185" s="222" t="n"/>
    </row>
    <row r="186">
      <c r="F186" s="222" t="n"/>
    </row>
    <row r="187">
      <c r="F187" s="222" t="n"/>
    </row>
    <row r="188">
      <c r="F188" s="222" t="n"/>
    </row>
    <row r="189">
      <c r="F189" s="222" t="n"/>
    </row>
    <row r="190">
      <c r="F190" s="222" t="n"/>
    </row>
    <row r="191">
      <c r="F191" s="222" t="n"/>
    </row>
    <row r="192">
      <c r="F192" s="222" t="n"/>
    </row>
    <row r="193">
      <c r="F193" s="222" t="n"/>
    </row>
    <row r="194">
      <c r="F194" s="222" t="n"/>
    </row>
    <row r="195">
      <c r="F195" s="222" t="n"/>
    </row>
    <row r="196">
      <c r="F196" s="222" t="n"/>
    </row>
    <row r="197">
      <c r="F197" s="222" t="n"/>
    </row>
    <row r="198">
      <c r="F198" s="222" t="n"/>
    </row>
    <row r="199">
      <c r="F199" s="222" t="n"/>
    </row>
    <row r="200">
      <c r="F200" s="222" t="n"/>
    </row>
    <row r="201">
      <c r="F201" s="222" t="n"/>
    </row>
    <row r="202">
      <c r="F202" s="222" t="n"/>
    </row>
    <row r="203">
      <c r="F203" s="222" t="n"/>
    </row>
    <row r="204">
      <c r="F204" s="222" t="n"/>
    </row>
    <row r="205">
      <c r="F205" s="222" t="n"/>
    </row>
    <row r="206">
      <c r="F206" s="222" t="n"/>
    </row>
    <row r="207">
      <c r="F207" s="222" t="n"/>
    </row>
    <row r="208">
      <c r="F208" s="222" t="n"/>
    </row>
    <row r="209">
      <c r="F209" s="222" t="n"/>
    </row>
    <row r="210">
      <c r="F210" s="222" t="n"/>
    </row>
    <row r="211">
      <c r="F211" s="222" t="n"/>
    </row>
    <row r="212">
      <c r="F212" s="222" t="n"/>
    </row>
    <row r="213">
      <c r="F213" s="222" t="n"/>
    </row>
    <row r="214">
      <c r="F214" s="222" t="n"/>
    </row>
    <row r="215">
      <c r="F215" s="222" t="n"/>
    </row>
    <row r="216">
      <c r="F216" s="222" t="n"/>
    </row>
    <row r="217">
      <c r="F217" s="222" t="n"/>
    </row>
    <row r="218">
      <c r="F218" s="222" t="n"/>
    </row>
    <row r="219">
      <c r="F219" s="222" t="n"/>
    </row>
    <row r="220">
      <c r="F220" s="222" t="n"/>
    </row>
    <row r="221">
      <c r="F221" s="222" t="n"/>
    </row>
    <row r="222">
      <c r="F222" s="222" t="n"/>
    </row>
    <row r="223">
      <c r="F223" s="222" t="n"/>
    </row>
    <row r="224">
      <c r="F224" s="222" t="n"/>
    </row>
    <row r="225">
      <c r="F225" s="222" t="n"/>
    </row>
    <row r="226">
      <c r="F226" s="222" t="n"/>
    </row>
    <row r="227">
      <c r="F227" s="222" t="n"/>
    </row>
    <row r="228">
      <c r="F228" s="222" t="n"/>
    </row>
    <row r="229">
      <c r="F229" s="222" t="n"/>
    </row>
    <row r="230">
      <c r="F230" s="222" t="n"/>
    </row>
    <row r="231">
      <c r="F231" s="222" t="n"/>
    </row>
    <row r="232">
      <c r="F232" s="222" t="n"/>
    </row>
    <row r="233">
      <c r="F233" s="222" t="n"/>
    </row>
    <row r="234">
      <c r="F234" s="222" t="n"/>
    </row>
    <row r="235">
      <c r="F235" s="222" t="n"/>
    </row>
    <row r="236">
      <c r="F236" s="222" t="n"/>
    </row>
    <row r="237">
      <c r="F237" s="222" t="n"/>
    </row>
    <row r="238">
      <c r="F238" s="222" t="n"/>
    </row>
    <row r="239">
      <c r="F239" s="222" t="n"/>
    </row>
    <row r="240">
      <c r="F240" s="222" t="n"/>
    </row>
    <row r="241">
      <c r="F241" s="222" t="n"/>
    </row>
    <row r="242">
      <c r="F242" s="222" t="n"/>
    </row>
    <row r="243">
      <c r="F243" s="222" t="n"/>
    </row>
    <row r="244">
      <c r="F244" s="222" t="n"/>
    </row>
    <row r="245">
      <c r="F245" s="222" t="n"/>
    </row>
    <row r="246">
      <c r="F246" s="222" t="n"/>
    </row>
    <row r="247">
      <c r="F247" s="222" t="n"/>
    </row>
    <row r="248">
      <c r="F248" s="222" t="n"/>
    </row>
    <row r="249">
      <c r="F249" s="222" t="n"/>
    </row>
    <row r="250">
      <c r="F250" s="222" t="n"/>
    </row>
    <row r="251">
      <c r="F251" s="222" t="n"/>
    </row>
    <row r="252">
      <c r="F252" s="222" t="n"/>
    </row>
    <row r="253">
      <c r="F253" s="222" t="n"/>
    </row>
    <row r="254">
      <c r="F254" s="222" t="n"/>
    </row>
    <row r="255">
      <c r="F255" s="222" t="n"/>
    </row>
    <row r="256">
      <c r="F256" s="222" t="n"/>
    </row>
    <row r="257">
      <c r="F257" s="222" t="n"/>
    </row>
    <row r="258">
      <c r="F258" s="222" t="n"/>
    </row>
    <row r="259">
      <c r="F259" s="222" t="n"/>
    </row>
    <row r="260">
      <c r="F260" s="222" t="n"/>
    </row>
    <row r="261">
      <c r="F261" s="222" t="n"/>
    </row>
    <row r="262">
      <c r="F262" s="222" t="n"/>
    </row>
    <row r="263">
      <c r="F263" s="222" t="n"/>
    </row>
    <row r="264">
      <c r="F264" s="222" t="n"/>
    </row>
    <row r="265">
      <c r="F265" s="222" t="n"/>
    </row>
    <row r="266">
      <c r="F266" s="222" t="n"/>
    </row>
    <row r="267">
      <c r="F267" s="222" t="n"/>
    </row>
    <row r="268">
      <c r="F268" s="222" t="n"/>
    </row>
    <row r="269">
      <c r="F269" s="222" t="n"/>
    </row>
    <row r="270">
      <c r="F270" s="222" t="n"/>
    </row>
    <row r="271">
      <c r="F271" s="222" t="n"/>
    </row>
    <row r="272">
      <c r="F272" s="222" t="n"/>
    </row>
    <row r="273">
      <c r="F273" s="222" t="n"/>
    </row>
    <row r="274">
      <c r="F274" s="222" t="n"/>
    </row>
    <row r="275">
      <c r="F275" s="222" t="n"/>
    </row>
    <row r="276">
      <c r="F276" s="222" t="n"/>
    </row>
    <row r="277">
      <c r="F277" s="222" t="n"/>
    </row>
    <row r="278">
      <c r="F278" s="222" t="n"/>
    </row>
    <row r="279">
      <c r="F279" s="222" t="n"/>
    </row>
    <row r="280">
      <c r="F280" s="222" t="n"/>
    </row>
    <row r="281">
      <c r="F281" s="222" t="n"/>
    </row>
    <row r="282">
      <c r="F282" s="222" t="n"/>
    </row>
    <row r="283">
      <c r="F283" s="222" t="n"/>
    </row>
    <row r="284">
      <c r="F284" s="222" t="n"/>
    </row>
    <row r="285">
      <c r="F285" s="222" t="n"/>
    </row>
    <row r="286">
      <c r="F286" s="222" t="n"/>
    </row>
    <row r="287">
      <c r="F287" s="222" t="n"/>
    </row>
    <row r="288">
      <c r="F288" s="222" t="n"/>
    </row>
    <row r="289">
      <c r="F289" s="222" t="n"/>
    </row>
    <row r="290">
      <c r="F290" s="222" t="n"/>
    </row>
    <row r="291">
      <c r="F291" s="222" t="n"/>
    </row>
    <row r="292">
      <c r="F292" s="222" t="n"/>
    </row>
    <row r="293">
      <c r="F293" s="222" t="n"/>
    </row>
    <row r="294">
      <c r="F294" s="222" t="n"/>
    </row>
    <row r="295">
      <c r="F295" s="222" t="n"/>
    </row>
    <row r="296">
      <c r="F296" s="222" t="n"/>
    </row>
    <row r="297">
      <c r="F297" s="222" t="n"/>
    </row>
    <row r="298">
      <c r="F298" s="222" t="n"/>
    </row>
    <row r="299">
      <c r="F299" s="222" t="n"/>
    </row>
    <row r="300">
      <c r="F300" s="222" t="n"/>
    </row>
    <row r="301">
      <c r="F301" s="222" t="n"/>
    </row>
    <row r="302">
      <c r="F302" s="222" t="n"/>
    </row>
    <row r="303">
      <c r="F303" s="222" t="n"/>
    </row>
    <row r="304">
      <c r="F304" s="222" t="n"/>
    </row>
    <row r="305">
      <c r="F305" s="222" t="n"/>
    </row>
    <row r="306">
      <c r="F306" s="222" t="n"/>
    </row>
    <row r="307">
      <c r="F307" s="222" t="n"/>
    </row>
    <row r="308">
      <c r="F308" s="222" t="n"/>
    </row>
    <row r="309">
      <c r="F309" s="222" t="n"/>
    </row>
    <row r="310">
      <c r="F310" s="222" t="n"/>
    </row>
    <row r="311">
      <c r="F311" s="222" t="n"/>
    </row>
    <row r="312">
      <c r="F312" s="222" t="n"/>
    </row>
    <row r="313">
      <c r="F313" s="222" t="n"/>
    </row>
    <row r="314">
      <c r="F314" s="222" t="n"/>
    </row>
    <row r="315">
      <c r="F315" s="222" t="n"/>
    </row>
    <row r="316">
      <c r="F316" s="222" t="n"/>
    </row>
    <row r="317">
      <c r="F317" s="222" t="n"/>
    </row>
    <row r="318">
      <c r="F318" s="222" t="n"/>
    </row>
    <row r="319">
      <c r="F319" s="222" t="n"/>
    </row>
    <row r="320">
      <c r="F320" s="222" t="n"/>
    </row>
    <row r="321">
      <c r="F321" s="222" t="n"/>
    </row>
    <row r="322">
      <c r="F322" s="222" t="n"/>
    </row>
    <row r="323">
      <c r="F323" s="222" t="n"/>
    </row>
    <row r="324">
      <c r="F324" s="222" t="n"/>
    </row>
    <row r="325">
      <c r="F325" s="222" t="n"/>
    </row>
    <row r="326">
      <c r="F326" s="222" t="n"/>
    </row>
    <row r="327">
      <c r="F327" s="222" t="n"/>
    </row>
    <row r="328">
      <c r="F328" s="222" t="n"/>
    </row>
    <row r="329">
      <c r="F329" s="222" t="n"/>
    </row>
    <row r="330">
      <c r="F330" s="222" t="n"/>
    </row>
    <row r="331">
      <c r="F331" s="222" t="n"/>
    </row>
    <row r="332">
      <c r="F332" s="222" t="n"/>
    </row>
    <row r="333">
      <c r="F333" s="222" t="n"/>
    </row>
    <row r="334">
      <c r="F334" s="222" t="n"/>
    </row>
    <row r="335">
      <c r="F335" s="222" t="n"/>
    </row>
    <row r="336">
      <c r="F336" s="222" t="n"/>
    </row>
    <row r="337">
      <c r="F337" s="222" t="n"/>
    </row>
    <row r="338">
      <c r="F338" s="222" t="n"/>
    </row>
    <row r="339">
      <c r="F339" s="222" t="n"/>
    </row>
    <row r="340">
      <c r="F340" s="222" t="n"/>
    </row>
    <row r="341">
      <c r="F341" s="222" t="n"/>
    </row>
    <row r="342">
      <c r="F342" s="222" t="n"/>
    </row>
    <row r="343">
      <c r="F343" s="222" t="n"/>
    </row>
    <row r="344">
      <c r="F344" s="222" t="n"/>
    </row>
    <row r="345">
      <c r="F345" s="222" t="n"/>
    </row>
    <row r="346">
      <c r="F346" s="222" t="n"/>
    </row>
    <row r="347">
      <c r="F347" s="222" t="n"/>
    </row>
    <row r="348">
      <c r="F348" s="222" t="n"/>
    </row>
    <row r="349">
      <c r="F349" s="222" t="n"/>
    </row>
    <row r="350">
      <c r="F350" s="222" t="n"/>
    </row>
    <row r="351">
      <c r="F351" s="222" t="n"/>
    </row>
    <row r="352">
      <c r="F352" s="222" t="n"/>
    </row>
    <row r="353">
      <c r="F353" s="222" t="n"/>
    </row>
    <row r="354">
      <c r="F354" s="222" t="n"/>
    </row>
    <row r="355">
      <c r="F355" s="222" t="n"/>
    </row>
    <row r="356">
      <c r="F356" s="222" t="n"/>
    </row>
    <row r="357">
      <c r="F357" s="222" t="n"/>
    </row>
    <row r="358">
      <c r="F358" s="222" t="n"/>
    </row>
    <row r="359">
      <c r="F359" s="222" t="n"/>
    </row>
    <row r="360">
      <c r="F360" s="222" t="n"/>
    </row>
    <row r="361">
      <c r="F361" s="222" t="n"/>
    </row>
    <row r="362">
      <c r="F362" s="222" t="n"/>
    </row>
    <row r="363">
      <c r="F363" s="222" t="n"/>
    </row>
    <row r="364">
      <c r="F364" s="222" t="n"/>
    </row>
    <row r="365">
      <c r="F365" s="222" t="n"/>
    </row>
    <row r="366">
      <c r="F366" s="222" t="n"/>
    </row>
    <row r="367">
      <c r="F367" s="222" t="n"/>
    </row>
    <row r="368">
      <c r="F368" s="222" t="n"/>
    </row>
    <row r="369">
      <c r="F369" s="222" t="n"/>
    </row>
    <row r="370">
      <c r="F370" s="222" t="n"/>
    </row>
    <row r="371">
      <c r="F371" s="222" t="n"/>
    </row>
    <row r="372">
      <c r="F372" s="222" t="n"/>
    </row>
    <row r="373">
      <c r="F373" s="222" t="n"/>
    </row>
    <row r="374">
      <c r="F374" s="222" t="n"/>
    </row>
    <row r="375">
      <c r="F375" s="222" t="n"/>
    </row>
    <row r="376">
      <c r="F376" s="222" t="n"/>
    </row>
    <row r="377">
      <c r="F377" s="222" t="n"/>
    </row>
    <row r="378">
      <c r="F378" s="222" t="n"/>
    </row>
    <row r="379">
      <c r="F379" s="222" t="n"/>
    </row>
    <row r="380">
      <c r="F380" s="222" t="n"/>
    </row>
    <row r="381">
      <c r="F381" s="222" t="n"/>
    </row>
    <row r="382">
      <c r="F382" s="222" t="n"/>
    </row>
    <row r="383">
      <c r="F383" s="222" t="n"/>
    </row>
    <row r="384">
      <c r="F384" s="222" t="n"/>
    </row>
    <row r="385">
      <c r="F385" s="222" t="n"/>
    </row>
    <row r="386">
      <c r="F386" s="222" t="n"/>
    </row>
    <row r="387">
      <c r="F387" s="222" t="n"/>
    </row>
    <row r="388">
      <c r="F388" s="222" t="n"/>
    </row>
    <row r="389">
      <c r="F389" s="222" t="n"/>
    </row>
    <row r="390">
      <c r="F390" s="222" t="n"/>
    </row>
    <row r="391">
      <c r="F391" s="222" t="n"/>
    </row>
    <row r="392">
      <c r="F392" s="222" t="n"/>
    </row>
    <row r="393">
      <c r="F393" s="222" t="n"/>
    </row>
    <row r="394">
      <c r="F394" s="222" t="n"/>
    </row>
    <row r="395">
      <c r="F395" s="222" t="n"/>
    </row>
    <row r="396">
      <c r="F396" s="222" t="n"/>
    </row>
    <row r="397">
      <c r="F397" s="222" t="n"/>
    </row>
    <row r="398">
      <c r="F398" s="222" t="n"/>
    </row>
    <row r="399">
      <c r="F399" s="222" t="n"/>
    </row>
    <row r="400">
      <c r="F400" s="222" t="n"/>
    </row>
    <row r="401">
      <c r="F401" s="222" t="n"/>
    </row>
    <row r="402">
      <c r="F402" s="222" t="n"/>
    </row>
    <row r="403">
      <c r="F403" s="222" t="n"/>
    </row>
    <row r="404">
      <c r="F404" s="222" t="n"/>
    </row>
    <row r="405">
      <c r="F405" s="222" t="n"/>
    </row>
    <row r="406">
      <c r="F406" s="222" t="n"/>
    </row>
    <row r="407">
      <c r="F407" s="222" t="n"/>
    </row>
    <row r="408">
      <c r="F408" s="222" t="n"/>
    </row>
    <row r="409">
      <c r="F409" s="222" t="n"/>
    </row>
    <row r="410">
      <c r="F410" s="222" t="n"/>
    </row>
    <row r="411">
      <c r="F411" s="222" t="n"/>
    </row>
    <row r="412">
      <c r="F412" s="222" t="n"/>
    </row>
    <row r="413">
      <c r="F413" s="222" t="n"/>
    </row>
    <row r="414">
      <c r="F414" s="222" t="n"/>
    </row>
    <row r="415">
      <c r="F415" s="222" t="n"/>
    </row>
    <row r="416">
      <c r="F416" s="222" t="n"/>
    </row>
    <row r="417">
      <c r="F417" s="222" t="n"/>
    </row>
    <row r="418">
      <c r="F418" s="222" t="n"/>
    </row>
    <row r="419">
      <c r="F419" s="222" t="n"/>
    </row>
    <row r="420">
      <c r="F420" s="222" t="n"/>
    </row>
    <row r="421">
      <c r="F421" s="222" t="n"/>
    </row>
    <row r="422">
      <c r="F422" s="222" t="n"/>
    </row>
    <row r="423">
      <c r="F423" s="222" t="n"/>
    </row>
    <row r="424">
      <c r="F424" s="222" t="n"/>
    </row>
    <row r="425">
      <c r="F425" s="222" t="n"/>
    </row>
    <row r="426">
      <c r="F426" s="222" t="n"/>
    </row>
    <row r="427">
      <c r="F427" s="222" t="n"/>
    </row>
    <row r="428">
      <c r="F428" s="222" t="n"/>
    </row>
    <row r="429">
      <c r="F429" s="222" t="n"/>
    </row>
    <row r="430">
      <c r="F430" s="222" t="n"/>
    </row>
    <row r="431">
      <c r="F431" s="222" t="n"/>
    </row>
    <row r="432">
      <c r="F432" s="222" t="n"/>
    </row>
    <row r="433">
      <c r="F433" s="222" t="n"/>
    </row>
    <row r="434">
      <c r="F434" s="222" t="n"/>
    </row>
    <row r="435">
      <c r="F435" s="222" t="n"/>
    </row>
    <row r="436">
      <c r="F436" s="222" t="n"/>
    </row>
    <row r="437">
      <c r="F437" s="222" t="n"/>
    </row>
    <row r="438">
      <c r="F438" s="222" t="n"/>
    </row>
    <row r="439">
      <c r="F439" s="222" t="n"/>
    </row>
    <row r="440">
      <c r="F440" s="222" t="n"/>
    </row>
    <row r="441">
      <c r="F441" s="222" t="n"/>
    </row>
    <row r="442">
      <c r="F442" s="222" t="n"/>
    </row>
    <row r="443">
      <c r="F443" s="222" t="n"/>
    </row>
    <row r="444">
      <c r="F444" s="222" t="n"/>
    </row>
    <row r="445">
      <c r="F445" s="222" t="n"/>
    </row>
    <row r="446">
      <c r="F446" s="222" t="n"/>
    </row>
    <row r="447">
      <c r="F447" s="222" t="n"/>
    </row>
    <row r="448">
      <c r="F448" s="222" t="n"/>
    </row>
    <row r="449">
      <c r="F449" s="222" t="n"/>
    </row>
    <row r="450">
      <c r="F450" s="222" t="n"/>
    </row>
    <row r="451">
      <c r="F451" s="222" t="n"/>
    </row>
    <row r="452">
      <c r="F452" s="222" t="n"/>
    </row>
    <row r="453">
      <c r="F453" s="222" t="n"/>
    </row>
    <row r="454">
      <c r="F454" s="222" t="n"/>
    </row>
    <row r="455">
      <c r="F455" s="222" t="n"/>
    </row>
    <row r="456">
      <c r="F456" s="222" t="n"/>
    </row>
    <row r="457">
      <c r="F457" s="222" t="n"/>
    </row>
    <row r="458">
      <c r="F458" s="222" t="n"/>
    </row>
    <row r="459">
      <c r="F459" s="222" t="n"/>
    </row>
    <row r="460">
      <c r="F460" s="222" t="n"/>
    </row>
    <row r="461">
      <c r="F461" s="222" t="n"/>
    </row>
    <row r="462">
      <c r="F462" s="222" t="n"/>
    </row>
    <row r="463">
      <c r="F463" s="222" t="n"/>
    </row>
    <row r="464">
      <c r="F464" s="222" t="n"/>
    </row>
    <row r="465">
      <c r="F465" s="222" t="n"/>
    </row>
    <row r="466">
      <c r="F466" s="222" t="n"/>
    </row>
    <row r="467">
      <c r="F467" s="222" t="n"/>
    </row>
    <row r="468">
      <c r="F468" s="222" t="n"/>
    </row>
    <row r="469">
      <c r="F469" s="222" t="n"/>
    </row>
    <row r="470">
      <c r="F470" s="222" t="n"/>
    </row>
    <row r="471">
      <c r="F471" s="222" t="n"/>
    </row>
    <row r="472">
      <c r="F472" s="222" t="n"/>
    </row>
    <row r="473">
      <c r="F473" s="222" t="n"/>
    </row>
    <row r="474">
      <c r="F474" s="222" t="n"/>
    </row>
    <row r="475">
      <c r="F475" s="222" t="n"/>
    </row>
    <row r="476">
      <c r="F476" s="222" t="n"/>
    </row>
    <row r="477">
      <c r="F477" s="222" t="n"/>
    </row>
    <row r="478">
      <c r="F478" s="222" t="n"/>
    </row>
    <row r="479">
      <c r="F479" s="222" t="n"/>
    </row>
    <row r="480">
      <c r="F480" s="222" t="n"/>
    </row>
    <row r="481">
      <c r="F481" s="222" t="n"/>
    </row>
    <row r="482">
      <c r="F482" s="222" t="n"/>
    </row>
    <row r="483">
      <c r="F483" s="222" t="n"/>
    </row>
    <row r="484">
      <c r="F484" s="222" t="n"/>
    </row>
    <row r="485">
      <c r="F485" s="222" t="n"/>
    </row>
    <row r="486">
      <c r="F486" s="222" t="n"/>
    </row>
    <row r="487">
      <c r="F487" s="222" t="n"/>
    </row>
    <row r="488">
      <c r="F488" s="222" t="n"/>
    </row>
    <row r="489">
      <c r="F489" s="222" t="n"/>
    </row>
    <row r="490">
      <c r="F490" s="222" t="n"/>
    </row>
    <row r="491">
      <c r="F491" s="222" t="n"/>
    </row>
    <row r="492">
      <c r="F492" s="222" t="n"/>
    </row>
    <row r="493">
      <c r="F493" s="222" t="n"/>
    </row>
    <row r="494">
      <c r="F494" s="222" t="n"/>
    </row>
    <row r="495">
      <c r="F495" s="222" t="n"/>
    </row>
    <row r="496">
      <c r="F496" s="222" t="n"/>
    </row>
    <row r="497">
      <c r="F497" s="222" t="n"/>
    </row>
    <row r="498">
      <c r="F498" s="222" t="n"/>
    </row>
    <row r="499">
      <c r="F499" s="222" t="n"/>
    </row>
    <row r="500">
      <c r="F500" s="222" t="n"/>
    </row>
    <row r="501">
      <c r="F501" s="222" t="n"/>
    </row>
    <row r="502">
      <c r="F502" s="222" t="n"/>
    </row>
    <row r="503">
      <c r="F503" s="222" t="n"/>
    </row>
    <row r="504">
      <c r="F504" s="222" t="n"/>
    </row>
    <row r="505">
      <c r="F505" s="222" t="n"/>
    </row>
    <row r="506">
      <c r="F506" s="222" t="n"/>
    </row>
    <row r="507">
      <c r="F507" s="222" t="n"/>
    </row>
    <row r="508">
      <c r="F508" s="222" t="n"/>
    </row>
    <row r="509">
      <c r="F509" s="222" t="n"/>
    </row>
    <row r="510">
      <c r="F510" s="222" t="n"/>
    </row>
    <row r="511">
      <c r="F511" s="222" t="n"/>
    </row>
    <row r="512">
      <c r="F512" s="222" t="n"/>
    </row>
    <row r="513">
      <c r="F513" s="222" t="n"/>
    </row>
    <row r="514">
      <c r="F514" s="222" t="n"/>
    </row>
    <row r="515">
      <c r="F515" s="222" t="n"/>
    </row>
    <row r="516">
      <c r="F516" s="222" t="n"/>
    </row>
    <row r="517">
      <c r="F517" s="222" t="n"/>
    </row>
    <row r="518">
      <c r="F518" s="222" t="n"/>
    </row>
    <row r="519">
      <c r="F519" s="222" t="n"/>
    </row>
    <row r="520">
      <c r="F520" s="222" t="n"/>
    </row>
    <row r="521">
      <c r="F521" s="222" t="n"/>
    </row>
    <row r="522">
      <c r="F522" s="222" t="n"/>
    </row>
    <row r="523">
      <c r="F523" s="222" t="n"/>
    </row>
    <row r="524">
      <c r="F524" s="222" t="n"/>
    </row>
    <row r="525">
      <c r="F525" s="222" t="n"/>
    </row>
    <row r="526">
      <c r="F526" s="222" t="n"/>
    </row>
    <row r="527">
      <c r="F527" s="222" t="n"/>
    </row>
    <row r="528">
      <c r="F528" s="222" t="n"/>
    </row>
    <row r="529">
      <c r="F529" s="222" t="n"/>
    </row>
    <row r="530">
      <c r="F530" s="222" t="n"/>
    </row>
    <row r="531">
      <c r="F531" s="222" t="n"/>
    </row>
    <row r="532">
      <c r="F532" s="222" t="n"/>
    </row>
    <row r="533">
      <c r="F533" s="222" t="n"/>
    </row>
    <row r="534">
      <c r="F534" s="222" t="n"/>
    </row>
    <row r="535">
      <c r="F535" s="222" t="n"/>
    </row>
    <row r="536">
      <c r="F536" s="222" t="n"/>
    </row>
    <row r="537">
      <c r="F537" s="222" t="n"/>
    </row>
    <row r="538">
      <c r="F538" s="222" t="n"/>
    </row>
    <row r="539">
      <c r="F539" s="222" t="n"/>
    </row>
    <row r="540">
      <c r="F540" s="222" t="n"/>
    </row>
    <row r="541">
      <c r="F541" s="222" t="n"/>
    </row>
    <row r="542">
      <c r="F542" s="222" t="n"/>
    </row>
    <row r="543">
      <c r="F543" s="222" t="n"/>
    </row>
    <row r="544">
      <c r="F544" s="222" t="n"/>
    </row>
    <row r="545">
      <c r="F545" s="222" t="n"/>
    </row>
    <row r="546">
      <c r="F546" s="222" t="n"/>
    </row>
    <row r="547">
      <c r="F547" s="222" t="n"/>
    </row>
    <row r="548">
      <c r="F548" s="222" t="n"/>
    </row>
    <row r="549">
      <c r="F549" s="222" t="n"/>
    </row>
    <row r="550">
      <c r="F550" s="222" t="n"/>
    </row>
    <row r="551">
      <c r="F551" s="222" t="n"/>
    </row>
    <row r="552">
      <c r="F552" s="222" t="n"/>
    </row>
    <row r="553">
      <c r="F553" s="222" t="n"/>
    </row>
    <row r="554">
      <c r="F554" s="222" t="n"/>
    </row>
    <row r="555">
      <c r="F555" s="222" t="n"/>
    </row>
    <row r="556">
      <c r="F556" s="222" t="n"/>
    </row>
    <row r="557">
      <c r="F557" s="222" t="n"/>
    </row>
    <row r="558">
      <c r="F558" s="222" t="n"/>
    </row>
    <row r="559">
      <c r="F559" s="222" t="n"/>
    </row>
    <row r="560">
      <c r="F560" s="222" t="n"/>
    </row>
    <row r="561">
      <c r="F561" s="222" t="n"/>
    </row>
    <row r="562">
      <c r="F562" s="222" t="n"/>
    </row>
    <row r="563">
      <c r="F563" s="222" t="n"/>
    </row>
    <row r="564">
      <c r="F564" s="222" t="n"/>
    </row>
    <row r="565">
      <c r="F565" s="222" t="n"/>
    </row>
    <row r="566">
      <c r="F566" s="222" t="n"/>
    </row>
    <row r="567">
      <c r="F567" s="222" t="n"/>
    </row>
    <row r="568">
      <c r="F568" s="222" t="n"/>
    </row>
    <row r="569">
      <c r="F569" s="222" t="n"/>
    </row>
    <row r="570">
      <c r="F570" s="222" t="n"/>
    </row>
    <row r="571">
      <c r="F571" s="222" t="n"/>
    </row>
    <row r="572">
      <c r="F572" s="222" t="n"/>
    </row>
    <row r="573">
      <c r="F573" s="222" t="n"/>
    </row>
    <row r="574">
      <c r="F574" s="222" t="n"/>
    </row>
    <row r="575">
      <c r="F575" s="222" t="n"/>
    </row>
    <row r="576">
      <c r="F576" s="222" t="n"/>
    </row>
    <row r="577">
      <c r="F577" s="222" t="n"/>
    </row>
    <row r="578">
      <c r="F578" s="222" t="n"/>
    </row>
    <row r="579">
      <c r="F579" s="222" t="n"/>
    </row>
    <row r="580">
      <c r="F580" s="222" t="n"/>
    </row>
    <row r="581">
      <c r="F581" s="222" t="n"/>
    </row>
    <row r="582">
      <c r="F582" s="222" t="n"/>
    </row>
    <row r="583">
      <c r="F583" s="222" t="n"/>
    </row>
    <row r="584">
      <c r="F584" s="222" t="n"/>
    </row>
    <row r="585">
      <c r="F585" s="222" t="n"/>
    </row>
    <row r="586">
      <c r="F586" s="222" t="n"/>
    </row>
    <row r="587">
      <c r="F587" s="222" t="n"/>
    </row>
    <row r="588">
      <c r="F588" s="222" t="n"/>
    </row>
    <row r="589">
      <c r="F589" s="222" t="n"/>
    </row>
    <row r="590">
      <c r="F590" s="222" t="n"/>
    </row>
    <row r="591">
      <c r="F591" s="222" t="n"/>
    </row>
    <row r="592">
      <c r="F592" s="222" t="n"/>
    </row>
    <row r="593">
      <c r="F593" s="222" t="n"/>
    </row>
    <row r="594">
      <c r="F594" s="222" t="n"/>
    </row>
    <row r="595">
      <c r="F595" s="222" t="n"/>
    </row>
    <row r="596">
      <c r="F596" s="222" t="n"/>
    </row>
    <row r="597">
      <c r="F597" s="222" t="n"/>
    </row>
    <row r="598">
      <c r="F598" s="222" t="n"/>
    </row>
    <row r="599">
      <c r="F599" s="222" t="n"/>
    </row>
    <row r="600">
      <c r="F600" s="222" t="n"/>
    </row>
    <row r="601">
      <c r="F601" s="222" t="n"/>
    </row>
    <row r="602">
      <c r="F602" s="222" t="n"/>
    </row>
    <row r="603">
      <c r="F603" s="222" t="n"/>
    </row>
    <row r="604">
      <c r="F604" s="222" t="n"/>
    </row>
    <row r="605">
      <c r="F605" s="222" t="n"/>
    </row>
    <row r="606">
      <c r="F606" s="222" t="n"/>
    </row>
    <row r="607">
      <c r="F607" s="222" t="n"/>
    </row>
    <row r="608">
      <c r="F608" s="222" t="n"/>
    </row>
    <row r="609">
      <c r="F609" s="222" t="n"/>
    </row>
    <row r="610">
      <c r="F610" s="222" t="n"/>
    </row>
    <row r="611">
      <c r="F611" s="222" t="n"/>
    </row>
    <row r="612">
      <c r="F612" s="222" t="n"/>
    </row>
    <row r="613">
      <c r="F613" s="222" t="n"/>
    </row>
    <row r="614">
      <c r="F614" s="222" t="n"/>
    </row>
    <row r="615">
      <c r="F615" s="222" t="n"/>
    </row>
    <row r="616">
      <c r="F616" s="222" t="n"/>
    </row>
    <row r="617">
      <c r="F617" s="222" t="n"/>
    </row>
    <row r="618">
      <c r="F618" s="222" t="n"/>
    </row>
    <row r="619">
      <c r="F619" s="222" t="n"/>
    </row>
    <row r="620">
      <c r="F620" s="222" t="n"/>
    </row>
    <row r="621">
      <c r="F621" s="222" t="n"/>
    </row>
    <row r="622">
      <c r="F622" s="222" t="n"/>
    </row>
    <row r="623">
      <c r="F623" s="222" t="n"/>
    </row>
    <row r="624">
      <c r="F624" s="222" t="n"/>
    </row>
    <row r="625">
      <c r="F625" s="222" t="n"/>
    </row>
    <row r="626">
      <c r="F626" s="222" t="n"/>
    </row>
    <row r="627">
      <c r="F627" s="222" t="n"/>
    </row>
    <row r="628">
      <c r="F628" s="222" t="n"/>
    </row>
    <row r="629">
      <c r="F629" s="222" t="n"/>
    </row>
    <row r="630">
      <c r="F630" s="222" t="n"/>
    </row>
    <row r="631">
      <c r="F631" s="222" t="n"/>
    </row>
    <row r="632">
      <c r="F632" s="222" t="n"/>
    </row>
    <row r="633">
      <c r="F633" s="222" t="n"/>
    </row>
    <row r="634">
      <c r="F634" s="222" t="n"/>
    </row>
    <row r="635">
      <c r="F635" s="222" t="n"/>
    </row>
    <row r="636">
      <c r="F636" s="222" t="n"/>
    </row>
    <row r="637">
      <c r="F637" s="222" t="n"/>
    </row>
    <row r="638">
      <c r="F638" s="222" t="n"/>
    </row>
    <row r="639">
      <c r="F639" s="222" t="n"/>
    </row>
    <row r="640">
      <c r="F640" s="222" t="n"/>
    </row>
    <row r="641">
      <c r="F641" s="222" t="n"/>
    </row>
    <row r="642">
      <c r="F642" s="222" t="n"/>
    </row>
    <row r="643">
      <c r="F643" s="222" t="n"/>
    </row>
    <row r="644">
      <c r="F644" s="222" t="n"/>
    </row>
    <row r="645">
      <c r="F645" s="222" t="n"/>
    </row>
    <row r="646">
      <c r="F646" s="222" t="n"/>
    </row>
    <row r="647">
      <c r="F647" s="222" t="n"/>
    </row>
    <row r="648">
      <c r="F648" s="222" t="n"/>
    </row>
    <row r="649">
      <c r="F649" s="222" t="n"/>
    </row>
    <row r="650">
      <c r="F650" s="222" t="n"/>
    </row>
    <row r="651">
      <c r="F651" s="222" t="n"/>
    </row>
    <row r="652">
      <c r="F652" s="222" t="n"/>
    </row>
    <row r="653">
      <c r="F653" s="222" t="n"/>
    </row>
    <row r="654">
      <c r="F654" s="222" t="n"/>
    </row>
    <row r="655">
      <c r="F655" s="222" t="n"/>
    </row>
    <row r="656">
      <c r="F656" s="222" t="n"/>
    </row>
    <row r="657">
      <c r="F657" s="222" t="n"/>
    </row>
    <row r="658">
      <c r="F658" s="222" t="n"/>
    </row>
    <row r="659">
      <c r="F659" s="222" t="n"/>
    </row>
    <row r="660">
      <c r="F660" s="222" t="n"/>
    </row>
    <row r="661">
      <c r="F661" s="222" t="n"/>
    </row>
    <row r="662">
      <c r="F662" s="222" t="n"/>
    </row>
    <row r="663">
      <c r="F663" s="222" t="n"/>
    </row>
    <row r="664">
      <c r="F664" s="222" t="n"/>
    </row>
    <row r="665">
      <c r="F665" s="222" t="n"/>
    </row>
    <row r="666">
      <c r="F666" s="222" t="n"/>
    </row>
    <row r="667">
      <c r="F667" s="222" t="n"/>
    </row>
    <row r="668">
      <c r="F668" s="222" t="n"/>
    </row>
    <row r="669">
      <c r="F669" s="222" t="n"/>
    </row>
    <row r="670">
      <c r="F670" s="222" t="n"/>
    </row>
    <row r="671">
      <c r="F671" s="222" t="n"/>
    </row>
    <row r="672">
      <c r="F672" s="222" t="n"/>
    </row>
    <row r="673">
      <c r="F673" s="222" t="n"/>
    </row>
    <row r="674">
      <c r="F674" s="222" t="n"/>
    </row>
    <row r="675">
      <c r="F675" s="222" t="n"/>
    </row>
    <row r="676">
      <c r="F676" s="222" t="n"/>
    </row>
    <row r="677">
      <c r="F677" s="222" t="n"/>
    </row>
    <row r="678">
      <c r="F678" s="222" t="n"/>
    </row>
    <row r="679">
      <c r="F679" s="222" t="n"/>
    </row>
    <row r="680">
      <c r="F680" s="222" t="n"/>
    </row>
    <row r="681">
      <c r="F681" s="222" t="n"/>
    </row>
    <row r="682">
      <c r="F682" s="222" t="n"/>
    </row>
    <row r="683">
      <c r="F683" s="222" t="n"/>
    </row>
    <row r="684">
      <c r="F684" s="222" t="n"/>
    </row>
    <row r="685">
      <c r="F685" s="222" t="n"/>
    </row>
    <row r="686">
      <c r="F686" s="222" t="n"/>
    </row>
    <row r="687">
      <c r="F687" s="222" t="n"/>
    </row>
    <row r="688">
      <c r="F688" s="222" t="n"/>
    </row>
    <row r="689">
      <c r="F689" s="222" t="n"/>
    </row>
    <row r="690">
      <c r="F690" s="222" t="n"/>
    </row>
    <row r="691">
      <c r="F691" s="222" t="n"/>
    </row>
    <row r="692">
      <c r="F692" s="222" t="n"/>
    </row>
    <row r="693">
      <c r="F693" s="222" t="n"/>
    </row>
    <row r="694">
      <c r="F694" s="222" t="n"/>
    </row>
    <row r="695">
      <c r="F695" s="222" t="n"/>
    </row>
    <row r="696">
      <c r="F696" s="222" t="n"/>
    </row>
    <row r="697">
      <c r="F697" s="222" t="n"/>
    </row>
    <row r="698">
      <c r="F698" s="222" t="n"/>
    </row>
    <row r="699">
      <c r="F699" s="222" t="n"/>
    </row>
    <row r="700">
      <c r="F700" s="222" t="n"/>
    </row>
    <row r="701">
      <c r="F701" s="222" t="n"/>
    </row>
    <row r="702">
      <c r="F702" s="222" t="n"/>
    </row>
    <row r="703">
      <c r="F703" s="222" t="n"/>
    </row>
    <row r="704">
      <c r="F704" s="222" t="n"/>
    </row>
    <row r="705">
      <c r="F705" s="222" t="n"/>
    </row>
    <row r="706">
      <c r="F706" s="222" t="n"/>
    </row>
    <row r="707">
      <c r="F707" s="222" t="n"/>
    </row>
    <row r="708">
      <c r="F708" s="222" t="n"/>
    </row>
    <row r="709">
      <c r="F709" s="222" t="n"/>
    </row>
    <row r="710">
      <c r="F710" s="222" t="n"/>
    </row>
    <row r="711">
      <c r="F711" s="222" t="n"/>
    </row>
    <row r="712">
      <c r="F712" s="222" t="n"/>
    </row>
    <row r="713">
      <c r="F713" s="222" t="n"/>
    </row>
    <row r="714">
      <c r="F714" s="222" t="n"/>
    </row>
    <row r="715">
      <c r="F715" s="222" t="n"/>
    </row>
    <row r="716">
      <c r="F716" s="222" t="n"/>
    </row>
    <row r="717">
      <c r="F717" s="222" t="n"/>
    </row>
    <row r="718">
      <c r="F718" s="222" t="n"/>
    </row>
    <row r="719">
      <c r="F719" s="222" t="n"/>
    </row>
    <row r="720">
      <c r="F720" s="222" t="n"/>
    </row>
    <row r="721">
      <c r="F721" s="222" t="n"/>
    </row>
    <row r="722">
      <c r="F722" s="222" t="n"/>
    </row>
    <row r="723">
      <c r="F723" s="222" t="n"/>
    </row>
    <row r="724">
      <c r="F724" s="222" t="n"/>
    </row>
    <row r="725">
      <c r="F725" s="222" t="n"/>
    </row>
    <row r="726">
      <c r="F726" s="222" t="n"/>
    </row>
    <row r="727">
      <c r="F727" s="222" t="n"/>
    </row>
    <row r="728">
      <c r="F728" s="222" t="n"/>
    </row>
    <row r="729">
      <c r="F729" s="222" t="n"/>
    </row>
    <row r="730">
      <c r="F730" s="222" t="n"/>
    </row>
    <row r="731">
      <c r="F731" s="222" t="n"/>
    </row>
    <row r="732">
      <c r="F732" s="222" t="n"/>
    </row>
    <row r="733">
      <c r="F733" s="222" t="n"/>
    </row>
    <row r="734">
      <c r="F734" s="222" t="n"/>
    </row>
    <row r="735">
      <c r="F735" s="222" t="n"/>
    </row>
    <row r="736">
      <c r="F736" s="222" t="n"/>
    </row>
    <row r="737">
      <c r="F737" s="222" t="n"/>
    </row>
    <row r="738">
      <c r="F738" s="222" t="n"/>
    </row>
    <row r="739">
      <c r="F739" s="222" t="n"/>
    </row>
    <row r="740">
      <c r="F740" s="222" t="n"/>
    </row>
    <row r="741">
      <c r="F741" s="222" t="n"/>
    </row>
    <row r="742">
      <c r="F742" s="222" t="n"/>
    </row>
    <row r="743">
      <c r="F743" s="222" t="n"/>
    </row>
    <row r="744">
      <c r="F744" s="222" t="n"/>
    </row>
    <row r="745">
      <c r="F745" s="222" t="n"/>
    </row>
    <row r="746">
      <c r="F746" s="222" t="n"/>
    </row>
    <row r="747">
      <c r="F747" s="222" t="n"/>
    </row>
    <row r="748">
      <c r="F748" s="222" t="n"/>
    </row>
    <row r="749">
      <c r="F749" s="222" t="n"/>
    </row>
    <row r="750">
      <c r="F750" s="222" t="n"/>
    </row>
    <row r="751">
      <c r="F751" s="222" t="n"/>
    </row>
    <row r="752">
      <c r="F752" s="222" t="n"/>
    </row>
    <row r="753">
      <c r="F753" s="222" t="n"/>
    </row>
    <row r="754">
      <c r="F754" s="222" t="n"/>
    </row>
    <row r="755">
      <c r="F755" s="222" t="n"/>
    </row>
    <row r="756">
      <c r="F756" s="222" t="n"/>
    </row>
    <row r="757">
      <c r="F757" s="222" t="n"/>
    </row>
    <row r="758">
      <c r="F758" s="222" t="n"/>
    </row>
    <row r="759">
      <c r="F759" s="222" t="n"/>
    </row>
    <row r="760">
      <c r="F760" s="222" t="n"/>
    </row>
    <row r="761">
      <c r="F761" s="222" t="n"/>
    </row>
    <row r="762">
      <c r="F762" s="222" t="n"/>
    </row>
    <row r="763">
      <c r="F763" s="222" t="n"/>
    </row>
    <row r="764">
      <c r="F764" s="222" t="n"/>
    </row>
    <row r="765">
      <c r="F765" s="222" t="n"/>
    </row>
    <row r="766">
      <c r="F766" s="222" t="n"/>
    </row>
    <row r="767">
      <c r="F767" s="222" t="n"/>
    </row>
    <row r="768">
      <c r="F768" s="222" t="n"/>
    </row>
    <row r="769">
      <c r="F769" s="222" t="n"/>
    </row>
    <row r="770">
      <c r="F770" s="222" t="n"/>
    </row>
    <row r="771">
      <c r="F771" s="222" t="n"/>
    </row>
    <row r="772">
      <c r="F772" s="222" t="n"/>
    </row>
    <row r="773">
      <c r="F773" s="222" t="n"/>
    </row>
    <row r="774">
      <c r="F774" s="222" t="n"/>
    </row>
    <row r="775">
      <c r="F775" s="222" t="n"/>
    </row>
    <row r="776">
      <c r="F776" s="222" t="n"/>
    </row>
    <row r="777">
      <c r="F777" s="222" t="n"/>
    </row>
    <row r="778">
      <c r="F778" s="222" t="n"/>
    </row>
    <row r="779">
      <c r="F779" s="222" t="n"/>
    </row>
    <row r="780">
      <c r="F780" s="222" t="n"/>
    </row>
    <row r="781">
      <c r="F781" s="222" t="n"/>
    </row>
    <row r="782">
      <c r="F782" s="222" t="n"/>
    </row>
    <row r="783">
      <c r="F783" s="222" t="n"/>
    </row>
    <row r="784">
      <c r="F784" s="222" t="n"/>
    </row>
    <row r="785">
      <c r="F785" s="222" t="n"/>
    </row>
    <row r="786">
      <c r="F786" s="222" t="n"/>
    </row>
    <row r="787">
      <c r="F787" s="222" t="n"/>
    </row>
    <row r="788">
      <c r="F788" s="222" t="n"/>
    </row>
    <row r="789">
      <c r="F789" s="222" t="n"/>
    </row>
    <row r="790">
      <c r="F790" s="222" t="n"/>
    </row>
    <row r="791">
      <c r="F791" s="222" t="n"/>
    </row>
    <row r="792">
      <c r="F792" s="222" t="n"/>
    </row>
    <row r="793">
      <c r="F793" s="222" t="n"/>
    </row>
    <row r="794">
      <c r="F794" s="222" t="n"/>
    </row>
    <row r="795">
      <c r="F795" s="222" t="n"/>
    </row>
    <row r="796">
      <c r="F796" s="222" t="n"/>
    </row>
    <row r="797">
      <c r="F797" s="222" t="n"/>
    </row>
    <row r="798">
      <c r="F798" s="222" t="n"/>
    </row>
    <row r="799">
      <c r="F799" s="222" t="n"/>
    </row>
    <row r="800">
      <c r="F800" s="222" t="n"/>
    </row>
    <row r="801">
      <c r="F801" s="222" t="n"/>
    </row>
    <row r="802">
      <c r="F802" s="222" t="n"/>
    </row>
    <row r="803">
      <c r="F803" s="222" t="n"/>
    </row>
    <row r="804">
      <c r="F804" s="222" t="n"/>
    </row>
    <row r="805">
      <c r="F805" s="222" t="n"/>
    </row>
    <row r="806">
      <c r="F806" s="222" t="n"/>
    </row>
    <row r="807">
      <c r="F807" s="222" t="n"/>
    </row>
    <row r="808">
      <c r="F808" s="222" t="n"/>
    </row>
    <row r="809">
      <c r="F809" s="222" t="n"/>
    </row>
    <row r="810">
      <c r="F810" s="222" t="n"/>
    </row>
    <row r="811">
      <c r="F811" s="222" t="n"/>
    </row>
    <row r="812">
      <c r="F812" s="222" t="n"/>
    </row>
    <row r="813">
      <c r="F813" s="222" t="n"/>
    </row>
    <row r="814">
      <c r="F814" s="222" t="n"/>
    </row>
    <row r="815">
      <c r="F815" s="222" t="n"/>
    </row>
    <row r="816">
      <c r="F816" s="222" t="n"/>
    </row>
    <row r="817">
      <c r="F817" s="222" t="n"/>
    </row>
    <row r="818">
      <c r="F818" s="222" t="n"/>
    </row>
    <row r="819">
      <c r="F819" s="222" t="n"/>
    </row>
    <row r="820">
      <c r="F820" s="222" t="n"/>
    </row>
    <row r="821">
      <c r="F821" s="222" t="n"/>
    </row>
    <row r="822">
      <c r="F822" s="222" t="n"/>
    </row>
    <row r="823">
      <c r="F823" s="222" t="n"/>
    </row>
    <row r="824">
      <c r="F824" s="222" t="n"/>
    </row>
    <row r="825">
      <c r="F825" s="222" t="n"/>
    </row>
    <row r="826">
      <c r="F826" s="222" t="n"/>
    </row>
    <row r="827">
      <c r="F827" s="222" t="n"/>
    </row>
    <row r="828">
      <c r="F828" s="222" t="n"/>
    </row>
    <row r="829">
      <c r="F829" s="222" t="n"/>
    </row>
    <row r="830">
      <c r="F830" s="222" t="n"/>
    </row>
    <row r="831">
      <c r="F831" s="222" t="n"/>
    </row>
    <row r="832">
      <c r="F832" s="222" t="n"/>
    </row>
    <row r="833">
      <c r="F833" s="222" t="n"/>
    </row>
    <row r="834">
      <c r="F834" s="222" t="n"/>
    </row>
    <row r="835">
      <c r="F835" s="222" t="n"/>
    </row>
    <row r="836">
      <c r="F836" s="222" t="n"/>
    </row>
    <row r="837">
      <c r="F837" s="222" t="n"/>
    </row>
    <row r="838">
      <c r="F838" s="222" t="n"/>
    </row>
    <row r="839">
      <c r="F839" s="222" t="n"/>
    </row>
    <row r="840">
      <c r="F840" s="222" t="n"/>
    </row>
    <row r="841">
      <c r="F841" s="222" t="n"/>
    </row>
    <row r="842">
      <c r="F842" s="222" t="n"/>
    </row>
    <row r="843">
      <c r="F843" s="222" t="n"/>
    </row>
    <row r="844">
      <c r="F844" s="222" t="n"/>
    </row>
    <row r="845">
      <c r="F845" s="222" t="n"/>
    </row>
    <row r="846">
      <c r="F846" s="222" t="n"/>
    </row>
    <row r="847">
      <c r="F847" s="222" t="n"/>
    </row>
    <row r="848">
      <c r="F848" s="222" t="n"/>
    </row>
    <row r="849">
      <c r="F849" s="222" t="n"/>
    </row>
    <row r="850">
      <c r="F850" s="222" t="n"/>
    </row>
    <row r="851">
      <c r="F851" s="222" t="n"/>
    </row>
    <row r="852">
      <c r="F852" s="222" t="n"/>
    </row>
    <row r="853">
      <c r="F853" s="222" t="n"/>
    </row>
    <row r="854">
      <c r="F854" s="222" t="n"/>
    </row>
    <row r="855">
      <c r="F855" s="222" t="n"/>
    </row>
    <row r="856">
      <c r="F856" s="222" t="n"/>
    </row>
    <row r="857">
      <c r="F857" s="222" t="n"/>
    </row>
    <row r="858">
      <c r="F858" s="222" t="n"/>
    </row>
    <row r="859">
      <c r="F859" s="222" t="n"/>
    </row>
    <row r="860">
      <c r="F860" s="222" t="n"/>
    </row>
    <row r="861">
      <c r="F861" s="222" t="n"/>
    </row>
    <row r="862">
      <c r="F862" s="222" t="n"/>
    </row>
    <row r="863">
      <c r="F863" s="222" t="n"/>
    </row>
    <row r="864">
      <c r="F864" s="222" t="n"/>
    </row>
    <row r="865">
      <c r="F865" s="222" t="n"/>
    </row>
    <row r="866">
      <c r="F866" s="222" t="n"/>
    </row>
    <row r="867">
      <c r="F867" s="222" t="n"/>
    </row>
    <row r="868">
      <c r="F868" s="222" t="n"/>
    </row>
    <row r="869">
      <c r="F869" s="222" t="n"/>
    </row>
    <row r="870">
      <c r="F870" s="222" t="n"/>
    </row>
    <row r="871">
      <c r="F871" s="222" t="n"/>
    </row>
    <row r="872">
      <c r="F872" s="222" t="n"/>
    </row>
    <row r="873">
      <c r="F873" s="222" t="n"/>
    </row>
    <row r="874">
      <c r="F874" s="222" t="n"/>
    </row>
    <row r="875">
      <c r="F875" s="222" t="n"/>
    </row>
    <row r="876">
      <c r="F876" s="222" t="n"/>
    </row>
    <row r="877">
      <c r="F877" s="222" t="n"/>
    </row>
    <row r="878">
      <c r="F878" s="222" t="n"/>
    </row>
    <row r="879">
      <c r="F879" s="222" t="n"/>
    </row>
    <row r="880">
      <c r="F880" s="222" t="n"/>
    </row>
    <row r="881">
      <c r="F881" s="222" t="n"/>
    </row>
    <row r="882">
      <c r="F882" s="222" t="n"/>
    </row>
    <row r="883">
      <c r="F883" s="222" t="n"/>
    </row>
    <row r="884">
      <c r="F884" s="222" t="n"/>
    </row>
    <row r="885">
      <c r="F885" s="222" t="n"/>
    </row>
    <row r="886">
      <c r="F886" s="222" t="n"/>
    </row>
    <row r="887">
      <c r="F887" s="222" t="n"/>
    </row>
    <row r="888">
      <c r="F888" s="222" t="n"/>
    </row>
    <row r="889">
      <c r="F889" s="222" t="n"/>
    </row>
    <row r="890">
      <c r="F890" s="222" t="n"/>
    </row>
    <row r="891">
      <c r="F891" s="222" t="n"/>
    </row>
    <row r="892">
      <c r="F892" s="222" t="n"/>
    </row>
    <row r="893">
      <c r="F893" s="222" t="n"/>
    </row>
    <row r="894">
      <c r="F894" s="222" t="n"/>
    </row>
    <row r="895">
      <c r="F895" s="222" t="n"/>
    </row>
    <row r="896">
      <c r="F896" s="222" t="n"/>
    </row>
    <row r="897">
      <c r="F897" s="222" t="n"/>
    </row>
    <row r="898">
      <c r="F898" s="222" t="n"/>
    </row>
    <row r="899">
      <c r="F899" s="222" t="n"/>
    </row>
    <row r="900">
      <c r="F900" s="222" t="n"/>
    </row>
    <row r="901">
      <c r="F901" s="222" t="n"/>
    </row>
    <row r="902">
      <c r="F902" s="222" t="n"/>
    </row>
    <row r="903">
      <c r="F903" s="222" t="n"/>
    </row>
    <row r="904">
      <c r="F904" s="222" t="n"/>
    </row>
    <row r="905">
      <c r="F905" s="222" t="n"/>
    </row>
    <row r="906">
      <c r="F906" s="222" t="n"/>
    </row>
    <row r="907">
      <c r="F907" s="222" t="n"/>
    </row>
    <row r="908">
      <c r="F908" s="222" t="n"/>
    </row>
    <row r="909">
      <c r="F909" s="222" t="n"/>
    </row>
    <row r="910">
      <c r="F910" s="222" t="n"/>
    </row>
    <row r="911">
      <c r="F911" s="222" t="n"/>
    </row>
    <row r="912">
      <c r="F912" s="222" t="n"/>
    </row>
    <row r="913">
      <c r="F913" s="222" t="n"/>
    </row>
    <row r="914">
      <c r="F914" s="222" t="n"/>
    </row>
    <row r="915">
      <c r="F915" s="222" t="n"/>
    </row>
    <row r="916">
      <c r="F916" s="222" t="n"/>
    </row>
    <row r="917">
      <c r="F917" s="222" t="n"/>
    </row>
    <row r="918">
      <c r="F918" s="222" t="n"/>
    </row>
    <row r="919">
      <c r="F919" s="222" t="n"/>
    </row>
    <row r="920">
      <c r="F920" s="222" t="n"/>
    </row>
    <row r="921">
      <c r="F921" s="222" t="n"/>
    </row>
    <row r="922">
      <c r="F922" s="222" t="n"/>
    </row>
    <row r="923">
      <c r="F923" s="222" t="n"/>
    </row>
    <row r="924">
      <c r="F924" s="222" t="n"/>
    </row>
    <row r="925">
      <c r="F925" s="222" t="n"/>
    </row>
    <row r="926">
      <c r="F926" s="222" t="n"/>
    </row>
    <row r="927">
      <c r="F927" s="222" t="n"/>
    </row>
    <row r="928">
      <c r="F928" s="222" t="n"/>
    </row>
    <row r="929">
      <c r="F929" s="222" t="n"/>
    </row>
    <row r="930">
      <c r="F930" s="222" t="n"/>
    </row>
    <row r="931">
      <c r="F931" s="222" t="n"/>
    </row>
    <row r="932">
      <c r="F932" s="222" t="n"/>
    </row>
    <row r="933">
      <c r="F933" s="222" t="n"/>
    </row>
    <row r="934">
      <c r="F934" s="222" t="n"/>
    </row>
    <row r="935">
      <c r="F935" s="222" t="n"/>
    </row>
    <row r="936">
      <c r="F936" s="222" t="n"/>
    </row>
    <row r="937">
      <c r="F937" s="222" t="n"/>
    </row>
    <row r="938">
      <c r="F938" s="222" t="n"/>
    </row>
    <row r="939">
      <c r="F939" s="222" t="n"/>
    </row>
    <row r="940">
      <c r="F940" s="222" t="n"/>
    </row>
    <row r="941">
      <c r="F941" s="222" t="n"/>
    </row>
    <row r="942">
      <c r="F942" s="222" t="n"/>
    </row>
    <row r="943">
      <c r="F943" s="222" t="n"/>
    </row>
    <row r="944">
      <c r="F944" s="222" t="n"/>
    </row>
    <row r="945">
      <c r="F945" s="222" t="n"/>
    </row>
    <row r="946">
      <c r="F946" s="222" t="n"/>
    </row>
    <row r="947">
      <c r="F947" s="222" t="n"/>
    </row>
    <row r="948">
      <c r="F948" s="222" t="n"/>
    </row>
    <row r="949">
      <c r="F949" s="222" t="n"/>
    </row>
    <row r="950">
      <c r="F950" s="222" t="n"/>
    </row>
    <row r="951">
      <c r="F951" s="222" t="n"/>
    </row>
    <row r="952">
      <c r="F952" s="222" t="n"/>
    </row>
    <row r="953">
      <c r="F953" s="222" t="n"/>
    </row>
    <row r="954">
      <c r="F954" s="222" t="n"/>
    </row>
    <row r="955">
      <c r="F955" s="222" t="n"/>
    </row>
    <row r="956">
      <c r="F956" s="222" t="n"/>
    </row>
    <row r="957">
      <c r="F957" s="222" t="n"/>
    </row>
    <row r="958">
      <c r="F958" s="222" t="n"/>
    </row>
    <row r="959">
      <c r="F959" s="222" t="n"/>
    </row>
    <row r="960">
      <c r="F960" s="222" t="n"/>
    </row>
    <row r="961">
      <c r="F961" s="222" t="n"/>
    </row>
    <row r="962">
      <c r="F962" s="222" t="n"/>
    </row>
    <row r="963">
      <c r="F963" s="222" t="n"/>
    </row>
    <row r="964">
      <c r="F964" s="222" t="n"/>
    </row>
    <row r="965">
      <c r="F965" s="222" t="n"/>
    </row>
    <row r="966">
      <c r="F966" s="222" t="n"/>
    </row>
    <row r="967">
      <c r="F967" s="222" t="n"/>
    </row>
    <row r="968">
      <c r="F968" s="222" t="n"/>
    </row>
    <row r="969">
      <c r="F969" s="222" t="n"/>
    </row>
    <row r="970">
      <c r="F970" s="222" t="n"/>
    </row>
    <row r="971">
      <c r="F971" s="222" t="n"/>
    </row>
    <row r="972">
      <c r="F972" s="222" t="n"/>
    </row>
    <row r="973">
      <c r="F973" s="222" t="n"/>
    </row>
    <row r="974">
      <c r="F974" s="222" t="n"/>
    </row>
    <row r="975">
      <c r="F975" s="222" t="n"/>
    </row>
    <row r="976">
      <c r="F976" s="222" t="n"/>
    </row>
    <row r="977">
      <c r="F977" s="222" t="n"/>
    </row>
    <row r="978">
      <c r="F978" s="222" t="n"/>
    </row>
    <row r="979">
      <c r="F979" s="222" t="n"/>
    </row>
    <row r="980">
      <c r="F980" s="222" t="n"/>
    </row>
    <row r="981">
      <c r="F981" s="222" t="n"/>
    </row>
    <row r="982">
      <c r="F982" s="222" t="n"/>
    </row>
    <row r="983">
      <c r="F983" s="222" t="n"/>
    </row>
    <row r="984">
      <c r="F984" s="222" t="n"/>
    </row>
    <row r="985">
      <c r="F985" s="222" t="n"/>
    </row>
    <row r="986">
      <c r="F986" s="222" t="n"/>
    </row>
    <row r="987">
      <c r="F987" s="222" t="n"/>
    </row>
    <row r="988">
      <c r="F988" s="222" t="n"/>
    </row>
    <row r="989">
      <c r="F989" s="222" t="n"/>
    </row>
    <row r="990">
      <c r="F990" s="222" t="n"/>
    </row>
    <row r="991">
      <c r="F991" s="222" t="n"/>
    </row>
    <row r="992">
      <c r="F992" s="222" t="n"/>
    </row>
    <row r="993">
      <c r="F993" s="222" t="n"/>
    </row>
    <row r="994">
      <c r="F994" s="222" t="n"/>
    </row>
    <row r="995">
      <c r="F995" s="222" t="n"/>
    </row>
    <row r="996">
      <c r="F996" s="222" t="n"/>
    </row>
    <row r="997">
      <c r="F997" s="222" t="n"/>
    </row>
    <row r="998">
      <c r="F998" s="222" t="n"/>
    </row>
    <row r="999">
      <c r="F999" s="222" t="n"/>
    </row>
    <row r="1000">
      <c r="F1000" s="222" t="n"/>
    </row>
    <row r="1001">
      <c r="F1001" s="222" t="n"/>
    </row>
    <row r="1002">
      <c r="F1002" s="222" t="n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B65"/>
  <sheetViews>
    <sheetView workbookViewId="0">
      <selection activeCell="A1" sqref="A1"/>
    </sheetView>
  </sheetViews>
  <sheetFormatPr baseColWidth="10" defaultColWidth="14.5" defaultRowHeight="15" customHeight="1"/>
  <sheetData>
    <row r="1"/>
    <row r="2">
      <c r="A2" s="223" t="inlineStr">
        <is>
          <t>Flat F1</t>
        </is>
      </c>
      <c r="B2" s="46" t="n">
        <v>0</v>
      </c>
    </row>
    <row r="3">
      <c r="A3" s="223" t="inlineStr">
        <is>
          <t>Flat F2</t>
        </is>
      </c>
      <c r="B3" s="46" t="n">
        <v>0</v>
      </c>
    </row>
    <row r="4">
      <c r="A4" s="223" t="inlineStr">
        <is>
          <t>Flat F3</t>
        </is>
      </c>
      <c r="B4" s="46" t="n">
        <v>0</v>
      </c>
    </row>
    <row r="5">
      <c r="A5" s="223" t="inlineStr">
        <is>
          <t>Flat F4</t>
        </is>
      </c>
      <c r="B5" s="46" t="n">
        <v>0</v>
      </c>
    </row>
    <row r="6">
      <c r="A6" s="223" t="inlineStr">
        <is>
          <t>Flat F5</t>
        </is>
      </c>
      <c r="B6" s="46" t="n">
        <v>0</v>
      </c>
    </row>
    <row r="7">
      <c r="A7" s="223" t="inlineStr">
        <is>
          <t>Flat F6</t>
        </is>
      </c>
      <c r="B7" s="46" t="n">
        <v>0</v>
      </c>
    </row>
    <row r="8">
      <c r="A8" s="223" t="inlineStr">
        <is>
          <t>Flat F7</t>
        </is>
      </c>
      <c r="B8" s="46" t="n">
        <v>0</v>
      </c>
    </row>
    <row r="9">
      <c r="A9" s="223" t="inlineStr">
        <is>
          <t>Flat F8</t>
        </is>
      </c>
      <c r="B9" s="46" t="n">
        <v>0</v>
      </c>
    </row>
    <row r="10">
      <c r="A10" s="223" t="inlineStr">
        <is>
          <t>Flat F9</t>
        </is>
      </c>
      <c r="B10" s="46" t="n">
        <v>0</v>
      </c>
    </row>
    <row r="11">
      <c r="A11" s="223" t="inlineStr">
        <is>
          <t>Flat F10</t>
        </is>
      </c>
      <c r="B11" s="46" t="n">
        <v>0</v>
      </c>
    </row>
    <row r="12">
      <c r="A12" s="223" t="inlineStr">
        <is>
          <t>Flat F11</t>
        </is>
      </c>
      <c r="B12" s="46" t="n">
        <v>0</v>
      </c>
    </row>
    <row r="13">
      <c r="A13" s="223" t="inlineStr">
        <is>
          <t>Flat F12</t>
        </is>
      </c>
      <c r="B13" s="46" t="n">
        <v>0</v>
      </c>
    </row>
    <row r="14">
      <c r="A14" s="223" t="inlineStr">
        <is>
          <t>Flat F13</t>
        </is>
      </c>
      <c r="B14" s="46" t="n">
        <v>0</v>
      </c>
    </row>
    <row r="15">
      <c r="A15" s="223" t="inlineStr">
        <is>
          <t>Flat F14</t>
        </is>
      </c>
      <c r="B15" s="46" t="n">
        <v>0</v>
      </c>
    </row>
    <row r="16">
      <c r="A16" s="223" t="inlineStr">
        <is>
          <t>Flat F15</t>
        </is>
      </c>
      <c r="B16" s="46" t="n">
        <v>0</v>
      </c>
    </row>
    <row r="17">
      <c r="A17" s="223" t="inlineStr">
        <is>
          <t>Flat F16</t>
        </is>
      </c>
      <c r="B17" s="46" t="n">
        <v>0</v>
      </c>
    </row>
    <row r="18">
      <c r="A18" s="223" t="inlineStr">
        <is>
          <t>Flat G1</t>
        </is>
      </c>
      <c r="B18" s="46" t="n">
        <v>0</v>
      </c>
    </row>
    <row r="19">
      <c r="A19" s="223" t="inlineStr">
        <is>
          <t>Flat G2</t>
        </is>
      </c>
      <c r="B19" s="46" t="n">
        <v>0</v>
      </c>
    </row>
    <row r="20">
      <c r="A20" s="223" t="inlineStr">
        <is>
          <t>Flat G3</t>
        </is>
      </c>
      <c r="B20" s="46" t="n">
        <v>0</v>
      </c>
    </row>
    <row r="21">
      <c r="A21" s="223" t="inlineStr">
        <is>
          <t>Flat G4</t>
        </is>
      </c>
      <c r="B21" s="46" t="n">
        <v>0</v>
      </c>
    </row>
    <row r="22">
      <c r="A22" s="223" t="inlineStr">
        <is>
          <t>Flat G5</t>
        </is>
      </c>
      <c r="B22" s="46" t="n">
        <v>0</v>
      </c>
    </row>
    <row r="23">
      <c r="A23" s="223" t="inlineStr">
        <is>
          <t>Flat G6</t>
        </is>
      </c>
      <c r="B23" s="46" t="n">
        <v>0</v>
      </c>
    </row>
    <row r="24">
      <c r="A24" s="223" t="inlineStr">
        <is>
          <t>Flat G7</t>
        </is>
      </c>
      <c r="B24" s="46" t="n">
        <v>0</v>
      </c>
    </row>
    <row r="25">
      <c r="A25" s="223" t="inlineStr">
        <is>
          <t>Flat G8</t>
        </is>
      </c>
      <c r="B25" s="46" t="n">
        <v>0</v>
      </c>
    </row>
    <row r="26">
      <c r="A26" s="223" t="inlineStr">
        <is>
          <t>Flat G9</t>
        </is>
      </c>
      <c r="B26" s="46" t="n">
        <v>0</v>
      </c>
    </row>
    <row r="27">
      <c r="A27" s="223" t="inlineStr">
        <is>
          <t>Flat G10</t>
        </is>
      </c>
      <c r="B27" s="46" t="n">
        <v>0</v>
      </c>
    </row>
    <row r="28">
      <c r="A28" s="223" t="inlineStr">
        <is>
          <t>Flat G11</t>
        </is>
      </c>
      <c r="B28" s="46" t="n">
        <v>0</v>
      </c>
    </row>
    <row r="29">
      <c r="A29" s="223" t="inlineStr">
        <is>
          <t>Flat G12</t>
        </is>
      </c>
      <c r="B29" s="46" t="n">
        <v>0</v>
      </c>
    </row>
    <row r="30">
      <c r="A30" s="223" t="inlineStr">
        <is>
          <t>Flat G13</t>
        </is>
      </c>
      <c r="B30" s="46" t="n">
        <v>0</v>
      </c>
    </row>
    <row r="31">
      <c r="A31" s="223" t="inlineStr">
        <is>
          <t>Flat G14</t>
        </is>
      </c>
      <c r="B31" s="46" t="n">
        <v>0</v>
      </c>
    </row>
    <row r="32">
      <c r="A32" s="223" t="inlineStr">
        <is>
          <t>Flat G15</t>
        </is>
      </c>
      <c r="B32" s="46" t="n">
        <v>0</v>
      </c>
    </row>
    <row r="33">
      <c r="A33" s="223" t="inlineStr">
        <is>
          <t>Flat G16</t>
        </is>
      </c>
      <c r="B33" s="46" t="n">
        <v>0</v>
      </c>
    </row>
    <row r="34">
      <c r="A34" s="223" t="inlineStr">
        <is>
          <t>Flat S1</t>
        </is>
      </c>
      <c r="B34" s="46" t="n">
        <v>0</v>
      </c>
    </row>
    <row r="35">
      <c r="A35" s="223" t="inlineStr">
        <is>
          <t>Flat S2</t>
        </is>
      </c>
      <c r="B35" s="46" t="n">
        <v>0</v>
      </c>
    </row>
    <row r="36">
      <c r="A36" s="223" t="inlineStr">
        <is>
          <t>Flat S3</t>
        </is>
      </c>
      <c r="B36" s="46" t="n">
        <v>0</v>
      </c>
    </row>
    <row r="37">
      <c r="A37" s="223" t="inlineStr">
        <is>
          <t>Flat S4</t>
        </is>
      </c>
      <c r="B37" s="46" t="n">
        <v>0</v>
      </c>
    </row>
    <row r="38">
      <c r="A38" s="223" t="inlineStr">
        <is>
          <t>Flat S5</t>
        </is>
      </c>
      <c r="B38" s="46" t="n">
        <v>0</v>
      </c>
    </row>
    <row r="39">
      <c r="A39" s="223" t="inlineStr">
        <is>
          <t>Flat S6</t>
        </is>
      </c>
      <c r="B39" s="46" t="n">
        <v>0</v>
      </c>
    </row>
    <row r="40">
      <c r="A40" s="223" t="inlineStr">
        <is>
          <t>Flat S7</t>
        </is>
      </c>
      <c r="B40" s="46" t="n">
        <v>0</v>
      </c>
    </row>
    <row r="41">
      <c r="A41" s="223" t="inlineStr">
        <is>
          <t>Flat S8</t>
        </is>
      </c>
      <c r="B41" s="46" t="n">
        <v>0</v>
      </c>
    </row>
    <row r="42">
      <c r="A42" s="223" t="inlineStr">
        <is>
          <t>Flat S9</t>
        </is>
      </c>
      <c r="B42" s="46" t="n">
        <v>0</v>
      </c>
    </row>
    <row r="43">
      <c r="A43" s="223" t="inlineStr">
        <is>
          <t>Flat S10</t>
        </is>
      </c>
      <c r="B43" s="46" t="n">
        <v>0</v>
      </c>
    </row>
    <row r="44">
      <c r="A44" s="223" t="inlineStr">
        <is>
          <t>Flat S11</t>
        </is>
      </c>
      <c r="B44" s="46" t="n">
        <v>0</v>
      </c>
    </row>
    <row r="45">
      <c r="A45" s="223" t="inlineStr">
        <is>
          <t>Flat S12</t>
        </is>
      </c>
      <c r="B45" s="46" t="n">
        <v>0</v>
      </c>
    </row>
    <row r="46">
      <c r="A46" s="223" t="inlineStr">
        <is>
          <t>Flat S13</t>
        </is>
      </c>
      <c r="B46" s="46" t="n">
        <v>0</v>
      </c>
    </row>
    <row r="47">
      <c r="A47" s="223" t="inlineStr">
        <is>
          <t>Flat S14</t>
        </is>
      </c>
      <c r="B47" s="46" t="n">
        <v>0</v>
      </c>
    </row>
    <row r="48">
      <c r="A48" s="223" t="inlineStr">
        <is>
          <t>Flat S15</t>
        </is>
      </c>
      <c r="B48" s="46" t="n">
        <v>0</v>
      </c>
    </row>
    <row r="49">
      <c r="A49" s="223" t="inlineStr">
        <is>
          <t>Flat S16</t>
        </is>
      </c>
      <c r="B49" s="46" t="n">
        <v>0</v>
      </c>
    </row>
    <row r="50">
      <c r="A50" s="223" t="inlineStr">
        <is>
          <t>Flat T1</t>
        </is>
      </c>
      <c r="B50" s="46" t="n">
        <v>0</v>
      </c>
    </row>
    <row r="51">
      <c r="A51" s="223" t="inlineStr">
        <is>
          <t>Flat T2</t>
        </is>
      </c>
      <c r="B51" s="46" t="n">
        <v>0</v>
      </c>
    </row>
    <row r="52">
      <c r="A52" s="223" t="inlineStr">
        <is>
          <t>Flat T3</t>
        </is>
      </c>
      <c r="B52" s="46" t="n">
        <v>0</v>
      </c>
    </row>
    <row r="53">
      <c r="A53" s="223" t="inlineStr">
        <is>
          <t>Flat T4</t>
        </is>
      </c>
      <c r="B53" s="46" t="n">
        <v>0</v>
      </c>
    </row>
    <row r="54">
      <c r="A54" s="223" t="inlineStr">
        <is>
          <t>Flat T5</t>
        </is>
      </c>
      <c r="B54" s="46" t="n">
        <v>0</v>
      </c>
    </row>
    <row r="55">
      <c r="A55" s="223" t="inlineStr">
        <is>
          <t>Flat T6</t>
        </is>
      </c>
      <c r="B55" s="46" t="n">
        <v>0</v>
      </c>
    </row>
    <row r="56">
      <c r="A56" s="223" t="inlineStr">
        <is>
          <t>Flat T7</t>
        </is>
      </c>
      <c r="B56" s="46" t="n">
        <v>0</v>
      </c>
    </row>
    <row r="57">
      <c r="A57" s="223" t="inlineStr">
        <is>
          <t>Flat T8</t>
        </is>
      </c>
      <c r="B57" s="46" t="n">
        <v>0</v>
      </c>
    </row>
    <row r="58">
      <c r="A58" s="223" t="inlineStr">
        <is>
          <t>Flat T9</t>
        </is>
      </c>
      <c r="B58" s="46" t="n">
        <v>0</v>
      </c>
    </row>
    <row r="59">
      <c r="A59" s="223" t="inlineStr">
        <is>
          <t>Flat T10</t>
        </is>
      </c>
      <c r="B59" s="46" t="n">
        <v>0</v>
      </c>
    </row>
    <row r="60">
      <c r="A60" s="223" t="inlineStr">
        <is>
          <t>Flat T11</t>
        </is>
      </c>
      <c r="B60" s="46" t="n">
        <v>0</v>
      </c>
    </row>
    <row r="61">
      <c r="A61" s="223" t="inlineStr">
        <is>
          <t>Flat T12</t>
        </is>
      </c>
      <c r="B61" s="46" t="n">
        <v>0</v>
      </c>
    </row>
    <row r="62">
      <c r="A62" s="223" t="inlineStr">
        <is>
          <t>Flat T13</t>
        </is>
      </c>
      <c r="B62" s="46" t="n">
        <v>0</v>
      </c>
    </row>
    <row r="63">
      <c r="A63" s="223" t="inlineStr">
        <is>
          <t>Flat T14</t>
        </is>
      </c>
      <c r="B63" s="46" t="n">
        <v>0</v>
      </c>
    </row>
    <row r="64">
      <c r="A64" s="223" t="inlineStr">
        <is>
          <t>Flat T15</t>
        </is>
      </c>
      <c r="B64" s="46" t="n">
        <v>0</v>
      </c>
    </row>
    <row r="65">
      <c r="A65" s="223" t="inlineStr">
        <is>
          <t>Flat T16</t>
        </is>
      </c>
      <c r="B65" s="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2026-04-19T11:23:40Z</dcterms:created>
  <dcterms:modified xsi:type="dcterms:W3CDTF">2026-04-19T11:23:41Z</dcterms:modified>
  <cp:lastModifiedBy>Samrat Kar</cp:lastModifiedBy>
</cp:coreProperties>
</file>