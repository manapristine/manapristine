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1_95CA52162BC3580BAAAB84511FFB59444C671230" xr6:coauthVersionLast="47" xr6:coauthVersionMax="47" xr10:uidLastSave="{00000000-0000-0000-0000-000000000000}"/>
  <bookViews>
    <workbookView xWindow="-120" yWindow="-120" windowWidth="29040" windowHeight="15720" tabRatio="954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r:id="rId10"/>
    <sheet name="Aug2026-COLLECTION" sheetId="11" r:id="rId11"/>
    <sheet name="Sep2026-EXPENSE" sheetId="12" r:id="rId12"/>
    <sheet name="Sep2026-COLLECTION" sheetId="13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V15" i="26"/>
  <c r="T15" i="26"/>
  <c r="P15" i="26"/>
  <c r="O15" i="26"/>
  <c r="N15" i="26"/>
  <c r="M15" i="26"/>
  <c r="L15" i="26"/>
  <c r="I15" i="26"/>
  <c r="H15" i="26"/>
  <c r="G15" i="26"/>
  <c r="F15" i="26"/>
  <c r="E15" i="26"/>
  <c r="D15" i="26"/>
  <c r="C15" i="26"/>
  <c r="B15" i="26"/>
  <c r="Y14" i="26"/>
  <c r="V14" i="26"/>
  <c r="W14" i="26" s="1"/>
  <c r="U14" i="26"/>
  <c r="Y13" i="26"/>
  <c r="V13" i="26"/>
  <c r="W13" i="26" s="1"/>
  <c r="U13" i="26"/>
  <c r="V12" i="26"/>
  <c r="U12" i="26"/>
  <c r="Y12" i="26" s="1"/>
  <c r="Y11" i="26"/>
  <c r="V11" i="26"/>
  <c r="W11" i="26" s="1"/>
  <c r="U11" i="26"/>
  <c r="Y10" i="26"/>
  <c r="W10" i="26"/>
  <c r="V10" i="26"/>
  <c r="U10" i="26"/>
  <c r="V9" i="26"/>
  <c r="U9" i="26"/>
  <c r="Y9" i="26" s="1"/>
  <c r="V8" i="26"/>
  <c r="J8" i="26"/>
  <c r="Y7" i="26"/>
  <c r="W7" i="26"/>
  <c r="V7" i="26"/>
  <c r="J7" i="26"/>
  <c r="U7" i="26" s="1"/>
  <c r="V6" i="26"/>
  <c r="R6" i="26"/>
  <c r="U6" i="26" s="1"/>
  <c r="V5" i="26"/>
  <c r="U5" i="26"/>
  <c r="Y5" i="26" s="1"/>
  <c r="J5" i="26"/>
  <c r="V4" i="26"/>
  <c r="Q4" i="26"/>
  <c r="Q15" i="26" s="1"/>
  <c r="K4" i="26"/>
  <c r="U4" i="26" s="1"/>
  <c r="V3" i="26"/>
  <c r="W3" i="26" s="1"/>
  <c r="U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D69" i="24"/>
  <c r="E69" i="24" s="1"/>
  <c r="B69" i="24"/>
  <c r="E68" i="24"/>
  <c r="D68" i="24"/>
  <c r="B68" i="24"/>
  <c r="D67" i="24"/>
  <c r="E67" i="24" s="1"/>
  <c r="B67" i="24"/>
  <c r="D66" i="24"/>
  <c r="E66" i="24" s="1"/>
  <c r="B66" i="24"/>
  <c r="D65" i="24"/>
  <c r="E65" i="24" s="1"/>
  <c r="B65" i="24"/>
  <c r="K64" i="24"/>
  <c r="E64" i="24"/>
  <c r="D64" i="24"/>
  <c r="B64" i="24"/>
  <c r="D63" i="24"/>
  <c r="E63" i="24" s="1"/>
  <c r="B63" i="24"/>
  <c r="E62" i="24"/>
  <c r="D62" i="24"/>
  <c r="B62" i="24"/>
  <c r="D61" i="24"/>
  <c r="E61" i="24" s="1"/>
  <c r="B61" i="24"/>
  <c r="E60" i="24"/>
  <c r="D60" i="24"/>
  <c r="B60" i="24"/>
  <c r="K59" i="24"/>
  <c r="D59" i="24"/>
  <c r="E59" i="24" s="1"/>
  <c r="B59" i="24"/>
  <c r="E58" i="24"/>
  <c r="D58" i="24"/>
  <c r="B58" i="24"/>
  <c r="D57" i="24"/>
  <c r="E57" i="24" s="1"/>
  <c r="B57" i="24"/>
  <c r="E56" i="24"/>
  <c r="D56" i="24"/>
  <c r="B56" i="24"/>
  <c r="D55" i="24"/>
  <c r="E55" i="24" s="1"/>
  <c r="B55" i="24"/>
  <c r="E54" i="24"/>
  <c r="D54" i="24"/>
  <c r="B54" i="24"/>
  <c r="D53" i="24"/>
  <c r="E53" i="24" s="1"/>
  <c r="B53" i="24"/>
  <c r="K52" i="24"/>
  <c r="E52" i="24"/>
  <c r="D52" i="24"/>
  <c r="B52" i="24"/>
  <c r="D51" i="24"/>
  <c r="E51" i="24" s="1"/>
  <c r="B51" i="24"/>
  <c r="E50" i="24"/>
  <c r="D50" i="24"/>
  <c r="B50" i="24"/>
  <c r="D49" i="24"/>
  <c r="E49" i="24" s="1"/>
  <c r="B49" i="24"/>
  <c r="E48" i="24"/>
  <c r="D48" i="24"/>
  <c r="B48" i="24"/>
  <c r="K47" i="24"/>
  <c r="D47" i="24"/>
  <c r="E47" i="24" s="1"/>
  <c r="B47" i="24"/>
  <c r="E46" i="24"/>
  <c r="D46" i="24"/>
  <c r="B46" i="24"/>
  <c r="D45" i="24"/>
  <c r="E45" i="24" s="1"/>
  <c r="B45" i="24"/>
  <c r="E44" i="24"/>
  <c r="D44" i="24"/>
  <c r="B44" i="24"/>
  <c r="I43" i="24"/>
  <c r="D43" i="24"/>
  <c r="E43" i="24" s="1"/>
  <c r="B43" i="24"/>
  <c r="D42" i="24"/>
  <c r="E42" i="24" s="1"/>
  <c r="B42" i="24"/>
  <c r="D41" i="24"/>
  <c r="E41" i="24" s="1"/>
  <c r="B41" i="24"/>
  <c r="E40" i="24"/>
  <c r="D40" i="24"/>
  <c r="B40" i="24"/>
  <c r="D39" i="24"/>
  <c r="E39" i="24" s="1"/>
  <c r="B39" i="24"/>
  <c r="D38" i="24"/>
  <c r="E38" i="24" s="1"/>
  <c r="B38" i="24"/>
  <c r="D37" i="24"/>
  <c r="E37" i="24" s="1"/>
  <c r="B37" i="24"/>
  <c r="K36" i="24"/>
  <c r="E36" i="24"/>
  <c r="D36" i="24"/>
  <c r="B36" i="24"/>
  <c r="D35" i="24"/>
  <c r="E35" i="24" s="1"/>
  <c r="B35" i="24"/>
  <c r="E34" i="24"/>
  <c r="D34" i="24"/>
  <c r="B34" i="24"/>
  <c r="D33" i="24"/>
  <c r="E33" i="24" s="1"/>
  <c r="B33" i="24"/>
  <c r="E32" i="24"/>
  <c r="D32" i="24"/>
  <c r="B32" i="24"/>
  <c r="D31" i="24"/>
  <c r="E31" i="24" s="1"/>
  <c r="B31" i="24"/>
  <c r="E30" i="24"/>
  <c r="D30" i="24"/>
  <c r="B30" i="24"/>
  <c r="D29" i="24"/>
  <c r="E29" i="24" s="1"/>
  <c r="B29" i="24"/>
  <c r="E28" i="24"/>
  <c r="D28" i="24"/>
  <c r="B28" i="24"/>
  <c r="K27" i="24"/>
  <c r="D27" i="24"/>
  <c r="E27" i="24" s="1"/>
  <c r="B27" i="24"/>
  <c r="D26" i="24"/>
  <c r="E26" i="24" s="1"/>
  <c r="B26" i="24"/>
  <c r="D25" i="24"/>
  <c r="E25" i="24" s="1"/>
  <c r="B25" i="24"/>
  <c r="E24" i="24"/>
  <c r="D24" i="24"/>
  <c r="B24" i="24"/>
  <c r="K23" i="24"/>
  <c r="D23" i="24"/>
  <c r="E23" i="24" s="1"/>
  <c r="B23" i="24"/>
  <c r="E22" i="24"/>
  <c r="D22" i="24"/>
  <c r="B22" i="24"/>
  <c r="D21" i="24"/>
  <c r="E21" i="24" s="1"/>
  <c r="B21" i="24"/>
  <c r="E20" i="24"/>
  <c r="D20" i="24"/>
  <c r="B20" i="24"/>
  <c r="D19" i="24"/>
  <c r="E19" i="24" s="1"/>
  <c r="B19" i="24"/>
  <c r="D18" i="24"/>
  <c r="E18" i="24" s="1"/>
  <c r="B18" i="24"/>
  <c r="F17" i="24"/>
  <c r="G17" i="24" s="1"/>
  <c r="D17" i="24"/>
  <c r="E17" i="24" s="1"/>
  <c r="B17" i="24"/>
  <c r="E16" i="24"/>
  <c r="D16" i="24"/>
  <c r="B16" i="24"/>
  <c r="I15" i="24"/>
  <c r="D15" i="24"/>
  <c r="E15" i="24" s="1"/>
  <c r="B15" i="24"/>
  <c r="D14" i="24"/>
  <c r="E14" i="24" s="1"/>
  <c r="B14" i="24"/>
  <c r="D13" i="24"/>
  <c r="E13" i="24" s="1"/>
  <c r="B13" i="24"/>
  <c r="D12" i="24"/>
  <c r="E12" i="24" s="1"/>
  <c r="B12" i="24"/>
  <c r="T11" i="24"/>
  <c r="K67" i="24" s="1"/>
  <c r="I11" i="24"/>
  <c r="E11" i="24"/>
  <c r="D11" i="24"/>
  <c r="B11" i="24"/>
  <c r="E10" i="24"/>
  <c r="D10" i="24"/>
  <c r="B10" i="24"/>
  <c r="D9" i="24"/>
  <c r="E9" i="24" s="1"/>
  <c r="B9" i="24"/>
  <c r="E8" i="24"/>
  <c r="D8" i="24"/>
  <c r="B8" i="24"/>
  <c r="T7" i="24"/>
  <c r="E7" i="24"/>
  <c r="D7" i="24"/>
  <c r="B7" i="24"/>
  <c r="E6" i="24"/>
  <c r="D6" i="24"/>
  <c r="B6" i="24"/>
  <c r="T5" i="24"/>
  <c r="T4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E69" i="22"/>
  <c r="D69" i="22"/>
  <c r="B69" i="22"/>
  <c r="F68" i="22"/>
  <c r="G68" i="22" s="1"/>
  <c r="E68" i="22"/>
  <c r="D68" i="22"/>
  <c r="B68" i="22"/>
  <c r="D67" i="22"/>
  <c r="E67" i="22" s="1"/>
  <c r="B67" i="22"/>
  <c r="E66" i="22"/>
  <c r="D66" i="22"/>
  <c r="B66" i="22"/>
  <c r="F65" i="22"/>
  <c r="G65" i="22" s="1"/>
  <c r="D65" i="22"/>
  <c r="E65" i="22" s="1"/>
  <c r="B65" i="22"/>
  <c r="E64" i="22"/>
  <c r="D64" i="22"/>
  <c r="B64" i="22"/>
  <c r="E63" i="22"/>
  <c r="D63" i="22"/>
  <c r="B63" i="22"/>
  <c r="E62" i="22"/>
  <c r="D62" i="22"/>
  <c r="B62" i="22"/>
  <c r="D61" i="22"/>
  <c r="E61" i="22" s="1"/>
  <c r="B61" i="22"/>
  <c r="E60" i="22"/>
  <c r="D60" i="22"/>
  <c r="B60" i="22"/>
  <c r="G59" i="22"/>
  <c r="F59" i="22"/>
  <c r="D59" i="22"/>
  <c r="E59" i="22" s="1"/>
  <c r="B59" i="22"/>
  <c r="E58" i="22"/>
  <c r="D58" i="22"/>
  <c r="B58" i="22"/>
  <c r="D57" i="22"/>
  <c r="E57" i="22" s="1"/>
  <c r="B57" i="22"/>
  <c r="F56" i="22"/>
  <c r="G56" i="22" s="1"/>
  <c r="E56" i="22"/>
  <c r="D56" i="22"/>
  <c r="B56" i="22"/>
  <c r="D55" i="22"/>
  <c r="E55" i="22" s="1"/>
  <c r="B55" i="22"/>
  <c r="E54" i="22"/>
  <c r="D54" i="22"/>
  <c r="B54" i="22"/>
  <c r="F53" i="22"/>
  <c r="G53" i="22" s="1"/>
  <c r="D53" i="22"/>
  <c r="E53" i="22" s="1"/>
  <c r="B53" i="22"/>
  <c r="E52" i="22"/>
  <c r="D52" i="22"/>
  <c r="B52" i="22"/>
  <c r="D51" i="22"/>
  <c r="E51" i="22" s="1"/>
  <c r="B51" i="22"/>
  <c r="D50" i="22"/>
  <c r="E50" i="22" s="1"/>
  <c r="B50" i="22"/>
  <c r="F49" i="22"/>
  <c r="G49" i="22" s="1"/>
  <c r="D49" i="22"/>
  <c r="E49" i="22" s="1"/>
  <c r="B49" i="22"/>
  <c r="E48" i="22"/>
  <c r="D48" i="22"/>
  <c r="B48" i="22"/>
  <c r="E47" i="22"/>
  <c r="D47" i="22"/>
  <c r="B47" i="22"/>
  <c r="F46" i="22"/>
  <c r="G46" i="22" s="1"/>
  <c r="D46" i="22"/>
  <c r="E46" i="22" s="1"/>
  <c r="B46" i="22"/>
  <c r="F45" i="22"/>
  <c r="G45" i="22" s="1"/>
  <c r="D45" i="22"/>
  <c r="E45" i="22" s="1"/>
  <c r="B45" i="22"/>
  <c r="E44" i="22"/>
  <c r="D44" i="22"/>
  <c r="B44" i="22"/>
  <c r="D43" i="22"/>
  <c r="E43" i="22" s="1"/>
  <c r="B43" i="22"/>
  <c r="F42" i="22"/>
  <c r="G42" i="22" s="1"/>
  <c r="E42" i="22"/>
  <c r="D42" i="22"/>
  <c r="B42" i="22"/>
  <c r="D41" i="22"/>
  <c r="E41" i="22" s="1"/>
  <c r="B41" i="22"/>
  <c r="E40" i="22"/>
  <c r="D40" i="22"/>
  <c r="B40" i="22"/>
  <c r="D39" i="22"/>
  <c r="E39" i="22" s="1"/>
  <c r="B39" i="22"/>
  <c r="F38" i="22"/>
  <c r="G38" i="22" s="1"/>
  <c r="D38" i="22"/>
  <c r="E38" i="22" s="1"/>
  <c r="B38" i="22"/>
  <c r="E37" i="22"/>
  <c r="D37" i="22"/>
  <c r="B37" i="22"/>
  <c r="E36" i="22"/>
  <c r="D36" i="22"/>
  <c r="B36" i="22"/>
  <c r="F35" i="22"/>
  <c r="G35" i="22" s="1"/>
  <c r="D35" i="22"/>
  <c r="E35" i="22" s="1"/>
  <c r="B35" i="22"/>
  <c r="D34" i="22"/>
  <c r="E34" i="22" s="1"/>
  <c r="B34" i="22"/>
  <c r="D33" i="22"/>
  <c r="E33" i="22" s="1"/>
  <c r="B33" i="22"/>
  <c r="F32" i="22"/>
  <c r="G32" i="22" s="1"/>
  <c r="E32" i="22"/>
  <c r="D32" i="22"/>
  <c r="B32" i="22"/>
  <c r="F31" i="22"/>
  <c r="G31" i="22" s="1"/>
  <c r="D31" i="22"/>
  <c r="E31" i="22" s="1"/>
  <c r="B31" i="22"/>
  <c r="E30" i="22"/>
  <c r="D30" i="22"/>
  <c r="B30" i="22"/>
  <c r="F29" i="22"/>
  <c r="G29" i="22" s="1"/>
  <c r="D29" i="22"/>
  <c r="E29" i="22" s="1"/>
  <c r="B29" i="22"/>
  <c r="E28" i="22"/>
  <c r="D28" i="22"/>
  <c r="B28" i="22"/>
  <c r="D27" i="22"/>
  <c r="E27" i="22" s="1"/>
  <c r="B27" i="22"/>
  <c r="E26" i="22"/>
  <c r="D26" i="22"/>
  <c r="B26" i="22"/>
  <c r="G25" i="22"/>
  <c r="F25" i="22"/>
  <c r="D25" i="22"/>
  <c r="E25" i="22" s="1"/>
  <c r="B25" i="22"/>
  <c r="E24" i="22"/>
  <c r="D24" i="22"/>
  <c r="B24" i="22"/>
  <c r="D23" i="22"/>
  <c r="E23" i="22" s="1"/>
  <c r="B23" i="22"/>
  <c r="E22" i="22"/>
  <c r="D22" i="22"/>
  <c r="B22" i="22"/>
  <c r="E21" i="22"/>
  <c r="D21" i="22"/>
  <c r="B21" i="22"/>
  <c r="T20" i="22"/>
  <c r="G20" i="22"/>
  <c r="F20" i="22"/>
  <c r="E20" i="22"/>
  <c r="D20" i="22"/>
  <c r="B20" i="22"/>
  <c r="E19" i="22"/>
  <c r="D19" i="22"/>
  <c r="B19" i="22"/>
  <c r="T18" i="22"/>
  <c r="T19" i="22" s="1"/>
  <c r="T21" i="22" s="1"/>
  <c r="E18" i="22"/>
  <c r="D18" i="22"/>
  <c r="B18" i="22"/>
  <c r="E17" i="22"/>
  <c r="D17" i="22"/>
  <c r="B17" i="22"/>
  <c r="E16" i="22"/>
  <c r="D16" i="22"/>
  <c r="B16" i="22"/>
  <c r="F15" i="22"/>
  <c r="G15" i="22" s="1"/>
  <c r="E15" i="22"/>
  <c r="D15" i="22"/>
  <c r="B15" i="22"/>
  <c r="F14" i="22"/>
  <c r="G14" i="22" s="1"/>
  <c r="E14" i="22"/>
  <c r="D14" i="22"/>
  <c r="B14" i="22"/>
  <c r="D13" i="22"/>
  <c r="E13" i="22" s="1"/>
  <c r="B13" i="22"/>
  <c r="F12" i="22"/>
  <c r="G12" i="22" s="1"/>
  <c r="D12" i="22"/>
  <c r="E12" i="22" s="1"/>
  <c r="B12" i="22"/>
  <c r="F11" i="22"/>
  <c r="G11" i="22" s="1"/>
  <c r="D11" i="22"/>
  <c r="E11" i="22" s="1"/>
  <c r="B11" i="22"/>
  <c r="D10" i="22"/>
  <c r="E10" i="22" s="1"/>
  <c r="B10" i="22"/>
  <c r="F9" i="22"/>
  <c r="G9" i="22" s="1"/>
  <c r="E9" i="22"/>
  <c r="D9" i="22"/>
  <c r="B9" i="22"/>
  <c r="D8" i="22"/>
  <c r="E8" i="22" s="1"/>
  <c r="B8" i="22"/>
  <c r="T7" i="22"/>
  <c r="E7" i="22"/>
  <c r="D7" i="22"/>
  <c r="B7" i="22"/>
  <c r="G6" i="22"/>
  <c r="F6" i="22"/>
  <c r="D6" i="22"/>
  <c r="E6" i="22" s="1"/>
  <c r="B6" i="22"/>
  <c r="T5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K66" i="21" s="1"/>
  <c r="B2" i="21"/>
  <c r="O70" i="20"/>
  <c r="N70" i="20"/>
  <c r="M70" i="20"/>
  <c r="L70" i="20"/>
  <c r="H70" i="20"/>
  <c r="F70" i="20"/>
  <c r="C70" i="20"/>
  <c r="F54" i="20" s="1"/>
  <c r="D69" i="20"/>
  <c r="E69" i="20" s="1"/>
  <c r="B69" i="20"/>
  <c r="E68" i="20"/>
  <c r="D68" i="20"/>
  <c r="B68" i="20"/>
  <c r="I67" i="20"/>
  <c r="F67" i="20"/>
  <c r="D67" i="20"/>
  <c r="E67" i="20" s="1"/>
  <c r="B67" i="20"/>
  <c r="E66" i="20"/>
  <c r="D66" i="20"/>
  <c r="B66" i="20"/>
  <c r="D65" i="20"/>
  <c r="E65" i="20" s="1"/>
  <c r="B65" i="20"/>
  <c r="I64" i="20"/>
  <c r="F64" i="20"/>
  <c r="D64" i="20"/>
  <c r="E64" i="20" s="1"/>
  <c r="B64" i="20"/>
  <c r="E63" i="20"/>
  <c r="D63" i="20"/>
  <c r="B63" i="20"/>
  <c r="E62" i="20"/>
  <c r="D62" i="20"/>
  <c r="B62" i="20"/>
  <c r="E61" i="20"/>
  <c r="D61" i="20"/>
  <c r="B61" i="20"/>
  <c r="F60" i="20"/>
  <c r="D60" i="20"/>
  <c r="E60" i="20" s="1"/>
  <c r="B60" i="20"/>
  <c r="D59" i="20"/>
  <c r="E59" i="20" s="1"/>
  <c r="B59" i="20"/>
  <c r="F58" i="20"/>
  <c r="E58" i="20"/>
  <c r="D58" i="20"/>
  <c r="B58" i="20"/>
  <c r="I57" i="20"/>
  <c r="F57" i="20"/>
  <c r="D57" i="20"/>
  <c r="E57" i="20" s="1"/>
  <c r="B57" i="20"/>
  <c r="D56" i="20"/>
  <c r="E56" i="20" s="1"/>
  <c r="B56" i="20"/>
  <c r="D55" i="20"/>
  <c r="E55" i="20" s="1"/>
  <c r="B55" i="20"/>
  <c r="E54" i="20"/>
  <c r="D54" i="20"/>
  <c r="B54" i="20"/>
  <c r="F53" i="20"/>
  <c r="D53" i="20"/>
  <c r="E53" i="20" s="1"/>
  <c r="B53" i="20"/>
  <c r="D52" i="20"/>
  <c r="E52" i="20" s="1"/>
  <c r="B52" i="20"/>
  <c r="E51" i="20"/>
  <c r="D51" i="20"/>
  <c r="B51" i="20"/>
  <c r="I50" i="20"/>
  <c r="E50" i="20"/>
  <c r="D50" i="20"/>
  <c r="B50" i="20"/>
  <c r="D49" i="20"/>
  <c r="E49" i="20" s="1"/>
  <c r="B49" i="20"/>
  <c r="D48" i="20"/>
  <c r="E48" i="20" s="1"/>
  <c r="B48" i="20"/>
  <c r="F47" i="20"/>
  <c r="D47" i="20"/>
  <c r="E47" i="20" s="1"/>
  <c r="B47" i="20"/>
  <c r="F46" i="20"/>
  <c r="E46" i="20"/>
  <c r="D46" i="20"/>
  <c r="B46" i="20"/>
  <c r="D45" i="20"/>
  <c r="E45" i="20" s="1"/>
  <c r="B45" i="20"/>
  <c r="F44" i="20"/>
  <c r="E44" i="20"/>
  <c r="D44" i="20"/>
  <c r="B44" i="20"/>
  <c r="I43" i="20"/>
  <c r="F43" i="20"/>
  <c r="D43" i="20"/>
  <c r="E43" i="20" s="1"/>
  <c r="B43" i="20"/>
  <c r="E42" i="20"/>
  <c r="D42" i="20"/>
  <c r="B42" i="20"/>
  <c r="D41" i="20"/>
  <c r="E41" i="20" s="1"/>
  <c r="B41" i="20"/>
  <c r="I40" i="20"/>
  <c r="F40" i="20"/>
  <c r="D40" i="20"/>
  <c r="E40" i="20" s="1"/>
  <c r="B40" i="20"/>
  <c r="D39" i="20"/>
  <c r="E39" i="20" s="1"/>
  <c r="B39" i="20"/>
  <c r="E38" i="20"/>
  <c r="D38" i="20"/>
  <c r="B38" i="20"/>
  <c r="F37" i="20"/>
  <c r="E37" i="20"/>
  <c r="D37" i="20"/>
  <c r="B37" i="20"/>
  <c r="F36" i="20"/>
  <c r="D36" i="20"/>
  <c r="E36" i="20" s="1"/>
  <c r="B36" i="20"/>
  <c r="D35" i="20"/>
  <c r="E35" i="20" s="1"/>
  <c r="B35" i="20"/>
  <c r="F34" i="20"/>
  <c r="E34" i="20"/>
  <c r="D34" i="20"/>
  <c r="B34" i="20"/>
  <c r="I33" i="20"/>
  <c r="F33" i="20"/>
  <c r="D33" i="20"/>
  <c r="E33" i="20" s="1"/>
  <c r="B33" i="20"/>
  <c r="E32" i="20"/>
  <c r="D32" i="20"/>
  <c r="B32" i="20"/>
  <c r="D31" i="20"/>
  <c r="E31" i="20" s="1"/>
  <c r="B31" i="20"/>
  <c r="E30" i="20"/>
  <c r="D30" i="20"/>
  <c r="B30" i="20"/>
  <c r="F29" i="20"/>
  <c r="D29" i="20"/>
  <c r="E29" i="20" s="1"/>
  <c r="B29" i="20"/>
  <c r="F28" i="20"/>
  <c r="D28" i="20"/>
  <c r="E28" i="20" s="1"/>
  <c r="B28" i="20"/>
  <c r="F27" i="20"/>
  <c r="E27" i="20"/>
  <c r="D27" i="20"/>
  <c r="B27" i="20"/>
  <c r="I26" i="20"/>
  <c r="E26" i="20"/>
  <c r="D26" i="20"/>
  <c r="B26" i="20"/>
  <c r="D25" i="20"/>
  <c r="E25" i="20" s="1"/>
  <c r="B25" i="20"/>
  <c r="F24" i="20"/>
  <c r="D24" i="20"/>
  <c r="E24" i="20" s="1"/>
  <c r="B24" i="20"/>
  <c r="D23" i="20"/>
  <c r="E23" i="20" s="1"/>
  <c r="B23" i="20"/>
  <c r="F22" i="20"/>
  <c r="D22" i="20"/>
  <c r="E22" i="20" s="1"/>
  <c r="B22" i="20"/>
  <c r="D21" i="20"/>
  <c r="E21" i="20" s="1"/>
  <c r="B21" i="20"/>
  <c r="T20" i="20"/>
  <c r="E20" i="20"/>
  <c r="D20" i="20"/>
  <c r="B20" i="20"/>
  <c r="T19" i="20"/>
  <c r="F19" i="20"/>
  <c r="E19" i="20"/>
  <c r="D19" i="20"/>
  <c r="B19" i="20"/>
  <c r="T18" i="20"/>
  <c r="D18" i="20"/>
  <c r="E18" i="20" s="1"/>
  <c r="B18" i="20"/>
  <c r="F17" i="20"/>
  <c r="G17" i="20" s="1"/>
  <c r="D17" i="20"/>
  <c r="E17" i="20" s="1"/>
  <c r="B17" i="20"/>
  <c r="D16" i="20"/>
  <c r="E16" i="20" s="1"/>
  <c r="B16" i="20"/>
  <c r="F15" i="20"/>
  <c r="D15" i="20"/>
  <c r="E15" i="20" s="1"/>
  <c r="B15" i="20"/>
  <c r="F14" i="20"/>
  <c r="D14" i="20"/>
  <c r="E14" i="20" s="1"/>
  <c r="B14" i="20"/>
  <c r="I13" i="20"/>
  <c r="E13" i="20"/>
  <c r="D13" i="20"/>
  <c r="B13" i="20"/>
  <c r="E12" i="20"/>
  <c r="D12" i="20"/>
  <c r="B12" i="20"/>
  <c r="F11" i="20"/>
  <c r="E11" i="20"/>
  <c r="D11" i="20"/>
  <c r="B11" i="20"/>
  <c r="F10" i="20"/>
  <c r="E10" i="20"/>
  <c r="D10" i="20"/>
  <c r="B10" i="20"/>
  <c r="F9" i="20"/>
  <c r="D9" i="20"/>
  <c r="E9" i="20" s="1"/>
  <c r="B9" i="20"/>
  <c r="I8" i="20"/>
  <c r="E8" i="20"/>
  <c r="D8" i="20"/>
  <c r="B8" i="20"/>
  <c r="T7" i="20"/>
  <c r="I58" i="20" s="1"/>
  <c r="F7" i="20"/>
  <c r="E7" i="20"/>
  <c r="D7" i="20"/>
  <c r="B7" i="20"/>
  <c r="F6" i="20"/>
  <c r="E6" i="20"/>
  <c r="D6" i="20"/>
  <c r="B6" i="20"/>
  <c r="T5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F70" i="18"/>
  <c r="C70" i="18"/>
  <c r="F68" i="18" s="1"/>
  <c r="D69" i="18"/>
  <c r="E69" i="18" s="1"/>
  <c r="B69" i="18"/>
  <c r="G68" i="18"/>
  <c r="E68" i="18"/>
  <c r="D68" i="18"/>
  <c r="B68" i="18"/>
  <c r="F67" i="18"/>
  <c r="D67" i="18"/>
  <c r="E67" i="18" s="1"/>
  <c r="B67" i="18"/>
  <c r="F66" i="18"/>
  <c r="G66" i="18" s="1"/>
  <c r="D66" i="18"/>
  <c r="E66" i="18" s="1"/>
  <c r="B66" i="18"/>
  <c r="F65" i="18"/>
  <c r="D65" i="18"/>
  <c r="E65" i="18" s="1"/>
  <c r="B65" i="18"/>
  <c r="F64" i="18"/>
  <c r="E64" i="18"/>
  <c r="D64" i="18"/>
  <c r="B64" i="18"/>
  <c r="K63" i="18"/>
  <c r="F63" i="18"/>
  <c r="D63" i="18"/>
  <c r="E63" i="18" s="1"/>
  <c r="B63" i="18"/>
  <c r="F62" i="18"/>
  <c r="D62" i="18"/>
  <c r="E62" i="18" s="1"/>
  <c r="B62" i="18"/>
  <c r="K61" i="18"/>
  <c r="F61" i="18"/>
  <c r="D61" i="18"/>
  <c r="E61" i="18" s="1"/>
  <c r="B61" i="18"/>
  <c r="G60" i="18"/>
  <c r="F60" i="18"/>
  <c r="E60" i="18"/>
  <c r="D60" i="18"/>
  <c r="B60" i="18"/>
  <c r="K59" i="18"/>
  <c r="F59" i="18"/>
  <c r="D59" i="18"/>
  <c r="E59" i="18" s="1"/>
  <c r="B59" i="18"/>
  <c r="G58" i="18"/>
  <c r="F58" i="18"/>
  <c r="D58" i="18"/>
  <c r="E58" i="18" s="1"/>
  <c r="B58" i="18"/>
  <c r="K57" i="18"/>
  <c r="F57" i="18"/>
  <c r="D57" i="18"/>
  <c r="E57" i="18" s="1"/>
  <c r="B57" i="18"/>
  <c r="F56" i="18"/>
  <c r="G56" i="18" s="1"/>
  <c r="E56" i="18"/>
  <c r="D56" i="18"/>
  <c r="B56" i="18"/>
  <c r="K55" i="18"/>
  <c r="F55" i="18"/>
  <c r="G55" i="18" s="1"/>
  <c r="D55" i="18"/>
  <c r="E55" i="18" s="1"/>
  <c r="B55" i="18"/>
  <c r="F54" i="18"/>
  <c r="G54" i="18" s="1"/>
  <c r="D54" i="18"/>
  <c r="E54" i="18" s="1"/>
  <c r="B54" i="18"/>
  <c r="I53" i="18"/>
  <c r="F53" i="18"/>
  <c r="G53" i="18" s="1"/>
  <c r="D53" i="18"/>
  <c r="E53" i="18" s="1"/>
  <c r="B53" i="18"/>
  <c r="F52" i="18"/>
  <c r="G52" i="18" s="1"/>
  <c r="E52" i="18"/>
  <c r="D52" i="18"/>
  <c r="B52" i="18"/>
  <c r="K51" i="18"/>
  <c r="G51" i="18"/>
  <c r="F51" i="18"/>
  <c r="D51" i="18"/>
  <c r="E51" i="18" s="1"/>
  <c r="B51" i="18"/>
  <c r="G50" i="18"/>
  <c r="F50" i="18"/>
  <c r="D50" i="18"/>
  <c r="E50" i="18" s="1"/>
  <c r="B50" i="18"/>
  <c r="K49" i="18"/>
  <c r="F49" i="18"/>
  <c r="D49" i="18"/>
  <c r="E49" i="18" s="1"/>
  <c r="B49" i="18"/>
  <c r="G48" i="18"/>
  <c r="F48" i="18"/>
  <c r="E48" i="18"/>
  <c r="D48" i="18"/>
  <c r="B48" i="18"/>
  <c r="K47" i="18"/>
  <c r="F47" i="18"/>
  <c r="G47" i="18" s="1"/>
  <c r="D47" i="18"/>
  <c r="E47" i="18" s="1"/>
  <c r="B47" i="18"/>
  <c r="F46" i="18"/>
  <c r="D46" i="18"/>
  <c r="E46" i="18" s="1"/>
  <c r="B46" i="18"/>
  <c r="K45" i="18"/>
  <c r="F45" i="18"/>
  <c r="D45" i="18"/>
  <c r="E45" i="18" s="1"/>
  <c r="B45" i="18"/>
  <c r="F44" i="18"/>
  <c r="E44" i="18"/>
  <c r="D44" i="18"/>
  <c r="B44" i="18"/>
  <c r="K43" i="18"/>
  <c r="F43" i="18"/>
  <c r="G43" i="18" s="1"/>
  <c r="D43" i="18"/>
  <c r="E43" i="18" s="1"/>
  <c r="B43" i="18"/>
  <c r="F42" i="18"/>
  <c r="G42" i="18" s="1"/>
  <c r="D42" i="18"/>
  <c r="E42" i="18" s="1"/>
  <c r="B42" i="18"/>
  <c r="F41" i="18"/>
  <c r="D41" i="18"/>
  <c r="E41" i="18" s="1"/>
  <c r="B41" i="18"/>
  <c r="G40" i="18"/>
  <c r="F40" i="18"/>
  <c r="E40" i="18"/>
  <c r="D40" i="18"/>
  <c r="B40" i="18"/>
  <c r="F39" i="18"/>
  <c r="G39" i="18" s="1"/>
  <c r="E39" i="18"/>
  <c r="D39" i="18"/>
  <c r="B39" i="18"/>
  <c r="G38" i="18"/>
  <c r="F38" i="18"/>
  <c r="D38" i="18"/>
  <c r="E38" i="18" s="1"/>
  <c r="B38" i="18"/>
  <c r="F37" i="18"/>
  <c r="D37" i="18"/>
  <c r="E37" i="18" s="1"/>
  <c r="B37" i="18"/>
  <c r="K36" i="18"/>
  <c r="F36" i="18"/>
  <c r="G36" i="18" s="1"/>
  <c r="E36" i="18"/>
  <c r="D36" i="18"/>
  <c r="B36" i="18"/>
  <c r="F35" i="18"/>
  <c r="G35" i="18" s="1"/>
  <c r="E35" i="18"/>
  <c r="D35" i="18"/>
  <c r="B35" i="18"/>
  <c r="F34" i="18"/>
  <c r="G34" i="18" s="1"/>
  <c r="D34" i="18"/>
  <c r="E34" i="18" s="1"/>
  <c r="B34" i="18"/>
  <c r="F33" i="18"/>
  <c r="G33" i="18" s="1"/>
  <c r="D33" i="18"/>
  <c r="E33" i="18" s="1"/>
  <c r="B33" i="18"/>
  <c r="G32" i="18"/>
  <c r="F32" i="18"/>
  <c r="E32" i="18"/>
  <c r="D32" i="18"/>
  <c r="B32" i="18"/>
  <c r="K31" i="18"/>
  <c r="F31" i="18"/>
  <c r="G31" i="18" s="1"/>
  <c r="D31" i="18"/>
  <c r="E31" i="18" s="1"/>
  <c r="B31" i="18"/>
  <c r="F30" i="18"/>
  <c r="G30" i="18" s="1"/>
  <c r="D30" i="18"/>
  <c r="E30" i="18" s="1"/>
  <c r="B30" i="18"/>
  <c r="F29" i="18"/>
  <c r="G29" i="18" s="1"/>
  <c r="D29" i="18"/>
  <c r="E29" i="18" s="1"/>
  <c r="B29" i="18"/>
  <c r="K28" i="18"/>
  <c r="I28" i="18"/>
  <c r="F28" i="18"/>
  <c r="G28" i="18" s="1"/>
  <c r="E28" i="18"/>
  <c r="D28" i="18"/>
  <c r="B28" i="18"/>
  <c r="F27" i="18"/>
  <c r="G27" i="18" s="1"/>
  <c r="E27" i="18"/>
  <c r="D27" i="18"/>
  <c r="B27" i="18"/>
  <c r="F26" i="18"/>
  <c r="G26" i="18" s="1"/>
  <c r="E26" i="18"/>
  <c r="D26" i="18"/>
  <c r="B26" i="18"/>
  <c r="K25" i="18"/>
  <c r="F25" i="18"/>
  <c r="G25" i="18" s="1"/>
  <c r="D25" i="18"/>
  <c r="E25" i="18" s="1"/>
  <c r="B25" i="18"/>
  <c r="F24" i="18"/>
  <c r="G24" i="18" s="1"/>
  <c r="D24" i="18"/>
  <c r="E24" i="18" s="1"/>
  <c r="B24" i="18"/>
  <c r="F23" i="18"/>
  <c r="G23" i="18" s="1"/>
  <c r="E23" i="18"/>
  <c r="D23" i="18"/>
  <c r="B23" i="18"/>
  <c r="K22" i="18"/>
  <c r="F22" i="18"/>
  <c r="G22" i="18" s="1"/>
  <c r="D22" i="18"/>
  <c r="E22" i="18" s="1"/>
  <c r="B22" i="18"/>
  <c r="F21" i="18"/>
  <c r="G21" i="18" s="1"/>
  <c r="D21" i="18"/>
  <c r="E21" i="18" s="1"/>
  <c r="B21" i="18"/>
  <c r="T20" i="18"/>
  <c r="F20" i="18"/>
  <c r="D20" i="18"/>
  <c r="E20" i="18" s="1"/>
  <c r="B20" i="18"/>
  <c r="F19" i="18"/>
  <c r="G19" i="18" s="1"/>
  <c r="E19" i="18"/>
  <c r="D19" i="18"/>
  <c r="B19" i="18"/>
  <c r="T18" i="18"/>
  <c r="T19" i="18" s="1"/>
  <c r="K18" i="18"/>
  <c r="F18" i="18"/>
  <c r="G18" i="18" s="1"/>
  <c r="D18" i="18"/>
  <c r="E18" i="18" s="1"/>
  <c r="B18" i="18"/>
  <c r="F17" i="18"/>
  <c r="G17" i="18" s="1"/>
  <c r="E17" i="18"/>
  <c r="D17" i="18"/>
  <c r="B17" i="18"/>
  <c r="F16" i="18"/>
  <c r="D16" i="18"/>
  <c r="E16" i="18" s="1"/>
  <c r="B16" i="18"/>
  <c r="K15" i="18"/>
  <c r="F15" i="18"/>
  <c r="G15" i="18" s="1"/>
  <c r="D15" i="18"/>
  <c r="E15" i="18" s="1"/>
  <c r="B15" i="18"/>
  <c r="I14" i="18"/>
  <c r="G14" i="18"/>
  <c r="F14" i="18"/>
  <c r="D14" i="18"/>
  <c r="E14" i="18" s="1"/>
  <c r="B14" i="18"/>
  <c r="K13" i="18"/>
  <c r="F13" i="18"/>
  <c r="G13" i="18" s="1"/>
  <c r="E13" i="18"/>
  <c r="D13" i="18"/>
  <c r="B13" i="18"/>
  <c r="E12" i="18"/>
  <c r="D12" i="18"/>
  <c r="B12" i="18"/>
  <c r="T11" i="18"/>
  <c r="K11" i="18"/>
  <c r="F11" i="18"/>
  <c r="G11" i="18" s="1"/>
  <c r="E11" i="18"/>
  <c r="D11" i="18"/>
  <c r="B11" i="18"/>
  <c r="G10" i="18"/>
  <c r="F10" i="18"/>
  <c r="D10" i="18"/>
  <c r="E10" i="18" s="1"/>
  <c r="B10" i="18"/>
  <c r="K9" i="18"/>
  <c r="F9" i="18"/>
  <c r="G9" i="18" s="1"/>
  <c r="D9" i="18"/>
  <c r="E9" i="18" s="1"/>
  <c r="B9" i="18"/>
  <c r="F8" i="18"/>
  <c r="G8" i="18" s="1"/>
  <c r="E8" i="18"/>
  <c r="D8" i="18"/>
  <c r="B8" i="18"/>
  <c r="T7" i="18"/>
  <c r="K7" i="18"/>
  <c r="F7" i="18"/>
  <c r="D7" i="18"/>
  <c r="E7" i="18" s="1"/>
  <c r="B7" i="18"/>
  <c r="I6" i="18"/>
  <c r="F6" i="18"/>
  <c r="G6" i="18" s="1"/>
  <c r="E6" i="18"/>
  <c r="D6" i="18"/>
  <c r="B6" i="18"/>
  <c r="T5" i="18"/>
  <c r="G64" i="18" s="1"/>
  <c r="T4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C70" i="16"/>
  <c r="F69" i="16" s="1"/>
  <c r="I69" i="16"/>
  <c r="G69" i="16"/>
  <c r="J69" i="16" s="1"/>
  <c r="D69" i="16"/>
  <c r="E69" i="16" s="1"/>
  <c r="B69" i="16"/>
  <c r="F68" i="16"/>
  <c r="G68" i="16" s="1"/>
  <c r="D68" i="16"/>
  <c r="E68" i="16" s="1"/>
  <c r="B68" i="16"/>
  <c r="F67" i="16"/>
  <c r="D67" i="16"/>
  <c r="E67" i="16" s="1"/>
  <c r="B67" i="16"/>
  <c r="K66" i="16"/>
  <c r="E66" i="16"/>
  <c r="D66" i="16"/>
  <c r="B66" i="16"/>
  <c r="I65" i="16"/>
  <c r="D65" i="16"/>
  <c r="E65" i="16" s="1"/>
  <c r="B65" i="16"/>
  <c r="F64" i="16"/>
  <c r="G64" i="16" s="1"/>
  <c r="E64" i="16"/>
  <c r="D64" i="16"/>
  <c r="B64" i="16"/>
  <c r="I63" i="16"/>
  <c r="F63" i="16"/>
  <c r="D63" i="16"/>
  <c r="E63" i="16" s="1"/>
  <c r="B63" i="16"/>
  <c r="K62" i="16"/>
  <c r="E62" i="16"/>
  <c r="D62" i="16"/>
  <c r="B62" i="16"/>
  <c r="I61" i="16"/>
  <c r="D61" i="16"/>
  <c r="E61" i="16" s="1"/>
  <c r="B61" i="16"/>
  <c r="F60" i="16"/>
  <c r="G60" i="16" s="1"/>
  <c r="E60" i="16"/>
  <c r="D60" i="16"/>
  <c r="B60" i="16"/>
  <c r="I59" i="16"/>
  <c r="F59" i="16"/>
  <c r="G59" i="16" s="1"/>
  <c r="D59" i="16"/>
  <c r="E59" i="16" s="1"/>
  <c r="B59" i="16"/>
  <c r="K58" i="16"/>
  <c r="E58" i="16"/>
  <c r="D58" i="16"/>
  <c r="B58" i="16"/>
  <c r="K57" i="16"/>
  <c r="I57" i="16"/>
  <c r="D57" i="16"/>
  <c r="E57" i="16" s="1"/>
  <c r="B57" i="16"/>
  <c r="F56" i="16"/>
  <c r="G56" i="16" s="1"/>
  <c r="E56" i="16"/>
  <c r="D56" i="16"/>
  <c r="B56" i="16"/>
  <c r="I55" i="16"/>
  <c r="F55" i="16"/>
  <c r="G55" i="16" s="1"/>
  <c r="D55" i="16"/>
  <c r="E55" i="16" s="1"/>
  <c r="B55" i="16"/>
  <c r="K54" i="16"/>
  <c r="F54" i="16"/>
  <c r="G54" i="16" s="1"/>
  <c r="E54" i="16"/>
  <c r="D54" i="16"/>
  <c r="B54" i="16"/>
  <c r="K53" i="16"/>
  <c r="I53" i="16"/>
  <c r="D53" i="16"/>
  <c r="E53" i="16" s="1"/>
  <c r="B53" i="16"/>
  <c r="F52" i="16"/>
  <c r="G52" i="16" s="1"/>
  <c r="D52" i="16"/>
  <c r="E52" i="16" s="1"/>
  <c r="B52" i="16"/>
  <c r="I51" i="16"/>
  <c r="F51" i="16"/>
  <c r="G51" i="16" s="1"/>
  <c r="D51" i="16"/>
  <c r="E51" i="16" s="1"/>
  <c r="B51" i="16"/>
  <c r="K50" i="16"/>
  <c r="F50" i="16"/>
  <c r="G50" i="16" s="1"/>
  <c r="E50" i="16"/>
  <c r="D50" i="16"/>
  <c r="B50" i="16"/>
  <c r="K49" i="16"/>
  <c r="I49" i="16"/>
  <c r="G49" i="16"/>
  <c r="F49" i="16"/>
  <c r="D49" i="16"/>
  <c r="E49" i="16" s="1"/>
  <c r="B49" i="16"/>
  <c r="F48" i="16"/>
  <c r="G48" i="16" s="1"/>
  <c r="E48" i="16"/>
  <c r="D48" i="16"/>
  <c r="B48" i="16"/>
  <c r="I47" i="16"/>
  <c r="F47" i="16"/>
  <c r="G47" i="16" s="1"/>
  <c r="D47" i="16"/>
  <c r="E47" i="16" s="1"/>
  <c r="B47" i="16"/>
  <c r="K46" i="16"/>
  <c r="F46" i="16"/>
  <c r="G46" i="16" s="1"/>
  <c r="E46" i="16"/>
  <c r="D46" i="16"/>
  <c r="B46" i="16"/>
  <c r="K45" i="16"/>
  <c r="I45" i="16"/>
  <c r="G45" i="16"/>
  <c r="J45" i="16" s="1"/>
  <c r="R45" i="16" s="1"/>
  <c r="F45" i="16"/>
  <c r="D45" i="16"/>
  <c r="E45" i="16" s="1"/>
  <c r="B45" i="16"/>
  <c r="F44" i="16"/>
  <c r="G44" i="16" s="1"/>
  <c r="E44" i="16"/>
  <c r="D44" i="16"/>
  <c r="B44" i="16"/>
  <c r="I43" i="16"/>
  <c r="F43" i="16"/>
  <c r="G43" i="16" s="1"/>
  <c r="D43" i="16"/>
  <c r="E43" i="16" s="1"/>
  <c r="B43" i="16"/>
  <c r="K42" i="16"/>
  <c r="F42" i="16"/>
  <c r="G42" i="16" s="1"/>
  <c r="E42" i="16"/>
  <c r="D42" i="16"/>
  <c r="B42" i="16"/>
  <c r="K41" i="16"/>
  <c r="I41" i="16"/>
  <c r="G41" i="16"/>
  <c r="F41" i="16"/>
  <c r="D41" i="16"/>
  <c r="E41" i="16" s="1"/>
  <c r="B41" i="16"/>
  <c r="F40" i="16"/>
  <c r="G40" i="16" s="1"/>
  <c r="E40" i="16"/>
  <c r="D40" i="16"/>
  <c r="B40" i="16"/>
  <c r="I39" i="16"/>
  <c r="F39" i="16"/>
  <c r="G39" i="16" s="1"/>
  <c r="D39" i="16"/>
  <c r="E39" i="16" s="1"/>
  <c r="B39" i="16"/>
  <c r="K38" i="16"/>
  <c r="F38" i="16"/>
  <c r="G38" i="16" s="1"/>
  <c r="E38" i="16"/>
  <c r="D38" i="16"/>
  <c r="B38" i="16"/>
  <c r="K37" i="16"/>
  <c r="I37" i="16"/>
  <c r="G37" i="16"/>
  <c r="F37" i="16"/>
  <c r="D37" i="16"/>
  <c r="E37" i="16" s="1"/>
  <c r="B37" i="16"/>
  <c r="F36" i="16"/>
  <c r="G36" i="16" s="1"/>
  <c r="D36" i="16"/>
  <c r="E36" i="16" s="1"/>
  <c r="B36" i="16"/>
  <c r="I35" i="16"/>
  <c r="F35" i="16"/>
  <c r="G35" i="16" s="1"/>
  <c r="J35" i="16" s="1"/>
  <c r="D35" i="16"/>
  <c r="E35" i="16" s="1"/>
  <c r="B35" i="16"/>
  <c r="K34" i="16"/>
  <c r="F34" i="16"/>
  <c r="G34" i="16" s="1"/>
  <c r="E34" i="16"/>
  <c r="D34" i="16"/>
  <c r="B34" i="16"/>
  <c r="K33" i="16"/>
  <c r="I33" i="16"/>
  <c r="G33" i="16"/>
  <c r="J33" i="16" s="1"/>
  <c r="R33" i="16" s="1"/>
  <c r="F33" i="16"/>
  <c r="D33" i="16"/>
  <c r="E33" i="16" s="1"/>
  <c r="B33" i="16"/>
  <c r="F32" i="16"/>
  <c r="G32" i="16" s="1"/>
  <c r="E32" i="16"/>
  <c r="D32" i="16"/>
  <c r="B32" i="16"/>
  <c r="I31" i="16"/>
  <c r="F31" i="16"/>
  <c r="G31" i="16" s="1"/>
  <c r="D31" i="16"/>
  <c r="E31" i="16" s="1"/>
  <c r="B31" i="16"/>
  <c r="K30" i="16"/>
  <c r="F30" i="16"/>
  <c r="G30" i="16" s="1"/>
  <c r="E30" i="16"/>
  <c r="D30" i="16"/>
  <c r="B30" i="16"/>
  <c r="K29" i="16"/>
  <c r="I29" i="16"/>
  <c r="G29" i="16"/>
  <c r="F29" i="16"/>
  <c r="D29" i="16"/>
  <c r="E29" i="16" s="1"/>
  <c r="B29" i="16"/>
  <c r="F28" i="16"/>
  <c r="G28" i="16" s="1"/>
  <c r="E28" i="16"/>
  <c r="D28" i="16"/>
  <c r="B28" i="16"/>
  <c r="I27" i="16"/>
  <c r="F27" i="16"/>
  <c r="G27" i="16" s="1"/>
  <c r="D27" i="16"/>
  <c r="E27" i="16" s="1"/>
  <c r="B27" i="16"/>
  <c r="K26" i="16"/>
  <c r="F26" i="16"/>
  <c r="G26" i="16" s="1"/>
  <c r="E26" i="16"/>
  <c r="D26" i="16"/>
  <c r="B26" i="16"/>
  <c r="K25" i="16"/>
  <c r="I25" i="16"/>
  <c r="G25" i="16"/>
  <c r="J25" i="16" s="1"/>
  <c r="R25" i="16" s="1"/>
  <c r="F25" i="16"/>
  <c r="D25" i="16"/>
  <c r="E25" i="16" s="1"/>
  <c r="B25" i="16"/>
  <c r="F24" i="16"/>
  <c r="G24" i="16" s="1"/>
  <c r="D24" i="16"/>
  <c r="E24" i="16" s="1"/>
  <c r="B24" i="16"/>
  <c r="I23" i="16"/>
  <c r="F23" i="16"/>
  <c r="G23" i="16" s="1"/>
  <c r="D23" i="16"/>
  <c r="E23" i="16" s="1"/>
  <c r="B23" i="16"/>
  <c r="K22" i="16"/>
  <c r="F22" i="16"/>
  <c r="G22" i="16" s="1"/>
  <c r="E22" i="16"/>
  <c r="D22" i="16"/>
  <c r="B22" i="16"/>
  <c r="T21" i="16"/>
  <c r="K21" i="16"/>
  <c r="I21" i="16"/>
  <c r="D21" i="16"/>
  <c r="E21" i="16" s="1"/>
  <c r="B21" i="16"/>
  <c r="I20" i="16"/>
  <c r="G20" i="16"/>
  <c r="F20" i="16"/>
  <c r="E20" i="16"/>
  <c r="D20" i="16"/>
  <c r="B20" i="16"/>
  <c r="T19" i="16"/>
  <c r="T20" i="16" s="1"/>
  <c r="F19" i="16"/>
  <c r="G19" i="16" s="1"/>
  <c r="E19" i="16"/>
  <c r="D19" i="16"/>
  <c r="B19" i="16"/>
  <c r="I18" i="16"/>
  <c r="F18" i="16"/>
  <c r="G18" i="16" s="1"/>
  <c r="D18" i="16"/>
  <c r="E18" i="16" s="1"/>
  <c r="B18" i="16"/>
  <c r="K17" i="16"/>
  <c r="F17" i="16"/>
  <c r="G17" i="16" s="1"/>
  <c r="E17" i="16"/>
  <c r="D17" i="16"/>
  <c r="B17" i="16"/>
  <c r="K16" i="16"/>
  <c r="I16" i="16"/>
  <c r="G16" i="16"/>
  <c r="J16" i="16" s="1"/>
  <c r="R16" i="16" s="1"/>
  <c r="F16" i="16"/>
  <c r="D16" i="16"/>
  <c r="E16" i="16" s="1"/>
  <c r="B16" i="16"/>
  <c r="F15" i="16"/>
  <c r="G15" i="16" s="1"/>
  <c r="D15" i="16"/>
  <c r="E15" i="16" s="1"/>
  <c r="B15" i="16"/>
  <c r="K14" i="16"/>
  <c r="D14" i="16"/>
  <c r="E14" i="16" s="1"/>
  <c r="B14" i="16"/>
  <c r="K13" i="16"/>
  <c r="F13" i="16"/>
  <c r="G13" i="16" s="1"/>
  <c r="D13" i="16"/>
  <c r="E13" i="16" s="1"/>
  <c r="B13" i="16"/>
  <c r="K12" i="16"/>
  <c r="I12" i="16"/>
  <c r="D12" i="16"/>
  <c r="E12" i="16" s="1"/>
  <c r="B12" i="16"/>
  <c r="T11" i="16"/>
  <c r="K67" i="16" s="1"/>
  <c r="I11" i="16"/>
  <c r="F11" i="16"/>
  <c r="G11" i="16" s="1"/>
  <c r="E11" i="16"/>
  <c r="D11" i="16"/>
  <c r="B11" i="16"/>
  <c r="K10" i="16"/>
  <c r="I10" i="16"/>
  <c r="F10" i="16"/>
  <c r="G10" i="16" s="1"/>
  <c r="D10" i="16"/>
  <c r="E10" i="16" s="1"/>
  <c r="B10" i="16"/>
  <c r="I9" i="16"/>
  <c r="F9" i="16"/>
  <c r="G9" i="16" s="1"/>
  <c r="D9" i="16"/>
  <c r="E9" i="16" s="1"/>
  <c r="B9" i="16"/>
  <c r="T8" i="16"/>
  <c r="T9" i="16" s="1"/>
  <c r="J37" i="16" s="1"/>
  <c r="R37" i="16" s="1"/>
  <c r="K8" i="16"/>
  <c r="F8" i="16"/>
  <c r="G8" i="16" s="1"/>
  <c r="D8" i="16"/>
  <c r="E8" i="16" s="1"/>
  <c r="B8" i="16"/>
  <c r="T7" i="16"/>
  <c r="I66" i="16" s="1"/>
  <c r="K7" i="16"/>
  <c r="I7" i="16"/>
  <c r="F7" i="16"/>
  <c r="G7" i="16" s="1"/>
  <c r="D7" i="16"/>
  <c r="B7" i="16"/>
  <c r="I6" i="16"/>
  <c r="G6" i="16"/>
  <c r="F6" i="16"/>
  <c r="E6" i="16"/>
  <c r="D6" i="16"/>
  <c r="B6" i="16"/>
  <c r="T5" i="16"/>
  <c r="G67" i="16" s="1"/>
  <c r="I5" i="16"/>
  <c r="T4" i="16"/>
  <c r="I4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C70" i="14"/>
  <c r="I69" i="14"/>
  <c r="F69" i="14"/>
  <c r="G69" i="14" s="1"/>
  <c r="J69" i="14" s="1"/>
  <c r="D69" i="14"/>
  <c r="E69" i="14" s="1"/>
  <c r="B69" i="14"/>
  <c r="D68" i="14"/>
  <c r="E68" i="14" s="1"/>
  <c r="B68" i="14"/>
  <c r="I67" i="14"/>
  <c r="F67" i="14"/>
  <c r="D67" i="14"/>
  <c r="E67" i="14" s="1"/>
  <c r="B67" i="14"/>
  <c r="E66" i="14"/>
  <c r="D66" i="14"/>
  <c r="B66" i="14"/>
  <c r="I65" i="14"/>
  <c r="F65" i="14"/>
  <c r="G65" i="14" s="1"/>
  <c r="J65" i="14" s="1"/>
  <c r="D65" i="14"/>
  <c r="E65" i="14" s="1"/>
  <c r="B65" i="14"/>
  <c r="F64" i="14"/>
  <c r="G64" i="14" s="1"/>
  <c r="D64" i="14"/>
  <c r="E64" i="14" s="1"/>
  <c r="B64" i="14"/>
  <c r="I63" i="14"/>
  <c r="F63" i="14"/>
  <c r="G63" i="14" s="1"/>
  <c r="J63" i="14" s="1"/>
  <c r="D63" i="14"/>
  <c r="E63" i="14" s="1"/>
  <c r="B63" i="14"/>
  <c r="F62" i="14"/>
  <c r="E62" i="14"/>
  <c r="D62" i="14"/>
  <c r="B62" i="14"/>
  <c r="I61" i="14"/>
  <c r="F61" i="14"/>
  <c r="G61" i="14" s="1"/>
  <c r="J61" i="14" s="1"/>
  <c r="D61" i="14"/>
  <c r="E61" i="14" s="1"/>
  <c r="B61" i="14"/>
  <c r="F60" i="14"/>
  <c r="G60" i="14" s="1"/>
  <c r="E60" i="14"/>
  <c r="D60" i="14"/>
  <c r="B60" i="14"/>
  <c r="I59" i="14"/>
  <c r="F59" i="14"/>
  <c r="G59" i="14" s="1"/>
  <c r="J59" i="14" s="1"/>
  <c r="D59" i="14"/>
  <c r="E59" i="14" s="1"/>
  <c r="B59" i="14"/>
  <c r="F58" i="14"/>
  <c r="E58" i="14"/>
  <c r="D58" i="14"/>
  <c r="B58" i="14"/>
  <c r="I57" i="14"/>
  <c r="D57" i="14"/>
  <c r="E57" i="14" s="1"/>
  <c r="B57" i="14"/>
  <c r="F56" i="14"/>
  <c r="D56" i="14"/>
  <c r="E56" i="14" s="1"/>
  <c r="B56" i="14"/>
  <c r="I55" i="14"/>
  <c r="D55" i="14"/>
  <c r="E55" i="14" s="1"/>
  <c r="B55" i="14"/>
  <c r="F54" i="14"/>
  <c r="E54" i="14"/>
  <c r="D54" i="14"/>
  <c r="B54" i="14"/>
  <c r="I53" i="14"/>
  <c r="F53" i="14"/>
  <c r="G53" i="14" s="1"/>
  <c r="J53" i="14" s="1"/>
  <c r="D53" i="14"/>
  <c r="E53" i="14" s="1"/>
  <c r="B53" i="14"/>
  <c r="F52" i="14"/>
  <c r="G52" i="14" s="1"/>
  <c r="D52" i="14"/>
  <c r="E52" i="14" s="1"/>
  <c r="B52" i="14"/>
  <c r="I51" i="14"/>
  <c r="F51" i="14"/>
  <c r="D51" i="14"/>
  <c r="E51" i="14" s="1"/>
  <c r="B51" i="14"/>
  <c r="F50" i="14"/>
  <c r="G50" i="14" s="1"/>
  <c r="E50" i="14"/>
  <c r="D50" i="14"/>
  <c r="B50" i="14"/>
  <c r="I49" i="14"/>
  <c r="F49" i="14"/>
  <c r="G49" i="14" s="1"/>
  <c r="J49" i="14" s="1"/>
  <c r="D49" i="14"/>
  <c r="E49" i="14" s="1"/>
  <c r="B49" i="14"/>
  <c r="F48" i="14"/>
  <c r="G48" i="14" s="1"/>
  <c r="E48" i="14"/>
  <c r="D48" i="14"/>
  <c r="B48" i="14"/>
  <c r="I47" i="14"/>
  <c r="F47" i="14"/>
  <c r="G47" i="14" s="1"/>
  <c r="J47" i="14" s="1"/>
  <c r="D47" i="14"/>
  <c r="E47" i="14" s="1"/>
  <c r="B47" i="14"/>
  <c r="F46" i="14"/>
  <c r="G46" i="14" s="1"/>
  <c r="E46" i="14"/>
  <c r="D46" i="14"/>
  <c r="B46" i="14"/>
  <c r="I45" i="14"/>
  <c r="F45" i="14"/>
  <c r="D45" i="14"/>
  <c r="E45" i="14" s="1"/>
  <c r="B45" i="14"/>
  <c r="D44" i="14"/>
  <c r="E44" i="14" s="1"/>
  <c r="B44" i="14"/>
  <c r="I43" i="14"/>
  <c r="F43" i="14"/>
  <c r="D43" i="14"/>
  <c r="E43" i="14" s="1"/>
  <c r="B43" i="14"/>
  <c r="E42" i="14"/>
  <c r="D42" i="14"/>
  <c r="B42" i="14"/>
  <c r="I41" i="14"/>
  <c r="F41" i="14"/>
  <c r="G41" i="14" s="1"/>
  <c r="J41" i="14" s="1"/>
  <c r="D41" i="14"/>
  <c r="E41" i="14" s="1"/>
  <c r="B41" i="14"/>
  <c r="F40" i="14"/>
  <c r="G40" i="14" s="1"/>
  <c r="D40" i="14"/>
  <c r="E40" i="14" s="1"/>
  <c r="B40" i="14"/>
  <c r="I39" i="14"/>
  <c r="F39" i="14"/>
  <c r="G39" i="14" s="1"/>
  <c r="J39" i="14" s="1"/>
  <c r="D39" i="14"/>
  <c r="E39" i="14" s="1"/>
  <c r="B39" i="14"/>
  <c r="F38" i="14"/>
  <c r="E38" i="14"/>
  <c r="D38" i="14"/>
  <c r="B38" i="14"/>
  <c r="I37" i="14"/>
  <c r="J37" i="14" s="1"/>
  <c r="F37" i="14"/>
  <c r="G37" i="14" s="1"/>
  <c r="D37" i="14"/>
  <c r="E37" i="14" s="1"/>
  <c r="B37" i="14"/>
  <c r="F36" i="14"/>
  <c r="G36" i="14" s="1"/>
  <c r="E36" i="14"/>
  <c r="D36" i="14"/>
  <c r="B36" i="14"/>
  <c r="I35" i="14"/>
  <c r="F35" i="14"/>
  <c r="G35" i="14" s="1"/>
  <c r="J35" i="14" s="1"/>
  <c r="D35" i="14"/>
  <c r="E35" i="14" s="1"/>
  <c r="B35" i="14"/>
  <c r="F34" i="14"/>
  <c r="G34" i="14" s="1"/>
  <c r="E34" i="14"/>
  <c r="D34" i="14"/>
  <c r="B34" i="14"/>
  <c r="I33" i="14"/>
  <c r="D33" i="14"/>
  <c r="E33" i="14" s="1"/>
  <c r="B33" i="14"/>
  <c r="F32" i="14"/>
  <c r="E32" i="14"/>
  <c r="D32" i="14"/>
  <c r="B32" i="14"/>
  <c r="I31" i="14"/>
  <c r="D31" i="14"/>
  <c r="E31" i="14" s="1"/>
  <c r="B31" i="14"/>
  <c r="F30" i="14"/>
  <c r="E30" i="14"/>
  <c r="D30" i="14"/>
  <c r="B30" i="14"/>
  <c r="I29" i="14"/>
  <c r="F29" i="14"/>
  <c r="G29" i="14" s="1"/>
  <c r="J29" i="14" s="1"/>
  <c r="D29" i="14"/>
  <c r="E29" i="14" s="1"/>
  <c r="B29" i="14"/>
  <c r="F28" i="14"/>
  <c r="G28" i="14" s="1"/>
  <c r="D28" i="14"/>
  <c r="E28" i="14" s="1"/>
  <c r="B28" i="14"/>
  <c r="I27" i="14"/>
  <c r="F27" i="14"/>
  <c r="G27" i="14" s="1"/>
  <c r="J27" i="14" s="1"/>
  <c r="D27" i="14"/>
  <c r="E27" i="14" s="1"/>
  <c r="B27" i="14"/>
  <c r="F26" i="14"/>
  <c r="G26" i="14" s="1"/>
  <c r="E26" i="14"/>
  <c r="D26" i="14"/>
  <c r="B26" i="14"/>
  <c r="I25" i="14"/>
  <c r="F25" i="14"/>
  <c r="G25" i="14" s="1"/>
  <c r="J25" i="14" s="1"/>
  <c r="D25" i="14"/>
  <c r="E25" i="14" s="1"/>
  <c r="B25" i="14"/>
  <c r="F24" i="14"/>
  <c r="G24" i="14" s="1"/>
  <c r="E24" i="14"/>
  <c r="D24" i="14"/>
  <c r="B24" i="14"/>
  <c r="I23" i="14"/>
  <c r="F23" i="14"/>
  <c r="D23" i="14"/>
  <c r="E23" i="14" s="1"/>
  <c r="B23" i="14"/>
  <c r="E22" i="14"/>
  <c r="D22" i="14"/>
  <c r="B22" i="14"/>
  <c r="I21" i="14"/>
  <c r="F21" i="14"/>
  <c r="G21" i="14" s="1"/>
  <c r="J21" i="14" s="1"/>
  <c r="D21" i="14"/>
  <c r="E21" i="14" s="1"/>
  <c r="B21" i="14"/>
  <c r="F20" i="14"/>
  <c r="G20" i="14" s="1"/>
  <c r="D20" i="14"/>
  <c r="E20" i="14" s="1"/>
  <c r="B20" i="14"/>
  <c r="I19" i="14"/>
  <c r="F19" i="14"/>
  <c r="D19" i="14"/>
  <c r="E19" i="14" s="1"/>
  <c r="B19" i="14"/>
  <c r="T18" i="14"/>
  <c r="I18" i="14"/>
  <c r="G18" i="14"/>
  <c r="F18" i="14"/>
  <c r="D18" i="14"/>
  <c r="E18" i="14" s="1"/>
  <c r="B18" i="14"/>
  <c r="T17" i="14"/>
  <c r="I17" i="14"/>
  <c r="F17" i="14"/>
  <c r="D17" i="14"/>
  <c r="E17" i="14" s="1"/>
  <c r="B17" i="14"/>
  <c r="T16" i="14"/>
  <c r="J16" i="14"/>
  <c r="I16" i="14"/>
  <c r="F16" i="14"/>
  <c r="G16" i="14" s="1"/>
  <c r="D16" i="14"/>
  <c r="E16" i="14" s="1"/>
  <c r="B16" i="14"/>
  <c r="G15" i="14"/>
  <c r="F15" i="14"/>
  <c r="E15" i="14"/>
  <c r="D15" i="14"/>
  <c r="B15" i="14"/>
  <c r="I14" i="14"/>
  <c r="D14" i="14"/>
  <c r="E14" i="14" s="1"/>
  <c r="B14" i="14"/>
  <c r="G13" i="14"/>
  <c r="F13" i="14"/>
  <c r="E13" i="14"/>
  <c r="D13" i="14"/>
  <c r="B13" i="14"/>
  <c r="I12" i="14"/>
  <c r="F12" i="14"/>
  <c r="G12" i="14" s="1"/>
  <c r="J12" i="14" s="1"/>
  <c r="D12" i="14"/>
  <c r="E12" i="14" s="1"/>
  <c r="B12" i="14"/>
  <c r="I11" i="14"/>
  <c r="G11" i="14"/>
  <c r="F11" i="14"/>
  <c r="E11" i="14"/>
  <c r="D11" i="14"/>
  <c r="B11" i="14"/>
  <c r="I10" i="14"/>
  <c r="D10" i="14"/>
  <c r="E10" i="14" s="1"/>
  <c r="B10" i="14"/>
  <c r="I9" i="14"/>
  <c r="E9" i="14"/>
  <c r="D9" i="14"/>
  <c r="B9" i="14"/>
  <c r="T8" i="14"/>
  <c r="T9" i="14" s="1"/>
  <c r="F8" i="14"/>
  <c r="G8" i="14" s="1"/>
  <c r="E8" i="14"/>
  <c r="D8" i="14"/>
  <c r="B8" i="14"/>
  <c r="T7" i="14"/>
  <c r="I66" i="14" s="1"/>
  <c r="I7" i="14"/>
  <c r="E7" i="14"/>
  <c r="D7" i="14"/>
  <c r="B7" i="14"/>
  <c r="I6" i="14"/>
  <c r="F6" i="14"/>
  <c r="G6" i="14" s="1"/>
  <c r="D6" i="14"/>
  <c r="B6" i="14"/>
  <c r="T5" i="14"/>
  <c r="G56" i="14" s="1"/>
  <c r="I5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C70" i="12"/>
  <c r="D69" i="12"/>
  <c r="E69" i="12" s="1"/>
  <c r="B69" i="12"/>
  <c r="I68" i="12"/>
  <c r="E68" i="12"/>
  <c r="D68" i="12"/>
  <c r="B68" i="12"/>
  <c r="D67" i="12"/>
  <c r="E67" i="12" s="1"/>
  <c r="B67" i="12"/>
  <c r="E66" i="12"/>
  <c r="D66" i="12"/>
  <c r="B66" i="12"/>
  <c r="I65" i="12"/>
  <c r="E65" i="12"/>
  <c r="D65" i="12"/>
  <c r="B65" i="12"/>
  <c r="E64" i="12"/>
  <c r="D64" i="12"/>
  <c r="B64" i="12"/>
  <c r="D63" i="12"/>
  <c r="E63" i="12" s="1"/>
  <c r="B63" i="12"/>
  <c r="I62" i="12"/>
  <c r="E62" i="12"/>
  <c r="D62" i="12"/>
  <c r="B62" i="12"/>
  <c r="D61" i="12"/>
  <c r="E61" i="12" s="1"/>
  <c r="B61" i="12"/>
  <c r="E60" i="12"/>
  <c r="D60" i="12"/>
  <c r="B60" i="12"/>
  <c r="I59" i="12"/>
  <c r="E59" i="12"/>
  <c r="D59" i="12"/>
  <c r="B59" i="12"/>
  <c r="E58" i="12"/>
  <c r="D58" i="12"/>
  <c r="B58" i="12"/>
  <c r="D57" i="12"/>
  <c r="E57" i="12" s="1"/>
  <c r="B57" i="12"/>
  <c r="E56" i="12"/>
  <c r="D56" i="12"/>
  <c r="B56" i="12"/>
  <c r="D55" i="12"/>
  <c r="E55" i="12" s="1"/>
  <c r="B55" i="12"/>
  <c r="E54" i="12"/>
  <c r="D54" i="12"/>
  <c r="B54" i="12"/>
  <c r="E53" i="12"/>
  <c r="D53" i="12"/>
  <c r="B53" i="12"/>
  <c r="E52" i="12"/>
  <c r="D52" i="12"/>
  <c r="B52" i="12"/>
  <c r="D51" i="12"/>
  <c r="E51" i="12" s="1"/>
  <c r="B51" i="12"/>
  <c r="E50" i="12"/>
  <c r="D50" i="12"/>
  <c r="B50" i="12"/>
  <c r="D49" i="12"/>
  <c r="E49" i="12" s="1"/>
  <c r="B49" i="12"/>
  <c r="E48" i="12"/>
  <c r="D48" i="12"/>
  <c r="B48" i="12"/>
  <c r="E47" i="12"/>
  <c r="D47" i="12"/>
  <c r="B47" i="12"/>
  <c r="E46" i="12"/>
  <c r="D46" i="12"/>
  <c r="B46" i="12"/>
  <c r="D45" i="12"/>
  <c r="E45" i="12" s="1"/>
  <c r="B45" i="12"/>
  <c r="I44" i="12"/>
  <c r="E44" i="12"/>
  <c r="D44" i="12"/>
  <c r="B44" i="12"/>
  <c r="D43" i="12"/>
  <c r="E43" i="12" s="1"/>
  <c r="B43" i="12"/>
  <c r="E42" i="12"/>
  <c r="D42" i="12"/>
  <c r="B42" i="12"/>
  <c r="I41" i="12"/>
  <c r="E41" i="12"/>
  <c r="D41" i="12"/>
  <c r="B41" i="12"/>
  <c r="E40" i="12"/>
  <c r="D40" i="12"/>
  <c r="B40" i="12"/>
  <c r="D39" i="12"/>
  <c r="E39" i="12" s="1"/>
  <c r="B39" i="12"/>
  <c r="I38" i="12"/>
  <c r="E38" i="12"/>
  <c r="D38" i="12"/>
  <c r="B38" i="12"/>
  <c r="D37" i="12"/>
  <c r="E37" i="12" s="1"/>
  <c r="B37" i="12"/>
  <c r="E36" i="12"/>
  <c r="D36" i="12"/>
  <c r="B36" i="12"/>
  <c r="I35" i="12"/>
  <c r="E35" i="12"/>
  <c r="D35" i="12"/>
  <c r="B35" i="12"/>
  <c r="E34" i="12"/>
  <c r="D34" i="12"/>
  <c r="B34" i="12"/>
  <c r="D33" i="12"/>
  <c r="E33" i="12" s="1"/>
  <c r="B33" i="12"/>
  <c r="I32" i="12"/>
  <c r="E32" i="12"/>
  <c r="D32" i="12"/>
  <c r="B32" i="12"/>
  <c r="D31" i="12"/>
  <c r="E31" i="12" s="1"/>
  <c r="B31" i="12"/>
  <c r="E30" i="12"/>
  <c r="D30" i="12"/>
  <c r="B30" i="12"/>
  <c r="I29" i="12"/>
  <c r="E29" i="12"/>
  <c r="D29" i="12"/>
  <c r="B29" i="12"/>
  <c r="E28" i="12"/>
  <c r="D28" i="12"/>
  <c r="B28" i="12"/>
  <c r="D27" i="12"/>
  <c r="E27" i="12" s="1"/>
  <c r="B27" i="12"/>
  <c r="I26" i="12"/>
  <c r="E26" i="12"/>
  <c r="D26" i="12"/>
  <c r="B26" i="12"/>
  <c r="D25" i="12"/>
  <c r="E25" i="12" s="1"/>
  <c r="B25" i="12"/>
  <c r="E24" i="12"/>
  <c r="D24" i="12"/>
  <c r="B24" i="12"/>
  <c r="I23" i="12"/>
  <c r="E23" i="12"/>
  <c r="D23" i="12"/>
  <c r="B23" i="12"/>
  <c r="E22" i="12"/>
  <c r="D22" i="12"/>
  <c r="B22" i="12"/>
  <c r="D21" i="12"/>
  <c r="E21" i="12" s="1"/>
  <c r="B21" i="12"/>
  <c r="I20" i="12"/>
  <c r="F20" i="12"/>
  <c r="G20" i="12" s="1"/>
  <c r="D20" i="12"/>
  <c r="E20" i="12" s="1"/>
  <c r="B20" i="12"/>
  <c r="I19" i="12"/>
  <c r="E19" i="12"/>
  <c r="D19" i="12"/>
  <c r="B19" i="12"/>
  <c r="T18" i="12"/>
  <c r="T19" i="12" s="1"/>
  <c r="E18" i="12"/>
  <c r="D18" i="12"/>
  <c r="B18" i="12"/>
  <c r="E17" i="12"/>
  <c r="D17" i="12"/>
  <c r="B17" i="12"/>
  <c r="F16" i="12"/>
  <c r="G16" i="12" s="1"/>
  <c r="E16" i="12"/>
  <c r="D16" i="12"/>
  <c r="B16" i="12"/>
  <c r="E15" i="12"/>
  <c r="D15" i="12"/>
  <c r="B15" i="12"/>
  <c r="I14" i="12"/>
  <c r="E14" i="12"/>
  <c r="D14" i="12"/>
  <c r="B14" i="12"/>
  <c r="F13" i="12"/>
  <c r="G13" i="12" s="1"/>
  <c r="E13" i="12"/>
  <c r="D13" i="12"/>
  <c r="B13" i="12"/>
  <c r="E12" i="12"/>
  <c r="D12" i="12"/>
  <c r="B12" i="12"/>
  <c r="I11" i="12"/>
  <c r="D11" i="12"/>
  <c r="E11" i="12" s="1"/>
  <c r="B11" i="12"/>
  <c r="E10" i="12"/>
  <c r="D10" i="12"/>
  <c r="B10" i="12"/>
  <c r="E9" i="12"/>
  <c r="D9" i="12"/>
  <c r="B9" i="12"/>
  <c r="T8" i="12"/>
  <c r="T9" i="12" s="1"/>
  <c r="I8" i="12"/>
  <c r="E8" i="12"/>
  <c r="D8" i="12"/>
  <c r="B8" i="12"/>
  <c r="T7" i="12"/>
  <c r="E7" i="12"/>
  <c r="D7" i="12"/>
  <c r="B7" i="12"/>
  <c r="D6" i="12"/>
  <c r="B6" i="12"/>
  <c r="T5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C70" i="10"/>
  <c r="I69" i="10"/>
  <c r="G69" i="10"/>
  <c r="J69" i="10" s="1"/>
  <c r="F69" i="10"/>
  <c r="E69" i="10"/>
  <c r="D69" i="10"/>
  <c r="B69" i="10"/>
  <c r="D68" i="10"/>
  <c r="E68" i="10" s="1"/>
  <c r="B68" i="10"/>
  <c r="I67" i="10"/>
  <c r="F67" i="10"/>
  <c r="G67" i="10" s="1"/>
  <c r="J67" i="10" s="1"/>
  <c r="D67" i="10"/>
  <c r="E67" i="10" s="1"/>
  <c r="B67" i="10"/>
  <c r="K66" i="10"/>
  <c r="I66" i="10"/>
  <c r="E66" i="10"/>
  <c r="D66" i="10"/>
  <c r="B66" i="10"/>
  <c r="I65" i="10"/>
  <c r="F65" i="10"/>
  <c r="G65" i="10" s="1"/>
  <c r="J65" i="10" s="1"/>
  <c r="E65" i="10"/>
  <c r="D65" i="10"/>
  <c r="B65" i="10"/>
  <c r="D64" i="10"/>
  <c r="E64" i="10" s="1"/>
  <c r="B64" i="10"/>
  <c r="I63" i="10"/>
  <c r="F63" i="10"/>
  <c r="G63" i="10" s="1"/>
  <c r="J63" i="10" s="1"/>
  <c r="D63" i="10"/>
  <c r="E63" i="10" s="1"/>
  <c r="B63" i="10"/>
  <c r="K62" i="10"/>
  <c r="I62" i="10"/>
  <c r="E62" i="10"/>
  <c r="D62" i="10"/>
  <c r="B62" i="10"/>
  <c r="I61" i="10"/>
  <c r="G61" i="10"/>
  <c r="J61" i="10" s="1"/>
  <c r="F61" i="10"/>
  <c r="E61" i="10"/>
  <c r="D61" i="10"/>
  <c r="B61" i="10"/>
  <c r="D60" i="10"/>
  <c r="E60" i="10" s="1"/>
  <c r="B60" i="10"/>
  <c r="I59" i="10"/>
  <c r="D59" i="10"/>
  <c r="E59" i="10" s="1"/>
  <c r="B59" i="10"/>
  <c r="K58" i="10"/>
  <c r="J58" i="10"/>
  <c r="R58" i="10" s="1"/>
  <c r="I58" i="10"/>
  <c r="E58" i="10"/>
  <c r="F58" i="10" s="1"/>
  <c r="G58" i="10" s="1"/>
  <c r="D58" i="10"/>
  <c r="B58" i="10"/>
  <c r="I57" i="10"/>
  <c r="E57" i="10"/>
  <c r="D57" i="10"/>
  <c r="B57" i="10"/>
  <c r="D56" i="10"/>
  <c r="E56" i="10" s="1"/>
  <c r="B56" i="10"/>
  <c r="I55" i="10"/>
  <c r="D55" i="10"/>
  <c r="E55" i="10" s="1"/>
  <c r="B55" i="10"/>
  <c r="K54" i="10"/>
  <c r="I54" i="10"/>
  <c r="E54" i="10"/>
  <c r="F54" i="10" s="1"/>
  <c r="G54" i="10" s="1"/>
  <c r="J54" i="10" s="1"/>
  <c r="R54" i="10" s="1"/>
  <c r="D54" i="10"/>
  <c r="B54" i="10"/>
  <c r="I53" i="10"/>
  <c r="E53" i="10"/>
  <c r="D53" i="10"/>
  <c r="B53" i="10"/>
  <c r="D52" i="10"/>
  <c r="E52" i="10" s="1"/>
  <c r="B52" i="10"/>
  <c r="I51" i="10"/>
  <c r="D51" i="10"/>
  <c r="E51" i="10" s="1"/>
  <c r="B51" i="10"/>
  <c r="I50" i="10"/>
  <c r="F50" i="10"/>
  <c r="G50" i="10" s="1"/>
  <c r="J50" i="10" s="1"/>
  <c r="E50" i="10"/>
  <c r="D50" i="10"/>
  <c r="B50" i="10"/>
  <c r="I49" i="10"/>
  <c r="E49" i="10"/>
  <c r="D49" i="10"/>
  <c r="B49" i="10"/>
  <c r="D48" i="10"/>
  <c r="E48" i="10" s="1"/>
  <c r="B48" i="10"/>
  <c r="J47" i="10"/>
  <c r="I47" i="10"/>
  <c r="D47" i="10"/>
  <c r="E47" i="10" s="1"/>
  <c r="F47" i="10" s="1"/>
  <c r="G47" i="10" s="1"/>
  <c r="B47" i="10"/>
  <c r="I46" i="10"/>
  <c r="E46" i="10"/>
  <c r="D46" i="10"/>
  <c r="B46" i="10"/>
  <c r="I45" i="10"/>
  <c r="G45" i="10"/>
  <c r="J45" i="10" s="1"/>
  <c r="F45" i="10"/>
  <c r="E45" i="10"/>
  <c r="D45" i="10"/>
  <c r="B45" i="10"/>
  <c r="D44" i="10"/>
  <c r="E44" i="10" s="1"/>
  <c r="B44" i="10"/>
  <c r="I43" i="10"/>
  <c r="D43" i="10"/>
  <c r="E43" i="10" s="1"/>
  <c r="F43" i="10" s="1"/>
  <c r="G43" i="10" s="1"/>
  <c r="J43" i="10" s="1"/>
  <c r="B43" i="10"/>
  <c r="K42" i="10"/>
  <c r="I42" i="10"/>
  <c r="E42" i="10"/>
  <c r="D42" i="10"/>
  <c r="B42" i="10"/>
  <c r="I41" i="10"/>
  <c r="F41" i="10"/>
  <c r="G41" i="10" s="1"/>
  <c r="J41" i="10" s="1"/>
  <c r="E41" i="10"/>
  <c r="D41" i="10"/>
  <c r="B41" i="10"/>
  <c r="D40" i="10"/>
  <c r="E40" i="10" s="1"/>
  <c r="B40" i="10"/>
  <c r="I39" i="10"/>
  <c r="D39" i="10"/>
  <c r="E39" i="10" s="1"/>
  <c r="F39" i="10" s="1"/>
  <c r="G39" i="10" s="1"/>
  <c r="J39" i="10" s="1"/>
  <c r="B39" i="10"/>
  <c r="K38" i="10"/>
  <c r="I38" i="10"/>
  <c r="E38" i="10"/>
  <c r="D38" i="10"/>
  <c r="B38" i="10"/>
  <c r="I37" i="10"/>
  <c r="G37" i="10"/>
  <c r="J37" i="10" s="1"/>
  <c r="F37" i="10"/>
  <c r="E37" i="10"/>
  <c r="D37" i="10"/>
  <c r="B37" i="10"/>
  <c r="D36" i="10"/>
  <c r="E36" i="10" s="1"/>
  <c r="B36" i="10"/>
  <c r="I35" i="10"/>
  <c r="D35" i="10"/>
  <c r="E35" i="10" s="1"/>
  <c r="F35" i="10" s="1"/>
  <c r="G35" i="10" s="1"/>
  <c r="J35" i="10" s="1"/>
  <c r="B35" i="10"/>
  <c r="K34" i="10"/>
  <c r="J34" i="10"/>
  <c r="R34" i="10" s="1"/>
  <c r="I34" i="10"/>
  <c r="E34" i="10"/>
  <c r="F34" i="10" s="1"/>
  <c r="G34" i="10" s="1"/>
  <c r="D34" i="10"/>
  <c r="B34" i="10"/>
  <c r="I33" i="10"/>
  <c r="F33" i="10"/>
  <c r="G33" i="10" s="1"/>
  <c r="J33" i="10" s="1"/>
  <c r="E33" i="10"/>
  <c r="D33" i="10"/>
  <c r="B33" i="10"/>
  <c r="D32" i="10"/>
  <c r="E32" i="10" s="1"/>
  <c r="B32" i="10"/>
  <c r="I31" i="10"/>
  <c r="D31" i="10"/>
  <c r="E31" i="10" s="1"/>
  <c r="B31" i="10"/>
  <c r="K30" i="10"/>
  <c r="I30" i="10"/>
  <c r="F30" i="10"/>
  <c r="G30" i="10" s="1"/>
  <c r="J30" i="10" s="1"/>
  <c r="R30" i="10" s="1"/>
  <c r="E30" i="10"/>
  <c r="D30" i="10"/>
  <c r="B30" i="10"/>
  <c r="I29" i="10"/>
  <c r="E29" i="10"/>
  <c r="D29" i="10"/>
  <c r="B29" i="10"/>
  <c r="D28" i="10"/>
  <c r="E28" i="10" s="1"/>
  <c r="B28" i="10"/>
  <c r="I27" i="10"/>
  <c r="D27" i="10"/>
  <c r="E27" i="10" s="1"/>
  <c r="B27" i="10"/>
  <c r="K26" i="10"/>
  <c r="I26" i="10"/>
  <c r="E26" i="10"/>
  <c r="F26" i="10" s="1"/>
  <c r="G26" i="10" s="1"/>
  <c r="J26" i="10" s="1"/>
  <c r="R26" i="10" s="1"/>
  <c r="D26" i="10"/>
  <c r="B26" i="10"/>
  <c r="I25" i="10"/>
  <c r="E25" i="10"/>
  <c r="D25" i="10"/>
  <c r="B25" i="10"/>
  <c r="D24" i="10"/>
  <c r="E24" i="10" s="1"/>
  <c r="B24" i="10"/>
  <c r="I23" i="10"/>
  <c r="F23" i="10"/>
  <c r="G23" i="10" s="1"/>
  <c r="J23" i="10" s="1"/>
  <c r="D23" i="10"/>
  <c r="E23" i="10" s="1"/>
  <c r="B23" i="10"/>
  <c r="K22" i="10"/>
  <c r="I22" i="10"/>
  <c r="E22" i="10"/>
  <c r="F22" i="10" s="1"/>
  <c r="G22" i="10" s="1"/>
  <c r="J22" i="10" s="1"/>
  <c r="R22" i="10" s="1"/>
  <c r="D22" i="10"/>
  <c r="B22" i="10"/>
  <c r="I21" i="10"/>
  <c r="E21" i="10"/>
  <c r="D21" i="10"/>
  <c r="B21" i="10"/>
  <c r="K20" i="10"/>
  <c r="I20" i="10"/>
  <c r="E20" i="10"/>
  <c r="F20" i="10" s="1"/>
  <c r="G20" i="10" s="1"/>
  <c r="J20" i="10" s="1"/>
  <c r="R20" i="10" s="1"/>
  <c r="D20" i="10"/>
  <c r="B20" i="10"/>
  <c r="K19" i="10"/>
  <c r="I19" i="10"/>
  <c r="D19" i="10"/>
  <c r="E19" i="10" s="1"/>
  <c r="B19" i="10"/>
  <c r="K18" i="10"/>
  <c r="I18" i="10"/>
  <c r="F18" i="10"/>
  <c r="G18" i="10" s="1"/>
  <c r="J18" i="10" s="1"/>
  <c r="R18" i="10" s="1"/>
  <c r="D18" i="10"/>
  <c r="E18" i="10" s="1"/>
  <c r="B18" i="10"/>
  <c r="I17" i="10"/>
  <c r="D17" i="10"/>
  <c r="E17" i="10" s="1"/>
  <c r="B17" i="10"/>
  <c r="T16" i="10"/>
  <c r="T17" i="10" s="1"/>
  <c r="I16" i="10"/>
  <c r="G16" i="10"/>
  <c r="J16" i="10" s="1"/>
  <c r="F16" i="10"/>
  <c r="E16" i="10"/>
  <c r="D16" i="10"/>
  <c r="B16" i="10"/>
  <c r="D15" i="10"/>
  <c r="E15" i="10" s="1"/>
  <c r="B15" i="10"/>
  <c r="I14" i="10"/>
  <c r="D14" i="10"/>
  <c r="E14" i="10" s="1"/>
  <c r="F14" i="10" s="1"/>
  <c r="G14" i="10" s="1"/>
  <c r="J14" i="10" s="1"/>
  <c r="B14" i="10"/>
  <c r="I13" i="10"/>
  <c r="E13" i="10"/>
  <c r="F13" i="10" s="1"/>
  <c r="G13" i="10" s="1"/>
  <c r="J13" i="10" s="1"/>
  <c r="D13" i="10"/>
  <c r="B13" i="10"/>
  <c r="I12" i="10"/>
  <c r="F12" i="10"/>
  <c r="G12" i="10" s="1"/>
  <c r="J12" i="10" s="1"/>
  <c r="E12" i="10"/>
  <c r="D12" i="10"/>
  <c r="B12" i="10"/>
  <c r="T11" i="10"/>
  <c r="K11" i="10" s="1"/>
  <c r="I11" i="10"/>
  <c r="E11" i="10"/>
  <c r="F11" i="10" s="1"/>
  <c r="G11" i="10" s="1"/>
  <c r="J11" i="10" s="1"/>
  <c r="R11" i="10" s="1"/>
  <c r="D11" i="10"/>
  <c r="B11" i="10"/>
  <c r="K10" i="10"/>
  <c r="I10" i="10"/>
  <c r="D10" i="10"/>
  <c r="E10" i="10" s="1"/>
  <c r="B10" i="10"/>
  <c r="T9" i="10"/>
  <c r="I9" i="10"/>
  <c r="E9" i="10"/>
  <c r="D9" i="10"/>
  <c r="B9" i="10"/>
  <c r="T8" i="10"/>
  <c r="K8" i="10"/>
  <c r="I8" i="10"/>
  <c r="E8" i="10"/>
  <c r="D8" i="10"/>
  <c r="B8" i="10"/>
  <c r="T7" i="10"/>
  <c r="I68" i="10" s="1"/>
  <c r="I7" i="10"/>
  <c r="D7" i="10"/>
  <c r="E7" i="10" s="1"/>
  <c r="B7" i="10"/>
  <c r="I6" i="10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I69" i="8"/>
  <c r="E69" i="8"/>
  <c r="D69" i="8"/>
  <c r="B69" i="8"/>
  <c r="I68" i="8"/>
  <c r="F68" i="8"/>
  <c r="G68" i="8" s="1"/>
  <c r="J68" i="8" s="1"/>
  <c r="E68" i="8"/>
  <c r="D68" i="8"/>
  <c r="B68" i="8"/>
  <c r="I67" i="8"/>
  <c r="E67" i="8"/>
  <c r="D67" i="8"/>
  <c r="B67" i="8"/>
  <c r="D66" i="8"/>
  <c r="E66" i="8" s="1"/>
  <c r="B66" i="8"/>
  <c r="I65" i="8"/>
  <c r="E65" i="8"/>
  <c r="D65" i="8"/>
  <c r="B65" i="8"/>
  <c r="I64" i="8"/>
  <c r="D64" i="8"/>
  <c r="E64" i="8" s="1"/>
  <c r="B64" i="8"/>
  <c r="I63" i="8"/>
  <c r="E63" i="8"/>
  <c r="D63" i="8"/>
  <c r="B63" i="8"/>
  <c r="I62" i="8"/>
  <c r="E62" i="8"/>
  <c r="D62" i="8"/>
  <c r="B62" i="8"/>
  <c r="I61" i="8"/>
  <c r="E61" i="8"/>
  <c r="F61" i="8" s="1"/>
  <c r="G61" i="8" s="1"/>
  <c r="J61" i="8" s="1"/>
  <c r="D61" i="8"/>
  <c r="B61" i="8"/>
  <c r="I60" i="8"/>
  <c r="E60" i="8"/>
  <c r="D60" i="8"/>
  <c r="B60" i="8"/>
  <c r="I59" i="8"/>
  <c r="E59" i="8"/>
  <c r="D59" i="8"/>
  <c r="B59" i="8"/>
  <c r="I58" i="8"/>
  <c r="E58" i="8"/>
  <c r="D58" i="8"/>
  <c r="B58" i="8"/>
  <c r="I57" i="8"/>
  <c r="D57" i="8"/>
  <c r="E57" i="8" s="1"/>
  <c r="B57" i="8"/>
  <c r="I56" i="8"/>
  <c r="D56" i="8"/>
  <c r="E56" i="8" s="1"/>
  <c r="B56" i="8"/>
  <c r="I55" i="8"/>
  <c r="E55" i="8"/>
  <c r="D55" i="8"/>
  <c r="B55" i="8"/>
  <c r="I54" i="8"/>
  <c r="F54" i="8"/>
  <c r="G54" i="8" s="1"/>
  <c r="J54" i="8" s="1"/>
  <c r="E54" i="8"/>
  <c r="D54" i="8"/>
  <c r="B54" i="8"/>
  <c r="I53" i="8"/>
  <c r="E53" i="8"/>
  <c r="D53" i="8"/>
  <c r="B53" i="8"/>
  <c r="I52" i="8"/>
  <c r="E52" i="8"/>
  <c r="D52" i="8"/>
  <c r="B52" i="8"/>
  <c r="I51" i="8"/>
  <c r="F51" i="8"/>
  <c r="G51" i="8" s="1"/>
  <c r="J51" i="8" s="1"/>
  <c r="E51" i="8"/>
  <c r="D51" i="8"/>
  <c r="B51" i="8"/>
  <c r="I50" i="8"/>
  <c r="D50" i="8"/>
  <c r="E50" i="8" s="1"/>
  <c r="B50" i="8"/>
  <c r="D49" i="8"/>
  <c r="E49" i="8" s="1"/>
  <c r="B49" i="8"/>
  <c r="I48" i="8"/>
  <c r="E48" i="8"/>
  <c r="D48" i="8"/>
  <c r="B48" i="8"/>
  <c r="I47" i="8"/>
  <c r="E47" i="8"/>
  <c r="D47" i="8"/>
  <c r="B47" i="8"/>
  <c r="I46" i="8"/>
  <c r="E46" i="8"/>
  <c r="D46" i="8"/>
  <c r="B46" i="8"/>
  <c r="I45" i="8"/>
  <c r="E45" i="8"/>
  <c r="D45" i="8"/>
  <c r="B45" i="8"/>
  <c r="I44" i="8"/>
  <c r="F44" i="8"/>
  <c r="G44" i="8" s="1"/>
  <c r="J44" i="8" s="1"/>
  <c r="E44" i="8"/>
  <c r="D44" i="8"/>
  <c r="B44" i="8"/>
  <c r="I43" i="8"/>
  <c r="E43" i="8"/>
  <c r="D43" i="8"/>
  <c r="B43" i="8"/>
  <c r="D42" i="8"/>
  <c r="E42" i="8" s="1"/>
  <c r="B42" i="8"/>
  <c r="I41" i="8"/>
  <c r="E41" i="8"/>
  <c r="D41" i="8"/>
  <c r="B41" i="8"/>
  <c r="I40" i="8"/>
  <c r="D40" i="8"/>
  <c r="E40" i="8" s="1"/>
  <c r="B40" i="8"/>
  <c r="I39" i="8"/>
  <c r="E39" i="8"/>
  <c r="D39" i="8"/>
  <c r="B39" i="8"/>
  <c r="I38" i="8"/>
  <c r="E38" i="8"/>
  <c r="D38" i="8"/>
  <c r="B38" i="8"/>
  <c r="I37" i="8"/>
  <c r="F37" i="8"/>
  <c r="G37" i="8" s="1"/>
  <c r="J37" i="8" s="1"/>
  <c r="E37" i="8"/>
  <c r="D37" i="8"/>
  <c r="B37" i="8"/>
  <c r="I36" i="8"/>
  <c r="E36" i="8"/>
  <c r="D36" i="8"/>
  <c r="B36" i="8"/>
  <c r="I35" i="8"/>
  <c r="E35" i="8"/>
  <c r="D35" i="8"/>
  <c r="B35" i="8"/>
  <c r="I34" i="8"/>
  <c r="E34" i="8"/>
  <c r="D34" i="8"/>
  <c r="B34" i="8"/>
  <c r="I33" i="8"/>
  <c r="D33" i="8"/>
  <c r="E33" i="8" s="1"/>
  <c r="B33" i="8"/>
  <c r="I32" i="8"/>
  <c r="D32" i="8"/>
  <c r="E32" i="8" s="1"/>
  <c r="B32" i="8"/>
  <c r="I31" i="8"/>
  <c r="J31" i="8" s="1"/>
  <c r="F31" i="8"/>
  <c r="G31" i="8" s="1"/>
  <c r="E31" i="8"/>
  <c r="D31" i="8"/>
  <c r="B31" i="8"/>
  <c r="I30" i="8"/>
  <c r="F30" i="8"/>
  <c r="G30" i="8" s="1"/>
  <c r="J30" i="8" s="1"/>
  <c r="E30" i="8"/>
  <c r="D30" i="8"/>
  <c r="B30" i="8"/>
  <c r="I29" i="8"/>
  <c r="E29" i="8"/>
  <c r="D29" i="8"/>
  <c r="B29" i="8"/>
  <c r="I28" i="8"/>
  <c r="E28" i="8"/>
  <c r="D28" i="8"/>
  <c r="B28" i="8"/>
  <c r="I27" i="8"/>
  <c r="G27" i="8"/>
  <c r="J27" i="8" s="1"/>
  <c r="F27" i="8"/>
  <c r="E27" i="8"/>
  <c r="D27" i="8"/>
  <c r="B27" i="8"/>
  <c r="I26" i="8"/>
  <c r="D26" i="8"/>
  <c r="E26" i="8" s="1"/>
  <c r="B26" i="8"/>
  <c r="D25" i="8"/>
  <c r="E25" i="8" s="1"/>
  <c r="B25" i="8"/>
  <c r="I24" i="8"/>
  <c r="E24" i="8"/>
  <c r="D24" i="8"/>
  <c r="B24" i="8"/>
  <c r="I23" i="8"/>
  <c r="E23" i="8"/>
  <c r="D23" i="8"/>
  <c r="B23" i="8"/>
  <c r="I22" i="8"/>
  <c r="E22" i="8"/>
  <c r="D22" i="8"/>
  <c r="B22" i="8"/>
  <c r="I21" i="8"/>
  <c r="E21" i="8"/>
  <c r="D21" i="8"/>
  <c r="B21" i="8"/>
  <c r="I20" i="8"/>
  <c r="F20" i="8"/>
  <c r="G20" i="8" s="1"/>
  <c r="J20" i="8" s="1"/>
  <c r="E20" i="8"/>
  <c r="D20" i="8"/>
  <c r="B20" i="8"/>
  <c r="I19" i="8"/>
  <c r="E19" i="8"/>
  <c r="D19" i="8"/>
  <c r="B19" i="8"/>
  <c r="T18" i="8"/>
  <c r="I18" i="8"/>
  <c r="D18" i="8"/>
  <c r="E18" i="8" s="1"/>
  <c r="B18" i="8"/>
  <c r="T17" i="8"/>
  <c r="I17" i="8"/>
  <c r="D17" i="8"/>
  <c r="E17" i="8" s="1"/>
  <c r="B17" i="8"/>
  <c r="I16" i="8"/>
  <c r="D16" i="8"/>
  <c r="E16" i="8" s="1"/>
  <c r="F16" i="8" s="1"/>
  <c r="G16" i="8" s="1"/>
  <c r="J16" i="8" s="1"/>
  <c r="B16" i="8"/>
  <c r="I15" i="8"/>
  <c r="E15" i="8"/>
  <c r="D15" i="8"/>
  <c r="B15" i="8"/>
  <c r="D14" i="8"/>
  <c r="E14" i="8" s="1"/>
  <c r="B14" i="8"/>
  <c r="I13" i="8"/>
  <c r="F13" i="8"/>
  <c r="G13" i="8" s="1"/>
  <c r="J13" i="8" s="1"/>
  <c r="D13" i="8"/>
  <c r="E13" i="8" s="1"/>
  <c r="B13" i="8"/>
  <c r="I12" i="8"/>
  <c r="D12" i="8"/>
  <c r="E12" i="8" s="1"/>
  <c r="B12" i="8"/>
  <c r="I11" i="8"/>
  <c r="E11" i="8"/>
  <c r="D11" i="8"/>
  <c r="B11" i="8"/>
  <c r="I10" i="8"/>
  <c r="E10" i="8"/>
  <c r="D10" i="8"/>
  <c r="B10" i="8"/>
  <c r="T9" i="8"/>
  <c r="I9" i="8"/>
  <c r="D9" i="8"/>
  <c r="E9" i="8" s="1"/>
  <c r="F9" i="8" s="1"/>
  <c r="G9" i="8" s="1"/>
  <c r="J9" i="8" s="1"/>
  <c r="B9" i="8"/>
  <c r="I8" i="8"/>
  <c r="E8" i="8"/>
  <c r="F8" i="8" s="1"/>
  <c r="G8" i="8" s="1"/>
  <c r="J8" i="8" s="1"/>
  <c r="D8" i="8"/>
  <c r="B8" i="8"/>
  <c r="T7" i="8"/>
  <c r="T8" i="8" s="1"/>
  <c r="I7" i="8"/>
  <c r="E7" i="8"/>
  <c r="D7" i="8"/>
  <c r="B7" i="8"/>
  <c r="I6" i="8"/>
  <c r="D6" i="8"/>
  <c r="E6" i="8" s="1"/>
  <c r="B6" i="8"/>
  <c r="T5" i="8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E69" i="6"/>
  <c r="D69" i="6"/>
  <c r="B69" i="6"/>
  <c r="D68" i="6"/>
  <c r="E68" i="6" s="1"/>
  <c r="B68" i="6"/>
  <c r="D67" i="6"/>
  <c r="E67" i="6" s="1"/>
  <c r="B67" i="6"/>
  <c r="I66" i="6"/>
  <c r="D66" i="6"/>
  <c r="E66" i="6" s="1"/>
  <c r="B66" i="6"/>
  <c r="E65" i="6"/>
  <c r="D65" i="6"/>
  <c r="B65" i="6"/>
  <c r="D64" i="6"/>
  <c r="E64" i="6" s="1"/>
  <c r="B64" i="6"/>
  <c r="D63" i="6"/>
  <c r="E63" i="6" s="1"/>
  <c r="B63" i="6"/>
  <c r="I62" i="6"/>
  <c r="D62" i="6"/>
  <c r="E62" i="6" s="1"/>
  <c r="B62" i="6"/>
  <c r="E61" i="6"/>
  <c r="D61" i="6"/>
  <c r="B61" i="6"/>
  <c r="D60" i="6"/>
  <c r="E60" i="6" s="1"/>
  <c r="B60" i="6"/>
  <c r="D59" i="6"/>
  <c r="E59" i="6" s="1"/>
  <c r="B59" i="6"/>
  <c r="I58" i="6"/>
  <c r="D58" i="6"/>
  <c r="E58" i="6" s="1"/>
  <c r="B58" i="6"/>
  <c r="E57" i="6"/>
  <c r="D57" i="6"/>
  <c r="B57" i="6"/>
  <c r="D56" i="6"/>
  <c r="E56" i="6" s="1"/>
  <c r="B56" i="6"/>
  <c r="D55" i="6"/>
  <c r="E55" i="6" s="1"/>
  <c r="B55" i="6"/>
  <c r="I54" i="6"/>
  <c r="D54" i="6"/>
  <c r="E54" i="6" s="1"/>
  <c r="B54" i="6"/>
  <c r="E53" i="6"/>
  <c r="D53" i="6"/>
  <c r="B53" i="6"/>
  <c r="D52" i="6"/>
  <c r="E52" i="6" s="1"/>
  <c r="B52" i="6"/>
  <c r="D51" i="6"/>
  <c r="E51" i="6" s="1"/>
  <c r="B51" i="6"/>
  <c r="I50" i="6"/>
  <c r="D50" i="6"/>
  <c r="E50" i="6" s="1"/>
  <c r="B50" i="6"/>
  <c r="E49" i="6"/>
  <c r="D49" i="6"/>
  <c r="B49" i="6"/>
  <c r="D48" i="6"/>
  <c r="E48" i="6" s="1"/>
  <c r="B48" i="6"/>
  <c r="D47" i="6"/>
  <c r="E47" i="6" s="1"/>
  <c r="B47" i="6"/>
  <c r="I46" i="6"/>
  <c r="D46" i="6"/>
  <c r="E46" i="6" s="1"/>
  <c r="B46" i="6"/>
  <c r="E45" i="6"/>
  <c r="D45" i="6"/>
  <c r="B45" i="6"/>
  <c r="D44" i="6"/>
  <c r="E44" i="6" s="1"/>
  <c r="B44" i="6"/>
  <c r="D43" i="6"/>
  <c r="E43" i="6" s="1"/>
  <c r="B43" i="6"/>
  <c r="I42" i="6"/>
  <c r="D42" i="6"/>
  <c r="E42" i="6" s="1"/>
  <c r="B42" i="6"/>
  <c r="E41" i="6"/>
  <c r="D41" i="6"/>
  <c r="B41" i="6"/>
  <c r="D40" i="6"/>
  <c r="E40" i="6" s="1"/>
  <c r="B40" i="6"/>
  <c r="D39" i="6"/>
  <c r="E39" i="6" s="1"/>
  <c r="B39" i="6"/>
  <c r="I38" i="6"/>
  <c r="D38" i="6"/>
  <c r="E38" i="6" s="1"/>
  <c r="B38" i="6"/>
  <c r="E37" i="6"/>
  <c r="D37" i="6"/>
  <c r="B37" i="6"/>
  <c r="D36" i="6"/>
  <c r="E36" i="6" s="1"/>
  <c r="B36" i="6"/>
  <c r="D35" i="6"/>
  <c r="E35" i="6" s="1"/>
  <c r="B35" i="6"/>
  <c r="I34" i="6"/>
  <c r="D34" i="6"/>
  <c r="E34" i="6" s="1"/>
  <c r="B34" i="6"/>
  <c r="E33" i="6"/>
  <c r="D33" i="6"/>
  <c r="B33" i="6"/>
  <c r="D32" i="6"/>
  <c r="E32" i="6" s="1"/>
  <c r="B32" i="6"/>
  <c r="D31" i="6"/>
  <c r="E31" i="6" s="1"/>
  <c r="B31" i="6"/>
  <c r="I30" i="6"/>
  <c r="D30" i="6"/>
  <c r="E30" i="6" s="1"/>
  <c r="B30" i="6"/>
  <c r="E29" i="6"/>
  <c r="D29" i="6"/>
  <c r="B29" i="6"/>
  <c r="D28" i="6"/>
  <c r="E28" i="6" s="1"/>
  <c r="B28" i="6"/>
  <c r="D27" i="6"/>
  <c r="E27" i="6" s="1"/>
  <c r="B27" i="6"/>
  <c r="I26" i="6"/>
  <c r="D26" i="6"/>
  <c r="E26" i="6" s="1"/>
  <c r="B26" i="6"/>
  <c r="E25" i="6"/>
  <c r="D25" i="6"/>
  <c r="B25" i="6"/>
  <c r="D24" i="6"/>
  <c r="E24" i="6" s="1"/>
  <c r="B24" i="6"/>
  <c r="D23" i="6"/>
  <c r="E23" i="6" s="1"/>
  <c r="B23" i="6"/>
  <c r="I22" i="6"/>
  <c r="D22" i="6"/>
  <c r="C22" i="6"/>
  <c r="E22" i="6" s="1"/>
  <c r="B22" i="6"/>
  <c r="D21" i="6"/>
  <c r="E21" i="6" s="1"/>
  <c r="B21" i="6"/>
  <c r="I20" i="6"/>
  <c r="D20" i="6"/>
  <c r="E20" i="6" s="1"/>
  <c r="B20" i="6"/>
  <c r="I19" i="6"/>
  <c r="E19" i="6"/>
  <c r="D19" i="6"/>
  <c r="B19" i="6"/>
  <c r="I18" i="6"/>
  <c r="E18" i="6"/>
  <c r="D18" i="6"/>
  <c r="B18" i="6"/>
  <c r="T17" i="6"/>
  <c r="T18" i="6" s="1"/>
  <c r="I17" i="6"/>
  <c r="D17" i="6"/>
  <c r="E17" i="6" s="1"/>
  <c r="B17" i="6"/>
  <c r="E16" i="6"/>
  <c r="D16" i="6"/>
  <c r="B16" i="6"/>
  <c r="D15" i="6"/>
  <c r="E15" i="6" s="1"/>
  <c r="B15" i="6"/>
  <c r="I14" i="6"/>
  <c r="D14" i="6"/>
  <c r="E14" i="6" s="1"/>
  <c r="B14" i="6"/>
  <c r="I13" i="6"/>
  <c r="D13" i="6"/>
  <c r="E13" i="6" s="1"/>
  <c r="B13" i="6"/>
  <c r="E12" i="6"/>
  <c r="D12" i="6"/>
  <c r="B12" i="6"/>
  <c r="I11" i="6"/>
  <c r="D11" i="6"/>
  <c r="E11" i="6" s="1"/>
  <c r="B11" i="6"/>
  <c r="I10" i="6"/>
  <c r="E10" i="6"/>
  <c r="D10" i="6"/>
  <c r="B10" i="6"/>
  <c r="I9" i="6"/>
  <c r="E9" i="6"/>
  <c r="D9" i="6"/>
  <c r="B9" i="6"/>
  <c r="T8" i="6"/>
  <c r="T9" i="6" s="1"/>
  <c r="I8" i="6"/>
  <c r="D8" i="6"/>
  <c r="E8" i="6" s="1"/>
  <c r="B8" i="6"/>
  <c r="T7" i="6"/>
  <c r="I69" i="6" s="1"/>
  <c r="D7" i="6"/>
  <c r="E7" i="6" s="1"/>
  <c r="B7" i="6"/>
  <c r="I6" i="6"/>
  <c r="D6" i="6"/>
  <c r="E6" i="6" s="1"/>
  <c r="B6" i="6"/>
  <c r="T5" i="6"/>
  <c r="I5" i="6"/>
  <c r="I4" i="6"/>
  <c r="I3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B69" i="4"/>
  <c r="D68" i="4"/>
  <c r="E68" i="4" s="1"/>
  <c r="B68" i="4"/>
  <c r="D67" i="4"/>
  <c r="E67" i="4" s="1"/>
  <c r="F67" i="4" s="1"/>
  <c r="G67" i="4" s="1"/>
  <c r="B67" i="4"/>
  <c r="D66" i="4"/>
  <c r="E66" i="4" s="1"/>
  <c r="B66" i="4"/>
  <c r="D65" i="4"/>
  <c r="E65" i="4" s="1"/>
  <c r="B65" i="4"/>
  <c r="D64" i="4"/>
  <c r="E64" i="4" s="1"/>
  <c r="B64" i="4"/>
  <c r="D63" i="4"/>
  <c r="E63" i="4" s="1"/>
  <c r="B63" i="4"/>
  <c r="I62" i="4"/>
  <c r="D62" i="4"/>
  <c r="E62" i="4" s="1"/>
  <c r="B62" i="4"/>
  <c r="D61" i="4"/>
  <c r="E61" i="4" s="1"/>
  <c r="B61" i="4"/>
  <c r="D60" i="4"/>
  <c r="E60" i="4" s="1"/>
  <c r="B60" i="4"/>
  <c r="D59" i="4"/>
  <c r="E59" i="4" s="1"/>
  <c r="F59" i="4" s="1"/>
  <c r="G59" i="4" s="1"/>
  <c r="B59" i="4"/>
  <c r="D58" i="4"/>
  <c r="E58" i="4" s="1"/>
  <c r="B58" i="4"/>
  <c r="D57" i="4"/>
  <c r="E57" i="4" s="1"/>
  <c r="B57" i="4"/>
  <c r="D56" i="4"/>
  <c r="E56" i="4" s="1"/>
  <c r="B56" i="4"/>
  <c r="F55" i="4"/>
  <c r="G55" i="4" s="1"/>
  <c r="D55" i="4"/>
  <c r="E55" i="4" s="1"/>
  <c r="B55" i="4"/>
  <c r="D54" i="4"/>
  <c r="E54" i="4" s="1"/>
  <c r="B54" i="4"/>
  <c r="E53" i="4"/>
  <c r="F53" i="4" s="1"/>
  <c r="G53" i="4" s="1"/>
  <c r="D53" i="4"/>
  <c r="B53" i="4"/>
  <c r="D52" i="4"/>
  <c r="E52" i="4" s="1"/>
  <c r="B52" i="4"/>
  <c r="D51" i="4"/>
  <c r="E51" i="4" s="1"/>
  <c r="B51" i="4"/>
  <c r="F50" i="4"/>
  <c r="G50" i="4" s="1"/>
  <c r="D50" i="4"/>
  <c r="E50" i="4" s="1"/>
  <c r="B50" i="4"/>
  <c r="D49" i="4"/>
  <c r="E49" i="4" s="1"/>
  <c r="F49" i="4" s="1"/>
  <c r="G49" i="4" s="1"/>
  <c r="B49" i="4"/>
  <c r="F48" i="4"/>
  <c r="G48" i="4" s="1"/>
  <c r="D48" i="4"/>
  <c r="E48" i="4" s="1"/>
  <c r="B48" i="4"/>
  <c r="F47" i="4"/>
  <c r="G47" i="4" s="1"/>
  <c r="D47" i="4"/>
  <c r="E47" i="4" s="1"/>
  <c r="B47" i="4"/>
  <c r="G46" i="4"/>
  <c r="F46" i="4"/>
  <c r="D46" i="4"/>
  <c r="E46" i="4" s="1"/>
  <c r="B46" i="4"/>
  <c r="E45" i="4"/>
  <c r="D45" i="4"/>
  <c r="B45" i="4"/>
  <c r="G44" i="4"/>
  <c r="F44" i="4"/>
  <c r="D44" i="4"/>
  <c r="E44" i="4" s="1"/>
  <c r="B44" i="4"/>
  <c r="D43" i="4"/>
  <c r="E43" i="4" s="1"/>
  <c r="B43" i="4"/>
  <c r="I42" i="4"/>
  <c r="D42" i="4"/>
  <c r="E42" i="4" s="1"/>
  <c r="B42" i="4"/>
  <c r="D41" i="4"/>
  <c r="E41" i="4" s="1"/>
  <c r="F41" i="4" s="1"/>
  <c r="G41" i="4" s="1"/>
  <c r="B41" i="4"/>
  <c r="D40" i="4"/>
  <c r="E40" i="4" s="1"/>
  <c r="B40" i="4"/>
  <c r="D39" i="4"/>
  <c r="E39" i="4" s="1"/>
  <c r="B39" i="4"/>
  <c r="I38" i="4"/>
  <c r="D38" i="4"/>
  <c r="E38" i="4" s="1"/>
  <c r="B38" i="4"/>
  <c r="D37" i="4"/>
  <c r="E37" i="4" s="1"/>
  <c r="B37" i="4"/>
  <c r="D36" i="4"/>
  <c r="E36" i="4" s="1"/>
  <c r="B36" i="4"/>
  <c r="D35" i="4"/>
  <c r="E35" i="4" s="1"/>
  <c r="B35" i="4"/>
  <c r="D34" i="4"/>
  <c r="E34" i="4" s="1"/>
  <c r="F34" i="4" s="1"/>
  <c r="G34" i="4" s="1"/>
  <c r="B34" i="4"/>
  <c r="E33" i="4"/>
  <c r="D33" i="4"/>
  <c r="B33" i="4"/>
  <c r="D32" i="4"/>
  <c r="E32" i="4" s="1"/>
  <c r="F32" i="4" s="1"/>
  <c r="G32" i="4" s="1"/>
  <c r="B32" i="4"/>
  <c r="D31" i="4"/>
  <c r="E31" i="4" s="1"/>
  <c r="B31" i="4"/>
  <c r="F30" i="4"/>
  <c r="G30" i="4" s="1"/>
  <c r="D30" i="4"/>
  <c r="E30" i="4" s="1"/>
  <c r="B30" i="4"/>
  <c r="D29" i="4"/>
  <c r="E29" i="4" s="1"/>
  <c r="B29" i="4"/>
  <c r="F28" i="4"/>
  <c r="G28" i="4" s="1"/>
  <c r="D28" i="4"/>
  <c r="E28" i="4" s="1"/>
  <c r="B28" i="4"/>
  <c r="F27" i="4"/>
  <c r="G27" i="4" s="1"/>
  <c r="D27" i="4"/>
  <c r="E27" i="4" s="1"/>
  <c r="B27" i="4"/>
  <c r="I26" i="4"/>
  <c r="D26" i="4"/>
  <c r="E26" i="4" s="1"/>
  <c r="B26" i="4"/>
  <c r="E25" i="4"/>
  <c r="D25" i="4"/>
  <c r="B25" i="4"/>
  <c r="D24" i="4"/>
  <c r="E24" i="4" s="1"/>
  <c r="B24" i="4"/>
  <c r="G23" i="4"/>
  <c r="F23" i="4"/>
  <c r="D23" i="4"/>
  <c r="E23" i="4" s="1"/>
  <c r="B23" i="4"/>
  <c r="I22" i="4"/>
  <c r="F22" i="4"/>
  <c r="G22" i="4" s="1"/>
  <c r="D22" i="4"/>
  <c r="E22" i="4" s="1"/>
  <c r="B22" i="4"/>
  <c r="F21" i="4"/>
  <c r="G21" i="4" s="1"/>
  <c r="E21" i="4"/>
  <c r="D21" i="4"/>
  <c r="B21" i="4"/>
  <c r="F20" i="4"/>
  <c r="G20" i="4" s="1"/>
  <c r="D20" i="4"/>
  <c r="E20" i="4" s="1"/>
  <c r="B20" i="4"/>
  <c r="D19" i="4"/>
  <c r="E19" i="4" s="1"/>
  <c r="B19" i="4"/>
  <c r="D18" i="4"/>
  <c r="E18" i="4" s="1"/>
  <c r="B18" i="4"/>
  <c r="D17" i="4"/>
  <c r="E17" i="4" s="1"/>
  <c r="F17" i="4" s="1"/>
  <c r="G17" i="4" s="1"/>
  <c r="B17" i="4"/>
  <c r="D16" i="4"/>
  <c r="E16" i="4" s="1"/>
  <c r="B16" i="4"/>
  <c r="D15" i="4"/>
  <c r="E15" i="4" s="1"/>
  <c r="B15" i="4"/>
  <c r="I14" i="4"/>
  <c r="D14" i="4"/>
  <c r="E14" i="4" s="1"/>
  <c r="B14" i="4"/>
  <c r="D13" i="4"/>
  <c r="E13" i="4" s="1"/>
  <c r="B13" i="4"/>
  <c r="D12" i="4"/>
  <c r="E12" i="4" s="1"/>
  <c r="B12" i="4"/>
  <c r="D11" i="4"/>
  <c r="E11" i="4" s="1"/>
  <c r="F11" i="4" s="1"/>
  <c r="G11" i="4" s="1"/>
  <c r="B11" i="4"/>
  <c r="D10" i="4"/>
  <c r="E10" i="4" s="1"/>
  <c r="B10" i="4"/>
  <c r="E9" i="4"/>
  <c r="F9" i="4" s="1"/>
  <c r="G9" i="4" s="1"/>
  <c r="D9" i="4"/>
  <c r="B9" i="4"/>
  <c r="E8" i="4"/>
  <c r="D8" i="4"/>
  <c r="B8" i="4"/>
  <c r="T7" i="4"/>
  <c r="I18" i="4" s="1"/>
  <c r="F7" i="4"/>
  <c r="G7" i="4" s="1"/>
  <c r="D7" i="4"/>
  <c r="E7" i="4" s="1"/>
  <c r="B7" i="4"/>
  <c r="D6" i="4"/>
  <c r="E6" i="4" s="1"/>
  <c r="B6" i="4"/>
  <c r="T5" i="4"/>
  <c r="I4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K66" i="3" s="1"/>
  <c r="B3" i="3"/>
  <c r="K2" i="3"/>
  <c r="B2" i="3"/>
  <c r="Q70" i="2"/>
  <c r="P70" i="2"/>
  <c r="O70" i="2"/>
  <c r="N70" i="2"/>
  <c r="M70" i="2"/>
  <c r="L70" i="2"/>
  <c r="H70" i="2"/>
  <c r="C70" i="2"/>
  <c r="F64" i="2" s="1"/>
  <c r="G64" i="2" s="1"/>
  <c r="I69" i="2"/>
  <c r="D69" i="2"/>
  <c r="E69" i="2" s="1"/>
  <c r="F69" i="2" s="1"/>
  <c r="G69" i="2" s="1"/>
  <c r="J69" i="2" s="1"/>
  <c r="B69" i="2"/>
  <c r="K68" i="2"/>
  <c r="E68" i="2"/>
  <c r="F68" i="2" s="1"/>
  <c r="G68" i="2" s="1"/>
  <c r="D68" i="2"/>
  <c r="B68" i="2"/>
  <c r="I67" i="2"/>
  <c r="D67" i="2"/>
  <c r="E67" i="2" s="1"/>
  <c r="F67" i="2" s="1"/>
  <c r="G67" i="2" s="1"/>
  <c r="J67" i="2" s="1"/>
  <c r="B67" i="2"/>
  <c r="K66" i="2"/>
  <c r="D66" i="2"/>
  <c r="E66" i="2" s="1"/>
  <c r="F66" i="2" s="1"/>
  <c r="G66" i="2" s="1"/>
  <c r="B66" i="2"/>
  <c r="F65" i="2"/>
  <c r="G65" i="2" s="1"/>
  <c r="D65" i="2"/>
  <c r="E65" i="2" s="1"/>
  <c r="B65" i="2"/>
  <c r="K64" i="2"/>
  <c r="E64" i="2"/>
  <c r="D64" i="2"/>
  <c r="B64" i="2"/>
  <c r="K63" i="2"/>
  <c r="E63" i="2"/>
  <c r="F63" i="2" s="1"/>
  <c r="G63" i="2" s="1"/>
  <c r="D63" i="2"/>
  <c r="B63" i="2"/>
  <c r="F62" i="2"/>
  <c r="G62" i="2" s="1"/>
  <c r="E62" i="2"/>
  <c r="D62" i="2"/>
  <c r="B62" i="2"/>
  <c r="K61" i="2"/>
  <c r="I61" i="2"/>
  <c r="F61" i="2"/>
  <c r="G61" i="2" s="1"/>
  <c r="D61" i="2"/>
  <c r="E61" i="2" s="1"/>
  <c r="B61" i="2"/>
  <c r="K60" i="2"/>
  <c r="D60" i="2"/>
  <c r="E60" i="2" s="1"/>
  <c r="F60" i="2" s="1"/>
  <c r="G60" i="2" s="1"/>
  <c r="B60" i="2"/>
  <c r="D59" i="2"/>
  <c r="E59" i="2" s="1"/>
  <c r="F59" i="2" s="1"/>
  <c r="G59" i="2" s="1"/>
  <c r="B59" i="2"/>
  <c r="D58" i="2"/>
  <c r="E58" i="2" s="1"/>
  <c r="F58" i="2" s="1"/>
  <c r="G58" i="2" s="1"/>
  <c r="B58" i="2"/>
  <c r="I57" i="2"/>
  <c r="D57" i="2"/>
  <c r="E57" i="2" s="1"/>
  <c r="F57" i="2" s="1"/>
  <c r="G57" i="2" s="1"/>
  <c r="B57" i="2"/>
  <c r="I56" i="2"/>
  <c r="D56" i="2"/>
  <c r="E56" i="2" s="1"/>
  <c r="F56" i="2" s="1"/>
  <c r="G56" i="2" s="1"/>
  <c r="J56" i="2" s="1"/>
  <c r="B56" i="2"/>
  <c r="D55" i="2"/>
  <c r="E55" i="2" s="1"/>
  <c r="B55" i="2"/>
  <c r="E54" i="2"/>
  <c r="F54" i="2" s="1"/>
  <c r="G54" i="2" s="1"/>
  <c r="D54" i="2"/>
  <c r="B54" i="2"/>
  <c r="I53" i="2"/>
  <c r="D53" i="2"/>
  <c r="E53" i="2" s="1"/>
  <c r="F53" i="2" s="1"/>
  <c r="G53" i="2" s="1"/>
  <c r="B53" i="2"/>
  <c r="K52" i="2"/>
  <c r="D52" i="2"/>
  <c r="E52" i="2" s="1"/>
  <c r="F52" i="2" s="1"/>
  <c r="G52" i="2" s="1"/>
  <c r="B52" i="2"/>
  <c r="I51" i="2"/>
  <c r="D51" i="2"/>
  <c r="E51" i="2" s="1"/>
  <c r="F51" i="2" s="1"/>
  <c r="G51" i="2" s="1"/>
  <c r="B51" i="2"/>
  <c r="K50" i="2"/>
  <c r="D50" i="2"/>
  <c r="E50" i="2" s="1"/>
  <c r="F50" i="2" s="1"/>
  <c r="G50" i="2" s="1"/>
  <c r="B50" i="2"/>
  <c r="D49" i="2"/>
  <c r="E49" i="2" s="1"/>
  <c r="F49" i="2" s="1"/>
  <c r="G49" i="2" s="1"/>
  <c r="B49" i="2"/>
  <c r="K48" i="2"/>
  <c r="E48" i="2"/>
  <c r="D48" i="2"/>
  <c r="B48" i="2"/>
  <c r="K47" i="2"/>
  <c r="E47" i="2"/>
  <c r="F47" i="2" s="1"/>
  <c r="G47" i="2" s="1"/>
  <c r="D47" i="2"/>
  <c r="B47" i="2"/>
  <c r="E46" i="2"/>
  <c r="F46" i="2" s="1"/>
  <c r="G46" i="2" s="1"/>
  <c r="D46" i="2"/>
  <c r="B46" i="2"/>
  <c r="K45" i="2"/>
  <c r="I45" i="2"/>
  <c r="F45" i="2"/>
  <c r="G45" i="2" s="1"/>
  <c r="D45" i="2"/>
  <c r="E45" i="2" s="1"/>
  <c r="B45" i="2"/>
  <c r="K44" i="2"/>
  <c r="D44" i="2"/>
  <c r="E44" i="2" s="1"/>
  <c r="F44" i="2" s="1"/>
  <c r="G44" i="2" s="1"/>
  <c r="B44" i="2"/>
  <c r="D43" i="2"/>
  <c r="E43" i="2" s="1"/>
  <c r="F43" i="2" s="1"/>
  <c r="G43" i="2" s="1"/>
  <c r="B43" i="2"/>
  <c r="D42" i="2"/>
  <c r="E42" i="2" s="1"/>
  <c r="F42" i="2" s="1"/>
  <c r="G42" i="2" s="1"/>
  <c r="B42" i="2"/>
  <c r="I41" i="2"/>
  <c r="D41" i="2"/>
  <c r="E41" i="2" s="1"/>
  <c r="F41" i="2" s="1"/>
  <c r="G41" i="2" s="1"/>
  <c r="B41" i="2"/>
  <c r="I40" i="2"/>
  <c r="D40" i="2"/>
  <c r="E40" i="2" s="1"/>
  <c r="F40" i="2" s="1"/>
  <c r="G40" i="2" s="1"/>
  <c r="J40" i="2" s="1"/>
  <c r="B40" i="2"/>
  <c r="D39" i="2"/>
  <c r="E39" i="2" s="1"/>
  <c r="F39" i="2" s="1"/>
  <c r="G39" i="2" s="1"/>
  <c r="B39" i="2"/>
  <c r="K38" i="2"/>
  <c r="E38" i="2"/>
  <c r="F38" i="2" s="1"/>
  <c r="G38" i="2" s="1"/>
  <c r="D38" i="2"/>
  <c r="B38" i="2"/>
  <c r="I37" i="2"/>
  <c r="D37" i="2"/>
  <c r="E37" i="2" s="1"/>
  <c r="F37" i="2" s="1"/>
  <c r="G37" i="2" s="1"/>
  <c r="B37" i="2"/>
  <c r="K36" i="2"/>
  <c r="D36" i="2"/>
  <c r="E36" i="2" s="1"/>
  <c r="F36" i="2" s="1"/>
  <c r="G36" i="2" s="1"/>
  <c r="B36" i="2"/>
  <c r="K35" i="2"/>
  <c r="I35" i="2"/>
  <c r="D35" i="2"/>
  <c r="E35" i="2" s="1"/>
  <c r="F35" i="2" s="1"/>
  <c r="G35" i="2" s="1"/>
  <c r="J35" i="2" s="1"/>
  <c r="S35" i="2" s="1"/>
  <c r="B35" i="2"/>
  <c r="K34" i="2"/>
  <c r="D34" i="2"/>
  <c r="E34" i="2" s="1"/>
  <c r="F34" i="2" s="1"/>
  <c r="G34" i="2" s="1"/>
  <c r="B34" i="2"/>
  <c r="D33" i="2"/>
  <c r="E33" i="2" s="1"/>
  <c r="F33" i="2" s="1"/>
  <c r="G33" i="2" s="1"/>
  <c r="B33" i="2"/>
  <c r="K32" i="2"/>
  <c r="E32" i="2"/>
  <c r="D32" i="2"/>
  <c r="B32" i="2"/>
  <c r="K31" i="2"/>
  <c r="E31" i="2"/>
  <c r="F31" i="2" s="1"/>
  <c r="G31" i="2" s="1"/>
  <c r="D31" i="2"/>
  <c r="B31" i="2"/>
  <c r="E30" i="2"/>
  <c r="F30" i="2" s="1"/>
  <c r="G30" i="2" s="1"/>
  <c r="D30" i="2"/>
  <c r="B30" i="2"/>
  <c r="K29" i="2"/>
  <c r="I29" i="2"/>
  <c r="F29" i="2"/>
  <c r="G29" i="2" s="1"/>
  <c r="J29" i="2" s="1"/>
  <c r="S29" i="2" s="1"/>
  <c r="D29" i="2"/>
  <c r="E29" i="2" s="1"/>
  <c r="B29" i="2"/>
  <c r="K28" i="2"/>
  <c r="I28" i="2"/>
  <c r="D28" i="2"/>
  <c r="E28" i="2" s="1"/>
  <c r="F28" i="2" s="1"/>
  <c r="G28" i="2" s="1"/>
  <c r="J28" i="2" s="1"/>
  <c r="S28" i="2" s="1"/>
  <c r="B28" i="2"/>
  <c r="D27" i="2"/>
  <c r="E27" i="2" s="1"/>
  <c r="F27" i="2" s="1"/>
  <c r="G27" i="2" s="1"/>
  <c r="B27" i="2"/>
  <c r="D26" i="2"/>
  <c r="E26" i="2" s="1"/>
  <c r="F26" i="2" s="1"/>
  <c r="G26" i="2" s="1"/>
  <c r="B26" i="2"/>
  <c r="K25" i="2"/>
  <c r="I25" i="2"/>
  <c r="D25" i="2"/>
  <c r="E25" i="2" s="1"/>
  <c r="F25" i="2" s="1"/>
  <c r="G25" i="2" s="1"/>
  <c r="B25" i="2"/>
  <c r="K24" i="2"/>
  <c r="E24" i="2"/>
  <c r="F24" i="2" s="1"/>
  <c r="G24" i="2" s="1"/>
  <c r="D24" i="2"/>
  <c r="B24" i="2"/>
  <c r="D23" i="2"/>
  <c r="E23" i="2" s="1"/>
  <c r="F23" i="2" s="1"/>
  <c r="G23" i="2" s="1"/>
  <c r="B23" i="2"/>
  <c r="D22" i="2"/>
  <c r="E22" i="2" s="1"/>
  <c r="F22" i="2" s="1"/>
  <c r="G22" i="2" s="1"/>
  <c r="B22" i="2"/>
  <c r="K21" i="2"/>
  <c r="I21" i="2"/>
  <c r="D21" i="2"/>
  <c r="E21" i="2" s="1"/>
  <c r="F21" i="2" s="1"/>
  <c r="G21" i="2" s="1"/>
  <c r="B21" i="2"/>
  <c r="K20" i="2"/>
  <c r="E20" i="2"/>
  <c r="F20" i="2" s="1"/>
  <c r="G20" i="2" s="1"/>
  <c r="D20" i="2"/>
  <c r="B20" i="2"/>
  <c r="D19" i="2"/>
  <c r="E19" i="2" s="1"/>
  <c r="F19" i="2" s="1"/>
  <c r="G19" i="2" s="1"/>
  <c r="B19" i="2"/>
  <c r="U18" i="2"/>
  <c r="K18" i="2"/>
  <c r="D18" i="2"/>
  <c r="E18" i="2" s="1"/>
  <c r="F18" i="2" s="1"/>
  <c r="G18" i="2" s="1"/>
  <c r="B18" i="2"/>
  <c r="U17" i="2"/>
  <c r="K17" i="2"/>
  <c r="I17" i="2"/>
  <c r="D17" i="2"/>
  <c r="E17" i="2" s="1"/>
  <c r="F17" i="2" s="1"/>
  <c r="G17" i="2" s="1"/>
  <c r="J17" i="2" s="1"/>
  <c r="S17" i="2" s="1"/>
  <c r="B17" i="2"/>
  <c r="U16" i="2"/>
  <c r="K16" i="2"/>
  <c r="I16" i="2"/>
  <c r="D16" i="2"/>
  <c r="E16" i="2" s="1"/>
  <c r="F16" i="2" s="1"/>
  <c r="G16" i="2" s="1"/>
  <c r="B16" i="2"/>
  <c r="K15" i="2"/>
  <c r="E15" i="2"/>
  <c r="F15" i="2" s="1"/>
  <c r="G15" i="2" s="1"/>
  <c r="D15" i="2"/>
  <c r="B15" i="2"/>
  <c r="U14" i="2"/>
  <c r="I14" i="2"/>
  <c r="D14" i="2"/>
  <c r="E14" i="2" s="1"/>
  <c r="F14" i="2" s="1"/>
  <c r="G14" i="2" s="1"/>
  <c r="J14" i="2" s="1"/>
  <c r="B14" i="2"/>
  <c r="K13" i="2"/>
  <c r="D13" i="2"/>
  <c r="E13" i="2" s="1"/>
  <c r="F13" i="2" s="1"/>
  <c r="G13" i="2" s="1"/>
  <c r="B13" i="2"/>
  <c r="K12" i="2"/>
  <c r="D12" i="2"/>
  <c r="E12" i="2" s="1"/>
  <c r="B12" i="2"/>
  <c r="K11" i="2"/>
  <c r="I11" i="2"/>
  <c r="D11" i="2"/>
  <c r="E11" i="2" s="1"/>
  <c r="F11" i="2" s="1"/>
  <c r="G11" i="2" s="1"/>
  <c r="J11" i="2" s="1"/>
  <c r="S11" i="2" s="1"/>
  <c r="B11" i="2"/>
  <c r="I10" i="2"/>
  <c r="D10" i="2"/>
  <c r="E10" i="2" s="1"/>
  <c r="F10" i="2" s="1"/>
  <c r="G10" i="2" s="1"/>
  <c r="J10" i="2" s="1"/>
  <c r="B10" i="2"/>
  <c r="E9" i="2"/>
  <c r="F9" i="2" s="1"/>
  <c r="G9" i="2" s="1"/>
  <c r="D9" i="2"/>
  <c r="B9" i="2"/>
  <c r="U8" i="2"/>
  <c r="U9" i="2" s="1"/>
  <c r="D8" i="2"/>
  <c r="E8" i="2" s="1"/>
  <c r="F8" i="2" s="1"/>
  <c r="G8" i="2" s="1"/>
  <c r="B8" i="2"/>
  <c r="U7" i="2"/>
  <c r="I60" i="2" s="1"/>
  <c r="K7" i="2"/>
  <c r="D7" i="2"/>
  <c r="E7" i="2" s="1"/>
  <c r="B7" i="2"/>
  <c r="K6" i="2"/>
  <c r="I6" i="2"/>
  <c r="D6" i="2"/>
  <c r="D70" i="2" s="1"/>
  <c r="B6" i="2"/>
  <c r="U5" i="2"/>
  <c r="U4" i="2"/>
  <c r="K65" i="2" s="1"/>
  <c r="I4" i="2"/>
  <c r="I3" i="2"/>
  <c r="H2" i="1"/>
  <c r="G2" i="1"/>
  <c r="AK64" i="27"/>
  <c r="U64" i="27"/>
  <c r="E64" i="27"/>
  <c r="AG61" i="27"/>
  <c r="Q61" i="27"/>
  <c r="AC58" i="27"/>
  <c r="M58" i="27"/>
  <c r="F57" i="27"/>
  <c r="Y55" i="27"/>
  <c r="I55" i="27"/>
  <c r="AK52" i="27"/>
  <c r="U52" i="27"/>
  <c r="E52" i="27"/>
  <c r="AG49" i="27"/>
  <c r="Q49" i="27"/>
  <c r="AC46" i="27"/>
  <c r="M46" i="27"/>
  <c r="F45" i="27"/>
  <c r="Y43" i="27"/>
  <c r="I43" i="27"/>
  <c r="AH42" i="27"/>
  <c r="AK40" i="27"/>
  <c r="U40" i="27"/>
  <c r="AG66" i="27"/>
  <c r="Q66" i="27"/>
  <c r="AC63" i="27"/>
  <c r="M63" i="27"/>
  <c r="F62" i="27"/>
  <c r="Y60" i="27"/>
  <c r="I60" i="27"/>
  <c r="Y65" i="27"/>
  <c r="I65" i="27"/>
  <c r="AG64" i="27"/>
  <c r="Q64" i="27"/>
  <c r="AC61" i="27"/>
  <c r="M61" i="27"/>
  <c r="F60" i="27"/>
  <c r="Y58" i="27"/>
  <c r="I58" i="27"/>
  <c r="AC66" i="27"/>
  <c r="M66" i="27"/>
  <c r="F65" i="27"/>
  <c r="Y63" i="27"/>
  <c r="I63" i="27"/>
  <c r="AK60" i="27"/>
  <c r="U60" i="27"/>
  <c r="E60" i="27"/>
  <c r="AG57" i="27"/>
  <c r="Q57" i="27"/>
  <c r="AC54" i="27"/>
  <c r="M54" i="27"/>
  <c r="F53" i="27"/>
  <c r="Y51" i="27"/>
  <c r="I51" i="27"/>
  <c r="AK48" i="27"/>
  <c r="U48" i="27"/>
  <c r="E48" i="27"/>
  <c r="AG45" i="27"/>
  <c r="Q45" i="27"/>
  <c r="AC42" i="27"/>
  <c r="M42" i="27"/>
  <c r="F41" i="27"/>
  <c r="Y39" i="27"/>
  <c r="I39" i="27"/>
  <c r="AK65" i="27"/>
  <c r="U65" i="27"/>
  <c r="E65" i="27"/>
  <c r="AG62" i="27"/>
  <c r="Q62" i="27"/>
  <c r="AC59" i="27"/>
  <c r="M59" i="27"/>
  <c r="F58" i="27"/>
  <c r="Y56" i="27"/>
  <c r="I56" i="27"/>
  <c r="AC64" i="27"/>
  <c r="M64" i="27"/>
  <c r="F63" i="27"/>
  <c r="Y61" i="27"/>
  <c r="I61" i="27"/>
  <c r="AK58" i="27"/>
  <c r="U58" i="27"/>
  <c r="E58" i="27"/>
  <c r="AG55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K51" i="27"/>
  <c r="U51" i="27"/>
  <c r="E51" i="27"/>
  <c r="AG48" i="27"/>
  <c r="Q48" i="27"/>
  <c r="AC45" i="27"/>
  <c r="M45" i="27"/>
  <c r="F44" i="27"/>
  <c r="Y42" i="27"/>
  <c r="I42" i="27"/>
  <c r="AK39" i="27"/>
  <c r="U39" i="27"/>
  <c r="E39" i="27"/>
  <c r="AG65" i="27"/>
  <c r="Q65" i="27"/>
  <c r="AC62" i="27"/>
  <c r="M62" i="27"/>
  <c r="F61" i="27"/>
  <c r="Y59" i="27"/>
  <c r="I59" i="27"/>
  <c r="F66" i="27"/>
  <c r="Y64" i="27"/>
  <c r="I64" i="27"/>
  <c r="AK66" i="27"/>
  <c r="U66" i="27"/>
  <c r="E66" i="27"/>
  <c r="AG63" i="27"/>
  <c r="Q63" i="27"/>
  <c r="AC60" i="27"/>
  <c r="M60" i="27"/>
  <c r="F59" i="27"/>
  <c r="Y57" i="27"/>
  <c r="I57" i="27"/>
  <c r="AC65" i="27"/>
  <c r="M65" i="27"/>
  <c r="F64" i="27"/>
  <c r="Y62" i="27"/>
  <c r="I62" i="27"/>
  <c r="AK57" i="27"/>
  <c r="AC56" i="27"/>
  <c r="E55" i="27"/>
  <c r="U54" i="27"/>
  <c r="AK53" i="27"/>
  <c r="AG52" i="27"/>
  <c r="U50" i="27"/>
  <c r="Y47" i="27"/>
  <c r="E47" i="27"/>
  <c r="AG44" i="27"/>
  <c r="E43" i="27"/>
  <c r="U42" i="27"/>
  <c r="AK41" i="27"/>
  <c r="AG40" i="27"/>
  <c r="AG38" i="27"/>
  <c r="Q38" i="27"/>
  <c r="AC35" i="27"/>
  <c r="M35" i="27"/>
  <c r="F34" i="27"/>
  <c r="Y32" i="27"/>
  <c r="I52" i="27"/>
  <c r="AK49" i="27"/>
  <c r="I48" i="27"/>
  <c r="U46" i="27"/>
  <c r="AK45" i="27"/>
  <c r="I44" i="27"/>
  <c r="I40" i="27"/>
  <c r="AC39" i="27"/>
  <c r="Y37" i="27"/>
  <c r="I37" i="27"/>
  <c r="AK34" i="27"/>
  <c r="U34" i="27"/>
  <c r="E34" i="27"/>
  <c r="AG31" i="27"/>
  <c r="Q31" i="27"/>
  <c r="AC28" i="27"/>
  <c r="M28" i="27"/>
  <c r="V27" i="27"/>
  <c r="F27" i="27"/>
  <c r="U56" i="27"/>
  <c r="Q54" i="27"/>
  <c r="AG53" i="27"/>
  <c r="M53" i="27"/>
  <c r="AC52" i="27"/>
  <c r="V51" i="27"/>
  <c r="Q50" i="27"/>
  <c r="AC48" i="27"/>
  <c r="AC44" i="27"/>
  <c r="Q42" i="27"/>
  <c r="AG41" i="27"/>
  <c r="M41" i="27"/>
  <c r="AC40" i="27"/>
  <c r="AG36" i="27"/>
  <c r="Q36" i="27"/>
  <c r="AC33" i="27"/>
  <c r="M33" i="27"/>
  <c r="F32" i="27"/>
  <c r="Y30" i="27"/>
  <c r="I30" i="27"/>
  <c r="V55" i="27"/>
  <c r="AK54" i="27"/>
  <c r="F52" i="27"/>
  <c r="AK50" i="27"/>
  <c r="M49" i="27"/>
  <c r="F48" i="27"/>
  <c r="U47" i="27"/>
  <c r="Q46" i="27"/>
  <c r="E44" i="27"/>
  <c r="U43" i="27"/>
  <c r="AK42" i="27"/>
  <c r="F40" i="27"/>
  <c r="F39" i="27"/>
  <c r="AC38" i="27"/>
  <c r="M38" i="27"/>
  <c r="F37" i="27"/>
  <c r="Y35" i="27"/>
  <c r="I35" i="27"/>
  <c r="AH34" i="27"/>
  <c r="AK32" i="27"/>
  <c r="U32" i="27"/>
  <c r="E32" i="27"/>
  <c r="AG29" i="27"/>
  <c r="Q29" i="27"/>
  <c r="AC26" i="27"/>
  <c r="M26" i="27"/>
  <c r="AK59" i="27"/>
  <c r="Q56" i="27"/>
  <c r="U55" i="27"/>
  <c r="I53" i="27"/>
  <c r="Y52" i="27"/>
  <c r="M50" i="27"/>
  <c r="Y48" i="27"/>
  <c r="AK46" i="27"/>
  <c r="Y44" i="27"/>
  <c r="I41" i="27"/>
  <c r="Y40" i="27"/>
  <c r="E40" i="27"/>
  <c r="AK37" i="27"/>
  <c r="U37" i="27"/>
  <c r="AK61" i="27"/>
  <c r="AG59" i="27"/>
  <c r="U57" i="27"/>
  <c r="Q55" i="27"/>
  <c r="AG54" i="27"/>
  <c r="AC53" i="27"/>
  <c r="Q51" i="27"/>
  <c r="AG50" i="27"/>
  <c r="I49" i="27"/>
  <c r="Q47" i="27"/>
  <c r="I45" i="27"/>
  <c r="Q43" i="27"/>
  <c r="AG42" i="27"/>
  <c r="AC41" i="27"/>
  <c r="M56" i="27"/>
  <c r="E53" i="27"/>
  <c r="AC49" i="27"/>
  <c r="F49" i="27"/>
  <c r="AK47" i="27"/>
  <c r="AG46" i="27"/>
  <c r="U44" i="27"/>
  <c r="AK43" i="27"/>
  <c r="E41" i="27"/>
  <c r="Y38" i="27"/>
  <c r="I38" i="27"/>
  <c r="AK35" i="27"/>
  <c r="U35" i="27"/>
  <c r="E35" i="27"/>
  <c r="AG32" i="27"/>
  <c r="Q32" i="27"/>
  <c r="AC29" i="27"/>
  <c r="M29" i="27"/>
  <c r="F28" i="27"/>
  <c r="Y26" i="27"/>
  <c r="I26" i="27"/>
  <c r="AK62" i="27"/>
  <c r="U61" i="27"/>
  <c r="U59" i="27"/>
  <c r="AG58" i="27"/>
  <c r="M55" i="27"/>
  <c r="Y53" i="27"/>
  <c r="M51" i="27"/>
  <c r="AC50" i="27"/>
  <c r="I50" i="27"/>
  <c r="E49" i="27"/>
  <c r="M47" i="27"/>
  <c r="E45" i="27"/>
  <c r="M43" i="27"/>
  <c r="Y41" i="27"/>
  <c r="Q59" i="27"/>
  <c r="AK56" i="27"/>
  <c r="E56" i="27"/>
  <c r="F54" i="27"/>
  <c r="AG51" i="27"/>
  <c r="F50" i="27"/>
  <c r="Y49" i="27"/>
  <c r="AG47" i="27"/>
  <c r="I46" i="27"/>
  <c r="Y45" i="27"/>
  <c r="AG43" i="27"/>
  <c r="F42" i="27"/>
  <c r="E59" i="27"/>
  <c r="E57" i="27"/>
  <c r="AG56" i="27"/>
  <c r="AC51" i="27"/>
  <c r="Y50" i="27"/>
  <c r="U49" i="27"/>
  <c r="AC47" i="27"/>
  <c r="E46" i="27"/>
  <c r="U45" i="27"/>
  <c r="AC43" i="27"/>
  <c r="AG39" i="27"/>
  <c r="AC37" i="27"/>
  <c r="M37" i="27"/>
  <c r="F36" i="27"/>
  <c r="Y34" i="27"/>
  <c r="I34" i="27"/>
  <c r="AK31" i="27"/>
  <c r="U31" i="27"/>
  <c r="E31" i="27"/>
  <c r="AG28" i="27"/>
  <c r="E54" i="27"/>
  <c r="F51" i="27"/>
  <c r="I36" i="27"/>
  <c r="F35" i="27"/>
  <c r="F31" i="27"/>
  <c r="AK30" i="27"/>
  <c r="AG25" i="27"/>
  <c r="Q25" i="27"/>
  <c r="AC22" i="27"/>
  <c r="M22" i="27"/>
  <c r="F21" i="27"/>
  <c r="Y19" i="27"/>
  <c r="I19" i="27"/>
  <c r="AK16" i="27"/>
  <c r="U16" i="27"/>
  <c r="E16" i="27"/>
  <c r="AG13" i="27"/>
  <c r="Q13" i="27"/>
  <c r="AC10" i="27"/>
  <c r="M10" i="27"/>
  <c r="F9" i="27"/>
  <c r="AK55" i="27"/>
  <c r="AC34" i="27"/>
  <c r="AG33" i="27"/>
  <c r="AC31" i="27"/>
  <c r="AH30" i="27"/>
  <c r="F30" i="27"/>
  <c r="E28" i="27"/>
  <c r="U27" i="27"/>
  <c r="AK26" i="27"/>
  <c r="Q26" i="27"/>
  <c r="Y24" i="27"/>
  <c r="I24" i="27"/>
  <c r="AK21" i="27"/>
  <c r="U21" i="27"/>
  <c r="E21" i="27"/>
  <c r="AG18" i="27"/>
  <c r="Q18" i="27"/>
  <c r="AC15" i="27"/>
  <c r="M15" i="27"/>
  <c r="F14" i="27"/>
  <c r="Y12" i="27"/>
  <c r="I12" i="27"/>
  <c r="AK9" i="27"/>
  <c r="U9" i="27"/>
  <c r="E9" i="27"/>
  <c r="AG6" i="27"/>
  <c r="Q6" i="27"/>
  <c r="AC55" i="27"/>
  <c r="Q52" i="27"/>
  <c r="Y46" i="27"/>
  <c r="AK44" i="27"/>
  <c r="F43" i="27"/>
  <c r="AK38" i="27"/>
  <c r="E37" i="27"/>
  <c r="AK36" i="27"/>
  <c r="E36" i="27"/>
  <c r="AC32" i="27"/>
  <c r="AG30" i="27"/>
  <c r="E30" i="27"/>
  <c r="Y28" i="27"/>
  <c r="AG23" i="27"/>
  <c r="Q23" i="27"/>
  <c r="AC20" i="27"/>
  <c r="M20" i="27"/>
  <c r="V19" i="27"/>
  <c r="F19" i="27"/>
  <c r="Y17" i="27"/>
  <c r="I17" i="27"/>
  <c r="AK14" i="27"/>
  <c r="U14" i="27"/>
  <c r="E14" i="27"/>
  <c r="AG11" i="27"/>
  <c r="Q11" i="27"/>
  <c r="AC8" i="27"/>
  <c r="M8" i="27"/>
  <c r="U62" i="27"/>
  <c r="M52" i="27"/>
  <c r="F46" i="27"/>
  <c r="Q39" i="27"/>
  <c r="AG35" i="27"/>
  <c r="Y33" i="27"/>
  <c r="Y31" i="27"/>
  <c r="Q27" i="27"/>
  <c r="AC25" i="27"/>
  <c r="M25" i="27"/>
  <c r="F24" i="27"/>
  <c r="Y22" i="27"/>
  <c r="I22" i="27"/>
  <c r="AK19" i="27"/>
  <c r="U19" i="27"/>
  <c r="E19" i="27"/>
  <c r="AG16" i="27"/>
  <c r="Q16" i="27"/>
  <c r="AC13" i="27"/>
  <c r="M13" i="27"/>
  <c r="F12" i="27"/>
  <c r="Y10" i="27"/>
  <c r="I10" i="27"/>
  <c r="AK7" i="27"/>
  <c r="U7" i="27"/>
  <c r="E62" i="27"/>
  <c r="F55" i="27"/>
  <c r="Q44" i="27"/>
  <c r="Q40" i="27"/>
  <c r="AC36" i="27"/>
  <c r="AC30" i="27"/>
  <c r="AK29" i="27"/>
  <c r="U28" i="27"/>
  <c r="AK27" i="27"/>
  <c r="AG26" i="27"/>
  <c r="AK24" i="27"/>
  <c r="U24" i="27"/>
  <c r="E24" i="27"/>
  <c r="AG21" i="27"/>
  <c r="Q21" i="27"/>
  <c r="AC18" i="27"/>
  <c r="M18" i="27"/>
  <c r="V17" i="27"/>
  <c r="F17" i="27"/>
  <c r="Y15" i="27"/>
  <c r="I15" i="27"/>
  <c r="AK12" i="27"/>
  <c r="U12" i="27"/>
  <c r="E12" i="27"/>
  <c r="AG9" i="27"/>
  <c r="Q9" i="27"/>
  <c r="AC6" i="27"/>
  <c r="M6" i="27"/>
  <c r="M44" i="27"/>
  <c r="M40" i="27"/>
  <c r="M39" i="27"/>
  <c r="Q34" i="27"/>
  <c r="U33" i="27"/>
  <c r="V31" i="27"/>
  <c r="I29" i="27"/>
  <c r="M27" i="27"/>
  <c r="AC23" i="27"/>
  <c r="M23" i="27"/>
  <c r="F22" i="27"/>
  <c r="Y20" i="27"/>
  <c r="I20" i="27"/>
  <c r="AK17" i="27"/>
  <c r="U17" i="27"/>
  <c r="E17" i="27"/>
  <c r="AG14" i="27"/>
  <c r="Q14" i="27"/>
  <c r="AC11" i="27"/>
  <c r="M11" i="27"/>
  <c r="F10" i="27"/>
  <c r="Y8" i="27"/>
  <c r="I8" i="27"/>
  <c r="U53" i="27"/>
  <c r="I47" i="27"/>
  <c r="U41" i="27"/>
  <c r="U38" i="27"/>
  <c r="AG37" i="27"/>
  <c r="Y36" i="27"/>
  <c r="F29" i="27"/>
  <c r="AG27" i="27"/>
  <c r="F26" i="27"/>
  <c r="Y25" i="27"/>
  <c r="I25" i="27"/>
  <c r="AK22" i="27"/>
  <c r="U22" i="27"/>
  <c r="E22" i="27"/>
  <c r="AG19" i="27"/>
  <c r="Q19" i="27"/>
  <c r="AC16" i="27"/>
  <c r="M16" i="27"/>
  <c r="V15" i="27"/>
  <c r="F15" i="27"/>
  <c r="Y13" i="27"/>
  <c r="I13" i="27"/>
  <c r="Q53" i="27"/>
  <c r="F47" i="27"/>
  <c r="Q41" i="27"/>
  <c r="M34" i="27"/>
  <c r="Q33" i="27"/>
  <c r="U30" i="27"/>
  <c r="E29" i="27"/>
  <c r="Q28" i="27"/>
  <c r="E26" i="27"/>
  <c r="AG24" i="27"/>
  <c r="Q24" i="27"/>
  <c r="AC21" i="27"/>
  <c r="M21" i="27"/>
  <c r="F20" i="27"/>
  <c r="Y18" i="27"/>
  <c r="I18" i="27"/>
  <c r="AK15" i="27"/>
  <c r="U15" i="27"/>
  <c r="E15" i="27"/>
  <c r="AG12" i="27"/>
  <c r="Q12" i="27"/>
  <c r="AC9" i="27"/>
  <c r="M9" i="27"/>
  <c r="V8" i="27"/>
  <c r="F8" i="27"/>
  <c r="E61" i="27"/>
  <c r="E50" i="27"/>
  <c r="U36" i="27"/>
  <c r="M32" i="27"/>
  <c r="M31" i="27"/>
  <c r="AK28" i="27"/>
  <c r="AC27" i="27"/>
  <c r="I27" i="27"/>
  <c r="F25" i="27"/>
  <c r="Y23" i="27"/>
  <c r="I23" i="27"/>
  <c r="AH22" i="27"/>
  <c r="AK20" i="27"/>
  <c r="U20" i="27"/>
  <c r="E20" i="27"/>
  <c r="AG17" i="27"/>
  <c r="Q17" i="27"/>
  <c r="AC14" i="27"/>
  <c r="M14" i="27"/>
  <c r="F13" i="27"/>
  <c r="Y11" i="27"/>
  <c r="M48" i="27"/>
  <c r="E42" i="27"/>
  <c r="E38" i="27"/>
  <c r="Q37" i="27"/>
  <c r="M36" i="27"/>
  <c r="F33" i="27"/>
  <c r="I32" i="27"/>
  <c r="I31" i="27"/>
  <c r="E27" i="27"/>
  <c r="U26" i="27"/>
  <c r="AC24" i="27"/>
  <c r="M24" i="27"/>
  <c r="V23" i="27"/>
  <c r="F23" i="27"/>
  <c r="Y21" i="27"/>
  <c r="I21" i="27"/>
  <c r="AK18" i="27"/>
  <c r="U18" i="27"/>
  <c r="E18" i="27"/>
  <c r="AG15" i="27"/>
  <c r="Q15" i="27"/>
  <c r="AC12" i="27"/>
  <c r="M12" i="27"/>
  <c r="F11" i="27"/>
  <c r="Y9" i="27"/>
  <c r="I9" i="27"/>
  <c r="Q35" i="27"/>
  <c r="AK33" i="27"/>
  <c r="I28" i="27"/>
  <c r="AG22" i="27"/>
  <c r="AG8" i="27"/>
  <c r="E6" i="27"/>
  <c r="AG4" i="27"/>
  <c r="Q4" i="27"/>
  <c r="I33" i="27"/>
  <c r="AC17" i="27"/>
  <c r="I16" i="27"/>
  <c r="Y7" i="27"/>
  <c r="F5" i="27"/>
  <c r="Y3" i="27"/>
  <c r="I3" i="27"/>
  <c r="E33" i="27"/>
  <c r="AK23" i="27"/>
  <c r="Q22" i="27"/>
  <c r="F16" i="27"/>
  <c r="U11" i="27"/>
  <c r="AK10" i="27"/>
  <c r="U8" i="27"/>
  <c r="U6" i="27"/>
  <c r="U5" i="27"/>
  <c r="E5" i="27"/>
  <c r="Q58" i="27"/>
  <c r="M17" i="27"/>
  <c r="AK13" i="27"/>
  <c r="Q7" i="27"/>
  <c r="AK5" i="27"/>
  <c r="AC4" i="27"/>
  <c r="M4" i="27"/>
  <c r="F3" i="27"/>
  <c r="Y29" i="27"/>
  <c r="U23" i="27"/>
  <c r="AH13" i="27"/>
  <c r="I11" i="27"/>
  <c r="AG10" i="27"/>
  <c r="Q8" i="27"/>
  <c r="AK6" i="27"/>
  <c r="AK3" i="27"/>
  <c r="U3" i="27"/>
  <c r="E3" i="27"/>
  <c r="U29" i="27"/>
  <c r="AC19" i="27"/>
  <c r="U13" i="27"/>
  <c r="Q5" i="27"/>
  <c r="F38" i="27"/>
  <c r="AG34" i="27"/>
  <c r="E23" i="27"/>
  <c r="F18" i="27"/>
  <c r="E11" i="27"/>
  <c r="U10" i="27"/>
  <c r="E8" i="27"/>
  <c r="M7" i="27"/>
  <c r="AG5" i="27"/>
  <c r="Y4" i="27"/>
  <c r="I4" i="27"/>
  <c r="Y27" i="27"/>
  <c r="AK25" i="27"/>
  <c r="M19" i="27"/>
  <c r="Y14" i="27"/>
  <c r="E13" i="27"/>
  <c r="AG3" i="27"/>
  <c r="Q3" i="27"/>
  <c r="AG20" i="27"/>
  <c r="Q10" i="27"/>
  <c r="AG7" i="27"/>
  <c r="M5" i="27"/>
  <c r="F4" i="27"/>
  <c r="M30" i="27"/>
  <c r="Y16" i="27"/>
  <c r="AC5" i="27"/>
  <c r="AK4" i="27"/>
  <c r="AC7" i="27"/>
  <c r="Y6" i="27"/>
  <c r="Y5" i="27"/>
  <c r="AC3" i="27"/>
  <c r="I7" i="27"/>
  <c r="I6" i="27"/>
  <c r="U4" i="27"/>
  <c r="F7" i="27"/>
  <c r="AK8" i="27"/>
  <c r="E7" i="27"/>
  <c r="F6" i="27"/>
  <c r="I5" i="27"/>
  <c r="M3" i="27"/>
  <c r="E10" i="27"/>
  <c r="E4" i="27"/>
  <c r="U25" i="27"/>
  <c r="Q20" i="27"/>
  <c r="Q30" i="27"/>
  <c r="E25" i="27"/>
  <c r="I14" i="27"/>
  <c r="AK11" i="27"/>
  <c r="H25" i="27" l="1"/>
  <c r="H4" i="27"/>
  <c r="H10" i="27"/>
  <c r="M67" i="27"/>
  <c r="H7" i="27"/>
  <c r="AC67" i="27"/>
  <c r="Q67" i="27"/>
  <c r="AG67" i="27"/>
  <c r="H13" i="27"/>
  <c r="H8" i="27"/>
  <c r="H11" i="27"/>
  <c r="H23" i="27"/>
  <c r="AJ34" i="27"/>
  <c r="E67" i="27"/>
  <c r="H3" i="27"/>
  <c r="U67" i="27"/>
  <c r="AK67" i="27"/>
  <c r="X23" i="27"/>
  <c r="F67" i="27"/>
  <c r="H5" i="27"/>
  <c r="X8" i="27"/>
  <c r="H33" i="27"/>
  <c r="I67" i="27"/>
  <c r="Y67" i="27"/>
  <c r="H6" i="27"/>
  <c r="AJ22" i="27"/>
  <c r="H18" i="27"/>
  <c r="H27" i="27"/>
  <c r="H38" i="27"/>
  <c r="H42" i="27"/>
  <c r="H20" i="27"/>
  <c r="H50" i="27"/>
  <c r="H61" i="27"/>
  <c r="H15" i="27"/>
  <c r="X15" i="27"/>
  <c r="H26" i="27"/>
  <c r="H29" i="27"/>
  <c r="H22" i="27"/>
  <c r="H17" i="27"/>
  <c r="X17" i="27"/>
  <c r="H12" i="27"/>
  <c r="H24" i="27"/>
  <c r="H62" i="27"/>
  <c r="H19" i="27"/>
  <c r="X19" i="27"/>
  <c r="H14" i="27"/>
  <c r="H30" i="27"/>
  <c r="AJ30" i="27"/>
  <c r="H36" i="27"/>
  <c r="H37" i="27"/>
  <c r="H9" i="27"/>
  <c r="H21" i="27"/>
  <c r="X27" i="27"/>
  <c r="H28" i="27"/>
  <c r="AJ13" i="27"/>
  <c r="H16" i="27"/>
  <c r="H54" i="27"/>
  <c r="H31" i="27"/>
  <c r="X31" i="27"/>
  <c r="H46" i="27"/>
  <c r="H57" i="27"/>
  <c r="H59" i="27"/>
  <c r="H56" i="27"/>
  <c r="H45" i="27"/>
  <c r="H49" i="27"/>
  <c r="H35" i="27"/>
  <c r="H41" i="27"/>
  <c r="H53" i="27"/>
  <c r="AJ42" i="27"/>
  <c r="H40" i="27"/>
  <c r="X55" i="27"/>
  <c r="H32" i="27"/>
  <c r="H44" i="27"/>
  <c r="H34" i="27"/>
  <c r="H43" i="27"/>
  <c r="H47" i="27"/>
  <c r="H55" i="27"/>
  <c r="H66" i="27"/>
  <c r="H39" i="27"/>
  <c r="H51" i="27"/>
  <c r="X51" i="27"/>
  <c r="H63" i="27"/>
  <c r="H58" i="27"/>
  <c r="H65" i="27"/>
  <c r="H48" i="27"/>
  <c r="H60" i="27"/>
  <c r="H52" i="27"/>
  <c r="H64" i="27"/>
  <c r="J23" i="2"/>
  <c r="J30" i="2"/>
  <c r="F65" i="4"/>
  <c r="G65" i="4" s="1"/>
  <c r="J38" i="2"/>
  <c r="S38" i="2" s="1"/>
  <c r="J51" i="2"/>
  <c r="J60" i="2"/>
  <c r="S60" i="2" s="1"/>
  <c r="J7" i="4"/>
  <c r="J21" i="2"/>
  <c r="S21" i="2" s="1"/>
  <c r="J25" i="2"/>
  <c r="S25" i="2" s="1"/>
  <c r="J61" i="2"/>
  <c r="S61" i="2" s="1"/>
  <c r="J41" i="2"/>
  <c r="J57" i="2"/>
  <c r="J43" i="2"/>
  <c r="S43" i="2" s="1"/>
  <c r="S40" i="2"/>
  <c r="J45" i="2"/>
  <c r="S45" i="2" s="1"/>
  <c r="J16" i="2"/>
  <c r="S16" i="2" s="1"/>
  <c r="J37" i="2"/>
  <c r="J53" i="2"/>
  <c r="S53" i="2" s="1"/>
  <c r="E6" i="2"/>
  <c r="I7" i="2"/>
  <c r="K8" i="2"/>
  <c r="I12" i="2"/>
  <c r="K22" i="2"/>
  <c r="K26" i="2"/>
  <c r="I32" i="2"/>
  <c r="K39" i="2"/>
  <c r="K42" i="2"/>
  <c r="I48" i="2"/>
  <c r="K55" i="2"/>
  <c r="K58" i="2"/>
  <c r="I64" i="2"/>
  <c r="J64" i="2" s="1"/>
  <c r="S64" i="2" s="1"/>
  <c r="F24" i="4"/>
  <c r="G24" i="4" s="1"/>
  <c r="J24" i="4" s="1"/>
  <c r="F26" i="4"/>
  <c r="G26" i="4" s="1"/>
  <c r="F45" i="4"/>
  <c r="G45" i="4" s="1"/>
  <c r="F51" i="4"/>
  <c r="G51" i="4" s="1"/>
  <c r="K66" i="7"/>
  <c r="E70" i="8"/>
  <c r="I44" i="2"/>
  <c r="J44" i="2" s="1"/>
  <c r="S44" i="2" s="1"/>
  <c r="K51" i="2"/>
  <c r="K54" i="2"/>
  <c r="K67" i="2"/>
  <c r="S67" i="2" s="1"/>
  <c r="E70" i="4"/>
  <c r="I69" i="4"/>
  <c r="I65" i="4"/>
  <c r="I61" i="4"/>
  <c r="I57" i="4"/>
  <c r="I53" i="4"/>
  <c r="I49" i="4"/>
  <c r="I45" i="4"/>
  <c r="I41" i="4"/>
  <c r="I37" i="4"/>
  <c r="I33" i="4"/>
  <c r="I29" i="4"/>
  <c r="I25" i="4"/>
  <c r="I21" i="4"/>
  <c r="I17" i="4"/>
  <c r="I13" i="4"/>
  <c r="I9" i="4"/>
  <c r="I5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I68" i="4"/>
  <c r="I64" i="4"/>
  <c r="I60" i="4"/>
  <c r="I56" i="4"/>
  <c r="I52" i="4"/>
  <c r="I48" i="4"/>
  <c r="I44" i="4"/>
  <c r="I40" i="4"/>
  <c r="I36" i="4"/>
  <c r="I32" i="4"/>
  <c r="I28" i="4"/>
  <c r="I24" i="4"/>
  <c r="I20" i="4"/>
  <c r="I16" i="4"/>
  <c r="I12" i="4"/>
  <c r="I7" i="4"/>
  <c r="F15" i="4"/>
  <c r="G15" i="4" s="1"/>
  <c r="I30" i="4"/>
  <c r="F36" i="4"/>
  <c r="G36" i="4" s="1"/>
  <c r="F38" i="4"/>
  <c r="G38" i="4" s="1"/>
  <c r="F57" i="4"/>
  <c r="G57" i="4" s="1"/>
  <c r="F63" i="4"/>
  <c r="G63" i="4" s="1"/>
  <c r="F69" i="4"/>
  <c r="G69" i="4" s="1"/>
  <c r="C70" i="6"/>
  <c r="I66" i="2"/>
  <c r="J66" i="2" s="1"/>
  <c r="S66" i="2" s="1"/>
  <c r="I62" i="2"/>
  <c r="J62" i="2" s="1"/>
  <c r="S62" i="2" s="1"/>
  <c r="I58" i="2"/>
  <c r="J58" i="2" s="1"/>
  <c r="S58" i="2" s="1"/>
  <c r="I54" i="2"/>
  <c r="J54" i="2" s="1"/>
  <c r="I50" i="2"/>
  <c r="J50" i="2" s="1"/>
  <c r="S50" i="2" s="1"/>
  <c r="I46" i="2"/>
  <c r="J46" i="2" s="1"/>
  <c r="I42" i="2"/>
  <c r="J42" i="2" s="1"/>
  <c r="S42" i="2" s="1"/>
  <c r="I38" i="2"/>
  <c r="I34" i="2"/>
  <c r="J34" i="2" s="1"/>
  <c r="S34" i="2" s="1"/>
  <c r="I30" i="2"/>
  <c r="I15" i="2"/>
  <c r="J15" i="2" s="1"/>
  <c r="S15" i="2" s="1"/>
  <c r="I20" i="2"/>
  <c r="J20" i="2" s="1"/>
  <c r="S20" i="2" s="1"/>
  <c r="I24" i="2"/>
  <c r="J24" i="2" s="1"/>
  <c r="S24" i="2" s="1"/>
  <c r="I31" i="2"/>
  <c r="J31" i="2" s="1"/>
  <c r="S31" i="2" s="1"/>
  <c r="K41" i="2"/>
  <c r="I47" i="2"/>
  <c r="J47" i="2" s="1"/>
  <c r="S47" i="2" s="1"/>
  <c r="K57" i="2"/>
  <c r="I63" i="2"/>
  <c r="J63" i="2" s="1"/>
  <c r="S63" i="2" s="1"/>
  <c r="F6" i="4"/>
  <c r="F13" i="4"/>
  <c r="G13" i="4" s="1"/>
  <c r="F19" i="4"/>
  <c r="G19" i="4" s="1"/>
  <c r="J19" i="4" s="1"/>
  <c r="I34" i="4"/>
  <c r="F40" i="4"/>
  <c r="G40" i="4" s="1"/>
  <c r="F42" i="4"/>
  <c r="G42" i="4" s="1"/>
  <c r="F61" i="4"/>
  <c r="G61" i="4" s="1"/>
  <c r="D70" i="6"/>
  <c r="F68" i="4"/>
  <c r="G68" i="4" s="1"/>
  <c r="F64" i="4"/>
  <c r="G64" i="4" s="1"/>
  <c r="J64" i="4" s="1"/>
  <c r="F8" i="4"/>
  <c r="G8" i="4" s="1"/>
  <c r="K66" i="5"/>
  <c r="E70" i="6"/>
  <c r="D70" i="4"/>
  <c r="I8" i="4"/>
  <c r="F25" i="4"/>
  <c r="G25" i="4" s="1"/>
  <c r="J25" i="4" s="1"/>
  <c r="F31" i="4"/>
  <c r="G31" i="4" s="1"/>
  <c r="J31" i="4" s="1"/>
  <c r="I46" i="4"/>
  <c r="F52" i="4"/>
  <c r="G52" i="4" s="1"/>
  <c r="F54" i="4"/>
  <c r="G54" i="4" s="1"/>
  <c r="F15" i="8"/>
  <c r="G15" i="8" s="1"/>
  <c r="J15" i="8" s="1"/>
  <c r="F69" i="8"/>
  <c r="G69" i="8" s="1"/>
  <c r="J69" i="8" s="1"/>
  <c r="F62" i="8"/>
  <c r="G62" i="8" s="1"/>
  <c r="J62" i="8" s="1"/>
  <c r="F52" i="8"/>
  <c r="G52" i="8" s="1"/>
  <c r="J52" i="8" s="1"/>
  <c r="F45" i="8"/>
  <c r="G45" i="8" s="1"/>
  <c r="J45" i="8" s="1"/>
  <c r="F38" i="8"/>
  <c r="G38" i="8" s="1"/>
  <c r="J38" i="8" s="1"/>
  <c r="F28" i="8"/>
  <c r="G28" i="8" s="1"/>
  <c r="J28" i="8" s="1"/>
  <c r="F21" i="8"/>
  <c r="G21" i="8" s="1"/>
  <c r="J21" i="8" s="1"/>
  <c r="F59" i="8"/>
  <c r="G59" i="8" s="1"/>
  <c r="J59" i="8" s="1"/>
  <c r="F35" i="8"/>
  <c r="G35" i="8" s="1"/>
  <c r="J35" i="8" s="1"/>
  <c r="F17" i="8"/>
  <c r="G17" i="8" s="1"/>
  <c r="J17" i="8" s="1"/>
  <c r="F10" i="8"/>
  <c r="G10" i="8" s="1"/>
  <c r="J10" i="8" s="1"/>
  <c r="F6" i="8"/>
  <c r="F66" i="8"/>
  <c r="G66" i="8" s="1"/>
  <c r="F56" i="8"/>
  <c r="G56" i="8" s="1"/>
  <c r="J56" i="8" s="1"/>
  <c r="F49" i="8"/>
  <c r="G49" i="8" s="1"/>
  <c r="F42" i="8"/>
  <c r="G42" i="8" s="1"/>
  <c r="F32" i="8"/>
  <c r="G32" i="8" s="1"/>
  <c r="J32" i="8" s="1"/>
  <c r="F25" i="8"/>
  <c r="G25" i="8" s="1"/>
  <c r="J25" i="8" s="1"/>
  <c r="F14" i="8"/>
  <c r="G14" i="8" s="1"/>
  <c r="F63" i="8"/>
  <c r="G63" i="8" s="1"/>
  <c r="J63" i="8" s="1"/>
  <c r="F39" i="8"/>
  <c r="G39" i="8" s="1"/>
  <c r="J39" i="8" s="1"/>
  <c r="F18" i="8"/>
  <c r="G18" i="8" s="1"/>
  <c r="J18" i="8" s="1"/>
  <c r="F60" i="8"/>
  <c r="G60" i="8" s="1"/>
  <c r="J60" i="8" s="1"/>
  <c r="F53" i="8"/>
  <c r="G53" i="8" s="1"/>
  <c r="J53" i="8" s="1"/>
  <c r="F46" i="8"/>
  <c r="G46" i="8" s="1"/>
  <c r="J46" i="8" s="1"/>
  <c r="F36" i="8"/>
  <c r="G36" i="8" s="1"/>
  <c r="J36" i="8" s="1"/>
  <c r="F29" i="8"/>
  <c r="G29" i="8" s="1"/>
  <c r="J29" i="8" s="1"/>
  <c r="F22" i="8"/>
  <c r="G22" i="8" s="1"/>
  <c r="J22" i="8" s="1"/>
  <c r="F11" i="8"/>
  <c r="G11" i="8" s="1"/>
  <c r="J11" i="8" s="1"/>
  <c r="F67" i="8"/>
  <c r="G67" i="8" s="1"/>
  <c r="J67" i="8" s="1"/>
  <c r="F43" i="8"/>
  <c r="G43" i="8" s="1"/>
  <c r="J43" i="8" s="1"/>
  <c r="F19" i="8"/>
  <c r="G19" i="8" s="1"/>
  <c r="J19" i="8" s="1"/>
  <c r="F7" i="8"/>
  <c r="G7" i="8" s="1"/>
  <c r="J7" i="8" s="1"/>
  <c r="F64" i="8"/>
  <c r="G64" i="8" s="1"/>
  <c r="J64" i="8" s="1"/>
  <c r="F57" i="8"/>
  <c r="G57" i="8" s="1"/>
  <c r="J57" i="8" s="1"/>
  <c r="F50" i="8"/>
  <c r="G50" i="8" s="1"/>
  <c r="J50" i="8" s="1"/>
  <c r="F40" i="8"/>
  <c r="G40" i="8" s="1"/>
  <c r="J40" i="8" s="1"/>
  <c r="F33" i="8"/>
  <c r="G33" i="8" s="1"/>
  <c r="J33" i="8" s="1"/>
  <c r="F26" i="8"/>
  <c r="G26" i="8" s="1"/>
  <c r="J26" i="8" s="1"/>
  <c r="F47" i="8"/>
  <c r="G47" i="8" s="1"/>
  <c r="J47" i="8" s="1"/>
  <c r="F23" i="8"/>
  <c r="G23" i="8" s="1"/>
  <c r="J23" i="8" s="1"/>
  <c r="F12" i="8"/>
  <c r="G12" i="8" s="1"/>
  <c r="J12" i="8" s="1"/>
  <c r="F65" i="8"/>
  <c r="G65" i="8" s="1"/>
  <c r="J65" i="8" s="1"/>
  <c r="F58" i="8"/>
  <c r="G58" i="8" s="1"/>
  <c r="J58" i="8" s="1"/>
  <c r="F48" i="8"/>
  <c r="G48" i="8" s="1"/>
  <c r="J48" i="8" s="1"/>
  <c r="F41" i="8"/>
  <c r="G41" i="8" s="1"/>
  <c r="J41" i="8" s="1"/>
  <c r="F34" i="8"/>
  <c r="G34" i="8" s="1"/>
  <c r="J34" i="8" s="1"/>
  <c r="F24" i="8"/>
  <c r="G24" i="8" s="1"/>
  <c r="J24" i="8" s="1"/>
  <c r="J5" i="14"/>
  <c r="I19" i="2"/>
  <c r="J19" i="2" s="1"/>
  <c r="I23" i="2"/>
  <c r="I27" i="2"/>
  <c r="J27" i="2" s="1"/>
  <c r="K37" i="2"/>
  <c r="K53" i="2"/>
  <c r="I33" i="2"/>
  <c r="J33" i="2" s="1"/>
  <c r="S33" i="2" s="1"/>
  <c r="K40" i="2"/>
  <c r="I49" i="2"/>
  <c r="J49" i="2" s="1"/>
  <c r="F55" i="2"/>
  <c r="G55" i="2" s="1"/>
  <c r="K56" i="2"/>
  <c r="S56" i="2" s="1"/>
  <c r="I65" i="2"/>
  <c r="J65" i="2" s="1"/>
  <c r="S65" i="2" s="1"/>
  <c r="F10" i="4"/>
  <c r="G10" i="4" s="1"/>
  <c r="J10" i="4" s="1"/>
  <c r="F29" i="4"/>
  <c r="G29" i="4" s="1"/>
  <c r="J29" i="4" s="1"/>
  <c r="F35" i="4"/>
  <c r="G35" i="4" s="1"/>
  <c r="J35" i="4" s="1"/>
  <c r="I50" i="4"/>
  <c r="F56" i="4"/>
  <c r="G56" i="4" s="1"/>
  <c r="J56" i="4" s="1"/>
  <c r="F58" i="4"/>
  <c r="G58" i="4" s="1"/>
  <c r="F66" i="4"/>
  <c r="G66" i="4" s="1"/>
  <c r="J66" i="4" s="1"/>
  <c r="J20" i="12"/>
  <c r="I59" i="2"/>
  <c r="J59" i="2" s="1"/>
  <c r="K69" i="2"/>
  <c r="S69" i="2" s="1"/>
  <c r="I5" i="2"/>
  <c r="I9" i="2"/>
  <c r="J9" i="2" s="1"/>
  <c r="K10" i="2"/>
  <c r="S10" i="2" s="1"/>
  <c r="K14" i="2"/>
  <c r="S14" i="2" s="1"/>
  <c r="I18" i="2"/>
  <c r="J18" i="2" s="1"/>
  <c r="S18" i="2" s="1"/>
  <c r="K19" i="2"/>
  <c r="K27" i="2"/>
  <c r="K43" i="2"/>
  <c r="K46" i="2"/>
  <c r="I52" i="2"/>
  <c r="J52" i="2" s="1"/>
  <c r="S52" i="2" s="1"/>
  <c r="K59" i="2"/>
  <c r="I68" i="2"/>
  <c r="J68" i="2" s="1"/>
  <c r="S68" i="2" s="1"/>
  <c r="F12" i="4"/>
  <c r="G12" i="4" s="1"/>
  <c r="F14" i="4"/>
  <c r="G14" i="4" s="1"/>
  <c r="J14" i="4" s="1"/>
  <c r="F33" i="4"/>
  <c r="G33" i="4" s="1"/>
  <c r="F39" i="4"/>
  <c r="G39" i="4" s="1"/>
  <c r="J39" i="4" s="1"/>
  <c r="I54" i="4"/>
  <c r="F60" i="4"/>
  <c r="G60" i="4" s="1"/>
  <c r="J60" i="4" s="1"/>
  <c r="F62" i="4"/>
  <c r="G62" i="4" s="1"/>
  <c r="J62" i="4" s="1"/>
  <c r="R69" i="10"/>
  <c r="I43" i="2"/>
  <c r="I13" i="2"/>
  <c r="J13" i="2" s="1"/>
  <c r="S13" i="2" s="1"/>
  <c r="K23" i="2"/>
  <c r="K30" i="2"/>
  <c r="I36" i="2"/>
  <c r="J36" i="2" s="1"/>
  <c r="S36" i="2" s="1"/>
  <c r="K62" i="2"/>
  <c r="F7" i="2"/>
  <c r="G7" i="2" s="1"/>
  <c r="J7" i="2" s="1"/>
  <c r="S7" i="2" s="1"/>
  <c r="I8" i="2"/>
  <c r="J8" i="2" s="1"/>
  <c r="S8" i="2" s="1"/>
  <c r="K9" i="2"/>
  <c r="F12" i="2"/>
  <c r="G12" i="2" s="1"/>
  <c r="J12" i="2" s="1"/>
  <c r="S12" i="2" s="1"/>
  <c r="I22" i="2"/>
  <c r="J22" i="2" s="1"/>
  <c r="S22" i="2" s="1"/>
  <c r="I26" i="2"/>
  <c r="J26" i="2" s="1"/>
  <c r="S26" i="2" s="1"/>
  <c r="F32" i="2"/>
  <c r="G32" i="2" s="1"/>
  <c r="J32" i="2" s="1"/>
  <c r="S32" i="2" s="1"/>
  <c r="K33" i="2"/>
  <c r="I39" i="2"/>
  <c r="J39" i="2" s="1"/>
  <c r="S39" i="2" s="1"/>
  <c r="F48" i="2"/>
  <c r="G48" i="2" s="1"/>
  <c r="J48" i="2" s="1"/>
  <c r="S48" i="2" s="1"/>
  <c r="K49" i="2"/>
  <c r="I55" i="2"/>
  <c r="I3" i="4"/>
  <c r="I70" i="4" s="1"/>
  <c r="X4" i="26" s="1"/>
  <c r="Y4" i="26" s="1"/>
  <c r="T8" i="4"/>
  <c r="T9" i="4" s="1"/>
  <c r="J27" i="4" s="1"/>
  <c r="I10" i="4"/>
  <c r="F16" i="4"/>
  <c r="G16" i="4" s="1"/>
  <c r="J16" i="4" s="1"/>
  <c r="F18" i="4"/>
  <c r="G18" i="4" s="1"/>
  <c r="J18" i="4" s="1"/>
  <c r="F37" i="4"/>
  <c r="G37" i="4" s="1"/>
  <c r="J37" i="4" s="1"/>
  <c r="F43" i="4"/>
  <c r="G43" i="4" s="1"/>
  <c r="J43" i="4" s="1"/>
  <c r="I58" i="4"/>
  <c r="I66" i="4"/>
  <c r="F55" i="8"/>
  <c r="G55" i="8" s="1"/>
  <c r="J55" i="8" s="1"/>
  <c r="I15" i="6"/>
  <c r="I24" i="6"/>
  <c r="I28" i="6"/>
  <c r="I32" i="6"/>
  <c r="I36" i="6"/>
  <c r="I40" i="6"/>
  <c r="I44" i="6"/>
  <c r="I48" i="6"/>
  <c r="I52" i="6"/>
  <c r="I56" i="6"/>
  <c r="I60" i="6"/>
  <c r="I64" i="6"/>
  <c r="I68" i="6"/>
  <c r="G24" i="20"/>
  <c r="G15" i="20"/>
  <c r="G14" i="20"/>
  <c r="G9" i="20"/>
  <c r="G22" i="20"/>
  <c r="G53" i="20"/>
  <c r="I23" i="6"/>
  <c r="I27" i="6"/>
  <c r="I31" i="6"/>
  <c r="I35" i="6"/>
  <c r="I39" i="6"/>
  <c r="I43" i="6"/>
  <c r="I47" i="6"/>
  <c r="I51" i="6"/>
  <c r="I55" i="6"/>
  <c r="I59" i="6"/>
  <c r="I63" i="6"/>
  <c r="I67" i="6"/>
  <c r="D70" i="8"/>
  <c r="F19" i="10"/>
  <c r="G19" i="10" s="1"/>
  <c r="J19" i="10" s="1"/>
  <c r="R19" i="10" s="1"/>
  <c r="F10" i="10"/>
  <c r="G10" i="10" s="1"/>
  <c r="J10" i="10" s="1"/>
  <c r="R10" i="10" s="1"/>
  <c r="F68" i="10"/>
  <c r="G68" i="10" s="1"/>
  <c r="J68" i="10" s="1"/>
  <c r="R68" i="10" s="1"/>
  <c r="F64" i="10"/>
  <c r="G64" i="10" s="1"/>
  <c r="F60" i="10"/>
  <c r="G60" i="10" s="1"/>
  <c r="F56" i="10"/>
  <c r="G56" i="10" s="1"/>
  <c r="F52" i="10"/>
  <c r="G52" i="10" s="1"/>
  <c r="F48" i="10"/>
  <c r="G48" i="10" s="1"/>
  <c r="F44" i="10"/>
  <c r="G44" i="10" s="1"/>
  <c r="F40" i="10"/>
  <c r="G40" i="10" s="1"/>
  <c r="F36" i="10"/>
  <c r="G36" i="10" s="1"/>
  <c r="F32" i="10"/>
  <c r="G32" i="10" s="1"/>
  <c r="F28" i="10"/>
  <c r="G28" i="10" s="1"/>
  <c r="J28" i="10" s="1"/>
  <c r="R28" i="10" s="1"/>
  <c r="F24" i="10"/>
  <c r="G24" i="10" s="1"/>
  <c r="F15" i="10"/>
  <c r="G15" i="10" s="1"/>
  <c r="J15" i="10" s="1"/>
  <c r="R15" i="10" s="1"/>
  <c r="F7" i="10"/>
  <c r="G7" i="10" s="1"/>
  <c r="J7" i="10" s="1"/>
  <c r="F17" i="10"/>
  <c r="G17" i="10" s="1"/>
  <c r="J17" i="10" s="1"/>
  <c r="F9" i="10"/>
  <c r="G9" i="10" s="1"/>
  <c r="J9" i="10" s="1"/>
  <c r="J6" i="16"/>
  <c r="J56" i="14"/>
  <c r="J41" i="16"/>
  <c r="R41" i="16" s="1"/>
  <c r="K66" i="9"/>
  <c r="J11" i="16"/>
  <c r="J51" i="16"/>
  <c r="D70" i="10"/>
  <c r="F46" i="10"/>
  <c r="G46" i="10" s="1"/>
  <c r="J46" i="10" s="1"/>
  <c r="F57" i="10"/>
  <c r="G57" i="10" s="1"/>
  <c r="J57" i="10" s="1"/>
  <c r="R57" i="10" s="1"/>
  <c r="F59" i="10"/>
  <c r="G59" i="10" s="1"/>
  <c r="J59" i="10" s="1"/>
  <c r="E7" i="16"/>
  <c r="D70" i="16"/>
  <c r="J17" i="20"/>
  <c r="E6" i="10"/>
  <c r="E70" i="10" s="1"/>
  <c r="F70" i="10" s="1"/>
  <c r="K50" i="10"/>
  <c r="R50" i="10" s="1"/>
  <c r="I7" i="12"/>
  <c r="I10" i="12"/>
  <c r="I4" i="12"/>
  <c r="I66" i="12"/>
  <c r="I60" i="12"/>
  <c r="I54" i="12"/>
  <c r="I48" i="12"/>
  <c r="I42" i="12"/>
  <c r="I36" i="12"/>
  <c r="I30" i="12"/>
  <c r="I24" i="12"/>
  <c r="I3" i="12"/>
  <c r="I69" i="12"/>
  <c r="I63" i="12"/>
  <c r="I57" i="12"/>
  <c r="I51" i="12"/>
  <c r="I45" i="12"/>
  <c r="I39" i="12"/>
  <c r="I33" i="12"/>
  <c r="I27" i="12"/>
  <c r="I21" i="12"/>
  <c r="I15" i="12"/>
  <c r="I18" i="12"/>
  <c r="I12" i="12"/>
  <c r="I9" i="12"/>
  <c r="I64" i="12"/>
  <c r="I58" i="12"/>
  <c r="I52" i="12"/>
  <c r="I46" i="12"/>
  <c r="I40" i="12"/>
  <c r="I34" i="12"/>
  <c r="I28" i="12"/>
  <c r="I22" i="12"/>
  <c r="I6" i="12"/>
  <c r="I67" i="12"/>
  <c r="I61" i="12"/>
  <c r="I55" i="12"/>
  <c r="I49" i="12"/>
  <c r="I43" i="12"/>
  <c r="I37" i="12"/>
  <c r="I31" i="12"/>
  <c r="I25" i="12"/>
  <c r="I13" i="12"/>
  <c r="J13" i="12" s="1"/>
  <c r="I16" i="12"/>
  <c r="J16" i="12" s="1"/>
  <c r="I17" i="12"/>
  <c r="I5" i="12"/>
  <c r="I53" i="12"/>
  <c r="I56" i="12"/>
  <c r="F9" i="12"/>
  <c r="G9" i="12" s="1"/>
  <c r="J9" i="12" s="1"/>
  <c r="F17" i="12"/>
  <c r="G17" i="12" s="1"/>
  <c r="J17" i="12" s="1"/>
  <c r="F14" i="12"/>
  <c r="G14" i="12" s="1"/>
  <c r="J14" i="12" s="1"/>
  <c r="F11" i="12"/>
  <c r="G11" i="12" s="1"/>
  <c r="J11" i="12" s="1"/>
  <c r="F8" i="12"/>
  <c r="G8" i="12" s="1"/>
  <c r="J8" i="12" s="1"/>
  <c r="F69" i="12"/>
  <c r="G69" i="12" s="1"/>
  <c r="J69" i="12" s="1"/>
  <c r="F66" i="12"/>
  <c r="G66" i="12" s="1"/>
  <c r="J66" i="12" s="1"/>
  <c r="F63" i="12"/>
  <c r="G63" i="12" s="1"/>
  <c r="J63" i="12" s="1"/>
  <c r="F60" i="12"/>
  <c r="G60" i="12" s="1"/>
  <c r="J60" i="12" s="1"/>
  <c r="F57" i="12"/>
  <c r="G57" i="12" s="1"/>
  <c r="J57" i="12" s="1"/>
  <c r="F54" i="12"/>
  <c r="G54" i="12" s="1"/>
  <c r="F51" i="12"/>
  <c r="G51" i="12" s="1"/>
  <c r="J51" i="12" s="1"/>
  <c r="F48" i="12"/>
  <c r="G48" i="12" s="1"/>
  <c r="F45" i="12"/>
  <c r="G45" i="12" s="1"/>
  <c r="J45" i="12" s="1"/>
  <c r="F42" i="12"/>
  <c r="G42" i="12" s="1"/>
  <c r="F39" i="12"/>
  <c r="G39" i="12" s="1"/>
  <c r="F36" i="12"/>
  <c r="G36" i="12" s="1"/>
  <c r="J36" i="12" s="1"/>
  <c r="F33" i="12"/>
  <c r="G33" i="12" s="1"/>
  <c r="J33" i="12" s="1"/>
  <c r="F30" i="12"/>
  <c r="G30" i="12" s="1"/>
  <c r="F27" i="12"/>
  <c r="G27" i="12" s="1"/>
  <c r="J27" i="12" s="1"/>
  <c r="F24" i="12"/>
  <c r="G24" i="12" s="1"/>
  <c r="F21" i="12"/>
  <c r="G21" i="12" s="1"/>
  <c r="J21" i="12" s="1"/>
  <c r="F18" i="12"/>
  <c r="G18" i="12" s="1"/>
  <c r="J18" i="12" s="1"/>
  <c r="F15" i="12"/>
  <c r="G15" i="12" s="1"/>
  <c r="J15" i="12" s="1"/>
  <c r="F12" i="12"/>
  <c r="G12" i="12" s="1"/>
  <c r="F67" i="12"/>
  <c r="G67" i="12" s="1"/>
  <c r="F64" i="12"/>
  <c r="G64" i="12" s="1"/>
  <c r="J64" i="12" s="1"/>
  <c r="F61" i="12"/>
  <c r="G61" i="12" s="1"/>
  <c r="F58" i="12"/>
  <c r="G58" i="12" s="1"/>
  <c r="J58" i="12" s="1"/>
  <c r="F55" i="12"/>
  <c r="G55" i="12" s="1"/>
  <c r="J55" i="12" s="1"/>
  <c r="F52" i="12"/>
  <c r="G52" i="12" s="1"/>
  <c r="J52" i="12" s="1"/>
  <c r="F49" i="12"/>
  <c r="G49" i="12" s="1"/>
  <c r="J49" i="12" s="1"/>
  <c r="F46" i="12"/>
  <c r="G46" i="12" s="1"/>
  <c r="J46" i="12" s="1"/>
  <c r="F43" i="12"/>
  <c r="G43" i="12" s="1"/>
  <c r="J43" i="12" s="1"/>
  <c r="F40" i="12"/>
  <c r="G40" i="12" s="1"/>
  <c r="F37" i="12"/>
  <c r="G37" i="12" s="1"/>
  <c r="J37" i="12" s="1"/>
  <c r="F34" i="12"/>
  <c r="G34" i="12" s="1"/>
  <c r="F31" i="12"/>
  <c r="G31" i="12" s="1"/>
  <c r="J31" i="12" s="1"/>
  <c r="F28" i="12"/>
  <c r="G28" i="12" s="1"/>
  <c r="J28" i="12" s="1"/>
  <c r="F25" i="12"/>
  <c r="G25" i="12" s="1"/>
  <c r="F22" i="12"/>
  <c r="G22" i="12" s="1"/>
  <c r="J22" i="12" s="1"/>
  <c r="F6" i="12"/>
  <c r="G6" i="12" s="1"/>
  <c r="F70" i="12"/>
  <c r="F19" i="12"/>
  <c r="G19" i="12" s="1"/>
  <c r="J19" i="12" s="1"/>
  <c r="F68" i="12"/>
  <c r="G68" i="12" s="1"/>
  <c r="J68" i="12" s="1"/>
  <c r="F65" i="12"/>
  <c r="G65" i="12" s="1"/>
  <c r="J65" i="12" s="1"/>
  <c r="F62" i="12"/>
  <c r="G62" i="12" s="1"/>
  <c r="J62" i="12" s="1"/>
  <c r="F59" i="12"/>
  <c r="G59" i="12" s="1"/>
  <c r="J59" i="12" s="1"/>
  <c r="F56" i="12"/>
  <c r="G56" i="12" s="1"/>
  <c r="F53" i="12"/>
  <c r="G53" i="12" s="1"/>
  <c r="F50" i="12"/>
  <c r="G50" i="12" s="1"/>
  <c r="F47" i="12"/>
  <c r="G47" i="12" s="1"/>
  <c r="F44" i="12"/>
  <c r="G44" i="12" s="1"/>
  <c r="J44" i="12" s="1"/>
  <c r="F41" i="12"/>
  <c r="G41" i="12" s="1"/>
  <c r="J41" i="12" s="1"/>
  <c r="F38" i="12"/>
  <c r="G38" i="12" s="1"/>
  <c r="J38" i="12" s="1"/>
  <c r="F35" i="12"/>
  <c r="G35" i="12" s="1"/>
  <c r="J35" i="12" s="1"/>
  <c r="F32" i="12"/>
  <c r="G32" i="12" s="1"/>
  <c r="J32" i="12" s="1"/>
  <c r="F29" i="12"/>
  <c r="G29" i="12" s="1"/>
  <c r="J29" i="12" s="1"/>
  <c r="F26" i="12"/>
  <c r="G26" i="12" s="1"/>
  <c r="J26" i="12" s="1"/>
  <c r="F23" i="12"/>
  <c r="G23" i="12" s="1"/>
  <c r="J23" i="12" s="1"/>
  <c r="F7" i="12"/>
  <c r="G7" i="12" s="1"/>
  <c r="J7" i="12" s="1"/>
  <c r="J6" i="14"/>
  <c r="J7" i="16"/>
  <c r="R7" i="16" s="1"/>
  <c r="J29" i="16"/>
  <c r="R29" i="16" s="1"/>
  <c r="J49" i="16"/>
  <c r="R49" i="16" s="1"/>
  <c r="G36" i="20"/>
  <c r="J36" i="20" s="1"/>
  <c r="I7" i="6"/>
  <c r="I21" i="6"/>
  <c r="F6" i="10"/>
  <c r="G6" i="10" s="1"/>
  <c r="F8" i="10"/>
  <c r="G8" i="10" s="1"/>
  <c r="J8" i="10" s="1"/>
  <c r="R8" i="10" s="1"/>
  <c r="F29" i="10"/>
  <c r="G29" i="10" s="1"/>
  <c r="J29" i="10" s="1"/>
  <c r="F31" i="10"/>
  <c r="G31" i="10" s="1"/>
  <c r="J31" i="10" s="1"/>
  <c r="R31" i="10" s="1"/>
  <c r="F42" i="10"/>
  <c r="G42" i="10" s="1"/>
  <c r="J42" i="10" s="1"/>
  <c r="R42" i="10" s="1"/>
  <c r="F53" i="10"/>
  <c r="G53" i="10" s="1"/>
  <c r="J53" i="10" s="1"/>
  <c r="R53" i="10" s="1"/>
  <c r="F55" i="10"/>
  <c r="G55" i="10" s="1"/>
  <c r="J55" i="10" s="1"/>
  <c r="F66" i="10"/>
  <c r="G66" i="10" s="1"/>
  <c r="J66" i="10" s="1"/>
  <c r="R66" i="10" s="1"/>
  <c r="F10" i="12"/>
  <c r="G10" i="12" s="1"/>
  <c r="J10" i="12" s="1"/>
  <c r="J20" i="14"/>
  <c r="I12" i="6"/>
  <c r="I16" i="6"/>
  <c r="I25" i="6"/>
  <c r="I29" i="6"/>
  <c r="I33" i="6"/>
  <c r="I37" i="6"/>
  <c r="I41" i="6"/>
  <c r="I45" i="6"/>
  <c r="I49" i="6"/>
  <c r="I53" i="6"/>
  <c r="I57" i="6"/>
  <c r="I61" i="6"/>
  <c r="I65" i="6"/>
  <c r="K69" i="10"/>
  <c r="K65" i="10"/>
  <c r="R65" i="10" s="1"/>
  <c r="K61" i="10"/>
  <c r="R61" i="10" s="1"/>
  <c r="K57" i="10"/>
  <c r="K53" i="10"/>
  <c r="K49" i="10"/>
  <c r="K45" i="10"/>
  <c r="R45" i="10" s="1"/>
  <c r="K41" i="10"/>
  <c r="R41" i="10" s="1"/>
  <c r="K37" i="10"/>
  <c r="R37" i="10" s="1"/>
  <c r="K33" i="10"/>
  <c r="R33" i="10" s="1"/>
  <c r="K29" i="10"/>
  <c r="K25" i="10"/>
  <c r="K21" i="10"/>
  <c r="K16" i="10"/>
  <c r="R16" i="10" s="1"/>
  <c r="K12" i="10"/>
  <c r="R12" i="10" s="1"/>
  <c r="K7" i="10"/>
  <c r="K9" i="10"/>
  <c r="K67" i="10"/>
  <c r="R67" i="10" s="1"/>
  <c r="K63" i="10"/>
  <c r="R63" i="10" s="1"/>
  <c r="K59" i="10"/>
  <c r="K55" i="10"/>
  <c r="K51" i="10"/>
  <c r="K47" i="10"/>
  <c r="R47" i="10" s="1"/>
  <c r="K43" i="10"/>
  <c r="R43" i="10" s="1"/>
  <c r="K39" i="10"/>
  <c r="R39" i="10" s="1"/>
  <c r="K35" i="10"/>
  <c r="R35" i="10" s="1"/>
  <c r="K31" i="10"/>
  <c r="K27" i="10"/>
  <c r="K23" i="10"/>
  <c r="R23" i="10" s="1"/>
  <c r="K14" i="10"/>
  <c r="R14" i="10" s="1"/>
  <c r="K68" i="10"/>
  <c r="K64" i="10"/>
  <c r="K60" i="10"/>
  <c r="K56" i="10"/>
  <c r="K52" i="10"/>
  <c r="K48" i="10"/>
  <c r="K44" i="10"/>
  <c r="K40" i="10"/>
  <c r="K36" i="10"/>
  <c r="K32" i="10"/>
  <c r="K28" i="10"/>
  <c r="K24" i="10"/>
  <c r="K15" i="10"/>
  <c r="K46" i="10"/>
  <c r="I47" i="12"/>
  <c r="I50" i="12"/>
  <c r="I14" i="8"/>
  <c r="I70" i="8" s="1"/>
  <c r="I25" i="8"/>
  <c r="I42" i="8"/>
  <c r="I49" i="8"/>
  <c r="I66" i="8"/>
  <c r="K6" i="10"/>
  <c r="K13" i="10"/>
  <c r="R13" i="10" s="1"/>
  <c r="K17" i="10"/>
  <c r="F21" i="10"/>
  <c r="G21" i="10" s="1"/>
  <c r="J21" i="10" s="1"/>
  <c r="R21" i="10" s="1"/>
  <c r="F25" i="10"/>
  <c r="G25" i="10" s="1"/>
  <c r="J25" i="10" s="1"/>
  <c r="R25" i="10" s="1"/>
  <c r="F27" i="10"/>
  <c r="G27" i="10" s="1"/>
  <c r="J27" i="10" s="1"/>
  <c r="F38" i="10"/>
  <c r="G38" i="10" s="1"/>
  <c r="J38" i="10" s="1"/>
  <c r="R38" i="10" s="1"/>
  <c r="F49" i="10"/>
  <c r="G49" i="10" s="1"/>
  <c r="J49" i="10" s="1"/>
  <c r="F51" i="10"/>
  <c r="G51" i="10" s="1"/>
  <c r="J51" i="10" s="1"/>
  <c r="R51" i="10" s="1"/>
  <c r="F62" i="10"/>
  <c r="G62" i="10" s="1"/>
  <c r="J62" i="10" s="1"/>
  <c r="R62" i="10" s="1"/>
  <c r="J11" i="14"/>
  <c r="J15" i="16"/>
  <c r="R15" i="16" s="1"/>
  <c r="G29" i="20"/>
  <c r="J29" i="20" s="1"/>
  <c r="G19" i="14"/>
  <c r="J19" i="14" s="1"/>
  <c r="G60" i="20"/>
  <c r="E6" i="12"/>
  <c r="E70" i="12" s="1"/>
  <c r="D70" i="12"/>
  <c r="G30" i="14"/>
  <c r="J30" i="14" s="1"/>
  <c r="G43" i="14"/>
  <c r="J43" i="14" s="1"/>
  <c r="G54" i="14"/>
  <c r="J54" i="14" s="1"/>
  <c r="G67" i="14"/>
  <c r="J67" i="14" s="1"/>
  <c r="G23" i="14"/>
  <c r="J23" i="14" s="1"/>
  <c r="G32" i="14"/>
  <c r="G45" i="14"/>
  <c r="J45" i="14" s="1"/>
  <c r="J31" i="16"/>
  <c r="J47" i="16"/>
  <c r="J59" i="16"/>
  <c r="D70" i="14"/>
  <c r="J18" i="14"/>
  <c r="G58" i="14"/>
  <c r="J9" i="16"/>
  <c r="R9" i="16" s="1"/>
  <c r="E6" i="14"/>
  <c r="E70" i="14" s="1"/>
  <c r="J18" i="16"/>
  <c r="J20" i="16"/>
  <c r="J27" i="18"/>
  <c r="R27" i="18" s="1"/>
  <c r="G58" i="20"/>
  <c r="G38" i="14"/>
  <c r="G51" i="14"/>
  <c r="J51" i="14" s="1"/>
  <c r="G62" i="14"/>
  <c r="J27" i="16"/>
  <c r="J43" i="16"/>
  <c r="I68" i="18"/>
  <c r="I64" i="18"/>
  <c r="I60" i="18"/>
  <c r="I56" i="18"/>
  <c r="I52" i="18"/>
  <c r="I48" i="18"/>
  <c r="I44" i="18"/>
  <c r="I66" i="18"/>
  <c r="I62" i="18"/>
  <c r="I58" i="18"/>
  <c r="I54" i="18"/>
  <c r="I50" i="18"/>
  <c r="I46" i="18"/>
  <c r="I42" i="18"/>
  <c r="I38" i="18"/>
  <c r="I34" i="18"/>
  <c r="I30" i="18"/>
  <c r="I26" i="18"/>
  <c r="I22" i="18"/>
  <c r="I17" i="18"/>
  <c r="I67" i="18"/>
  <c r="I63" i="18"/>
  <c r="I59" i="18"/>
  <c r="I55" i="18"/>
  <c r="I51" i="18"/>
  <c r="I47" i="18"/>
  <c r="I43" i="18"/>
  <c r="I39" i="18"/>
  <c r="I35" i="18"/>
  <c r="I61" i="18"/>
  <c r="I45" i="18"/>
  <c r="I36" i="18"/>
  <c r="I31" i="18"/>
  <c r="I18" i="18"/>
  <c r="I11" i="18"/>
  <c r="T8" i="18"/>
  <c r="T9" i="18" s="1"/>
  <c r="J53" i="18" s="1"/>
  <c r="R53" i="18" s="1"/>
  <c r="I65" i="18"/>
  <c r="I15" i="18"/>
  <c r="I7" i="18"/>
  <c r="I41" i="18"/>
  <c r="I23" i="18"/>
  <c r="I19" i="18"/>
  <c r="I12" i="18"/>
  <c r="I8" i="18"/>
  <c r="I32" i="18"/>
  <c r="I29" i="18"/>
  <c r="I5" i="18"/>
  <c r="I20" i="18"/>
  <c r="I16" i="18"/>
  <c r="I69" i="18"/>
  <c r="I37" i="18"/>
  <c r="I13" i="18"/>
  <c r="I9" i="18"/>
  <c r="I4" i="18"/>
  <c r="I27" i="18"/>
  <c r="I24" i="18"/>
  <c r="I3" i="18"/>
  <c r="I40" i="18"/>
  <c r="I21" i="18"/>
  <c r="I49" i="18"/>
  <c r="G17" i="14"/>
  <c r="J17" i="14" s="1"/>
  <c r="F7" i="14"/>
  <c r="G7" i="14" s="1"/>
  <c r="J7" i="14" s="1"/>
  <c r="F9" i="14"/>
  <c r="G9" i="14" s="1"/>
  <c r="J9" i="14" s="1"/>
  <c r="F10" i="14"/>
  <c r="G10" i="14" s="1"/>
  <c r="J10" i="14" s="1"/>
  <c r="K66" i="15"/>
  <c r="I25" i="18"/>
  <c r="I57" i="18"/>
  <c r="F22" i="14"/>
  <c r="G22" i="14" s="1"/>
  <c r="J22" i="14" s="1"/>
  <c r="F31" i="14"/>
  <c r="G31" i="14" s="1"/>
  <c r="J31" i="14" s="1"/>
  <c r="F33" i="14"/>
  <c r="G33" i="14" s="1"/>
  <c r="J33" i="14" s="1"/>
  <c r="F42" i="14"/>
  <c r="G42" i="14" s="1"/>
  <c r="F44" i="14"/>
  <c r="G44" i="14" s="1"/>
  <c r="F55" i="14"/>
  <c r="G55" i="14" s="1"/>
  <c r="J55" i="14" s="1"/>
  <c r="F57" i="14"/>
  <c r="G57" i="14" s="1"/>
  <c r="J57" i="14" s="1"/>
  <c r="F66" i="14"/>
  <c r="G66" i="14" s="1"/>
  <c r="J66" i="14" s="1"/>
  <c r="F68" i="14"/>
  <c r="G68" i="14" s="1"/>
  <c r="E70" i="16"/>
  <c r="J32" i="16"/>
  <c r="R32" i="16" s="1"/>
  <c r="J55" i="16"/>
  <c r="R55" i="16" s="1"/>
  <c r="I10" i="18"/>
  <c r="I15" i="10"/>
  <c r="I70" i="10" s="1"/>
  <c r="T20" i="10" s="1"/>
  <c r="I24" i="10"/>
  <c r="I28" i="10"/>
  <c r="I32" i="10"/>
  <c r="I36" i="10"/>
  <c r="I40" i="10"/>
  <c r="I44" i="10"/>
  <c r="I48" i="10"/>
  <c r="I52" i="10"/>
  <c r="I56" i="10"/>
  <c r="I60" i="10"/>
  <c r="I64" i="10"/>
  <c r="F14" i="14"/>
  <c r="G14" i="14" s="1"/>
  <c r="J14" i="14" s="1"/>
  <c r="F70" i="14"/>
  <c r="J10" i="16"/>
  <c r="R10" i="16" s="1"/>
  <c r="J23" i="16"/>
  <c r="J39" i="16"/>
  <c r="I33" i="18"/>
  <c r="J66" i="18"/>
  <c r="R66" i="18" s="1"/>
  <c r="K61" i="16"/>
  <c r="K65" i="16"/>
  <c r="K69" i="16"/>
  <c r="R69" i="16" s="1"/>
  <c r="K66" i="18"/>
  <c r="K62" i="18"/>
  <c r="K58" i="18"/>
  <c r="K54" i="18"/>
  <c r="K50" i="18"/>
  <c r="K46" i="18"/>
  <c r="K42" i="18"/>
  <c r="K38" i="18"/>
  <c r="K34" i="18"/>
  <c r="K30" i="18"/>
  <c r="K26" i="18"/>
  <c r="K68" i="18"/>
  <c r="K64" i="18"/>
  <c r="K60" i="18"/>
  <c r="K56" i="18"/>
  <c r="K33" i="18"/>
  <c r="K53" i="18"/>
  <c r="E70" i="20"/>
  <c r="G33" i="20"/>
  <c r="I15" i="14"/>
  <c r="J15" i="14" s="1"/>
  <c r="I20" i="14"/>
  <c r="I24" i="14"/>
  <c r="J24" i="14" s="1"/>
  <c r="I28" i="14"/>
  <c r="J28" i="14" s="1"/>
  <c r="I32" i="14"/>
  <c r="I36" i="14"/>
  <c r="J36" i="14" s="1"/>
  <c r="I40" i="14"/>
  <c r="J40" i="14" s="1"/>
  <c r="I44" i="14"/>
  <c r="I48" i="14"/>
  <c r="J48" i="14" s="1"/>
  <c r="I52" i="14"/>
  <c r="J52" i="14" s="1"/>
  <c r="I56" i="14"/>
  <c r="I60" i="14"/>
  <c r="J60" i="14" s="1"/>
  <c r="I64" i="14"/>
  <c r="J64" i="14" s="1"/>
  <c r="I68" i="14"/>
  <c r="I3" i="16"/>
  <c r="K6" i="16"/>
  <c r="K11" i="16"/>
  <c r="F14" i="16"/>
  <c r="G14" i="16" s="1"/>
  <c r="I15" i="16"/>
  <c r="I19" i="16"/>
  <c r="J19" i="16" s="1"/>
  <c r="R19" i="16" s="1"/>
  <c r="K20" i="16"/>
  <c r="I24" i="16"/>
  <c r="J24" i="16" s="1"/>
  <c r="R24" i="16" s="1"/>
  <c r="I28" i="16"/>
  <c r="J28" i="16" s="1"/>
  <c r="R28" i="16" s="1"/>
  <c r="I32" i="16"/>
  <c r="I36" i="16"/>
  <c r="J36" i="16" s="1"/>
  <c r="R36" i="16" s="1"/>
  <c r="I40" i="16"/>
  <c r="J40" i="16" s="1"/>
  <c r="R40" i="16" s="1"/>
  <c r="I44" i="16"/>
  <c r="J44" i="16" s="1"/>
  <c r="R44" i="16" s="1"/>
  <c r="I48" i="16"/>
  <c r="J48" i="16" s="1"/>
  <c r="R48" i="16" s="1"/>
  <c r="I52" i="16"/>
  <c r="J52" i="16" s="1"/>
  <c r="R52" i="16" s="1"/>
  <c r="I56" i="16"/>
  <c r="J56" i="16" s="1"/>
  <c r="R56" i="16" s="1"/>
  <c r="I60" i="16"/>
  <c r="J60" i="16" s="1"/>
  <c r="R60" i="16" s="1"/>
  <c r="I64" i="16"/>
  <c r="J64" i="16" s="1"/>
  <c r="R64" i="16" s="1"/>
  <c r="I68" i="16"/>
  <c r="J68" i="16" s="1"/>
  <c r="R68" i="16" s="1"/>
  <c r="K6" i="18"/>
  <c r="K10" i="18"/>
  <c r="K14" i="18"/>
  <c r="K17" i="18"/>
  <c r="G37" i="18"/>
  <c r="G6" i="20"/>
  <c r="G11" i="20"/>
  <c r="G54" i="20"/>
  <c r="G16" i="18"/>
  <c r="G20" i="18"/>
  <c r="K21" i="18"/>
  <c r="K35" i="18"/>
  <c r="K40" i="18"/>
  <c r="G44" i="18"/>
  <c r="J44" i="18" s="1"/>
  <c r="G46" i="18"/>
  <c r="G62" i="18"/>
  <c r="J62" i="18" s="1"/>
  <c r="R62" i="18" s="1"/>
  <c r="G43" i="20"/>
  <c r="G46" i="20"/>
  <c r="I69" i="22"/>
  <c r="I65" i="22"/>
  <c r="I61" i="22"/>
  <c r="I57" i="22"/>
  <c r="I66" i="22"/>
  <c r="I60" i="22"/>
  <c r="I40" i="22"/>
  <c r="I33" i="22"/>
  <c r="I26" i="22"/>
  <c r="I22" i="22"/>
  <c r="I7" i="22"/>
  <c r="I63" i="22"/>
  <c r="I54" i="22"/>
  <c r="I47" i="22"/>
  <c r="I44" i="22"/>
  <c r="I37" i="22"/>
  <c r="I13" i="22"/>
  <c r="I8" i="22"/>
  <c r="I51" i="22"/>
  <c r="I34" i="22"/>
  <c r="I27" i="22"/>
  <c r="I23" i="22"/>
  <c r="I64" i="22"/>
  <c r="I58" i="22"/>
  <c r="I48" i="22"/>
  <c r="I41" i="22"/>
  <c r="I18" i="22"/>
  <c r="I14" i="22"/>
  <c r="I9" i="22"/>
  <c r="I5" i="22"/>
  <c r="I67" i="22"/>
  <c r="I55" i="22"/>
  <c r="I38" i="22"/>
  <c r="I31" i="22"/>
  <c r="I52" i="22"/>
  <c r="I45" i="22"/>
  <c r="I28" i="22"/>
  <c r="I24" i="22"/>
  <c r="I19" i="22"/>
  <c r="I62" i="22"/>
  <c r="I56" i="22"/>
  <c r="I49" i="22"/>
  <c r="I32" i="22"/>
  <c r="I20" i="22"/>
  <c r="I68" i="22"/>
  <c r="I50" i="22"/>
  <c r="I11" i="22"/>
  <c r="I59" i="22"/>
  <c r="I53" i="22"/>
  <c r="I36" i="22"/>
  <c r="I17" i="22"/>
  <c r="I15" i="22"/>
  <c r="I4" i="22"/>
  <c r="I21" i="22"/>
  <c r="I3" i="22"/>
  <c r="T8" i="22"/>
  <c r="I46" i="22"/>
  <c r="I30" i="22"/>
  <c r="I25" i="22"/>
  <c r="I10" i="22"/>
  <c r="I43" i="22"/>
  <c r="I35" i="22"/>
  <c r="I12" i="22"/>
  <c r="I16" i="22"/>
  <c r="I6" i="22"/>
  <c r="I29" i="22"/>
  <c r="I39" i="22"/>
  <c r="I14" i="16"/>
  <c r="K15" i="16"/>
  <c r="K19" i="16"/>
  <c r="K24" i="16"/>
  <c r="K28" i="16"/>
  <c r="K32" i="16"/>
  <c r="K36" i="16"/>
  <c r="K40" i="16"/>
  <c r="K44" i="16"/>
  <c r="K48" i="16"/>
  <c r="K52" i="16"/>
  <c r="K56" i="16"/>
  <c r="K60" i="16"/>
  <c r="G63" i="16"/>
  <c r="J63" i="16" s="1"/>
  <c r="K64" i="16"/>
  <c r="K68" i="16"/>
  <c r="K24" i="18"/>
  <c r="K27" i="18"/>
  <c r="K69" i="18"/>
  <c r="I67" i="16"/>
  <c r="J67" i="16" s="1"/>
  <c r="R67" i="16" s="1"/>
  <c r="K37" i="18"/>
  <c r="K44" i="18"/>
  <c r="G40" i="20"/>
  <c r="G57" i="20"/>
  <c r="J57" i="20" s="1"/>
  <c r="F58" i="16"/>
  <c r="G58" i="16" s="1"/>
  <c r="F62" i="16"/>
  <c r="G62" i="16" s="1"/>
  <c r="F66" i="16"/>
  <c r="G66" i="16" s="1"/>
  <c r="J66" i="16" s="1"/>
  <c r="R66" i="16" s="1"/>
  <c r="F70" i="16"/>
  <c r="K16" i="18"/>
  <c r="K20" i="18"/>
  <c r="G41" i="18"/>
  <c r="J41" i="18" s="1"/>
  <c r="R41" i="18" s="1"/>
  <c r="K48" i="18"/>
  <c r="G67" i="18"/>
  <c r="J67" i="18" s="1"/>
  <c r="R67" i="18" s="1"/>
  <c r="G7" i="20"/>
  <c r="G37" i="20"/>
  <c r="G67" i="20"/>
  <c r="F11" i="24"/>
  <c r="G11" i="24" s="1"/>
  <c r="F6" i="24"/>
  <c r="G6" i="24" s="1"/>
  <c r="F68" i="24"/>
  <c r="G68" i="24" s="1"/>
  <c r="F64" i="24"/>
  <c r="G64" i="24" s="1"/>
  <c r="F60" i="24"/>
  <c r="G60" i="24" s="1"/>
  <c r="F56" i="24"/>
  <c r="G56" i="24" s="1"/>
  <c r="F52" i="24"/>
  <c r="G52" i="24" s="1"/>
  <c r="F48" i="24"/>
  <c r="G48" i="24" s="1"/>
  <c r="F44" i="24"/>
  <c r="G44" i="24" s="1"/>
  <c r="F40" i="24"/>
  <c r="G40" i="24" s="1"/>
  <c r="F36" i="24"/>
  <c r="G36" i="24" s="1"/>
  <c r="F32" i="24"/>
  <c r="G32" i="24" s="1"/>
  <c r="F28" i="24"/>
  <c r="G28" i="24" s="1"/>
  <c r="F24" i="24"/>
  <c r="G24" i="24" s="1"/>
  <c r="F20" i="24"/>
  <c r="G20" i="24" s="1"/>
  <c r="F12" i="24"/>
  <c r="G12" i="24" s="1"/>
  <c r="F7" i="24"/>
  <c r="G7" i="24" s="1"/>
  <c r="F13" i="24"/>
  <c r="G13" i="24" s="1"/>
  <c r="F8" i="24"/>
  <c r="G8" i="24" s="1"/>
  <c r="F70" i="24"/>
  <c r="F66" i="24"/>
  <c r="G66" i="24" s="1"/>
  <c r="F62" i="24"/>
  <c r="G62" i="24" s="1"/>
  <c r="F58" i="24"/>
  <c r="G58" i="24" s="1"/>
  <c r="F54" i="24"/>
  <c r="G54" i="24" s="1"/>
  <c r="F50" i="24"/>
  <c r="G50" i="24" s="1"/>
  <c r="F46" i="24"/>
  <c r="G46" i="24" s="1"/>
  <c r="F34" i="24"/>
  <c r="G34" i="24" s="1"/>
  <c r="F25" i="24"/>
  <c r="G25" i="24" s="1"/>
  <c r="F23" i="24"/>
  <c r="G23" i="24" s="1"/>
  <c r="F9" i="24"/>
  <c r="G9" i="24" s="1"/>
  <c r="F61" i="24"/>
  <c r="G61" i="24" s="1"/>
  <c r="F59" i="24"/>
  <c r="G59" i="24" s="1"/>
  <c r="F49" i="24"/>
  <c r="G49" i="24" s="1"/>
  <c r="F47" i="24"/>
  <c r="G47" i="24" s="1"/>
  <c r="F38" i="24"/>
  <c r="G38" i="24" s="1"/>
  <c r="F29" i="24"/>
  <c r="G29" i="24" s="1"/>
  <c r="F27" i="24"/>
  <c r="G27" i="24" s="1"/>
  <c r="F16" i="24"/>
  <c r="G16" i="24" s="1"/>
  <c r="F42" i="24"/>
  <c r="G42" i="24" s="1"/>
  <c r="F33" i="24"/>
  <c r="G33" i="24" s="1"/>
  <c r="F18" i="24"/>
  <c r="G18" i="24" s="1"/>
  <c r="F14" i="24"/>
  <c r="G14" i="24" s="1"/>
  <c r="F31" i="24"/>
  <c r="G31" i="24" s="1"/>
  <c r="F65" i="24"/>
  <c r="G65" i="24" s="1"/>
  <c r="F63" i="24"/>
  <c r="G63" i="24" s="1"/>
  <c r="F53" i="24"/>
  <c r="G53" i="24" s="1"/>
  <c r="F51" i="24"/>
  <c r="G51" i="24" s="1"/>
  <c r="F37" i="24"/>
  <c r="G37" i="24" s="1"/>
  <c r="F22" i="24"/>
  <c r="G22" i="24" s="1"/>
  <c r="F10" i="24"/>
  <c r="G10" i="24" s="1"/>
  <c r="F35" i="24"/>
  <c r="G35" i="24" s="1"/>
  <c r="F41" i="24"/>
  <c r="G41" i="24" s="1"/>
  <c r="F26" i="24"/>
  <c r="G26" i="24" s="1"/>
  <c r="F57" i="24"/>
  <c r="G57" i="24" s="1"/>
  <c r="F45" i="24"/>
  <c r="G45" i="24" s="1"/>
  <c r="F30" i="24"/>
  <c r="G30" i="24" s="1"/>
  <c r="F19" i="24"/>
  <c r="G19" i="24" s="1"/>
  <c r="F15" i="24"/>
  <c r="G15" i="24" s="1"/>
  <c r="F67" i="24"/>
  <c r="G67" i="24" s="1"/>
  <c r="F55" i="24"/>
  <c r="G55" i="24" s="1"/>
  <c r="F21" i="24"/>
  <c r="G21" i="24" s="1"/>
  <c r="F69" i="24"/>
  <c r="G69" i="24" s="1"/>
  <c r="F39" i="24"/>
  <c r="G39" i="24" s="1"/>
  <c r="F43" i="24"/>
  <c r="G43" i="24" s="1"/>
  <c r="I8" i="16"/>
  <c r="J8" i="16" s="1"/>
  <c r="R8" i="16" s="1"/>
  <c r="K9" i="16"/>
  <c r="I13" i="16"/>
  <c r="J13" i="16" s="1"/>
  <c r="R13" i="16" s="1"/>
  <c r="K18" i="16"/>
  <c r="K23" i="16"/>
  <c r="K27" i="16"/>
  <c r="K31" i="16"/>
  <c r="K35" i="16"/>
  <c r="R35" i="16" s="1"/>
  <c r="K39" i="16"/>
  <c r="K43" i="16"/>
  <c r="K47" i="16"/>
  <c r="K51" i="16"/>
  <c r="K55" i="16"/>
  <c r="K59" i="16"/>
  <c r="K63" i="16"/>
  <c r="G7" i="18"/>
  <c r="K8" i="18"/>
  <c r="K29" i="18"/>
  <c r="K32" i="18"/>
  <c r="K39" i="18"/>
  <c r="K52" i="18"/>
  <c r="G65" i="18"/>
  <c r="G34" i="20"/>
  <c r="I8" i="14"/>
  <c r="J8" i="14" s="1"/>
  <c r="I13" i="14"/>
  <c r="J13" i="14" s="1"/>
  <c r="I22" i="14"/>
  <c r="I26" i="14"/>
  <c r="J26" i="14" s="1"/>
  <c r="I30" i="14"/>
  <c r="I34" i="14"/>
  <c r="J34" i="14" s="1"/>
  <c r="I38" i="14"/>
  <c r="I42" i="14"/>
  <c r="I46" i="14"/>
  <c r="J46" i="14" s="1"/>
  <c r="I50" i="14"/>
  <c r="J50" i="14" s="1"/>
  <c r="I54" i="14"/>
  <c r="I58" i="14"/>
  <c r="I62" i="14"/>
  <c r="F12" i="16"/>
  <c r="G12" i="16" s="1"/>
  <c r="J12" i="16" s="1"/>
  <c r="R12" i="16" s="1"/>
  <c r="I17" i="16"/>
  <c r="J17" i="16" s="1"/>
  <c r="R17" i="16" s="1"/>
  <c r="F21" i="16"/>
  <c r="G21" i="16" s="1"/>
  <c r="J21" i="16" s="1"/>
  <c r="R21" i="16" s="1"/>
  <c r="I22" i="16"/>
  <c r="J22" i="16" s="1"/>
  <c r="R22" i="16" s="1"/>
  <c r="I26" i="16"/>
  <c r="J26" i="16" s="1"/>
  <c r="R26" i="16" s="1"/>
  <c r="I30" i="16"/>
  <c r="J30" i="16" s="1"/>
  <c r="R30" i="16" s="1"/>
  <c r="I34" i="16"/>
  <c r="J34" i="16" s="1"/>
  <c r="R34" i="16" s="1"/>
  <c r="I38" i="16"/>
  <c r="J38" i="16" s="1"/>
  <c r="R38" i="16" s="1"/>
  <c r="I42" i="16"/>
  <c r="J42" i="16" s="1"/>
  <c r="R42" i="16" s="1"/>
  <c r="I46" i="16"/>
  <c r="J46" i="16" s="1"/>
  <c r="R46" i="16" s="1"/>
  <c r="I50" i="16"/>
  <c r="J50" i="16" s="1"/>
  <c r="R50" i="16" s="1"/>
  <c r="I54" i="16"/>
  <c r="J54" i="16" s="1"/>
  <c r="R54" i="16" s="1"/>
  <c r="I58" i="16"/>
  <c r="I62" i="16"/>
  <c r="D70" i="18"/>
  <c r="K12" i="18"/>
  <c r="K19" i="18"/>
  <c r="K23" i="18"/>
  <c r="G45" i="18"/>
  <c r="G61" i="18"/>
  <c r="G63" i="18"/>
  <c r="K67" i="18"/>
  <c r="G28" i="20"/>
  <c r="J28" i="20" s="1"/>
  <c r="G44" i="20"/>
  <c r="G64" i="20"/>
  <c r="F53" i="16"/>
  <c r="G53" i="16" s="1"/>
  <c r="J53" i="16" s="1"/>
  <c r="R53" i="16" s="1"/>
  <c r="F57" i="16"/>
  <c r="G57" i="16" s="1"/>
  <c r="J57" i="16" s="1"/>
  <c r="R57" i="16" s="1"/>
  <c r="F61" i="16"/>
  <c r="G61" i="16" s="1"/>
  <c r="J61" i="16" s="1"/>
  <c r="R61" i="16" s="1"/>
  <c r="F65" i="16"/>
  <c r="G65" i="16" s="1"/>
  <c r="J65" i="16" s="1"/>
  <c r="E70" i="18"/>
  <c r="K41" i="18"/>
  <c r="G49" i="18"/>
  <c r="G57" i="18"/>
  <c r="G59" i="18"/>
  <c r="K65" i="18"/>
  <c r="G10" i="20"/>
  <c r="G19" i="20"/>
  <c r="I42" i="22"/>
  <c r="I37" i="20"/>
  <c r="I44" i="20"/>
  <c r="G47" i="20"/>
  <c r="I61" i="20"/>
  <c r="I68" i="20"/>
  <c r="I5" i="20"/>
  <c r="F8" i="20"/>
  <c r="G8" i="20" s="1"/>
  <c r="I9" i="20"/>
  <c r="F13" i="20"/>
  <c r="G13" i="20" s="1"/>
  <c r="I14" i="20"/>
  <c r="I18" i="20"/>
  <c r="I23" i="20"/>
  <c r="F26" i="20"/>
  <c r="G26" i="20" s="1"/>
  <c r="I30" i="20"/>
  <c r="I47" i="20"/>
  <c r="F50" i="20"/>
  <c r="G50" i="20" s="1"/>
  <c r="I54" i="20"/>
  <c r="E70" i="22"/>
  <c r="F12" i="18"/>
  <c r="G12" i="18" s="1"/>
  <c r="D70" i="20"/>
  <c r="F12" i="20"/>
  <c r="G12" i="20" s="1"/>
  <c r="J12" i="20" s="1"/>
  <c r="I17" i="20"/>
  <c r="I22" i="20"/>
  <c r="F25" i="20"/>
  <c r="G25" i="20" s="1"/>
  <c r="I29" i="20"/>
  <c r="F32" i="20"/>
  <c r="G32" i="20" s="1"/>
  <c r="I36" i="20"/>
  <c r="F39" i="20"/>
  <c r="G39" i="20" s="1"/>
  <c r="F49" i="20"/>
  <c r="G49" i="20" s="1"/>
  <c r="J49" i="20" s="1"/>
  <c r="I53" i="20"/>
  <c r="F56" i="20"/>
  <c r="G56" i="20" s="1"/>
  <c r="I60" i="20"/>
  <c r="F63" i="20"/>
  <c r="G63" i="20" s="1"/>
  <c r="J63" i="20" s="1"/>
  <c r="F36" i="22"/>
  <c r="G36" i="22" s="1"/>
  <c r="F21" i="22"/>
  <c r="G21" i="22" s="1"/>
  <c r="F16" i="22"/>
  <c r="G16" i="22" s="1"/>
  <c r="F57" i="22"/>
  <c r="G57" i="22" s="1"/>
  <c r="F50" i="22"/>
  <c r="G50" i="22" s="1"/>
  <c r="F43" i="22"/>
  <c r="G43" i="22" s="1"/>
  <c r="F33" i="22"/>
  <c r="G33" i="22" s="1"/>
  <c r="F69" i="22"/>
  <c r="G69" i="22" s="1"/>
  <c r="F66" i="22"/>
  <c r="G66" i="22" s="1"/>
  <c r="F60" i="22"/>
  <c r="G60" i="22" s="1"/>
  <c r="F40" i="22"/>
  <c r="G40" i="22" s="1"/>
  <c r="F26" i="22"/>
  <c r="G26" i="22" s="1"/>
  <c r="F22" i="22"/>
  <c r="G22" i="22" s="1"/>
  <c r="F7" i="22"/>
  <c r="G7" i="22" s="1"/>
  <c r="G70" i="22" s="1"/>
  <c r="F63" i="22"/>
  <c r="G63" i="22" s="1"/>
  <c r="F54" i="22"/>
  <c r="G54" i="22" s="1"/>
  <c r="F47" i="22"/>
  <c r="G47" i="22" s="1"/>
  <c r="F37" i="22"/>
  <c r="G37" i="22" s="1"/>
  <c r="F30" i="22"/>
  <c r="G30" i="22" s="1"/>
  <c r="F17" i="22"/>
  <c r="G17" i="22" s="1"/>
  <c r="F44" i="22"/>
  <c r="G44" i="22" s="1"/>
  <c r="F13" i="22"/>
  <c r="G13" i="22" s="1"/>
  <c r="F8" i="22"/>
  <c r="G8" i="22" s="1"/>
  <c r="F61" i="22"/>
  <c r="G61" i="22" s="1"/>
  <c r="F51" i="22"/>
  <c r="G51" i="22" s="1"/>
  <c r="F41" i="22"/>
  <c r="G41" i="22" s="1"/>
  <c r="F34" i="22"/>
  <c r="G34" i="22" s="1"/>
  <c r="F27" i="22"/>
  <c r="G27" i="22" s="1"/>
  <c r="F23" i="22"/>
  <c r="G23" i="22" s="1"/>
  <c r="F64" i="22"/>
  <c r="G64" i="22" s="1"/>
  <c r="F58" i="22"/>
  <c r="G58" i="22" s="1"/>
  <c r="F48" i="22"/>
  <c r="G48" i="22" s="1"/>
  <c r="F18" i="22"/>
  <c r="G18" i="22" s="1"/>
  <c r="F70" i="22"/>
  <c r="F67" i="22"/>
  <c r="G67" i="22" s="1"/>
  <c r="F55" i="22"/>
  <c r="G55" i="22" s="1"/>
  <c r="F52" i="22"/>
  <c r="G52" i="22" s="1"/>
  <c r="F28" i="22"/>
  <c r="G28" i="22" s="1"/>
  <c r="F24" i="22"/>
  <c r="G24" i="22" s="1"/>
  <c r="F19" i="22"/>
  <c r="G19" i="22" s="1"/>
  <c r="F10" i="22"/>
  <c r="G10" i="22" s="1"/>
  <c r="I68" i="24"/>
  <c r="I64" i="24"/>
  <c r="I60" i="24"/>
  <c r="I56" i="24"/>
  <c r="I52" i="24"/>
  <c r="I48" i="24"/>
  <c r="I44" i="24"/>
  <c r="I40" i="24"/>
  <c r="I36" i="24"/>
  <c r="I32" i="24"/>
  <c r="I28" i="24"/>
  <c r="I24" i="24"/>
  <c r="I20" i="24"/>
  <c r="I16" i="24"/>
  <c r="T8" i="24"/>
  <c r="I12" i="24"/>
  <c r="I69" i="24"/>
  <c r="I65" i="24"/>
  <c r="I61" i="24"/>
  <c r="I57" i="24"/>
  <c r="I53" i="24"/>
  <c r="I49" i="24"/>
  <c r="I45" i="24"/>
  <c r="I41" i="24"/>
  <c r="I37" i="24"/>
  <c r="I33" i="24"/>
  <c r="I29" i="24"/>
  <c r="I25" i="24"/>
  <c r="I21" i="24"/>
  <c r="I17" i="24"/>
  <c r="I13" i="24"/>
  <c r="I8" i="24"/>
  <c r="I66" i="24"/>
  <c r="I62" i="24"/>
  <c r="I58" i="24"/>
  <c r="I54" i="24"/>
  <c r="I50" i="24"/>
  <c r="I46" i="24"/>
  <c r="I42" i="24"/>
  <c r="I38" i="24"/>
  <c r="I34" i="24"/>
  <c r="I30" i="24"/>
  <c r="I26" i="24"/>
  <c r="I22" i="24"/>
  <c r="I18" i="24"/>
  <c r="I14" i="24"/>
  <c r="I9" i="24"/>
  <c r="I5" i="24"/>
  <c r="I59" i="24"/>
  <c r="I47" i="24"/>
  <c r="I7" i="24"/>
  <c r="I27" i="24"/>
  <c r="I4" i="24"/>
  <c r="I3" i="24"/>
  <c r="I31" i="24"/>
  <c r="I63" i="24"/>
  <c r="I51" i="24"/>
  <c r="I10" i="24"/>
  <c r="I35" i="24"/>
  <c r="I39" i="24"/>
  <c r="I6" i="24"/>
  <c r="I67" i="24"/>
  <c r="I55" i="24"/>
  <c r="F69" i="18"/>
  <c r="G69" i="18" s="1"/>
  <c r="I7" i="20"/>
  <c r="F16" i="20"/>
  <c r="G16" i="20" s="1"/>
  <c r="F21" i="20"/>
  <c r="G21" i="20" s="1"/>
  <c r="J21" i="20" s="1"/>
  <c r="I39" i="20"/>
  <c r="F42" i="20"/>
  <c r="G42" i="20" s="1"/>
  <c r="I46" i="20"/>
  <c r="I63" i="20"/>
  <c r="F66" i="20"/>
  <c r="G66" i="20" s="1"/>
  <c r="D70" i="22"/>
  <c r="I12" i="20"/>
  <c r="I25" i="20"/>
  <c r="I32" i="20"/>
  <c r="F35" i="20"/>
  <c r="G35" i="20" s="1"/>
  <c r="F45" i="20"/>
  <c r="G45" i="20" s="1"/>
  <c r="J45" i="20" s="1"/>
  <c r="I49" i="20"/>
  <c r="F52" i="20"/>
  <c r="G52" i="20" s="1"/>
  <c r="I56" i="20"/>
  <c r="F59" i="20"/>
  <c r="G59" i="20" s="1"/>
  <c r="F69" i="20"/>
  <c r="G69" i="20" s="1"/>
  <c r="D70" i="24"/>
  <c r="T8" i="20"/>
  <c r="T9" i="20" s="1"/>
  <c r="I16" i="20"/>
  <c r="F20" i="20"/>
  <c r="G20" i="20" s="1"/>
  <c r="I21" i="20"/>
  <c r="I35" i="20"/>
  <c r="F38" i="20"/>
  <c r="G38" i="20" s="1"/>
  <c r="J38" i="20" s="1"/>
  <c r="I42" i="20"/>
  <c r="I59" i="20"/>
  <c r="F62" i="20"/>
  <c r="G62" i="20" s="1"/>
  <c r="I66" i="20"/>
  <c r="I6" i="20"/>
  <c r="I11" i="20"/>
  <c r="I28" i="20"/>
  <c r="F31" i="20"/>
  <c r="G31" i="20" s="1"/>
  <c r="J31" i="20" s="1"/>
  <c r="F41" i="20"/>
  <c r="G41" i="20" s="1"/>
  <c r="J41" i="20" s="1"/>
  <c r="I45" i="20"/>
  <c r="F48" i="20"/>
  <c r="G48" i="20" s="1"/>
  <c r="J48" i="20" s="1"/>
  <c r="I52" i="20"/>
  <c r="F55" i="20"/>
  <c r="G55" i="20" s="1"/>
  <c r="J55" i="20" s="1"/>
  <c r="F65" i="20"/>
  <c r="G65" i="20" s="1"/>
  <c r="I69" i="20"/>
  <c r="W4" i="26"/>
  <c r="T4" i="4" s="1"/>
  <c r="J15" i="26"/>
  <c r="U8" i="26"/>
  <c r="I20" i="20"/>
  <c r="I31" i="20"/>
  <c r="I38" i="20"/>
  <c r="I55" i="20"/>
  <c r="I62" i="20"/>
  <c r="I3" i="20"/>
  <c r="I15" i="20"/>
  <c r="I24" i="20"/>
  <c r="G27" i="20"/>
  <c r="I41" i="20"/>
  <c r="I48" i="20"/>
  <c r="F51" i="20"/>
  <c r="G51" i="20" s="1"/>
  <c r="J51" i="20" s="1"/>
  <c r="F61" i="20"/>
  <c r="G61" i="20" s="1"/>
  <c r="J61" i="20" s="1"/>
  <c r="I65" i="20"/>
  <c r="F68" i="20"/>
  <c r="G68" i="20" s="1"/>
  <c r="J68" i="20" s="1"/>
  <c r="F39" i="22"/>
  <c r="G39" i="22" s="1"/>
  <c r="F62" i="22"/>
  <c r="G62" i="22" s="1"/>
  <c r="I19" i="24"/>
  <c r="I23" i="24"/>
  <c r="K66" i="25"/>
  <c r="T11" i="22"/>
  <c r="T4" i="22"/>
  <c r="I4" i="20"/>
  <c r="I10" i="20"/>
  <c r="F18" i="20"/>
  <c r="G18" i="20" s="1"/>
  <c r="J18" i="20" s="1"/>
  <c r="I19" i="20"/>
  <c r="F23" i="20"/>
  <c r="G23" i="20" s="1"/>
  <c r="I27" i="20"/>
  <c r="F30" i="20"/>
  <c r="G30" i="20" s="1"/>
  <c r="J30" i="20" s="1"/>
  <c r="I34" i="20"/>
  <c r="I51" i="20"/>
  <c r="E70" i="24"/>
  <c r="K11" i="24"/>
  <c r="K13" i="24"/>
  <c r="K32" i="24"/>
  <c r="K15" i="24"/>
  <c r="K19" i="24"/>
  <c r="K43" i="24"/>
  <c r="K55" i="24"/>
  <c r="K7" i="24"/>
  <c r="K69" i="24"/>
  <c r="K65" i="24"/>
  <c r="K61" i="24"/>
  <c r="K57" i="24"/>
  <c r="K53" i="24"/>
  <c r="K49" i="24"/>
  <c r="K45" i="24"/>
  <c r="K41" i="24"/>
  <c r="K37" i="24"/>
  <c r="K33" i="24"/>
  <c r="K29" i="24"/>
  <c r="K25" i="24"/>
  <c r="K21" i="24"/>
  <c r="K17" i="24"/>
  <c r="K66" i="24"/>
  <c r="K62" i="24"/>
  <c r="K58" i="24"/>
  <c r="K54" i="24"/>
  <c r="K50" i="24"/>
  <c r="K46" i="24"/>
  <c r="K42" i="24"/>
  <c r="K38" i="24"/>
  <c r="K34" i="24"/>
  <c r="K30" i="24"/>
  <c r="K26" i="24"/>
  <c r="K22" i="24"/>
  <c r="K18" i="24"/>
  <c r="K14" i="24"/>
  <c r="K9" i="24"/>
  <c r="K10" i="24"/>
  <c r="K28" i="24"/>
  <c r="K48" i="24"/>
  <c r="K60" i="24"/>
  <c r="K6" i="24"/>
  <c r="K8" i="24"/>
  <c r="K39" i="24"/>
  <c r="K24" i="24"/>
  <c r="W5" i="26"/>
  <c r="K35" i="24"/>
  <c r="K51" i="24"/>
  <c r="K63" i="24"/>
  <c r="Y6" i="26"/>
  <c r="W6" i="26"/>
  <c r="K12" i="24"/>
  <c r="K20" i="24"/>
  <c r="K44" i="24"/>
  <c r="K56" i="24"/>
  <c r="K68" i="24"/>
  <c r="K16" i="24"/>
  <c r="K31" i="24"/>
  <c r="K40" i="24"/>
  <c r="K15" i="26"/>
  <c r="W9" i="26"/>
  <c r="W12" i="26"/>
  <c r="BC67" i="27"/>
  <c r="AO55" i="27"/>
  <c r="AW62" i="27"/>
  <c r="AS60" i="27"/>
  <c r="AW36" i="27"/>
  <c r="AW40" i="27"/>
  <c r="AS55" i="27"/>
  <c r="AW32" i="27"/>
  <c r="AS53" i="27"/>
  <c r="AO36" i="27"/>
  <c r="AO24" i="27"/>
  <c r="AW37" i="27"/>
  <c r="AS11" i="27"/>
  <c r="AO23" i="27"/>
  <c r="AO65" i="27"/>
  <c r="AW57" i="27"/>
  <c r="AO57" i="27"/>
  <c r="AS35" i="27"/>
  <c r="AW31" i="27"/>
  <c r="AS39" i="27"/>
  <c r="AW50" i="27"/>
  <c r="AO29" i="27"/>
  <c r="AS8" i="27"/>
  <c r="AS6" i="27"/>
  <c r="AO8" i="27"/>
  <c r="AS34" i="27"/>
  <c r="AW12" i="27"/>
  <c r="AS24" i="27"/>
  <c r="AW4" i="27"/>
  <c r="AS19" i="27"/>
  <c r="AW8" i="27"/>
  <c r="AS59" i="27"/>
  <c r="AW60" i="27"/>
  <c r="AW65" i="27"/>
  <c r="AO32" i="27"/>
  <c r="AS33" i="27"/>
  <c r="AS38" i="27"/>
  <c r="AS29" i="27"/>
  <c r="AS22" i="27"/>
  <c r="AW47" i="27"/>
  <c r="AW34" i="27"/>
  <c r="AS31" i="27"/>
  <c r="AW33" i="27"/>
  <c r="AO21" i="27"/>
  <c r="AS3" i="27"/>
  <c r="AW49" i="27"/>
  <c r="AS54" i="27"/>
  <c r="AO56" i="27"/>
  <c r="AS65" i="27"/>
  <c r="AS28" i="27"/>
  <c r="AO30" i="27"/>
  <c r="AO35" i="27"/>
  <c r="AS56" i="27"/>
  <c r="AO26" i="27"/>
  <c r="AO19" i="27"/>
  <c r="AW18" i="27"/>
  <c r="AO27" i="27"/>
  <c r="AS9" i="27"/>
  <c r="AW17" i="27"/>
  <c r="AW5" i="27"/>
  <c r="AO16" i="27"/>
  <c r="AW64" i="27"/>
  <c r="AO51" i="27"/>
  <c r="AS57" i="27"/>
  <c r="AS62" i="27"/>
  <c r="AO62" i="27"/>
  <c r="AS51" i="27"/>
  <c r="AO25" i="27"/>
  <c r="AO41" i="27"/>
  <c r="AW25" i="27"/>
  <c r="AO22" i="27"/>
  <c r="AO28" i="27"/>
  <c r="AW30" i="27"/>
  <c r="AW51" i="27"/>
  <c r="AW7" i="27"/>
  <c r="AS4" i="27"/>
  <c r="AW20" i="27"/>
  <c r="AO33" i="27"/>
  <c r="AS5" i="27"/>
  <c r="AS46" i="27"/>
  <c r="AO54" i="27"/>
  <c r="AO59" i="27"/>
  <c r="AO50" i="27"/>
  <c r="AW59" i="27"/>
  <c r="AW58" i="27"/>
  <c r="AW42" i="27"/>
  <c r="AS37" i="27"/>
  <c r="AS15" i="27"/>
  <c r="AW23" i="27"/>
  <c r="AW21" i="27"/>
  <c r="AS25" i="27"/>
  <c r="AW26" i="27"/>
  <c r="AO45" i="27"/>
  <c r="AS14" i="27"/>
  <c r="AW15" i="27"/>
  <c r="AO6" i="27"/>
  <c r="AW46" i="27"/>
  <c r="AO43" i="27"/>
  <c r="AS61" i="27"/>
  <c r="AS64" i="27"/>
  <c r="AS47" i="27"/>
  <c r="AW29" i="27"/>
  <c r="AW53" i="27"/>
  <c r="AO52" i="27"/>
  <c r="AO34" i="27"/>
  <c r="AW13" i="27"/>
  <c r="AO12" i="27"/>
  <c r="AS23" i="27"/>
  <c r="AO11" i="27"/>
  <c r="AO5" i="27"/>
  <c r="AW27" i="27"/>
  <c r="AO7" i="27"/>
  <c r="AO58" i="27"/>
  <c r="AW45" i="27"/>
  <c r="AO61" i="27"/>
  <c r="AO64" i="27"/>
  <c r="AW52" i="27"/>
  <c r="AS52" i="27"/>
  <c r="AO48" i="27"/>
  <c r="AS20" i="27"/>
  <c r="AW16" i="27"/>
  <c r="AS18" i="27"/>
  <c r="AO20" i="27"/>
  <c r="AW24" i="27"/>
  <c r="AW43" i="27"/>
  <c r="AS12" i="27"/>
  <c r="AO3" i="27"/>
  <c r="AO4" i="27"/>
  <c r="AW35" i="27"/>
  <c r="AW66" i="27"/>
  <c r="AW48" i="27"/>
  <c r="AS43" i="27"/>
  <c r="AO46" i="27"/>
  <c r="AS26" i="27"/>
  <c r="AS48" i="27"/>
  <c r="AO44" i="27"/>
  <c r="AO53" i="27"/>
  <c r="AS10" i="27"/>
  <c r="AO17" i="27"/>
  <c r="AO15" i="27"/>
  <c r="AW19" i="27"/>
  <c r="AS32" i="27"/>
  <c r="AO9" i="27"/>
  <c r="AS7" i="27"/>
  <c r="AS63" i="27"/>
  <c r="AO63" i="27"/>
  <c r="AO39" i="27"/>
  <c r="AW55" i="27"/>
  <c r="AS45" i="27"/>
  <c r="AW63" i="27"/>
  <c r="AW39" i="27"/>
  <c r="AO37" i="27"/>
  <c r="AW44" i="27"/>
  <c r="AW41" i="27"/>
  <c r="AO40" i="27"/>
  <c r="AS50" i="27"/>
  <c r="AS49" i="27"/>
  <c r="AO10" i="27"/>
  <c r="AW14" i="27"/>
  <c r="AS16" i="27"/>
  <c r="AO18" i="27"/>
  <c r="AW10" i="27"/>
  <c r="AS27" i="27"/>
  <c r="AW22" i="27"/>
  <c r="AS58" i="27"/>
  <c r="AS40" i="27"/>
  <c r="AS41" i="27"/>
  <c r="AW3" i="27"/>
  <c r="AH38" i="27"/>
  <c r="V18" i="27"/>
  <c r="AH66" i="27"/>
  <c r="AH27" i="27"/>
  <c r="V11" i="27"/>
  <c r="V65" i="27"/>
  <c r="AL24" i="27"/>
  <c r="AO38" i="27"/>
  <c r="AO31" i="27"/>
  <c r="AS17" i="27"/>
  <c r="V30" i="27"/>
  <c r="V22" i="27"/>
  <c r="AH12" i="27"/>
  <c r="AH50" i="27"/>
  <c r="V12" i="27"/>
  <c r="AO60" i="27"/>
  <c r="AW11" i="27"/>
  <c r="V44" i="27"/>
  <c r="AH32" i="27"/>
  <c r="AH18" i="27"/>
  <c r="AH52" i="27"/>
  <c r="AS66" i="27"/>
  <c r="AW38" i="27"/>
  <c r="AS13" i="27"/>
  <c r="AS36" i="27"/>
  <c r="V5" i="27"/>
  <c r="V40" i="27"/>
  <c r="V35" i="27"/>
  <c r="V16" i="27"/>
  <c r="AH46" i="27"/>
  <c r="AH29" i="27"/>
  <c r="AL59" i="27"/>
  <c r="AL64" i="27"/>
  <c r="AH58" i="27"/>
  <c r="AW54" i="27"/>
  <c r="AS42" i="27"/>
  <c r="V28" i="27"/>
  <c r="V62" i="27"/>
  <c r="V48" i="27"/>
  <c r="AH7" i="27"/>
  <c r="AH63" i="27"/>
  <c r="V38" i="27"/>
  <c r="AW9" i="27"/>
  <c r="V39" i="27"/>
  <c r="V9" i="27"/>
  <c r="V59" i="27"/>
  <c r="AO49" i="27"/>
  <c r="V66" i="27"/>
  <c r="V25" i="27"/>
  <c r="V63" i="27"/>
  <c r="AL38" i="27"/>
  <c r="AO47" i="27"/>
  <c r="AW28" i="27"/>
  <c r="AH4" i="27"/>
  <c r="V50" i="27"/>
  <c r="AH9" i="27"/>
  <c r="V64" i="27"/>
  <c r="V54" i="27"/>
  <c r="AO66" i="27"/>
  <c r="AH26" i="27"/>
  <c r="V20" i="27"/>
  <c r="AL63" i="27"/>
  <c r="V47" i="27"/>
  <c r="AO42" i="27"/>
  <c r="AW56" i="27"/>
  <c r="AO13" i="27"/>
  <c r="AO14" i="27"/>
  <c r="V7" i="27"/>
  <c r="V10" i="27"/>
  <c r="AH54" i="27"/>
  <c r="AW61" i="27"/>
  <c r="AS44" i="27"/>
  <c r="AW6" i="27"/>
  <c r="AS21" i="27"/>
  <c r="AS30" i="27"/>
  <c r="AH6" i="27"/>
  <c r="AH16" i="27"/>
  <c r="AH61" i="27"/>
  <c r="AH35" i="27"/>
  <c r="AH51" i="27"/>
  <c r="AH57" i="27"/>
  <c r="AH65" i="27"/>
  <c r="AH31" i="27"/>
  <c r="AH39" i="27"/>
  <c r="V13" i="27"/>
  <c r="V42" i="27"/>
  <c r="V60" i="27"/>
  <c r="AH21" i="27"/>
  <c r="AH33" i="27"/>
  <c r="AH23" i="27"/>
  <c r="AL50" i="27"/>
  <c r="AH25" i="27"/>
  <c r="V32" i="27"/>
  <c r="V34" i="27"/>
  <c r="AH43" i="27"/>
  <c r="AH47" i="27"/>
  <c r="AH10" i="27"/>
  <c r="AH37" i="27"/>
  <c r="AH49" i="27"/>
  <c r="AH41" i="27"/>
  <c r="AH5" i="27"/>
  <c r="V36" i="27"/>
  <c r="AH45" i="27"/>
  <c r="AH14" i="27"/>
  <c r="V58" i="27"/>
  <c r="AH53" i="27"/>
  <c r="AH64" i="27"/>
  <c r="AH19" i="27"/>
  <c r="AJ19" i="27" l="1"/>
  <c r="AJ64" i="27"/>
  <c r="AJ53" i="27"/>
  <c r="X58" i="27"/>
  <c r="AJ14" i="27"/>
  <c r="AJ45" i="27"/>
  <c r="X36" i="27"/>
  <c r="AJ5" i="27"/>
  <c r="AJ41" i="27"/>
  <c r="AJ49" i="27"/>
  <c r="AJ37" i="27"/>
  <c r="AJ10" i="27"/>
  <c r="AJ47" i="27"/>
  <c r="AJ43" i="27"/>
  <c r="X34" i="27"/>
  <c r="X32" i="27"/>
  <c r="AJ25" i="27"/>
  <c r="AN50" i="27"/>
  <c r="AJ23" i="27"/>
  <c r="AJ33" i="27"/>
  <c r="AJ21" i="27"/>
  <c r="X60" i="27"/>
  <c r="X42" i="27"/>
  <c r="X13" i="27"/>
  <c r="AJ39" i="27"/>
  <c r="AJ31" i="27"/>
  <c r="AJ65" i="27"/>
  <c r="AJ57" i="27"/>
  <c r="AJ51" i="27"/>
  <c r="AJ35" i="27"/>
  <c r="AJ61" i="27"/>
  <c r="AJ16" i="27"/>
  <c r="AJ6" i="27"/>
  <c r="AJ54" i="27"/>
  <c r="X10" i="27"/>
  <c r="X7" i="27"/>
  <c r="BA14" i="27"/>
  <c r="BA13" i="27"/>
  <c r="BA42" i="27"/>
  <c r="X47" i="27"/>
  <c r="AN63" i="27"/>
  <c r="X20" i="27"/>
  <c r="AJ26" i="27"/>
  <c r="BA66" i="27"/>
  <c r="X54" i="27"/>
  <c r="X64" i="27"/>
  <c r="AJ9" i="27"/>
  <c r="X50" i="27"/>
  <c r="AJ4" i="27"/>
  <c r="BA47" i="27"/>
  <c r="AN38" i="27"/>
  <c r="X63" i="27"/>
  <c r="X25" i="27"/>
  <c r="X66" i="27"/>
  <c r="BA49" i="27"/>
  <c r="X59" i="27"/>
  <c r="X9" i="27"/>
  <c r="X39" i="27"/>
  <c r="X38" i="27"/>
  <c r="AJ63" i="27"/>
  <c r="AJ7" i="27"/>
  <c r="X48" i="27"/>
  <c r="X62" i="27"/>
  <c r="X28" i="27"/>
  <c r="AJ58" i="27"/>
  <c r="AN64" i="27"/>
  <c r="AN59" i="27"/>
  <c r="AJ29" i="27"/>
  <c r="AJ46" i="27"/>
  <c r="X16" i="27"/>
  <c r="X35" i="27"/>
  <c r="X40" i="27"/>
  <c r="X5" i="27"/>
  <c r="AJ52" i="27"/>
  <c r="AJ18" i="27"/>
  <c r="AJ32" i="27"/>
  <c r="X44" i="27"/>
  <c r="BA60" i="27"/>
  <c r="X12" i="27"/>
  <c r="AJ50" i="27"/>
  <c r="AJ12" i="27"/>
  <c r="X22" i="27"/>
  <c r="X30" i="27"/>
  <c r="BA31" i="27"/>
  <c r="BA38" i="27"/>
  <c r="AN24" i="27"/>
  <c r="X65" i="27"/>
  <c r="X11" i="27"/>
  <c r="AJ27" i="27"/>
  <c r="AJ66" i="27"/>
  <c r="X18" i="27"/>
  <c r="AJ38" i="27"/>
  <c r="AW67" i="27"/>
  <c r="BA18" i="27"/>
  <c r="BA10" i="27"/>
  <c r="BA40" i="27"/>
  <c r="BA37" i="27"/>
  <c r="BA39" i="27"/>
  <c r="BA63" i="27"/>
  <c r="BA9" i="27"/>
  <c r="BA15" i="27"/>
  <c r="BA17" i="27"/>
  <c r="BA53" i="27"/>
  <c r="BA44" i="27"/>
  <c r="BA46" i="27"/>
  <c r="BA4" i="27"/>
  <c r="AO67" i="27"/>
  <c r="BA3" i="27"/>
  <c r="BA20" i="27"/>
  <c r="BA48" i="27"/>
  <c r="BA64" i="27"/>
  <c r="BA61" i="27"/>
  <c r="BA58" i="27"/>
  <c r="BA7" i="27"/>
  <c r="BA5" i="27"/>
  <c r="BA11" i="27"/>
  <c r="BA12" i="27"/>
  <c r="BA34" i="27"/>
  <c r="BA52" i="27"/>
  <c r="BA43" i="27"/>
  <c r="BA6" i="27"/>
  <c r="BA45" i="27"/>
  <c r="BA50" i="27"/>
  <c r="BA59" i="27"/>
  <c r="BA54" i="27"/>
  <c r="BA33" i="27"/>
  <c r="BA28" i="27"/>
  <c r="BA22" i="27"/>
  <c r="BA41" i="27"/>
  <c r="BA25" i="27"/>
  <c r="BA62" i="27"/>
  <c r="BA51" i="27"/>
  <c r="BA16" i="27"/>
  <c r="BA27" i="27"/>
  <c r="BA19" i="27"/>
  <c r="BA26" i="27"/>
  <c r="BA35" i="27"/>
  <c r="BA30" i="27"/>
  <c r="BA56" i="27"/>
  <c r="AS67" i="27"/>
  <c r="BA21" i="27"/>
  <c r="BA32" i="27"/>
  <c r="BA8" i="27"/>
  <c r="BA29" i="27"/>
  <c r="BA57" i="27"/>
  <c r="BA65" i="27"/>
  <c r="BA23" i="27"/>
  <c r="BA24" i="27"/>
  <c r="BA36" i="27"/>
  <c r="BA55" i="27"/>
  <c r="J66" i="24"/>
  <c r="R66" i="24" s="1"/>
  <c r="J6" i="20"/>
  <c r="G70" i="20"/>
  <c r="I70" i="12"/>
  <c r="T4" i="8"/>
  <c r="T11" i="8"/>
  <c r="J35" i="20"/>
  <c r="J16" i="20"/>
  <c r="I70" i="24"/>
  <c r="J7" i="18"/>
  <c r="R7" i="18" s="1"/>
  <c r="J30" i="24"/>
  <c r="R30" i="24" s="1"/>
  <c r="J59" i="24"/>
  <c r="R59" i="24" s="1"/>
  <c r="J48" i="24"/>
  <c r="R48" i="24" s="1"/>
  <c r="J40" i="20"/>
  <c r="J46" i="18"/>
  <c r="R46" i="18" s="1"/>
  <c r="J37" i="18"/>
  <c r="R37" i="18" s="1"/>
  <c r="J54" i="18"/>
  <c r="R54" i="18" s="1"/>
  <c r="J58" i="14"/>
  <c r="J32" i="14"/>
  <c r="J26" i="18"/>
  <c r="R26" i="18" s="1"/>
  <c r="J40" i="12"/>
  <c r="J54" i="12"/>
  <c r="R46" i="10"/>
  <c r="J24" i="10"/>
  <c r="R24" i="10" s="1"/>
  <c r="S59" i="2"/>
  <c r="J58" i="4"/>
  <c r="J14" i="8"/>
  <c r="S54" i="2"/>
  <c r="J63" i="24"/>
  <c r="R63" i="24" s="1"/>
  <c r="T11" i="20"/>
  <c r="T4" i="20"/>
  <c r="K70" i="10"/>
  <c r="T4" i="14"/>
  <c r="T11" i="14"/>
  <c r="Y8" i="26"/>
  <c r="T20" i="12" s="1"/>
  <c r="W8" i="26"/>
  <c r="J20" i="20"/>
  <c r="J69" i="18"/>
  <c r="R69" i="18" s="1"/>
  <c r="J13" i="20"/>
  <c r="J19" i="20"/>
  <c r="J57" i="24"/>
  <c r="R57" i="24" s="1"/>
  <c r="J14" i="24"/>
  <c r="R14" i="24" s="1"/>
  <c r="J13" i="24"/>
  <c r="R13" i="24" s="1"/>
  <c r="I70" i="22"/>
  <c r="R43" i="16"/>
  <c r="R20" i="16"/>
  <c r="R55" i="10"/>
  <c r="J24" i="12"/>
  <c r="J47" i="18"/>
  <c r="R47" i="18" s="1"/>
  <c r="J58" i="18"/>
  <c r="R58" i="18" s="1"/>
  <c r="J34" i="18"/>
  <c r="R34" i="18" s="1"/>
  <c r="J32" i="10"/>
  <c r="R32" i="10" s="1"/>
  <c r="J31" i="18"/>
  <c r="R31" i="18" s="1"/>
  <c r="S27" i="2"/>
  <c r="U15" i="26"/>
  <c r="T13" i="24"/>
  <c r="T9" i="24"/>
  <c r="J17" i="24" s="1"/>
  <c r="R17" i="24" s="1"/>
  <c r="J56" i="20"/>
  <c r="J12" i="18"/>
  <c r="R12" i="18" s="1"/>
  <c r="J10" i="20"/>
  <c r="J64" i="20"/>
  <c r="J26" i="24"/>
  <c r="R26" i="24" s="1"/>
  <c r="J18" i="24"/>
  <c r="R18" i="24" s="1"/>
  <c r="J7" i="24"/>
  <c r="R7" i="24" s="1"/>
  <c r="J60" i="24"/>
  <c r="R60" i="24" s="1"/>
  <c r="J33" i="20"/>
  <c r="R39" i="16"/>
  <c r="J68" i="14"/>
  <c r="J10" i="18"/>
  <c r="R10" i="18" s="1"/>
  <c r="R27" i="16"/>
  <c r="R18" i="16"/>
  <c r="J56" i="18"/>
  <c r="R56" i="18" s="1"/>
  <c r="J17" i="18"/>
  <c r="R17" i="18" s="1"/>
  <c r="J52" i="18"/>
  <c r="R52" i="18" s="1"/>
  <c r="J6" i="18"/>
  <c r="J36" i="10"/>
  <c r="R36" i="10" s="1"/>
  <c r="J53" i="20"/>
  <c r="J25" i="18"/>
  <c r="R25" i="18" s="1"/>
  <c r="R35" i="4"/>
  <c r="J42" i="8"/>
  <c r="J21" i="18"/>
  <c r="R21" i="18" s="1"/>
  <c r="J45" i="4"/>
  <c r="K66" i="22"/>
  <c r="K62" i="22"/>
  <c r="K58" i="22"/>
  <c r="K54" i="22"/>
  <c r="K50" i="22"/>
  <c r="K46" i="22"/>
  <c r="K42" i="22"/>
  <c r="K38" i="22"/>
  <c r="K34" i="22"/>
  <c r="K30" i="22"/>
  <c r="K67" i="22"/>
  <c r="K69" i="22"/>
  <c r="K44" i="22"/>
  <c r="K37" i="22"/>
  <c r="K13" i="22"/>
  <c r="K8" i="22"/>
  <c r="K51" i="22"/>
  <c r="K64" i="22"/>
  <c r="K48" i="22"/>
  <c r="K41" i="22"/>
  <c r="K18" i="22"/>
  <c r="K14" i="22"/>
  <c r="K9" i="22"/>
  <c r="K61" i="22"/>
  <c r="K55" i="22"/>
  <c r="K31" i="22"/>
  <c r="K52" i="22"/>
  <c r="K45" i="22"/>
  <c r="K28" i="22"/>
  <c r="K24" i="22"/>
  <c r="K19" i="22"/>
  <c r="K10" i="22"/>
  <c r="K35" i="22"/>
  <c r="K15" i="22"/>
  <c r="K56" i="22"/>
  <c r="K49" i="22"/>
  <c r="K32" i="22"/>
  <c r="K20" i="22"/>
  <c r="K68" i="22"/>
  <c r="K65" i="22"/>
  <c r="K59" i="22"/>
  <c r="K53" i="22"/>
  <c r="K36" i="22"/>
  <c r="K29" i="22"/>
  <c r="K21" i="22"/>
  <c r="K16" i="22"/>
  <c r="K17" i="22"/>
  <c r="K33" i="22"/>
  <c r="K23" i="22"/>
  <c r="K43" i="22"/>
  <c r="K25" i="22"/>
  <c r="K12" i="22"/>
  <c r="K40" i="22"/>
  <c r="K6" i="22"/>
  <c r="K27" i="22"/>
  <c r="K22" i="22"/>
  <c r="K57" i="22"/>
  <c r="K39" i="22"/>
  <c r="K26" i="22"/>
  <c r="K7" i="22"/>
  <c r="K47" i="22"/>
  <c r="K11" i="22"/>
  <c r="K60" i="22"/>
  <c r="K63" i="22"/>
  <c r="J27" i="20"/>
  <c r="K66" i="4"/>
  <c r="R66" i="4" s="1"/>
  <c r="K62" i="4"/>
  <c r="K58" i="4"/>
  <c r="K54" i="4"/>
  <c r="K50" i="4"/>
  <c r="K46" i="4"/>
  <c r="K42" i="4"/>
  <c r="K38" i="4"/>
  <c r="K34" i="4"/>
  <c r="K30" i="4"/>
  <c r="K26" i="4"/>
  <c r="K22" i="4"/>
  <c r="K18" i="4"/>
  <c r="K14" i="4"/>
  <c r="K10" i="4"/>
  <c r="K8" i="4"/>
  <c r="K52" i="4"/>
  <c r="K31" i="4"/>
  <c r="R31" i="4" s="1"/>
  <c r="K29" i="4"/>
  <c r="K15" i="4"/>
  <c r="K16" i="4"/>
  <c r="K48" i="4"/>
  <c r="K27" i="4"/>
  <c r="R27" i="4" s="1"/>
  <c r="K25" i="4"/>
  <c r="R25" i="4" s="1"/>
  <c r="K47" i="4"/>
  <c r="K41" i="4"/>
  <c r="K44" i="4"/>
  <c r="K23" i="4"/>
  <c r="K21" i="4"/>
  <c r="K13" i="4"/>
  <c r="K20" i="4"/>
  <c r="K40" i="4"/>
  <c r="K19" i="4"/>
  <c r="K17" i="4"/>
  <c r="K6" i="4"/>
  <c r="K7" i="4"/>
  <c r="R7" i="4" s="1"/>
  <c r="K63" i="4"/>
  <c r="K61" i="4"/>
  <c r="K36" i="4"/>
  <c r="K67" i="4"/>
  <c r="K65" i="4"/>
  <c r="K59" i="4"/>
  <c r="K57" i="4"/>
  <c r="K32" i="4"/>
  <c r="K11" i="4"/>
  <c r="K69" i="4"/>
  <c r="K55" i="4"/>
  <c r="K53" i="4"/>
  <c r="K28" i="4"/>
  <c r="K9" i="4"/>
  <c r="K43" i="4"/>
  <c r="K51" i="4"/>
  <c r="K49" i="4"/>
  <c r="K24" i="4"/>
  <c r="K45" i="4"/>
  <c r="K64" i="4"/>
  <c r="R64" i="4" s="1"/>
  <c r="K60" i="4"/>
  <c r="K39" i="4"/>
  <c r="K37" i="4"/>
  <c r="K12" i="4"/>
  <c r="K68" i="4"/>
  <c r="K56" i="4"/>
  <c r="K35" i="4"/>
  <c r="K33" i="4"/>
  <c r="J8" i="20"/>
  <c r="J44" i="20"/>
  <c r="I70" i="14"/>
  <c r="J43" i="24"/>
  <c r="R43" i="24" s="1"/>
  <c r="J41" i="24"/>
  <c r="R41" i="24" s="1"/>
  <c r="J33" i="24"/>
  <c r="R33" i="24" s="1"/>
  <c r="J25" i="24"/>
  <c r="R25" i="24" s="1"/>
  <c r="J12" i="24"/>
  <c r="R12" i="24" s="1"/>
  <c r="J64" i="24"/>
  <c r="R64" i="24" s="1"/>
  <c r="K70" i="18"/>
  <c r="R23" i="16"/>
  <c r="I70" i="18"/>
  <c r="T13" i="18" s="1"/>
  <c r="J62" i="14"/>
  <c r="J43" i="18"/>
  <c r="R43" i="18" s="1"/>
  <c r="J48" i="18"/>
  <c r="R48" i="18" s="1"/>
  <c r="J60" i="20"/>
  <c r="J30" i="12"/>
  <c r="R51" i="16"/>
  <c r="G70" i="18"/>
  <c r="J40" i="10"/>
  <c r="R40" i="10" s="1"/>
  <c r="J22" i="20"/>
  <c r="R62" i="4"/>
  <c r="R29" i="4"/>
  <c r="S19" i="2"/>
  <c r="J49" i="8"/>
  <c r="K70" i="2"/>
  <c r="J49" i="4"/>
  <c r="R49" i="4" s="1"/>
  <c r="J8" i="24"/>
  <c r="R8" i="24" s="1"/>
  <c r="J59" i="18"/>
  <c r="R59" i="18" s="1"/>
  <c r="J34" i="20"/>
  <c r="J39" i="24"/>
  <c r="R39" i="24" s="1"/>
  <c r="J35" i="24"/>
  <c r="R35" i="24" s="1"/>
  <c r="J42" i="24"/>
  <c r="R42" i="24" s="1"/>
  <c r="J34" i="24"/>
  <c r="R34" i="24" s="1"/>
  <c r="J20" i="24"/>
  <c r="R20" i="24" s="1"/>
  <c r="J68" i="24"/>
  <c r="R68" i="24" s="1"/>
  <c r="J20" i="18"/>
  <c r="R20" i="18" s="1"/>
  <c r="J29" i="18"/>
  <c r="R29" i="18" s="1"/>
  <c r="J9" i="18"/>
  <c r="R9" i="18" s="1"/>
  <c r="J60" i="18"/>
  <c r="R60" i="18" s="1"/>
  <c r="J6" i="12"/>
  <c r="G70" i="12"/>
  <c r="J44" i="10"/>
  <c r="R44" i="10" s="1"/>
  <c r="J9" i="20"/>
  <c r="R43" i="4"/>
  <c r="R60" i="4"/>
  <c r="R10" i="4"/>
  <c r="R24" i="4"/>
  <c r="J19" i="24"/>
  <c r="R19" i="24" s="1"/>
  <c r="J69" i="20"/>
  <c r="J66" i="20"/>
  <c r="J23" i="22"/>
  <c r="R23" i="22" s="1"/>
  <c r="J50" i="22"/>
  <c r="J39" i="20"/>
  <c r="J57" i="18"/>
  <c r="R57" i="18" s="1"/>
  <c r="J65" i="18"/>
  <c r="R65" i="18" s="1"/>
  <c r="J69" i="24"/>
  <c r="R69" i="24" s="1"/>
  <c r="J10" i="24"/>
  <c r="R10" i="24" s="1"/>
  <c r="J16" i="24"/>
  <c r="R16" i="24" s="1"/>
  <c r="J46" i="24"/>
  <c r="R46" i="24" s="1"/>
  <c r="J24" i="24"/>
  <c r="R24" i="24" s="1"/>
  <c r="G70" i="24"/>
  <c r="J6" i="24"/>
  <c r="J62" i="16"/>
  <c r="R62" i="16" s="1"/>
  <c r="J16" i="18"/>
  <c r="R16" i="18" s="1"/>
  <c r="J38" i="14"/>
  <c r="J68" i="18"/>
  <c r="R68" i="18" s="1"/>
  <c r="J24" i="18"/>
  <c r="R24" i="18" s="1"/>
  <c r="J23" i="18"/>
  <c r="R23" i="18" s="1"/>
  <c r="R49" i="10"/>
  <c r="R29" i="10"/>
  <c r="R11" i="16"/>
  <c r="R6" i="16"/>
  <c r="J48" i="10"/>
  <c r="R48" i="10" s="1"/>
  <c r="J14" i="20"/>
  <c r="R37" i="4"/>
  <c r="J66" i="8"/>
  <c r="J34" i="4"/>
  <c r="R34" i="4" s="1"/>
  <c r="T9" i="22"/>
  <c r="J55" i="22" s="1"/>
  <c r="R55" i="22" s="1"/>
  <c r="T13" i="22"/>
  <c r="T11" i="6"/>
  <c r="T4" i="6"/>
  <c r="J43" i="22"/>
  <c r="R43" i="22" s="1"/>
  <c r="I70" i="20"/>
  <c r="T13" i="20" s="1"/>
  <c r="J59" i="20"/>
  <c r="J54" i="22"/>
  <c r="R54" i="22" s="1"/>
  <c r="J57" i="22"/>
  <c r="R57" i="22" s="1"/>
  <c r="J50" i="20"/>
  <c r="J49" i="18"/>
  <c r="R49" i="18" s="1"/>
  <c r="J63" i="18"/>
  <c r="R63" i="18" s="1"/>
  <c r="J21" i="24"/>
  <c r="R21" i="24" s="1"/>
  <c r="J22" i="24"/>
  <c r="R22" i="24" s="1"/>
  <c r="J27" i="24"/>
  <c r="R27" i="24" s="1"/>
  <c r="J50" i="24"/>
  <c r="R50" i="24" s="1"/>
  <c r="J28" i="24"/>
  <c r="R28" i="24" s="1"/>
  <c r="J11" i="24"/>
  <c r="R11" i="24" s="1"/>
  <c r="J58" i="16"/>
  <c r="R58" i="16" s="1"/>
  <c r="J44" i="14"/>
  <c r="J58" i="20"/>
  <c r="J19" i="18"/>
  <c r="R19" i="18" s="1"/>
  <c r="R59" i="16"/>
  <c r="J13" i="18"/>
  <c r="R13" i="18" s="1"/>
  <c r="J47" i="12"/>
  <c r="J25" i="12"/>
  <c r="J61" i="12"/>
  <c r="J39" i="12"/>
  <c r="G70" i="16"/>
  <c r="J52" i="10"/>
  <c r="R52" i="10" s="1"/>
  <c r="J15" i="20"/>
  <c r="R18" i="4"/>
  <c r="R39" i="4"/>
  <c r="R19" i="4"/>
  <c r="J28" i="4"/>
  <c r="R28" i="4" s="1"/>
  <c r="J11" i="4"/>
  <c r="J31" i="24"/>
  <c r="R31" i="24" s="1"/>
  <c r="J30" i="18"/>
  <c r="R30" i="18" s="1"/>
  <c r="J64" i="18"/>
  <c r="R64" i="18" s="1"/>
  <c r="R56" i="4"/>
  <c r="J65" i="20"/>
  <c r="J62" i="20"/>
  <c r="J24" i="22"/>
  <c r="R24" i="22" s="1"/>
  <c r="J63" i="22"/>
  <c r="R63" i="22" s="1"/>
  <c r="J32" i="20"/>
  <c r="J61" i="18"/>
  <c r="R61" i="18" s="1"/>
  <c r="J55" i="24"/>
  <c r="R55" i="24" s="1"/>
  <c r="J37" i="24"/>
  <c r="R37" i="24" s="1"/>
  <c r="J29" i="24"/>
  <c r="R29" i="24" s="1"/>
  <c r="J54" i="24"/>
  <c r="R54" i="24" s="1"/>
  <c r="J32" i="24"/>
  <c r="R32" i="24" s="1"/>
  <c r="J67" i="20"/>
  <c r="J14" i="16"/>
  <c r="R14" i="16" s="1"/>
  <c r="J15" i="18"/>
  <c r="R15" i="18" s="1"/>
  <c r="J42" i="14"/>
  <c r="J40" i="18"/>
  <c r="R40" i="18" s="1"/>
  <c r="J14" i="18"/>
  <c r="R14" i="18" s="1"/>
  <c r="R27" i="10"/>
  <c r="J6" i="10"/>
  <c r="G70" i="10"/>
  <c r="J50" i="12"/>
  <c r="J42" i="12"/>
  <c r="R9" i="10"/>
  <c r="J56" i="10"/>
  <c r="R56" i="10" s="1"/>
  <c r="J24" i="20"/>
  <c r="R16" i="4"/>
  <c r="J33" i="4"/>
  <c r="R33" i="4" s="1"/>
  <c r="J55" i="2"/>
  <c r="S55" i="2" s="1"/>
  <c r="S30" i="2"/>
  <c r="I70" i="16"/>
  <c r="T14" i="16" s="1"/>
  <c r="J61" i="24"/>
  <c r="R61" i="24" s="1"/>
  <c r="R44" i="18"/>
  <c r="J51" i="18"/>
  <c r="R51" i="18" s="1"/>
  <c r="J22" i="18"/>
  <c r="R22" i="18" s="1"/>
  <c r="J28" i="18"/>
  <c r="R28" i="18" s="1"/>
  <c r="J18" i="18"/>
  <c r="R18" i="18" s="1"/>
  <c r="J55" i="18"/>
  <c r="R55" i="18" s="1"/>
  <c r="J36" i="18"/>
  <c r="R36" i="18" s="1"/>
  <c r="J33" i="18"/>
  <c r="R33" i="18" s="1"/>
  <c r="J42" i="18"/>
  <c r="R42" i="18" s="1"/>
  <c r="J8" i="18"/>
  <c r="R8" i="18" s="1"/>
  <c r="J11" i="18"/>
  <c r="R11" i="18" s="1"/>
  <c r="J39" i="22"/>
  <c r="R39" i="22" s="1"/>
  <c r="J52" i="20"/>
  <c r="J42" i="20"/>
  <c r="J28" i="22"/>
  <c r="R28" i="22" s="1"/>
  <c r="J41" i="22"/>
  <c r="R41" i="22" s="1"/>
  <c r="J7" i="22"/>
  <c r="R7" i="22" s="1"/>
  <c r="J47" i="20"/>
  <c r="J45" i="18"/>
  <c r="R45" i="18" s="1"/>
  <c r="J67" i="24"/>
  <c r="R67" i="24" s="1"/>
  <c r="J51" i="24"/>
  <c r="R51" i="24" s="1"/>
  <c r="J38" i="24"/>
  <c r="R38" i="24" s="1"/>
  <c r="J58" i="24"/>
  <c r="R58" i="24" s="1"/>
  <c r="J36" i="24"/>
  <c r="R36" i="24" s="1"/>
  <c r="J37" i="20"/>
  <c r="J46" i="20"/>
  <c r="J54" i="20"/>
  <c r="J35" i="18"/>
  <c r="R35" i="18" s="1"/>
  <c r="R47" i="16"/>
  <c r="J50" i="18"/>
  <c r="R50" i="18" s="1"/>
  <c r="G70" i="14"/>
  <c r="J53" i="12"/>
  <c r="J67" i="12"/>
  <c r="R17" i="10"/>
  <c r="J60" i="10"/>
  <c r="R60" i="10" s="1"/>
  <c r="J39" i="18"/>
  <c r="R39" i="18" s="1"/>
  <c r="R14" i="4"/>
  <c r="S9" i="2"/>
  <c r="S49" i="2"/>
  <c r="F70" i="4"/>
  <c r="G6" i="4"/>
  <c r="S23" i="2"/>
  <c r="J26" i="22"/>
  <c r="R26" i="22" s="1"/>
  <c r="J44" i="24"/>
  <c r="R44" i="24" s="1"/>
  <c r="J13" i="22"/>
  <c r="J45" i="24"/>
  <c r="R45" i="24" s="1"/>
  <c r="J64" i="22"/>
  <c r="R64" i="22" s="1"/>
  <c r="K70" i="24"/>
  <c r="J23" i="20"/>
  <c r="J52" i="22"/>
  <c r="J22" i="22"/>
  <c r="R22" i="22" s="1"/>
  <c r="J36" i="22"/>
  <c r="R36" i="22" s="1"/>
  <c r="J25" i="20"/>
  <c r="J26" i="20"/>
  <c r="R65" i="16"/>
  <c r="J15" i="24"/>
  <c r="R15" i="24" s="1"/>
  <c r="J53" i="24"/>
  <c r="R53" i="24" s="1"/>
  <c r="J47" i="24"/>
  <c r="R47" i="24" s="1"/>
  <c r="J62" i="24"/>
  <c r="R62" i="24" s="1"/>
  <c r="J40" i="24"/>
  <c r="R40" i="24" s="1"/>
  <c r="J7" i="20"/>
  <c r="R63" i="16"/>
  <c r="J43" i="20"/>
  <c r="J11" i="20"/>
  <c r="K70" i="16"/>
  <c r="J32" i="18"/>
  <c r="R32" i="18" s="1"/>
  <c r="R31" i="16"/>
  <c r="J38" i="18"/>
  <c r="R38" i="18" s="1"/>
  <c r="I70" i="6"/>
  <c r="J56" i="12"/>
  <c r="J34" i="12"/>
  <c r="J12" i="12"/>
  <c r="J48" i="12"/>
  <c r="R59" i="10"/>
  <c r="R7" i="10"/>
  <c r="J64" i="10"/>
  <c r="R64" i="10" s="1"/>
  <c r="J44" i="4"/>
  <c r="R44" i="4" s="1"/>
  <c r="J53" i="4"/>
  <c r="J47" i="4"/>
  <c r="R47" i="4" s="1"/>
  <c r="J67" i="4"/>
  <c r="R67" i="4" s="1"/>
  <c r="J48" i="4"/>
  <c r="J59" i="4"/>
  <c r="R59" i="4" s="1"/>
  <c r="J32" i="4"/>
  <c r="R32" i="4" s="1"/>
  <c r="J20" i="4"/>
  <c r="R20" i="4" s="1"/>
  <c r="J9" i="4"/>
  <c r="R9" i="4" s="1"/>
  <c r="J22" i="4"/>
  <c r="J50" i="4"/>
  <c r="R50" i="4" s="1"/>
  <c r="J23" i="4"/>
  <c r="R23" i="4" s="1"/>
  <c r="J30" i="4"/>
  <c r="R30" i="4" s="1"/>
  <c r="J55" i="4"/>
  <c r="R55" i="4" s="1"/>
  <c r="J41" i="4"/>
  <c r="R41" i="4" s="1"/>
  <c r="J17" i="4"/>
  <c r="J21" i="4"/>
  <c r="R21" i="4" s="1"/>
  <c r="J46" i="4"/>
  <c r="R46" i="4" s="1"/>
  <c r="J12" i="4"/>
  <c r="I70" i="2"/>
  <c r="X3" i="26" s="1"/>
  <c r="S46" i="2"/>
  <c r="J38" i="4"/>
  <c r="R38" i="4" s="1"/>
  <c r="G6" i="8"/>
  <c r="F70" i="8"/>
  <c r="J68" i="4"/>
  <c r="R68" i="4" s="1"/>
  <c r="J13" i="4"/>
  <c r="R13" i="4" s="1"/>
  <c r="J26" i="4"/>
  <c r="R26" i="4" s="1"/>
  <c r="J54" i="4"/>
  <c r="R54" i="4" s="1"/>
  <c r="F68" i="6"/>
  <c r="G68" i="6" s="1"/>
  <c r="J68" i="6" s="1"/>
  <c r="F64" i="6"/>
  <c r="G64" i="6" s="1"/>
  <c r="J64" i="6" s="1"/>
  <c r="F60" i="6"/>
  <c r="G60" i="6" s="1"/>
  <c r="J60" i="6" s="1"/>
  <c r="F56" i="6"/>
  <c r="G56" i="6" s="1"/>
  <c r="J56" i="6" s="1"/>
  <c r="F52" i="6"/>
  <c r="G52" i="6" s="1"/>
  <c r="J52" i="6" s="1"/>
  <c r="F48" i="6"/>
  <c r="G48" i="6" s="1"/>
  <c r="J48" i="6" s="1"/>
  <c r="F44" i="6"/>
  <c r="G44" i="6" s="1"/>
  <c r="J44" i="6" s="1"/>
  <c r="F40" i="6"/>
  <c r="G40" i="6" s="1"/>
  <c r="J40" i="6" s="1"/>
  <c r="F36" i="6"/>
  <c r="G36" i="6" s="1"/>
  <c r="J36" i="6" s="1"/>
  <c r="F32" i="6"/>
  <c r="G32" i="6" s="1"/>
  <c r="J32" i="6" s="1"/>
  <c r="F28" i="6"/>
  <c r="G28" i="6" s="1"/>
  <c r="J28" i="6" s="1"/>
  <c r="F24" i="6"/>
  <c r="G24" i="6" s="1"/>
  <c r="J24" i="6" s="1"/>
  <c r="F15" i="6"/>
  <c r="G15" i="6" s="1"/>
  <c r="J15" i="6" s="1"/>
  <c r="F20" i="6"/>
  <c r="G20" i="6" s="1"/>
  <c r="J20" i="6" s="1"/>
  <c r="F11" i="6"/>
  <c r="G11" i="6" s="1"/>
  <c r="J11" i="6" s="1"/>
  <c r="F6" i="6"/>
  <c r="G6" i="6" s="1"/>
  <c r="F69" i="6"/>
  <c r="G69" i="6" s="1"/>
  <c r="J69" i="6" s="1"/>
  <c r="F65" i="6"/>
  <c r="G65" i="6" s="1"/>
  <c r="J65" i="6" s="1"/>
  <c r="F61" i="6"/>
  <c r="G61" i="6" s="1"/>
  <c r="J61" i="6" s="1"/>
  <c r="F57" i="6"/>
  <c r="G57" i="6" s="1"/>
  <c r="J57" i="6" s="1"/>
  <c r="F53" i="6"/>
  <c r="G53" i="6" s="1"/>
  <c r="J53" i="6" s="1"/>
  <c r="F49" i="6"/>
  <c r="G49" i="6" s="1"/>
  <c r="J49" i="6" s="1"/>
  <c r="F45" i="6"/>
  <c r="G45" i="6" s="1"/>
  <c r="J45" i="6" s="1"/>
  <c r="F41" i="6"/>
  <c r="G41" i="6" s="1"/>
  <c r="J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J25" i="6" s="1"/>
  <c r="F16" i="6"/>
  <c r="G16" i="6" s="1"/>
  <c r="J16" i="6" s="1"/>
  <c r="F12" i="6"/>
  <c r="G12" i="6" s="1"/>
  <c r="J12" i="6" s="1"/>
  <c r="F70" i="6"/>
  <c r="F66" i="6"/>
  <c r="G66" i="6" s="1"/>
  <c r="J66" i="6" s="1"/>
  <c r="F62" i="6"/>
  <c r="G62" i="6" s="1"/>
  <c r="J62" i="6" s="1"/>
  <c r="F58" i="6"/>
  <c r="G58" i="6" s="1"/>
  <c r="J58" i="6" s="1"/>
  <c r="F54" i="6"/>
  <c r="G54" i="6" s="1"/>
  <c r="J54" i="6" s="1"/>
  <c r="F50" i="6"/>
  <c r="G50" i="6" s="1"/>
  <c r="J50" i="6" s="1"/>
  <c r="F46" i="6"/>
  <c r="G46" i="6" s="1"/>
  <c r="J46" i="6" s="1"/>
  <c r="F19" i="6"/>
  <c r="G19" i="6" s="1"/>
  <c r="J19" i="6" s="1"/>
  <c r="F10" i="6"/>
  <c r="G10" i="6" s="1"/>
  <c r="J10" i="6" s="1"/>
  <c r="F63" i="6"/>
  <c r="G63" i="6" s="1"/>
  <c r="J63" i="6" s="1"/>
  <c r="F14" i="6"/>
  <c r="G14" i="6" s="1"/>
  <c r="J14" i="6" s="1"/>
  <c r="F9" i="6"/>
  <c r="G9" i="6" s="1"/>
  <c r="J9" i="6" s="1"/>
  <c r="F38" i="6"/>
  <c r="G38" i="6" s="1"/>
  <c r="J38" i="6" s="1"/>
  <c r="F23" i="6"/>
  <c r="G23" i="6" s="1"/>
  <c r="J23" i="6" s="1"/>
  <c r="F47" i="6"/>
  <c r="G47" i="6" s="1"/>
  <c r="J47" i="6" s="1"/>
  <c r="F43" i="6"/>
  <c r="G43" i="6" s="1"/>
  <c r="J43" i="6" s="1"/>
  <c r="F18" i="6"/>
  <c r="G18" i="6" s="1"/>
  <c r="J18" i="6" s="1"/>
  <c r="F51" i="6"/>
  <c r="G51" i="6" s="1"/>
  <c r="J51" i="6" s="1"/>
  <c r="F30" i="6"/>
  <c r="G30" i="6" s="1"/>
  <c r="J30" i="6" s="1"/>
  <c r="F35" i="6"/>
  <c r="G35" i="6" s="1"/>
  <c r="J35" i="6" s="1"/>
  <c r="F13" i="6"/>
  <c r="G13" i="6" s="1"/>
  <c r="J13" i="6" s="1"/>
  <c r="F59" i="6"/>
  <c r="G59" i="6" s="1"/>
  <c r="J59" i="6" s="1"/>
  <c r="F22" i="6"/>
  <c r="G22" i="6" s="1"/>
  <c r="J22" i="6" s="1"/>
  <c r="F17" i="6"/>
  <c r="G17" i="6" s="1"/>
  <c r="J17" i="6" s="1"/>
  <c r="F42" i="6"/>
  <c r="G42" i="6" s="1"/>
  <c r="J42" i="6" s="1"/>
  <c r="F27" i="6"/>
  <c r="G27" i="6" s="1"/>
  <c r="J27" i="6" s="1"/>
  <c r="F8" i="6"/>
  <c r="G8" i="6" s="1"/>
  <c r="J8" i="6" s="1"/>
  <c r="F39" i="6"/>
  <c r="G39" i="6" s="1"/>
  <c r="J39" i="6" s="1"/>
  <c r="F67" i="6"/>
  <c r="G67" i="6" s="1"/>
  <c r="J67" i="6" s="1"/>
  <c r="F34" i="6"/>
  <c r="G34" i="6" s="1"/>
  <c r="J34" i="6" s="1"/>
  <c r="F55" i="6"/>
  <c r="G55" i="6" s="1"/>
  <c r="J55" i="6" s="1"/>
  <c r="F26" i="6"/>
  <c r="G26" i="6" s="1"/>
  <c r="J26" i="6" s="1"/>
  <c r="F21" i="6"/>
  <c r="G21" i="6" s="1"/>
  <c r="J21" i="6" s="1"/>
  <c r="F31" i="6"/>
  <c r="G31" i="6" s="1"/>
  <c r="J31" i="6" s="1"/>
  <c r="F7" i="6"/>
  <c r="G7" i="6" s="1"/>
  <c r="J7" i="6" s="1"/>
  <c r="F6" i="2"/>
  <c r="E70" i="2"/>
  <c r="J52" i="4"/>
  <c r="R52" i="4" s="1"/>
  <c r="J69" i="4"/>
  <c r="S51" i="2"/>
  <c r="J63" i="4"/>
  <c r="R63" i="4" s="1"/>
  <c r="S37" i="2"/>
  <c r="S57" i="2"/>
  <c r="J57" i="4"/>
  <c r="R57" i="4" s="1"/>
  <c r="S41" i="2"/>
  <c r="H67" i="27"/>
  <c r="J61" i="4"/>
  <c r="R61" i="4" s="1"/>
  <c r="J36" i="4"/>
  <c r="R36" i="4" s="1"/>
  <c r="J42" i="4"/>
  <c r="R42" i="4" s="1"/>
  <c r="J40" i="4"/>
  <c r="R40" i="4" s="1"/>
  <c r="J15" i="4"/>
  <c r="R15" i="4" s="1"/>
  <c r="J65" i="4"/>
  <c r="R65" i="4" s="1"/>
  <c r="J8" i="4"/>
  <c r="R8" i="4" s="1"/>
  <c r="J51" i="4"/>
  <c r="R51" i="4" s="1"/>
  <c r="AL34" i="27"/>
  <c r="V43" i="27"/>
  <c r="AL55" i="27"/>
  <c r="AX14" i="27"/>
  <c r="AX57" i="27"/>
  <c r="AL18" i="27"/>
  <c r="AX30" i="27"/>
  <c r="AL56" i="27"/>
  <c r="J40" i="27"/>
  <c r="AX18" i="27"/>
  <c r="AH56" i="27"/>
  <c r="J16" i="27"/>
  <c r="AL33" i="27"/>
  <c r="AT38" i="27"/>
  <c r="V14" i="27"/>
  <c r="AT23" i="27"/>
  <c r="AX37" i="27"/>
  <c r="AL35" i="27"/>
  <c r="J52" i="27"/>
  <c r="J35" i="27"/>
  <c r="J58" i="27"/>
  <c r="J48" i="27"/>
  <c r="J38" i="27"/>
  <c r="J33" i="27"/>
  <c r="AX11" i="27"/>
  <c r="AT61" i="27"/>
  <c r="AL16" i="27"/>
  <c r="AX59" i="27"/>
  <c r="AL51" i="27"/>
  <c r="V21" i="27"/>
  <c r="AL31" i="27"/>
  <c r="AX22" i="27"/>
  <c r="AL26" i="27"/>
  <c r="J57" i="27"/>
  <c r="AT20" i="27"/>
  <c r="AT40" i="27"/>
  <c r="AX19" i="27"/>
  <c r="AL10" i="27"/>
  <c r="J25" i="27"/>
  <c r="AT21" i="27"/>
  <c r="AH11" i="27"/>
  <c r="AL30" i="27"/>
  <c r="AT4" i="27"/>
  <c r="V57" i="27"/>
  <c r="AX41" i="27"/>
  <c r="J44" i="27"/>
  <c r="AX45" i="27"/>
  <c r="J26" i="27"/>
  <c r="AX13" i="27"/>
  <c r="AX50" i="27"/>
  <c r="J27" i="27"/>
  <c r="J5" i="27"/>
  <c r="AL66" i="27"/>
  <c r="V29" i="27"/>
  <c r="AH36" i="27"/>
  <c r="AL14" i="27"/>
  <c r="AX9" i="27"/>
  <c r="AL6" i="27"/>
  <c r="J7" i="27"/>
  <c r="AH59" i="27"/>
  <c r="AX24" i="27"/>
  <c r="AL12" i="27"/>
  <c r="AL39" i="27"/>
  <c r="AL36" i="27"/>
  <c r="AH60" i="27"/>
  <c r="J64" i="27"/>
  <c r="J60" i="27"/>
  <c r="J39" i="27"/>
  <c r="J62" i="27"/>
  <c r="AX15" i="27"/>
  <c r="AX5" i="27"/>
  <c r="V4" i="27"/>
  <c r="J36" i="27"/>
  <c r="AH40" i="27"/>
  <c r="AL49" i="27"/>
  <c r="AX61" i="27"/>
  <c r="AX36" i="27"/>
  <c r="AL57" i="27"/>
  <c r="AL13" i="27"/>
  <c r="J31" i="27"/>
  <c r="AX47" i="27"/>
  <c r="AT60" i="27"/>
  <c r="AL5" i="27"/>
  <c r="AL32" i="27"/>
  <c r="J11" i="27"/>
  <c r="AT19" i="27"/>
  <c r="J18" i="27"/>
  <c r="J49" i="27"/>
  <c r="AL40" i="27"/>
  <c r="AL46" i="27"/>
  <c r="AX33" i="27"/>
  <c r="AX21" i="27"/>
  <c r="AH17" i="27"/>
  <c r="AL28" i="27"/>
  <c r="AL7" i="27"/>
  <c r="AH48" i="27"/>
  <c r="J46" i="27"/>
  <c r="AX32" i="27"/>
  <c r="J21" i="27"/>
  <c r="AH8" i="27"/>
  <c r="AX25" i="27"/>
  <c r="AX28" i="27"/>
  <c r="V6" i="27"/>
  <c r="AL8" i="27"/>
  <c r="AL42" i="27"/>
  <c r="AH44" i="27"/>
  <c r="AT33" i="27"/>
  <c r="J56" i="27"/>
  <c r="J43" i="27"/>
  <c r="J37" i="27"/>
  <c r="J54" i="27"/>
  <c r="J34" i="27"/>
  <c r="J47" i="27"/>
  <c r="AL4" i="27"/>
  <c r="V52" i="27"/>
  <c r="AL9" i="27"/>
  <c r="AH24" i="27"/>
  <c r="V33" i="27"/>
  <c r="AH20" i="27"/>
  <c r="AX39" i="27"/>
  <c r="AL54" i="27"/>
  <c r="AH3" i="27"/>
  <c r="AX8" i="27"/>
  <c r="AL27" i="27"/>
  <c r="AL37" i="27"/>
  <c r="V53" i="27"/>
  <c r="AX58" i="27"/>
  <c r="AX64" i="27"/>
  <c r="AL47" i="27"/>
  <c r="AX42" i="27"/>
  <c r="J29" i="27"/>
  <c r="J12" i="27"/>
  <c r="AL25" i="27"/>
  <c r="AT25" i="27"/>
  <c r="AX27" i="27"/>
  <c r="AL23" i="27"/>
  <c r="AH15" i="27"/>
  <c r="V37" i="27"/>
  <c r="AX31" i="27"/>
  <c r="AX16" i="27"/>
  <c r="AL62" i="27"/>
  <c r="AL65" i="27"/>
  <c r="AT51" i="27"/>
  <c r="AH55" i="27"/>
  <c r="AL61" i="27"/>
  <c r="AL58" i="27"/>
  <c r="AL11" i="27"/>
  <c r="AL41" i="27"/>
  <c r="AX48" i="27"/>
  <c r="J17" i="27"/>
  <c r="AX26" i="27"/>
  <c r="AH28" i="27"/>
  <c r="AL53" i="27"/>
  <c r="AL22" i="27"/>
  <c r="AX17" i="27"/>
  <c r="AX66" i="27"/>
  <c r="AL21" i="27"/>
  <c r="V45" i="27"/>
  <c r="AT54" i="27"/>
  <c r="AX52" i="27"/>
  <c r="V24" i="27"/>
  <c r="J13" i="27"/>
  <c r="AL48" i="27"/>
  <c r="AT36" i="27"/>
  <c r="AX35" i="27"/>
  <c r="AH62" i="27"/>
  <c r="J6" i="27"/>
  <c r="J65" i="27"/>
  <c r="AL17" i="27"/>
  <c r="AL52" i="27"/>
  <c r="AX63" i="27"/>
  <c r="AX56" i="27"/>
  <c r="AX54" i="27"/>
  <c r="AX23" i="27"/>
  <c r="J32" i="27"/>
  <c r="J59" i="27"/>
  <c r="AX65" i="27"/>
  <c r="AX7" i="27"/>
  <c r="AL20" i="27"/>
  <c r="V49" i="27"/>
  <c r="J53" i="27"/>
  <c r="AX34" i="27"/>
  <c r="J30" i="27"/>
  <c r="AL19" i="27"/>
  <c r="AX55" i="27"/>
  <c r="AX12" i="27"/>
  <c r="AL29" i="27"/>
  <c r="V56" i="27"/>
  <c r="J10" i="27"/>
  <c r="V46" i="27"/>
  <c r="J23" i="27"/>
  <c r="AX29" i="27"/>
  <c r="J41" i="27"/>
  <c r="AX40" i="27"/>
  <c r="AL45" i="27"/>
  <c r="V41" i="27"/>
  <c r="AX43" i="27"/>
  <c r="V26" i="27"/>
  <c r="AL60" i="27"/>
  <c r="J15" i="27"/>
  <c r="AX51" i="27"/>
  <c r="AL15" i="27"/>
  <c r="AX44" i="27"/>
  <c r="V61" i="27"/>
  <c r="J20" i="27"/>
  <c r="AL43" i="27"/>
  <c r="AX60" i="27"/>
  <c r="AX10" i="27"/>
  <c r="AL44" i="27"/>
  <c r="AX4" i="27"/>
  <c r="AX38" i="27"/>
  <c r="J51" i="27"/>
  <c r="AT52" i="27"/>
  <c r="J28" i="27"/>
  <c r="J22" i="27"/>
  <c r="J61" i="27"/>
  <c r="J63" i="27"/>
  <c r="J4" i="27"/>
  <c r="J24" i="27"/>
  <c r="L24" i="27" l="1"/>
  <c r="L4" i="27"/>
  <c r="L63" i="27"/>
  <c r="L61" i="27"/>
  <c r="L22" i="27"/>
  <c r="L28" i="27"/>
  <c r="AV52" i="27"/>
  <c r="L51" i="27"/>
  <c r="AZ38" i="27"/>
  <c r="AZ4" i="27"/>
  <c r="AN44" i="27"/>
  <c r="AZ10" i="27"/>
  <c r="AZ60" i="27"/>
  <c r="AN43" i="27"/>
  <c r="L20" i="27"/>
  <c r="X61" i="27"/>
  <c r="AZ44" i="27"/>
  <c r="AN15" i="27"/>
  <c r="AZ51" i="27"/>
  <c r="L15" i="27"/>
  <c r="AN60" i="27"/>
  <c r="X26" i="27"/>
  <c r="AZ43" i="27"/>
  <c r="X41" i="27"/>
  <c r="AN45" i="27"/>
  <c r="AZ40" i="27"/>
  <c r="L41" i="27"/>
  <c r="AZ29" i="27"/>
  <c r="L23" i="27"/>
  <c r="X46" i="27"/>
  <c r="L10" i="27"/>
  <c r="X56" i="27"/>
  <c r="AN29" i="27"/>
  <c r="AZ12" i="27"/>
  <c r="AZ55" i="27"/>
  <c r="AN19" i="27"/>
  <c r="L30" i="27"/>
  <c r="AZ34" i="27"/>
  <c r="L53" i="27"/>
  <c r="X49" i="27"/>
  <c r="AN20" i="27"/>
  <c r="AZ7" i="27"/>
  <c r="AZ65" i="27"/>
  <c r="L59" i="27"/>
  <c r="L32" i="27"/>
  <c r="AZ23" i="27"/>
  <c r="AZ54" i="27"/>
  <c r="AZ56" i="27"/>
  <c r="AZ63" i="27"/>
  <c r="AN52" i="27"/>
  <c r="AN17" i="27"/>
  <c r="L65" i="27"/>
  <c r="L6" i="27"/>
  <c r="AJ62" i="27"/>
  <c r="AZ35" i="27"/>
  <c r="AV36" i="27"/>
  <c r="AN48" i="27"/>
  <c r="L13" i="27"/>
  <c r="X24" i="27"/>
  <c r="AZ52" i="27"/>
  <c r="AV54" i="27"/>
  <c r="X45" i="27"/>
  <c r="AN21" i="27"/>
  <c r="AZ66" i="27"/>
  <c r="AZ17" i="27"/>
  <c r="AN22" i="27"/>
  <c r="AN53" i="27"/>
  <c r="AJ28" i="27"/>
  <c r="AZ26" i="27"/>
  <c r="L17" i="27"/>
  <c r="AZ48" i="27"/>
  <c r="AN41" i="27"/>
  <c r="AN11" i="27"/>
  <c r="AN58" i="27"/>
  <c r="AN61" i="27"/>
  <c r="AJ55" i="27"/>
  <c r="AV51" i="27"/>
  <c r="AN65" i="27"/>
  <c r="AN62" i="27"/>
  <c r="AZ16" i="27"/>
  <c r="AZ31" i="27"/>
  <c r="X37" i="27"/>
  <c r="AJ15" i="27"/>
  <c r="AN23" i="27"/>
  <c r="AZ27" i="27"/>
  <c r="AV25" i="27"/>
  <c r="AN25" i="27"/>
  <c r="L12" i="27"/>
  <c r="L29" i="27"/>
  <c r="AZ42" i="27"/>
  <c r="AN47" i="27"/>
  <c r="AZ64" i="27"/>
  <c r="AZ58" i="27"/>
  <c r="X53" i="27"/>
  <c r="AN37" i="27"/>
  <c r="AN27" i="27"/>
  <c r="AZ8" i="27"/>
  <c r="AH67" i="27"/>
  <c r="AJ3" i="27"/>
  <c r="AN54" i="27"/>
  <c r="AZ39" i="27"/>
  <c r="AJ20" i="27"/>
  <c r="X33" i="27"/>
  <c r="AJ24" i="27"/>
  <c r="AN9" i="27"/>
  <c r="X52" i="27"/>
  <c r="AN4" i="27"/>
  <c r="L47" i="27"/>
  <c r="L34" i="27"/>
  <c r="L54" i="27"/>
  <c r="L37" i="27"/>
  <c r="L43" i="27"/>
  <c r="L56" i="27"/>
  <c r="AV33" i="27"/>
  <c r="AJ44" i="27"/>
  <c r="AN42" i="27"/>
  <c r="AN8" i="27"/>
  <c r="X6" i="27"/>
  <c r="AZ28" i="27"/>
  <c r="AZ25" i="27"/>
  <c r="AJ8" i="27"/>
  <c r="L21" i="27"/>
  <c r="AZ32" i="27"/>
  <c r="L46" i="27"/>
  <c r="AJ48" i="27"/>
  <c r="AN7" i="27"/>
  <c r="AN28" i="27"/>
  <c r="AJ17" i="27"/>
  <c r="AZ21" i="27"/>
  <c r="AZ33" i="27"/>
  <c r="AN46" i="27"/>
  <c r="AN40" i="27"/>
  <c r="L49" i="27"/>
  <c r="L18" i="27"/>
  <c r="AV19" i="27"/>
  <c r="L11" i="27"/>
  <c r="AN32" i="27"/>
  <c r="AN5" i="27"/>
  <c r="AV60" i="27"/>
  <c r="AZ47" i="27"/>
  <c r="L31" i="27"/>
  <c r="AN13" i="27"/>
  <c r="AN57" i="27"/>
  <c r="AZ36" i="27"/>
  <c r="AZ61" i="27"/>
  <c r="AN49" i="27"/>
  <c r="AJ40" i="27"/>
  <c r="L36" i="27"/>
  <c r="X4" i="27"/>
  <c r="AZ5" i="27"/>
  <c r="AZ15" i="27"/>
  <c r="L62" i="27"/>
  <c r="L39" i="27"/>
  <c r="L60" i="27"/>
  <c r="L64" i="27"/>
  <c r="AJ60" i="27"/>
  <c r="AN36" i="27"/>
  <c r="AN39" i="27"/>
  <c r="AN12" i="27"/>
  <c r="AZ24" i="27"/>
  <c r="AJ59" i="27"/>
  <c r="L7" i="27"/>
  <c r="AN6" i="27"/>
  <c r="AZ9" i="27"/>
  <c r="AN14" i="27"/>
  <c r="AJ36" i="27"/>
  <c r="X29" i="27"/>
  <c r="AN66" i="27"/>
  <c r="L5" i="27"/>
  <c r="L27" i="27"/>
  <c r="AZ50" i="27"/>
  <c r="AZ13" i="27"/>
  <c r="L26" i="27"/>
  <c r="AZ45" i="27"/>
  <c r="L44" i="27"/>
  <c r="AZ41" i="27"/>
  <c r="X57" i="27"/>
  <c r="AV4" i="27"/>
  <c r="AN30" i="27"/>
  <c r="AJ11" i="27"/>
  <c r="AV21" i="27"/>
  <c r="L25" i="27"/>
  <c r="AN10" i="27"/>
  <c r="AZ19" i="27"/>
  <c r="AV40" i="27"/>
  <c r="AV20" i="27"/>
  <c r="L57" i="27"/>
  <c r="AN26" i="27"/>
  <c r="AZ22" i="27"/>
  <c r="AN31" i="27"/>
  <c r="X21" i="27"/>
  <c r="AN51" i="27"/>
  <c r="AZ59" i="27"/>
  <c r="AN16" i="27"/>
  <c r="AV61" i="27"/>
  <c r="AZ11" i="27"/>
  <c r="L33" i="27"/>
  <c r="L38" i="27"/>
  <c r="L48" i="27"/>
  <c r="L58" i="27"/>
  <c r="L35" i="27"/>
  <c r="L52" i="27"/>
  <c r="AN35" i="27"/>
  <c r="AZ37" i="27"/>
  <c r="AV23" i="27"/>
  <c r="X14" i="27"/>
  <c r="AV38" i="27"/>
  <c r="AN33" i="27"/>
  <c r="L16" i="27"/>
  <c r="AJ56" i="27"/>
  <c r="AZ18" i="27"/>
  <c r="L40" i="27"/>
  <c r="AN56" i="27"/>
  <c r="AZ30" i="27"/>
  <c r="AN18" i="27"/>
  <c r="AZ57" i="27"/>
  <c r="AZ14" i="27"/>
  <c r="AN55" i="27"/>
  <c r="X43" i="27"/>
  <c r="AN34" i="27"/>
  <c r="R65" i="20"/>
  <c r="T4" i="12"/>
  <c r="T11" i="12"/>
  <c r="R18" i="6"/>
  <c r="R28" i="6"/>
  <c r="G70" i="4"/>
  <c r="J6" i="4"/>
  <c r="R37" i="20"/>
  <c r="J62" i="22"/>
  <c r="R62" i="22" s="1"/>
  <c r="J37" i="22"/>
  <c r="R37" i="22" s="1"/>
  <c r="K70" i="4"/>
  <c r="J23" i="24"/>
  <c r="R23" i="24" s="1"/>
  <c r="J9" i="24"/>
  <c r="R9" i="24" s="1"/>
  <c r="R69" i="4"/>
  <c r="R53" i="6"/>
  <c r="R36" i="6"/>
  <c r="R22" i="4"/>
  <c r="R6" i="10"/>
  <c r="J70" i="10"/>
  <c r="J29" i="22"/>
  <c r="R29" i="22" s="1"/>
  <c r="J12" i="22"/>
  <c r="R12" i="22" s="1"/>
  <c r="J31" i="22"/>
  <c r="R31" i="22" s="1"/>
  <c r="J45" i="22"/>
  <c r="R45" i="22" s="1"/>
  <c r="J11" i="22"/>
  <c r="R11" i="22" s="1"/>
  <c r="J68" i="22"/>
  <c r="R68" i="22" s="1"/>
  <c r="J59" i="22"/>
  <c r="R59" i="22" s="1"/>
  <c r="J25" i="22"/>
  <c r="R25" i="22" s="1"/>
  <c r="J9" i="22"/>
  <c r="R9" i="22" s="1"/>
  <c r="J38" i="22"/>
  <c r="R38" i="22" s="1"/>
  <c r="J49" i="22"/>
  <c r="R49" i="22" s="1"/>
  <c r="J15" i="22"/>
  <c r="R15" i="22" s="1"/>
  <c r="J32" i="22"/>
  <c r="R32" i="22" s="1"/>
  <c r="J42" i="22"/>
  <c r="R42" i="22" s="1"/>
  <c r="J65" i="22"/>
  <c r="R65" i="22" s="1"/>
  <c r="J20" i="22"/>
  <c r="R20" i="22" s="1"/>
  <c r="J6" i="22"/>
  <c r="J56" i="22"/>
  <c r="R56" i="22" s="1"/>
  <c r="J46" i="22"/>
  <c r="R46" i="22" s="1"/>
  <c r="J53" i="22"/>
  <c r="R53" i="22" s="1"/>
  <c r="J14" i="22"/>
  <c r="R14" i="22" s="1"/>
  <c r="J35" i="22"/>
  <c r="R35" i="22" s="1"/>
  <c r="J65" i="24"/>
  <c r="R65" i="24" s="1"/>
  <c r="K69" i="8"/>
  <c r="R69" i="8" s="1"/>
  <c r="K65" i="8"/>
  <c r="R65" i="8" s="1"/>
  <c r="K61" i="8"/>
  <c r="R61" i="8" s="1"/>
  <c r="K57" i="8"/>
  <c r="R57" i="8" s="1"/>
  <c r="K53" i="8"/>
  <c r="R53" i="8" s="1"/>
  <c r="K49" i="8"/>
  <c r="K45" i="8"/>
  <c r="R45" i="8" s="1"/>
  <c r="K41" i="8"/>
  <c r="R41" i="8" s="1"/>
  <c r="K37" i="8"/>
  <c r="R37" i="8" s="1"/>
  <c r="K33" i="8"/>
  <c r="R33" i="8" s="1"/>
  <c r="K29" i="8"/>
  <c r="R29" i="8" s="1"/>
  <c r="K25" i="8"/>
  <c r="R25" i="8" s="1"/>
  <c r="K21" i="8"/>
  <c r="R21" i="8" s="1"/>
  <c r="K7" i="8"/>
  <c r="R7" i="8" s="1"/>
  <c r="K46" i="8"/>
  <c r="R46" i="8" s="1"/>
  <c r="K22" i="8"/>
  <c r="R22" i="8" s="1"/>
  <c r="K67" i="8"/>
  <c r="R67" i="8" s="1"/>
  <c r="K60" i="8"/>
  <c r="R60" i="8" s="1"/>
  <c r="K43" i="8"/>
  <c r="R43" i="8" s="1"/>
  <c r="K36" i="8"/>
  <c r="R36" i="8" s="1"/>
  <c r="K19" i="8"/>
  <c r="R19" i="8" s="1"/>
  <c r="K11" i="8"/>
  <c r="R11" i="8" s="1"/>
  <c r="K50" i="8"/>
  <c r="R50" i="8" s="1"/>
  <c r="K26" i="8"/>
  <c r="R26" i="8" s="1"/>
  <c r="K15" i="8"/>
  <c r="R15" i="8" s="1"/>
  <c r="K64" i="8"/>
  <c r="R64" i="8" s="1"/>
  <c r="K47" i="8"/>
  <c r="R47" i="8" s="1"/>
  <c r="K40" i="8"/>
  <c r="R40" i="8" s="1"/>
  <c r="K23" i="8"/>
  <c r="R23" i="8" s="1"/>
  <c r="K54" i="8"/>
  <c r="R54" i="8" s="1"/>
  <c r="K30" i="8"/>
  <c r="R30" i="8" s="1"/>
  <c r="K12" i="8"/>
  <c r="R12" i="8" s="1"/>
  <c r="K8" i="8"/>
  <c r="R8" i="8" s="1"/>
  <c r="K68" i="8"/>
  <c r="R68" i="8" s="1"/>
  <c r="K51" i="8"/>
  <c r="R51" i="8" s="1"/>
  <c r="K44" i="8"/>
  <c r="R44" i="8" s="1"/>
  <c r="K27" i="8"/>
  <c r="R27" i="8" s="1"/>
  <c r="K20" i="8"/>
  <c r="R20" i="8" s="1"/>
  <c r="K58" i="8"/>
  <c r="R58" i="8" s="1"/>
  <c r="K34" i="8"/>
  <c r="R34" i="8" s="1"/>
  <c r="K16" i="8"/>
  <c r="R16" i="8" s="1"/>
  <c r="K55" i="8"/>
  <c r="R55" i="8" s="1"/>
  <c r="K48" i="8"/>
  <c r="R48" i="8" s="1"/>
  <c r="K31" i="8"/>
  <c r="R31" i="8" s="1"/>
  <c r="K24" i="8"/>
  <c r="R24" i="8" s="1"/>
  <c r="K13" i="8"/>
  <c r="R13" i="8" s="1"/>
  <c r="K9" i="8"/>
  <c r="R9" i="8" s="1"/>
  <c r="K66" i="8"/>
  <c r="K42" i="8"/>
  <c r="R42" i="8" s="1"/>
  <c r="K14" i="8"/>
  <c r="R14" i="8" s="1"/>
  <c r="K6" i="8"/>
  <c r="K62" i="8"/>
  <c r="R62" i="8" s="1"/>
  <c r="K32" i="8"/>
  <c r="R32" i="8" s="1"/>
  <c r="K39" i="8"/>
  <c r="R39" i="8" s="1"/>
  <c r="K28" i="8"/>
  <c r="R28" i="8" s="1"/>
  <c r="K18" i="8"/>
  <c r="R18" i="8" s="1"/>
  <c r="K52" i="8"/>
  <c r="R52" i="8" s="1"/>
  <c r="K17" i="8"/>
  <c r="R17" i="8" s="1"/>
  <c r="K59" i="8"/>
  <c r="R59" i="8" s="1"/>
  <c r="K56" i="8"/>
  <c r="R56" i="8" s="1"/>
  <c r="K38" i="8"/>
  <c r="R38" i="8" s="1"/>
  <c r="K63" i="8"/>
  <c r="R63" i="8" s="1"/>
  <c r="K10" i="8"/>
  <c r="R10" i="8" s="1"/>
  <c r="K35" i="8"/>
  <c r="R35" i="8" s="1"/>
  <c r="K21" i="6"/>
  <c r="R21" i="6" s="1"/>
  <c r="K7" i="6"/>
  <c r="K66" i="6"/>
  <c r="R66" i="6" s="1"/>
  <c r="K62" i="6"/>
  <c r="R62" i="6" s="1"/>
  <c r="K58" i="6"/>
  <c r="R58" i="6" s="1"/>
  <c r="K54" i="6"/>
  <c r="R54" i="6" s="1"/>
  <c r="K50" i="6"/>
  <c r="R50" i="6" s="1"/>
  <c r="K46" i="6"/>
  <c r="K42" i="6"/>
  <c r="K38" i="6"/>
  <c r="K34" i="6"/>
  <c r="R34" i="6" s="1"/>
  <c r="K30" i="6"/>
  <c r="K26" i="6"/>
  <c r="K22" i="6"/>
  <c r="R22" i="6" s="1"/>
  <c r="K17" i="6"/>
  <c r="R17" i="6" s="1"/>
  <c r="K13" i="6"/>
  <c r="R13" i="6" s="1"/>
  <c r="K8" i="6"/>
  <c r="K67" i="6"/>
  <c r="R67" i="6" s="1"/>
  <c r="K63" i="6"/>
  <c r="R63" i="6" s="1"/>
  <c r="K59" i="6"/>
  <c r="K55" i="6"/>
  <c r="K51" i="6"/>
  <c r="K47" i="6"/>
  <c r="R47" i="6" s="1"/>
  <c r="K43" i="6"/>
  <c r="K39" i="6"/>
  <c r="R39" i="6" s="1"/>
  <c r="K35" i="6"/>
  <c r="K31" i="6"/>
  <c r="R31" i="6" s="1"/>
  <c r="K27" i="6"/>
  <c r="R27" i="6" s="1"/>
  <c r="K23" i="6"/>
  <c r="R23" i="6" s="1"/>
  <c r="K14" i="6"/>
  <c r="K68" i="6"/>
  <c r="R68" i="6" s="1"/>
  <c r="K18" i="6"/>
  <c r="K11" i="6"/>
  <c r="R11" i="6" s="1"/>
  <c r="K36" i="6"/>
  <c r="K65" i="6"/>
  <c r="K48" i="6"/>
  <c r="K40" i="6"/>
  <c r="R40" i="6" s="1"/>
  <c r="K25" i="6"/>
  <c r="K69" i="6"/>
  <c r="K52" i="6"/>
  <c r="R52" i="6" s="1"/>
  <c r="K41" i="6"/>
  <c r="K45" i="6"/>
  <c r="R45" i="6" s="1"/>
  <c r="K20" i="6"/>
  <c r="R20" i="6" s="1"/>
  <c r="K56" i="6"/>
  <c r="K32" i="6"/>
  <c r="K15" i="6"/>
  <c r="K6" i="6"/>
  <c r="K53" i="6"/>
  <c r="K37" i="6"/>
  <c r="K10" i="6"/>
  <c r="K64" i="6"/>
  <c r="K24" i="6"/>
  <c r="R24" i="6" s="1"/>
  <c r="K61" i="6"/>
  <c r="R61" i="6" s="1"/>
  <c r="K44" i="6"/>
  <c r="R44" i="6" s="1"/>
  <c r="K29" i="6"/>
  <c r="R29" i="6" s="1"/>
  <c r="K19" i="6"/>
  <c r="K49" i="6"/>
  <c r="R49" i="6" s="1"/>
  <c r="K12" i="6"/>
  <c r="K60" i="6"/>
  <c r="K28" i="6"/>
  <c r="K9" i="6"/>
  <c r="R9" i="6" s="1"/>
  <c r="K57" i="6"/>
  <c r="R57" i="6" s="1"/>
  <c r="K33" i="6"/>
  <c r="K16" i="6"/>
  <c r="R38" i="6"/>
  <c r="X15" i="26"/>
  <c r="Y3" i="26"/>
  <c r="Y15" i="26" s="1"/>
  <c r="J70" i="16"/>
  <c r="J33" i="22"/>
  <c r="R33" i="22" s="1"/>
  <c r="R53" i="20"/>
  <c r="R13" i="20"/>
  <c r="BA67" i="27"/>
  <c r="R41" i="6"/>
  <c r="R65" i="6"/>
  <c r="J27" i="22"/>
  <c r="R27" i="22" s="1"/>
  <c r="R70" i="16"/>
  <c r="R38" i="14"/>
  <c r="J70" i="12"/>
  <c r="J61" i="22"/>
  <c r="R61" i="22" s="1"/>
  <c r="J30" i="22"/>
  <c r="R30" i="22" s="1"/>
  <c r="J66" i="22"/>
  <c r="R66" i="22" s="1"/>
  <c r="R51" i="6"/>
  <c r="R46" i="20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68" i="14"/>
  <c r="R68" i="14" s="1"/>
  <c r="K64" i="14"/>
  <c r="R64" i="14" s="1"/>
  <c r="K60" i="14"/>
  <c r="R60" i="14" s="1"/>
  <c r="K56" i="14"/>
  <c r="R56" i="14" s="1"/>
  <c r="K52" i="14"/>
  <c r="R52" i="14" s="1"/>
  <c r="K48" i="14"/>
  <c r="R48" i="14" s="1"/>
  <c r="K44" i="14"/>
  <c r="K40" i="14"/>
  <c r="R40" i="14" s="1"/>
  <c r="K36" i="14"/>
  <c r="R36" i="14" s="1"/>
  <c r="K32" i="14"/>
  <c r="K28" i="14"/>
  <c r="R28" i="14" s="1"/>
  <c r="K24" i="14"/>
  <c r="R24" i="14" s="1"/>
  <c r="K20" i="14"/>
  <c r="R20" i="14" s="1"/>
  <c r="K15" i="14"/>
  <c r="R15" i="14" s="1"/>
  <c r="K6" i="14"/>
  <c r="K62" i="14"/>
  <c r="R62" i="14" s="1"/>
  <c r="K49" i="14"/>
  <c r="R49" i="14" s="1"/>
  <c r="K38" i="14"/>
  <c r="K25" i="14"/>
  <c r="R25" i="14" s="1"/>
  <c r="K69" i="14"/>
  <c r="R69" i="14" s="1"/>
  <c r="K58" i="14"/>
  <c r="K45" i="14"/>
  <c r="R45" i="14" s="1"/>
  <c r="K34" i="14"/>
  <c r="R34" i="14" s="1"/>
  <c r="K23" i="14"/>
  <c r="R23" i="14" s="1"/>
  <c r="K18" i="14"/>
  <c r="R18" i="14" s="1"/>
  <c r="K10" i="14"/>
  <c r="R10" i="14" s="1"/>
  <c r="K13" i="14"/>
  <c r="R13" i="14" s="1"/>
  <c r="K65" i="14"/>
  <c r="R65" i="14" s="1"/>
  <c r="K54" i="14"/>
  <c r="R54" i="14" s="1"/>
  <c r="K41" i="14"/>
  <c r="R41" i="14" s="1"/>
  <c r="K30" i="14"/>
  <c r="R30" i="14" s="1"/>
  <c r="K21" i="14"/>
  <c r="R21" i="14" s="1"/>
  <c r="K7" i="14"/>
  <c r="R7" i="14" s="1"/>
  <c r="K61" i="14"/>
  <c r="R61" i="14" s="1"/>
  <c r="K50" i="14"/>
  <c r="R50" i="14" s="1"/>
  <c r="K37" i="14"/>
  <c r="R37" i="14" s="1"/>
  <c r="K26" i="14"/>
  <c r="R26" i="14" s="1"/>
  <c r="K19" i="14"/>
  <c r="R19" i="14" s="1"/>
  <c r="K16" i="14"/>
  <c r="R16" i="14" s="1"/>
  <c r="K11" i="14"/>
  <c r="R11" i="14" s="1"/>
  <c r="K22" i="14"/>
  <c r="R22" i="14" s="1"/>
  <c r="K53" i="14"/>
  <c r="R53" i="14" s="1"/>
  <c r="K42" i="14"/>
  <c r="K8" i="14"/>
  <c r="R8" i="14" s="1"/>
  <c r="K33" i="14"/>
  <c r="R33" i="14" s="1"/>
  <c r="K17" i="14"/>
  <c r="R17" i="14" s="1"/>
  <c r="K12" i="14"/>
  <c r="R12" i="14" s="1"/>
  <c r="K66" i="14"/>
  <c r="R66" i="14" s="1"/>
  <c r="K46" i="14"/>
  <c r="R46" i="14" s="1"/>
  <c r="K14" i="14"/>
  <c r="R14" i="14" s="1"/>
  <c r="K29" i="14"/>
  <c r="R29" i="14" s="1"/>
  <c r="K57" i="14"/>
  <c r="R57" i="14" s="1"/>
  <c r="R42" i="6"/>
  <c r="G6" i="2"/>
  <c r="F70" i="2"/>
  <c r="R12" i="6"/>
  <c r="R48" i="6"/>
  <c r="R12" i="4"/>
  <c r="R7" i="6"/>
  <c r="R14" i="6"/>
  <c r="R16" i="6"/>
  <c r="R69" i="6"/>
  <c r="G70" i="8"/>
  <c r="J6" i="8"/>
  <c r="R11" i="20"/>
  <c r="J16" i="22"/>
  <c r="R16" i="22" s="1"/>
  <c r="J19" i="22"/>
  <c r="R19" i="22" s="1"/>
  <c r="J58" i="22"/>
  <c r="R58" i="22" s="1"/>
  <c r="J70" i="18"/>
  <c r="R6" i="18"/>
  <c r="J44" i="22"/>
  <c r="R44" i="22" s="1"/>
  <c r="J52" i="24"/>
  <c r="R52" i="24" s="1"/>
  <c r="W15" i="26"/>
  <c r="R23" i="20"/>
  <c r="G70" i="6"/>
  <c r="J6" i="6"/>
  <c r="R13" i="22"/>
  <c r="R42" i="14"/>
  <c r="R59" i="20"/>
  <c r="R50" i="22"/>
  <c r="J70" i="14"/>
  <c r="J69" i="22"/>
  <c r="R69" i="22" s="1"/>
  <c r="J18" i="22"/>
  <c r="R18" i="22" s="1"/>
  <c r="J60" i="22"/>
  <c r="R60" i="22" s="1"/>
  <c r="R58" i="4"/>
  <c r="R32" i="14"/>
  <c r="J40" i="22"/>
  <c r="R40" i="22" s="1"/>
  <c r="R43" i="6"/>
  <c r="R44" i="14"/>
  <c r="J70" i="20"/>
  <c r="R8" i="6"/>
  <c r="R59" i="6"/>
  <c r="R25" i="6"/>
  <c r="R56" i="6"/>
  <c r="R48" i="4"/>
  <c r="R43" i="20"/>
  <c r="R10" i="6"/>
  <c r="R60" i="6"/>
  <c r="R17" i="4"/>
  <c r="J51" i="22"/>
  <c r="R51" i="22" s="1"/>
  <c r="J21" i="22"/>
  <c r="R21" i="22" s="1"/>
  <c r="J34" i="22"/>
  <c r="R34" i="22" s="1"/>
  <c r="R11" i="4"/>
  <c r="J47" i="22"/>
  <c r="R47" i="22" s="1"/>
  <c r="J49" i="24"/>
  <c r="R49" i="24" s="1"/>
  <c r="J17" i="22"/>
  <c r="R17" i="22" s="1"/>
  <c r="R58" i="14"/>
  <c r="J8" i="22"/>
  <c r="R8" i="22" s="1"/>
  <c r="R35" i="6"/>
  <c r="R33" i="6"/>
  <c r="R7" i="20"/>
  <c r="R52" i="22"/>
  <c r="R66" i="8"/>
  <c r="R6" i="24"/>
  <c r="R49" i="8"/>
  <c r="R45" i="4"/>
  <c r="J48" i="22"/>
  <c r="R48" i="22" s="1"/>
  <c r="R20" i="20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62" i="20"/>
  <c r="K55" i="20"/>
  <c r="R55" i="20" s="1"/>
  <c r="K38" i="20"/>
  <c r="R38" i="20" s="1"/>
  <c r="K31" i="20"/>
  <c r="R31" i="20" s="1"/>
  <c r="K20" i="20"/>
  <c r="K69" i="20"/>
  <c r="R69" i="20" s="1"/>
  <c r="K45" i="20"/>
  <c r="R45" i="20" s="1"/>
  <c r="K11" i="20"/>
  <c r="K6" i="20"/>
  <c r="R6" i="20" s="1"/>
  <c r="K66" i="20"/>
  <c r="R66" i="20" s="1"/>
  <c r="K59" i="20"/>
  <c r="K42" i="20"/>
  <c r="R42" i="20" s="1"/>
  <c r="K35" i="20"/>
  <c r="R35" i="20" s="1"/>
  <c r="K21" i="20"/>
  <c r="R21" i="20" s="1"/>
  <c r="K16" i="20"/>
  <c r="R16" i="20" s="1"/>
  <c r="K49" i="20"/>
  <c r="R49" i="20" s="1"/>
  <c r="K25" i="20"/>
  <c r="R25" i="20" s="1"/>
  <c r="K12" i="20"/>
  <c r="R12" i="20" s="1"/>
  <c r="K63" i="20"/>
  <c r="R63" i="20" s="1"/>
  <c r="K46" i="20"/>
  <c r="K39" i="20"/>
  <c r="R39" i="20" s="1"/>
  <c r="K7" i="20"/>
  <c r="K53" i="20"/>
  <c r="K29" i="20"/>
  <c r="R29" i="20" s="1"/>
  <c r="K22" i="20"/>
  <c r="R22" i="20" s="1"/>
  <c r="K17" i="20"/>
  <c r="R17" i="20" s="1"/>
  <c r="K67" i="20"/>
  <c r="R67" i="20" s="1"/>
  <c r="K50" i="20"/>
  <c r="R50" i="20" s="1"/>
  <c r="K43" i="20"/>
  <c r="K26" i="20"/>
  <c r="R26" i="20" s="1"/>
  <c r="K13" i="20"/>
  <c r="K8" i="20"/>
  <c r="R8" i="20" s="1"/>
  <c r="K57" i="20"/>
  <c r="R57" i="20" s="1"/>
  <c r="K33" i="20"/>
  <c r="R33" i="20" s="1"/>
  <c r="K58" i="20"/>
  <c r="R58" i="20" s="1"/>
  <c r="K51" i="20"/>
  <c r="R51" i="20" s="1"/>
  <c r="K34" i="20"/>
  <c r="R34" i="20" s="1"/>
  <c r="K27" i="20"/>
  <c r="R27" i="20" s="1"/>
  <c r="K19" i="20"/>
  <c r="R19" i="20" s="1"/>
  <c r="K10" i="20"/>
  <c r="R10" i="20" s="1"/>
  <c r="K65" i="20"/>
  <c r="K41" i="20"/>
  <c r="R41" i="20" s="1"/>
  <c r="K15" i="20"/>
  <c r="K54" i="20"/>
  <c r="K47" i="20"/>
  <c r="R47" i="20" s="1"/>
  <c r="K37" i="20"/>
  <c r="K30" i="20"/>
  <c r="R30" i="20" s="1"/>
  <c r="K9" i="20"/>
  <c r="R9" i="20" s="1"/>
  <c r="K18" i="20"/>
  <c r="R18" i="20" s="1"/>
  <c r="K14" i="20"/>
  <c r="R14" i="20" s="1"/>
  <c r="K23" i="20"/>
  <c r="K61" i="20"/>
  <c r="R61" i="20" s="1"/>
  <c r="J67" i="22"/>
  <c r="R67" i="22" s="1"/>
  <c r="R32" i="6"/>
  <c r="R15" i="20"/>
  <c r="R26" i="6"/>
  <c r="R19" i="6"/>
  <c r="R64" i="6"/>
  <c r="R55" i="6"/>
  <c r="R30" i="6"/>
  <c r="R46" i="6"/>
  <c r="R37" i="6"/>
  <c r="R15" i="6"/>
  <c r="R53" i="4"/>
  <c r="R54" i="20"/>
  <c r="R62" i="20"/>
  <c r="J10" i="22"/>
  <c r="R10" i="22" s="1"/>
  <c r="K70" i="22"/>
  <c r="J56" i="24"/>
  <c r="R56" i="24" s="1"/>
  <c r="AT65" i="27"/>
  <c r="AT53" i="27"/>
  <c r="R58" i="27"/>
  <c r="R43" i="27"/>
  <c r="R44" i="27"/>
  <c r="R55" i="27"/>
  <c r="R7" i="27"/>
  <c r="AT27" i="27"/>
  <c r="AD52" i="27"/>
  <c r="AD49" i="27"/>
  <c r="AD46" i="27"/>
  <c r="AD51" i="27"/>
  <c r="AD19" i="27"/>
  <c r="AX3" i="27"/>
  <c r="AP42" i="27"/>
  <c r="AP60" i="27"/>
  <c r="N27" i="27"/>
  <c r="AD50" i="27"/>
  <c r="AT55" i="27"/>
  <c r="N40" i="27"/>
  <c r="AT44" i="27"/>
  <c r="R46" i="27"/>
  <c r="N43" i="27"/>
  <c r="N39" i="27"/>
  <c r="AT15" i="27"/>
  <c r="J42" i="27"/>
  <c r="AP54" i="27"/>
  <c r="AD14" i="27"/>
  <c r="N57" i="27"/>
  <c r="J50" i="27"/>
  <c r="N16" i="27"/>
  <c r="AP34" i="27"/>
  <c r="N38" i="27"/>
  <c r="AT16" i="27"/>
  <c r="AT59" i="27"/>
  <c r="AT56" i="27"/>
  <c r="AT43" i="27"/>
  <c r="R54" i="27"/>
  <c r="R19" i="27"/>
  <c r="R37" i="27"/>
  <c r="R31" i="27"/>
  <c r="R59" i="27"/>
  <c r="R32" i="27"/>
  <c r="AT63" i="27"/>
  <c r="AD48" i="27"/>
  <c r="AD45" i="27"/>
  <c r="AD38" i="27"/>
  <c r="N11" i="27"/>
  <c r="AT66" i="27"/>
  <c r="N34" i="27"/>
  <c r="N12" i="27"/>
  <c r="N29" i="27"/>
  <c r="AP40" i="27"/>
  <c r="AT22" i="27"/>
  <c r="AT50" i="27"/>
  <c r="R50" i="27"/>
  <c r="R64" i="27"/>
  <c r="R20" i="27"/>
  <c r="R13" i="27"/>
  <c r="R29" i="27"/>
  <c r="N62" i="27"/>
  <c r="AD44" i="27"/>
  <c r="AD22" i="27"/>
  <c r="AD27" i="27"/>
  <c r="N13" i="27"/>
  <c r="N7" i="27"/>
  <c r="AP33" i="27"/>
  <c r="AT41" i="27"/>
  <c r="AT14" i="27"/>
  <c r="AP26" i="27"/>
  <c r="AP59" i="27"/>
  <c r="AP28" i="27"/>
  <c r="AT58" i="27"/>
  <c r="AT6" i="27"/>
  <c r="AT11" i="27"/>
  <c r="R57" i="27"/>
  <c r="R51" i="27"/>
  <c r="R52" i="27"/>
  <c r="R36" i="27"/>
  <c r="AD40" i="27"/>
  <c r="AD37" i="27"/>
  <c r="AD66" i="27"/>
  <c r="AD18" i="27"/>
  <c r="AD5" i="27"/>
  <c r="N66" i="27"/>
  <c r="AL3" i="27"/>
  <c r="AT57" i="27"/>
  <c r="AD41" i="27"/>
  <c r="AT10" i="27"/>
  <c r="AP48" i="27"/>
  <c r="R17" i="27"/>
  <c r="AD56" i="27"/>
  <c r="AP20" i="27"/>
  <c r="AP45" i="27"/>
  <c r="AX53" i="27"/>
  <c r="AT34" i="27"/>
  <c r="AT35" i="27"/>
  <c r="AT32" i="27"/>
  <c r="R42" i="27"/>
  <c r="R40" i="27"/>
  <c r="R27" i="27"/>
  <c r="R45" i="27"/>
  <c r="R25" i="27"/>
  <c r="AD36" i="27"/>
  <c r="AD33" i="27"/>
  <c r="AD4" i="27"/>
  <c r="AD30" i="27"/>
  <c r="J55" i="27"/>
  <c r="AX46" i="27"/>
  <c r="AT45" i="27"/>
  <c r="AP25" i="27"/>
  <c r="AP27" i="27"/>
  <c r="J66" i="27"/>
  <c r="R38" i="27"/>
  <c r="R9" i="27"/>
  <c r="R28" i="27"/>
  <c r="AD32" i="27"/>
  <c r="AD58" i="27"/>
  <c r="AP17" i="27"/>
  <c r="AP35" i="27"/>
  <c r="R4" i="27"/>
  <c r="N35" i="27"/>
  <c r="N4" i="27"/>
  <c r="N52" i="27"/>
  <c r="N15" i="27"/>
  <c r="AT46" i="27"/>
  <c r="R33" i="27"/>
  <c r="R15" i="27"/>
  <c r="AD42" i="27"/>
  <c r="AD29" i="27"/>
  <c r="J8" i="27"/>
  <c r="AX20" i="27"/>
  <c r="AT12" i="27"/>
  <c r="R34" i="27"/>
  <c r="R16" i="27"/>
  <c r="R5" i="27"/>
  <c r="R21" i="27"/>
  <c r="R49" i="27"/>
  <c r="AT24" i="27"/>
  <c r="N48" i="27"/>
  <c r="AD28" i="27"/>
  <c r="AD25" i="27"/>
  <c r="AD31" i="27"/>
  <c r="AD47" i="27"/>
  <c r="AD9" i="27"/>
  <c r="AX49" i="27"/>
  <c r="AT37" i="27"/>
  <c r="N5" i="27"/>
  <c r="J14" i="27"/>
  <c r="AD55" i="27"/>
  <c r="N32" i="27"/>
  <c r="AP65" i="27"/>
  <c r="AP15" i="27"/>
  <c r="AP12" i="27"/>
  <c r="AP51" i="27"/>
  <c r="AP14" i="27"/>
  <c r="N23" i="27"/>
  <c r="AP58" i="27"/>
  <c r="R62" i="27"/>
  <c r="AD53" i="27"/>
  <c r="AX6" i="27"/>
  <c r="AT26" i="27"/>
  <c r="AT29" i="27"/>
  <c r="R30" i="27"/>
  <c r="R8" i="27"/>
  <c r="R65" i="27"/>
  <c r="R10" i="27"/>
  <c r="R14" i="27"/>
  <c r="AT30" i="27"/>
  <c r="AP43" i="27"/>
  <c r="AD24" i="27"/>
  <c r="AD21" i="27"/>
  <c r="AD20" i="27"/>
  <c r="AD34" i="27"/>
  <c r="AD63" i="27"/>
  <c r="N9" i="27"/>
  <c r="AD39" i="27"/>
  <c r="N56" i="27"/>
  <c r="AT48" i="27"/>
  <c r="AT5" i="27"/>
  <c r="N30" i="27"/>
  <c r="AP52" i="27"/>
  <c r="AP18" i="27"/>
  <c r="AT18" i="27"/>
  <c r="AP46" i="27"/>
  <c r="R61" i="27"/>
  <c r="AD54" i="27"/>
  <c r="AP38" i="27"/>
  <c r="N25" i="27"/>
  <c r="N50" i="27"/>
  <c r="AT9" i="27"/>
  <c r="AT39" i="27"/>
  <c r="R26" i="27"/>
  <c r="R47" i="27"/>
  <c r="R48" i="27"/>
  <c r="R6" i="27"/>
  <c r="R56" i="27"/>
  <c r="AP50" i="27"/>
  <c r="AD35" i="27"/>
  <c r="AD6" i="27"/>
  <c r="AD17" i="27"/>
  <c r="AD15" i="27"/>
  <c r="AD23" i="27"/>
  <c r="AD43" i="27"/>
  <c r="N45" i="27"/>
  <c r="AP8" i="27"/>
  <c r="N22" i="27"/>
  <c r="AP4" i="27"/>
  <c r="AP62" i="27"/>
  <c r="N33" i="27"/>
  <c r="AT28" i="27"/>
  <c r="AT62" i="27"/>
  <c r="AX62" i="27"/>
  <c r="R22" i="27"/>
  <c r="R23" i="27"/>
  <c r="R41" i="27"/>
  <c r="R53" i="27"/>
  <c r="AD64" i="27"/>
  <c r="AD61" i="27"/>
  <c r="AD12" i="27"/>
  <c r="AD7" i="27"/>
  <c r="AD16" i="27"/>
  <c r="AD11" i="27"/>
  <c r="J9" i="27"/>
  <c r="AT13" i="27"/>
  <c r="AP56" i="27"/>
  <c r="N53" i="27"/>
  <c r="AT49" i="27"/>
  <c r="AT7" i="27"/>
  <c r="AT8" i="27"/>
  <c r="R60" i="27"/>
  <c r="AD8" i="27"/>
  <c r="AP9" i="27"/>
  <c r="J19" i="27"/>
  <c r="AT42" i="27"/>
  <c r="AT17" i="27"/>
  <c r="R66" i="27"/>
  <c r="R18" i="27"/>
  <c r="R12" i="27"/>
  <c r="R24" i="27"/>
  <c r="R35" i="27"/>
  <c r="AP10" i="27"/>
  <c r="AD60" i="27"/>
  <c r="AD57" i="27"/>
  <c r="AD10" i="27"/>
  <c r="AD13" i="27"/>
  <c r="AD26" i="27"/>
  <c r="AT47" i="27"/>
  <c r="J45" i="27"/>
  <c r="AT31" i="27"/>
  <c r="R63" i="27"/>
  <c r="AT64" i="27"/>
  <c r="N61" i="27"/>
  <c r="V3" i="27"/>
  <c r="AD62" i="27"/>
  <c r="N31" i="27"/>
  <c r="N44" i="27"/>
  <c r="AP61" i="27"/>
  <c r="AP24" i="27"/>
  <c r="AP11" i="27"/>
  <c r="AP13" i="27"/>
  <c r="AP16" i="27"/>
  <c r="N37" i="27"/>
  <c r="AP47" i="27"/>
  <c r="N54" i="27"/>
  <c r="AP22" i="27"/>
  <c r="N24" i="27"/>
  <c r="AP3" i="27"/>
  <c r="N17" i="27"/>
  <c r="AP55" i="27"/>
  <c r="AD65" i="27"/>
  <c r="AP57" i="27"/>
  <c r="AP64" i="27"/>
  <c r="AP53" i="27"/>
  <c r="AP7" i="27"/>
  <c r="AP49" i="27"/>
  <c r="N59" i="27"/>
  <c r="AP41" i="27"/>
  <c r="AP36" i="27"/>
  <c r="N60" i="27"/>
  <c r="AP29" i="27"/>
  <c r="AP39" i="27"/>
  <c r="N18" i="27"/>
  <c r="N36" i="27"/>
  <c r="N6" i="27"/>
  <c r="N41" i="27"/>
  <c r="AP44" i="27"/>
  <c r="AP30" i="27"/>
  <c r="N19" i="27"/>
  <c r="N21" i="27"/>
  <c r="N26" i="27"/>
  <c r="AP6" i="27"/>
  <c r="N63" i="27"/>
  <c r="N14" i="27"/>
  <c r="N28" i="27"/>
  <c r="AD59" i="27"/>
  <c r="AP66" i="27"/>
  <c r="AP23" i="27"/>
  <c r="N10" i="27"/>
  <c r="N47" i="27"/>
  <c r="AP63" i="27"/>
  <c r="R11" i="27"/>
  <c r="AP32" i="27"/>
  <c r="N49" i="27"/>
  <c r="N55" i="27"/>
  <c r="N20" i="27"/>
  <c r="N58" i="27"/>
  <c r="AP37" i="27"/>
  <c r="AP5" i="27"/>
  <c r="N64" i="27"/>
  <c r="AP19" i="27"/>
  <c r="N51" i="27"/>
  <c r="N42" i="27"/>
  <c r="N65" i="27"/>
  <c r="AP31" i="27"/>
  <c r="R39" i="27"/>
  <c r="N8" i="27"/>
  <c r="N46" i="27"/>
  <c r="AP21" i="27"/>
  <c r="AR21" i="27" l="1"/>
  <c r="P46" i="27"/>
  <c r="P8" i="27"/>
  <c r="T39" i="27"/>
  <c r="AR31" i="27"/>
  <c r="P65" i="27"/>
  <c r="P42" i="27"/>
  <c r="P51" i="27"/>
  <c r="AR19" i="27"/>
  <c r="P64" i="27"/>
  <c r="AR5" i="27"/>
  <c r="AR37" i="27"/>
  <c r="P58" i="27"/>
  <c r="P20" i="27"/>
  <c r="P55" i="27"/>
  <c r="P49" i="27"/>
  <c r="AR32" i="27"/>
  <c r="T11" i="27"/>
  <c r="AR63" i="27"/>
  <c r="P47" i="27"/>
  <c r="P10" i="27"/>
  <c r="AR23" i="27"/>
  <c r="AR66" i="27"/>
  <c r="AF59" i="27"/>
  <c r="P28" i="27"/>
  <c r="P14" i="27"/>
  <c r="P63" i="27"/>
  <c r="AR6" i="27"/>
  <c r="P26" i="27"/>
  <c r="P21" i="27"/>
  <c r="P19" i="27"/>
  <c r="AR30" i="27"/>
  <c r="AR44" i="27"/>
  <c r="P41" i="27"/>
  <c r="P6" i="27"/>
  <c r="P36" i="27"/>
  <c r="P18" i="27"/>
  <c r="AR39" i="27"/>
  <c r="AR29" i="27"/>
  <c r="P60" i="27"/>
  <c r="AR36" i="27"/>
  <c r="AR41" i="27"/>
  <c r="P59" i="27"/>
  <c r="AR49" i="27"/>
  <c r="AR7" i="27"/>
  <c r="AR53" i="27"/>
  <c r="AR64" i="27"/>
  <c r="AR57" i="27"/>
  <c r="AF65" i="27"/>
  <c r="AR55" i="27"/>
  <c r="P17" i="27"/>
  <c r="AP67" i="27"/>
  <c r="AR3" i="27"/>
  <c r="P24" i="27"/>
  <c r="AR22" i="27"/>
  <c r="P54" i="27"/>
  <c r="AR47" i="27"/>
  <c r="P37" i="27"/>
  <c r="AR16" i="27"/>
  <c r="AR13" i="27"/>
  <c r="AR11" i="27"/>
  <c r="AR24" i="27"/>
  <c r="AR61" i="27"/>
  <c r="P44" i="27"/>
  <c r="P31" i="27"/>
  <c r="AF62" i="27"/>
  <c r="V67" i="27"/>
  <c r="X3" i="27"/>
  <c r="X67" i="27" s="1"/>
  <c r="P61" i="27"/>
  <c r="AV64" i="27"/>
  <c r="T63" i="27"/>
  <c r="AV31" i="27"/>
  <c r="L45" i="27"/>
  <c r="AV47" i="27"/>
  <c r="AF26" i="27"/>
  <c r="AF13" i="27"/>
  <c r="AF10" i="27"/>
  <c r="AF57" i="27"/>
  <c r="AF60" i="27"/>
  <c r="AR10" i="27"/>
  <c r="T35" i="27"/>
  <c r="T24" i="27"/>
  <c r="T12" i="27"/>
  <c r="T18" i="27"/>
  <c r="T66" i="27"/>
  <c r="AV17" i="27"/>
  <c r="AV42" i="27"/>
  <c r="L19" i="27"/>
  <c r="AR9" i="27"/>
  <c r="AF8" i="27"/>
  <c r="T60" i="27"/>
  <c r="AV8" i="27"/>
  <c r="AV7" i="27"/>
  <c r="AV49" i="27"/>
  <c r="P53" i="27"/>
  <c r="AR56" i="27"/>
  <c r="AV13" i="27"/>
  <c r="L9" i="27"/>
  <c r="AF11" i="27"/>
  <c r="AF16" i="27"/>
  <c r="AF7" i="27"/>
  <c r="AF12" i="27"/>
  <c r="AF61" i="27"/>
  <c r="AF64" i="27"/>
  <c r="T53" i="27"/>
  <c r="T41" i="27"/>
  <c r="T23" i="27"/>
  <c r="T22" i="27"/>
  <c r="AZ62" i="27"/>
  <c r="AV62" i="27"/>
  <c r="AV28" i="27"/>
  <c r="P33" i="27"/>
  <c r="AR62" i="27"/>
  <c r="AR4" i="27"/>
  <c r="P22" i="27"/>
  <c r="AR8" i="27"/>
  <c r="P45" i="27"/>
  <c r="AF43" i="27"/>
  <c r="AF23" i="27"/>
  <c r="AF15" i="27"/>
  <c r="AF17" i="27"/>
  <c r="AF6" i="27"/>
  <c r="AF35" i="27"/>
  <c r="AR50" i="27"/>
  <c r="T56" i="27"/>
  <c r="T6" i="27"/>
  <c r="T48" i="27"/>
  <c r="T47" i="27"/>
  <c r="T26" i="27"/>
  <c r="AV39" i="27"/>
  <c r="AV9" i="27"/>
  <c r="P50" i="27"/>
  <c r="P25" i="27"/>
  <c r="AR38" i="27"/>
  <c r="AF54" i="27"/>
  <c r="T61" i="27"/>
  <c r="AR46" i="27"/>
  <c r="AV18" i="27"/>
  <c r="AR18" i="27"/>
  <c r="AR52" i="27"/>
  <c r="P30" i="27"/>
  <c r="AV5" i="27"/>
  <c r="AV48" i="27"/>
  <c r="P56" i="27"/>
  <c r="AF39" i="27"/>
  <c r="P9" i="27"/>
  <c r="AF63" i="27"/>
  <c r="AF34" i="27"/>
  <c r="AF20" i="27"/>
  <c r="AF21" i="27"/>
  <c r="AF24" i="27"/>
  <c r="AR43" i="27"/>
  <c r="AV30" i="27"/>
  <c r="T14" i="27"/>
  <c r="T10" i="27"/>
  <c r="T65" i="27"/>
  <c r="T8" i="27"/>
  <c r="T30" i="27"/>
  <c r="AV29" i="27"/>
  <c r="AV26" i="27"/>
  <c r="AZ6" i="27"/>
  <c r="AF53" i="27"/>
  <c r="T62" i="27"/>
  <c r="AR58" i="27"/>
  <c r="P23" i="27"/>
  <c r="AR14" i="27"/>
  <c r="AR51" i="27"/>
  <c r="AR12" i="27"/>
  <c r="AR15" i="27"/>
  <c r="AR65" i="27"/>
  <c r="P32" i="27"/>
  <c r="AF55" i="27"/>
  <c r="L14" i="27"/>
  <c r="P5" i="27"/>
  <c r="AV37" i="27"/>
  <c r="AZ49" i="27"/>
  <c r="AF9" i="27"/>
  <c r="AF47" i="27"/>
  <c r="AF31" i="27"/>
  <c r="AF25" i="27"/>
  <c r="AF28" i="27"/>
  <c r="P48" i="27"/>
  <c r="AV24" i="27"/>
  <c r="T49" i="27"/>
  <c r="T21" i="27"/>
  <c r="T5" i="27"/>
  <c r="T16" i="27"/>
  <c r="T34" i="27"/>
  <c r="AV12" i="27"/>
  <c r="AZ20" i="27"/>
  <c r="L8" i="27"/>
  <c r="AF29" i="27"/>
  <c r="AF42" i="27"/>
  <c r="T15" i="27"/>
  <c r="T33" i="27"/>
  <c r="AV46" i="27"/>
  <c r="P15" i="27"/>
  <c r="P52" i="27"/>
  <c r="P4" i="27"/>
  <c r="P35" i="27"/>
  <c r="T4" i="27"/>
  <c r="AR35" i="27"/>
  <c r="AR17" i="27"/>
  <c r="AF58" i="27"/>
  <c r="AF32" i="27"/>
  <c r="T28" i="27"/>
  <c r="T9" i="27"/>
  <c r="T38" i="27"/>
  <c r="L66" i="27"/>
  <c r="AR27" i="27"/>
  <c r="AR25" i="27"/>
  <c r="AV45" i="27"/>
  <c r="AZ46" i="27"/>
  <c r="L55" i="27"/>
  <c r="AF30" i="27"/>
  <c r="AF4" i="27"/>
  <c r="AF33" i="27"/>
  <c r="AF36" i="27"/>
  <c r="T25" i="27"/>
  <c r="T45" i="27"/>
  <c r="T27" i="27"/>
  <c r="T40" i="27"/>
  <c r="T42" i="27"/>
  <c r="AV32" i="27"/>
  <c r="AV35" i="27"/>
  <c r="AV34" i="27"/>
  <c r="AZ53" i="27"/>
  <c r="AR45" i="27"/>
  <c r="AR20" i="27"/>
  <c r="AF56" i="27"/>
  <c r="T17" i="27"/>
  <c r="AR48" i="27"/>
  <c r="AV10" i="27"/>
  <c r="AF41" i="27"/>
  <c r="AV57" i="27"/>
  <c r="AL67" i="27"/>
  <c r="AN3" i="27"/>
  <c r="AN67" i="27" s="1"/>
  <c r="P66" i="27"/>
  <c r="AF5" i="27"/>
  <c r="AF18" i="27"/>
  <c r="AF66" i="27"/>
  <c r="AF37" i="27"/>
  <c r="AF40" i="27"/>
  <c r="T36" i="27"/>
  <c r="T52" i="27"/>
  <c r="T51" i="27"/>
  <c r="T57" i="27"/>
  <c r="AV11" i="27"/>
  <c r="AV6" i="27"/>
  <c r="AV58" i="27"/>
  <c r="AR28" i="27"/>
  <c r="AR59" i="27"/>
  <c r="AR26" i="27"/>
  <c r="AV14" i="27"/>
  <c r="AV41" i="27"/>
  <c r="AR33" i="27"/>
  <c r="P7" i="27"/>
  <c r="P13" i="27"/>
  <c r="AF27" i="27"/>
  <c r="AF22" i="27"/>
  <c r="AF44" i="27"/>
  <c r="P62" i="27"/>
  <c r="T29" i="27"/>
  <c r="T13" i="27"/>
  <c r="T20" i="27"/>
  <c r="T64" i="27"/>
  <c r="T50" i="27"/>
  <c r="AV50" i="27"/>
  <c r="AV22" i="27"/>
  <c r="AR40" i="27"/>
  <c r="P29" i="27"/>
  <c r="P12" i="27"/>
  <c r="P34" i="27"/>
  <c r="AV66" i="27"/>
  <c r="P11" i="27"/>
  <c r="AF38" i="27"/>
  <c r="AF45" i="27"/>
  <c r="AF48" i="27"/>
  <c r="AV63" i="27"/>
  <c r="T32" i="27"/>
  <c r="T59" i="27"/>
  <c r="T31" i="27"/>
  <c r="T37" i="27"/>
  <c r="T19" i="27"/>
  <c r="T54" i="27"/>
  <c r="AV43" i="27"/>
  <c r="AV56" i="27"/>
  <c r="AV59" i="27"/>
  <c r="AV16" i="27"/>
  <c r="P38" i="27"/>
  <c r="AR34" i="27"/>
  <c r="P16" i="27"/>
  <c r="L50" i="27"/>
  <c r="P57" i="27"/>
  <c r="AF14" i="27"/>
  <c r="AR54" i="27"/>
  <c r="L42" i="27"/>
  <c r="AV15" i="27"/>
  <c r="P39" i="27"/>
  <c r="P43" i="27"/>
  <c r="T46" i="27"/>
  <c r="AV44" i="27"/>
  <c r="P40" i="27"/>
  <c r="AV55" i="27"/>
  <c r="AF50" i="27"/>
  <c r="P27" i="27"/>
  <c r="AR60" i="27"/>
  <c r="AR42" i="27"/>
  <c r="AX67" i="27"/>
  <c r="AZ3" i="27"/>
  <c r="AF19" i="27"/>
  <c r="AF51" i="27"/>
  <c r="AF46" i="27"/>
  <c r="AF49" i="27"/>
  <c r="AF52" i="27"/>
  <c r="AV27" i="27"/>
  <c r="T7" i="27"/>
  <c r="T55" i="27"/>
  <c r="T44" i="27"/>
  <c r="T43" i="27"/>
  <c r="T58" i="27"/>
  <c r="AV53" i="27"/>
  <c r="AV65" i="27"/>
  <c r="R70" i="20"/>
  <c r="R70" i="10"/>
  <c r="K70" i="14"/>
  <c r="R6" i="14"/>
  <c r="J70" i="4"/>
  <c r="R6" i="4"/>
  <c r="J70" i="24"/>
  <c r="J70" i="8"/>
  <c r="R6" i="8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R8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18" i="12"/>
  <c r="R18" i="12" s="1"/>
  <c r="K12" i="12"/>
  <c r="R12" i="12" s="1"/>
  <c r="K9" i="12"/>
  <c r="R9" i="12" s="1"/>
  <c r="K6" i="12"/>
  <c r="K67" i="12"/>
  <c r="R67" i="12" s="1"/>
  <c r="K61" i="12"/>
  <c r="R61" i="12" s="1"/>
  <c r="K55" i="12"/>
  <c r="R55" i="12" s="1"/>
  <c r="K49" i="12"/>
  <c r="R49" i="12" s="1"/>
  <c r="K43" i="12"/>
  <c r="R43" i="12" s="1"/>
  <c r="K37" i="12"/>
  <c r="R37" i="12" s="1"/>
  <c r="K31" i="12"/>
  <c r="R31" i="12" s="1"/>
  <c r="K25" i="12"/>
  <c r="R25" i="12" s="1"/>
  <c r="K19" i="12"/>
  <c r="R19" i="12" s="1"/>
  <c r="K65" i="12"/>
  <c r="R65" i="12" s="1"/>
  <c r="K59" i="12"/>
  <c r="R59" i="12" s="1"/>
  <c r="K53" i="12"/>
  <c r="R53" i="12" s="1"/>
  <c r="K47" i="12"/>
  <c r="R47" i="12" s="1"/>
  <c r="K41" i="12"/>
  <c r="R41" i="12" s="1"/>
  <c r="K35" i="12"/>
  <c r="R35" i="12" s="1"/>
  <c r="K29" i="12"/>
  <c r="R29" i="12" s="1"/>
  <c r="K23" i="12"/>
  <c r="R23" i="12" s="1"/>
  <c r="K20" i="12"/>
  <c r="R20" i="12" s="1"/>
  <c r="K7" i="12"/>
  <c r="R7" i="12" s="1"/>
  <c r="K57" i="12"/>
  <c r="R57" i="12" s="1"/>
  <c r="K21" i="12"/>
  <c r="R21" i="12" s="1"/>
  <c r="K10" i="12"/>
  <c r="R10" i="12" s="1"/>
  <c r="K63" i="12"/>
  <c r="R63" i="12" s="1"/>
  <c r="K27" i="12"/>
  <c r="R27" i="12" s="1"/>
  <c r="K69" i="12"/>
  <c r="R69" i="12" s="1"/>
  <c r="K33" i="12"/>
  <c r="R33" i="12" s="1"/>
  <c r="K39" i="12"/>
  <c r="R39" i="12" s="1"/>
  <c r="K14" i="12"/>
  <c r="R14" i="12" s="1"/>
  <c r="K51" i="12"/>
  <c r="R51" i="12" s="1"/>
  <c r="K16" i="12"/>
  <c r="R16" i="12" s="1"/>
  <c r="K45" i="12"/>
  <c r="R45" i="12" s="1"/>
  <c r="K11" i="12"/>
  <c r="R11" i="12" s="1"/>
  <c r="G70" i="2"/>
  <c r="J6" i="2"/>
  <c r="J70" i="6"/>
  <c r="R6" i="6"/>
  <c r="R70" i="18"/>
  <c r="K70" i="6"/>
  <c r="J70" i="22"/>
  <c r="R6" i="22"/>
  <c r="K70" i="20"/>
  <c r="R70" i="24"/>
  <c r="K70" i="8"/>
  <c r="AJ67" i="27"/>
  <c r="Z59" i="27"/>
  <c r="Z10" i="27"/>
  <c r="Z25" i="27"/>
  <c r="Z34" i="27"/>
  <c r="Z17" i="27"/>
  <c r="Z13" i="27"/>
  <c r="Z28" i="27"/>
  <c r="Z42" i="27"/>
  <c r="Z12" i="27"/>
  <c r="Z8" i="27"/>
  <c r="Z47" i="27"/>
  <c r="Z15" i="27"/>
  <c r="Z16" i="27"/>
  <c r="Z62" i="27"/>
  <c r="Z41" i="27"/>
  <c r="Z32" i="27"/>
  <c r="Z55" i="27"/>
  <c r="Z5" i="27"/>
  <c r="Z21" i="27"/>
  <c r="Z4" i="27"/>
  <c r="Z51" i="27"/>
  <c r="Z22" i="27"/>
  <c r="Z54" i="27"/>
  <c r="Z9" i="27"/>
  <c r="Z27" i="27"/>
  <c r="Z14" i="27"/>
  <c r="Z65" i="27"/>
  <c r="Z18" i="27"/>
  <c r="Z43" i="27"/>
  <c r="Z66" i="27"/>
  <c r="Z38" i="27"/>
  <c r="Z52" i="27"/>
  <c r="Z48" i="27"/>
  <c r="Z61" i="27"/>
  <c r="Z7" i="27"/>
  <c r="Z29" i="27"/>
  <c r="Z57" i="27"/>
  <c r="Z30" i="27"/>
  <c r="Z23" i="27"/>
  <c r="AD3" i="27"/>
  <c r="Z39" i="27"/>
  <c r="Z53" i="27"/>
  <c r="Z6" i="27"/>
  <c r="Z56" i="27"/>
  <c r="Z60" i="27"/>
  <c r="N3" i="27"/>
  <c r="Z44" i="27"/>
  <c r="Z35" i="27"/>
  <c r="Z49" i="27"/>
  <c r="Z50" i="27"/>
  <c r="Z24" i="27"/>
  <c r="Z58" i="27"/>
  <c r="Z36" i="27"/>
  <c r="J3" i="27"/>
  <c r="Z31" i="27"/>
  <c r="Z45" i="27"/>
  <c r="Z64" i="27"/>
  <c r="Z40" i="27"/>
  <c r="Z37" i="27"/>
  <c r="Z63" i="27"/>
  <c r="R3" i="27"/>
  <c r="Z19" i="27"/>
  <c r="Z33" i="27"/>
  <c r="Z46" i="27"/>
  <c r="Z26" i="27"/>
  <c r="Z11" i="27"/>
  <c r="AT3" i="27"/>
  <c r="Z20" i="27"/>
  <c r="AB20" i="27" l="1"/>
  <c r="BB20" i="27"/>
  <c r="BD20" i="27" s="1"/>
  <c r="BE20" i="27" s="1"/>
  <c r="AT67" i="27"/>
  <c r="AV3" i="27"/>
  <c r="AV67" i="27" s="1"/>
  <c r="AB11" i="27"/>
  <c r="BB11" i="27"/>
  <c r="BD11" i="27" s="1"/>
  <c r="BE11" i="27" s="1"/>
  <c r="AB26" i="27"/>
  <c r="BB26" i="27"/>
  <c r="BD26" i="27" s="1"/>
  <c r="BE26" i="27" s="1"/>
  <c r="AB46" i="27"/>
  <c r="BB46" i="27"/>
  <c r="BD46" i="27" s="1"/>
  <c r="BE46" i="27" s="1"/>
  <c r="AB33" i="27"/>
  <c r="BB33" i="27"/>
  <c r="BD33" i="27" s="1"/>
  <c r="BE33" i="27" s="1"/>
  <c r="AB19" i="27"/>
  <c r="BB19" i="27"/>
  <c r="BD19" i="27" s="1"/>
  <c r="BE19" i="27" s="1"/>
  <c r="R67" i="27"/>
  <c r="T3" i="27"/>
  <c r="T67" i="27" s="1"/>
  <c r="AB63" i="27"/>
  <c r="BB63" i="27"/>
  <c r="BD63" i="27" s="1"/>
  <c r="BE63" i="27" s="1"/>
  <c r="AB37" i="27"/>
  <c r="BB37" i="27"/>
  <c r="BD37" i="27" s="1"/>
  <c r="BE37" i="27" s="1"/>
  <c r="AB40" i="27"/>
  <c r="BB40" i="27"/>
  <c r="BD40" i="27" s="1"/>
  <c r="BE40" i="27" s="1"/>
  <c r="AB64" i="27"/>
  <c r="BB64" i="27"/>
  <c r="BD64" i="27" s="1"/>
  <c r="BE64" i="27" s="1"/>
  <c r="AB45" i="27"/>
  <c r="BB45" i="27"/>
  <c r="BD45" i="27" s="1"/>
  <c r="BE45" i="27" s="1"/>
  <c r="AB31" i="27"/>
  <c r="BB31" i="27"/>
  <c r="BD31" i="27" s="1"/>
  <c r="BE31" i="27" s="1"/>
  <c r="J67" i="27"/>
  <c r="L3" i="27"/>
  <c r="L67" i="27" s="1"/>
  <c r="AB36" i="27"/>
  <c r="BB36" i="27"/>
  <c r="BD36" i="27" s="1"/>
  <c r="BE36" i="27" s="1"/>
  <c r="AB58" i="27"/>
  <c r="BB58" i="27"/>
  <c r="BD58" i="27" s="1"/>
  <c r="BE58" i="27" s="1"/>
  <c r="AB24" i="27"/>
  <c r="BB24" i="27"/>
  <c r="BD24" i="27" s="1"/>
  <c r="BE24" i="27" s="1"/>
  <c r="AB50" i="27"/>
  <c r="BB50" i="27"/>
  <c r="BD50" i="27" s="1"/>
  <c r="BE50" i="27" s="1"/>
  <c r="AB49" i="27"/>
  <c r="BB49" i="27"/>
  <c r="BD49" i="27" s="1"/>
  <c r="BE49" i="27" s="1"/>
  <c r="AB35" i="27"/>
  <c r="BB35" i="27"/>
  <c r="BD35" i="27" s="1"/>
  <c r="BE35" i="27" s="1"/>
  <c r="AB44" i="27"/>
  <c r="BB44" i="27"/>
  <c r="BD44" i="27" s="1"/>
  <c r="BE44" i="27" s="1"/>
  <c r="N67" i="27"/>
  <c r="P3" i="27"/>
  <c r="P67" i="27" s="1"/>
  <c r="AB60" i="27"/>
  <c r="BB60" i="27"/>
  <c r="BD60" i="27" s="1"/>
  <c r="BE60" i="27" s="1"/>
  <c r="AB56" i="27"/>
  <c r="BB56" i="27"/>
  <c r="BD56" i="27" s="1"/>
  <c r="BE56" i="27" s="1"/>
  <c r="AB6" i="27"/>
  <c r="BB6" i="27"/>
  <c r="BD6" i="27" s="1"/>
  <c r="BE6" i="27" s="1"/>
  <c r="AB53" i="27"/>
  <c r="BB53" i="27"/>
  <c r="BD53" i="27" s="1"/>
  <c r="BE53" i="27" s="1"/>
  <c r="AB39" i="27"/>
  <c r="BB39" i="27"/>
  <c r="BD39" i="27" s="1"/>
  <c r="BE39" i="27" s="1"/>
  <c r="AD67" i="27"/>
  <c r="AF3" i="27"/>
  <c r="AF67" i="27" s="1"/>
  <c r="AB23" i="27"/>
  <c r="BB23" i="27"/>
  <c r="BD23" i="27" s="1"/>
  <c r="BE23" i="27" s="1"/>
  <c r="AB30" i="27"/>
  <c r="BB30" i="27"/>
  <c r="BD30" i="27" s="1"/>
  <c r="BE30" i="27" s="1"/>
  <c r="AB57" i="27"/>
  <c r="BB57" i="27"/>
  <c r="BD57" i="27" s="1"/>
  <c r="BE57" i="27" s="1"/>
  <c r="AB29" i="27"/>
  <c r="BB29" i="27"/>
  <c r="BD29" i="27" s="1"/>
  <c r="BE29" i="27" s="1"/>
  <c r="AB7" i="27"/>
  <c r="BB7" i="27"/>
  <c r="BD7" i="27" s="1"/>
  <c r="BE7" i="27" s="1"/>
  <c r="AB61" i="27"/>
  <c r="BB61" i="27"/>
  <c r="BD61" i="27" s="1"/>
  <c r="BE61" i="27" s="1"/>
  <c r="AB48" i="27"/>
  <c r="BB48" i="27"/>
  <c r="BD48" i="27" s="1"/>
  <c r="BE48" i="27" s="1"/>
  <c r="AB52" i="27"/>
  <c r="BB52" i="27"/>
  <c r="BD52" i="27" s="1"/>
  <c r="BE52" i="27" s="1"/>
  <c r="AB38" i="27"/>
  <c r="BB38" i="27"/>
  <c r="BD38" i="27" s="1"/>
  <c r="BE38" i="27" s="1"/>
  <c r="AB66" i="27"/>
  <c r="BB66" i="27"/>
  <c r="BD66" i="27" s="1"/>
  <c r="BE66" i="27" s="1"/>
  <c r="AB43" i="27"/>
  <c r="BB43" i="27"/>
  <c r="BD43" i="27" s="1"/>
  <c r="BE43" i="27" s="1"/>
  <c r="AB18" i="27"/>
  <c r="BB18" i="27"/>
  <c r="BD18" i="27" s="1"/>
  <c r="BE18" i="27" s="1"/>
  <c r="AB65" i="27"/>
  <c r="BB65" i="27"/>
  <c r="BD65" i="27" s="1"/>
  <c r="BE65" i="27" s="1"/>
  <c r="AB14" i="27"/>
  <c r="BB14" i="27"/>
  <c r="BD14" i="27" s="1"/>
  <c r="BE14" i="27" s="1"/>
  <c r="AB27" i="27"/>
  <c r="BB27" i="27"/>
  <c r="BD27" i="27" s="1"/>
  <c r="BE27" i="27" s="1"/>
  <c r="AB9" i="27"/>
  <c r="BB9" i="27"/>
  <c r="BD9" i="27" s="1"/>
  <c r="BE9" i="27" s="1"/>
  <c r="AB54" i="27"/>
  <c r="BB54" i="27"/>
  <c r="BD54" i="27" s="1"/>
  <c r="BE54" i="27" s="1"/>
  <c r="AB22" i="27"/>
  <c r="BB22" i="27"/>
  <c r="BD22" i="27" s="1"/>
  <c r="BE22" i="27" s="1"/>
  <c r="AB51" i="27"/>
  <c r="BB51" i="27"/>
  <c r="BD51" i="27" s="1"/>
  <c r="BE51" i="27" s="1"/>
  <c r="AB4" i="27"/>
  <c r="BB4" i="27"/>
  <c r="BD4" i="27" s="1"/>
  <c r="BE4" i="27" s="1"/>
  <c r="AB21" i="27"/>
  <c r="BB21" i="27"/>
  <c r="BD21" i="27" s="1"/>
  <c r="BE21" i="27" s="1"/>
  <c r="AB5" i="27"/>
  <c r="BB5" i="27"/>
  <c r="BD5" i="27" s="1"/>
  <c r="BE5" i="27" s="1"/>
  <c r="AB55" i="27"/>
  <c r="BB55" i="27"/>
  <c r="BD55" i="27" s="1"/>
  <c r="BE55" i="27" s="1"/>
  <c r="AB32" i="27"/>
  <c r="BB32" i="27"/>
  <c r="BD32" i="27" s="1"/>
  <c r="BE32" i="27" s="1"/>
  <c r="AB41" i="27"/>
  <c r="BB41" i="27"/>
  <c r="BD41" i="27" s="1"/>
  <c r="BE41" i="27" s="1"/>
  <c r="AB62" i="27"/>
  <c r="BB62" i="27"/>
  <c r="BD62" i="27" s="1"/>
  <c r="BE62" i="27" s="1"/>
  <c r="AB16" i="27"/>
  <c r="BB16" i="27"/>
  <c r="BD16" i="27" s="1"/>
  <c r="BE16" i="27" s="1"/>
  <c r="AB15" i="27"/>
  <c r="BB15" i="27"/>
  <c r="BD15" i="27" s="1"/>
  <c r="BE15" i="27" s="1"/>
  <c r="AB47" i="27"/>
  <c r="BB47" i="27"/>
  <c r="BD47" i="27" s="1"/>
  <c r="BE47" i="27" s="1"/>
  <c r="AB8" i="27"/>
  <c r="BB8" i="27"/>
  <c r="BD8" i="27" s="1"/>
  <c r="BE8" i="27" s="1"/>
  <c r="AB12" i="27"/>
  <c r="BB12" i="27"/>
  <c r="BD12" i="27" s="1"/>
  <c r="BE12" i="27" s="1"/>
  <c r="AB42" i="27"/>
  <c r="BB42" i="27"/>
  <c r="BD42" i="27" s="1"/>
  <c r="BE42" i="27" s="1"/>
  <c r="AB28" i="27"/>
  <c r="BB28" i="27"/>
  <c r="BD28" i="27" s="1"/>
  <c r="BE28" i="27" s="1"/>
  <c r="AB13" i="27"/>
  <c r="BB13" i="27"/>
  <c r="BD13" i="27" s="1"/>
  <c r="BE13" i="27" s="1"/>
  <c r="AB17" i="27"/>
  <c r="BB17" i="27"/>
  <c r="BD17" i="27" s="1"/>
  <c r="BE17" i="27" s="1"/>
  <c r="AB34" i="27"/>
  <c r="BB34" i="27"/>
  <c r="BD34" i="27" s="1"/>
  <c r="BE34" i="27" s="1"/>
  <c r="AB25" i="27"/>
  <c r="BB25" i="27"/>
  <c r="BD25" i="27" s="1"/>
  <c r="BE25" i="27" s="1"/>
  <c r="AB10" i="27"/>
  <c r="BB10" i="27"/>
  <c r="BD10" i="27" s="1"/>
  <c r="BE10" i="27" s="1"/>
  <c r="AB59" i="27"/>
  <c r="BB59" i="27"/>
  <c r="BD59" i="27" s="1"/>
  <c r="BE59" i="27" s="1"/>
  <c r="R70" i="22"/>
  <c r="R70" i="8"/>
  <c r="R70" i="4"/>
  <c r="K70" i="12"/>
  <c r="R6" i="12"/>
  <c r="R70" i="6"/>
  <c r="R70" i="14"/>
  <c r="S6" i="2"/>
  <c r="S70" i="2" s="1"/>
  <c r="J70" i="2"/>
  <c r="AZ67" i="27"/>
  <c r="AR67" i="27"/>
  <c r="Z3" i="27"/>
  <c r="Z67" i="27" l="1"/>
  <c r="AB3" i="27"/>
  <c r="AB67" i="27" s="1"/>
  <c r="BB3" i="27"/>
  <c r="R70" i="12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C22" authorId="0" shapeId="0" xr:uid="{00000000-0006-0000-0500-000001000000}">
      <text>
        <r>
          <rPr>
            <sz val="11"/>
            <color rgb="FF000000"/>
            <rFont val="Calibri"/>
            <scheme val="minor"/>
          </rPr>
          <t>Samrat Kar:
as per waterOn meter reading it was 36,547.50. it is wrong. So, the value is replaced by average of April and 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  <comment ref="J7" authorId="0" shapeId="0" xr:uid="{00000000-0006-0000-1900-000003000000}">
      <text>
        <r>
          <rPr>
            <sz val="11"/>
            <color rgb="FF000000"/>
            <rFont val="Calibri"/>
            <scheme val="minor"/>
          </rPr>
          <t>Samrat Kar:
1. tank clearning : 19,800
2. Sump covers : 25,300
3. Polycarbonate sheet repair : 22,800</t>
        </r>
      </text>
    </comment>
    <comment ref="J8" authorId="0" shapeId="0" xr:uid="{00000000-0006-0000-1900-000004000000}">
      <text>
        <r>
          <rPr>
            <sz val="11"/>
            <color rgb="FF000000"/>
            <rFont val="Calibri"/>
            <scheme val="minor"/>
          </rPr>
          <t xml:space="preserve">Samrat Kar:
1. JCB temp drain - 24,100
2. Polycarbonate sheet repair - 21,300
3. Dog deadbody removal and sump clean - 9500
4. STP overhead tank cleanup - 5880
5. STP sump cover masonry work - 12,550
6. scaled pipe replacement, STP new pipe - 13,540
</t>
        </r>
      </text>
    </comment>
  </commentList>
</comments>
</file>

<file path=xl/sharedStrings.xml><?xml version="1.0" encoding="utf-8"?>
<sst xmlns="http://schemas.openxmlformats.org/spreadsheetml/2006/main" count="2833" uniqueCount="467">
  <si>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</si>
  <si>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</si>
  <si>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</si>
  <si>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</si>
  <si>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</si>
  <si>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</si>
  <si>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</si>
  <si>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</si>
  <si>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</si>
  <si>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</si>
  <si>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</si>
  <si>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</si>
  <si>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</si>
  <si>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</si>
  <si>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</si>
  <si>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</si>
  <si>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</si>
  <si>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</si>
  <si>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</si>
  <si>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</si>
  <si>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</si>
  <si>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</si>
  <si>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</si>
  <si>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</si>
  <si>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</si>
  <si>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</si>
  <si>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</si>
  <si>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</si>
  <si>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</si>
  <si>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</si>
  <si>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</si>
  <si>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</si>
  <si>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</si>
  <si>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</si>
  <si>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</si>
  <si>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</si>
  <si>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</si>
  <si>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</si>
  <si>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</si>
  <si>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</si>
  <si>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Geetha N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</si>
  <si>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</si>
  <si>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</si>
  <si>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</si>
  <si>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</si>
  <si>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</si>
  <si>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</si>
  <si>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</si>
  <si>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</si>
  <si>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</si>
  <si>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</si>
  <si>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</si>
  <si>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</si>
  <si>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</si>
  <si>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</si>
  <si>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</si>
  <si>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</si>
  <si>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</si>
  <si>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</si>
  <si>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</si>
  <si>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</si>
  <si>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</si>
  <si>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</si>
  <si>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</si>
  <si>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</si>
  <si>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</si>
  <si>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</si>
  <si>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</si>
  <si>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</si>
  <si>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</si>
  <si>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</si>
  <si>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</si>
  <si>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</si>
  <si>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</si>
  <si>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</si>
  <si>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</si>
  <si>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</si>
  <si>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</si>
  <si>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</si>
  <si>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</si>
  <si>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</si>
  <si>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</si>
  <si>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</si>
  <si>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Ankur Agarwal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</si>
  <si>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</si>
  <si>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</si>
  <si>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</si>
  <si>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</si>
  <si>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</si>
  <si>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</si>
  <si>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</si>
  <si>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</si>
  <si>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</si>
  <si>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</si>
  <si>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</si>
  <si>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</si>
  <si>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</si>
  <si>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</si>
  <si>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</si>
  <si>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</si>
  <si>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</si>
  <si>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</si>
  <si>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</si>
  <si>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</si>
  <si>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</si>
  <si>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</si>
  <si>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</si>
  <si>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</si>
  <si>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</si>
  <si>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</si>
  <si>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</si>
  <si>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</si>
  <si>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</si>
  <si>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</si>
  <si>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</si>
  <si>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</si>
  <si>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</si>
  <si>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</si>
  <si>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</si>
  <si>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</si>
  <si>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</si>
  <si>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</si>
  <si>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</si>
  <si>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</si>
  <si>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</si>
  <si>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</si>
  <si>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</si>
  <si>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</si>
  <si>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</si>
  <si>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</si>
  <si>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</si>
  <si>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</si>
  <si>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</si>
  <si>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</si>
  <si>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</si>
  <si>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</si>
  <si>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</si>
  <si>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</si>
  <si>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</si>
  <si>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</si>
  <si>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</si>
  <si>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</si>
  <si>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</si>
  <si>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</si>
  <si>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</si>
  <si>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</si>
  <si>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</si>
  <si>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</si>
  <si>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</si>
  <si>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</si>
  <si>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</si>
  <si>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</si>
  <si>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</si>
  <si>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</si>
  <si>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</si>
  <si>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</si>
  <si>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</si>
  <si>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</si>
  <si>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</si>
  <si>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</si>
  <si>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</si>
  <si>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</si>
  <si>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</si>
  <si>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</si>
  <si>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</si>
  <si>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</si>
  <si>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</si>
  <si>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</si>
  <si>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</si>
  <si>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</si>
  <si>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</si>
  <si>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</si>
  <si>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</si>
  <si>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</si>
  <si>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</si>
  <si>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</si>
  <si>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</si>
  <si>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</si>
  <si>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</si>
  <si>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</si>
  <si>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</si>
  <si>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</si>
  <si>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</si>
  <si>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</si>
  <si>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</si>
  <si>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</si>
  <si>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</si>
  <si>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</si>
  <si>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</si>
  <si>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</si>
  <si>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</si>
  <si>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</si>
  <si>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</si>
  <si>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</si>
  <si>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</si>
  <si>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</si>
  <si>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</si>
  <si>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</si>
  <si>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</si>
  <si>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</si>
  <si>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</si>
  <si>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</si>
  <si>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</si>
  <si>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</si>
  <si>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</si>
  <si>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</si>
  <si>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</si>
  <si>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</si>
  <si>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</si>
  <si>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</si>
  <si>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</si>
  <si>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</si>
  <si>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</si>
  <si>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</si>
  <si>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</si>
  <si>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</si>
  <si>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</si>
  <si>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</si>
  <si>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</si>
  <si>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</si>
  <si>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</si>
  <si>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</si>
  <si>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</si>
  <si>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</si>
  <si>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</si>
  <si>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</si>
  <si>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</si>
  <si>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</si>
  <si>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</si>
  <si>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</si>
  <si>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</si>
  <si>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</si>
  <si>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</si>
  <si>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</si>
  <si>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</si>
  <si>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</si>
  <si>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LATE PAYMENT FINE REASON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</si>
  <si>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</si>
  <si>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</si>
  <si>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</si>
  <si>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</si>
  <si>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</si>
  <si>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</si>
  <si>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</si>
  <si>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</si>
  <si>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</si>
  <si>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</si>
  <si>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</si>
  <si>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</si>
  <si>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</si>
  <si>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</si>
  <si>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</si>
  <si>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</si>
  <si>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</si>
  <si>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TOTAL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</si>
  <si>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</si>
  <si>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</si>
  <si>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</si>
  <si>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</si>
  <si>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</si>
  <si>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</si>
  <si>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</si>
  <si>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</si>
  <si>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</si>
  <si>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</si>
  <si>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</si>
  <si>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</si>
  <si>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</si>
  <si>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</si>
  <si>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</si>
  <si>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</si>
  <si>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</si>
  <si>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</si>
  <si>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</si>
  <si>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</si>
  <si>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</si>
  <si>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</si>
  <si>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</si>
  <si>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</si>
  <si>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</si>
  <si>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</si>
  <si>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</si>
  <si>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</si>
  <si>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</si>
  <si>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</si>
  <si>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</si>
  <si>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</si>
  <si>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</si>
  <si>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</si>
  <si>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</si>
  <si>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</si>
  <si>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</si>
  <si>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</si>
  <si>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</si>
  <si>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</si>
  <si>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</si>
  <si>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</si>
  <si>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</si>
  <si>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</si>
  <si>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</si>
  <si>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</si>
  <si>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</si>
  <si>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</si>
  <si>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</si>
  <si>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</si>
  <si>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</si>
  <si>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</si>
  <si>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</si>
  <si>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</si>
  <si>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</si>
  <si>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</si>
  <si>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</si>
  <si>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</si>
  <si>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</si>
  <si>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</si>
  <si>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</si>
  <si>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Missed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</si>
  <si>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</si>
  <si>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</si>
  <si>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</si>
  <si>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</si>
  <si>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</si>
  <si>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</si>
  <si>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</si>
  <si>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</si>
  <si>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</si>
  <si>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</si>
  <si>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</si>
  <si>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</si>
  <si>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</si>
  <si>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</si>
  <si>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</si>
  <si>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</si>
  <si>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</si>
  <si>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</si>
  <si>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</si>
  <si>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</si>
  <si>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</si>
  <si>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</si>
  <si>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</si>
  <si>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</si>
  <si>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</si>
  <si>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</si>
  <si>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</si>
  <si>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</si>
  <si>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</si>
  <si>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</si>
  <si>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</si>
  <si>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</si>
  <si>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20-Jul-26</t>
  </si>
  <si>
    <t>19-Jul-26</t>
  </si>
  <si>
    <t>7-Jul-26</t>
  </si>
  <si>
    <t>12-Jul-26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</si>
  <si>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</si>
  <si>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</si>
  <si>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</si>
  <si>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</si>
  <si>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</si>
  <si>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</si>
  <si>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</si>
  <si>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</si>
  <si>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</si>
  <si>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10-Aug-26</t>
  </si>
  <si>
    <t>1-Aug-26</t>
  </si>
  <si>
    <t>11-Aug-26</t>
  </si>
  <si>
    <t>30-Aug-26</t>
  </si>
  <si>
    <t>17-Aug-26</t>
  </si>
  <si>
    <t>31-Aug-26</t>
  </si>
  <si>
    <t>12-Aug-26</t>
  </si>
  <si>
    <t>15-Aug-26</t>
  </si>
  <si>
    <t>4-Aug-26</t>
  </si>
  <si>
    <t>29-Aug-26</t>
  </si>
  <si>
    <t>25-Aug-26</t>
  </si>
  <si>
    <t>14-Aug-26</t>
  </si>
  <si>
    <t>2-Aug-26</t>
  </si>
  <si>
    <t>13-Aug-26</t>
  </si>
  <si>
    <t>8-Aug-26</t>
  </si>
  <si>
    <t>SEPTEMBER 2026 EXPENSES</t>
  </si>
  <si>
    <t>METER RENT (INR)</t>
  </si>
  <si>
    <t>COMMON AREA METER RENT (INR)</t>
  </si>
  <si>
    <t>BALANCE IN ACCOUNT ON 30-SEP-2022</t>
  </si>
  <si>
    <t>13-Sep-26</t>
  </si>
  <si>
    <t>30-Sep-26</t>
  </si>
  <si>
    <t>15-Sep-26</t>
  </si>
  <si>
    <t>11-Sep-26</t>
  </si>
  <si>
    <t>19-Sep-26</t>
  </si>
  <si>
    <t>23-Sep-26</t>
  </si>
  <si>
    <t>12-Sep-26</t>
  </si>
  <si>
    <t>27-Sep-26</t>
  </si>
  <si>
    <t>8-Sep-26</t>
  </si>
  <si>
    <t>26-Sep-26</t>
  </si>
  <si>
    <t>16-Sep-26</t>
  </si>
  <si>
    <t>29-Sep-26</t>
  </si>
  <si>
    <t>20-Sep-26</t>
  </si>
  <si>
    <t>28-Sep-26</t>
  </si>
  <si>
    <t>14-Sep-26</t>
  </si>
  <si>
    <t>7-Sep-26</t>
  </si>
  <si>
    <t>6-Sep-26</t>
  </si>
  <si>
    <t>24-Sep-26</t>
  </si>
  <si>
    <t>18-Sep-26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</si>
  <si>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</si>
  <si>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</si>
  <si>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</si>
  <si>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</si>
  <si>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</si>
  <si>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</si>
  <si>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</si>
  <si>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</si>
  <si>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</si>
  <si>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</si>
  <si>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</si>
  <si>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</si>
  <si>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</si>
  <si>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</si>
  <si>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</si>
  <si>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</si>
  <si>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</si>
  <si>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</si>
  <si>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</si>
  <si>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</si>
  <si>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</si>
  <si>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</si>
  <si>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</si>
  <si>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</si>
  <si>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</si>
  <si>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</si>
  <si>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</si>
  <si>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</si>
  <si>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</si>
  <si>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</si>
  <si>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</si>
  <si>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</si>
  <si>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</si>
  <si>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</si>
  <si>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</si>
  <si>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</si>
  <si>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</si>
  <si>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</si>
  <si>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</si>
  <si>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</si>
  <si>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water purifier &amp; softner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</si>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</sst>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2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7" fillId="0" borderId="13" xfId="0" applyNumberFormat="1" applyFont="1" applyAlignment="1">
      <alignment horizontal="center" vertical="center"/>
    </xf>
    <xf numFmtId="0" fontId="18" fillId="0" borderId="13" xfId="0" applyFont="1" applyAlignment="1">
      <alignment horizontal="center" vertical="center"/>
    </xf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7" xfId="0" applyBorder="1"/>
    <xf numFmtId="0" fontId="0" fillId="0" borderId="16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'ANNUAL-EXPENSE-DETAILS'!$Y$1:$Y$2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'ANNUAL-EXPENSE-DETAILS'!$Y$3:$Y$14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398631</c:v>
                </c:pt>
                <c:pt idx="5">
                  <c:v>432510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41-4FDB-B1AE-CD8559AC81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abSelected="1" workbookViewId="0">
      <pane ySplit="1" topLeftCell="A2" activePane="bottomLeft" state="frozen"/>
      <selection pane="bottomLeft" activeCell="G12" sqref="G12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</row>
    <row r="2" spans="1:8" x14ac:dyDescent="0.25">
      <c r="A2" s="15" t="s">
        <v>7</v>
      </c>
      <c r="B2" s="15" t="s">
        <v>8</v>
      </c>
      <c r="C2" s="15" t="s">
        <v>9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10</v>
      </c>
      <c r="B3" s="16" t="s">
        <v>11</v>
      </c>
      <c r="C3" s="16" t="s">
        <v>12</v>
      </c>
      <c r="D3" s="16"/>
      <c r="E3" s="16"/>
      <c r="F3" s="16"/>
      <c r="G3" s="16"/>
      <c r="H3" s="16"/>
    </row>
    <row r="4" spans="1:8" x14ac:dyDescent="0.25">
      <c r="A4" s="15" t="s">
        <v>13</v>
      </c>
      <c r="B4" s="15" t="s">
        <v>14</v>
      </c>
      <c r="C4" s="15" t="s">
        <v>15</v>
      </c>
      <c r="D4" s="15" t="s">
        <v>16</v>
      </c>
      <c r="E4" s="15"/>
      <c r="F4" s="15"/>
      <c r="G4" s="15"/>
      <c r="H4" s="15"/>
    </row>
    <row r="5" spans="1:8" x14ac:dyDescent="0.25">
      <c r="A5" s="16" t="s">
        <v>17</v>
      </c>
      <c r="B5" s="16" t="s">
        <v>18</v>
      </c>
      <c r="C5" s="16" t="s">
        <v>19</v>
      </c>
      <c r="D5" s="16"/>
      <c r="E5" s="16"/>
      <c r="F5" s="16"/>
      <c r="G5" s="16"/>
      <c r="H5" s="16"/>
    </row>
    <row r="6" spans="1:8" ht="25.5" customHeight="1" x14ac:dyDescent="0.25">
      <c r="A6" s="15" t="s">
        <v>20</v>
      </c>
      <c r="B6" s="15" t="s">
        <v>21</v>
      </c>
      <c r="C6" s="15"/>
      <c r="D6" s="15"/>
      <c r="E6" s="15"/>
      <c r="F6" s="15"/>
      <c r="G6" s="15"/>
      <c r="H6" s="15"/>
    </row>
    <row r="7" spans="1:8" x14ac:dyDescent="0.25">
      <c r="A7" s="16" t="s">
        <v>22</v>
      </c>
      <c r="B7" s="16" t="s">
        <v>23</v>
      </c>
      <c r="C7" s="16" t="s">
        <v>24</v>
      </c>
      <c r="D7" s="16"/>
      <c r="E7" s="16"/>
      <c r="F7" s="16"/>
      <c r="G7" s="16"/>
      <c r="H7" s="16"/>
    </row>
    <row r="8" spans="1:8" x14ac:dyDescent="0.25">
      <c r="A8" s="15" t="s">
        <v>25</v>
      </c>
      <c r="B8" s="15" t="s">
        <v>26</v>
      </c>
      <c r="C8" s="15" t="s">
        <v>27</v>
      </c>
      <c r="D8" s="15"/>
      <c r="E8" s="15"/>
      <c r="F8" s="15"/>
      <c r="G8" s="15"/>
      <c r="H8" s="15"/>
    </row>
    <row r="9" spans="1:8" x14ac:dyDescent="0.25">
      <c r="A9" s="16" t="s">
        <v>28</v>
      </c>
      <c r="B9" s="16" t="s">
        <v>29</v>
      </c>
      <c r="C9" s="15" t="s">
        <v>30</v>
      </c>
      <c r="D9" s="16"/>
      <c r="E9" s="16"/>
      <c r="F9" s="16"/>
      <c r="G9" s="16"/>
      <c r="H9" s="16"/>
    </row>
    <row r="10" spans="1:8" x14ac:dyDescent="0.25">
      <c r="A10" s="15" t="s">
        <v>31</v>
      </c>
      <c r="B10" s="15" t="s">
        <v>32</v>
      </c>
      <c r="C10" s="15" t="s">
        <v>33</v>
      </c>
      <c r="D10" s="15" t="s">
        <v>34</v>
      </c>
      <c r="E10" s="15"/>
      <c r="F10" s="15"/>
      <c r="G10" s="15"/>
      <c r="H10" s="15"/>
    </row>
    <row r="11" spans="1:8" x14ac:dyDescent="0.25">
      <c r="A11" s="16" t="s">
        <v>35</v>
      </c>
      <c r="B11" s="16" t="s">
        <v>36</v>
      </c>
      <c r="C11" s="16" t="s">
        <v>37</v>
      </c>
      <c r="D11" s="16" t="s">
        <v>38</v>
      </c>
      <c r="E11" s="16"/>
      <c r="F11" s="16"/>
      <c r="G11" s="16"/>
      <c r="H11" s="16"/>
    </row>
    <row r="12" spans="1:8" x14ac:dyDescent="0.25">
      <c r="A12" s="15" t="s">
        <v>39</v>
      </c>
      <c r="B12" s="15" t="s">
        <v>40</v>
      </c>
      <c r="C12" s="15"/>
      <c r="D12" s="15"/>
      <c r="E12" s="15"/>
      <c r="F12" s="15"/>
      <c r="G12" s="15"/>
      <c r="H12" s="15"/>
    </row>
    <row r="13" spans="1:8" x14ac:dyDescent="0.25">
      <c r="A13" s="16" t="s">
        <v>41</v>
      </c>
      <c r="B13" s="16" t="s">
        <v>42</v>
      </c>
      <c r="C13" s="16" t="s">
        <v>43</v>
      </c>
      <c r="D13" s="16" t="s">
        <v>44</v>
      </c>
      <c r="E13" s="16"/>
      <c r="F13" s="16"/>
      <c r="G13" s="16"/>
      <c r="H13" s="16"/>
    </row>
    <row r="14" spans="1:8" x14ac:dyDescent="0.25">
      <c r="A14" s="15" t="s">
        <v>45</v>
      </c>
      <c r="B14" s="15" t="s">
        <v>46</v>
      </c>
      <c r="C14" s="15"/>
      <c r="D14" s="15"/>
      <c r="E14" s="15"/>
      <c r="F14" s="15"/>
      <c r="G14" s="15"/>
      <c r="H14" s="15"/>
    </row>
    <row r="15" spans="1:8" x14ac:dyDescent="0.25">
      <c r="A15" s="16" t="s">
        <v>47</v>
      </c>
      <c r="B15" s="16" t="s">
        <v>48</v>
      </c>
      <c r="C15" s="16" t="s">
        <v>49</v>
      </c>
      <c r="D15" s="16" t="s">
        <v>50</v>
      </c>
      <c r="E15" s="16"/>
      <c r="F15" s="16"/>
      <c r="G15" s="16"/>
      <c r="H15" s="16"/>
    </row>
    <row r="16" spans="1:8" x14ac:dyDescent="0.25">
      <c r="A16" s="15" t="s">
        <v>51</v>
      </c>
      <c r="B16" s="15" t="s">
        <v>52</v>
      </c>
      <c r="C16" s="15" t="s">
        <v>53</v>
      </c>
      <c r="D16" s="15" t="s">
        <v>54</v>
      </c>
      <c r="E16" s="15"/>
      <c r="F16" s="15"/>
      <c r="G16" s="15"/>
      <c r="H16" s="15"/>
    </row>
    <row r="17" spans="1:8" x14ac:dyDescent="0.25">
      <c r="A17" s="16" t="s">
        <v>55</v>
      </c>
      <c r="B17" s="16" t="s">
        <v>56</v>
      </c>
      <c r="C17" s="16" t="s">
        <v>57</v>
      </c>
      <c r="D17" s="16"/>
      <c r="E17" s="16"/>
      <c r="F17" s="16"/>
      <c r="G17" s="16"/>
      <c r="H17" s="16"/>
    </row>
    <row r="18" spans="1:8" x14ac:dyDescent="0.25">
      <c r="A18" s="15" t="s">
        <v>58</v>
      </c>
      <c r="B18" s="15" t="s">
        <v>59</v>
      </c>
      <c r="C18" s="15" t="s">
        <v>60</v>
      </c>
      <c r="D18" s="15" t="s">
        <v>61</v>
      </c>
      <c r="E18" s="15"/>
      <c r="F18" s="15"/>
      <c r="G18" s="15"/>
      <c r="H18" s="15"/>
    </row>
    <row r="19" spans="1:8" x14ac:dyDescent="0.25">
      <c r="A19" s="16" t="s">
        <v>62</v>
      </c>
      <c r="B19" s="16" t="s">
        <v>63</v>
      </c>
      <c r="C19" s="16"/>
      <c r="D19" s="16"/>
      <c r="E19" s="16"/>
      <c r="F19" s="16"/>
      <c r="G19" s="16"/>
      <c r="H19" s="16"/>
    </row>
    <row r="20" spans="1:8" x14ac:dyDescent="0.25">
      <c r="A20" s="15" t="s">
        <v>64</v>
      </c>
      <c r="B20" s="15" t="s">
        <v>65</v>
      </c>
      <c r="C20" s="15" t="s">
        <v>66</v>
      </c>
      <c r="D20" s="15"/>
      <c r="E20" s="15"/>
      <c r="F20" s="15"/>
      <c r="G20" s="15"/>
      <c r="H20" s="15"/>
    </row>
    <row r="21" spans="1:8" x14ac:dyDescent="0.25">
      <c r="A21" s="16" t="s">
        <v>67</v>
      </c>
      <c r="B21" s="16" t="s">
        <v>68</v>
      </c>
      <c r="C21" s="16" t="s">
        <v>69</v>
      </c>
      <c r="D21" s="16"/>
      <c r="E21" s="16"/>
      <c r="F21" s="16"/>
      <c r="G21" s="16"/>
      <c r="H21" s="16"/>
    </row>
    <row r="22" spans="1:8" x14ac:dyDescent="0.25">
      <c r="A22" s="15" t="s">
        <v>70</v>
      </c>
      <c r="B22" s="15" t="s">
        <v>71</v>
      </c>
      <c r="C22" s="15"/>
      <c r="D22" s="15"/>
      <c r="E22" s="15"/>
      <c r="F22" s="15"/>
      <c r="G22" s="15"/>
      <c r="H22" s="15"/>
    </row>
    <row r="23" spans="1:8" x14ac:dyDescent="0.25">
      <c r="A23" s="16" t="s">
        <v>72</v>
      </c>
      <c r="B23" s="16" t="s">
        <v>73</v>
      </c>
      <c r="C23" s="16"/>
      <c r="D23" s="16" t="s">
        <v>74</v>
      </c>
      <c r="E23" s="16"/>
      <c r="F23" s="16"/>
      <c r="G23" s="16"/>
      <c r="H23" s="16"/>
    </row>
    <row r="24" spans="1:8" x14ac:dyDescent="0.25">
      <c r="A24" s="15" t="s">
        <v>75</v>
      </c>
      <c r="B24" s="15" t="s">
        <v>76</v>
      </c>
      <c r="C24" s="15" t="s">
        <v>77</v>
      </c>
      <c r="D24" s="15" t="s">
        <v>78</v>
      </c>
      <c r="E24" s="15"/>
      <c r="F24" s="15"/>
      <c r="G24" s="15"/>
      <c r="H24" s="15"/>
    </row>
    <row r="25" spans="1:8" x14ac:dyDescent="0.25">
      <c r="A25" s="16" t="s">
        <v>79</v>
      </c>
      <c r="B25" s="16" t="s">
        <v>80</v>
      </c>
      <c r="C25" s="15" t="s">
        <v>81</v>
      </c>
      <c r="D25" s="16"/>
      <c r="E25" s="16"/>
      <c r="F25" s="16"/>
      <c r="G25" s="16"/>
      <c r="H25" s="16"/>
    </row>
    <row r="26" spans="1:8" x14ac:dyDescent="0.25">
      <c r="A26" s="15" t="s">
        <v>82</v>
      </c>
      <c r="B26" s="15" t="s">
        <v>83</v>
      </c>
      <c r="C26" s="15" t="s">
        <v>84</v>
      </c>
      <c r="D26" s="15"/>
      <c r="E26" s="15"/>
      <c r="F26" s="15"/>
      <c r="G26" s="15"/>
      <c r="H26" s="15"/>
    </row>
    <row r="27" spans="1:8" x14ac:dyDescent="0.25">
      <c r="A27" s="16" t="s">
        <v>85</v>
      </c>
      <c r="B27" s="16" t="s">
        <v>86</v>
      </c>
      <c r="C27" s="15" t="s">
        <v>87</v>
      </c>
      <c r="D27" s="16" t="s">
        <v>88</v>
      </c>
      <c r="E27" s="16"/>
      <c r="F27" s="16"/>
      <c r="G27" s="16"/>
      <c r="H27" s="16"/>
    </row>
    <row r="28" spans="1:8" x14ac:dyDescent="0.25">
      <c r="A28" s="15" t="s">
        <v>89</v>
      </c>
      <c r="B28" s="15" t="s">
        <v>90</v>
      </c>
      <c r="C28" s="15" t="s">
        <v>91</v>
      </c>
      <c r="D28" s="15" t="s">
        <v>92</v>
      </c>
      <c r="E28" s="15"/>
      <c r="F28" s="15"/>
      <c r="G28" s="15"/>
      <c r="H28" s="15"/>
    </row>
    <row r="29" spans="1:8" x14ac:dyDescent="0.25">
      <c r="A29" s="16" t="s">
        <v>93</v>
      </c>
      <c r="B29" s="16" t="s">
        <v>94</v>
      </c>
      <c r="C29" s="16" t="s">
        <v>95</v>
      </c>
      <c r="D29" s="16" t="s">
        <v>96</v>
      </c>
      <c r="E29" s="16"/>
      <c r="F29" s="16"/>
      <c r="G29" s="16"/>
      <c r="H29" s="16"/>
    </row>
    <row r="30" spans="1:8" x14ac:dyDescent="0.25">
      <c r="A30" s="15" t="s">
        <v>97</v>
      </c>
      <c r="B30" s="15" t="s">
        <v>98</v>
      </c>
      <c r="C30" s="15" t="s">
        <v>99</v>
      </c>
      <c r="D30" s="15"/>
      <c r="E30" s="15"/>
      <c r="F30" s="15"/>
      <c r="G30" s="15"/>
      <c r="H30" s="15"/>
    </row>
    <row r="31" spans="1:8" x14ac:dyDescent="0.25">
      <c r="A31" s="16" t="s">
        <v>100</v>
      </c>
      <c r="B31" s="16" t="s">
        <v>101</v>
      </c>
      <c r="C31" s="16" t="s">
        <v>102</v>
      </c>
      <c r="D31" s="16" t="s">
        <v>103</v>
      </c>
      <c r="E31" s="16"/>
      <c r="F31" s="16"/>
      <c r="G31" s="16"/>
      <c r="H31" s="16"/>
    </row>
    <row r="32" spans="1:8" x14ac:dyDescent="0.25">
      <c r="A32" s="15" t="s">
        <v>104</v>
      </c>
      <c r="B32" s="15" t="s">
        <v>105</v>
      </c>
      <c r="C32" s="15" t="s">
        <v>106</v>
      </c>
      <c r="D32" s="15"/>
      <c r="E32" s="15"/>
      <c r="F32" s="15"/>
      <c r="G32" s="15"/>
      <c r="H32" s="15"/>
    </row>
    <row r="33" spans="1:8" x14ac:dyDescent="0.25">
      <c r="A33" s="16" t="s">
        <v>107</v>
      </c>
      <c r="B33" s="16" t="s">
        <v>108</v>
      </c>
      <c r="C33" s="16" t="s">
        <v>109</v>
      </c>
      <c r="D33" s="16" t="s">
        <v>110</v>
      </c>
      <c r="E33" s="16"/>
      <c r="F33" s="16"/>
      <c r="G33" s="16"/>
      <c r="H33" s="16"/>
    </row>
    <row r="34" spans="1:8" x14ac:dyDescent="0.25">
      <c r="A34" s="15" t="s">
        <v>111</v>
      </c>
      <c r="B34" s="15" t="s">
        <v>112</v>
      </c>
      <c r="C34" s="15" t="s">
        <v>113</v>
      </c>
      <c r="D34" s="15" t="s">
        <v>114</v>
      </c>
      <c r="E34" s="15"/>
      <c r="F34" s="15"/>
      <c r="G34" s="15"/>
      <c r="H34" s="15"/>
    </row>
    <row r="35" spans="1:8" x14ac:dyDescent="0.25">
      <c r="A35" s="16" t="s">
        <v>115</v>
      </c>
      <c r="B35" s="16" t="s">
        <v>116</v>
      </c>
      <c r="C35" s="16" t="s">
        <v>117</v>
      </c>
      <c r="D35" s="16"/>
      <c r="E35" s="16"/>
      <c r="F35" s="16"/>
      <c r="G35" s="16"/>
      <c r="H35" s="16"/>
    </row>
    <row r="36" spans="1:8" x14ac:dyDescent="0.25">
      <c r="A36" s="15" t="s">
        <v>118</v>
      </c>
      <c r="B36" s="15" t="s">
        <v>119</v>
      </c>
      <c r="C36" s="15"/>
      <c r="D36" s="15"/>
      <c r="E36" s="15"/>
      <c r="F36" s="15"/>
      <c r="G36" s="15"/>
      <c r="H36" s="15"/>
    </row>
    <row r="37" spans="1:8" x14ac:dyDescent="0.25">
      <c r="A37" s="16" t="s">
        <v>120</v>
      </c>
      <c r="B37" s="16" t="s">
        <v>121</v>
      </c>
      <c r="C37" s="16" t="s">
        <v>122</v>
      </c>
      <c r="D37" s="16"/>
      <c r="E37" s="16"/>
      <c r="F37" s="16"/>
      <c r="G37" s="16"/>
      <c r="H37" s="16"/>
    </row>
    <row r="38" spans="1:8" ht="25.5" customHeight="1" x14ac:dyDescent="0.25">
      <c r="A38" s="15" t="s">
        <v>123</v>
      </c>
      <c r="B38" s="15" t="s">
        <v>124</v>
      </c>
      <c r="C38" s="15" t="s">
        <v>125</v>
      </c>
      <c r="D38" s="15" t="s">
        <v>126</v>
      </c>
      <c r="E38" s="15"/>
      <c r="F38" s="15"/>
      <c r="G38" s="15"/>
      <c r="H38" s="15"/>
    </row>
    <row r="39" spans="1:8" x14ac:dyDescent="0.25">
      <c r="A39" s="16" t="s">
        <v>127</v>
      </c>
      <c r="B39" s="16" t="s">
        <v>128</v>
      </c>
      <c r="C39" s="16" t="s">
        <v>129</v>
      </c>
      <c r="D39" s="16"/>
      <c r="E39" s="16"/>
      <c r="F39" s="16"/>
      <c r="G39" s="16"/>
      <c r="H39" s="16"/>
    </row>
    <row r="40" spans="1:8" x14ac:dyDescent="0.25">
      <c r="A40" s="15" t="s">
        <v>130</v>
      </c>
      <c r="B40" s="15" t="s">
        <v>131</v>
      </c>
      <c r="C40" s="15" t="s">
        <v>132</v>
      </c>
      <c r="D40" s="15" t="s">
        <v>133</v>
      </c>
      <c r="E40" s="15"/>
      <c r="F40" s="15"/>
      <c r="G40" s="15"/>
      <c r="H40" s="15"/>
    </row>
    <row r="41" spans="1:8" x14ac:dyDescent="0.25">
      <c r="A41" s="16" t="s">
        <v>134</v>
      </c>
      <c r="B41" s="16" t="s">
        <v>135</v>
      </c>
      <c r="C41" s="16" t="s">
        <v>136</v>
      </c>
      <c r="D41" s="16"/>
      <c r="E41" s="16"/>
      <c r="F41" s="16"/>
      <c r="G41" s="16"/>
      <c r="H41" s="16"/>
    </row>
    <row r="42" spans="1:8" x14ac:dyDescent="0.25">
      <c r="A42" s="15" t="s">
        <v>137</v>
      </c>
      <c r="B42" s="15" t="s">
        <v>138</v>
      </c>
      <c r="C42" s="15" t="s">
        <v>139</v>
      </c>
      <c r="D42" s="15" t="s">
        <v>140</v>
      </c>
      <c r="E42" s="15"/>
      <c r="F42" s="15"/>
      <c r="G42" s="15"/>
      <c r="H42" s="15"/>
    </row>
    <row r="43" spans="1:8" x14ac:dyDescent="0.25">
      <c r="A43" s="16" t="s">
        <v>141</v>
      </c>
      <c r="B43" s="16" t="s">
        <v>142</v>
      </c>
      <c r="C43" s="16"/>
      <c r="D43" s="16"/>
      <c r="E43" s="16"/>
      <c r="F43" s="16"/>
      <c r="G43" s="16"/>
      <c r="H43" s="16"/>
    </row>
    <row r="44" spans="1:8" x14ac:dyDescent="0.25">
      <c r="A44" s="15" t="s">
        <v>143</v>
      </c>
      <c r="B44" s="15" t="s">
        <v>144</v>
      </c>
      <c r="C44" s="15" t="s">
        <v>145</v>
      </c>
      <c r="D44" s="15"/>
      <c r="E44" s="15"/>
      <c r="F44" s="15"/>
      <c r="G44" s="15"/>
      <c r="H44" s="15"/>
    </row>
    <row r="45" spans="1:8" x14ac:dyDescent="0.25">
      <c r="A45" s="16" t="s">
        <v>146</v>
      </c>
      <c r="B45" s="16" t="s">
        <v>147</v>
      </c>
      <c r="C45" s="16" t="s">
        <v>148</v>
      </c>
      <c r="D45" s="16"/>
      <c r="E45" s="16"/>
      <c r="F45" s="16"/>
      <c r="G45" s="16"/>
      <c r="H45" s="16"/>
    </row>
    <row r="46" spans="1:8" x14ac:dyDescent="0.25">
      <c r="A46" s="15" t="s">
        <v>149</v>
      </c>
      <c r="B46" s="15" t="s">
        <v>46</v>
      </c>
      <c r="C46" s="15" t="s">
        <v>150</v>
      </c>
      <c r="D46" s="15"/>
      <c r="E46" s="15"/>
      <c r="F46" s="15"/>
      <c r="G46" s="15"/>
      <c r="H46" s="15"/>
    </row>
    <row r="47" spans="1:8" x14ac:dyDescent="0.25">
      <c r="A47" s="16" t="s">
        <v>151</v>
      </c>
      <c r="B47" s="16" t="s">
        <v>152</v>
      </c>
      <c r="C47" s="16" t="s">
        <v>153</v>
      </c>
      <c r="D47" s="16" t="s">
        <v>154</v>
      </c>
      <c r="E47" s="16"/>
      <c r="F47" s="16"/>
      <c r="G47" s="16"/>
      <c r="H47" s="16"/>
    </row>
    <row r="48" spans="1:8" x14ac:dyDescent="0.25">
      <c r="A48" s="15" t="s">
        <v>155</v>
      </c>
      <c r="B48" s="15" t="s">
        <v>156</v>
      </c>
      <c r="C48" s="15"/>
      <c r="D48" s="15" t="s">
        <v>157</v>
      </c>
      <c r="E48" s="15"/>
      <c r="F48" s="15"/>
      <c r="G48" s="15"/>
      <c r="H48" s="15"/>
    </row>
    <row r="49" spans="1:8" x14ac:dyDescent="0.25">
      <c r="A49" s="16" t="s">
        <v>158</v>
      </c>
      <c r="B49" s="16" t="s">
        <v>159</v>
      </c>
      <c r="C49" s="16" t="s">
        <v>160</v>
      </c>
      <c r="D49" s="16" t="s">
        <v>161</v>
      </c>
      <c r="E49" s="16"/>
      <c r="F49" s="16"/>
      <c r="G49" s="16"/>
      <c r="H49" s="16"/>
    </row>
    <row r="50" spans="1:8" x14ac:dyDescent="0.25">
      <c r="A50" s="15" t="s">
        <v>162</v>
      </c>
      <c r="B50" s="15" t="s">
        <v>163</v>
      </c>
      <c r="C50" s="15" t="s">
        <v>164</v>
      </c>
      <c r="D50" s="15" t="s">
        <v>165</v>
      </c>
      <c r="E50" s="15"/>
      <c r="F50" s="15"/>
      <c r="G50" s="15"/>
      <c r="H50" s="15"/>
    </row>
    <row r="51" spans="1:8" x14ac:dyDescent="0.25">
      <c r="A51" s="16" t="s">
        <v>166</v>
      </c>
      <c r="B51" s="16" t="s">
        <v>167</v>
      </c>
      <c r="C51" s="16" t="s">
        <v>168</v>
      </c>
      <c r="D51" s="16" t="s">
        <v>169</v>
      </c>
      <c r="E51" s="16"/>
      <c r="F51" s="16"/>
      <c r="G51" s="16"/>
      <c r="H51" s="16"/>
    </row>
    <row r="52" spans="1:8" x14ac:dyDescent="0.25">
      <c r="A52" s="15" t="s">
        <v>170</v>
      </c>
      <c r="B52" s="15" t="s">
        <v>171</v>
      </c>
      <c r="C52" s="15" t="s">
        <v>172</v>
      </c>
      <c r="D52" s="15" t="s">
        <v>173</v>
      </c>
      <c r="E52" s="15"/>
      <c r="F52" s="15"/>
      <c r="G52" s="15"/>
      <c r="H52" s="15"/>
    </row>
    <row r="53" spans="1:8" x14ac:dyDescent="0.25">
      <c r="A53" s="16" t="s">
        <v>174</v>
      </c>
      <c r="B53" s="16" t="s">
        <v>175</v>
      </c>
      <c r="C53" s="16" t="s">
        <v>176</v>
      </c>
      <c r="D53" s="16"/>
      <c r="E53" s="16"/>
      <c r="F53" s="16"/>
      <c r="G53" s="16"/>
      <c r="H53" s="16"/>
    </row>
    <row r="54" spans="1:8" x14ac:dyDescent="0.25">
      <c r="A54" s="15" t="s">
        <v>177</v>
      </c>
      <c r="B54" s="15" t="s">
        <v>178</v>
      </c>
      <c r="C54" s="15" t="s">
        <v>179</v>
      </c>
      <c r="D54" s="15" t="s">
        <v>180</v>
      </c>
      <c r="E54" s="15"/>
      <c r="F54" s="15"/>
      <c r="G54" s="15"/>
      <c r="H54" s="15"/>
    </row>
    <row r="55" spans="1:8" x14ac:dyDescent="0.25">
      <c r="A55" s="16" t="s">
        <v>181</v>
      </c>
      <c r="B55" s="16" t="s">
        <v>182</v>
      </c>
      <c r="C55" s="16" t="s">
        <v>183</v>
      </c>
      <c r="D55" s="16" t="s">
        <v>184</v>
      </c>
      <c r="E55" s="16"/>
      <c r="F55" s="16"/>
      <c r="G55" s="16"/>
      <c r="H55" s="16"/>
    </row>
    <row r="56" spans="1:8" x14ac:dyDescent="0.25">
      <c r="A56" s="15" t="s">
        <v>185</v>
      </c>
      <c r="B56" s="15" t="s">
        <v>186</v>
      </c>
      <c r="C56" s="15" t="s">
        <v>187</v>
      </c>
      <c r="D56" s="15"/>
      <c r="E56" s="15"/>
      <c r="F56" s="15"/>
      <c r="G56" s="15"/>
      <c r="H56" s="15"/>
    </row>
    <row r="57" spans="1:8" x14ac:dyDescent="0.25">
      <c r="A57" s="16" t="s">
        <v>188</v>
      </c>
      <c r="B57" s="16" t="s">
        <v>189</v>
      </c>
      <c r="C57" s="16" t="s">
        <v>190</v>
      </c>
      <c r="D57" s="16" t="s">
        <v>191</v>
      </c>
      <c r="E57" s="16"/>
      <c r="F57" s="16"/>
      <c r="G57" s="16"/>
      <c r="H57" s="16"/>
    </row>
    <row r="58" spans="1:8" x14ac:dyDescent="0.25">
      <c r="A58" s="15" t="s">
        <v>192</v>
      </c>
      <c r="B58" s="15" t="s">
        <v>193</v>
      </c>
      <c r="C58" s="15" t="s">
        <v>194</v>
      </c>
      <c r="D58" s="15"/>
      <c r="E58" s="15"/>
      <c r="F58" s="15"/>
      <c r="G58" s="15"/>
      <c r="H58" s="15"/>
    </row>
    <row r="59" spans="1:8" ht="25.5" customHeight="1" x14ac:dyDescent="0.25">
      <c r="A59" s="16" t="s">
        <v>195</v>
      </c>
      <c r="B59" s="16" t="s">
        <v>21</v>
      </c>
      <c r="C59" s="16" t="s">
        <v>196</v>
      </c>
      <c r="D59" s="16" t="s">
        <v>197</v>
      </c>
      <c r="E59" s="16"/>
      <c r="F59" s="16"/>
      <c r="G59" s="16"/>
      <c r="H59" s="16"/>
    </row>
    <row r="60" spans="1:8" x14ac:dyDescent="0.25">
      <c r="A60" s="15" t="s">
        <v>198</v>
      </c>
      <c r="B60" s="15" t="s">
        <v>199</v>
      </c>
      <c r="C60" s="15" t="s">
        <v>200</v>
      </c>
      <c r="D60" s="15" t="s">
        <v>201</v>
      </c>
      <c r="E60" s="15"/>
      <c r="F60" s="15"/>
      <c r="G60" s="15"/>
      <c r="H60" s="15"/>
    </row>
    <row r="61" spans="1:8" x14ac:dyDescent="0.25">
      <c r="A61" s="16" t="s">
        <v>202</v>
      </c>
      <c r="B61" s="16" t="s">
        <v>203</v>
      </c>
      <c r="C61" s="16" t="s">
        <v>204</v>
      </c>
      <c r="D61" s="16"/>
      <c r="E61" s="16"/>
      <c r="F61" s="16"/>
      <c r="G61" s="16"/>
      <c r="H61" s="16"/>
    </row>
    <row r="62" spans="1:8" x14ac:dyDescent="0.25">
      <c r="A62" s="15" t="s">
        <v>205</v>
      </c>
      <c r="B62" s="15" t="s">
        <v>206</v>
      </c>
      <c r="C62" s="15"/>
      <c r="D62" s="15"/>
      <c r="E62" s="15"/>
      <c r="F62" s="15"/>
      <c r="G62" s="15"/>
      <c r="H62" s="15"/>
    </row>
    <row r="63" spans="1:8" x14ac:dyDescent="0.25">
      <c r="A63" s="16" t="s">
        <v>207</v>
      </c>
      <c r="B63" s="16" t="s">
        <v>208</v>
      </c>
      <c r="C63" s="16" t="s">
        <v>209</v>
      </c>
      <c r="D63" s="16" t="s">
        <v>210</v>
      </c>
      <c r="E63" s="16"/>
      <c r="F63" s="16"/>
      <c r="G63" s="16"/>
      <c r="H63" s="16"/>
    </row>
    <row r="64" spans="1:8" x14ac:dyDescent="0.25">
      <c r="A64" s="15" t="s">
        <v>211</v>
      </c>
      <c r="B64" s="15" t="s">
        <v>212</v>
      </c>
      <c r="C64" s="15"/>
      <c r="D64" s="15" t="s">
        <v>213</v>
      </c>
      <c r="E64" s="15"/>
      <c r="F64" s="15"/>
      <c r="G64" s="15"/>
      <c r="H64" s="15"/>
    </row>
    <row r="65" spans="1:8" x14ac:dyDescent="0.25">
      <c r="A65" s="16" t="s">
        <v>214</v>
      </c>
      <c r="B65" s="16" t="s">
        <v>215</v>
      </c>
      <c r="C65" s="16" t="s">
        <v>216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V73"/>
  <sheetViews>
    <sheetView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2" ht="18.75" customHeight="1" x14ac:dyDescent="0.25">
      <c r="A1" s="17"/>
      <c r="B1" s="88" t="s">
        <v>217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  <c r="U1" s="90"/>
    </row>
    <row r="2" spans="1:22" ht="58.5" customHeight="1" x14ac:dyDescent="0.25">
      <c r="A2" s="18" t="s">
        <v>218</v>
      </c>
      <c r="B2" s="14">
        <v>1</v>
      </c>
      <c r="C2" s="18" t="s">
        <v>219</v>
      </c>
      <c r="D2" s="18" t="s">
        <v>220</v>
      </c>
      <c r="E2" s="18" t="s">
        <v>221</v>
      </c>
      <c r="F2" s="18" t="s">
        <v>222</v>
      </c>
      <c r="G2" s="18" t="s">
        <v>223</v>
      </c>
      <c r="H2" s="18" t="s">
        <v>224</v>
      </c>
      <c r="I2" s="18" t="s">
        <v>225</v>
      </c>
      <c r="J2" s="18" t="s">
        <v>226</v>
      </c>
      <c r="K2" s="18" t="s">
        <v>227</v>
      </c>
      <c r="L2" s="18" t="s">
        <v>228</v>
      </c>
      <c r="M2" s="18" t="s">
        <v>229</v>
      </c>
      <c r="N2" s="18" t="s">
        <v>230</v>
      </c>
      <c r="O2" s="18" t="s">
        <v>231</v>
      </c>
      <c r="P2" s="18" t="s">
        <v>232</v>
      </c>
      <c r="Q2" s="18" t="s">
        <v>233</v>
      </c>
      <c r="R2" s="18" t="s">
        <v>234</v>
      </c>
      <c r="S2" s="18" t="s">
        <v>235</v>
      </c>
      <c r="T2" s="18"/>
      <c r="U2" s="18"/>
      <c r="V2" t="s">
        <v>236</v>
      </c>
    </row>
    <row r="3" spans="1:22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2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240</v>
      </c>
      <c r="U4" s="22">
        <f>'ANNUAL-EXPENSE-DETAILS'!W3</f>
        <v>269762</v>
      </c>
    </row>
    <row r="5" spans="1:22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242</v>
      </c>
      <c r="U5" s="20">
        <f>'ANNUAL-EXPENSE-DETAILS'!V3</f>
        <v>48800</v>
      </c>
    </row>
    <row r="6" spans="1:22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>
        <v>0</v>
      </c>
      <c r="S6" s="22">
        <f t="shared" ref="S6:S37" si="7">SUM(J6:R6)*$B$2</f>
        <v>5103.4972351057786</v>
      </c>
      <c r="T6" s="22"/>
      <c r="U6" s="22"/>
    </row>
    <row r="7" spans="1:22" ht="12.75" customHeight="1" x14ac:dyDescent="0.25">
      <c r="A7" s="19" t="s">
        <v>10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243</v>
      </c>
      <c r="U7" s="80">
        <f>(99.84+0.18*99.84)</f>
        <v>117.8112</v>
      </c>
    </row>
    <row r="8" spans="1:22" ht="12.75" customHeight="1" x14ac:dyDescent="0.25">
      <c r="A8" s="21" t="s">
        <v>13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>
        <v>0</v>
      </c>
      <c r="S8" s="22">
        <f t="shared" si="7"/>
        <v>6762.9905854527296</v>
      </c>
      <c r="T8" s="22" t="s">
        <v>244</v>
      </c>
      <c r="U8" s="22">
        <f>$U$7*3</f>
        <v>353.43360000000001</v>
      </c>
    </row>
    <row r="9" spans="1:22" ht="12.75" customHeight="1" x14ac:dyDescent="0.25">
      <c r="A9" s="19" t="s">
        <v>17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f t="shared" si="7"/>
        <v>5254.794031547106</v>
      </c>
      <c r="T9" s="20" t="s">
        <v>245</v>
      </c>
      <c r="U9" s="20">
        <f>U8/64</f>
        <v>5.5224000000000002</v>
      </c>
    </row>
    <row r="10" spans="1:22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v>0</v>
      </c>
      <c r="S10" s="22">
        <f t="shared" si="7"/>
        <v>5032.332746117042</v>
      </c>
      <c r="T10" s="22"/>
      <c r="U10" s="22"/>
    </row>
    <row r="11" spans="1:22" ht="12.75" customHeight="1" x14ac:dyDescent="0.25">
      <c r="A11" s="19" t="s">
        <v>22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f t="shared" si="7"/>
        <v>5399.2157691956127</v>
      </c>
      <c r="T11" s="20" t="s">
        <v>246</v>
      </c>
      <c r="U11" s="20"/>
    </row>
    <row r="12" spans="1:22" ht="12.75" customHeight="1" x14ac:dyDescent="0.25">
      <c r="A12" s="21" t="s">
        <v>25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f t="shared" si="7"/>
        <v>5331.1583940654746</v>
      </c>
      <c r="T12" s="22" t="s">
        <v>247</v>
      </c>
      <c r="U12" s="22"/>
    </row>
    <row r="13" spans="1:22" ht="12.75" customHeight="1" x14ac:dyDescent="0.25">
      <c r="A13" s="19" t="s">
        <v>28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f t="shared" si="7"/>
        <v>5025.4046916809048</v>
      </c>
      <c r="T13" s="20" t="s">
        <v>248</v>
      </c>
      <c r="U13" s="20"/>
    </row>
    <row r="14" spans="1:22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>
        <v>0</v>
      </c>
      <c r="S14" s="22">
        <f t="shared" si="7"/>
        <v>4941.0868648862506</v>
      </c>
      <c r="T14" s="22" t="s">
        <v>249</v>
      </c>
      <c r="U14" s="22">
        <f>U12-U13</f>
        <v>0</v>
      </c>
    </row>
    <row r="15" spans="1:22" ht="12.75" customHeight="1" x14ac:dyDescent="0.25">
      <c r="A15" s="19" t="s">
        <v>35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f t="shared" si="7"/>
        <v>5732.9170578695284</v>
      </c>
      <c r="T15" s="20" t="s">
        <v>250</v>
      </c>
      <c r="U15" s="20"/>
    </row>
    <row r="16" spans="1:22" ht="12.75" customHeight="1" x14ac:dyDescent="0.25">
      <c r="A16" s="21" t="s">
        <v>39</v>
      </c>
      <c r="B16" s="21" t="str">
        <f>VLOOKUP(A16,Members!$A$2:$B$65,2,FALSE)</f>
        <v>Geetha N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>
        <v>0</v>
      </c>
      <c r="S16" s="22">
        <f t="shared" si="7"/>
        <v>4680.2174180207621</v>
      </c>
      <c r="T16" s="22" t="s">
        <v>251</v>
      </c>
      <c r="U16" s="22">
        <f>U11-U14-U15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f t="shared" si="7"/>
        <v>4577.6943668474069</v>
      </c>
      <c r="T17" s="20" t="s">
        <v>252</v>
      </c>
      <c r="U17" s="20">
        <f>'ANNUAL-EXPENSE-DETAILS'!Z9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f t="shared" si="7"/>
        <v>4991.4064181592439</v>
      </c>
      <c r="T18" s="22" t="s">
        <v>253</v>
      </c>
      <c r="U18" s="22">
        <f>U16-U17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>
        <v>0</v>
      </c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v>0</v>
      </c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>
        <v>0</v>
      </c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>
        <v>0</v>
      </c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>
        <v>0</v>
      </c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>
        <v>0</v>
      </c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>
        <v>0</v>
      </c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>
        <v>0</v>
      </c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>
        <v>0</v>
      </c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>
        <v>0</v>
      </c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>
        <v>0</v>
      </c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>
        <v>0</v>
      </c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>
        <v>0</v>
      </c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>
        <v>0</v>
      </c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>
        <v>0</v>
      </c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>
        <v>0</v>
      </c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254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27" t="s">
        <v>256</v>
      </c>
      <c r="E1" s="18" t="s">
        <v>255</v>
      </c>
      <c r="F1" s="14" t="s">
        <v>256</v>
      </c>
      <c r="G1" s="18" t="s">
        <v>255</v>
      </c>
      <c r="H1" s="14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9230</v>
      </c>
      <c r="D2" s="28" t="s">
        <v>258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>
        <v>6000</v>
      </c>
      <c r="D4" s="29" t="s">
        <v>259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>
        <v>5549</v>
      </c>
      <c r="D5" s="31" t="s">
        <v>260</v>
      </c>
      <c r="E5" s="25">
        <v>440</v>
      </c>
      <c r="F5" s="25" t="s">
        <v>260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4867.34</v>
      </c>
      <c r="D7" s="32" t="s">
        <v>261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5384</v>
      </c>
      <c r="D8" s="28" t="s">
        <v>262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>
        <v>6070</v>
      </c>
      <c r="D9" s="33" t="s">
        <v>263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>
        <v>27822</v>
      </c>
      <c r="D11" s="32" t="s">
        <v>263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>
        <v>5549</v>
      </c>
      <c r="D12" s="28" t="s">
        <v>260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263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4934</v>
      </c>
      <c r="D14" s="30" t="s">
        <v>264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>
        <v>7000</v>
      </c>
      <c r="D15" s="31" t="s">
        <v>265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5764</v>
      </c>
      <c r="D16" s="28" t="s">
        <v>266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5903.12</v>
      </c>
      <c r="D17" s="25" t="s">
        <v>265</v>
      </c>
      <c r="E17" s="25">
        <v>20000</v>
      </c>
      <c r="F17" s="25" t="s">
        <v>267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>
        <v>6121</v>
      </c>
      <c r="D19" s="33" t="s">
        <v>264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>
        <v>5796</v>
      </c>
      <c r="D20" s="30" t="s">
        <v>268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>
        <v>5604</v>
      </c>
      <c r="D21" s="33" t="s">
        <v>269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>
        <v>5260</v>
      </c>
      <c r="D23" s="25" t="s">
        <v>270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>
        <v>10621</v>
      </c>
      <c r="D24" s="30" t="s">
        <v>271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495.94</v>
      </c>
      <c r="D25" s="32" t="s">
        <v>272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>
        <v>5590</v>
      </c>
      <c r="D26" s="30" t="s">
        <v>273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>
        <v>16648</v>
      </c>
      <c r="D28" s="28" t="s">
        <v>274</v>
      </c>
      <c r="E28" s="26">
        <v>4928</v>
      </c>
      <c r="F28" s="26" t="s">
        <v>263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>
        <v>4487</v>
      </c>
      <c r="D29" s="32" t="s">
        <v>263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10677</v>
      </c>
      <c r="D30" s="30" t="s">
        <v>265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5970</v>
      </c>
      <c r="D31" s="31" t="s">
        <v>263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4819</v>
      </c>
      <c r="D33" s="33" t="s">
        <v>273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>
        <v>4890</v>
      </c>
      <c r="D34" s="28" t="s">
        <v>268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5635</v>
      </c>
      <c r="D35" s="31" t="s">
        <v>259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5092</v>
      </c>
      <c r="D36" s="30" t="s">
        <v>266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28414.74</v>
      </c>
      <c r="D38" s="26" t="s">
        <v>265</v>
      </c>
      <c r="E38" s="26">
        <v>4935</v>
      </c>
      <c r="F38" s="26" t="s">
        <v>263</v>
      </c>
      <c r="G38" s="26">
        <v>1000</v>
      </c>
      <c r="H38" s="26" t="s">
        <v>262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35878</v>
      </c>
      <c r="D39" s="33" t="s">
        <v>274</v>
      </c>
      <c r="E39" s="25">
        <v>4903</v>
      </c>
      <c r="F39" s="25" t="s">
        <v>264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>
        <v>4936</v>
      </c>
      <c r="D40" s="30" t="s">
        <v>275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>
        <v>2028.67</v>
      </c>
      <c r="D41" s="31" t="s">
        <v>275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5150</v>
      </c>
      <c r="D44" s="30" t="s">
        <v>263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4739</v>
      </c>
      <c r="D46" s="30" t="s">
        <v>264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>
        <v>16641</v>
      </c>
      <c r="D48" s="30" t="s">
        <v>265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1" t="s">
        <v>263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5879</v>
      </c>
      <c r="D50" s="30" t="s">
        <v>264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>
        <v>39847.339999999997</v>
      </c>
      <c r="D51" s="31" t="s">
        <v>266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>
        <v>5431</v>
      </c>
      <c r="D52" s="28" t="s">
        <v>263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>
        <v>30484.97</v>
      </c>
      <c r="D53" s="33" t="s">
        <v>276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25990</v>
      </c>
      <c r="D54" s="28" t="s">
        <v>263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>
        <v>13753.45</v>
      </c>
      <c r="D55" s="32" t="s">
        <v>265</v>
      </c>
      <c r="E55" s="25">
        <v>6246</v>
      </c>
      <c r="F55" s="31" t="s">
        <v>263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4712</v>
      </c>
      <c r="D56" s="28" t="s">
        <v>271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>
        <v>1536.73</v>
      </c>
      <c r="D57" s="31" t="s">
        <v>273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4785</v>
      </c>
      <c r="D58" s="28" t="s">
        <v>264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>
        <v>5920</v>
      </c>
      <c r="D59" s="33" t="s">
        <v>263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>
        <v>4939</v>
      </c>
      <c r="D60" s="30" t="s">
        <v>263</v>
      </c>
      <c r="E60" s="26">
        <v>6348</v>
      </c>
      <c r="F60" s="26" t="s">
        <v>263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>
        <v>4806</v>
      </c>
      <c r="D61" s="33" t="s">
        <v>263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6" t="s">
        <v>272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>
        <v>4477</v>
      </c>
      <c r="D63" s="32" t="s">
        <v>264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>
        <v>5420</v>
      </c>
      <c r="D64" s="30" t="s">
        <v>263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5231</v>
      </c>
      <c r="D65" s="31" t="s">
        <v>263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3"/>
  <sheetViews>
    <sheetView workbookViewId="0">
      <pane xSplit="2" ySplit="2" topLeftCell="C9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1" ht="18.75" customHeight="1" x14ac:dyDescent="0.25">
      <c r="A1" s="17">
        <v>1</v>
      </c>
      <c r="B1" s="91" t="s">
        <v>277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288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'ANNUAL-EXPENSE-DETAILS'!W4</f>
        <v>281008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'ANNUAL-EXPENSE-DETAILS'!V4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0</v>
      </c>
      <c r="R6" s="22">
        <f t="shared" ref="R6:R37" si="7">SUM(J6:Q6)*$B$2</f>
        <v>5565.8228186401111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0</v>
      </c>
      <c r="R7" s="20">
        <f t="shared" si="7"/>
        <v>6140.4346917049697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0</v>
      </c>
      <c r="R8" s="22">
        <f t="shared" si="7"/>
        <v>6838.8740421419971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0</v>
      </c>
      <c r="R9" s="20">
        <f t="shared" si="7"/>
        <v>5784.2527516815144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0</v>
      </c>
      <c r="R10" s="22">
        <f t="shared" si="7"/>
        <v>5582.5638157073336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0</v>
      </c>
      <c r="R11" s="20">
        <f t="shared" si="7"/>
        <v>5835.5028512992712</v>
      </c>
      <c r="S11" s="20"/>
      <c r="T11" s="20"/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0</v>
      </c>
      <c r="R12" s="22">
        <f t="shared" si="7"/>
        <v>6017.9708901898612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0</v>
      </c>
      <c r="R13" s="20">
        <f t="shared" si="7"/>
        <v>5339.5153449686704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0</v>
      </c>
      <c r="R14" s="22">
        <f t="shared" si="7"/>
        <v>5551.9460829351374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0</v>
      </c>
      <c r="R15" s="20">
        <f t="shared" si="7"/>
        <v>6229.5040413559436</v>
      </c>
      <c r="S15" s="25"/>
      <c r="T15" s="25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>
        <v>0</v>
      </c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>
        <v>0</v>
      </c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0</v>
      </c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0</v>
      </c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0</v>
      </c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0</v>
      </c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0</v>
      </c>
      <c r="R22" s="22">
        <f t="shared" si="7"/>
        <v>5814.9920897592847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0</v>
      </c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0</v>
      </c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0</v>
      </c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0</v>
      </c>
      <c r="R26" s="22">
        <f t="shared" si="7"/>
        <v>6157.9190514752772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0</v>
      </c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0</v>
      </c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0</v>
      </c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0</v>
      </c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0</v>
      </c>
      <c r="R31" s="20">
        <f t="shared" si="7"/>
        <v>5472.1461982470073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0</v>
      </c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0</v>
      </c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0</v>
      </c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0</v>
      </c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0</v>
      </c>
      <c r="R36" s="22">
        <f t="shared" si="7"/>
        <v>5981.1317414042778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0</v>
      </c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0</v>
      </c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0</v>
      </c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0</v>
      </c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0</v>
      </c>
      <c r="R41" s="20">
        <f t="shared" si="15"/>
        <v>5644.096100327296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0</v>
      </c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0</v>
      </c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0</v>
      </c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0</v>
      </c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0</v>
      </c>
      <c r="R46" s="22">
        <f t="shared" si="15"/>
        <v>5485.103699971819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0</v>
      </c>
      <c r="R47" s="20">
        <f t="shared" si="15"/>
        <v>5368.4574076950557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0</v>
      </c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0</v>
      </c>
      <c r="R49" s="20">
        <f t="shared" si="15"/>
        <v>5957.999929113188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0</v>
      </c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0</v>
      </c>
      <c r="R51" s="20">
        <f t="shared" si="15"/>
        <v>6098.4403261804109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0</v>
      </c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>
        <v>0</v>
      </c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0</v>
      </c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0</v>
      </c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>
        <v>0</v>
      </c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0</v>
      </c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0</v>
      </c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0</v>
      </c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0</v>
      </c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0</v>
      </c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0</v>
      </c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0</v>
      </c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0</v>
      </c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0</v>
      </c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0</v>
      </c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0</v>
      </c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0</v>
      </c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254</v>
      </c>
      <c r="B70" s="23" t="s">
        <v>254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385692.96620000008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36" t="s">
        <v>256</v>
      </c>
      <c r="E1" s="18" t="s">
        <v>255</v>
      </c>
      <c r="F1" s="36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37" t="s">
        <v>293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4827</v>
      </c>
      <c r="D6" s="37" t="s">
        <v>294</v>
      </c>
      <c r="E6" s="26">
        <v>205</v>
      </c>
      <c r="F6" s="37" t="s">
        <v>295</v>
      </c>
      <c r="G6" s="26">
        <v>205</v>
      </c>
      <c r="H6" s="37" t="s">
        <v>295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9442.7099999999991</v>
      </c>
      <c r="D7" s="38" t="s">
        <v>296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7174</v>
      </c>
      <c r="D8" s="37" t="s">
        <v>297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453</v>
      </c>
      <c r="D9" s="39" t="s">
        <v>294</v>
      </c>
      <c r="E9" s="25">
        <v>468</v>
      </c>
      <c r="F9" s="38" t="s">
        <v>295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4867</v>
      </c>
      <c r="D10" s="37" t="s">
        <v>293</v>
      </c>
      <c r="E10" s="26">
        <v>5366</v>
      </c>
      <c r="F10" s="37" t="s">
        <v>298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6536.41</v>
      </c>
      <c r="D13" s="38" t="s">
        <v>294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5907</v>
      </c>
      <c r="D16" s="37" t="s">
        <v>299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5887.24</v>
      </c>
      <c r="D17" s="38" t="s">
        <v>300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2100</v>
      </c>
      <c r="D20" s="40" t="s">
        <v>301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11592</v>
      </c>
      <c r="D21" s="39" t="s">
        <v>294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5067</v>
      </c>
      <c r="D25" s="38" t="s">
        <v>302</v>
      </c>
      <c r="E25" s="25">
        <v>3879.31</v>
      </c>
      <c r="F25" s="38" t="s">
        <v>303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4440</v>
      </c>
      <c r="D27" s="38" t="s">
        <v>304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6335</v>
      </c>
      <c r="D29" s="39" t="s">
        <v>305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6116.55</v>
      </c>
      <c r="D31" s="38" t="s">
        <v>306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4556.92</v>
      </c>
      <c r="D34" s="40" t="s">
        <v>307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>
        <v>6948</v>
      </c>
      <c r="D35" s="38" t="s">
        <v>293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6000</v>
      </c>
      <c r="D37" s="38" t="s">
        <v>294</v>
      </c>
      <c r="E37" s="25">
        <v>5000</v>
      </c>
      <c r="F37" s="38" t="s">
        <v>308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4363.79</v>
      </c>
      <c r="D38" s="37" t="s">
        <v>305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5067.7</v>
      </c>
      <c r="D40" s="40" t="s">
        <v>304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8000</v>
      </c>
      <c r="D43" s="25" t="s">
        <v>309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4992</v>
      </c>
      <c r="D44" s="37" t="s">
        <v>310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16123.22</v>
      </c>
      <c r="D45" s="38" t="s">
        <v>294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1511</v>
      </c>
      <c r="D52" s="40" t="s">
        <v>298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10300</v>
      </c>
      <c r="D53" s="38" t="s">
        <v>311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5343</v>
      </c>
      <c r="D54" s="37" t="s">
        <v>308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6494.14</v>
      </c>
      <c r="D55" s="38" t="s">
        <v>306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20028.72</v>
      </c>
      <c r="D56" s="37" t="s">
        <v>297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5287.24</v>
      </c>
      <c r="D57" s="39" t="s">
        <v>300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4766.55</v>
      </c>
      <c r="D58" s="37" t="s">
        <v>297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15000</v>
      </c>
      <c r="D59" s="39" t="s">
        <v>294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5187</v>
      </c>
      <c r="D60" s="40" t="s">
        <v>297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84.49</v>
      </c>
      <c r="D61" s="38" t="s">
        <v>312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5350</v>
      </c>
      <c r="D63" s="38" t="s">
        <v>297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5420</v>
      </c>
      <c r="D64" s="40" t="s">
        <v>295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10000</v>
      </c>
      <c r="D65" s="38" t="s">
        <v>295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1" ht="16.5" customHeight="1" x14ac:dyDescent="0.25">
      <c r="A1" s="17"/>
      <c r="B1" s="91" t="s">
        <v>313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315</v>
      </c>
      <c r="O2" s="18" t="s">
        <v>286</v>
      </c>
      <c r="P2" s="18" t="s">
        <v>287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240</v>
      </c>
      <c r="T4" s="22">
        <f>'ANNUAL-EXPENSE-DETAILS'!W5</f>
        <v>322871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242</v>
      </c>
      <c r="T5" s="20">
        <f>'ANNUAL-EXPENSE-DETAILS'!V5</f>
        <v>51350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9.927346765594822E-3</v>
      </c>
      <c r="G6" s="22">
        <f t="shared" ref="G6:G37" si="3">F6*$T$5</f>
        <v>509.7692564132941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886.66586578829413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0</v>
      </c>
      <c r="R6" s="22">
        <f t="shared" ref="R6:R37" si="7">SUM(J6:Q6)*$B$2</f>
        <v>5931.5252407882945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1.9479993497852361E-2</v>
      </c>
      <c r="G7" s="20">
        <f t="shared" si="3"/>
        <v>1000.2976661147187</v>
      </c>
      <c r="H7" s="20">
        <v>4</v>
      </c>
      <c r="I7" s="20">
        <f t="shared" si="4"/>
        <v>494.79759999999999</v>
      </c>
      <c r="J7" s="20">
        <f t="shared" si="5"/>
        <v>1500.8936754897186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7545.7530504897186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2.383753447378064E-2</v>
      </c>
      <c r="G8" s="22">
        <f t="shared" si="3"/>
        <v>1224.0573952286359</v>
      </c>
      <c r="H8" s="22">
        <v>4</v>
      </c>
      <c r="I8" s="22">
        <f t="shared" si="4"/>
        <v>494.79759999999999</v>
      </c>
      <c r="J8" s="22">
        <f t="shared" si="5"/>
        <v>1724.6534046036359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0</v>
      </c>
      <c r="R8" s="22">
        <f t="shared" si="7"/>
        <v>7519.5127796036359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1.0102574134126081E-2</v>
      </c>
      <c r="G9" s="20">
        <f t="shared" si="3"/>
        <v>518.76718178737428</v>
      </c>
      <c r="H9" s="20">
        <v>4</v>
      </c>
      <c r="I9" s="20">
        <f t="shared" si="4"/>
        <v>494.79759999999999</v>
      </c>
      <c r="J9" s="20">
        <f t="shared" si="5"/>
        <v>1019.3631911623743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0</v>
      </c>
      <c r="R9" s="20">
        <f t="shared" si="7"/>
        <v>6064.2225661623743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1.4730119545841518E-2</v>
      </c>
      <c r="G10" s="22">
        <f t="shared" si="3"/>
        <v>756.39163867896195</v>
      </c>
      <c r="H10" s="22">
        <v>3</v>
      </c>
      <c r="I10" s="22">
        <f t="shared" si="4"/>
        <v>371.09820000000002</v>
      </c>
      <c r="J10" s="22">
        <f t="shared" si="5"/>
        <v>1133.288248053962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0</v>
      </c>
      <c r="R10" s="22">
        <f t="shared" si="7"/>
        <v>6178.147623053962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1.9121824348338784E-2</v>
      </c>
      <c r="G11" s="20">
        <f t="shared" si="3"/>
        <v>981.90568028719656</v>
      </c>
      <c r="H11" s="20">
        <v>3</v>
      </c>
      <c r="I11" s="20">
        <f t="shared" si="4"/>
        <v>371.09820000000002</v>
      </c>
      <c r="J11" s="20">
        <f t="shared" si="5"/>
        <v>1358.8022896621965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0</v>
      </c>
      <c r="R11" s="20">
        <f t="shared" si="7"/>
        <v>6403.6616646621969</v>
      </c>
      <c r="S11" s="20" t="s">
        <v>240</v>
      </c>
      <c r="T11" s="20">
        <f>'ANNUAL-EXPENSE-DETAILS'!W5</f>
        <v>322871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7.8246183432197203E-5</v>
      </c>
      <c r="G12" s="22">
        <f t="shared" si="3"/>
        <v>4.0179415192433261</v>
      </c>
      <c r="H12" s="22">
        <v>3</v>
      </c>
      <c r="I12" s="22">
        <f t="shared" si="4"/>
        <v>371.09820000000002</v>
      </c>
      <c r="J12" s="22">
        <f t="shared" si="5"/>
        <v>380.91455089424335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0</v>
      </c>
      <c r="R12" s="22">
        <f t="shared" si="7"/>
        <v>6175.7739258942438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2.0211760621781645E-3</v>
      </c>
      <c r="G13" s="20">
        <f t="shared" si="3"/>
        <v>103.78739079284874</v>
      </c>
      <c r="H13" s="20">
        <v>3</v>
      </c>
      <c r="I13" s="20">
        <f t="shared" si="4"/>
        <v>371.09820000000002</v>
      </c>
      <c r="J13" s="20">
        <f t="shared" si="5"/>
        <v>480.68400016784875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0</v>
      </c>
      <c r="R13" s="20">
        <f t="shared" si="7"/>
        <v>5525.5433751678484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3.8715329915113912E-3</v>
      </c>
      <c r="G14" s="22">
        <f t="shared" si="3"/>
        <v>198.80321911410994</v>
      </c>
      <c r="H14" s="22">
        <v>4</v>
      </c>
      <c r="I14" s="22">
        <f t="shared" si="4"/>
        <v>494.79759999999999</v>
      </c>
      <c r="J14" s="22">
        <f t="shared" si="5"/>
        <v>699.39922848910987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0</v>
      </c>
      <c r="R14" s="22">
        <f t="shared" si="7"/>
        <v>5744.2586034891101</v>
      </c>
      <c r="S14" s="22" t="s">
        <v>317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1.5164330760944134E-2</v>
      </c>
      <c r="G15" s="20">
        <f t="shared" si="3"/>
        <v>778.68838457448135</v>
      </c>
      <c r="H15" s="20">
        <v>3</v>
      </c>
      <c r="I15" s="20">
        <f t="shared" si="4"/>
        <v>371.09820000000002</v>
      </c>
      <c r="J15" s="20">
        <f t="shared" si="5"/>
        <v>1155.5849939494815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0</v>
      </c>
      <c r="R15" s="20">
        <f t="shared" si="7"/>
        <v>6200.4443689494819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2.647145529635742E-3</v>
      </c>
      <c r="G16" s="22">
        <f t="shared" si="3"/>
        <v>135.93092294679536</v>
      </c>
      <c r="H16" s="22">
        <v>3</v>
      </c>
      <c r="I16" s="22">
        <f t="shared" si="4"/>
        <v>371.09820000000002</v>
      </c>
      <c r="J16" s="22">
        <f t="shared" si="5"/>
        <v>512.82753232179539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0</v>
      </c>
      <c r="R16" s="22">
        <f t="shared" si="7"/>
        <v>5557.6869073217949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1.6012916130560922E-2</v>
      </c>
      <c r="G17" s="20">
        <f t="shared" si="3"/>
        <v>822.26324330430339</v>
      </c>
      <c r="H17" s="20">
        <v>3</v>
      </c>
      <c r="I17" s="20">
        <f t="shared" si="4"/>
        <v>371.09820000000002</v>
      </c>
      <c r="J17" s="20">
        <f t="shared" si="5"/>
        <v>1199.1598526793034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>
        <v>0</v>
      </c>
      <c r="R17" s="20">
        <f t="shared" si="7"/>
        <v>6244.0192276793032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3.0780505679736166E-3</v>
      </c>
      <c r="G18" s="22">
        <f t="shared" si="3"/>
        <v>158.05789666544521</v>
      </c>
      <c r="H18" s="22">
        <v>4</v>
      </c>
      <c r="I18" s="22">
        <f t="shared" si="4"/>
        <v>494.79759999999999</v>
      </c>
      <c r="J18" s="22">
        <f t="shared" si="5"/>
        <v>658.65390604044524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0</v>
      </c>
      <c r="R18" s="22">
        <f t="shared" si="7"/>
        <v>5703.5132810404448</v>
      </c>
      <c r="S18" s="22" t="s">
        <v>251</v>
      </c>
      <c r="T18" s="22">
        <f>T14-T17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1.9666241455599424E-2</v>
      </c>
      <c r="G19" s="20">
        <f t="shared" si="3"/>
        <v>1009.8614987450304</v>
      </c>
      <c r="H19" s="20">
        <v>4</v>
      </c>
      <c r="I19" s="20">
        <f t="shared" si="4"/>
        <v>494.79759999999999</v>
      </c>
      <c r="J19" s="20">
        <f t="shared" si="5"/>
        <v>1510.4575081200305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0</v>
      </c>
      <c r="R19" s="20">
        <f t="shared" si="7"/>
        <v>6555.316883120031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1.0174207964028797E-2</v>
      </c>
      <c r="G20" s="22">
        <f t="shared" si="3"/>
        <v>522.44557895287869</v>
      </c>
      <c r="H20" s="22">
        <v>4</v>
      </c>
      <c r="I20" s="22">
        <f t="shared" si="4"/>
        <v>494.79759999999999</v>
      </c>
      <c r="J20" s="22">
        <f t="shared" si="5"/>
        <v>1023.0415883278787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0</v>
      </c>
      <c r="R20" s="22">
        <f t="shared" si="7"/>
        <v>6817.9009633278783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3.2865601159365987E-2</v>
      </c>
      <c r="G21" s="20">
        <f t="shared" si="3"/>
        <v>1687.6486195334435</v>
      </c>
      <c r="H21" s="20">
        <v>3</v>
      </c>
      <c r="I21" s="20">
        <f t="shared" si="4"/>
        <v>371.09820000000002</v>
      </c>
      <c r="J21" s="20">
        <f t="shared" si="5"/>
        <v>2064.5452289084433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0</v>
      </c>
      <c r="R21" s="20">
        <f t="shared" si="7"/>
        <v>7109.4046039084433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f>AVERAGE('Apr2026-EXPENSE'!C22,'May2026-EXPENSE'!C22)</f>
        <v>9304.75</v>
      </c>
      <c r="D22" s="22">
        <f t="shared" si="0"/>
        <v>0</v>
      </c>
      <c r="E22" s="22">
        <f t="shared" si="1"/>
        <v>9304.75</v>
      </c>
      <c r="F22" s="44">
        <f t="shared" si="2"/>
        <v>2.0508765501147518E-2</v>
      </c>
      <c r="G22" s="22">
        <f t="shared" si="3"/>
        <v>1053.125108483925</v>
      </c>
      <c r="H22" s="22">
        <v>3</v>
      </c>
      <c r="I22" s="22">
        <f t="shared" si="4"/>
        <v>371.09820000000002</v>
      </c>
      <c r="J22" s="22">
        <f t="shared" si="5"/>
        <v>1430.0217178589251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7474.8810928589246</v>
      </c>
      <c r="S22" s="22"/>
      <c r="T22" s="22"/>
      <c r="U22" t="s">
        <v>316</v>
      </c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2.920125524511168E-2</v>
      </c>
      <c r="G23" s="20">
        <f t="shared" si="3"/>
        <v>1499.4844568364847</v>
      </c>
      <c r="H23" s="20">
        <v>4</v>
      </c>
      <c r="I23" s="20">
        <f t="shared" si="4"/>
        <v>494.79759999999999</v>
      </c>
      <c r="J23" s="20">
        <f t="shared" si="5"/>
        <v>2000.0804662114847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0</v>
      </c>
      <c r="R23" s="20">
        <f t="shared" si="7"/>
        <v>7044.9398412114842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2.3311852368186864E-2</v>
      </c>
      <c r="G24" s="22">
        <f t="shared" si="3"/>
        <v>1197.0636191063954</v>
      </c>
      <c r="H24" s="22">
        <v>4</v>
      </c>
      <c r="I24" s="22">
        <f t="shared" si="4"/>
        <v>494.79759999999999</v>
      </c>
      <c r="J24" s="22">
        <f t="shared" si="5"/>
        <v>1697.6596284813954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0</v>
      </c>
      <c r="R24" s="22">
        <f t="shared" si="7"/>
        <v>6742.519003481395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1.7566819209989062E-2</v>
      </c>
      <c r="G25" s="20">
        <f t="shared" si="3"/>
        <v>902.05616643293831</v>
      </c>
      <c r="H25" s="20">
        <v>4</v>
      </c>
      <c r="I25" s="20">
        <f t="shared" si="4"/>
        <v>494.79759999999999</v>
      </c>
      <c r="J25" s="20">
        <f t="shared" si="5"/>
        <v>1402.6521758079384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0</v>
      </c>
      <c r="R25" s="20">
        <f t="shared" si="7"/>
        <v>6447.511550807938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1.5984262598599835E-2</v>
      </c>
      <c r="G26" s="22">
        <f t="shared" si="3"/>
        <v>820.79188443810153</v>
      </c>
      <c r="H26" s="22">
        <v>3</v>
      </c>
      <c r="I26" s="22">
        <f t="shared" si="4"/>
        <v>371.09820000000002</v>
      </c>
      <c r="J26" s="22">
        <f t="shared" si="5"/>
        <v>1197.6884938131016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7242.5478688131016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1.8228054562937207E-3</v>
      </c>
      <c r="G27" s="20">
        <f t="shared" si="3"/>
        <v>93.601060180682566</v>
      </c>
      <c r="H27" s="20">
        <v>3</v>
      </c>
      <c r="I27" s="20">
        <f t="shared" si="4"/>
        <v>371.09820000000002</v>
      </c>
      <c r="J27" s="20">
        <f t="shared" si="5"/>
        <v>470.49766955568259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0</v>
      </c>
      <c r="R27" s="20">
        <f t="shared" si="7"/>
        <v>5515.3570445556825</v>
      </c>
      <c r="S27" s="20"/>
      <c r="T27" s="20"/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1.5936874064971882E-2</v>
      </c>
      <c r="G28" s="22">
        <f t="shared" si="3"/>
        <v>818.35848323630614</v>
      </c>
      <c r="H28" s="22">
        <v>3</v>
      </c>
      <c r="I28" s="22">
        <f t="shared" si="4"/>
        <v>371.09820000000002</v>
      </c>
      <c r="J28" s="22">
        <f t="shared" si="5"/>
        <v>1195.2550926113063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0</v>
      </c>
      <c r="R28" s="22">
        <f t="shared" si="7"/>
        <v>6240.1144676113063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2.3154257942400889E-3</v>
      </c>
      <c r="G29" s="20">
        <f t="shared" si="3"/>
        <v>118.89711453422856</v>
      </c>
      <c r="H29" s="20">
        <v>3</v>
      </c>
      <c r="I29" s="20">
        <f t="shared" si="4"/>
        <v>371.09820000000002</v>
      </c>
      <c r="J29" s="20">
        <f t="shared" si="5"/>
        <v>495.79372390922856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0</v>
      </c>
      <c r="R29" s="20">
        <f t="shared" si="7"/>
        <v>5540.6530989092289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2.0858669208749247E-2</v>
      </c>
      <c r="G30" s="22">
        <f t="shared" si="3"/>
        <v>1071.0926638692738</v>
      </c>
      <c r="H30" s="22">
        <v>5</v>
      </c>
      <c r="I30" s="22">
        <f t="shared" si="4"/>
        <v>618.49699999999996</v>
      </c>
      <c r="J30" s="22">
        <f t="shared" si="5"/>
        <v>1695.3880732442735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0</v>
      </c>
      <c r="R30" s="22">
        <f t="shared" si="7"/>
        <v>6740.247448244274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6.940767088112366E-3</v>
      </c>
      <c r="G31" s="20">
        <f t="shared" si="3"/>
        <v>356.40838997457001</v>
      </c>
      <c r="H31" s="20">
        <v>3</v>
      </c>
      <c r="I31" s="20">
        <f t="shared" si="4"/>
        <v>371.09820000000002</v>
      </c>
      <c r="J31" s="20">
        <f t="shared" si="5"/>
        <v>733.30499934957004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0</v>
      </c>
      <c r="R31" s="20">
        <f t="shared" si="7"/>
        <v>5778.1643743495697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2.8730676085596918E-3</v>
      </c>
      <c r="G32" s="22">
        <f t="shared" si="3"/>
        <v>147.53202169954017</v>
      </c>
      <c r="H32" s="22">
        <v>3</v>
      </c>
      <c r="I32" s="22">
        <f t="shared" si="4"/>
        <v>371.09820000000002</v>
      </c>
      <c r="J32" s="22">
        <f t="shared" si="5"/>
        <v>524.42863107454014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0</v>
      </c>
      <c r="R32" s="22">
        <f t="shared" si="7"/>
        <v>5569.2880060745401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2.920125524511168E-2</v>
      </c>
      <c r="G33" s="20">
        <f t="shared" si="3"/>
        <v>1499.4844568364847</v>
      </c>
      <c r="H33" s="20">
        <v>3</v>
      </c>
      <c r="I33" s="20">
        <f t="shared" si="4"/>
        <v>371.09820000000002</v>
      </c>
      <c r="J33" s="20">
        <f t="shared" si="5"/>
        <v>1876.3810662114847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0</v>
      </c>
      <c r="R33" s="20">
        <f t="shared" si="7"/>
        <v>6921.2404412114847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1.5224944001631047E-2</v>
      </c>
      <c r="G34" s="22">
        <f t="shared" si="3"/>
        <v>781.80087448375423</v>
      </c>
      <c r="H34" s="22">
        <v>4</v>
      </c>
      <c r="I34" s="22">
        <f t="shared" si="4"/>
        <v>494.79759999999999</v>
      </c>
      <c r="J34" s="22">
        <f t="shared" si="5"/>
        <v>1282.3968838587543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0</v>
      </c>
      <c r="R34" s="22">
        <f t="shared" si="7"/>
        <v>6327.2562588587543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2.5271313130756534E-2</v>
      </c>
      <c r="G35" s="20">
        <f t="shared" si="3"/>
        <v>1297.6819292643481</v>
      </c>
      <c r="H35" s="20">
        <v>4</v>
      </c>
      <c r="I35" s="20">
        <f t="shared" si="4"/>
        <v>494.79759999999999</v>
      </c>
      <c r="J35" s="20">
        <f t="shared" si="5"/>
        <v>1798.2779386393481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0</v>
      </c>
      <c r="R35" s="20">
        <f t="shared" si="7"/>
        <v>6843.1373136393486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1.8504671352253848E-2</v>
      </c>
      <c r="G36" s="22">
        <f t="shared" si="3"/>
        <v>950.21487393823509</v>
      </c>
      <c r="H36" s="22">
        <v>4</v>
      </c>
      <c r="I36" s="22">
        <f t="shared" si="4"/>
        <v>494.79759999999999</v>
      </c>
      <c r="J36" s="22">
        <f t="shared" si="5"/>
        <v>1450.8108833132351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7495.6702583132355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9.8942849979474154E-3</v>
      </c>
      <c r="G37" s="20">
        <f t="shared" si="3"/>
        <v>508.07153464459981</v>
      </c>
      <c r="H37" s="20">
        <v>3</v>
      </c>
      <c r="I37" s="20">
        <f t="shared" si="4"/>
        <v>371.09820000000002</v>
      </c>
      <c r="J37" s="20">
        <f t="shared" si="5"/>
        <v>884.96814401959978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0</v>
      </c>
      <c r="R37" s="20">
        <f t="shared" si="7"/>
        <v>5929.8275190196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4.2341103767112908E-3</v>
      </c>
      <c r="G38" s="22">
        <f t="shared" ref="G38:G69" si="11">F38*$T$5</f>
        <v>217.42156784412478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594.31817721912478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0</v>
      </c>
      <c r="R38" s="22">
        <f t="shared" ref="R38:R69" si="15">SUM(J38:Q38)*$B$2</f>
        <v>5639.1775522191247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3.2127221681907223E-2</v>
      </c>
      <c r="G39" s="20">
        <f t="shared" si="11"/>
        <v>1649.7328333659359</v>
      </c>
      <c r="H39" s="20">
        <v>4</v>
      </c>
      <c r="I39" s="20">
        <f t="shared" si="12"/>
        <v>494.79759999999999</v>
      </c>
      <c r="J39" s="20">
        <f t="shared" si="13"/>
        <v>2150.3288427409357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0</v>
      </c>
      <c r="R39" s="20">
        <f t="shared" si="15"/>
        <v>7195.1882177409352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1.9113007876966143E-2</v>
      </c>
      <c r="G40" s="22">
        <f t="shared" si="11"/>
        <v>981.45295448221145</v>
      </c>
      <c r="H40" s="22">
        <v>4</v>
      </c>
      <c r="I40" s="22">
        <f t="shared" si="12"/>
        <v>494.79759999999999</v>
      </c>
      <c r="J40" s="22">
        <f t="shared" si="13"/>
        <v>1482.0489638572114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0</v>
      </c>
      <c r="R40" s="22">
        <f t="shared" si="15"/>
        <v>6526.9083388572117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1.6557333237821562E-2</v>
      </c>
      <c r="G41" s="20">
        <f t="shared" si="11"/>
        <v>850.21906176213713</v>
      </c>
      <c r="H41" s="20">
        <v>3</v>
      </c>
      <c r="I41" s="20">
        <f t="shared" si="12"/>
        <v>371.09820000000002</v>
      </c>
      <c r="J41" s="20">
        <f t="shared" si="13"/>
        <v>1227.1156711371373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0</v>
      </c>
      <c r="R41" s="20">
        <f t="shared" si="15"/>
        <v>6271.9750461371368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1.7554696561851678E-2</v>
      </c>
      <c r="G42" s="22">
        <f t="shared" si="11"/>
        <v>901.43366845108369</v>
      </c>
      <c r="H42" s="22">
        <v>3</v>
      </c>
      <c r="I42" s="22">
        <f t="shared" si="12"/>
        <v>371.09820000000002</v>
      </c>
      <c r="J42" s="22">
        <f t="shared" si="13"/>
        <v>1278.3302778260836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0</v>
      </c>
      <c r="R42" s="22">
        <f t="shared" si="15"/>
        <v>6323.1896528260841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1.8398873695782143E-2</v>
      </c>
      <c r="G43" s="20">
        <f t="shared" si="11"/>
        <v>944.78216427841301</v>
      </c>
      <c r="H43" s="20">
        <v>3</v>
      </c>
      <c r="I43" s="20">
        <f t="shared" si="12"/>
        <v>371.09820000000002</v>
      </c>
      <c r="J43" s="20">
        <f t="shared" si="13"/>
        <v>1321.6787736534129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0</v>
      </c>
      <c r="R43" s="20">
        <f t="shared" si="15"/>
        <v>6366.5381486534134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3.9508812338651684E-3</v>
      </c>
      <c r="G44" s="22">
        <f t="shared" si="11"/>
        <v>202.87775135897638</v>
      </c>
      <c r="H44" s="22">
        <v>3</v>
      </c>
      <c r="I44" s="22">
        <f t="shared" si="12"/>
        <v>371.09820000000002</v>
      </c>
      <c r="J44" s="22">
        <f t="shared" si="13"/>
        <v>579.77436073397644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0</v>
      </c>
      <c r="R44" s="22">
        <f t="shared" si="15"/>
        <v>5624.6337357339762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2.1390963667872503E-2</v>
      </c>
      <c r="G45" s="20">
        <f t="shared" si="11"/>
        <v>1098.425984345253</v>
      </c>
      <c r="H45" s="20">
        <v>3</v>
      </c>
      <c r="I45" s="20">
        <f t="shared" si="12"/>
        <v>371.09820000000002</v>
      </c>
      <c r="J45" s="20">
        <f t="shared" si="13"/>
        <v>1475.3225937202528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0</v>
      </c>
      <c r="R45" s="20">
        <f t="shared" si="15"/>
        <v>6520.1819687202533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1.2343059921698715E-4</v>
      </c>
      <c r="G46" s="22">
        <f t="shared" si="11"/>
        <v>6.3381612697922902</v>
      </c>
      <c r="H46" s="22">
        <v>4</v>
      </c>
      <c r="I46" s="22">
        <f t="shared" si="12"/>
        <v>494.79759999999999</v>
      </c>
      <c r="J46" s="22">
        <f t="shared" si="13"/>
        <v>506.93417064479229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6551.7935456447922</v>
      </c>
      <c r="S46" s="22"/>
      <c r="T46" s="22"/>
      <c r="U46" t="s">
        <v>316</v>
      </c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9.8413861697115631E-4</v>
      </c>
      <c r="G47" s="20">
        <f t="shared" si="11"/>
        <v>50.535517981468878</v>
      </c>
      <c r="H47" s="20">
        <v>3</v>
      </c>
      <c r="I47" s="20">
        <f t="shared" si="12"/>
        <v>371.09820000000002</v>
      </c>
      <c r="J47" s="20">
        <f t="shared" si="13"/>
        <v>427.43212735646887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0</v>
      </c>
      <c r="R47" s="20">
        <f t="shared" si="15"/>
        <v>5472.2915023564692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1.1028303628253485E-2</v>
      </c>
      <c r="G48" s="22">
        <f t="shared" si="11"/>
        <v>566.30339131081644</v>
      </c>
      <c r="H48" s="22">
        <v>3</v>
      </c>
      <c r="I48" s="22">
        <f t="shared" si="12"/>
        <v>371.09820000000002</v>
      </c>
      <c r="J48" s="22">
        <f t="shared" si="13"/>
        <v>943.20000068581646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0</v>
      </c>
      <c r="R48" s="22">
        <f t="shared" si="15"/>
        <v>5988.0593756858161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2.2499634942982228E-2</v>
      </c>
      <c r="G49" s="20">
        <f t="shared" si="11"/>
        <v>1155.3562543221374</v>
      </c>
      <c r="H49" s="20">
        <v>3</v>
      </c>
      <c r="I49" s="20">
        <f t="shared" si="12"/>
        <v>371.09820000000002</v>
      </c>
      <c r="J49" s="20">
        <f t="shared" si="13"/>
        <v>1532.2528636971374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0</v>
      </c>
      <c r="R49" s="20">
        <f t="shared" si="15"/>
        <v>6577.1122386971374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2.2041178431604846E-6</v>
      </c>
      <c r="G50" s="22">
        <f t="shared" si="11"/>
        <v>0.11318145124629088</v>
      </c>
      <c r="H50" s="22">
        <v>4</v>
      </c>
      <c r="I50" s="22">
        <f t="shared" si="12"/>
        <v>494.79759999999999</v>
      </c>
      <c r="J50" s="22">
        <f t="shared" si="13"/>
        <v>500.7091908262463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0</v>
      </c>
      <c r="R50" s="22">
        <f t="shared" si="15"/>
        <v>5545.5685658262464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1.7839027763619383E-2</v>
      </c>
      <c r="G51" s="20">
        <f t="shared" si="11"/>
        <v>916.03407566185535</v>
      </c>
      <c r="H51" s="20">
        <v>4</v>
      </c>
      <c r="I51" s="20">
        <f t="shared" si="12"/>
        <v>494.79759999999999</v>
      </c>
      <c r="J51" s="20">
        <f t="shared" si="13"/>
        <v>1416.6300850368552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7461.4894600368552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3.3147728243290528E-2</v>
      </c>
      <c r="G52" s="22">
        <f t="shared" si="11"/>
        <v>1702.1358452929685</v>
      </c>
      <c r="H52" s="22">
        <v>4</v>
      </c>
      <c r="I52" s="22">
        <f t="shared" si="12"/>
        <v>494.79759999999999</v>
      </c>
      <c r="J52" s="22">
        <f t="shared" si="13"/>
        <v>2202.7318546679685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0</v>
      </c>
      <c r="R52" s="22">
        <f t="shared" si="15"/>
        <v>7247.5912296679689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9.5239932002964545E-3</v>
      </c>
      <c r="G53" s="20">
        <f t="shared" si="11"/>
        <v>489.05705083522292</v>
      </c>
      <c r="H53" s="20">
        <v>3</v>
      </c>
      <c r="I53" s="20">
        <f t="shared" si="12"/>
        <v>371.09820000000002</v>
      </c>
      <c r="J53" s="20">
        <f t="shared" si="13"/>
        <v>865.95366021022301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>
        <v>0</v>
      </c>
      <c r="R53" s="20">
        <f t="shared" si="15"/>
        <v>5910.8130352102235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2.8736186380204816E-2</v>
      </c>
      <c r="G54" s="22">
        <f t="shared" si="11"/>
        <v>1475.6031706235174</v>
      </c>
      <c r="H54" s="22">
        <v>3</v>
      </c>
      <c r="I54" s="22">
        <f t="shared" si="12"/>
        <v>371.09820000000002</v>
      </c>
      <c r="J54" s="22">
        <f t="shared" si="13"/>
        <v>1852.4997799985172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0</v>
      </c>
      <c r="R54" s="22">
        <f t="shared" si="15"/>
        <v>6897.3591549985176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2.7541554509211835E-2</v>
      </c>
      <c r="G55" s="20">
        <f t="shared" si="11"/>
        <v>1414.2588240480277</v>
      </c>
      <c r="H55" s="20">
        <v>4</v>
      </c>
      <c r="I55" s="20">
        <f t="shared" si="12"/>
        <v>494.79759999999999</v>
      </c>
      <c r="J55" s="20">
        <f t="shared" si="13"/>
        <v>1914.8548334230277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0</v>
      </c>
      <c r="R55" s="20">
        <f t="shared" si="15"/>
        <v>6959.7142084230272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1.7742046578520319E-2</v>
      </c>
      <c r="G56" s="22">
        <f t="shared" si="11"/>
        <v>911.05409180701838</v>
      </c>
      <c r="H56" s="22">
        <v>4</v>
      </c>
      <c r="I56" s="22">
        <f t="shared" si="12"/>
        <v>494.79759999999999</v>
      </c>
      <c r="J56" s="22">
        <f t="shared" si="13"/>
        <v>1411.6501011820183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0</v>
      </c>
      <c r="R56" s="22">
        <f t="shared" si="15"/>
        <v>6456.5094761820183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1.6530883823703635E-5</v>
      </c>
      <c r="G57" s="20">
        <f t="shared" si="11"/>
        <v>0.84886088434718165</v>
      </c>
      <c r="H57" s="20">
        <v>4</v>
      </c>
      <c r="I57" s="20">
        <f t="shared" si="12"/>
        <v>494.79759999999999</v>
      </c>
      <c r="J57" s="20">
        <f t="shared" si="13"/>
        <v>501.44487025934717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0</v>
      </c>
      <c r="R57" s="20">
        <f t="shared" si="15"/>
        <v>5546.3042452593472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4.3994192149483273E-3</v>
      </c>
      <c r="G58" s="22">
        <f t="shared" si="11"/>
        <v>225.91017668759662</v>
      </c>
      <c r="H58" s="22">
        <v>3</v>
      </c>
      <c r="I58" s="22">
        <f t="shared" si="12"/>
        <v>371.09820000000002</v>
      </c>
      <c r="J58" s="22">
        <f t="shared" si="13"/>
        <v>602.80678606259664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0</v>
      </c>
      <c r="R58" s="22">
        <f t="shared" si="15"/>
        <v>5647.666161062597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3.0032207671983183E-2</v>
      </c>
      <c r="G59" s="20">
        <f t="shared" si="11"/>
        <v>1542.1538639563364</v>
      </c>
      <c r="H59" s="20">
        <v>3</v>
      </c>
      <c r="I59" s="20">
        <f t="shared" si="12"/>
        <v>371.09820000000002</v>
      </c>
      <c r="J59" s="20">
        <f t="shared" si="13"/>
        <v>1919.0504733313364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0</v>
      </c>
      <c r="R59" s="20">
        <f t="shared" si="15"/>
        <v>6963.9098483313364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2.0390294167077643E-2</v>
      </c>
      <c r="G60" s="22">
        <f t="shared" si="11"/>
        <v>1047.0416054794371</v>
      </c>
      <c r="H60" s="22">
        <v>3</v>
      </c>
      <c r="I60" s="22">
        <f t="shared" si="12"/>
        <v>371.09820000000002</v>
      </c>
      <c r="J60" s="22">
        <f t="shared" si="13"/>
        <v>1423.9382148544369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0</v>
      </c>
      <c r="R60" s="22">
        <f t="shared" si="15"/>
        <v>6468.7975898544373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1.9319092895301647E-3</v>
      </c>
      <c r="G61" s="20">
        <f t="shared" si="11"/>
        <v>99.203542017373962</v>
      </c>
      <c r="H61" s="20">
        <v>3</v>
      </c>
      <c r="I61" s="20">
        <f t="shared" si="12"/>
        <v>371.09820000000002</v>
      </c>
      <c r="J61" s="20">
        <f t="shared" si="13"/>
        <v>476.10015139237396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0</v>
      </c>
      <c r="R61" s="20">
        <f t="shared" si="15"/>
        <v>5520.9595263923738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7.3617535961560188E-4</v>
      </c>
      <c r="G62" s="22">
        <f t="shared" si="11"/>
        <v>37.802604716261158</v>
      </c>
      <c r="H62" s="22">
        <v>4</v>
      </c>
      <c r="I62" s="22">
        <f t="shared" si="12"/>
        <v>494.79759999999999</v>
      </c>
      <c r="J62" s="22">
        <f t="shared" si="13"/>
        <v>538.39861409126115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0</v>
      </c>
      <c r="R62" s="22">
        <f t="shared" si="15"/>
        <v>5583.2579890912612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2.7718985995586254E-2</v>
      </c>
      <c r="G63" s="20">
        <f t="shared" si="11"/>
        <v>1423.3699308733542</v>
      </c>
      <c r="H63" s="20">
        <v>3</v>
      </c>
      <c r="I63" s="20">
        <f t="shared" si="12"/>
        <v>371.09820000000002</v>
      </c>
      <c r="J63" s="20">
        <f t="shared" si="13"/>
        <v>1800.266540248354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7595.1259152483544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1.3251156473080833E-2</v>
      </c>
      <c r="G64" s="22">
        <f t="shared" si="11"/>
        <v>680.44688489270084</v>
      </c>
      <c r="H64" s="22">
        <v>3</v>
      </c>
      <c r="I64" s="22">
        <f t="shared" si="12"/>
        <v>371.09820000000002</v>
      </c>
      <c r="J64" s="22">
        <f t="shared" si="13"/>
        <v>1057.3434942677009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0</v>
      </c>
      <c r="R64" s="22">
        <f t="shared" si="15"/>
        <v>6102.2028692677013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4.7770948073738766E-2</v>
      </c>
      <c r="G65" s="20">
        <f t="shared" si="11"/>
        <v>2453.0381835864855</v>
      </c>
      <c r="H65" s="20">
        <v>3</v>
      </c>
      <c r="I65" s="20">
        <f t="shared" si="12"/>
        <v>371.09820000000002</v>
      </c>
      <c r="J65" s="20">
        <f t="shared" si="13"/>
        <v>2829.9347929614855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0</v>
      </c>
      <c r="R65" s="20">
        <f t="shared" si="15"/>
        <v>7874.7941679614851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4.2121794041718438E-2</v>
      </c>
      <c r="G66" s="22">
        <f t="shared" si="11"/>
        <v>2162.9541240422418</v>
      </c>
      <c r="H66" s="22">
        <v>4</v>
      </c>
      <c r="I66" s="22">
        <f t="shared" si="12"/>
        <v>494.79759999999999</v>
      </c>
      <c r="J66" s="22">
        <f t="shared" si="13"/>
        <v>2663.5501334172418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7708.4095084172423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9.0721490424485549E-3</v>
      </c>
      <c r="G67" s="20">
        <f t="shared" si="11"/>
        <v>465.85485332973332</v>
      </c>
      <c r="H67" s="20">
        <v>4</v>
      </c>
      <c r="I67" s="20">
        <f t="shared" si="12"/>
        <v>494.79759999999999</v>
      </c>
      <c r="J67" s="20">
        <f t="shared" si="13"/>
        <v>966.45086270473325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0</v>
      </c>
      <c r="R67" s="20">
        <f t="shared" si="15"/>
        <v>6011.3102377047335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1.9772039112071128E-2</v>
      </c>
      <c r="G68" s="22">
        <f t="shared" si="11"/>
        <v>1015.2942084048525</v>
      </c>
      <c r="H68" s="22">
        <v>4</v>
      </c>
      <c r="I68" s="22">
        <f t="shared" si="12"/>
        <v>494.79759999999999</v>
      </c>
      <c r="J68" s="22">
        <f t="shared" si="13"/>
        <v>1515.8902177798525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0</v>
      </c>
      <c r="R68" s="22">
        <f t="shared" si="15"/>
        <v>6560.7495927798527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2.2095179318762277E-2</v>
      </c>
      <c r="G69" s="20">
        <f t="shared" si="11"/>
        <v>1134.5874580184429</v>
      </c>
      <c r="H69" s="20">
        <v>3</v>
      </c>
      <c r="I69" s="20">
        <f t="shared" si="12"/>
        <v>371.09820000000002</v>
      </c>
      <c r="J69" s="20">
        <f t="shared" si="13"/>
        <v>1511.4840673934427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0</v>
      </c>
      <c r="R69" s="20">
        <f t="shared" si="15"/>
        <v>6556.3434423934432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453696.25</v>
      </c>
      <c r="D70" s="22">
        <f>SUM(D3:D69)</f>
        <v>0</v>
      </c>
      <c r="E70" s="22">
        <f>SUM(E3:E69)</f>
        <v>453696.25</v>
      </c>
      <c r="F70" s="44">
        <f t="shared" ref="F70:F101" si="16">IF($C$70=0, 0, E70/$C$70)</f>
        <v>1</v>
      </c>
      <c r="G70" s="22">
        <f t="shared" ref="G70:P70" si="17">SUM(G3:G69)</f>
        <v>51350.000000000015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78934.966199999995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410805.96620000002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10856</v>
      </c>
      <c r="D2" s="29" t="s">
        <v>319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>
        <v>16500</v>
      </c>
      <c r="D3" s="32" t="s">
        <v>320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40" t="s">
        <v>321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5554.98</v>
      </c>
      <c r="D6" s="29" t="s">
        <v>322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7469</v>
      </c>
      <c r="D7" s="32" t="s">
        <v>323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5964.86</v>
      </c>
      <c r="D8" s="29" t="s">
        <v>320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5333</v>
      </c>
      <c r="D9" s="32" t="s">
        <v>324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5538</v>
      </c>
      <c r="D10" s="29" t="s">
        <v>325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4901</v>
      </c>
      <c r="D12" s="29" t="s">
        <v>326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6016</v>
      </c>
      <c r="D18" s="29" t="s">
        <v>327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7164.78</v>
      </c>
      <c r="D19" s="32" t="s">
        <v>328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6263</v>
      </c>
      <c r="D20" s="29" t="s">
        <v>322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7011</v>
      </c>
      <c r="D21" s="32" t="s">
        <v>329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10563</v>
      </c>
      <c r="D24" s="29" t="s">
        <v>324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201</v>
      </c>
      <c r="D26" s="29" t="s">
        <v>330</v>
      </c>
      <c r="E26" s="26">
        <v>6264</v>
      </c>
      <c r="F26" s="29" t="s">
        <v>324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5452.43</v>
      </c>
      <c r="D27" s="32" t="s">
        <v>324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10106</v>
      </c>
      <c r="D28" s="29" t="s">
        <v>331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5689</v>
      </c>
      <c r="D29" s="32" t="s">
        <v>324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10117.790000000001</v>
      </c>
      <c r="D30" s="29" t="s">
        <v>321</v>
      </c>
      <c r="E30" s="26">
        <v>5932</v>
      </c>
      <c r="F30" s="29" t="s">
        <v>324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5003.6499999999996</v>
      </c>
      <c r="D33" s="32" t="s">
        <v>332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5454</v>
      </c>
      <c r="D34" s="29" t="s">
        <v>333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>
        <v>7522.88</v>
      </c>
      <c r="D35" s="32" t="s">
        <v>321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5522.63</v>
      </c>
      <c r="D38" s="29" t="s">
        <v>320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5596.3</v>
      </c>
      <c r="D40" s="29" t="s">
        <v>324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6646</v>
      </c>
      <c r="D41" s="32" t="s">
        <v>321</v>
      </c>
      <c r="E41" s="25">
        <v>6075.85</v>
      </c>
      <c r="F41" s="32" t="s">
        <v>325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5486.89</v>
      </c>
      <c r="D42" s="29" t="s">
        <v>328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5779</v>
      </c>
      <c r="D44" s="29" t="s">
        <v>333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5403.25</v>
      </c>
      <c r="D45" s="32" t="s">
        <v>328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12562</v>
      </c>
      <c r="D48" s="29" t="s">
        <v>321</v>
      </c>
      <c r="E48" s="26">
        <v>6572</v>
      </c>
      <c r="F48" s="29" t="s">
        <v>320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4442</v>
      </c>
      <c r="D49" s="32" t="s">
        <v>320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9000</v>
      </c>
      <c r="D50" s="29" t="s">
        <v>322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5972</v>
      </c>
      <c r="D52" s="29" t="s">
        <v>334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5391.88</v>
      </c>
      <c r="D53" s="32" t="s">
        <v>320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5622</v>
      </c>
      <c r="D54" s="29" t="s">
        <v>335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6389.74</v>
      </c>
      <c r="D55" s="32" t="s">
        <v>322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5793</v>
      </c>
      <c r="D57" s="32" t="s">
        <v>336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5758</v>
      </c>
      <c r="D60" s="29" t="s">
        <v>320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5606.17</v>
      </c>
      <c r="D61" s="32" t="s">
        <v>328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6142</v>
      </c>
      <c r="D63" s="32" t="s">
        <v>324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32894</v>
      </c>
      <c r="D64" s="29" t="s">
        <v>320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U70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22" sqref="C22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1" ht="16.5" customHeight="1" x14ac:dyDescent="0.25">
      <c r="A1" s="17"/>
      <c r="B1" s="91" t="s">
        <v>337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42" t="s">
        <v>280</v>
      </c>
      <c r="G2" s="18" t="s">
        <v>223</v>
      </c>
      <c r="H2" s="18" t="s">
        <v>224</v>
      </c>
      <c r="I2" s="18" t="s">
        <v>281</v>
      </c>
      <c r="J2" s="18" t="s">
        <v>282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'ANNUAL-EXPENSE-DETAILS'!W6</f>
        <v>325440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'ANNUAL-EXPENSE-DETAILS'!V6</f>
        <v>40900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5950.3969893672656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6180.9440916896492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7584.5075866517309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292</v>
      </c>
      <c r="T9" s="20">
        <f>T8/64</f>
        <v>5.7984093750000003</v>
      </c>
      <c r="U9" t="s">
        <v>316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5647.9547267080179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6204.3360187354319</v>
      </c>
      <c r="S11" s="20" t="s">
        <v>240</v>
      </c>
      <c r="T11" s="20">
        <f>'ANNUAL-EXPENSE-DETAILS'!W6</f>
        <v>325440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6220.1095379740509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5468.000701744003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5788.7005529008984</v>
      </c>
      <c r="S14" s="22" t="s">
        <v>338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6253.1907247315212</v>
      </c>
      <c r="S15" s="20" t="s">
        <v>247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5577.132976648938</v>
      </c>
      <c r="S16" s="22" t="s">
        <v>248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5826.5028608520015</v>
      </c>
      <c r="S17" s="20" t="s">
        <v>318</v>
      </c>
      <c r="T17" s="20">
        <f>T15-T16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251</v>
      </c>
      <c r="T18" s="22">
        <f>T14-T17</f>
        <v>0</v>
      </c>
      <c r="U18" t="s">
        <v>316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6571.2545306008578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6580.174332091824</v>
      </c>
      <c r="S20" s="22"/>
      <c r="T20" s="22"/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6555.8087237432728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6611.8686201920236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7165.0676657116055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6157.2196841016203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6607.8076919216728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  <c r="U26" t="s">
        <v>316</v>
      </c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5696.6336963516042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6234.5626713661059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0</v>
      </c>
      <c r="Q30" s="22"/>
      <c r="R30" s="22">
        <f t="shared" si="7"/>
        <v>7382.8160914275486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6057.9476370996654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5524.4120708977616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7039.6109021865668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6261.7828138414534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7185.277346249557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6120.1583058860533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5462.2014021113737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5586.2522748163819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  <c r="U40" t="s">
        <v>316</v>
      </c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6911.3233648587047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5831.2477423696073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5489.9677458069937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5835.4654148297013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6432.4418042855204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5594.5118833840661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5466.2433382189638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5969.7279881426975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6476.0244197064931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  <c r="U50" t="s">
        <v>316</v>
      </c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5991.3245673379188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5615.7949741998009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7021.3343215261593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7101.802578810195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6509.2195981669738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5585.9008021113741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5544.0945423782014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6887.5989572706749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5993.8038684357343</v>
      </c>
      <c r="S60" s="22"/>
      <c r="T60" s="22"/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5463.2558202263972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5591.8758380965073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7898.0402316814852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5751.4634383328275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5790.6526449412022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8687.0046326482516</v>
      </c>
      <c r="S66" s="22"/>
      <c r="T66" s="22"/>
      <c r="U66" t="s">
        <v>316</v>
      </c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6482.6834089388813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6646.2939531200318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6771.6129646180871</v>
      </c>
      <c r="S69" s="20"/>
      <c r="T69" s="20"/>
    </row>
    <row r="70" spans="1:21" ht="12.75" customHeight="1" x14ac:dyDescent="0.25">
      <c r="A70" s="21"/>
      <c r="B70" s="21" t="s">
        <v>254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406424.96619999991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18" sqref="A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6005</v>
      </c>
      <c r="D2" s="29" t="s">
        <v>339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340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16823</v>
      </c>
      <c r="D5" s="32" t="s">
        <v>341</v>
      </c>
      <c r="E5" s="25">
        <v>5666</v>
      </c>
      <c r="F5" s="32" t="s">
        <v>342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5904.05</v>
      </c>
      <c r="D6" s="29" t="s">
        <v>343</v>
      </c>
      <c r="E6" s="26">
        <v>5355</v>
      </c>
      <c r="F6" s="29" t="s">
        <v>342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6339.79</v>
      </c>
      <c r="D7" s="32" t="s">
        <v>344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6179.33</v>
      </c>
      <c r="D8" s="29" t="s">
        <v>345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5903</v>
      </c>
      <c r="D9" s="32" t="s">
        <v>342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>
        <v>18604</v>
      </c>
      <c r="D11" s="32" t="s">
        <v>345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4714.75</v>
      </c>
      <c r="D13" s="32" t="s">
        <v>345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5523.35</v>
      </c>
      <c r="D14" s="29" t="s">
        <v>346</v>
      </c>
      <c r="E14" s="26">
        <v>5860.72</v>
      </c>
      <c r="F14" s="29" t="s">
        <v>345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5600</v>
      </c>
      <c r="D15" s="32" t="s">
        <v>345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6511</v>
      </c>
      <c r="D16" s="29" t="s">
        <v>347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7247</v>
      </c>
      <c r="D17" s="32">
        <v>46213</v>
      </c>
      <c r="E17" s="25"/>
      <c r="F17" s="32"/>
      <c r="G17" s="25"/>
      <c r="H17" s="38"/>
      <c r="I17" s="25"/>
      <c r="J17" s="25"/>
      <c r="K17" s="25">
        <f t="shared" si="0"/>
        <v>7247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7044</v>
      </c>
      <c r="D20" s="29" t="s">
        <v>348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7400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29212.36</v>
      </c>
      <c r="D22" s="29" t="s">
        <v>345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5693</v>
      </c>
      <c r="D24" s="29" t="s">
        <v>349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6702</v>
      </c>
      <c r="D26" s="29" t="s">
        <v>350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5775</v>
      </c>
      <c r="D27" s="32" t="s">
        <v>345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5584</v>
      </c>
      <c r="D28" s="29" t="s">
        <v>351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6929</v>
      </c>
      <c r="D29" s="32" t="s">
        <v>341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>
        <v>1062</v>
      </c>
      <c r="D30" s="29" t="s">
        <v>342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7044.65</v>
      </c>
      <c r="D31" s="32" t="s">
        <v>343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11443.06</v>
      </c>
      <c r="D33" s="32" t="s">
        <v>352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5470.93</v>
      </c>
      <c r="D34" s="29" t="s">
        <v>353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13500</v>
      </c>
      <c r="D36" s="29" t="s">
        <v>345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5000</v>
      </c>
      <c r="D37" s="32" t="s">
        <v>340</v>
      </c>
      <c r="E37" s="25">
        <v>10000</v>
      </c>
      <c r="F37" s="32" t="s">
        <v>354</v>
      </c>
      <c r="G37" s="25">
        <v>21000</v>
      </c>
      <c r="H37" s="38" t="s">
        <v>354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15506</v>
      </c>
      <c r="D39" s="32" t="s">
        <v>354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5941.27</v>
      </c>
      <c r="D40" s="29" t="s">
        <v>345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7663.64</v>
      </c>
      <c r="D42" s="29" t="s">
        <v>353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5734</v>
      </c>
      <c r="D44" s="29" t="s">
        <v>345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5391.53</v>
      </c>
      <c r="D46" s="29" t="s">
        <v>346</v>
      </c>
      <c r="E46" s="26">
        <v>5547.76</v>
      </c>
      <c r="F46" s="29" t="s">
        <v>345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7526</v>
      </c>
      <c r="D48" s="29" t="s">
        <v>345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3062</v>
      </c>
      <c r="D49" s="32" t="s">
        <v>351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7640</v>
      </c>
      <c r="D50" s="29" t="s">
        <v>345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19898.43</v>
      </c>
      <c r="D51" s="32" t="s">
        <v>343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6472</v>
      </c>
      <c r="D52" s="29" t="s">
        <v>348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2664</v>
      </c>
      <c r="D59" s="32" t="s">
        <v>345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6112</v>
      </c>
      <c r="D60" s="29" t="s">
        <v>345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5659.39</v>
      </c>
      <c r="D61" s="32" t="s">
        <v>351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357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2530</v>
      </c>
      <c r="D63" s="32" t="s">
        <v>343</v>
      </c>
      <c r="E63" s="25">
        <v>3743</v>
      </c>
      <c r="F63" s="32" t="s">
        <v>352</v>
      </c>
      <c r="G63" s="25"/>
      <c r="H63" s="38"/>
      <c r="I63" s="25"/>
      <c r="J63" s="25"/>
      <c r="K63" s="20">
        <f t="shared" si="1"/>
        <v>6273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401232.16000000003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U70"/>
  <sheetViews>
    <sheetView topLeftCell="P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1" ht="16.5" customHeight="1" x14ac:dyDescent="0.25">
      <c r="A1" s="47"/>
      <c r="B1" s="92" t="s">
        <v>358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4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'ANNUAL-EXPENSE-DETAILS'!W7</f>
        <v>328946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'ANNUAL-EXPENSE-DETAILS'!V7</f>
        <v>42100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4130.333333333333</v>
      </c>
      <c r="D6" s="22">
        <f t="shared" ref="D6:D37" si="0">SUM($C$3:$C$5)/64</f>
        <v>0</v>
      </c>
      <c r="E6" s="22">
        <f t="shared" ref="E6:E37" si="1">C6+D6</f>
        <v>4130.333333333333</v>
      </c>
      <c r="F6" s="22">
        <f t="shared" ref="F6:F37" si="2">IF($C$70=0, 0, E6/$C$70)</f>
        <v>9.3889296480022776E-3</v>
      </c>
      <c r="G6" s="22">
        <f t="shared" ref="G6:G37" si="3">F6*$T$5</f>
        <v>395.27393818089587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772.17054755589584</v>
      </c>
      <c r="K6" s="22">
        <f t="shared" ref="K6:K37" si="6">$T$11/64</f>
        <v>5139.78125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5911.9517975558956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10069.33333333333</v>
      </c>
      <c r="D7" s="20">
        <f t="shared" si="0"/>
        <v>0</v>
      </c>
      <c r="E7" s="20">
        <f t="shared" si="1"/>
        <v>10069.33333333333</v>
      </c>
      <c r="F7" s="20">
        <f t="shared" si="2"/>
        <v>2.2889257267924523E-2</v>
      </c>
      <c r="G7" s="20">
        <f t="shared" si="3"/>
        <v>963.63773097962235</v>
      </c>
      <c r="H7" s="20">
        <v>4</v>
      </c>
      <c r="I7" s="20">
        <f t="shared" si="4"/>
        <v>494.79759999999999</v>
      </c>
      <c r="J7" s="20">
        <f t="shared" si="5"/>
        <v>1464.2337403546223</v>
      </c>
      <c r="K7" s="20">
        <f t="shared" si="6"/>
        <v>5139.78125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6604.0149903546226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10114.66666666667</v>
      </c>
      <c r="D8" s="22">
        <f t="shared" si="0"/>
        <v>0</v>
      </c>
      <c r="E8" s="22">
        <f t="shared" si="1"/>
        <v>10114.66666666667</v>
      </c>
      <c r="F8" s="22">
        <f t="shared" si="2"/>
        <v>2.2992307419819322E-2</v>
      </c>
      <c r="G8" s="22">
        <f t="shared" si="3"/>
        <v>967.97614237439348</v>
      </c>
      <c r="H8" s="22">
        <v>4</v>
      </c>
      <c r="I8" s="22">
        <f t="shared" si="4"/>
        <v>494.79759999999999</v>
      </c>
      <c r="J8" s="22">
        <f t="shared" si="5"/>
        <v>1468.5721517493935</v>
      </c>
      <c r="K8" s="22">
        <f t="shared" si="6"/>
        <v>5139.78125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7358.353401749393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4703.5</v>
      </c>
      <c r="D9" s="20">
        <f t="shared" si="0"/>
        <v>0</v>
      </c>
      <c r="E9" s="20">
        <f t="shared" si="1"/>
        <v>4703.5</v>
      </c>
      <c r="F9" s="20">
        <f t="shared" si="2"/>
        <v>1.0691832119936741E-2</v>
      </c>
      <c r="G9" s="20">
        <f t="shared" si="3"/>
        <v>450.12613224933682</v>
      </c>
      <c r="H9" s="20">
        <v>4</v>
      </c>
      <c r="I9" s="20">
        <f t="shared" si="4"/>
        <v>494.79759999999999</v>
      </c>
      <c r="J9" s="20">
        <f t="shared" si="5"/>
        <v>950.72214162433681</v>
      </c>
      <c r="K9" s="20">
        <f t="shared" si="6"/>
        <v>5139.78125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6090.5033916243365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3808.833333333333</v>
      </c>
      <c r="D10" s="22">
        <f t="shared" si="0"/>
        <v>0</v>
      </c>
      <c r="E10" s="22">
        <f t="shared" si="1"/>
        <v>3808.833333333333</v>
      </c>
      <c r="F10" s="22">
        <f t="shared" si="2"/>
        <v>8.6581070634249076E-3</v>
      </c>
      <c r="G10" s="22">
        <f t="shared" si="3"/>
        <v>364.50630737018861</v>
      </c>
      <c r="H10" s="22">
        <v>3</v>
      </c>
      <c r="I10" s="22">
        <f t="shared" si="4"/>
        <v>371.09820000000002</v>
      </c>
      <c r="J10" s="22">
        <f t="shared" si="5"/>
        <v>741.40291674518858</v>
      </c>
      <c r="K10" s="22">
        <f t="shared" si="6"/>
        <v>5139.78125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5881.1841667451881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6861.166666666667</v>
      </c>
      <c r="D11" s="20">
        <f t="shared" si="0"/>
        <v>0</v>
      </c>
      <c r="E11" s="20">
        <f t="shared" si="1"/>
        <v>6861.166666666667</v>
      </c>
      <c r="F11" s="20">
        <f t="shared" si="2"/>
        <v>1.5596564717105554E-2</v>
      </c>
      <c r="G11" s="20">
        <f t="shared" si="3"/>
        <v>656.6153745901438</v>
      </c>
      <c r="H11" s="20">
        <v>3</v>
      </c>
      <c r="I11" s="20">
        <f t="shared" si="4"/>
        <v>371.09820000000002</v>
      </c>
      <c r="J11" s="20">
        <f t="shared" si="5"/>
        <v>1033.5119839651438</v>
      </c>
      <c r="K11" s="20">
        <f t="shared" si="6"/>
        <v>5139.78125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6173.2932339651434</v>
      </c>
      <c r="S11" s="20" t="s">
        <v>240</v>
      </c>
      <c r="T11" s="20">
        <f>'ANNUAL-EXPENSE-DETAILS'!W7</f>
        <v>328946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40.666666666666657</v>
      </c>
      <c r="D12" s="22">
        <f t="shared" si="0"/>
        <v>0</v>
      </c>
      <c r="E12" s="22">
        <f t="shared" si="1"/>
        <v>40.666666666666657</v>
      </c>
      <c r="F12" s="22">
        <f t="shared" si="2"/>
        <v>9.2442048023265086E-5</v>
      </c>
      <c r="G12" s="22">
        <f t="shared" si="3"/>
        <v>3.8918102217794601</v>
      </c>
      <c r="H12" s="22">
        <v>3</v>
      </c>
      <c r="I12" s="22">
        <f t="shared" si="4"/>
        <v>371.09820000000002</v>
      </c>
      <c r="J12" s="22">
        <f t="shared" si="5"/>
        <v>380.78841959677948</v>
      </c>
      <c r="K12" s="22">
        <f t="shared" si="6"/>
        <v>5139.78125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6270.5696695967799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2771.5</v>
      </c>
      <c r="D13" s="20">
        <f t="shared" si="0"/>
        <v>0</v>
      </c>
      <c r="E13" s="20">
        <f t="shared" si="1"/>
        <v>2771.5</v>
      </c>
      <c r="F13" s="20">
        <f t="shared" si="2"/>
        <v>6.3000771171265388E-3</v>
      </c>
      <c r="G13" s="20">
        <f t="shared" si="3"/>
        <v>265.23324663102727</v>
      </c>
      <c r="H13" s="20">
        <v>3</v>
      </c>
      <c r="I13" s="20">
        <f t="shared" si="4"/>
        <v>371.09820000000002</v>
      </c>
      <c r="J13" s="20">
        <f t="shared" si="5"/>
        <v>642.12985600602724</v>
      </c>
      <c r="K13" s="20">
        <f t="shared" si="6"/>
        <v>5139.78125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5781.9111060060277</v>
      </c>
      <c r="S13" s="20" t="s">
        <v>360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2027.666666666667</v>
      </c>
      <c r="D14" s="22">
        <f t="shared" si="0"/>
        <v>0</v>
      </c>
      <c r="E14" s="22">
        <f t="shared" si="1"/>
        <v>2027.666666666667</v>
      </c>
      <c r="F14" s="22">
        <f t="shared" si="2"/>
        <v>4.609221132176408E-3</v>
      </c>
      <c r="G14" s="22">
        <f t="shared" si="3"/>
        <v>194.04820966462677</v>
      </c>
      <c r="H14" s="22">
        <v>4</v>
      </c>
      <c r="I14" s="22">
        <f t="shared" si="4"/>
        <v>494.79759999999999</v>
      </c>
      <c r="J14" s="22">
        <f t="shared" si="5"/>
        <v>694.64421903962671</v>
      </c>
      <c r="K14" s="22">
        <f t="shared" si="6"/>
        <v>5139.78125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5834.4254690396265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10311.5</v>
      </c>
      <c r="D15" s="20">
        <f t="shared" si="0"/>
        <v>0</v>
      </c>
      <c r="E15" s="20">
        <f t="shared" si="1"/>
        <v>10311.5</v>
      </c>
      <c r="F15" s="20">
        <f t="shared" si="2"/>
        <v>2.3439742086686022E-2</v>
      </c>
      <c r="G15" s="20">
        <f t="shared" si="3"/>
        <v>986.81314184948155</v>
      </c>
      <c r="H15" s="20">
        <v>3</v>
      </c>
      <c r="I15" s="20">
        <f t="shared" si="4"/>
        <v>371.09820000000002</v>
      </c>
      <c r="J15" s="20">
        <f t="shared" si="5"/>
        <v>1363.7097512244816</v>
      </c>
      <c r="K15" s="20">
        <f t="shared" si="6"/>
        <v>5139.78125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6503.4910012244818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891.16666666666663</v>
      </c>
      <c r="D16" s="22">
        <f t="shared" si="0"/>
        <v>0</v>
      </c>
      <c r="E16" s="22">
        <f t="shared" si="1"/>
        <v>891.16666666666663</v>
      </c>
      <c r="F16" s="22">
        <f t="shared" si="2"/>
        <v>2.0257689786081908E-3</v>
      </c>
      <c r="G16" s="22">
        <f t="shared" si="3"/>
        <v>85.284873999404837</v>
      </c>
      <c r="H16" s="22">
        <v>3</v>
      </c>
      <c r="I16" s="22">
        <f t="shared" si="4"/>
        <v>371.09820000000002</v>
      </c>
      <c r="J16" s="22">
        <f t="shared" si="5"/>
        <v>462.18148337440488</v>
      </c>
      <c r="K16" s="22">
        <f t="shared" si="6"/>
        <v>5139.78125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5601.9627333744047</v>
      </c>
      <c r="S16" s="22" t="s">
        <v>249</v>
      </c>
      <c r="T16" s="22">
        <f>T14-T15</f>
        <v>0</v>
      </c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2416.5</v>
      </c>
      <c r="D17" s="20">
        <f t="shared" si="0"/>
        <v>0</v>
      </c>
      <c r="E17" s="20">
        <f t="shared" si="1"/>
        <v>2416.5</v>
      </c>
      <c r="F17" s="20">
        <f t="shared" si="2"/>
        <v>5.4931035011857414E-3</v>
      </c>
      <c r="G17" s="20">
        <f t="shared" si="3"/>
        <v>231.25965739991972</v>
      </c>
      <c r="H17" s="20">
        <v>3</v>
      </c>
      <c r="I17" s="20">
        <f t="shared" si="4"/>
        <v>371.09820000000002</v>
      </c>
      <c r="J17" s="20">
        <f t="shared" si="5"/>
        <v>608.15626677491969</v>
      </c>
      <c r="K17" s="20">
        <f t="shared" si="6"/>
        <v>5139.78125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5747.9375167749195</v>
      </c>
      <c r="S17" s="20" t="s">
        <v>251</v>
      </c>
      <c r="T17" s="20">
        <f>T13-T16</f>
        <v>0</v>
      </c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2238.166666666667</v>
      </c>
      <c r="D18" s="22">
        <f t="shared" si="0"/>
        <v>0</v>
      </c>
      <c r="E18" s="22">
        <f t="shared" si="1"/>
        <v>2238.166666666667</v>
      </c>
      <c r="F18" s="22">
        <f t="shared" si="2"/>
        <v>5.0877223889525709E-3</v>
      </c>
      <c r="G18" s="22">
        <f t="shared" si="3"/>
        <v>214.19311257490324</v>
      </c>
      <c r="H18" s="22">
        <v>4</v>
      </c>
      <c r="I18" s="22">
        <f t="shared" si="4"/>
        <v>494.79759999999999</v>
      </c>
      <c r="J18" s="22">
        <f t="shared" si="5"/>
        <v>714.78912194990323</v>
      </c>
      <c r="K18" s="22">
        <f t="shared" si="6"/>
        <v>5139.78125</v>
      </c>
      <c r="L18" s="22">
        <v>0</v>
      </c>
      <c r="M18" s="22">
        <v>0</v>
      </c>
      <c r="N18" s="22">
        <v>1000</v>
      </c>
      <c r="O18" s="22">
        <v>0</v>
      </c>
      <c r="P18" s="22"/>
      <c r="Q18" s="22"/>
      <c r="R18" s="22">
        <f t="shared" si="7"/>
        <v>6854.5703719499033</v>
      </c>
      <c r="S18" s="22"/>
      <c r="T18" s="22"/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2050.5</v>
      </c>
      <c r="D19" s="20">
        <f t="shared" si="0"/>
        <v>0</v>
      </c>
      <c r="E19" s="20">
        <f t="shared" si="1"/>
        <v>2050.5</v>
      </c>
      <c r="F19" s="20">
        <f t="shared" si="2"/>
        <v>4.6611250689763553E-3</v>
      </c>
      <c r="G19" s="20">
        <f t="shared" si="3"/>
        <v>196.23336540390457</v>
      </c>
      <c r="H19" s="20">
        <v>4</v>
      </c>
      <c r="I19" s="20">
        <f t="shared" si="4"/>
        <v>494.79759999999999</v>
      </c>
      <c r="J19" s="20">
        <f t="shared" si="5"/>
        <v>696.82937477890459</v>
      </c>
      <c r="K19" s="20">
        <f t="shared" si="6"/>
        <v>5139.78125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5836.6106247789048</v>
      </c>
      <c r="S19" s="20"/>
      <c r="T19" s="20"/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4216.166666666667</v>
      </c>
      <c r="D20" s="22">
        <f t="shared" si="0"/>
        <v>0</v>
      </c>
      <c r="E20" s="22">
        <f t="shared" si="1"/>
        <v>4216.166666666667</v>
      </c>
      <c r="F20" s="22">
        <f t="shared" si="2"/>
        <v>9.5840429870677774E-3</v>
      </c>
      <c r="G20" s="22">
        <f t="shared" si="3"/>
        <v>403.48820975555344</v>
      </c>
      <c r="H20" s="22">
        <v>4</v>
      </c>
      <c r="I20" s="22">
        <f t="shared" si="4"/>
        <v>494.79759999999999</v>
      </c>
      <c r="J20" s="22">
        <f t="shared" si="5"/>
        <v>904.08421913055349</v>
      </c>
      <c r="K20" s="22">
        <f t="shared" si="6"/>
        <v>5139.78125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6793.8654691305537</v>
      </c>
      <c r="S20" s="22" t="s">
        <v>361</v>
      </c>
      <c r="T20" s="22">
        <f>I70</f>
        <v>27584.966200000028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14541.5</v>
      </c>
      <c r="D21" s="20">
        <f t="shared" si="0"/>
        <v>0</v>
      </c>
      <c r="E21" s="20">
        <f t="shared" si="1"/>
        <v>14541.5</v>
      </c>
      <c r="F21" s="20">
        <f t="shared" si="2"/>
        <v>3.3055230524515811E-2</v>
      </c>
      <c r="G21" s="20">
        <f t="shared" si="3"/>
        <v>1391.6252050821156</v>
      </c>
      <c r="H21" s="20">
        <v>3</v>
      </c>
      <c r="I21" s="20">
        <f t="shared" si="4"/>
        <v>371.09820000000002</v>
      </c>
      <c r="J21" s="20">
        <f t="shared" si="5"/>
        <v>1768.5218144571154</v>
      </c>
      <c r="K21" s="20">
        <f t="shared" si="6"/>
        <v>5139.78125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6908.3030644571154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9304.75</v>
      </c>
      <c r="D22" s="22">
        <f t="shared" si="0"/>
        <v>0</v>
      </c>
      <c r="E22" s="22">
        <f t="shared" si="1"/>
        <v>9304.75</v>
      </c>
      <c r="F22" s="22">
        <f t="shared" si="2"/>
        <v>2.1151233106831379E-2</v>
      </c>
      <c r="G22" s="22">
        <f t="shared" si="3"/>
        <v>890.46691379760102</v>
      </c>
      <c r="H22" s="22">
        <v>3</v>
      </c>
      <c r="I22" s="22">
        <f t="shared" si="4"/>
        <v>371.09820000000002</v>
      </c>
      <c r="J22" s="22">
        <f t="shared" si="5"/>
        <v>1267.3635231726012</v>
      </c>
      <c r="K22" s="22">
        <f t="shared" si="6"/>
        <v>5139.78125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6407.1447731726012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16303.33333333333</v>
      </c>
      <c r="D23" s="20">
        <f t="shared" si="0"/>
        <v>0</v>
      </c>
      <c r="E23" s="20">
        <f t="shared" si="1"/>
        <v>16303.33333333333</v>
      </c>
      <c r="F23" s="20">
        <f t="shared" si="2"/>
        <v>3.7060168596867997E-2</v>
      </c>
      <c r="G23" s="20">
        <f t="shared" si="3"/>
        <v>1560.2330979281426</v>
      </c>
      <c r="H23" s="20">
        <v>4</v>
      </c>
      <c r="I23" s="20">
        <f t="shared" si="4"/>
        <v>494.79759999999999</v>
      </c>
      <c r="J23" s="20">
        <f t="shared" si="5"/>
        <v>2060.8291073031423</v>
      </c>
      <c r="K23" s="20">
        <f t="shared" si="6"/>
        <v>5139.78125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7200.6103573031423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11388.5</v>
      </c>
      <c r="D24" s="22">
        <f t="shared" si="0"/>
        <v>0</v>
      </c>
      <c r="E24" s="22">
        <f t="shared" si="1"/>
        <v>11388.5</v>
      </c>
      <c r="F24" s="22">
        <f t="shared" si="2"/>
        <v>2.5887940915892329E-2</v>
      </c>
      <c r="G24" s="22">
        <f t="shared" si="3"/>
        <v>1089.882312559067</v>
      </c>
      <c r="H24" s="22">
        <v>4</v>
      </c>
      <c r="I24" s="22">
        <f t="shared" si="4"/>
        <v>494.79759999999999</v>
      </c>
      <c r="J24" s="22">
        <f t="shared" si="5"/>
        <v>1590.478321934067</v>
      </c>
      <c r="K24" s="22">
        <f t="shared" si="6"/>
        <v>5139.78125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6730.259571934067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19748.833333333328</v>
      </c>
      <c r="D25" s="20">
        <f t="shared" si="0"/>
        <v>0</v>
      </c>
      <c r="E25" s="20">
        <f t="shared" si="1"/>
        <v>19748.833333333328</v>
      </c>
      <c r="F25" s="20">
        <f t="shared" si="2"/>
        <v>4.4892359001724384E-2</v>
      </c>
      <c r="G25" s="20">
        <f t="shared" si="3"/>
        <v>1889.9683139725967</v>
      </c>
      <c r="H25" s="20">
        <v>4</v>
      </c>
      <c r="I25" s="20">
        <f t="shared" si="4"/>
        <v>494.79759999999999</v>
      </c>
      <c r="J25" s="20">
        <f t="shared" si="5"/>
        <v>2390.5643233475967</v>
      </c>
      <c r="K25" s="20">
        <f t="shared" si="6"/>
        <v>5139.78125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7530.3455733475967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10135.83333333333</v>
      </c>
      <c r="D26" s="22">
        <f t="shared" si="0"/>
        <v>0</v>
      </c>
      <c r="E26" s="22">
        <f t="shared" si="1"/>
        <v>10135.83333333333</v>
      </c>
      <c r="F26" s="22">
        <f t="shared" si="2"/>
        <v>2.3040422748093713E-2</v>
      </c>
      <c r="G26" s="22">
        <f t="shared" si="3"/>
        <v>970.00179769474528</v>
      </c>
      <c r="H26" s="22">
        <v>3</v>
      </c>
      <c r="I26" s="22">
        <f t="shared" si="4"/>
        <v>371.09820000000002</v>
      </c>
      <c r="J26" s="22">
        <f t="shared" si="5"/>
        <v>1346.8984070697452</v>
      </c>
      <c r="K26" s="22">
        <f t="shared" si="6"/>
        <v>5139.78125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6486.6796570697452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6015.333333333333</v>
      </c>
      <c r="D27" s="20">
        <f t="shared" si="0"/>
        <v>0</v>
      </c>
      <c r="E27" s="20">
        <f t="shared" si="1"/>
        <v>6015.333333333333</v>
      </c>
      <c r="F27" s="20">
        <f t="shared" si="2"/>
        <v>1.3673845890392149E-2</v>
      </c>
      <c r="G27" s="20">
        <f t="shared" si="3"/>
        <v>575.66891198550945</v>
      </c>
      <c r="H27" s="20">
        <v>3</v>
      </c>
      <c r="I27" s="20">
        <f t="shared" si="4"/>
        <v>371.09820000000002</v>
      </c>
      <c r="J27" s="20">
        <f t="shared" si="5"/>
        <v>952.56552136050948</v>
      </c>
      <c r="K27" s="20">
        <f t="shared" si="6"/>
        <v>5139.78125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7092.3467713605096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3454.333333333333</v>
      </c>
      <c r="D28" s="22">
        <f t="shared" si="0"/>
        <v>0</v>
      </c>
      <c r="E28" s="22">
        <f t="shared" si="1"/>
        <v>3454.333333333333</v>
      </c>
      <c r="F28" s="22">
        <f t="shared" si="2"/>
        <v>7.8522700300417726E-3</v>
      </c>
      <c r="G28" s="22">
        <f t="shared" si="3"/>
        <v>330.58056826475865</v>
      </c>
      <c r="H28" s="22">
        <v>3</v>
      </c>
      <c r="I28" s="22">
        <f t="shared" si="4"/>
        <v>371.09820000000002</v>
      </c>
      <c r="J28" s="22">
        <f t="shared" si="5"/>
        <v>707.47717763975868</v>
      </c>
      <c r="K28" s="22">
        <f t="shared" si="6"/>
        <v>5139.78125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5847.2584276397583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5298.666666666667</v>
      </c>
      <c r="D29" s="20">
        <f t="shared" si="0"/>
        <v>0</v>
      </c>
      <c r="E29" s="20">
        <f t="shared" si="1"/>
        <v>5298.666666666667</v>
      </c>
      <c r="F29" s="20">
        <f t="shared" si="2"/>
        <v>1.204474422440838E-2</v>
      </c>
      <c r="G29" s="20">
        <f t="shared" si="3"/>
        <v>507.08373184759279</v>
      </c>
      <c r="H29" s="20">
        <v>3</v>
      </c>
      <c r="I29" s="20">
        <f t="shared" si="4"/>
        <v>371.09820000000002</v>
      </c>
      <c r="J29" s="20">
        <f t="shared" si="5"/>
        <v>883.98034122259276</v>
      </c>
      <c r="K29" s="20">
        <f t="shared" si="6"/>
        <v>5139.78125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7023.7615912225929</v>
      </c>
      <c r="S29" s="20"/>
      <c r="T29" s="20"/>
      <c r="U29" t="s">
        <v>316</v>
      </c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8756.8333333333339</v>
      </c>
      <c r="D30" s="22">
        <f t="shared" si="0"/>
        <v>0</v>
      </c>
      <c r="E30" s="22">
        <f t="shared" si="1"/>
        <v>8756.8333333333339</v>
      </c>
      <c r="F30" s="22">
        <f t="shared" si="2"/>
        <v>1.9905728054058904E-2</v>
      </c>
      <c r="G30" s="22">
        <f t="shared" si="3"/>
        <v>838.03115107587985</v>
      </c>
      <c r="H30" s="22">
        <v>5</v>
      </c>
      <c r="I30" s="22">
        <f t="shared" si="4"/>
        <v>618.49699999999996</v>
      </c>
      <c r="J30" s="22">
        <f t="shared" si="5"/>
        <v>1462.3265604508797</v>
      </c>
      <c r="K30" s="22">
        <f t="shared" si="6"/>
        <v>5139.78125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7102.1078104508797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2586.5</v>
      </c>
      <c r="D31" s="20">
        <f t="shared" si="0"/>
        <v>0</v>
      </c>
      <c r="E31" s="20">
        <f t="shared" si="1"/>
        <v>2586.5</v>
      </c>
      <c r="F31" s="20">
        <f t="shared" si="2"/>
        <v>5.8795415707911941E-3</v>
      </c>
      <c r="G31" s="20">
        <f t="shared" si="3"/>
        <v>247.52870013030926</v>
      </c>
      <c r="H31" s="20">
        <v>3</v>
      </c>
      <c r="I31" s="20">
        <f t="shared" si="4"/>
        <v>371.09820000000002</v>
      </c>
      <c r="J31" s="20">
        <f t="shared" si="5"/>
        <v>624.42530950530931</v>
      </c>
      <c r="K31" s="20">
        <f t="shared" si="6"/>
        <v>5139.78125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5764.2065595053091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1332.833333333333</v>
      </c>
      <c r="D32" s="22">
        <f t="shared" si="0"/>
        <v>0</v>
      </c>
      <c r="E32" s="22">
        <f t="shared" si="1"/>
        <v>1332.833333333333</v>
      </c>
      <c r="F32" s="22">
        <f t="shared" si="2"/>
        <v>3.0297502378772577E-3</v>
      </c>
      <c r="G32" s="22">
        <f t="shared" si="3"/>
        <v>127.55248501463255</v>
      </c>
      <c r="H32" s="22">
        <v>3</v>
      </c>
      <c r="I32" s="22">
        <f t="shared" si="4"/>
        <v>371.09820000000002</v>
      </c>
      <c r="J32" s="22">
        <f t="shared" si="5"/>
        <v>504.44909438963259</v>
      </c>
      <c r="K32" s="22">
        <f t="shared" si="6"/>
        <v>5139.78125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5644.2303443896326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11164.66666666667</v>
      </c>
      <c r="D33" s="20">
        <f t="shared" si="0"/>
        <v>0</v>
      </c>
      <c r="E33" s="20">
        <f t="shared" si="1"/>
        <v>11164.66666666667</v>
      </c>
      <c r="F33" s="20">
        <f t="shared" si="2"/>
        <v>2.5379130790911825E-2</v>
      </c>
      <c r="G33" s="20">
        <f t="shared" si="3"/>
        <v>1068.4614062973878</v>
      </c>
      <c r="H33" s="20">
        <v>3</v>
      </c>
      <c r="I33" s="20">
        <f t="shared" si="4"/>
        <v>371.09820000000002</v>
      </c>
      <c r="J33" s="20">
        <f t="shared" si="5"/>
        <v>1445.3580156723879</v>
      </c>
      <c r="K33" s="20">
        <f t="shared" si="6"/>
        <v>5139.78125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6585.1392656723874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5123.333333333333</v>
      </c>
      <c r="D34" s="22">
        <f t="shared" si="0"/>
        <v>0</v>
      </c>
      <c r="E34" s="22">
        <f t="shared" si="1"/>
        <v>5123.333333333333</v>
      </c>
      <c r="F34" s="22">
        <f t="shared" si="2"/>
        <v>1.1646182607521186E-2</v>
      </c>
      <c r="G34" s="22">
        <f t="shared" si="3"/>
        <v>490.3042877766419</v>
      </c>
      <c r="H34" s="22">
        <v>4</v>
      </c>
      <c r="I34" s="22">
        <f t="shared" si="4"/>
        <v>494.79759999999999</v>
      </c>
      <c r="J34" s="22">
        <f t="shared" si="5"/>
        <v>990.90029715164189</v>
      </c>
      <c r="K34" s="22">
        <f t="shared" si="6"/>
        <v>5139.78125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6130.681547151642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11262</v>
      </c>
      <c r="D35" s="20">
        <f t="shared" si="0"/>
        <v>0</v>
      </c>
      <c r="E35" s="20">
        <f t="shared" si="1"/>
        <v>11262</v>
      </c>
      <c r="F35" s="20">
        <f t="shared" si="2"/>
        <v>2.5600385528803567E-2</v>
      </c>
      <c r="G35" s="20">
        <f t="shared" si="3"/>
        <v>1077.7762307626301</v>
      </c>
      <c r="H35" s="20">
        <v>4</v>
      </c>
      <c r="I35" s="20">
        <f t="shared" si="4"/>
        <v>494.79759999999999</v>
      </c>
      <c r="J35" s="20">
        <f t="shared" si="5"/>
        <v>1578.3722401376299</v>
      </c>
      <c r="K35" s="20">
        <f t="shared" si="6"/>
        <v>5139.78125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6718.1534901376299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2441.333333333333</v>
      </c>
      <c r="D36" s="22">
        <f t="shared" si="0"/>
        <v>0</v>
      </c>
      <c r="E36" s="22">
        <f t="shared" si="1"/>
        <v>2441.333333333333</v>
      </c>
      <c r="F36" s="22">
        <f t="shared" si="2"/>
        <v>5.5495537682163408E-3</v>
      </c>
      <c r="G36" s="22">
        <f t="shared" si="3"/>
        <v>233.63621364190794</v>
      </c>
      <c r="H36" s="22">
        <v>4</v>
      </c>
      <c r="I36" s="22">
        <f t="shared" si="4"/>
        <v>494.79759999999999</v>
      </c>
      <c r="J36" s="22">
        <f t="shared" si="5"/>
        <v>734.23222301690794</v>
      </c>
      <c r="K36" s="22">
        <f t="shared" si="6"/>
        <v>5139.78125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6874.0134730169084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3596.5</v>
      </c>
      <c r="D37" s="20">
        <f t="shared" si="0"/>
        <v>0</v>
      </c>
      <c r="E37" s="20">
        <f t="shared" si="1"/>
        <v>3596.5</v>
      </c>
      <c r="F37" s="20">
        <f t="shared" si="2"/>
        <v>8.1754383372706473E-3</v>
      </c>
      <c r="G37" s="20">
        <f t="shared" si="3"/>
        <v>344.18595399909424</v>
      </c>
      <c r="H37" s="20">
        <v>3</v>
      </c>
      <c r="I37" s="20">
        <f t="shared" si="4"/>
        <v>371.09820000000002</v>
      </c>
      <c r="J37" s="20">
        <f t="shared" si="5"/>
        <v>721.08256337409421</v>
      </c>
      <c r="K37" s="20">
        <f t="shared" si="6"/>
        <v>5139.78125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5860.8638133740942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835.83333333333337</v>
      </c>
      <c r="D38" s="22">
        <f t="shared" ref="D38:D69" si="8">SUM($C$3:$C$5)/64</f>
        <v>0</v>
      </c>
      <c r="E38" s="22">
        <f t="shared" ref="E38:E69" si="9">C38+D38</f>
        <v>835.83333333333337</v>
      </c>
      <c r="F38" s="22">
        <f t="shared" ref="F38:F69" si="10">IF($C$70=0, 0, E38/$C$70)</f>
        <v>1.8999871755601416E-3</v>
      </c>
      <c r="G38" s="22">
        <f t="shared" ref="G38:G69" si="11">F38*$T$5</f>
        <v>79.989460091081966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456.88606946608201</v>
      </c>
      <c r="K38" s="22">
        <f t="shared" ref="K38:K69" si="14">$T$11/64</f>
        <v>5139.78125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5596.6673194660816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26229.333333333328</v>
      </c>
      <c r="D39" s="20">
        <f t="shared" si="8"/>
        <v>0</v>
      </c>
      <c r="E39" s="20">
        <f t="shared" si="9"/>
        <v>26229.333333333328</v>
      </c>
      <c r="F39" s="20">
        <f t="shared" si="10"/>
        <v>5.9623605531595771E-2</v>
      </c>
      <c r="G39" s="20">
        <f t="shared" si="11"/>
        <v>2510.1537928801818</v>
      </c>
      <c r="H39" s="20">
        <v>4</v>
      </c>
      <c r="I39" s="20">
        <f t="shared" si="12"/>
        <v>494.79759999999999</v>
      </c>
      <c r="J39" s="20">
        <f t="shared" si="13"/>
        <v>3010.7498022551817</v>
      </c>
      <c r="K39" s="20">
        <f t="shared" si="14"/>
        <v>5139.78125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8150.5310522551817</v>
      </c>
      <c r="S39" s="20"/>
      <c r="T39" s="20"/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9114.1666666666661</v>
      </c>
      <c r="D40" s="22">
        <f t="shared" si="8"/>
        <v>0</v>
      </c>
      <c r="E40" s="22">
        <f t="shared" si="9"/>
        <v>9114.1666666666661</v>
      </c>
      <c r="F40" s="22">
        <f t="shared" si="10"/>
        <v>2.071800572193546E-2</v>
      </c>
      <c r="G40" s="22">
        <f t="shared" si="11"/>
        <v>872.2280408934829</v>
      </c>
      <c r="H40" s="22">
        <v>4</v>
      </c>
      <c r="I40" s="22">
        <f t="shared" si="12"/>
        <v>494.79759999999999</v>
      </c>
      <c r="J40" s="22">
        <f t="shared" si="13"/>
        <v>1372.824050268483</v>
      </c>
      <c r="K40" s="22">
        <f t="shared" si="14"/>
        <v>5139.78125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6512.605300268483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9546.5</v>
      </c>
      <c r="D41" s="20">
        <f t="shared" si="8"/>
        <v>0</v>
      </c>
      <c r="E41" s="20">
        <f t="shared" si="9"/>
        <v>9546.5</v>
      </c>
      <c r="F41" s="20">
        <f t="shared" si="10"/>
        <v>2.1700770773461484E-2</v>
      </c>
      <c r="G41" s="20">
        <f t="shared" si="11"/>
        <v>913.60244956272845</v>
      </c>
      <c r="H41" s="20">
        <v>3</v>
      </c>
      <c r="I41" s="20">
        <f t="shared" si="12"/>
        <v>371.09820000000002</v>
      </c>
      <c r="J41" s="20">
        <f t="shared" si="13"/>
        <v>1290.4990589377285</v>
      </c>
      <c r="K41" s="20">
        <f t="shared" si="14"/>
        <v>5139.78125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6430.2803089377285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1773.333333333333</v>
      </c>
      <c r="D42" s="22">
        <f t="shared" si="8"/>
        <v>0</v>
      </c>
      <c r="E42" s="22">
        <f t="shared" si="9"/>
        <v>1773.333333333333</v>
      </c>
      <c r="F42" s="22">
        <f t="shared" si="10"/>
        <v>4.0310794711784451E-3</v>
      </c>
      <c r="G42" s="22">
        <f t="shared" si="11"/>
        <v>169.70844573661253</v>
      </c>
      <c r="H42" s="22">
        <v>3</v>
      </c>
      <c r="I42" s="22">
        <f t="shared" si="12"/>
        <v>371.09820000000002</v>
      </c>
      <c r="J42" s="22">
        <f t="shared" si="13"/>
        <v>546.6050551116125</v>
      </c>
      <c r="K42" s="22">
        <f t="shared" si="14"/>
        <v>5139.78125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5686.3863051116123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993.83333333333337</v>
      </c>
      <c r="D43" s="20">
        <f t="shared" si="8"/>
        <v>0</v>
      </c>
      <c r="E43" s="20">
        <f t="shared" si="9"/>
        <v>993.83333333333337</v>
      </c>
      <c r="F43" s="20">
        <f t="shared" si="10"/>
        <v>2.2591472637816796E-3</v>
      </c>
      <c r="G43" s="20">
        <f t="shared" si="11"/>
        <v>95.110099805208719</v>
      </c>
      <c r="H43" s="20">
        <v>3</v>
      </c>
      <c r="I43" s="20">
        <f t="shared" si="12"/>
        <v>371.09820000000002</v>
      </c>
      <c r="J43" s="20">
        <f t="shared" si="13"/>
        <v>472.00670918020876</v>
      </c>
      <c r="K43" s="20">
        <f t="shared" si="14"/>
        <v>5139.78125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5611.7879591802084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4189</v>
      </c>
      <c r="D44" s="22">
        <f t="shared" si="8"/>
        <v>0</v>
      </c>
      <c r="E44" s="22">
        <f t="shared" si="9"/>
        <v>4189</v>
      </c>
      <c r="F44" s="22">
        <f t="shared" si="10"/>
        <v>9.5222886681014147E-3</v>
      </c>
      <c r="G44" s="22">
        <f t="shared" si="11"/>
        <v>400.88835292706955</v>
      </c>
      <c r="H44" s="22">
        <v>3</v>
      </c>
      <c r="I44" s="22">
        <f t="shared" si="12"/>
        <v>371.09820000000002</v>
      </c>
      <c r="J44" s="22">
        <f t="shared" si="13"/>
        <v>777.78496230206952</v>
      </c>
      <c r="K44" s="22">
        <f t="shared" si="14"/>
        <v>5139.78125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5917.5662123020693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9518</v>
      </c>
      <c r="D45" s="20">
        <f t="shared" si="8"/>
        <v>0</v>
      </c>
      <c r="E45" s="20">
        <f t="shared" si="9"/>
        <v>9518</v>
      </c>
      <c r="F45" s="20">
        <f t="shared" si="10"/>
        <v>2.1635985567674688E-2</v>
      </c>
      <c r="G45" s="20">
        <f t="shared" si="11"/>
        <v>910.87499239910437</v>
      </c>
      <c r="H45" s="20">
        <v>3</v>
      </c>
      <c r="I45" s="20">
        <f t="shared" si="12"/>
        <v>371.09820000000002</v>
      </c>
      <c r="J45" s="20">
        <f t="shared" si="13"/>
        <v>1287.7716017741045</v>
      </c>
      <c r="K45" s="20">
        <f t="shared" si="14"/>
        <v>5139.78125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6427.5528517741041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9313.1666666666661</v>
      </c>
      <c r="D46" s="22">
        <f t="shared" si="8"/>
        <v>0</v>
      </c>
      <c r="E46" s="22">
        <f t="shared" si="9"/>
        <v>9313.1666666666661</v>
      </c>
      <c r="F46" s="22">
        <f t="shared" si="10"/>
        <v>2.1170365579885372E-2</v>
      </c>
      <c r="G46" s="22">
        <f t="shared" si="11"/>
        <v>891.27239091317415</v>
      </c>
      <c r="H46" s="22">
        <v>4</v>
      </c>
      <c r="I46" s="22">
        <f t="shared" si="12"/>
        <v>494.79759999999999</v>
      </c>
      <c r="J46" s="22">
        <f t="shared" si="13"/>
        <v>1391.8684002881741</v>
      </c>
      <c r="K46" s="22">
        <f t="shared" si="14"/>
        <v>5139.78125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6531.6496502881746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688.5</v>
      </c>
      <c r="D47" s="20">
        <f t="shared" si="8"/>
        <v>0</v>
      </c>
      <c r="E47" s="20">
        <f t="shared" si="9"/>
        <v>688.5</v>
      </c>
      <c r="F47" s="20">
        <f t="shared" si="10"/>
        <v>1.5650741819020827E-3</v>
      </c>
      <c r="G47" s="20">
        <f t="shared" si="11"/>
        <v>65.889623058077675</v>
      </c>
      <c r="H47" s="20">
        <v>3</v>
      </c>
      <c r="I47" s="20">
        <f t="shared" si="12"/>
        <v>371.09820000000002</v>
      </c>
      <c r="J47" s="20">
        <f t="shared" si="13"/>
        <v>442.78623243307771</v>
      </c>
      <c r="K47" s="20">
        <f t="shared" si="14"/>
        <v>5139.78125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6582.5674824330781</v>
      </c>
      <c r="S47" s="20"/>
      <c r="T47" s="20"/>
      <c r="U47" t="s">
        <v>316</v>
      </c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3673.833333333333</v>
      </c>
      <c r="D48" s="22">
        <f t="shared" si="8"/>
        <v>0</v>
      </c>
      <c r="E48" s="22">
        <f t="shared" si="9"/>
        <v>3673.833333333333</v>
      </c>
      <c r="F48" s="22">
        <f t="shared" si="10"/>
        <v>8.3512297728558713E-3</v>
      </c>
      <c r="G48" s="22">
        <f t="shared" si="11"/>
        <v>351.58677343723218</v>
      </c>
      <c r="H48" s="22">
        <v>3</v>
      </c>
      <c r="I48" s="22">
        <f t="shared" si="12"/>
        <v>371.09820000000002</v>
      </c>
      <c r="J48" s="22">
        <f t="shared" si="13"/>
        <v>728.48338281223221</v>
      </c>
      <c r="K48" s="22">
        <f t="shared" si="14"/>
        <v>5139.78125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5868.2646328122319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4282.5</v>
      </c>
      <c r="D49" s="20">
        <f t="shared" si="8"/>
        <v>0</v>
      </c>
      <c r="E49" s="20">
        <f t="shared" si="9"/>
        <v>4282.5</v>
      </c>
      <c r="F49" s="20">
        <f t="shared" si="10"/>
        <v>9.7348296063844136E-3</v>
      </c>
      <c r="G49" s="20">
        <f t="shared" si="11"/>
        <v>409.83632642878382</v>
      </c>
      <c r="H49" s="20">
        <v>3</v>
      </c>
      <c r="I49" s="20">
        <f t="shared" si="12"/>
        <v>371.09820000000002</v>
      </c>
      <c r="J49" s="20">
        <f t="shared" si="13"/>
        <v>786.7329358037839</v>
      </c>
      <c r="K49" s="20">
        <f t="shared" si="14"/>
        <v>5139.78125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5926.5141858037841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12.83333333333333</v>
      </c>
      <c r="D50" s="22">
        <f t="shared" si="8"/>
        <v>0</v>
      </c>
      <c r="E50" s="22">
        <f t="shared" si="9"/>
        <v>12.83333333333333</v>
      </c>
      <c r="F50" s="22">
        <f t="shared" si="10"/>
        <v>2.9172285646686115E-5</v>
      </c>
      <c r="G50" s="22">
        <f t="shared" si="11"/>
        <v>1.2281532257254855</v>
      </c>
      <c r="H50" s="22">
        <v>4</v>
      </c>
      <c r="I50" s="22">
        <f t="shared" si="12"/>
        <v>494.79759999999999</v>
      </c>
      <c r="J50" s="22">
        <f t="shared" si="13"/>
        <v>501.82416260072546</v>
      </c>
      <c r="K50" s="22">
        <f t="shared" si="14"/>
        <v>5139.78125</v>
      </c>
      <c r="L50" s="22">
        <v>0</v>
      </c>
      <c r="M50" s="22">
        <v>0</v>
      </c>
      <c r="N50" s="22">
        <v>1000</v>
      </c>
      <c r="O50" s="22">
        <v>0</v>
      </c>
      <c r="P50" s="22"/>
      <c r="Q50" s="22"/>
      <c r="R50" s="22">
        <f t="shared" si="15"/>
        <v>6641.6054126007257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6254.333333333333</v>
      </c>
      <c r="D51" s="20">
        <f t="shared" si="8"/>
        <v>0</v>
      </c>
      <c r="E51" s="20">
        <f t="shared" si="9"/>
        <v>6254.333333333333</v>
      </c>
      <c r="F51" s="20">
        <f t="shared" si="10"/>
        <v>1.4217132352955108E-2</v>
      </c>
      <c r="G51" s="20">
        <f t="shared" si="11"/>
        <v>598.54127205941006</v>
      </c>
      <c r="H51" s="20">
        <v>4</v>
      </c>
      <c r="I51" s="20">
        <f t="shared" si="12"/>
        <v>494.79759999999999</v>
      </c>
      <c r="J51" s="20">
        <f t="shared" si="13"/>
        <v>1099.1372814344099</v>
      </c>
      <c r="K51" s="20">
        <f t="shared" si="14"/>
        <v>5139.78125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7238.9185314344104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15051.83333333333</v>
      </c>
      <c r="D52" s="22">
        <f t="shared" si="8"/>
        <v>0</v>
      </c>
      <c r="E52" s="22">
        <f t="shared" si="9"/>
        <v>15051.83333333333</v>
      </c>
      <c r="F52" s="22">
        <f t="shared" si="10"/>
        <v>3.4215302455037268E-2</v>
      </c>
      <c r="G52" s="22">
        <f t="shared" si="11"/>
        <v>1440.4642333570689</v>
      </c>
      <c r="H52" s="22">
        <v>4</v>
      </c>
      <c r="I52" s="22">
        <f t="shared" si="12"/>
        <v>494.79759999999999</v>
      </c>
      <c r="J52" s="22">
        <f t="shared" si="13"/>
        <v>1941.0602427320687</v>
      </c>
      <c r="K52" s="22">
        <f t="shared" si="14"/>
        <v>5139.78125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7080.8414927320682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2954.833333333333</v>
      </c>
      <c r="D53" s="20">
        <f t="shared" si="8"/>
        <v>0</v>
      </c>
      <c r="E53" s="20">
        <f t="shared" si="9"/>
        <v>2954.833333333333</v>
      </c>
      <c r="F53" s="20">
        <f t="shared" si="10"/>
        <v>6.7168240549363399E-3</v>
      </c>
      <c r="G53" s="20">
        <f t="shared" si="11"/>
        <v>282.7782927128199</v>
      </c>
      <c r="H53" s="20">
        <v>3</v>
      </c>
      <c r="I53" s="20">
        <f t="shared" si="12"/>
        <v>371.09820000000002</v>
      </c>
      <c r="J53" s="20">
        <f t="shared" si="13"/>
        <v>659.67490208781987</v>
      </c>
      <c r="K53" s="20">
        <f t="shared" si="14"/>
        <v>5139.78125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5799.4561520878196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15912.83333333333</v>
      </c>
      <c r="D54" s="22">
        <f t="shared" si="8"/>
        <v>0</v>
      </c>
      <c r="E54" s="22">
        <f t="shared" si="9"/>
        <v>15912.83333333333</v>
      </c>
      <c r="F54" s="22">
        <f t="shared" si="10"/>
        <v>3.6172497619333117E-2</v>
      </c>
      <c r="G54" s="22">
        <f t="shared" si="11"/>
        <v>1522.8621497739243</v>
      </c>
      <c r="H54" s="22">
        <v>3</v>
      </c>
      <c r="I54" s="22">
        <f t="shared" si="12"/>
        <v>371.09820000000002</v>
      </c>
      <c r="J54" s="22">
        <f t="shared" si="13"/>
        <v>1899.7587591489241</v>
      </c>
      <c r="K54" s="22">
        <f t="shared" si="14"/>
        <v>5139.78125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7039.5400091489246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13240.33333333333</v>
      </c>
      <c r="D55" s="20">
        <f t="shared" si="8"/>
        <v>0</v>
      </c>
      <c r="E55" s="20">
        <f t="shared" si="9"/>
        <v>13240.33333333333</v>
      </c>
      <c r="F55" s="20">
        <f t="shared" si="10"/>
        <v>3.0097463848623874E-2</v>
      </c>
      <c r="G55" s="20">
        <f t="shared" si="11"/>
        <v>1267.1032280270651</v>
      </c>
      <c r="H55" s="20">
        <v>4</v>
      </c>
      <c r="I55" s="20">
        <f t="shared" si="12"/>
        <v>494.79759999999999</v>
      </c>
      <c r="J55" s="20">
        <f t="shared" si="13"/>
        <v>1767.6992374020651</v>
      </c>
      <c r="K55" s="20">
        <f t="shared" si="14"/>
        <v>5139.78125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6907.4804874020647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7450.5</v>
      </c>
      <c r="D56" s="22">
        <f t="shared" si="8"/>
        <v>0</v>
      </c>
      <c r="E56" s="22">
        <f t="shared" si="9"/>
        <v>7450.5</v>
      </c>
      <c r="F56" s="22">
        <f t="shared" si="10"/>
        <v>1.6936216691737789E-2</v>
      </c>
      <c r="G56" s="22">
        <f t="shared" si="11"/>
        <v>713.01472272216097</v>
      </c>
      <c r="H56" s="22">
        <v>4</v>
      </c>
      <c r="I56" s="22">
        <f t="shared" si="12"/>
        <v>494.79759999999999</v>
      </c>
      <c r="J56" s="22">
        <f t="shared" si="13"/>
        <v>1213.610732097161</v>
      </c>
      <c r="K56" s="22">
        <f t="shared" si="14"/>
        <v>5139.78125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6353.3919820971605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232.5</v>
      </c>
      <c r="D57" s="20">
        <f t="shared" si="8"/>
        <v>0</v>
      </c>
      <c r="E57" s="20">
        <f t="shared" si="9"/>
        <v>232.5</v>
      </c>
      <c r="F57" s="20">
        <f t="shared" si="10"/>
        <v>5.2851088931333949E-4</v>
      </c>
      <c r="G57" s="20">
        <f t="shared" si="11"/>
        <v>22.250308440091594</v>
      </c>
      <c r="H57" s="20">
        <v>4</v>
      </c>
      <c r="I57" s="20">
        <f t="shared" si="12"/>
        <v>494.79759999999999</v>
      </c>
      <c r="J57" s="20">
        <f t="shared" si="13"/>
        <v>522.84631781509154</v>
      </c>
      <c r="K57" s="20">
        <f t="shared" si="14"/>
        <v>5139.78125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5662.6275678150914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3975.833333333333</v>
      </c>
      <c r="D58" s="22">
        <f t="shared" si="8"/>
        <v>0</v>
      </c>
      <c r="E58" s="22">
        <f t="shared" si="9"/>
        <v>3975.833333333333</v>
      </c>
      <c r="F58" s="22">
        <f t="shared" si="10"/>
        <v>9.0377256376843809E-3</v>
      </c>
      <c r="G58" s="22">
        <f t="shared" si="11"/>
        <v>380.48824934651242</v>
      </c>
      <c r="H58" s="22">
        <v>3</v>
      </c>
      <c r="I58" s="22">
        <f t="shared" si="12"/>
        <v>371.09820000000002</v>
      </c>
      <c r="J58" s="22">
        <f t="shared" si="13"/>
        <v>757.3848587215125</v>
      </c>
      <c r="K58" s="22">
        <f t="shared" si="14"/>
        <v>5139.78125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5897.1661087215125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15588.83333333333</v>
      </c>
      <c r="D59" s="20">
        <f t="shared" si="8"/>
        <v>0</v>
      </c>
      <c r="E59" s="20">
        <f t="shared" si="9"/>
        <v>15588.83333333333</v>
      </c>
      <c r="F59" s="20">
        <f t="shared" si="10"/>
        <v>3.5435992121967436E-2</v>
      </c>
      <c r="G59" s="20">
        <f t="shared" si="11"/>
        <v>1491.8552683348291</v>
      </c>
      <c r="H59" s="20">
        <v>3</v>
      </c>
      <c r="I59" s="20">
        <f t="shared" si="12"/>
        <v>371.09820000000002</v>
      </c>
      <c r="J59" s="20">
        <f t="shared" si="13"/>
        <v>1868.7518777098289</v>
      </c>
      <c r="K59" s="20">
        <f t="shared" si="14"/>
        <v>5139.78125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7008.5331277098285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13246.16666666667</v>
      </c>
      <c r="D60" s="22">
        <f t="shared" si="8"/>
        <v>0</v>
      </c>
      <c r="E60" s="22">
        <f t="shared" si="9"/>
        <v>13246.16666666667</v>
      </c>
      <c r="F60" s="22">
        <f t="shared" si="10"/>
        <v>3.0110723978463292E-2</v>
      </c>
      <c r="G60" s="22">
        <f t="shared" si="11"/>
        <v>1267.6614794933046</v>
      </c>
      <c r="H60" s="22">
        <v>3</v>
      </c>
      <c r="I60" s="22">
        <f t="shared" si="12"/>
        <v>371.09820000000002</v>
      </c>
      <c r="J60" s="22">
        <f t="shared" si="13"/>
        <v>1644.5580888683044</v>
      </c>
      <c r="K60" s="22">
        <f t="shared" si="14"/>
        <v>5139.78125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7784.3393388683044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5733.666666666667</v>
      </c>
      <c r="D61" s="20">
        <f t="shared" si="8"/>
        <v>0</v>
      </c>
      <c r="E61" s="20">
        <f t="shared" si="9"/>
        <v>5733.666666666667</v>
      </c>
      <c r="F61" s="20">
        <f t="shared" si="10"/>
        <v>1.3033571049575273E-2</v>
      </c>
      <c r="G61" s="20">
        <f t="shared" si="11"/>
        <v>548.713341187119</v>
      </c>
      <c r="H61" s="20">
        <v>3</v>
      </c>
      <c r="I61" s="20">
        <f t="shared" si="12"/>
        <v>371.09820000000002</v>
      </c>
      <c r="J61" s="20">
        <f t="shared" si="13"/>
        <v>925.60995056211902</v>
      </c>
      <c r="K61" s="20">
        <f t="shared" si="14"/>
        <v>5139.78125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6065.3912005621187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699.66666666666663</v>
      </c>
      <c r="D62" s="22">
        <f t="shared" si="8"/>
        <v>0</v>
      </c>
      <c r="E62" s="22">
        <f t="shared" si="9"/>
        <v>699.66666666666663</v>
      </c>
      <c r="F62" s="22">
        <f t="shared" si="10"/>
        <v>1.5904578590232251E-3</v>
      </c>
      <c r="G62" s="22">
        <f t="shared" si="11"/>
        <v>66.958275864877777</v>
      </c>
      <c r="H62" s="22">
        <v>4</v>
      </c>
      <c r="I62" s="22">
        <f t="shared" si="12"/>
        <v>494.79759999999999</v>
      </c>
      <c r="J62" s="22">
        <f t="shared" si="13"/>
        <v>567.5542852398778</v>
      </c>
      <c r="K62" s="22">
        <f t="shared" si="14"/>
        <v>5139.78125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5707.3355352398776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9735.8333333333339</v>
      </c>
      <c r="D63" s="20">
        <f t="shared" si="8"/>
        <v>0</v>
      </c>
      <c r="E63" s="20">
        <f t="shared" si="9"/>
        <v>9735.8333333333339</v>
      </c>
      <c r="F63" s="20">
        <f t="shared" si="10"/>
        <v>2.2131156701963244E-2</v>
      </c>
      <c r="G63" s="20">
        <f t="shared" si="11"/>
        <v>931.7216971526525</v>
      </c>
      <c r="H63" s="20">
        <v>3</v>
      </c>
      <c r="I63" s="20">
        <f t="shared" si="12"/>
        <v>371.09820000000002</v>
      </c>
      <c r="J63" s="20">
        <f t="shared" si="13"/>
        <v>1308.6183065276525</v>
      </c>
      <c r="K63" s="20">
        <f t="shared" si="14"/>
        <v>5139.78125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6448.3995565276527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5564</v>
      </c>
      <c r="D64" s="22">
        <f t="shared" si="8"/>
        <v>0</v>
      </c>
      <c r="E64" s="22">
        <f t="shared" si="9"/>
        <v>5564</v>
      </c>
      <c r="F64" s="22">
        <f t="shared" si="10"/>
        <v>1.2647890701674928E-2</v>
      </c>
      <c r="G64" s="22">
        <f t="shared" si="11"/>
        <v>532.47619854051447</v>
      </c>
      <c r="H64" s="22">
        <v>3</v>
      </c>
      <c r="I64" s="22">
        <f t="shared" si="12"/>
        <v>371.09820000000002</v>
      </c>
      <c r="J64" s="22">
        <f t="shared" si="13"/>
        <v>909.3728079155145</v>
      </c>
      <c r="K64" s="22">
        <f t="shared" si="14"/>
        <v>5139.78125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6049.1540579155144</v>
      </c>
      <c r="S64" s="22"/>
      <c r="T64" s="22"/>
    </row>
    <row r="65" spans="1:21" ht="12.75" customHeight="1" x14ac:dyDescent="0.25">
      <c r="A65" s="19" t="s">
        <v>202</v>
      </c>
      <c r="B65" s="19" t="str">
        <f>VLOOKUP(A65,Members!$A$2:$B$65,2,FALSE)</f>
        <v>Prasenjit</v>
      </c>
      <c r="C65" s="20">
        <v>2764.166666666667</v>
      </c>
      <c r="D65" s="20">
        <f t="shared" si="8"/>
        <v>0</v>
      </c>
      <c r="E65" s="20">
        <f t="shared" si="9"/>
        <v>2764.166666666667</v>
      </c>
      <c r="F65" s="20">
        <f t="shared" si="10"/>
        <v>6.2834072396141475E-3</v>
      </c>
      <c r="G65" s="20">
        <f t="shared" si="11"/>
        <v>264.53144478775562</v>
      </c>
      <c r="H65" s="20">
        <v>3</v>
      </c>
      <c r="I65" s="20">
        <f t="shared" si="12"/>
        <v>371.09820000000002</v>
      </c>
      <c r="J65" s="20">
        <f t="shared" si="13"/>
        <v>641.42805416275564</v>
      </c>
      <c r="K65" s="20">
        <f t="shared" si="14"/>
        <v>5139.78125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5781.2093041627559</v>
      </c>
      <c r="S65" s="20"/>
      <c r="T65" s="20"/>
    </row>
    <row r="66" spans="1:21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7289.166666666667</v>
      </c>
      <c r="D66" s="22">
        <f t="shared" si="8"/>
        <v>0</v>
      </c>
      <c r="E66" s="22">
        <f t="shared" si="9"/>
        <v>7289.166666666667</v>
      </c>
      <c r="F66" s="22">
        <f t="shared" si="10"/>
        <v>1.6569479386465163E-2</v>
      </c>
      <c r="G66" s="22">
        <f t="shared" si="11"/>
        <v>697.57508217018335</v>
      </c>
      <c r="H66" s="22">
        <v>4</v>
      </c>
      <c r="I66" s="22">
        <f t="shared" si="12"/>
        <v>494.79759999999999</v>
      </c>
      <c r="J66" s="22">
        <f t="shared" si="13"/>
        <v>1198.1710915451833</v>
      </c>
      <c r="K66" s="22">
        <f t="shared" si="14"/>
        <v>5139.78125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6337.9523415451831</v>
      </c>
      <c r="S66" s="22"/>
      <c r="T66" s="22"/>
    </row>
    <row r="67" spans="1:21" ht="12.75" customHeight="1" x14ac:dyDescent="0.25">
      <c r="A67" s="19" t="s">
        <v>207</v>
      </c>
      <c r="B67" s="19" t="str">
        <f>VLOOKUP(A67,Members!$A$2:$B$65,2,FALSE)</f>
        <v>Jeya</v>
      </c>
      <c r="C67" s="20">
        <v>6992.333333333333</v>
      </c>
      <c r="D67" s="20">
        <f t="shared" si="8"/>
        <v>0</v>
      </c>
      <c r="E67" s="20">
        <f t="shared" si="9"/>
        <v>6992.333333333333</v>
      </c>
      <c r="F67" s="20">
        <f t="shared" si="10"/>
        <v>1.5894728208065836E-2</v>
      </c>
      <c r="G67" s="20">
        <f t="shared" si="11"/>
        <v>669.16805755957171</v>
      </c>
      <c r="H67" s="20">
        <v>4</v>
      </c>
      <c r="I67" s="20">
        <f t="shared" si="12"/>
        <v>494.79759999999999</v>
      </c>
      <c r="J67" s="20">
        <f t="shared" si="13"/>
        <v>1169.7640669345717</v>
      </c>
      <c r="K67" s="20">
        <f t="shared" si="14"/>
        <v>5139.78125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6309.5453169345719</v>
      </c>
      <c r="S67" s="20"/>
      <c r="T67" s="20"/>
    </row>
    <row r="68" spans="1:21" ht="12.75" customHeight="1" x14ac:dyDescent="0.25">
      <c r="A68" s="21" t="s">
        <v>211</v>
      </c>
      <c r="B68" s="21" t="str">
        <f>VLOOKUP(A68,Members!$A$2:$B$65,2,FALSE)</f>
        <v>Trevor</v>
      </c>
      <c r="C68" s="22">
        <v>6864.333333333333</v>
      </c>
      <c r="D68" s="22">
        <f t="shared" si="8"/>
        <v>0</v>
      </c>
      <c r="E68" s="22">
        <f t="shared" si="9"/>
        <v>6864.333333333333</v>
      </c>
      <c r="F68" s="22">
        <f t="shared" si="10"/>
        <v>1.5603763073304085E-2</v>
      </c>
      <c r="G68" s="22">
        <f t="shared" si="11"/>
        <v>656.91842538610194</v>
      </c>
      <c r="H68" s="22">
        <v>4</v>
      </c>
      <c r="I68" s="22">
        <f t="shared" si="12"/>
        <v>494.79759999999999</v>
      </c>
      <c r="J68" s="22">
        <f t="shared" si="13"/>
        <v>1157.5144347611019</v>
      </c>
      <c r="K68" s="22">
        <f t="shared" si="14"/>
        <v>5139.78125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6297.2956847611022</v>
      </c>
      <c r="S68" s="22"/>
      <c r="T68" s="22"/>
    </row>
    <row r="69" spans="1:21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11086.5</v>
      </c>
      <c r="D69" s="20">
        <f t="shared" si="8"/>
        <v>0</v>
      </c>
      <c r="E69" s="20">
        <f t="shared" si="9"/>
        <v>11086.5</v>
      </c>
      <c r="F69" s="20">
        <f t="shared" si="10"/>
        <v>2.5201445051063819E-2</v>
      </c>
      <c r="G69" s="20">
        <f t="shared" si="11"/>
        <v>1060.9808366497869</v>
      </c>
      <c r="H69" s="20">
        <v>3</v>
      </c>
      <c r="I69" s="20">
        <f t="shared" si="12"/>
        <v>371.09820000000002</v>
      </c>
      <c r="J69" s="20">
        <f t="shared" si="13"/>
        <v>1437.8774460247869</v>
      </c>
      <c r="K69" s="20">
        <f t="shared" si="14"/>
        <v>5139.78125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7577.6586960247869</v>
      </c>
      <c r="S69" s="20"/>
      <c r="T69" s="20"/>
      <c r="U69" t="s">
        <v>316</v>
      </c>
    </row>
    <row r="70" spans="1:21" ht="12.75" customHeight="1" x14ac:dyDescent="0.25">
      <c r="A70" s="21"/>
      <c r="B70" s="21" t="s">
        <v>254</v>
      </c>
      <c r="C70" s="22">
        <f>SUM(C3:C69)</f>
        <v>439915.24999999988</v>
      </c>
      <c r="D70" s="22">
        <f>SUM(D3:D69)</f>
        <v>0</v>
      </c>
      <c r="E70" s="22">
        <f>SUM(E3:E69)</f>
        <v>439915.24999999988</v>
      </c>
      <c r="F70" s="22">
        <f t="shared" ref="F70:F101" si="16">IF($C$70=0, 0, E70/$C$70)</f>
        <v>1</v>
      </c>
      <c r="G70" s="22">
        <f t="shared" ref="G70:O70" si="17">SUM(G3:G69)</f>
        <v>42100.000000000007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69684.966199999981</v>
      </c>
      <c r="K70" s="22">
        <f t="shared" si="17"/>
        <v>328946</v>
      </c>
      <c r="L70" s="22">
        <f t="shared" si="17"/>
        <v>2250</v>
      </c>
      <c r="M70" s="22">
        <f t="shared" si="17"/>
        <v>500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410380.96620000014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7264</v>
      </c>
      <c r="D2" s="29" t="s">
        <v>362</v>
      </c>
      <c r="E2" s="26"/>
      <c r="F2" s="29"/>
      <c r="G2" s="26"/>
      <c r="H2" s="37"/>
      <c r="I2" s="26"/>
      <c r="J2" s="26"/>
      <c r="K2" s="26">
        <f t="shared" ref="K2:K33" si="0">SUM(C2,E2,G2,I2)</f>
        <v>7264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363</v>
      </c>
      <c r="E4" s="22">
        <v>11273.81</v>
      </c>
      <c r="F4" s="29" t="s">
        <v>364</v>
      </c>
      <c r="G4" s="26">
        <v>6000</v>
      </c>
      <c r="H4" s="37" t="s">
        <v>365</v>
      </c>
      <c r="I4" s="26"/>
      <c r="J4" s="26"/>
      <c r="K4" s="26">
        <f t="shared" si="0"/>
        <v>23273.809999999998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11259</v>
      </c>
      <c r="D5" s="32" t="s">
        <v>364</v>
      </c>
      <c r="E5" s="25"/>
      <c r="F5" s="32"/>
      <c r="G5" s="25"/>
      <c r="H5" s="38"/>
      <c r="I5" s="25"/>
      <c r="J5" s="25"/>
      <c r="K5" s="20">
        <f t="shared" si="0"/>
        <v>11259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5703</v>
      </c>
      <c r="D6" s="29" t="s">
        <v>366</v>
      </c>
      <c r="E6" s="26"/>
      <c r="F6" s="29"/>
      <c r="G6" s="26"/>
      <c r="H6" s="37"/>
      <c r="I6" s="26"/>
      <c r="J6" s="26"/>
      <c r="K6" s="26">
        <f t="shared" si="0"/>
        <v>5703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6262.27</v>
      </c>
      <c r="D7" s="32" t="s">
        <v>367</v>
      </c>
      <c r="E7" s="25"/>
      <c r="F7" s="32"/>
      <c r="G7" s="25"/>
      <c r="H7" s="38"/>
      <c r="I7" s="25"/>
      <c r="J7" s="25"/>
      <c r="K7" s="25">
        <f t="shared" si="0"/>
        <v>6262.27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6216.35</v>
      </c>
      <c r="D8" s="29" t="s">
        <v>364</v>
      </c>
      <c r="E8" s="26"/>
      <c r="F8" s="29"/>
      <c r="G8" s="26"/>
      <c r="H8" s="37"/>
      <c r="I8" s="26"/>
      <c r="J8" s="26"/>
      <c r="K8" s="26">
        <f t="shared" si="0"/>
        <v>6216.35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5091.08</v>
      </c>
      <c r="D9" s="32" t="s">
        <v>364</v>
      </c>
      <c r="E9" s="25"/>
      <c r="F9" s="32"/>
      <c r="G9" s="25"/>
      <c r="H9" s="38"/>
      <c r="I9" s="25"/>
      <c r="J9" s="25"/>
      <c r="K9" s="20">
        <f t="shared" si="0"/>
        <v>5091.08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8225</v>
      </c>
      <c r="D10" s="29" t="s">
        <v>362</v>
      </c>
      <c r="E10" s="26"/>
      <c r="F10" s="29"/>
      <c r="G10" s="26"/>
      <c r="H10" s="37"/>
      <c r="I10" s="26"/>
      <c r="J10" s="26"/>
      <c r="K10" s="22">
        <f t="shared" si="0"/>
        <v>8225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2225</v>
      </c>
      <c r="D12" s="29" t="s">
        <v>368</v>
      </c>
      <c r="E12" s="26"/>
      <c r="F12" s="29"/>
      <c r="G12" s="26"/>
      <c r="H12" s="37"/>
      <c r="I12" s="26"/>
      <c r="J12" s="26"/>
      <c r="K12" s="22">
        <f t="shared" si="0"/>
        <v>2225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7988.16</v>
      </c>
      <c r="D13" s="32" t="s">
        <v>362</v>
      </c>
      <c r="E13" s="25"/>
      <c r="F13" s="32"/>
      <c r="G13" s="25"/>
      <c r="H13" s="38"/>
      <c r="I13" s="25"/>
      <c r="J13" s="25"/>
      <c r="K13" s="20">
        <f t="shared" si="0"/>
        <v>7988.16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8495.49</v>
      </c>
      <c r="D14" s="29" t="s">
        <v>369</v>
      </c>
      <c r="E14" s="26"/>
      <c r="F14" s="29"/>
      <c r="G14" s="26"/>
      <c r="H14" s="37"/>
      <c r="I14" s="26"/>
      <c r="J14" s="26"/>
      <c r="K14" s="26">
        <f t="shared" si="0"/>
        <v>8495.49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6785</v>
      </c>
      <c r="D16" s="29" t="s">
        <v>370</v>
      </c>
      <c r="E16" s="26">
        <v>6580</v>
      </c>
      <c r="F16" s="29" t="s">
        <v>371</v>
      </c>
      <c r="G16" s="26"/>
      <c r="H16" s="37"/>
      <c r="I16" s="26"/>
      <c r="J16" s="26"/>
      <c r="K16" s="26">
        <f t="shared" si="0"/>
        <v>13365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6945.68</v>
      </c>
      <c r="D17" s="32" t="s">
        <v>362</v>
      </c>
      <c r="E17" s="25"/>
      <c r="F17" s="32"/>
      <c r="G17" s="25"/>
      <c r="H17" s="38"/>
      <c r="I17" s="25"/>
      <c r="J17" s="25"/>
      <c r="K17" s="25">
        <f t="shared" si="0"/>
        <v>6945.68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19000</v>
      </c>
      <c r="D18" s="29" t="s">
        <v>368</v>
      </c>
      <c r="E18" s="22"/>
      <c r="F18" s="29"/>
      <c r="G18" s="26"/>
      <c r="H18" s="37"/>
      <c r="I18" s="26"/>
      <c r="J18" s="26"/>
      <c r="K18" s="22">
        <f t="shared" si="0"/>
        <v>19000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14242.64</v>
      </c>
      <c r="D19" s="32" t="s">
        <v>368</v>
      </c>
      <c r="E19" s="25"/>
      <c r="F19" s="32"/>
      <c r="G19" s="25"/>
      <c r="H19" s="38"/>
      <c r="I19" s="25"/>
      <c r="J19" s="25"/>
      <c r="K19" s="20">
        <f t="shared" si="0"/>
        <v>14242.64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5873</v>
      </c>
      <c r="D20" s="29" t="s">
        <v>372</v>
      </c>
      <c r="E20" s="26"/>
      <c r="F20" s="29"/>
      <c r="G20" s="26"/>
      <c r="H20" s="37"/>
      <c r="I20" s="26"/>
      <c r="J20" s="26"/>
      <c r="K20" s="22">
        <f t="shared" si="0"/>
        <v>5873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5018</v>
      </c>
      <c r="D21" s="32" t="s">
        <v>373</v>
      </c>
      <c r="E21" s="25"/>
      <c r="F21" s="32"/>
      <c r="G21" s="25"/>
      <c r="H21" s="38"/>
      <c r="I21" s="25"/>
      <c r="J21" s="25"/>
      <c r="K21" s="20">
        <f t="shared" si="0"/>
        <v>5018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>
        <v>30000</v>
      </c>
      <c r="D22" s="29" t="s">
        <v>362</v>
      </c>
      <c r="E22" s="26"/>
      <c r="F22" s="29"/>
      <c r="G22" s="26"/>
      <c r="H22" s="37"/>
      <c r="I22" s="26"/>
      <c r="J22" s="26"/>
      <c r="K22" s="22">
        <f t="shared" si="0"/>
        <v>30000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6247</v>
      </c>
      <c r="D24" s="29" t="s">
        <v>366</v>
      </c>
      <c r="E24" s="26"/>
      <c r="F24" s="29"/>
      <c r="G24" s="26"/>
      <c r="H24" s="37"/>
      <c r="I24" s="26"/>
      <c r="J24" s="26"/>
      <c r="K24" s="22">
        <f t="shared" si="0"/>
        <v>6247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6235</v>
      </c>
      <c r="D25" s="32" t="s">
        <v>364</v>
      </c>
      <c r="E25" s="25"/>
      <c r="F25" s="32"/>
      <c r="G25" s="25"/>
      <c r="H25" s="38"/>
      <c r="I25" s="25"/>
      <c r="J25" s="25"/>
      <c r="K25" s="25">
        <f t="shared" si="0"/>
        <v>6235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7382</v>
      </c>
      <c r="D26" s="29" t="s">
        <v>366</v>
      </c>
      <c r="E26" s="26"/>
      <c r="F26" s="29"/>
      <c r="G26" s="26"/>
      <c r="H26" s="37"/>
      <c r="I26" s="26"/>
      <c r="J26" s="26"/>
      <c r="K26" s="22">
        <f t="shared" si="0"/>
        <v>7382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>
        <v>6058</v>
      </c>
      <c r="D27" s="32" t="s">
        <v>373</v>
      </c>
      <c r="E27" s="25"/>
      <c r="F27" s="32"/>
      <c r="G27" s="25"/>
      <c r="H27" s="38"/>
      <c r="I27" s="25"/>
      <c r="J27" s="25"/>
      <c r="K27" s="20">
        <f t="shared" si="0"/>
        <v>6058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5513</v>
      </c>
      <c r="D28" s="29" t="s">
        <v>368</v>
      </c>
      <c r="E28" s="26"/>
      <c r="F28" s="29"/>
      <c r="G28" s="26"/>
      <c r="H28" s="37"/>
      <c r="I28" s="26"/>
      <c r="J28" s="26"/>
      <c r="K28" s="22">
        <f t="shared" si="0"/>
        <v>5513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7026</v>
      </c>
      <c r="D29" s="32" t="s">
        <v>364</v>
      </c>
      <c r="E29" s="25"/>
      <c r="F29" s="32"/>
      <c r="G29" s="25"/>
      <c r="H29" s="38"/>
      <c r="I29" s="25"/>
      <c r="J29" s="25"/>
      <c r="K29" s="20">
        <f t="shared" si="0"/>
        <v>7026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7186</v>
      </c>
      <c r="D31" s="32" t="s">
        <v>364</v>
      </c>
      <c r="E31" s="25"/>
      <c r="F31" s="32"/>
      <c r="G31" s="25"/>
      <c r="H31" s="38"/>
      <c r="I31" s="25"/>
      <c r="J31" s="25"/>
      <c r="K31" s="25">
        <f t="shared" si="0"/>
        <v>7186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5510.03</v>
      </c>
      <c r="D33" s="32" t="s">
        <v>364</v>
      </c>
      <c r="E33" s="25"/>
      <c r="F33" s="32"/>
      <c r="G33" s="25"/>
      <c r="H33" s="38"/>
      <c r="I33" s="25"/>
      <c r="J33" s="25"/>
      <c r="K33" s="25">
        <f t="shared" si="0"/>
        <v>5510.03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5626.86</v>
      </c>
      <c r="D34" s="29" t="s">
        <v>369</v>
      </c>
      <c r="E34" s="26"/>
      <c r="F34" s="29"/>
      <c r="G34" s="26"/>
      <c r="H34" s="37"/>
      <c r="I34" s="26"/>
      <c r="J34" s="26"/>
      <c r="K34" s="22">
        <f t="shared" ref="K34:K65" si="1">SUM(C34,E34,G34,I34)</f>
        <v>5626.86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8500</v>
      </c>
      <c r="D36" s="29" t="s">
        <v>373</v>
      </c>
      <c r="E36" s="26"/>
      <c r="F36" s="29"/>
      <c r="G36" s="26"/>
      <c r="H36" s="37"/>
      <c r="I36" s="26"/>
      <c r="J36" s="26"/>
      <c r="K36" s="26">
        <f t="shared" si="1"/>
        <v>8500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1408</v>
      </c>
      <c r="D37" s="32" t="s">
        <v>367</v>
      </c>
      <c r="E37" s="25"/>
      <c r="F37" s="32"/>
      <c r="G37" s="25"/>
      <c r="H37" s="38"/>
      <c r="I37" s="25"/>
      <c r="J37" s="25"/>
      <c r="K37" s="20">
        <f t="shared" si="1"/>
        <v>1408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11516.94</v>
      </c>
      <c r="D38" s="29" t="s">
        <v>364</v>
      </c>
      <c r="E38" s="26"/>
      <c r="F38" s="29"/>
      <c r="G38" s="26"/>
      <c r="H38" s="37"/>
      <c r="I38" s="26"/>
      <c r="J38" s="26"/>
      <c r="K38" s="26">
        <f t="shared" si="1"/>
        <v>11516.94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6380</v>
      </c>
      <c r="D39" s="32" t="s">
        <v>364</v>
      </c>
      <c r="E39" s="25"/>
      <c r="F39" s="32"/>
      <c r="G39" s="25"/>
      <c r="H39" s="38"/>
      <c r="I39" s="25"/>
      <c r="J39" s="25"/>
      <c r="K39" s="25">
        <f t="shared" si="1"/>
        <v>6380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7092</v>
      </c>
      <c r="D40" s="29" t="s">
        <v>373</v>
      </c>
      <c r="E40" s="26"/>
      <c r="F40" s="29"/>
      <c r="G40" s="26"/>
      <c r="H40" s="37"/>
      <c r="I40" s="26"/>
      <c r="J40" s="26"/>
      <c r="K40" s="22">
        <f t="shared" si="1"/>
        <v>7092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6625.89</v>
      </c>
      <c r="D41" s="32" t="s">
        <v>374</v>
      </c>
      <c r="E41" s="25">
        <v>6432.44</v>
      </c>
      <c r="F41" s="32" t="s">
        <v>367</v>
      </c>
      <c r="G41" s="25"/>
      <c r="H41" s="38"/>
      <c r="I41" s="25"/>
      <c r="J41" s="25"/>
      <c r="K41" s="20">
        <f t="shared" si="1"/>
        <v>13058.33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364</v>
      </c>
      <c r="E42" s="26">
        <v>2887</v>
      </c>
      <c r="F42" s="29" t="s">
        <v>364</v>
      </c>
      <c r="G42" s="26"/>
      <c r="H42" s="37"/>
      <c r="I42" s="26"/>
      <c r="J42" s="26"/>
      <c r="K42" s="22">
        <f t="shared" si="1"/>
        <v>7887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>
        <v>100</v>
      </c>
      <c r="D43" s="32" t="s">
        <v>371</v>
      </c>
      <c r="E43" s="25">
        <v>20828.07</v>
      </c>
      <c r="F43" s="32" t="s">
        <v>365</v>
      </c>
      <c r="G43" s="25"/>
      <c r="H43" s="38"/>
      <c r="I43" s="25"/>
      <c r="J43" s="25"/>
      <c r="K43" s="20">
        <f t="shared" si="1"/>
        <v>20928.07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>
        <v>5319</v>
      </c>
      <c r="D44" s="29" t="s">
        <v>371</v>
      </c>
      <c r="E44" s="26">
        <v>7300</v>
      </c>
      <c r="F44" s="29" t="s">
        <v>371</v>
      </c>
      <c r="G44" s="26"/>
      <c r="H44" s="37"/>
      <c r="I44" s="26"/>
      <c r="J44" s="26"/>
      <c r="K44" s="26">
        <f t="shared" si="1"/>
        <v>12619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13558.03</v>
      </c>
      <c r="D45" s="32" t="s">
        <v>366</v>
      </c>
      <c r="E45" s="25"/>
      <c r="F45" s="32"/>
      <c r="G45" s="25"/>
      <c r="H45" s="38"/>
      <c r="I45" s="25"/>
      <c r="J45" s="25"/>
      <c r="K45" s="20">
        <f t="shared" si="1"/>
        <v>13558.03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8418.15</v>
      </c>
      <c r="D46" s="29" t="s">
        <v>369</v>
      </c>
      <c r="E46" s="26"/>
      <c r="F46" s="29"/>
      <c r="G46" s="26"/>
      <c r="H46" s="37"/>
      <c r="I46" s="26"/>
      <c r="J46" s="26"/>
      <c r="K46" s="26">
        <f t="shared" si="1"/>
        <v>8418.15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5731.15</v>
      </c>
      <c r="D48" s="29" t="s">
        <v>375</v>
      </c>
      <c r="E48" s="26"/>
      <c r="F48" s="29"/>
      <c r="G48" s="26"/>
      <c r="H48" s="37"/>
      <c r="I48" s="26"/>
      <c r="J48" s="26"/>
      <c r="K48" s="22">
        <f t="shared" si="1"/>
        <v>5731.15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426</v>
      </c>
      <c r="D49" s="32" t="s">
        <v>364</v>
      </c>
      <c r="E49" s="25"/>
      <c r="F49" s="32"/>
      <c r="G49" s="25"/>
      <c r="H49" s="38"/>
      <c r="I49" s="25"/>
      <c r="J49" s="25"/>
      <c r="K49" s="25">
        <f t="shared" si="1"/>
        <v>426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6500</v>
      </c>
      <c r="D50" s="29" t="s">
        <v>373</v>
      </c>
      <c r="E50" s="26"/>
      <c r="F50" s="29"/>
      <c r="G50" s="26"/>
      <c r="H50" s="37"/>
      <c r="I50" s="26"/>
      <c r="J50" s="26"/>
      <c r="K50" s="26">
        <f t="shared" si="1"/>
        <v>6500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>
        <v>10258.73</v>
      </c>
      <c r="D51" s="32" t="s">
        <v>364</v>
      </c>
      <c r="E51" s="25">
        <v>4616.01</v>
      </c>
      <c r="F51" s="32" t="s">
        <v>364</v>
      </c>
      <c r="G51" s="25"/>
      <c r="H51" s="38"/>
      <c r="I51" s="25"/>
      <c r="J51" s="25"/>
      <c r="K51" s="20">
        <f t="shared" si="1"/>
        <v>14874.74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6509</v>
      </c>
      <c r="D52" s="29" t="s">
        <v>373</v>
      </c>
      <c r="E52" s="26"/>
      <c r="F52" s="29"/>
      <c r="G52" s="26"/>
      <c r="H52" s="37"/>
      <c r="I52" s="26"/>
      <c r="J52" s="26"/>
      <c r="K52" s="22">
        <f t="shared" si="1"/>
        <v>6509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5912</v>
      </c>
      <c r="D54" s="29" t="s">
        <v>376</v>
      </c>
      <c r="E54" s="26"/>
      <c r="F54" s="29"/>
      <c r="G54" s="26"/>
      <c r="H54" s="37"/>
      <c r="I54" s="26"/>
      <c r="J54" s="26"/>
      <c r="K54" s="26">
        <f t="shared" si="1"/>
        <v>5912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7550.02</v>
      </c>
      <c r="D55" s="32" t="s">
        <v>374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5464</v>
      </c>
      <c r="D57" s="32" t="s">
        <v>373</v>
      </c>
      <c r="E57" s="25"/>
      <c r="F57" s="32"/>
      <c r="G57" s="25"/>
      <c r="H57" s="38"/>
      <c r="I57" s="25"/>
      <c r="J57" s="25"/>
      <c r="K57" s="20">
        <f t="shared" si="1"/>
        <v>5464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5624.11</v>
      </c>
      <c r="D58" s="29" t="s">
        <v>376</v>
      </c>
      <c r="E58" s="26">
        <v>5975</v>
      </c>
      <c r="F58" s="29" t="s">
        <v>362</v>
      </c>
      <c r="G58" s="26"/>
      <c r="H58" s="37"/>
      <c r="I58" s="26"/>
      <c r="J58" s="26"/>
      <c r="K58" s="26">
        <f t="shared" si="1"/>
        <v>11599.11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9230</v>
      </c>
      <c r="D59" s="32" t="s">
        <v>366</v>
      </c>
      <c r="E59" s="25"/>
      <c r="F59" s="32"/>
      <c r="G59" s="25"/>
      <c r="H59" s="38"/>
      <c r="I59" s="25"/>
      <c r="J59" s="25"/>
      <c r="K59" s="20">
        <f t="shared" si="1"/>
        <v>9230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4799.82</v>
      </c>
      <c r="D61" s="32" t="s">
        <v>362</v>
      </c>
      <c r="E61" s="25">
        <v>990.83</v>
      </c>
      <c r="F61" s="32" t="s">
        <v>364</v>
      </c>
      <c r="G61" s="25"/>
      <c r="H61" s="38"/>
      <c r="I61" s="25"/>
      <c r="J61" s="25"/>
      <c r="K61" s="20">
        <f t="shared" si="1"/>
        <v>5790.65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>
        <v>12000</v>
      </c>
      <c r="D62" s="28" t="s">
        <v>364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13194</v>
      </c>
      <c r="D64" s="29" t="s">
        <v>364</v>
      </c>
      <c r="E64" s="26"/>
      <c r="F64" s="29"/>
      <c r="G64" s="26"/>
      <c r="H64" s="37"/>
      <c r="I64" s="26"/>
      <c r="J64" s="26"/>
      <c r="K64" s="22">
        <f t="shared" si="1"/>
        <v>13194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19495</v>
      </c>
      <c r="D65" s="32" t="s">
        <v>364</v>
      </c>
      <c r="E65" s="25"/>
      <c r="F65" s="32"/>
      <c r="G65" s="25"/>
      <c r="H65" s="38"/>
      <c r="I65" s="25"/>
      <c r="J65" s="25"/>
      <c r="K65" s="25">
        <f t="shared" si="1"/>
        <v>19495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478872.56000000011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U70"/>
  <sheetViews>
    <sheetView workbookViewId="0">
      <pane ySplit="2" topLeftCell="A3" activePane="bottomLeft" state="frozen"/>
      <selection pane="bottomLeft" activeCell="A14" sqref="A1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1" ht="16.5" customHeight="1" x14ac:dyDescent="0.25">
      <c r="A1" s="48"/>
      <c r="B1" s="95" t="s">
        <v>377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1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378</v>
      </c>
      <c r="J2" s="18" t="s">
        <v>359</v>
      </c>
      <c r="K2" s="18" t="s">
        <v>283</v>
      </c>
      <c r="L2" s="18" t="s">
        <v>284</v>
      </c>
      <c r="M2" s="18" t="s">
        <v>285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'ANNUAL-EXPENSE-DETAILS'!W8</f>
        <v>365225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'ANNUAL-EXPENSE-DETAILS'!V8</f>
        <v>39700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5706.640625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6083.5372343750005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5706.640625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7207.236634375</v>
      </c>
      <c r="S7" s="20" t="s">
        <v>290</v>
      </c>
      <c r="T7" s="80">
        <f>(104.83+0.18*104.83)</f>
        <v>123.6994</v>
      </c>
      <c r="U7" t="s">
        <v>316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5706.640625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6957.236634375</v>
      </c>
      <c r="S8" s="22" t="s">
        <v>379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5706.640625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6207.236634375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5706.640625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6083.5372343750005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5706.640625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6083.5372343750005</v>
      </c>
      <c r="S11" s="20" t="s">
        <v>240</v>
      </c>
      <c r="T11" s="20">
        <f>'ANNUAL-EXPENSE-DETAILS'!W8</f>
        <v>365225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5706.640625</v>
      </c>
      <c r="L12" s="22">
        <v>750</v>
      </c>
      <c r="M12" s="22">
        <v>0</v>
      </c>
      <c r="N12" s="22">
        <v>1000</v>
      </c>
      <c r="O12" s="22">
        <v>0</v>
      </c>
      <c r="P12" s="22">
        <v>0</v>
      </c>
      <c r="Q12" s="22"/>
      <c r="R12" s="22">
        <f t="shared" si="7"/>
        <v>7833.5372343750005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5706.640625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6083.5372343750005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5706.640625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6207.236634375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5706.640625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6083.5372343750005</v>
      </c>
      <c r="S15" s="20" t="s">
        <v>380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5706.640625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6083.5372343750005</v>
      </c>
      <c r="S16" s="22" t="s">
        <v>247</v>
      </c>
      <c r="T16" s="22"/>
    </row>
    <row r="17" spans="1:21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5706.640625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6083.5372343750005</v>
      </c>
      <c r="S17" s="20" t="s">
        <v>248</v>
      </c>
      <c r="T17" s="20"/>
    </row>
    <row r="18" spans="1:21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5706.640625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6207.236634375</v>
      </c>
      <c r="S18" s="22" t="s">
        <v>249</v>
      </c>
      <c r="T18" s="22">
        <f>T16-T17</f>
        <v>0</v>
      </c>
    </row>
    <row r="19" spans="1:21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5706.640625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6207.236634375</v>
      </c>
      <c r="S19" s="20" t="s">
        <v>251</v>
      </c>
      <c r="T19" s="20">
        <f>T15-T18</f>
        <v>0</v>
      </c>
    </row>
    <row r="20" spans="1:21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5706.640625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6957.236634375</v>
      </c>
      <c r="S20" s="22" t="s">
        <v>252</v>
      </c>
      <c r="T20" s="22">
        <f>'ANNUAL-EXPENSE-DETAILS'!Y8</f>
        <v>432510</v>
      </c>
    </row>
    <row r="21" spans="1:21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5706.640625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6083.5372343750005</v>
      </c>
      <c r="S21" s="20"/>
      <c r="T21" s="20"/>
    </row>
    <row r="22" spans="1:21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5706.640625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6083.5372343750005</v>
      </c>
      <c r="S22" s="22"/>
      <c r="T22" s="22"/>
    </row>
    <row r="23" spans="1:21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5706.640625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6207.236634375</v>
      </c>
      <c r="S23" s="20"/>
      <c r="T23" s="20"/>
    </row>
    <row r="24" spans="1:21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5706.640625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6207.236634375</v>
      </c>
      <c r="S24" s="22"/>
      <c r="T24" s="22"/>
    </row>
    <row r="25" spans="1:21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5706.640625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6207.236634375</v>
      </c>
      <c r="S25" s="20"/>
      <c r="T25" s="20"/>
    </row>
    <row r="26" spans="1:21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5706.640625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6083.5372343750005</v>
      </c>
      <c r="S26" s="22"/>
      <c r="T26" s="22"/>
    </row>
    <row r="27" spans="1:21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5706.640625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7083.5372343750005</v>
      </c>
      <c r="S27" s="20"/>
      <c r="T27" s="20"/>
      <c r="U27" t="s">
        <v>316</v>
      </c>
    </row>
    <row r="28" spans="1:21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5706.640625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6083.5372343750005</v>
      </c>
      <c r="S28" s="22"/>
      <c r="T28" s="22"/>
    </row>
    <row r="29" spans="1:21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5706.640625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6083.5372343750005</v>
      </c>
      <c r="S29" s="20"/>
      <c r="T29" s="20"/>
    </row>
    <row r="30" spans="1:21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5706.640625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6330.9360343749995</v>
      </c>
      <c r="S30" s="22"/>
      <c r="T30" s="22"/>
    </row>
    <row r="31" spans="1:21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5706.640625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6083.5372343750005</v>
      </c>
      <c r="S31" s="20"/>
      <c r="T31" s="20"/>
    </row>
    <row r="32" spans="1:21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5706.640625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6083.5372343750005</v>
      </c>
      <c r="S32" s="22"/>
      <c r="T32" s="22"/>
    </row>
    <row r="33" spans="1:21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5706.640625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6083.5372343750005</v>
      </c>
      <c r="S33" s="20"/>
      <c r="T33" s="20"/>
    </row>
    <row r="34" spans="1:21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5706.640625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6207.236634375</v>
      </c>
      <c r="S34" s="22"/>
      <c r="T34" s="22"/>
    </row>
    <row r="35" spans="1:21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5706.640625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6207.236634375</v>
      </c>
      <c r="S35" s="20"/>
      <c r="T35" s="20"/>
    </row>
    <row r="36" spans="1:21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5706.640625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7207.236634375</v>
      </c>
      <c r="S36" s="22"/>
      <c r="T36" s="22"/>
      <c r="U36" t="s">
        <v>316</v>
      </c>
    </row>
    <row r="37" spans="1:21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5706.640625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6083.5372343750005</v>
      </c>
      <c r="S37" s="20"/>
      <c r="T37" s="20"/>
    </row>
    <row r="38" spans="1:21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5706.640625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6083.5372343750005</v>
      </c>
      <c r="S38" s="22"/>
      <c r="T38" s="22"/>
    </row>
    <row r="39" spans="1:21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5706.640625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7207.236634375</v>
      </c>
      <c r="S39" s="20"/>
      <c r="T39" s="20"/>
      <c r="U39" t="s">
        <v>316</v>
      </c>
    </row>
    <row r="40" spans="1:21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5706.640625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6207.236634375</v>
      </c>
      <c r="S40" s="22"/>
      <c r="T40" s="22"/>
    </row>
    <row r="41" spans="1:21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5706.640625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6083.5372343750005</v>
      </c>
      <c r="S41" s="20"/>
      <c r="T41" s="20"/>
    </row>
    <row r="42" spans="1:21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5706.640625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6083.5372343750005</v>
      </c>
      <c r="S42" s="22"/>
      <c r="T42" s="22"/>
    </row>
    <row r="43" spans="1:21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5706.640625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6083.5372343750005</v>
      </c>
      <c r="S43" s="20"/>
      <c r="T43" s="20"/>
    </row>
    <row r="44" spans="1:21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5706.640625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6083.5372343750005</v>
      </c>
      <c r="S44" s="22"/>
      <c r="T44" s="22"/>
    </row>
    <row r="45" spans="1:21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5706.640625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6083.5372343750005</v>
      </c>
      <c r="S45" s="20"/>
      <c r="T45" s="20"/>
    </row>
    <row r="46" spans="1:21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5706.640625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6207.236634375</v>
      </c>
      <c r="S46" s="22"/>
      <c r="T46" s="22"/>
    </row>
    <row r="47" spans="1:21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5706.640625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6083.5372343750005</v>
      </c>
      <c r="S47" s="20"/>
      <c r="T47" s="20"/>
    </row>
    <row r="48" spans="1:21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5706.640625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6083.5372343750005</v>
      </c>
      <c r="S48" s="22"/>
      <c r="T48" s="22"/>
    </row>
    <row r="49" spans="1:21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5706.640625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6083.5372343750005</v>
      </c>
      <c r="S49" s="20"/>
      <c r="T49" s="20"/>
    </row>
    <row r="50" spans="1:21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5706.640625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6207.236634375</v>
      </c>
      <c r="S50" s="22"/>
      <c r="T50" s="22"/>
    </row>
    <row r="51" spans="1:21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5706.640625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7207.236634375</v>
      </c>
      <c r="S51" s="20"/>
      <c r="T51" s="20"/>
      <c r="U51" t="s">
        <v>316</v>
      </c>
    </row>
    <row r="52" spans="1:21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5706.640625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6207.236634375</v>
      </c>
      <c r="S52" s="22"/>
      <c r="T52" s="22"/>
    </row>
    <row r="53" spans="1:21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5706.640625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6083.5372343750005</v>
      </c>
      <c r="S53" s="20"/>
      <c r="T53" s="20"/>
    </row>
    <row r="54" spans="1:21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5706.640625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6083.5372343750005</v>
      </c>
      <c r="S54" s="22"/>
      <c r="T54" s="22"/>
    </row>
    <row r="55" spans="1:21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5706.640625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6207.236634375</v>
      </c>
      <c r="S55" s="20"/>
      <c r="T55" s="20"/>
    </row>
    <row r="56" spans="1:21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5706.640625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6207.236634375</v>
      </c>
      <c r="S56" s="22"/>
      <c r="T56" s="22"/>
    </row>
    <row r="57" spans="1:21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5706.640625</v>
      </c>
      <c r="L57" s="20">
        <v>0</v>
      </c>
      <c r="M57" s="20">
        <v>0</v>
      </c>
      <c r="N57" s="20">
        <v>1000</v>
      </c>
      <c r="O57" s="20">
        <v>0</v>
      </c>
      <c r="P57" s="20">
        <v>0</v>
      </c>
      <c r="Q57" s="20"/>
      <c r="R57" s="20">
        <f t="shared" si="15"/>
        <v>7207.236634375</v>
      </c>
      <c r="S57" s="20"/>
      <c r="T57" s="20"/>
    </row>
    <row r="58" spans="1:21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5706.640625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6083.5372343750005</v>
      </c>
      <c r="S58" s="22"/>
      <c r="T58" s="22"/>
    </row>
    <row r="59" spans="1:21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5706.640625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6083.5372343750005</v>
      </c>
      <c r="S59" s="20"/>
      <c r="T59" s="20"/>
    </row>
    <row r="60" spans="1:21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5706.640625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7083.5372343750005</v>
      </c>
      <c r="S60" s="22"/>
      <c r="T60" s="22"/>
      <c r="U60" t="s">
        <v>316</v>
      </c>
    </row>
    <row r="61" spans="1:21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5706.640625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6083.5372343750005</v>
      </c>
      <c r="S61" s="20"/>
      <c r="T61" s="20"/>
    </row>
    <row r="62" spans="1:21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5706.640625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6207.236634375</v>
      </c>
      <c r="S62" s="22"/>
      <c r="T62" s="22"/>
    </row>
    <row r="63" spans="1:21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5706.640625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6083.5372343750005</v>
      </c>
      <c r="S63" s="20"/>
      <c r="T63" s="20"/>
    </row>
    <row r="64" spans="1:21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5706.640625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6083.5372343750005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5706.640625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6083.5372343750005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5706.640625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6207.236634375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5706.640625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6207.236634375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5706.640625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6207.236634375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5706.640625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6083.5372343750005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365225</v>
      </c>
      <c r="L70" s="22">
        <f t="shared" si="17"/>
        <v>2250</v>
      </c>
      <c r="M70" s="22">
        <f t="shared" si="17"/>
        <v>0</v>
      </c>
      <c r="N70" s="22">
        <f t="shared" si="17"/>
        <v>2000</v>
      </c>
      <c r="O70" s="22">
        <f t="shared" si="17"/>
        <v>0</v>
      </c>
      <c r="P70" s="22"/>
      <c r="Q70" s="22"/>
      <c r="R70" s="22">
        <f>SUM(R3:R69)</f>
        <v>403059.9662000002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G32" sqref="G32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>
        <v>4551</v>
      </c>
      <c r="D2" s="29" t="s">
        <v>381</v>
      </c>
      <c r="E2" s="26"/>
      <c r="F2" s="29"/>
      <c r="G2" s="26"/>
      <c r="H2" s="37"/>
      <c r="I2" s="26"/>
      <c r="J2" s="26"/>
      <c r="K2" s="26">
        <f t="shared" ref="K2:K33" si="0">SUM(C2,E2,G2,I2)</f>
        <v>4551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>
        <v>6000</v>
      </c>
      <c r="D4" s="29" t="s">
        <v>382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>
        <v>2914</v>
      </c>
      <c r="D5" s="32" t="s">
        <v>383</v>
      </c>
      <c r="E5" s="25"/>
      <c r="F5" s="32"/>
      <c r="G5" s="25"/>
      <c r="H5" s="38"/>
      <c r="I5" s="25"/>
      <c r="J5" s="25"/>
      <c r="K5" s="20">
        <f t="shared" si="0"/>
        <v>2914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>
        <v>5923</v>
      </c>
      <c r="D6" s="29" t="s">
        <v>384</v>
      </c>
      <c r="E6" s="26"/>
      <c r="F6" s="29"/>
      <c r="G6" s="26"/>
      <c r="H6" s="37"/>
      <c r="I6" s="26"/>
      <c r="J6" s="26"/>
      <c r="K6" s="26">
        <f t="shared" si="0"/>
        <v>5923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>
        <v>6228.92</v>
      </c>
      <c r="D7" s="32" t="s">
        <v>382</v>
      </c>
      <c r="E7" s="25"/>
      <c r="F7" s="32"/>
      <c r="G7" s="25"/>
      <c r="H7" s="38"/>
      <c r="I7" s="25"/>
      <c r="J7" s="25"/>
      <c r="K7" s="25">
        <f t="shared" si="0"/>
        <v>6228.92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>
        <v>6270</v>
      </c>
      <c r="D8" s="29" t="s">
        <v>385</v>
      </c>
      <c r="E8" s="26"/>
      <c r="F8" s="29"/>
      <c r="G8" s="26"/>
      <c r="H8" s="37"/>
      <c r="I8" s="26"/>
      <c r="J8" s="26"/>
      <c r="K8" s="26">
        <f t="shared" si="0"/>
        <v>6270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>
        <v>5787</v>
      </c>
      <c r="D9" s="32" t="s">
        <v>386</v>
      </c>
      <c r="E9" s="25"/>
      <c r="F9" s="32"/>
      <c r="G9" s="25"/>
      <c r="H9" s="38"/>
      <c r="I9" s="25"/>
      <c r="J9" s="25"/>
      <c r="K9" s="20">
        <f t="shared" si="0"/>
        <v>5787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>
        <v>4462</v>
      </c>
      <c r="D10" s="29" t="s">
        <v>387</v>
      </c>
      <c r="E10" s="26"/>
      <c r="F10" s="29"/>
      <c r="G10" s="26"/>
      <c r="H10" s="37"/>
      <c r="I10" s="26"/>
      <c r="J10" s="26"/>
      <c r="K10" s="22">
        <f t="shared" si="0"/>
        <v>4462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>
        <v>14645</v>
      </c>
      <c r="D12" s="29" t="s">
        <v>383</v>
      </c>
      <c r="E12" s="26"/>
      <c r="F12" s="29"/>
      <c r="G12" s="26"/>
      <c r="H12" s="37"/>
      <c r="I12" s="26"/>
      <c r="J12" s="26"/>
      <c r="K12" s="22">
        <f t="shared" si="0"/>
        <v>14645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>
        <v>4404.6499999999996</v>
      </c>
      <c r="D13" s="32" t="s">
        <v>384</v>
      </c>
      <c r="E13" s="25"/>
      <c r="F13" s="32"/>
      <c r="G13" s="25"/>
      <c r="H13" s="38"/>
      <c r="I13" s="25"/>
      <c r="J13" s="25"/>
      <c r="K13" s="20">
        <f t="shared" si="0"/>
        <v>4404.6499999999996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>
        <v>6863.52</v>
      </c>
      <c r="D14" s="29" t="s">
        <v>387</v>
      </c>
      <c r="E14" s="26"/>
      <c r="F14" s="29"/>
      <c r="G14" s="26"/>
      <c r="H14" s="37"/>
      <c r="I14" s="26"/>
      <c r="J14" s="26"/>
      <c r="K14" s="26">
        <f t="shared" si="0"/>
        <v>6863.52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>
        <v>1</v>
      </c>
      <c r="D15" s="32" t="s">
        <v>388</v>
      </c>
      <c r="E15" s="25">
        <v>5836</v>
      </c>
      <c r="F15" s="32" t="s">
        <v>388</v>
      </c>
      <c r="G15" s="25"/>
      <c r="H15" s="38"/>
      <c r="I15" s="25"/>
      <c r="J15" s="25"/>
      <c r="K15" s="20">
        <f t="shared" si="0"/>
        <v>5837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>
        <v>6793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6793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>
        <v>6908.3</v>
      </c>
      <c r="D17" s="32" t="s">
        <v>384</v>
      </c>
      <c r="E17" s="25"/>
      <c r="F17" s="32"/>
      <c r="G17" s="25"/>
      <c r="H17" s="38"/>
      <c r="I17" s="25"/>
      <c r="J17" s="25"/>
      <c r="K17" s="25">
        <f t="shared" si="0"/>
        <v>6908.3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>
        <v>6000</v>
      </c>
      <c r="D18" s="29" t="s">
        <v>389</v>
      </c>
      <c r="E18" s="22"/>
      <c r="F18" s="29"/>
      <c r="G18" s="26"/>
      <c r="H18" s="37"/>
      <c r="I18" s="26"/>
      <c r="J18" s="26"/>
      <c r="K18" s="22">
        <f t="shared" si="0"/>
        <v>6000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>
        <v>7285.55</v>
      </c>
      <c r="D19" s="32" t="s">
        <v>384</v>
      </c>
      <c r="E19" s="25"/>
      <c r="F19" s="32"/>
      <c r="G19" s="25"/>
      <c r="H19" s="38"/>
      <c r="I19" s="25"/>
      <c r="J19" s="25"/>
      <c r="K19" s="20">
        <f t="shared" si="0"/>
        <v>7285.55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>
        <v>6798</v>
      </c>
      <c r="D20" s="29" t="s">
        <v>390</v>
      </c>
      <c r="E20" s="26"/>
      <c r="F20" s="29"/>
      <c r="G20" s="26"/>
      <c r="H20" s="37"/>
      <c r="I20" s="26"/>
      <c r="J20" s="26"/>
      <c r="K20" s="22">
        <f t="shared" si="0"/>
        <v>6798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>
        <v>7600</v>
      </c>
      <c r="D21" s="32" t="s">
        <v>391</v>
      </c>
      <c r="E21" s="25"/>
      <c r="F21" s="32"/>
      <c r="G21" s="25"/>
      <c r="H21" s="38"/>
      <c r="I21" s="25"/>
      <c r="J21" s="25"/>
      <c r="K21" s="20">
        <f t="shared" si="0"/>
        <v>7600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>
        <v>5894</v>
      </c>
      <c r="D24" s="29" t="s">
        <v>392</v>
      </c>
      <c r="E24" s="26"/>
      <c r="F24" s="29"/>
      <c r="G24" s="26"/>
      <c r="H24" s="37"/>
      <c r="I24" s="26"/>
      <c r="J24" s="26"/>
      <c r="K24" s="22">
        <f t="shared" si="0"/>
        <v>5894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>
        <v>6024</v>
      </c>
      <c r="D25" s="32" t="s">
        <v>381</v>
      </c>
      <c r="E25" s="25"/>
      <c r="F25" s="32"/>
      <c r="G25" s="25"/>
      <c r="H25" s="38"/>
      <c r="I25" s="25"/>
      <c r="J25" s="25"/>
      <c r="K25" s="25">
        <f t="shared" si="0"/>
        <v>6024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>
        <v>7102</v>
      </c>
      <c r="D26" s="29" t="s">
        <v>390</v>
      </c>
      <c r="E26" s="26"/>
      <c r="F26" s="29"/>
      <c r="G26" s="26"/>
      <c r="H26" s="37"/>
      <c r="I26" s="26"/>
      <c r="J26" s="26"/>
      <c r="K26" s="22">
        <f t="shared" si="0"/>
        <v>7102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>
        <v>5653</v>
      </c>
      <c r="D28" s="29" t="s">
        <v>384</v>
      </c>
      <c r="E28" s="26"/>
      <c r="F28" s="29"/>
      <c r="G28" s="26"/>
      <c r="H28" s="37"/>
      <c r="I28" s="26"/>
      <c r="J28" s="26"/>
      <c r="K28" s="22">
        <f t="shared" si="0"/>
        <v>5653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>
        <v>6670</v>
      </c>
      <c r="D29" s="32" t="s">
        <v>393</v>
      </c>
      <c r="E29" s="25"/>
      <c r="F29" s="32"/>
      <c r="G29" s="25"/>
      <c r="H29" s="38"/>
      <c r="I29" s="25"/>
      <c r="J29" s="25"/>
      <c r="K29" s="20">
        <f t="shared" si="0"/>
        <v>6670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49">
        <v>17709.62</v>
      </c>
      <c r="D30" s="29" t="s">
        <v>391</v>
      </c>
      <c r="E30" s="26"/>
      <c r="F30" s="29"/>
      <c r="G30" s="26"/>
      <c r="H30" s="37"/>
      <c r="I30" s="26"/>
      <c r="J30" s="26"/>
      <c r="K30" s="49">
        <f t="shared" si="0"/>
        <v>17709.62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>
        <v>6718.15</v>
      </c>
      <c r="D31" s="32" t="s">
        <v>384</v>
      </c>
      <c r="E31" s="25"/>
      <c r="F31" s="32"/>
      <c r="G31" s="25"/>
      <c r="H31" s="38"/>
      <c r="I31" s="25"/>
      <c r="J31" s="25"/>
      <c r="K31" s="25">
        <f t="shared" si="0"/>
        <v>6718.15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>
        <v>55000</v>
      </c>
      <c r="D32" s="29" t="s">
        <v>393</v>
      </c>
      <c r="E32" s="26"/>
      <c r="F32" s="29"/>
      <c r="G32" s="26"/>
      <c r="H32" s="37"/>
      <c r="I32" s="26"/>
      <c r="J32" s="26"/>
      <c r="K32" s="22">
        <f t="shared" si="0"/>
        <v>55000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>
        <v>5860.86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5860.86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>
        <v>5639.18</v>
      </c>
      <c r="D34" s="29" t="s">
        <v>385</v>
      </c>
      <c r="E34" s="26"/>
      <c r="F34" s="29"/>
      <c r="G34" s="26"/>
      <c r="H34" s="37"/>
      <c r="I34" s="26"/>
      <c r="J34" s="26"/>
      <c r="K34" s="22">
        <f t="shared" ref="K34:K65" si="1">SUM(C34,E34,G34,I34)</f>
        <v>5639.18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>
        <v>7000</v>
      </c>
      <c r="D36" s="29" t="s">
        <v>394</v>
      </c>
      <c r="E36" s="26"/>
      <c r="F36" s="29"/>
      <c r="G36" s="26"/>
      <c r="H36" s="37"/>
      <c r="I36" s="26"/>
      <c r="J36" s="26"/>
      <c r="K36" s="26">
        <f t="shared" si="1"/>
        <v>7000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>
        <v>5023</v>
      </c>
      <c r="D37" s="32" t="s">
        <v>382</v>
      </c>
      <c r="E37" s="25"/>
      <c r="F37" s="32"/>
      <c r="G37" s="25"/>
      <c r="H37" s="38"/>
      <c r="I37" s="25"/>
      <c r="J37" s="25"/>
      <c r="K37" s="20">
        <f t="shared" si="1"/>
        <v>5023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>
        <v>6239.64</v>
      </c>
      <c r="D38" s="29" t="s">
        <v>381</v>
      </c>
      <c r="E38" s="26"/>
      <c r="F38" s="29"/>
      <c r="G38" s="26"/>
      <c r="H38" s="37"/>
      <c r="I38" s="26"/>
      <c r="J38" s="26"/>
      <c r="K38" s="26">
        <f t="shared" si="1"/>
        <v>6239.64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>
        <v>5666</v>
      </c>
      <c r="D39" s="32" t="s">
        <v>391</v>
      </c>
      <c r="E39" s="25"/>
      <c r="F39" s="32"/>
      <c r="G39" s="25"/>
      <c r="H39" s="38"/>
      <c r="I39" s="25"/>
      <c r="J39" s="25"/>
      <c r="K39" s="25">
        <f t="shared" si="1"/>
        <v>5666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>
        <v>5918</v>
      </c>
      <c r="D40" s="29" t="s">
        <v>395</v>
      </c>
      <c r="E40" s="26"/>
      <c r="F40" s="29"/>
      <c r="G40" s="26"/>
      <c r="H40" s="37"/>
      <c r="I40" s="26"/>
      <c r="J40" s="26"/>
      <c r="K40" s="22">
        <f t="shared" si="1"/>
        <v>5918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>
        <v>6398.7</v>
      </c>
      <c r="D41" s="32" t="s">
        <v>382</v>
      </c>
      <c r="E41" s="25"/>
      <c r="F41" s="32"/>
      <c r="G41" s="25"/>
      <c r="H41" s="38"/>
      <c r="I41" s="25"/>
      <c r="J41" s="25"/>
      <c r="K41" s="20">
        <f t="shared" si="1"/>
        <v>6398.7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>
        <v>5000</v>
      </c>
      <c r="D42" s="29" t="s">
        <v>381</v>
      </c>
      <c r="E42" s="26"/>
      <c r="F42" s="29"/>
      <c r="G42" s="26"/>
      <c r="H42" s="37"/>
      <c r="I42" s="26"/>
      <c r="J42" s="26"/>
      <c r="K42" s="22">
        <f t="shared" si="1"/>
        <v>5000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>
        <v>5991.96</v>
      </c>
      <c r="D45" s="32" t="s">
        <v>394</v>
      </c>
      <c r="E45" s="25"/>
      <c r="F45" s="32"/>
      <c r="G45" s="25"/>
      <c r="H45" s="38"/>
      <c r="I45" s="25"/>
      <c r="J45" s="25"/>
      <c r="K45" s="20">
        <f t="shared" si="1"/>
        <v>5991.96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>
        <v>6641.62</v>
      </c>
      <c r="D46" s="29" t="s">
        <v>387</v>
      </c>
      <c r="E46" s="26"/>
      <c r="F46" s="29"/>
      <c r="G46" s="26"/>
      <c r="H46" s="37"/>
      <c r="I46" s="26"/>
      <c r="J46" s="26"/>
      <c r="K46" s="26">
        <f t="shared" si="1"/>
        <v>6641.62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>
        <v>7177</v>
      </c>
      <c r="D48" s="29" t="s">
        <v>383</v>
      </c>
      <c r="E48" s="26"/>
      <c r="F48" s="29"/>
      <c r="G48" s="26"/>
      <c r="H48" s="37"/>
      <c r="I48" s="26"/>
      <c r="J48" s="26"/>
      <c r="K48" s="22">
        <f t="shared" si="1"/>
        <v>7177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>
        <v>4976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4976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>
        <v>7000</v>
      </c>
      <c r="D50" s="30" t="s">
        <v>387</v>
      </c>
      <c r="E50" s="26"/>
      <c r="F50" s="29"/>
      <c r="G50" s="26"/>
      <c r="H50" s="37"/>
      <c r="I50" s="26"/>
      <c r="J50" s="26"/>
      <c r="K50" s="26">
        <f t="shared" si="1"/>
        <v>7000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>
        <v>6354</v>
      </c>
      <c r="D52" s="29" t="s">
        <v>381</v>
      </c>
      <c r="E52" s="26"/>
      <c r="F52" s="29"/>
      <c r="G52" s="26"/>
      <c r="H52" s="37"/>
      <c r="I52" s="26"/>
      <c r="J52" s="26"/>
      <c r="K52" s="22">
        <f t="shared" si="1"/>
        <v>6354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>
        <v>5662.63</v>
      </c>
      <c r="D53" s="32" t="s">
        <v>387</v>
      </c>
      <c r="E53" s="25"/>
      <c r="F53" s="32"/>
      <c r="G53" s="25"/>
      <c r="H53" s="38"/>
      <c r="I53" s="25"/>
      <c r="J53" s="25"/>
      <c r="K53" s="20">
        <f t="shared" si="1"/>
        <v>5662.63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>
        <v>5897</v>
      </c>
      <c r="D54" s="29" t="s">
        <v>390</v>
      </c>
      <c r="E54" s="26"/>
      <c r="F54" s="29"/>
      <c r="G54" s="26"/>
      <c r="H54" s="37"/>
      <c r="I54" s="26"/>
      <c r="J54" s="26"/>
      <c r="K54" s="26">
        <f t="shared" si="1"/>
        <v>5897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>
        <v>13417.72</v>
      </c>
      <c r="D55" s="32" t="s">
        <v>383</v>
      </c>
      <c r="E55" s="25"/>
      <c r="F55" s="32"/>
      <c r="G55" s="25"/>
      <c r="H55" s="38"/>
      <c r="I55" s="25"/>
      <c r="J55" s="25"/>
      <c r="K55" s="20">
        <f t="shared" si="1"/>
        <v>13417.72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>
        <v>25000</v>
      </c>
      <c r="D56" s="29" t="s">
        <v>396</v>
      </c>
      <c r="E56" s="26"/>
      <c r="F56" s="29"/>
      <c r="G56" s="26"/>
      <c r="H56" s="37"/>
      <c r="I56" s="26"/>
      <c r="J56" s="26"/>
      <c r="K56" s="26">
        <f t="shared" si="1"/>
        <v>25000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>
        <v>6100</v>
      </c>
      <c r="D57" s="32" t="s">
        <v>381</v>
      </c>
      <c r="E57" s="25"/>
      <c r="F57" s="32"/>
      <c r="G57" s="25"/>
      <c r="H57" s="38"/>
      <c r="I57" s="25"/>
      <c r="J57" s="25"/>
      <c r="K57" s="20">
        <f t="shared" si="1"/>
        <v>6100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>
        <v>5707.34</v>
      </c>
      <c r="D58" s="29" t="s">
        <v>383</v>
      </c>
      <c r="E58" s="26"/>
      <c r="F58" s="29"/>
      <c r="G58" s="26"/>
      <c r="H58" s="37"/>
      <c r="I58" s="26"/>
      <c r="J58" s="26"/>
      <c r="K58" s="26">
        <f t="shared" si="1"/>
        <v>5707.34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>
        <v>6529</v>
      </c>
      <c r="D59" s="32" t="s">
        <v>384</v>
      </c>
      <c r="E59" s="25"/>
      <c r="F59" s="32"/>
      <c r="G59" s="25"/>
      <c r="H59" s="38"/>
      <c r="I59" s="25"/>
      <c r="J59" s="25"/>
      <c r="K59" s="20">
        <f t="shared" si="1"/>
        <v>6529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>
        <v>11838</v>
      </c>
      <c r="D60" s="29" t="s">
        <v>383</v>
      </c>
      <c r="E60" s="26"/>
      <c r="F60" s="29"/>
      <c r="G60" s="26"/>
      <c r="H60" s="37"/>
      <c r="I60" s="26"/>
      <c r="J60" s="26"/>
      <c r="K60" s="22">
        <f t="shared" si="1"/>
        <v>11838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>
        <v>5781.21</v>
      </c>
      <c r="D61" s="32" t="s">
        <v>384</v>
      </c>
      <c r="E61" s="25"/>
      <c r="F61" s="32"/>
      <c r="G61" s="25"/>
      <c r="H61" s="38"/>
      <c r="I61" s="25"/>
      <c r="J61" s="25"/>
      <c r="K61" s="20">
        <f t="shared" si="1"/>
        <v>5781.21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>
        <v>6483</v>
      </c>
      <c r="D63" s="32" t="s">
        <v>397</v>
      </c>
      <c r="E63" s="25">
        <v>6310</v>
      </c>
      <c r="F63" s="32" t="s">
        <v>381</v>
      </c>
      <c r="G63" s="25"/>
      <c r="H63" s="38"/>
      <c r="I63" s="25"/>
      <c r="J63" s="25"/>
      <c r="K63" s="20">
        <f t="shared" si="1"/>
        <v>12793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>
        <v>6354</v>
      </c>
      <c r="D64" s="29" t="s">
        <v>398</v>
      </c>
      <c r="E64" s="26"/>
      <c r="F64" s="29"/>
      <c r="G64" s="26"/>
      <c r="H64" s="37"/>
      <c r="I64" s="26"/>
      <c r="J64" s="26"/>
      <c r="K64" s="22">
        <f t="shared" si="1"/>
        <v>6354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>
        <v>8641</v>
      </c>
      <c r="D65" s="32" t="s">
        <v>399</v>
      </c>
      <c r="E65" s="25"/>
      <c r="F65" s="32"/>
      <c r="G65" s="25"/>
      <c r="H65" s="38"/>
      <c r="I65" s="25"/>
      <c r="J65" s="25"/>
      <c r="K65" s="25">
        <f t="shared" si="1"/>
        <v>8641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430648.57000000007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U70"/>
  <sheetViews>
    <sheetView topLeftCell="C1" workbookViewId="0">
      <pane ySplit="2" topLeftCell="A23" activePane="bottomLeft" state="frozen"/>
      <selection pane="bottomLeft" activeCell="N24" sqref="N2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1" ht="16.5" customHeight="1" x14ac:dyDescent="0.25">
      <c r="A1" s="48"/>
      <c r="B1" s="95" t="s">
        <v>400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401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'ANNUAL-EXPENSE-DETAILS'!W9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'ANNUAL-EXPENSE-DETAILS'!V9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'ANNUAL-EXPENSE-DETAILS'!W9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402</v>
      </c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247</v>
      </c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248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249</v>
      </c>
      <c r="T16" s="22">
        <f>T14-T15</f>
        <v>0</v>
      </c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251</v>
      </c>
      <c r="T17" s="20">
        <f>T13-T16</f>
        <v>0</v>
      </c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252</v>
      </c>
      <c r="T18" s="22">
        <f>'ANNUAL-EXPENSE-DETAILS'!Y9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500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500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27" sqref="A2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1" ht="16.5" customHeight="1" x14ac:dyDescent="0.25">
      <c r="A1" s="48"/>
      <c r="B1" s="95" t="s">
        <v>403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'ANNUAL-EXPENSE-DETAILS'!W10</f>
        <v>0</v>
      </c>
    </row>
    <row r="5" spans="1:21" ht="12.75" customHeight="1" x14ac:dyDescent="0.25">
      <c r="A5" s="19" t="s">
        <v>241</v>
      </c>
      <c r="B5" s="19" t="s">
        <v>238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'ANNUAL-EXPENSE-DETAILS'!V10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'ANNUAL-EXPENSE-DETAILS'!W10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405</v>
      </c>
      <c r="T14" s="22">
        <f>CEILING( I70,1)</f>
        <v>27585</v>
      </c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406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247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248</v>
      </c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249</v>
      </c>
      <c r="T19" s="20">
        <f>T17-T18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251</v>
      </c>
      <c r="T20" s="22">
        <f>T16-T19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252</v>
      </c>
      <c r="T21" s="20">
        <f>'ANNUAL-EXPENSE-DETAILS'!Y10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1" ht="16.5" customHeight="1" x14ac:dyDescent="0.25">
      <c r="A1" s="48"/>
      <c r="B1" s="95" t="s">
        <v>407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'ANNUAL-EXPENSE-DETAILS'!W11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'ANNUAL-EXPENSE-DETAILS'!V11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'ANNUAL-EXPENSE-DETAILS'!W11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409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'ANNUAL-EXPENSE-DETAILS'!Y11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U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1" ht="16.5" customHeight="1" x14ac:dyDescent="0.25">
      <c r="A1" s="48"/>
      <c r="B1" s="95" t="s">
        <v>410</v>
      </c>
      <c r="C1" s="96"/>
      <c r="D1" s="96"/>
      <c r="E1" s="96"/>
      <c r="F1" s="96"/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'ANNUAL-EXPENSE-DETAILS'!W12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'ANNUAL-EXPENSE-DETAILS'!V12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'ANNUAL-EXPENSE-DETAILS'!W12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I70</f>
        <v>27584.966200000028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'ANNUAL-EXPENSE-DETAILS'!Y12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U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1" ht="16.5" customHeight="1" x14ac:dyDescent="0.25">
      <c r="A1" s="50"/>
      <c r="B1" s="98" t="s">
        <v>412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234</v>
      </c>
      <c r="Q2" s="18"/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'ANNUAL-EXPENSE-DETAILS'!W13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'ANNUAL-EXPENSE-DETAILS'!V13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240</v>
      </c>
      <c r="T11" s="20">
        <f>'ANNUAL-EXPENSE-DETAILS'!W13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247</v>
      </c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248</v>
      </c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249</v>
      </c>
      <c r="T18" s="22">
        <f>T16-T17</f>
        <v>0</v>
      </c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251</v>
      </c>
      <c r="T19" s="20">
        <f>T15-T18</f>
        <v>0</v>
      </c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252</v>
      </c>
      <c r="T20" s="22">
        <f>'ANNUAL-EXPENSE-DETAILS'!Y13</f>
        <v>0</v>
      </c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253</v>
      </c>
      <c r="T21" s="20">
        <f>T19-T20</f>
        <v>0</v>
      </c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U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1" ht="16.5" customHeight="1" x14ac:dyDescent="0.25">
      <c r="A1" s="51"/>
      <c r="B1" s="100" t="s">
        <v>414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</row>
    <row r="2" spans="1:21" ht="58.5" customHeight="1" x14ac:dyDescent="0.25">
      <c r="A2" s="18" t="s">
        <v>218</v>
      </c>
      <c r="B2" s="18">
        <v>0</v>
      </c>
      <c r="C2" s="18" t="s">
        <v>219</v>
      </c>
      <c r="D2" s="18" t="s">
        <v>278</v>
      </c>
      <c r="E2" s="18" t="s">
        <v>279</v>
      </c>
      <c r="F2" s="18" t="s">
        <v>280</v>
      </c>
      <c r="G2" s="18" t="s">
        <v>223</v>
      </c>
      <c r="H2" s="18" t="s">
        <v>224</v>
      </c>
      <c r="I2" s="18" t="s">
        <v>281</v>
      </c>
      <c r="J2" s="18" t="s">
        <v>359</v>
      </c>
      <c r="K2" s="18" t="s">
        <v>283</v>
      </c>
      <c r="L2" s="18" t="s">
        <v>284</v>
      </c>
      <c r="M2" s="18" t="s">
        <v>314</v>
      </c>
      <c r="N2" s="18" t="s">
        <v>286</v>
      </c>
      <c r="O2" s="18" t="s">
        <v>287</v>
      </c>
      <c r="P2" s="18" t="s">
        <v>404</v>
      </c>
      <c r="Q2" s="18" t="s">
        <v>234</v>
      </c>
      <c r="R2" s="18" t="s">
        <v>289</v>
      </c>
      <c r="S2" s="18"/>
      <c r="T2" s="18"/>
      <c r="U2" t="s">
        <v>236</v>
      </c>
    </row>
    <row r="3" spans="1:21" ht="12.75" customHeight="1" x14ac:dyDescent="0.25">
      <c r="A3" s="19" t="s">
        <v>237</v>
      </c>
      <c r="B3" s="19" t="s">
        <v>238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1" ht="12.75" customHeight="1" x14ac:dyDescent="0.25">
      <c r="A4" s="21" t="s">
        <v>239</v>
      </c>
      <c r="B4" s="21" t="s">
        <v>238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240</v>
      </c>
      <c r="T4" s="22">
        <f>'ANNUAL-EXPENSE-DETAILS'!W14</f>
        <v>0</v>
      </c>
    </row>
    <row r="5" spans="1:21" ht="12.75" customHeight="1" x14ac:dyDescent="0.25">
      <c r="A5" s="19" t="s">
        <v>241</v>
      </c>
      <c r="B5" s="19" t="s">
        <v>238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242</v>
      </c>
      <c r="T5" s="20">
        <f>'ANNUAL-EXPENSE-DETAILS'!V14</f>
        <v>0</v>
      </c>
    </row>
    <row r="6" spans="1:21" ht="12.75" customHeight="1" x14ac:dyDescent="0.25">
      <c r="A6" s="21" t="s">
        <v>7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1" ht="12.75" customHeight="1" x14ac:dyDescent="0.25">
      <c r="A7" s="19" t="s">
        <v>10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290</v>
      </c>
      <c r="T7" s="80">
        <f>(104.83+0.18*104.83)</f>
        <v>123.6994</v>
      </c>
    </row>
    <row r="8" spans="1:21" ht="12.75" customHeight="1" x14ac:dyDescent="0.25">
      <c r="A8" s="21" t="s">
        <v>13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291</v>
      </c>
      <c r="T8" s="22">
        <f>$T$7*3</f>
        <v>371.09820000000002</v>
      </c>
    </row>
    <row r="9" spans="1:21" ht="12.75" customHeight="1" x14ac:dyDescent="0.25">
      <c r="A9" s="19" t="s">
        <v>17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292</v>
      </c>
      <c r="T9" s="20">
        <f>T8/64</f>
        <v>5.7984093750000003</v>
      </c>
    </row>
    <row r="10" spans="1:21" ht="12.75" customHeight="1" x14ac:dyDescent="0.25">
      <c r="A10" s="21" t="s">
        <v>20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1" ht="12.75" customHeight="1" x14ac:dyDescent="0.25">
      <c r="A11" s="19" t="s">
        <v>22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240</v>
      </c>
      <c r="T11" s="20">
        <f>'ANNUAL-EXPENSE-DETAILS'!W14</f>
        <v>0</v>
      </c>
    </row>
    <row r="12" spans="1:21" ht="12.75" customHeight="1" x14ac:dyDescent="0.25">
      <c r="A12" s="21" t="s">
        <v>25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1" ht="12.75" customHeight="1" x14ac:dyDescent="0.25">
      <c r="A13" s="19" t="s">
        <v>28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408</v>
      </c>
      <c r="T13" s="20">
        <f>T8+I70</f>
        <v>27956.064400000028</v>
      </c>
    </row>
    <row r="14" spans="1:21" ht="12.75" customHeight="1" x14ac:dyDescent="0.25">
      <c r="A14" s="21" t="s">
        <v>31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1" ht="12.75" customHeight="1" x14ac:dyDescent="0.25">
      <c r="A15" s="19" t="s">
        <v>35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1" ht="12.75" customHeight="1" x14ac:dyDescent="0.25">
      <c r="A16" s="21" t="s">
        <v>39</v>
      </c>
      <c r="B16" s="21" t="str">
        <f>VLOOKUP(A16,Members!$A$2:$B$65,2,FALSE)</f>
        <v>Geetha N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41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45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47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51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55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58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62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64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67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70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72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75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79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82</v>
      </c>
      <c r="B30" s="21" t="str">
        <f>VLOOKUP(A30,Members!$A$2:$B$65,2,FALSE)</f>
        <v>Ankur Agarwal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85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89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93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97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100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104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107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111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115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118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120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123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127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130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134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137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141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143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146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149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151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155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158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162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166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170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174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177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181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185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188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192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195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198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202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205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207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211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214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254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218</v>
      </c>
      <c r="B1" s="18"/>
      <c r="C1" s="18" t="s">
        <v>255</v>
      </c>
      <c r="D1" s="45" t="s">
        <v>256</v>
      </c>
      <c r="E1" s="18" t="s">
        <v>255</v>
      </c>
      <c r="F1" s="45" t="s">
        <v>256</v>
      </c>
      <c r="G1" s="18" t="s">
        <v>255</v>
      </c>
      <c r="H1" s="36" t="s">
        <v>256</v>
      </c>
      <c r="I1" s="18" t="s">
        <v>255</v>
      </c>
      <c r="J1" s="14" t="s">
        <v>256</v>
      </c>
      <c r="K1" s="14" t="s">
        <v>257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7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10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13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17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20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22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25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28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31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35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39</v>
      </c>
      <c r="B12" s="21" t="str">
        <f>VLOOKUP(A12,Members!$A$2:$B$65,2,FALSE)</f>
        <v>Geetha N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41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45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47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51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55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58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62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64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67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70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72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75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79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82</v>
      </c>
      <c r="B26" s="21" t="str">
        <f>VLOOKUP(A26,Members!$A$2:$B$65,2,FALSE)</f>
        <v>Ankur Agarwal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85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89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93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97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100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104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107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111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115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118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120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123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127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130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134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137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141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143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146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149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151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155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158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162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166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170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174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177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181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185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188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192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195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198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202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205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207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211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214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254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Y1001"/>
  <sheetViews>
    <sheetView zoomScaleNormal="100" workbookViewId="0">
      <pane xSplit="1" ySplit="2" topLeftCell="F3" activePane="bottomRight" state="frozen"/>
      <selection pane="topRight"/>
      <selection pane="bottomLeft" activeCell="A3" sqref="A3"/>
      <selection pane="bottomRight" activeCell="V8" sqref="V8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8" width="13.7109375" style="67" customWidth="1"/>
    <col min="19" max="19" width="13.7109375" style="87" customWidth="1"/>
    <col min="20" max="20" width="13.7109375" style="67" customWidth="1"/>
    <col min="21" max="23" width="11.42578125" style="67" customWidth="1"/>
    <col min="24" max="25" width="11.42578125" style="83" customWidth="1"/>
    <col min="26" max="62" width="14.42578125" style="67" customWidth="1"/>
    <col min="63" max="16384" width="14.42578125" style="67"/>
  </cols>
  <sheetData>
    <row r="1" spans="1:25" ht="32.25" customHeight="1" x14ac:dyDescent="0.25">
      <c r="A1" s="108" t="s">
        <v>415</v>
      </c>
      <c r="B1" s="105" t="s">
        <v>416</v>
      </c>
      <c r="C1" s="107"/>
      <c r="D1" s="105" t="s">
        <v>417</v>
      </c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7"/>
      <c r="U1" s="102" t="s">
        <v>418</v>
      </c>
      <c r="V1" s="102" t="s">
        <v>419</v>
      </c>
      <c r="W1" s="102" t="s">
        <v>420</v>
      </c>
      <c r="X1" s="104" t="s">
        <v>421</v>
      </c>
      <c r="Y1" s="104" t="s">
        <v>422</v>
      </c>
    </row>
    <row r="2" spans="1:25" ht="38.25" customHeight="1" thickBot="1" x14ac:dyDescent="0.3">
      <c r="A2" s="103"/>
      <c r="B2" s="57" t="s">
        <v>423</v>
      </c>
      <c r="C2" s="57" t="s">
        <v>424</v>
      </c>
      <c r="D2" s="57" t="s">
        <v>425</v>
      </c>
      <c r="E2" s="57" t="s">
        <v>426</v>
      </c>
      <c r="F2" s="57" t="s">
        <v>427</v>
      </c>
      <c r="G2" s="57" t="s">
        <v>428</v>
      </c>
      <c r="H2" s="57" t="s">
        <v>429</v>
      </c>
      <c r="I2" s="57" t="s">
        <v>430</v>
      </c>
      <c r="J2" s="57" t="s">
        <v>431</v>
      </c>
      <c r="K2" s="57" t="s">
        <v>432</v>
      </c>
      <c r="L2" s="57" t="s">
        <v>433</v>
      </c>
      <c r="M2" s="57" t="s">
        <v>434</v>
      </c>
      <c r="N2" s="57" t="s">
        <v>435</v>
      </c>
      <c r="O2" s="57" t="s">
        <v>436</v>
      </c>
      <c r="P2" s="57" t="s">
        <v>437</v>
      </c>
      <c r="Q2" s="57" t="s">
        <v>438</v>
      </c>
      <c r="R2" s="57" t="s">
        <v>439</v>
      </c>
      <c r="S2" s="57" t="s">
        <v>440</v>
      </c>
      <c r="T2" s="57" t="s">
        <v>441</v>
      </c>
      <c r="U2" s="103"/>
      <c r="V2" s="103"/>
      <c r="W2" s="103"/>
      <c r="X2" s="103"/>
      <c r="Y2" s="103"/>
    </row>
    <row r="3" spans="1:25" ht="30" customHeight="1" x14ac:dyDescent="0.25">
      <c r="A3" s="60" t="s">
        <v>442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v>0</v>
      </c>
      <c r="U3" s="61">
        <f t="shared" ref="U3:U15" si="0">SUM(B3:T3)</f>
        <v>318562</v>
      </c>
      <c r="V3" s="61">
        <f t="shared" ref="V3:V14" si="1">SUM(B3:C3)</f>
        <v>48800</v>
      </c>
      <c r="W3" s="61">
        <f t="shared" ref="W3:W14" si="2">U3-V3</f>
        <v>269762</v>
      </c>
      <c r="X3" s="79">
        <f>'Apr2026-EXPENSE'!I70</f>
        <v>26271.897600000015</v>
      </c>
      <c r="Y3" s="79">
        <f t="shared" ref="Y3:Y14" si="3">U3+X3</f>
        <v>344833.89760000003</v>
      </c>
    </row>
    <row r="4" spans="1:25" ht="30" customHeight="1" x14ac:dyDescent="0.25">
      <c r="A4" s="62" t="s">
        <v>443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0</v>
      </c>
      <c r="T4" s="63">
        <v>4512</v>
      </c>
      <c r="U4" s="63">
        <f t="shared" si="0"/>
        <v>323108</v>
      </c>
      <c r="V4" s="63">
        <f t="shared" si="1"/>
        <v>42100</v>
      </c>
      <c r="W4" s="63">
        <f t="shared" si="2"/>
        <v>281008</v>
      </c>
      <c r="X4" s="79">
        <f>'May2026-EXPENSE'!I70</f>
        <v>27584.966200000028</v>
      </c>
      <c r="Y4" s="84">
        <f t="shared" si="3"/>
        <v>350692.96620000002</v>
      </c>
    </row>
    <row r="5" spans="1:25" ht="30" customHeight="1" x14ac:dyDescent="0.25">
      <c r="A5" s="60" t="s">
        <v>444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v>0</v>
      </c>
      <c r="U5" s="61">
        <f t="shared" si="0"/>
        <v>374221</v>
      </c>
      <c r="V5" s="61">
        <f t="shared" si="1"/>
        <v>51350</v>
      </c>
      <c r="W5" s="61">
        <f t="shared" si="2"/>
        <v>322871</v>
      </c>
      <c r="X5" s="79">
        <v>27585</v>
      </c>
      <c r="Y5" s="79">
        <f t="shared" si="3"/>
        <v>401806</v>
      </c>
    </row>
    <row r="6" spans="1:25" ht="30" customHeight="1" x14ac:dyDescent="0.25">
      <c r="A6" s="62" t="s">
        <v>445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0</v>
      </c>
      <c r="T6" s="63">
        <v>6183</v>
      </c>
      <c r="U6" s="63">
        <f t="shared" si="0"/>
        <v>366340</v>
      </c>
      <c r="V6" s="63">
        <f t="shared" si="1"/>
        <v>40900</v>
      </c>
      <c r="W6" s="63">
        <f t="shared" si="2"/>
        <v>325440</v>
      </c>
      <c r="X6" s="79">
        <v>27585</v>
      </c>
      <c r="Y6" s="84">
        <f t="shared" si="3"/>
        <v>393925</v>
      </c>
    </row>
    <row r="7" spans="1:25" ht="30" customHeight="1" x14ac:dyDescent="0.25">
      <c r="A7" s="60" t="s">
        <v>446</v>
      </c>
      <c r="B7" s="61">
        <v>20400</v>
      </c>
      <c r="C7" s="61">
        <v>21700</v>
      </c>
      <c r="D7" s="61">
        <v>31600</v>
      </c>
      <c r="E7" s="61">
        <v>26506</v>
      </c>
      <c r="F7" s="61">
        <v>151040</v>
      </c>
      <c r="G7" s="61">
        <v>6600</v>
      </c>
      <c r="H7" s="61">
        <v>10000</v>
      </c>
      <c r="I7" s="61">
        <v>0</v>
      </c>
      <c r="J7" s="61">
        <f>19800+25300+22800</f>
        <v>67900</v>
      </c>
      <c r="K7" s="61">
        <v>0</v>
      </c>
      <c r="L7" s="61">
        <v>0</v>
      </c>
      <c r="M7" s="61">
        <v>3000</v>
      </c>
      <c r="N7" s="61">
        <v>7000</v>
      </c>
      <c r="O7" s="61">
        <v>7000</v>
      </c>
      <c r="P7" s="61">
        <v>10000</v>
      </c>
      <c r="Q7" s="61">
        <v>3300</v>
      </c>
      <c r="R7" s="61">
        <v>5000</v>
      </c>
      <c r="S7" s="61">
        <v>0</v>
      </c>
      <c r="T7" s="61">
        <v>0</v>
      </c>
      <c r="U7" s="61">
        <f t="shared" si="0"/>
        <v>371046</v>
      </c>
      <c r="V7" s="61">
        <f t="shared" si="1"/>
        <v>42100</v>
      </c>
      <c r="W7" s="61">
        <f t="shared" si="2"/>
        <v>328946</v>
      </c>
      <c r="X7" s="79">
        <v>27585</v>
      </c>
      <c r="Y7" s="79">
        <f t="shared" si="3"/>
        <v>398631</v>
      </c>
    </row>
    <row r="8" spans="1:25" ht="30" customHeight="1" x14ac:dyDescent="0.25">
      <c r="A8" s="62" t="s">
        <v>447</v>
      </c>
      <c r="B8" s="63">
        <v>20400</v>
      </c>
      <c r="C8" s="63">
        <v>19300</v>
      </c>
      <c r="D8" s="63">
        <v>31600</v>
      </c>
      <c r="E8" s="63">
        <v>27215</v>
      </c>
      <c r="F8" s="63">
        <v>151040</v>
      </c>
      <c r="G8" s="63">
        <v>12000</v>
      </c>
      <c r="H8" s="63">
        <v>20000</v>
      </c>
      <c r="I8" s="63">
        <v>0</v>
      </c>
      <c r="J8" s="63">
        <f>24100 + 21300 + 9500 + 5880 + 12550 + 13540</f>
        <v>86870</v>
      </c>
      <c r="K8" s="63">
        <v>0</v>
      </c>
      <c r="L8" s="63">
        <v>0</v>
      </c>
      <c r="M8" s="63">
        <v>3000</v>
      </c>
      <c r="N8" s="63">
        <v>7000</v>
      </c>
      <c r="O8" s="63">
        <v>7000</v>
      </c>
      <c r="P8" s="63">
        <v>10000</v>
      </c>
      <c r="Q8" s="63">
        <v>4500</v>
      </c>
      <c r="R8" s="64">
        <v>5000</v>
      </c>
      <c r="S8" s="64">
        <v>0</v>
      </c>
      <c r="T8" s="63">
        <v>0</v>
      </c>
      <c r="U8" s="63">
        <f t="shared" si="0"/>
        <v>404925</v>
      </c>
      <c r="V8" s="63">
        <f t="shared" si="1"/>
        <v>39700</v>
      </c>
      <c r="W8" s="63">
        <f t="shared" si="2"/>
        <v>365225</v>
      </c>
      <c r="X8" s="79">
        <v>27585</v>
      </c>
      <c r="Y8" s="84">
        <f t="shared" si="3"/>
        <v>432510</v>
      </c>
    </row>
    <row r="9" spans="1:25" ht="30" customHeight="1" x14ac:dyDescent="0.25">
      <c r="A9" s="60" t="s">
        <v>448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/>
      <c r="U9" s="61">
        <f t="shared" si="0"/>
        <v>0</v>
      </c>
      <c r="V9" s="61">
        <f t="shared" si="1"/>
        <v>0</v>
      </c>
      <c r="W9" s="61">
        <f t="shared" si="2"/>
        <v>0</v>
      </c>
      <c r="X9" s="79"/>
      <c r="Y9" s="79">
        <f t="shared" si="3"/>
        <v>0</v>
      </c>
    </row>
    <row r="10" spans="1:25" ht="30" customHeight="1" x14ac:dyDescent="0.25">
      <c r="A10" s="62" t="s">
        <v>449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>
        <f t="shared" si="0"/>
        <v>0</v>
      </c>
      <c r="V10" s="63">
        <f t="shared" si="1"/>
        <v>0</v>
      </c>
      <c r="W10" s="63">
        <f t="shared" si="2"/>
        <v>0</v>
      </c>
      <c r="X10" s="79"/>
      <c r="Y10" s="84">
        <f t="shared" si="3"/>
        <v>0</v>
      </c>
    </row>
    <row r="11" spans="1:25" ht="30" customHeight="1" x14ac:dyDescent="0.25">
      <c r="A11" s="60" t="s">
        <v>450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/>
      <c r="U11" s="61">
        <f t="shared" si="0"/>
        <v>0</v>
      </c>
      <c r="V11" s="61">
        <f t="shared" si="1"/>
        <v>0</v>
      </c>
      <c r="W11" s="61">
        <f t="shared" si="2"/>
        <v>0</v>
      </c>
      <c r="X11" s="79"/>
      <c r="Y11" s="79">
        <f t="shared" si="3"/>
        <v>0</v>
      </c>
    </row>
    <row r="12" spans="1:25" ht="30" customHeight="1" x14ac:dyDescent="0.25">
      <c r="A12" s="62" t="s">
        <v>451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>
        <f t="shared" si="0"/>
        <v>0</v>
      </c>
      <c r="V12" s="63">
        <f t="shared" si="1"/>
        <v>0</v>
      </c>
      <c r="W12" s="63">
        <f t="shared" si="2"/>
        <v>0</v>
      </c>
      <c r="X12" s="79"/>
      <c r="Y12" s="84">
        <f t="shared" si="3"/>
        <v>0</v>
      </c>
    </row>
    <row r="13" spans="1:25" ht="30" customHeight="1" x14ac:dyDescent="0.25">
      <c r="A13" s="60" t="s">
        <v>452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/>
      <c r="U13" s="61">
        <f t="shared" si="0"/>
        <v>0</v>
      </c>
      <c r="V13" s="61">
        <f t="shared" si="1"/>
        <v>0</v>
      </c>
      <c r="W13" s="61">
        <f t="shared" si="2"/>
        <v>0</v>
      </c>
      <c r="X13" s="79"/>
      <c r="Y13" s="79">
        <f t="shared" si="3"/>
        <v>0</v>
      </c>
    </row>
    <row r="14" spans="1:25" ht="30" customHeight="1" x14ac:dyDescent="0.25">
      <c r="A14" s="62" t="s">
        <v>453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>
        <f t="shared" si="0"/>
        <v>0</v>
      </c>
      <c r="V14" s="63">
        <f t="shared" si="1"/>
        <v>0</v>
      </c>
      <c r="W14" s="63">
        <f t="shared" si="2"/>
        <v>0</v>
      </c>
      <c r="X14" s="79"/>
      <c r="Y14" s="84">
        <f t="shared" si="3"/>
        <v>0</v>
      </c>
    </row>
    <row r="15" spans="1:25" ht="30" customHeight="1" thickBot="1" x14ac:dyDescent="0.3">
      <c r="A15" s="65" t="s">
        <v>254</v>
      </c>
      <c r="B15" s="66">
        <f t="shared" ref="B15:Q15" si="4">SUM(B3:B14)</f>
        <v>138150</v>
      </c>
      <c r="C15" s="66">
        <f t="shared" si="4"/>
        <v>126800</v>
      </c>
      <c r="D15" s="66">
        <f t="shared" si="4"/>
        <v>189600</v>
      </c>
      <c r="E15" s="66">
        <f t="shared" si="4"/>
        <v>169142</v>
      </c>
      <c r="F15" s="66">
        <f t="shared" si="4"/>
        <v>906240</v>
      </c>
      <c r="G15" s="66">
        <f t="shared" si="4"/>
        <v>45000</v>
      </c>
      <c r="H15" s="66">
        <f t="shared" si="4"/>
        <v>70000</v>
      </c>
      <c r="I15" s="66">
        <f t="shared" si="4"/>
        <v>0</v>
      </c>
      <c r="J15" s="66">
        <f t="shared" si="4"/>
        <v>267900</v>
      </c>
      <c r="K15" s="66">
        <f t="shared" si="4"/>
        <v>13995</v>
      </c>
      <c r="L15" s="66">
        <f t="shared" si="4"/>
        <v>0</v>
      </c>
      <c r="M15" s="66">
        <f t="shared" si="4"/>
        <v>18000</v>
      </c>
      <c r="N15" s="66">
        <f t="shared" si="4"/>
        <v>42000</v>
      </c>
      <c r="O15" s="66">
        <f t="shared" si="4"/>
        <v>42000</v>
      </c>
      <c r="P15" s="66">
        <f t="shared" si="4"/>
        <v>60000</v>
      </c>
      <c r="Q15" s="66">
        <f t="shared" si="4"/>
        <v>27500</v>
      </c>
      <c r="R15" s="66"/>
      <c r="S15" s="66"/>
      <c r="T15" s="66">
        <f>SUM(T3:T14)</f>
        <v>10695</v>
      </c>
      <c r="U15" s="66">
        <f t="shared" si="0"/>
        <v>2127022</v>
      </c>
      <c r="V15" s="66">
        <f>SUM(V3:V14)</f>
        <v>264950</v>
      </c>
      <c r="W15" s="66">
        <f>SUM(W3:W14)</f>
        <v>1893252</v>
      </c>
      <c r="X15" s="81">
        <f>SUM(X3:X14)</f>
        <v>164196.86380000005</v>
      </c>
      <c r="Y15" s="81">
        <f>SUM(Y3:Y14)</f>
        <v>2322398.8637999999</v>
      </c>
    </row>
    <row r="16" spans="1:25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86"/>
      <c r="T16" s="59"/>
      <c r="U16" s="59"/>
      <c r="V16" s="59"/>
      <c r="W16" s="59"/>
      <c r="X16" s="82"/>
      <c r="Y16" s="82"/>
    </row>
    <row r="17" spans="1:25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86"/>
      <c r="T17" s="59"/>
      <c r="U17" s="59"/>
      <c r="V17" s="59"/>
      <c r="W17" s="59"/>
      <c r="X17" s="82"/>
      <c r="Y17" s="82"/>
    </row>
    <row r="18" spans="1:25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86"/>
      <c r="T18" s="59"/>
      <c r="U18" s="59"/>
      <c r="V18" s="59"/>
      <c r="W18" s="59"/>
      <c r="X18" s="82"/>
      <c r="Y18" s="82"/>
    </row>
    <row r="19" spans="1:25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86"/>
      <c r="T19" s="59"/>
      <c r="U19" s="59"/>
      <c r="V19" s="59"/>
      <c r="W19" s="59"/>
      <c r="X19" s="82"/>
      <c r="Y19" s="82"/>
    </row>
    <row r="20" spans="1:25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86"/>
      <c r="T20" s="59"/>
      <c r="U20" s="59"/>
      <c r="V20" s="59"/>
      <c r="W20" s="59"/>
      <c r="X20" s="82"/>
      <c r="Y20" s="82"/>
    </row>
    <row r="21" spans="1:25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86"/>
      <c r="T21" s="59"/>
      <c r="U21" s="59"/>
      <c r="V21" s="59"/>
      <c r="W21" s="59"/>
      <c r="X21" s="82"/>
      <c r="Y21" s="82"/>
    </row>
    <row r="22" spans="1:25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86"/>
      <c r="T22" s="59"/>
      <c r="U22" s="59"/>
      <c r="V22" s="59"/>
      <c r="W22" s="59"/>
      <c r="X22" s="82"/>
      <c r="Y22" s="82"/>
    </row>
    <row r="23" spans="1:25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86"/>
      <c r="T23" s="59"/>
      <c r="U23" s="59"/>
      <c r="V23" s="59"/>
      <c r="W23" s="59"/>
      <c r="X23" s="82"/>
      <c r="Y23" s="82"/>
    </row>
    <row r="24" spans="1:25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86"/>
      <c r="T24" s="59"/>
      <c r="U24" s="59"/>
      <c r="V24" s="59"/>
      <c r="W24" s="59"/>
      <c r="X24" s="82"/>
      <c r="Y24" s="82"/>
    </row>
    <row r="25" spans="1:25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86"/>
      <c r="T25" s="59"/>
      <c r="U25" s="59"/>
      <c r="V25" s="59"/>
      <c r="W25" s="59"/>
      <c r="X25" s="82"/>
      <c r="Y25" s="82"/>
    </row>
    <row r="26" spans="1:25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86"/>
      <c r="T26" s="59"/>
      <c r="U26" s="59"/>
      <c r="V26" s="59"/>
      <c r="W26" s="59"/>
      <c r="X26" s="82"/>
      <c r="Y26" s="82"/>
    </row>
    <row r="27" spans="1:25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86"/>
      <c r="T27" s="59"/>
      <c r="U27" s="59"/>
      <c r="V27" s="59"/>
      <c r="W27" s="59"/>
      <c r="X27" s="82"/>
      <c r="Y27" s="82"/>
    </row>
    <row r="28" spans="1:25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86"/>
      <c r="T28" s="59"/>
      <c r="U28" s="59"/>
      <c r="V28" s="59"/>
      <c r="W28" s="59"/>
      <c r="X28" s="82"/>
      <c r="Y28" s="82"/>
    </row>
    <row r="29" spans="1:25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86"/>
      <c r="T29" s="59"/>
      <c r="U29" s="59"/>
      <c r="V29" s="59"/>
      <c r="W29" s="59"/>
      <c r="X29" s="82"/>
      <c r="Y29" s="82"/>
    </row>
    <row r="30" spans="1:25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86"/>
      <c r="T30" s="59"/>
      <c r="U30" s="59"/>
      <c r="V30" s="59"/>
      <c r="W30" s="59"/>
      <c r="X30" s="82"/>
      <c r="Y30" s="82"/>
    </row>
    <row r="31" spans="1:25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86"/>
      <c r="T31" s="59"/>
      <c r="U31" s="59"/>
      <c r="V31" s="59"/>
      <c r="W31" s="59"/>
      <c r="X31" s="82"/>
      <c r="Y31" s="82"/>
    </row>
    <row r="32" spans="1:25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86"/>
      <c r="T32" s="59"/>
      <c r="U32" s="59"/>
      <c r="V32" s="59"/>
      <c r="W32" s="59"/>
      <c r="X32" s="82"/>
      <c r="Y32" s="82"/>
    </row>
    <row r="33" spans="1:25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86"/>
      <c r="T33" s="59"/>
      <c r="U33" s="59"/>
      <c r="V33" s="59"/>
      <c r="W33" s="59"/>
      <c r="X33" s="82"/>
      <c r="Y33" s="82"/>
    </row>
    <row r="34" spans="1:25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86"/>
      <c r="T34" s="59"/>
      <c r="U34" s="59"/>
      <c r="V34" s="59"/>
      <c r="W34" s="59"/>
      <c r="X34" s="82"/>
      <c r="Y34" s="82"/>
    </row>
    <row r="35" spans="1:25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86"/>
      <c r="T35" s="59"/>
      <c r="U35" s="59"/>
      <c r="V35" s="59"/>
      <c r="W35" s="59"/>
      <c r="X35" s="82"/>
      <c r="Y35" s="82"/>
    </row>
    <row r="36" spans="1:25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86"/>
      <c r="T36" s="59"/>
      <c r="U36" s="59"/>
      <c r="V36" s="59"/>
      <c r="W36" s="59"/>
      <c r="X36" s="82"/>
      <c r="Y36" s="82"/>
    </row>
    <row r="37" spans="1:25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86"/>
      <c r="T37" s="59"/>
      <c r="U37" s="59"/>
      <c r="V37" s="59"/>
      <c r="W37" s="59"/>
      <c r="X37" s="82"/>
      <c r="Y37" s="82"/>
    </row>
    <row r="38" spans="1:25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86"/>
      <c r="T38" s="59"/>
      <c r="U38" s="59"/>
      <c r="V38" s="59"/>
      <c r="W38" s="59"/>
      <c r="X38" s="82"/>
      <c r="Y38" s="82"/>
    </row>
    <row r="39" spans="1:25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86"/>
      <c r="T39" s="59"/>
      <c r="U39" s="59"/>
      <c r="V39" s="59"/>
      <c r="W39" s="59"/>
      <c r="X39" s="82"/>
      <c r="Y39" s="82"/>
    </row>
    <row r="40" spans="1:25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86"/>
      <c r="T40" s="59"/>
      <c r="U40" s="59"/>
      <c r="V40" s="59"/>
      <c r="W40" s="59"/>
      <c r="X40" s="82"/>
      <c r="Y40" s="82"/>
    </row>
    <row r="41" spans="1:25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86"/>
      <c r="T41" s="59"/>
      <c r="U41" s="59"/>
      <c r="V41" s="59"/>
      <c r="W41" s="59"/>
      <c r="X41" s="82"/>
      <c r="Y41" s="82"/>
    </row>
    <row r="42" spans="1:25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86"/>
      <c r="T42" s="59"/>
      <c r="U42" s="59"/>
      <c r="V42" s="59"/>
      <c r="W42" s="59"/>
      <c r="X42" s="82"/>
      <c r="Y42" s="82"/>
    </row>
    <row r="43" spans="1:25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86"/>
      <c r="T43" s="59"/>
      <c r="U43" s="59"/>
      <c r="V43" s="59"/>
      <c r="W43" s="59"/>
      <c r="X43" s="82"/>
      <c r="Y43" s="82"/>
    </row>
    <row r="44" spans="1:25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86"/>
      <c r="T44" s="59"/>
      <c r="U44" s="59"/>
      <c r="V44" s="59"/>
      <c r="W44" s="59"/>
      <c r="X44" s="82"/>
      <c r="Y44" s="82"/>
    </row>
    <row r="45" spans="1:25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86"/>
      <c r="T45" s="59"/>
      <c r="U45" s="59"/>
      <c r="V45" s="59"/>
      <c r="W45" s="59"/>
      <c r="X45" s="82"/>
      <c r="Y45" s="82"/>
    </row>
    <row r="46" spans="1:25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86"/>
      <c r="T46" s="59"/>
      <c r="U46" s="59"/>
      <c r="V46" s="59"/>
      <c r="W46" s="59"/>
      <c r="X46" s="82"/>
      <c r="Y46" s="82"/>
    </row>
    <row r="47" spans="1:25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86"/>
      <c r="T47" s="59"/>
      <c r="U47" s="59"/>
      <c r="V47" s="59"/>
      <c r="W47" s="59"/>
      <c r="X47" s="82"/>
      <c r="Y47" s="82"/>
    </row>
    <row r="48" spans="1:25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86"/>
      <c r="T48" s="59"/>
      <c r="U48" s="59"/>
      <c r="V48" s="59"/>
      <c r="W48" s="59"/>
      <c r="X48" s="82"/>
      <c r="Y48" s="82"/>
    </row>
    <row r="49" spans="1:25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86"/>
      <c r="T49" s="59"/>
      <c r="U49" s="59"/>
      <c r="V49" s="59"/>
      <c r="W49" s="59"/>
      <c r="X49" s="82"/>
      <c r="Y49" s="82"/>
    </row>
    <row r="50" spans="1:25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86"/>
      <c r="T50" s="59"/>
      <c r="U50" s="59"/>
      <c r="V50" s="59"/>
      <c r="W50" s="59"/>
      <c r="X50" s="82"/>
      <c r="Y50" s="82"/>
    </row>
    <row r="51" spans="1:25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86"/>
      <c r="T51" s="59"/>
      <c r="U51" s="59"/>
      <c r="V51" s="59"/>
      <c r="W51" s="59"/>
      <c r="X51" s="82"/>
      <c r="Y51" s="82"/>
    </row>
    <row r="52" spans="1:25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86"/>
      <c r="T52" s="59"/>
      <c r="U52" s="59"/>
      <c r="V52" s="59"/>
      <c r="W52" s="59"/>
      <c r="X52" s="82"/>
      <c r="Y52" s="82"/>
    </row>
    <row r="53" spans="1:25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86"/>
      <c r="T53" s="59"/>
      <c r="U53" s="59"/>
      <c r="V53" s="59"/>
      <c r="W53" s="59"/>
      <c r="X53" s="82"/>
      <c r="Y53" s="82"/>
    </row>
    <row r="54" spans="1:25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86"/>
      <c r="T54" s="59"/>
      <c r="U54" s="59"/>
      <c r="V54" s="59"/>
      <c r="W54" s="59"/>
      <c r="X54" s="82"/>
      <c r="Y54" s="82"/>
    </row>
    <row r="55" spans="1:25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86"/>
      <c r="T55" s="59"/>
      <c r="U55" s="59"/>
      <c r="V55" s="59"/>
      <c r="W55" s="59"/>
      <c r="X55" s="82"/>
      <c r="Y55" s="82"/>
    </row>
    <row r="56" spans="1:25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86"/>
      <c r="T56" s="59"/>
      <c r="U56" s="59"/>
      <c r="V56" s="59"/>
      <c r="W56" s="59"/>
      <c r="X56" s="82"/>
      <c r="Y56" s="82"/>
    </row>
    <row r="57" spans="1:25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86"/>
      <c r="T57" s="59"/>
      <c r="U57" s="59"/>
      <c r="V57" s="59"/>
      <c r="W57" s="59"/>
      <c r="X57" s="82"/>
      <c r="Y57" s="82"/>
    </row>
    <row r="58" spans="1:25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86"/>
      <c r="T58" s="59"/>
      <c r="U58" s="59"/>
      <c r="V58" s="59"/>
      <c r="W58" s="59"/>
      <c r="X58" s="82"/>
      <c r="Y58" s="82"/>
    </row>
    <row r="59" spans="1:25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86"/>
      <c r="T59" s="59"/>
      <c r="U59" s="59"/>
      <c r="V59" s="59"/>
      <c r="W59" s="59"/>
      <c r="X59" s="82"/>
      <c r="Y59" s="82"/>
    </row>
    <row r="60" spans="1:25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86"/>
      <c r="T60" s="59"/>
      <c r="U60" s="59"/>
      <c r="V60" s="59"/>
      <c r="W60" s="59"/>
      <c r="X60" s="82"/>
      <c r="Y60" s="82"/>
    </row>
    <row r="61" spans="1:25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86"/>
      <c r="T61" s="59"/>
      <c r="U61" s="59"/>
      <c r="V61" s="59"/>
      <c r="W61" s="59"/>
      <c r="X61" s="82"/>
      <c r="Y61" s="82"/>
    </row>
    <row r="62" spans="1:25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86"/>
      <c r="T62" s="59"/>
      <c r="U62" s="59"/>
      <c r="V62" s="59"/>
      <c r="W62" s="59"/>
      <c r="X62" s="82"/>
      <c r="Y62" s="82"/>
    </row>
    <row r="63" spans="1:25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86"/>
      <c r="T63" s="59"/>
      <c r="U63" s="59"/>
      <c r="V63" s="59"/>
      <c r="W63" s="59"/>
      <c r="X63" s="82"/>
      <c r="Y63" s="82"/>
    </row>
    <row r="64" spans="1:25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86"/>
      <c r="T64" s="59"/>
      <c r="U64" s="59"/>
      <c r="V64" s="59"/>
      <c r="W64" s="59"/>
      <c r="X64" s="82"/>
      <c r="Y64" s="82"/>
    </row>
    <row r="65" spans="1:25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86"/>
      <c r="T65" s="59"/>
      <c r="U65" s="59"/>
      <c r="V65" s="59"/>
      <c r="W65" s="59"/>
      <c r="X65" s="82"/>
      <c r="Y65" s="82"/>
    </row>
    <row r="66" spans="1:25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86"/>
      <c r="T66" s="59"/>
      <c r="U66" s="59"/>
      <c r="V66" s="59"/>
      <c r="W66" s="59"/>
      <c r="X66" s="82"/>
      <c r="Y66" s="82"/>
    </row>
    <row r="67" spans="1:25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86"/>
      <c r="T67" s="59"/>
      <c r="U67" s="59"/>
      <c r="V67" s="59"/>
      <c r="W67" s="59"/>
      <c r="X67" s="82"/>
      <c r="Y67" s="82"/>
    </row>
    <row r="68" spans="1:25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86"/>
      <c r="T68" s="59"/>
      <c r="U68" s="59"/>
      <c r="V68" s="59"/>
      <c r="W68" s="59"/>
      <c r="X68" s="82"/>
      <c r="Y68" s="82"/>
    </row>
    <row r="69" spans="1:25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86"/>
      <c r="T69" s="59"/>
      <c r="U69" s="59"/>
      <c r="V69" s="59"/>
      <c r="W69" s="59"/>
      <c r="X69" s="82"/>
      <c r="Y69" s="82"/>
    </row>
    <row r="70" spans="1:25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86"/>
      <c r="T70" s="59"/>
      <c r="U70" s="59"/>
      <c r="V70" s="59"/>
      <c r="W70" s="59"/>
      <c r="X70" s="82"/>
      <c r="Y70" s="82"/>
    </row>
    <row r="71" spans="1:25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86"/>
      <c r="T71" s="59"/>
      <c r="U71" s="59"/>
      <c r="V71" s="59"/>
      <c r="W71" s="59"/>
      <c r="X71" s="82"/>
      <c r="Y71" s="82"/>
    </row>
    <row r="72" spans="1:25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86"/>
      <c r="T72" s="59"/>
      <c r="U72" s="59"/>
      <c r="V72" s="59"/>
      <c r="W72" s="59"/>
      <c r="X72" s="82"/>
      <c r="Y72" s="82"/>
    </row>
    <row r="73" spans="1:25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86"/>
      <c r="T73" s="59"/>
      <c r="U73" s="59"/>
      <c r="V73" s="59"/>
      <c r="W73" s="59"/>
      <c r="X73" s="82"/>
      <c r="Y73" s="82"/>
    </row>
    <row r="74" spans="1:25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86"/>
      <c r="T74" s="59"/>
      <c r="U74" s="59"/>
      <c r="V74" s="59"/>
      <c r="W74" s="59"/>
      <c r="X74" s="82"/>
      <c r="Y74" s="82"/>
    </row>
    <row r="75" spans="1:25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86"/>
      <c r="T75" s="59"/>
      <c r="U75" s="59"/>
      <c r="V75" s="59"/>
      <c r="W75" s="59"/>
      <c r="X75" s="82"/>
      <c r="Y75" s="82"/>
    </row>
    <row r="76" spans="1:25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86"/>
      <c r="T76" s="59"/>
      <c r="U76" s="59"/>
      <c r="V76" s="59"/>
      <c r="W76" s="59"/>
      <c r="X76" s="82"/>
      <c r="Y76" s="82"/>
    </row>
    <row r="77" spans="1:25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86"/>
      <c r="T77" s="59"/>
      <c r="U77" s="59"/>
      <c r="V77" s="59"/>
      <c r="W77" s="59"/>
      <c r="X77" s="82"/>
      <c r="Y77" s="82"/>
    </row>
    <row r="78" spans="1:25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86"/>
      <c r="T78" s="59"/>
      <c r="U78" s="59"/>
      <c r="V78" s="59"/>
      <c r="W78" s="59"/>
      <c r="X78" s="82"/>
      <c r="Y78" s="82"/>
    </row>
    <row r="79" spans="1:25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86"/>
      <c r="T79" s="59"/>
      <c r="U79" s="59"/>
      <c r="V79" s="59"/>
      <c r="W79" s="59"/>
      <c r="X79" s="82"/>
      <c r="Y79" s="82"/>
    </row>
    <row r="80" spans="1:25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86"/>
      <c r="T80" s="59"/>
      <c r="U80" s="59"/>
      <c r="V80" s="59"/>
      <c r="W80" s="59"/>
      <c r="X80" s="82"/>
      <c r="Y80" s="82"/>
    </row>
    <row r="81" spans="1:25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86"/>
      <c r="T81" s="59"/>
      <c r="U81" s="59"/>
      <c r="V81" s="59"/>
      <c r="W81" s="59"/>
      <c r="X81" s="82"/>
      <c r="Y81" s="82"/>
    </row>
    <row r="82" spans="1:25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86"/>
      <c r="T82" s="59"/>
      <c r="U82" s="59"/>
      <c r="V82" s="59"/>
      <c r="W82" s="59"/>
      <c r="X82" s="82"/>
      <c r="Y82" s="82"/>
    </row>
    <row r="83" spans="1:25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86"/>
      <c r="T83" s="59"/>
      <c r="U83" s="59"/>
      <c r="V83" s="59"/>
      <c r="W83" s="59"/>
      <c r="X83" s="82"/>
      <c r="Y83" s="82"/>
    </row>
    <row r="84" spans="1:25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86"/>
      <c r="T84" s="59"/>
      <c r="U84" s="59"/>
      <c r="V84" s="59"/>
      <c r="W84" s="59"/>
      <c r="X84" s="82"/>
      <c r="Y84" s="82"/>
    </row>
    <row r="85" spans="1:25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86"/>
      <c r="T85" s="59"/>
      <c r="U85" s="59"/>
      <c r="V85" s="59"/>
      <c r="W85" s="59"/>
      <c r="X85" s="82"/>
      <c r="Y85" s="82"/>
    </row>
    <row r="86" spans="1:25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86"/>
      <c r="T86" s="59"/>
      <c r="U86" s="59"/>
      <c r="V86" s="59"/>
      <c r="W86" s="59"/>
      <c r="X86" s="82"/>
      <c r="Y86" s="82"/>
    </row>
    <row r="87" spans="1:25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86"/>
      <c r="T87" s="59"/>
      <c r="U87" s="59"/>
      <c r="V87" s="59"/>
      <c r="W87" s="59"/>
      <c r="X87" s="82"/>
      <c r="Y87" s="82"/>
    </row>
    <row r="88" spans="1:25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86"/>
      <c r="T88" s="59"/>
      <c r="U88" s="59"/>
      <c r="V88" s="59"/>
      <c r="W88" s="59"/>
      <c r="X88" s="82"/>
      <c r="Y88" s="82"/>
    </row>
    <row r="89" spans="1:25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86"/>
      <c r="T89" s="59"/>
      <c r="U89" s="59"/>
      <c r="V89" s="59"/>
      <c r="W89" s="59"/>
      <c r="X89" s="82"/>
      <c r="Y89" s="82"/>
    </row>
    <row r="90" spans="1:25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86"/>
      <c r="T90" s="59"/>
      <c r="U90" s="59"/>
      <c r="V90" s="59"/>
      <c r="W90" s="59"/>
      <c r="X90" s="82"/>
      <c r="Y90" s="82"/>
    </row>
    <row r="91" spans="1:25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86"/>
      <c r="T91" s="59"/>
      <c r="U91" s="59"/>
      <c r="V91" s="59"/>
      <c r="W91" s="59"/>
      <c r="X91" s="82"/>
      <c r="Y91" s="82"/>
    </row>
    <row r="92" spans="1:25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86"/>
      <c r="T92" s="59"/>
      <c r="U92" s="59"/>
      <c r="V92" s="59"/>
      <c r="W92" s="59"/>
      <c r="X92" s="82"/>
      <c r="Y92" s="82"/>
    </row>
    <row r="93" spans="1:25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86"/>
      <c r="T93" s="59"/>
      <c r="U93" s="59"/>
      <c r="V93" s="59"/>
      <c r="W93" s="59"/>
      <c r="X93" s="82"/>
      <c r="Y93" s="82"/>
    </row>
    <row r="94" spans="1:25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86"/>
      <c r="T94" s="59"/>
      <c r="U94" s="59"/>
      <c r="V94" s="59"/>
      <c r="W94" s="59"/>
      <c r="X94" s="82"/>
      <c r="Y94" s="82"/>
    </row>
    <row r="95" spans="1:25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86"/>
      <c r="T95" s="59"/>
      <c r="U95" s="59"/>
      <c r="V95" s="59"/>
      <c r="W95" s="59"/>
      <c r="X95" s="82"/>
      <c r="Y95" s="82"/>
    </row>
    <row r="96" spans="1:25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86"/>
      <c r="T96" s="59"/>
      <c r="U96" s="59"/>
      <c r="V96" s="59"/>
      <c r="W96" s="59"/>
      <c r="X96" s="82"/>
      <c r="Y96" s="82"/>
    </row>
    <row r="97" spans="1:25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86"/>
      <c r="T97" s="59"/>
      <c r="U97" s="59"/>
      <c r="V97" s="59"/>
      <c r="W97" s="59"/>
      <c r="X97" s="82"/>
      <c r="Y97" s="82"/>
    </row>
    <row r="98" spans="1:25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86"/>
      <c r="T98" s="59"/>
      <c r="U98" s="59"/>
      <c r="V98" s="59"/>
      <c r="W98" s="59"/>
      <c r="X98" s="82"/>
      <c r="Y98" s="82"/>
    </row>
    <row r="99" spans="1:25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86"/>
      <c r="T99" s="59"/>
      <c r="U99" s="59"/>
      <c r="V99" s="59"/>
      <c r="W99" s="59"/>
      <c r="X99" s="82"/>
      <c r="Y99" s="82"/>
    </row>
    <row r="100" spans="1:25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86"/>
      <c r="T100" s="59"/>
      <c r="U100" s="59"/>
      <c r="V100" s="59"/>
      <c r="W100" s="59"/>
      <c r="X100" s="82"/>
      <c r="Y100" s="82"/>
    </row>
    <row r="101" spans="1:25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86"/>
      <c r="T101" s="59"/>
      <c r="U101" s="59"/>
      <c r="V101" s="59"/>
      <c r="W101" s="59"/>
      <c r="X101" s="82"/>
      <c r="Y101" s="82"/>
    </row>
    <row r="102" spans="1:25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86"/>
      <c r="T102" s="59"/>
      <c r="U102" s="59"/>
      <c r="V102" s="59"/>
      <c r="W102" s="59"/>
      <c r="X102" s="82"/>
      <c r="Y102" s="82"/>
    </row>
    <row r="103" spans="1:25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86"/>
      <c r="T103" s="59"/>
      <c r="U103" s="59"/>
      <c r="V103" s="59"/>
      <c r="W103" s="59"/>
      <c r="X103" s="82"/>
      <c r="Y103" s="82"/>
    </row>
    <row r="104" spans="1:25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86"/>
      <c r="T104" s="59"/>
      <c r="U104" s="59"/>
      <c r="V104" s="59"/>
      <c r="W104" s="59"/>
      <c r="X104" s="82"/>
      <c r="Y104" s="82"/>
    </row>
    <row r="105" spans="1:25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86"/>
      <c r="T105" s="59"/>
      <c r="U105" s="59"/>
      <c r="V105" s="59"/>
      <c r="W105" s="59"/>
      <c r="X105" s="82"/>
      <c r="Y105" s="82"/>
    </row>
    <row r="106" spans="1:25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86"/>
      <c r="T106" s="59"/>
      <c r="U106" s="59"/>
      <c r="V106" s="59"/>
      <c r="W106" s="59"/>
      <c r="X106" s="82"/>
      <c r="Y106" s="82"/>
    </row>
    <row r="107" spans="1:25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86"/>
      <c r="T107" s="59"/>
      <c r="U107" s="59"/>
      <c r="V107" s="59"/>
      <c r="W107" s="59"/>
      <c r="X107" s="82"/>
      <c r="Y107" s="82"/>
    </row>
    <row r="108" spans="1:25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86"/>
      <c r="T108" s="59"/>
      <c r="U108" s="59"/>
      <c r="V108" s="59"/>
      <c r="W108" s="59"/>
      <c r="X108" s="82"/>
      <c r="Y108" s="82"/>
    </row>
    <row r="109" spans="1:25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86"/>
      <c r="T109" s="59"/>
      <c r="U109" s="59"/>
      <c r="V109" s="59"/>
      <c r="W109" s="59"/>
      <c r="X109" s="82"/>
      <c r="Y109" s="82"/>
    </row>
    <row r="110" spans="1:25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86"/>
      <c r="T110" s="59"/>
      <c r="U110" s="59"/>
      <c r="V110" s="59"/>
      <c r="W110" s="59"/>
      <c r="X110" s="82"/>
      <c r="Y110" s="82"/>
    </row>
    <row r="111" spans="1:25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86"/>
      <c r="T111" s="59"/>
      <c r="U111" s="59"/>
      <c r="V111" s="59"/>
      <c r="W111" s="59"/>
      <c r="X111" s="82"/>
      <c r="Y111" s="82"/>
    </row>
    <row r="112" spans="1:25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86"/>
      <c r="T112" s="59"/>
      <c r="U112" s="59"/>
      <c r="V112" s="59"/>
      <c r="W112" s="59"/>
      <c r="X112" s="82"/>
      <c r="Y112" s="82"/>
    </row>
    <row r="113" spans="1:25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86"/>
      <c r="T113" s="59"/>
      <c r="U113" s="59"/>
      <c r="V113" s="59"/>
      <c r="W113" s="59"/>
      <c r="X113" s="82"/>
      <c r="Y113" s="82"/>
    </row>
    <row r="114" spans="1:25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86"/>
      <c r="T114" s="59"/>
      <c r="U114" s="59"/>
      <c r="V114" s="59"/>
      <c r="W114" s="59"/>
      <c r="X114" s="82"/>
      <c r="Y114" s="82"/>
    </row>
    <row r="115" spans="1:25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86"/>
      <c r="T115" s="59"/>
      <c r="U115" s="59"/>
      <c r="V115" s="59"/>
      <c r="W115" s="59"/>
      <c r="X115" s="82"/>
      <c r="Y115" s="82"/>
    </row>
    <row r="116" spans="1:25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86"/>
      <c r="T116" s="59"/>
      <c r="U116" s="59"/>
      <c r="V116" s="59"/>
      <c r="W116" s="59"/>
      <c r="X116" s="82"/>
      <c r="Y116" s="82"/>
    </row>
    <row r="117" spans="1:25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86"/>
      <c r="T117" s="59"/>
      <c r="U117" s="59"/>
      <c r="V117" s="59"/>
      <c r="W117" s="59"/>
      <c r="X117" s="82"/>
      <c r="Y117" s="82"/>
    </row>
    <row r="118" spans="1:25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86"/>
      <c r="T118" s="59"/>
      <c r="U118" s="59"/>
      <c r="V118" s="59"/>
      <c r="W118" s="59"/>
      <c r="X118" s="82"/>
      <c r="Y118" s="82"/>
    </row>
    <row r="119" spans="1:25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86"/>
      <c r="T119" s="59"/>
      <c r="U119" s="59"/>
      <c r="V119" s="59"/>
      <c r="W119" s="59"/>
      <c r="X119" s="82"/>
      <c r="Y119" s="82"/>
    </row>
    <row r="120" spans="1:25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86"/>
      <c r="T120" s="59"/>
      <c r="U120" s="59"/>
      <c r="V120" s="59"/>
      <c r="W120" s="59"/>
      <c r="X120" s="82"/>
      <c r="Y120" s="82"/>
    </row>
    <row r="121" spans="1:25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86"/>
      <c r="T121" s="59"/>
      <c r="U121" s="59"/>
      <c r="V121" s="59"/>
      <c r="W121" s="59"/>
      <c r="X121" s="82"/>
      <c r="Y121" s="82"/>
    </row>
    <row r="122" spans="1:25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86"/>
      <c r="T122" s="59"/>
      <c r="U122" s="59"/>
      <c r="V122" s="59"/>
      <c r="W122" s="59"/>
      <c r="X122" s="82"/>
      <c r="Y122" s="82"/>
    </row>
    <row r="123" spans="1:25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86"/>
      <c r="T123" s="59"/>
      <c r="U123" s="59"/>
      <c r="V123" s="59"/>
      <c r="W123" s="59"/>
      <c r="X123" s="82"/>
      <c r="Y123" s="82"/>
    </row>
    <row r="124" spans="1:25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86"/>
      <c r="T124" s="59"/>
      <c r="U124" s="59"/>
      <c r="V124" s="59"/>
      <c r="W124" s="59"/>
      <c r="X124" s="82"/>
      <c r="Y124" s="82"/>
    </row>
    <row r="125" spans="1:25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86"/>
      <c r="T125" s="59"/>
      <c r="U125" s="59"/>
      <c r="V125" s="59"/>
      <c r="W125" s="59"/>
      <c r="X125" s="82"/>
      <c r="Y125" s="82"/>
    </row>
    <row r="126" spans="1:25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86"/>
      <c r="T126" s="59"/>
      <c r="U126" s="59"/>
      <c r="V126" s="59"/>
      <c r="W126" s="59"/>
      <c r="X126" s="82"/>
      <c r="Y126" s="82"/>
    </row>
    <row r="127" spans="1:25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86"/>
      <c r="T127" s="59"/>
      <c r="U127" s="59"/>
      <c r="V127" s="59"/>
      <c r="W127" s="59"/>
      <c r="X127" s="82"/>
      <c r="Y127" s="82"/>
    </row>
    <row r="128" spans="1:25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86"/>
      <c r="T128" s="59"/>
      <c r="U128" s="59"/>
      <c r="V128" s="59"/>
      <c r="W128" s="59"/>
      <c r="X128" s="82"/>
      <c r="Y128" s="82"/>
    </row>
    <row r="129" spans="1:25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86"/>
      <c r="T129" s="59"/>
      <c r="U129" s="59"/>
      <c r="V129" s="59"/>
      <c r="W129" s="59"/>
      <c r="X129" s="82"/>
      <c r="Y129" s="82"/>
    </row>
    <row r="130" spans="1:25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86"/>
      <c r="T130" s="59"/>
      <c r="U130" s="59"/>
      <c r="V130" s="59"/>
      <c r="W130" s="59"/>
      <c r="X130" s="82"/>
      <c r="Y130" s="82"/>
    </row>
    <row r="131" spans="1:25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86"/>
      <c r="T131" s="59"/>
      <c r="U131" s="59"/>
      <c r="V131" s="59"/>
      <c r="W131" s="59"/>
      <c r="X131" s="82"/>
      <c r="Y131" s="82"/>
    </row>
    <row r="132" spans="1:25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86"/>
      <c r="T132" s="59"/>
      <c r="U132" s="59"/>
      <c r="V132" s="59"/>
      <c r="W132" s="59"/>
      <c r="X132" s="82"/>
      <c r="Y132" s="82"/>
    </row>
    <row r="133" spans="1:25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86"/>
      <c r="T133" s="59"/>
      <c r="U133" s="59"/>
      <c r="V133" s="59"/>
      <c r="W133" s="59"/>
      <c r="X133" s="82"/>
      <c r="Y133" s="82"/>
    </row>
    <row r="134" spans="1:25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86"/>
      <c r="T134" s="59"/>
      <c r="U134" s="59"/>
      <c r="V134" s="59"/>
      <c r="W134" s="59"/>
      <c r="X134" s="82"/>
      <c r="Y134" s="82"/>
    </row>
    <row r="135" spans="1:25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86"/>
      <c r="T135" s="59"/>
      <c r="U135" s="59"/>
      <c r="V135" s="59"/>
      <c r="W135" s="59"/>
      <c r="X135" s="82"/>
      <c r="Y135" s="82"/>
    </row>
    <row r="136" spans="1:25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86"/>
      <c r="T136" s="59"/>
      <c r="U136" s="59"/>
      <c r="V136" s="59"/>
      <c r="W136" s="59"/>
      <c r="X136" s="82"/>
      <c r="Y136" s="82"/>
    </row>
    <row r="137" spans="1:25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86"/>
      <c r="T137" s="59"/>
      <c r="U137" s="59"/>
      <c r="V137" s="59"/>
      <c r="W137" s="59"/>
      <c r="X137" s="82"/>
      <c r="Y137" s="82"/>
    </row>
    <row r="138" spans="1:25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86"/>
      <c r="T138" s="59"/>
      <c r="U138" s="59"/>
      <c r="V138" s="59"/>
      <c r="W138" s="59"/>
      <c r="X138" s="82"/>
      <c r="Y138" s="82"/>
    </row>
    <row r="139" spans="1:25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86"/>
      <c r="T139" s="59"/>
      <c r="U139" s="59"/>
      <c r="V139" s="59"/>
      <c r="W139" s="59"/>
      <c r="X139" s="82"/>
      <c r="Y139" s="82"/>
    </row>
    <row r="140" spans="1:25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86"/>
      <c r="T140" s="59"/>
      <c r="U140" s="59"/>
      <c r="V140" s="59"/>
      <c r="W140" s="59"/>
      <c r="X140" s="82"/>
      <c r="Y140" s="82"/>
    </row>
    <row r="141" spans="1:25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86"/>
      <c r="T141" s="59"/>
      <c r="U141" s="59"/>
      <c r="V141" s="59"/>
      <c r="W141" s="59"/>
      <c r="X141" s="82"/>
      <c r="Y141" s="82"/>
    </row>
    <row r="142" spans="1:25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86"/>
      <c r="T142" s="59"/>
      <c r="U142" s="59"/>
      <c r="V142" s="59"/>
      <c r="W142" s="59"/>
      <c r="X142" s="82"/>
      <c r="Y142" s="82"/>
    </row>
    <row r="143" spans="1:25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86"/>
      <c r="T143" s="59"/>
      <c r="U143" s="59"/>
      <c r="V143" s="59"/>
      <c r="W143" s="59"/>
      <c r="X143" s="82"/>
      <c r="Y143" s="82"/>
    </row>
    <row r="144" spans="1:25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86"/>
      <c r="T144" s="59"/>
      <c r="U144" s="59"/>
      <c r="V144" s="59"/>
      <c r="W144" s="59"/>
      <c r="X144" s="82"/>
      <c r="Y144" s="82"/>
    </row>
    <row r="145" spans="1:25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86"/>
      <c r="T145" s="59"/>
      <c r="U145" s="59"/>
      <c r="V145" s="59"/>
      <c r="W145" s="59"/>
      <c r="X145" s="82"/>
      <c r="Y145" s="82"/>
    </row>
    <row r="146" spans="1:25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86"/>
      <c r="T146" s="59"/>
      <c r="U146" s="59"/>
      <c r="V146" s="59"/>
      <c r="W146" s="59"/>
      <c r="X146" s="82"/>
      <c r="Y146" s="82"/>
    </row>
    <row r="147" spans="1:25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86"/>
      <c r="T147" s="59"/>
      <c r="U147" s="59"/>
      <c r="V147" s="59"/>
      <c r="W147" s="59"/>
      <c r="X147" s="82"/>
      <c r="Y147" s="82"/>
    </row>
    <row r="148" spans="1:25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86"/>
      <c r="T148" s="59"/>
      <c r="U148" s="59"/>
      <c r="V148" s="59"/>
      <c r="W148" s="59"/>
      <c r="X148" s="82"/>
      <c r="Y148" s="82"/>
    </row>
    <row r="149" spans="1:25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86"/>
      <c r="T149" s="59"/>
      <c r="U149" s="59"/>
      <c r="V149" s="59"/>
      <c r="W149" s="59"/>
      <c r="X149" s="82"/>
      <c r="Y149" s="82"/>
    </row>
    <row r="150" spans="1:25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86"/>
      <c r="T150" s="59"/>
      <c r="U150" s="59"/>
      <c r="V150" s="59"/>
      <c r="W150" s="59"/>
      <c r="X150" s="82"/>
      <c r="Y150" s="82"/>
    </row>
    <row r="151" spans="1:25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86"/>
      <c r="T151" s="59"/>
      <c r="U151" s="59"/>
      <c r="V151" s="59"/>
      <c r="W151" s="59"/>
      <c r="X151" s="82"/>
      <c r="Y151" s="82"/>
    </row>
    <row r="152" spans="1:25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86"/>
      <c r="T152" s="59"/>
      <c r="U152" s="59"/>
      <c r="V152" s="59"/>
      <c r="W152" s="59"/>
      <c r="X152" s="82"/>
      <c r="Y152" s="82"/>
    </row>
    <row r="153" spans="1:25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86"/>
      <c r="T153" s="59"/>
      <c r="U153" s="59"/>
      <c r="V153" s="59"/>
      <c r="W153" s="59"/>
      <c r="X153" s="82"/>
      <c r="Y153" s="82"/>
    </row>
    <row r="154" spans="1:25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86"/>
      <c r="T154" s="59"/>
      <c r="U154" s="59"/>
      <c r="V154" s="59"/>
      <c r="W154" s="59"/>
      <c r="X154" s="82"/>
      <c r="Y154" s="82"/>
    </row>
    <row r="155" spans="1:25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86"/>
      <c r="T155" s="59"/>
      <c r="U155" s="59"/>
      <c r="V155" s="59"/>
      <c r="W155" s="59"/>
      <c r="X155" s="82"/>
      <c r="Y155" s="82"/>
    </row>
    <row r="156" spans="1:25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86"/>
      <c r="T156" s="59"/>
      <c r="U156" s="59"/>
      <c r="V156" s="59"/>
      <c r="W156" s="59"/>
      <c r="X156" s="82"/>
      <c r="Y156" s="82"/>
    </row>
    <row r="157" spans="1:25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86"/>
      <c r="T157" s="59"/>
      <c r="U157" s="59"/>
      <c r="V157" s="59"/>
      <c r="W157" s="59"/>
      <c r="X157" s="82"/>
      <c r="Y157" s="82"/>
    </row>
    <row r="158" spans="1:25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86"/>
      <c r="T158" s="59"/>
      <c r="U158" s="59"/>
      <c r="V158" s="59"/>
      <c r="W158" s="59"/>
      <c r="X158" s="82"/>
      <c r="Y158" s="82"/>
    </row>
    <row r="159" spans="1:25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86"/>
      <c r="T159" s="59"/>
      <c r="U159" s="59"/>
      <c r="V159" s="59"/>
      <c r="W159" s="59"/>
      <c r="X159" s="82"/>
      <c r="Y159" s="82"/>
    </row>
    <row r="160" spans="1:25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86"/>
      <c r="T160" s="59"/>
      <c r="U160" s="59"/>
      <c r="V160" s="59"/>
      <c r="W160" s="59"/>
      <c r="X160" s="82"/>
      <c r="Y160" s="82"/>
    </row>
    <row r="161" spans="1:25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86"/>
      <c r="T161" s="59"/>
      <c r="U161" s="59"/>
      <c r="V161" s="59"/>
      <c r="W161" s="59"/>
      <c r="X161" s="82"/>
      <c r="Y161" s="82"/>
    </row>
    <row r="162" spans="1:25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86"/>
      <c r="T162" s="59"/>
      <c r="U162" s="59"/>
      <c r="V162" s="59"/>
      <c r="W162" s="59"/>
      <c r="X162" s="82"/>
      <c r="Y162" s="82"/>
    </row>
    <row r="163" spans="1:25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86"/>
      <c r="T163" s="59"/>
      <c r="U163" s="59"/>
      <c r="V163" s="59"/>
      <c r="W163" s="59"/>
      <c r="X163" s="82"/>
      <c r="Y163" s="82"/>
    </row>
    <row r="164" spans="1:25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86"/>
      <c r="T164" s="59"/>
      <c r="U164" s="59"/>
      <c r="V164" s="59"/>
      <c r="W164" s="59"/>
      <c r="X164" s="82"/>
      <c r="Y164" s="82"/>
    </row>
    <row r="165" spans="1:25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86"/>
      <c r="T165" s="59"/>
      <c r="U165" s="59"/>
      <c r="V165" s="59"/>
      <c r="W165" s="59"/>
      <c r="X165" s="82"/>
      <c r="Y165" s="82"/>
    </row>
    <row r="166" spans="1:25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86"/>
      <c r="T166" s="59"/>
      <c r="U166" s="59"/>
      <c r="V166" s="59"/>
      <c r="W166" s="59"/>
      <c r="X166" s="82"/>
      <c r="Y166" s="82"/>
    </row>
    <row r="167" spans="1:25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86"/>
      <c r="T167" s="59"/>
      <c r="U167" s="59"/>
      <c r="V167" s="59"/>
      <c r="W167" s="59"/>
      <c r="X167" s="82"/>
      <c r="Y167" s="82"/>
    </row>
    <row r="168" spans="1:25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86"/>
      <c r="T168" s="59"/>
      <c r="U168" s="59"/>
      <c r="V168" s="59"/>
      <c r="W168" s="59"/>
      <c r="X168" s="82"/>
      <c r="Y168" s="82"/>
    </row>
    <row r="169" spans="1:25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86"/>
      <c r="T169" s="59"/>
      <c r="U169" s="59"/>
      <c r="V169" s="59"/>
      <c r="W169" s="59"/>
      <c r="X169" s="82"/>
      <c r="Y169" s="82"/>
    </row>
    <row r="170" spans="1:25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86"/>
      <c r="T170" s="59"/>
      <c r="U170" s="59"/>
      <c r="V170" s="59"/>
      <c r="W170" s="59"/>
      <c r="X170" s="82"/>
      <c r="Y170" s="82"/>
    </row>
    <row r="171" spans="1:25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86"/>
      <c r="T171" s="59"/>
      <c r="U171" s="59"/>
      <c r="V171" s="59"/>
      <c r="W171" s="59"/>
      <c r="X171" s="82"/>
      <c r="Y171" s="82"/>
    </row>
    <row r="172" spans="1:25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86"/>
      <c r="T172" s="59"/>
      <c r="U172" s="59"/>
      <c r="V172" s="59"/>
      <c r="W172" s="59"/>
      <c r="X172" s="82"/>
      <c r="Y172" s="82"/>
    </row>
    <row r="173" spans="1:25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86"/>
      <c r="T173" s="59"/>
      <c r="U173" s="59"/>
      <c r="V173" s="59"/>
      <c r="W173" s="59"/>
      <c r="X173" s="82"/>
      <c r="Y173" s="82"/>
    </row>
    <row r="174" spans="1:25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86"/>
      <c r="T174" s="59"/>
      <c r="U174" s="59"/>
      <c r="V174" s="59"/>
      <c r="W174" s="59"/>
      <c r="X174" s="82"/>
      <c r="Y174" s="82"/>
    </row>
    <row r="175" spans="1:25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86"/>
      <c r="T175" s="59"/>
      <c r="U175" s="59"/>
      <c r="V175" s="59"/>
      <c r="W175" s="59"/>
      <c r="X175" s="82"/>
      <c r="Y175" s="82"/>
    </row>
    <row r="176" spans="1:25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86"/>
      <c r="T176" s="59"/>
      <c r="U176" s="59"/>
      <c r="V176" s="59"/>
      <c r="W176" s="59"/>
      <c r="X176" s="82"/>
      <c r="Y176" s="82"/>
    </row>
    <row r="177" spans="1:25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86"/>
      <c r="T177" s="59"/>
      <c r="U177" s="59"/>
      <c r="V177" s="59"/>
      <c r="W177" s="59"/>
      <c r="X177" s="82"/>
      <c r="Y177" s="82"/>
    </row>
    <row r="178" spans="1:25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86"/>
      <c r="T178" s="59"/>
      <c r="U178" s="59"/>
      <c r="V178" s="59"/>
      <c r="W178" s="59"/>
      <c r="X178" s="82"/>
      <c r="Y178" s="82"/>
    </row>
    <row r="179" spans="1:25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86"/>
      <c r="T179" s="59"/>
      <c r="U179" s="59"/>
      <c r="V179" s="59"/>
      <c r="W179" s="59"/>
      <c r="X179" s="82"/>
      <c r="Y179" s="82"/>
    </row>
    <row r="180" spans="1:25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86"/>
      <c r="T180" s="59"/>
      <c r="U180" s="59"/>
      <c r="V180" s="59"/>
      <c r="W180" s="59"/>
      <c r="X180" s="82"/>
      <c r="Y180" s="82"/>
    </row>
    <row r="181" spans="1:25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86"/>
      <c r="T181" s="59"/>
      <c r="U181" s="59"/>
      <c r="V181" s="59"/>
      <c r="W181" s="59"/>
      <c r="X181" s="82"/>
      <c r="Y181" s="82"/>
    </row>
    <row r="182" spans="1:25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86"/>
      <c r="T182" s="59"/>
      <c r="U182" s="59"/>
      <c r="V182" s="59"/>
      <c r="W182" s="59"/>
      <c r="X182" s="82"/>
      <c r="Y182" s="82"/>
    </row>
    <row r="183" spans="1:25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86"/>
      <c r="T183" s="59"/>
      <c r="U183" s="59"/>
      <c r="V183" s="59"/>
      <c r="W183" s="59"/>
      <c r="X183" s="82"/>
      <c r="Y183" s="82"/>
    </row>
    <row r="184" spans="1:25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86"/>
      <c r="T184" s="59"/>
      <c r="U184" s="59"/>
      <c r="V184" s="59"/>
      <c r="W184" s="59"/>
      <c r="X184" s="82"/>
      <c r="Y184" s="82"/>
    </row>
    <row r="185" spans="1:25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86"/>
      <c r="T185" s="59"/>
      <c r="U185" s="59"/>
      <c r="V185" s="59"/>
      <c r="W185" s="59"/>
      <c r="X185" s="82"/>
      <c r="Y185" s="82"/>
    </row>
    <row r="186" spans="1:25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86"/>
      <c r="T186" s="59"/>
      <c r="U186" s="59"/>
      <c r="V186" s="59"/>
      <c r="W186" s="59"/>
      <c r="X186" s="82"/>
      <c r="Y186" s="82"/>
    </row>
    <row r="187" spans="1:25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86"/>
      <c r="T187" s="59"/>
      <c r="U187" s="59"/>
      <c r="V187" s="59"/>
      <c r="W187" s="59"/>
      <c r="X187" s="82"/>
      <c r="Y187" s="82"/>
    </row>
    <row r="188" spans="1:25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86"/>
      <c r="T188" s="59"/>
      <c r="U188" s="59"/>
      <c r="V188" s="59"/>
      <c r="W188" s="59"/>
      <c r="X188" s="82"/>
      <c r="Y188" s="82"/>
    </row>
    <row r="189" spans="1:25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86"/>
      <c r="T189" s="59"/>
      <c r="U189" s="59"/>
      <c r="V189" s="59"/>
      <c r="W189" s="59"/>
      <c r="X189" s="82"/>
      <c r="Y189" s="82"/>
    </row>
    <row r="190" spans="1:25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86"/>
      <c r="T190" s="59"/>
      <c r="U190" s="59"/>
      <c r="V190" s="59"/>
      <c r="W190" s="59"/>
      <c r="X190" s="82"/>
      <c r="Y190" s="82"/>
    </row>
    <row r="191" spans="1:25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86"/>
      <c r="T191" s="59"/>
      <c r="U191" s="59"/>
      <c r="V191" s="59"/>
      <c r="W191" s="59"/>
      <c r="X191" s="82"/>
      <c r="Y191" s="82"/>
    </row>
    <row r="192" spans="1:25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86"/>
      <c r="T192" s="59"/>
      <c r="U192" s="59"/>
      <c r="V192" s="59"/>
      <c r="W192" s="59"/>
      <c r="X192" s="82"/>
      <c r="Y192" s="82"/>
    </row>
    <row r="193" spans="1:25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86"/>
      <c r="T193" s="59"/>
      <c r="U193" s="59"/>
      <c r="V193" s="59"/>
      <c r="W193" s="59"/>
      <c r="X193" s="82"/>
      <c r="Y193" s="82"/>
    </row>
    <row r="194" spans="1:25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86"/>
      <c r="T194" s="59"/>
      <c r="U194" s="59"/>
      <c r="V194" s="59"/>
      <c r="W194" s="59"/>
      <c r="X194" s="82"/>
      <c r="Y194" s="82"/>
    </row>
    <row r="195" spans="1:25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86"/>
      <c r="T195" s="59"/>
      <c r="U195" s="59"/>
      <c r="V195" s="59"/>
      <c r="W195" s="59"/>
      <c r="X195" s="82"/>
      <c r="Y195" s="82"/>
    </row>
    <row r="196" spans="1:25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86"/>
      <c r="T196" s="59"/>
      <c r="U196" s="59"/>
      <c r="V196" s="59"/>
      <c r="W196" s="59"/>
      <c r="X196" s="82"/>
      <c r="Y196" s="82"/>
    </row>
    <row r="197" spans="1:25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86"/>
      <c r="T197" s="59"/>
      <c r="U197" s="59"/>
      <c r="V197" s="59"/>
      <c r="W197" s="59"/>
      <c r="X197" s="82"/>
      <c r="Y197" s="82"/>
    </row>
    <row r="198" spans="1:25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86"/>
      <c r="T198" s="59"/>
      <c r="U198" s="59"/>
      <c r="V198" s="59"/>
      <c r="W198" s="59"/>
      <c r="X198" s="82"/>
      <c r="Y198" s="82"/>
    </row>
    <row r="199" spans="1:25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86"/>
      <c r="T199" s="59"/>
      <c r="U199" s="59"/>
      <c r="V199" s="59"/>
      <c r="W199" s="59"/>
      <c r="X199" s="82"/>
      <c r="Y199" s="82"/>
    </row>
    <row r="200" spans="1:25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86"/>
      <c r="T200" s="59"/>
      <c r="U200" s="59"/>
      <c r="V200" s="59"/>
      <c r="W200" s="59"/>
      <c r="X200" s="82"/>
      <c r="Y200" s="82"/>
    </row>
    <row r="201" spans="1:25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86"/>
      <c r="T201" s="59"/>
      <c r="U201" s="59"/>
      <c r="V201" s="59"/>
      <c r="W201" s="59"/>
      <c r="X201" s="82"/>
      <c r="Y201" s="82"/>
    </row>
    <row r="202" spans="1:25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86"/>
      <c r="T202" s="59"/>
      <c r="U202" s="59"/>
      <c r="V202" s="59"/>
      <c r="W202" s="59"/>
      <c r="X202" s="82"/>
      <c r="Y202" s="82"/>
    </row>
    <row r="203" spans="1:25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86"/>
      <c r="T203" s="59"/>
      <c r="U203" s="59"/>
      <c r="V203" s="59"/>
      <c r="W203" s="59"/>
      <c r="X203" s="82"/>
      <c r="Y203" s="82"/>
    </row>
    <row r="204" spans="1:25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86"/>
      <c r="T204" s="59"/>
      <c r="U204" s="59"/>
      <c r="V204" s="59"/>
      <c r="W204" s="59"/>
      <c r="X204" s="82"/>
      <c r="Y204" s="82"/>
    </row>
    <row r="205" spans="1:25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86"/>
      <c r="T205" s="59"/>
      <c r="U205" s="59"/>
      <c r="V205" s="59"/>
      <c r="W205" s="59"/>
      <c r="X205" s="82"/>
      <c r="Y205" s="82"/>
    </row>
    <row r="206" spans="1:25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86"/>
      <c r="T206" s="59"/>
      <c r="U206" s="59"/>
      <c r="V206" s="59"/>
      <c r="W206" s="59"/>
      <c r="X206" s="82"/>
      <c r="Y206" s="82"/>
    </row>
    <row r="207" spans="1:25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86"/>
      <c r="T207" s="59"/>
      <c r="U207" s="59"/>
      <c r="V207" s="59"/>
      <c r="W207" s="59"/>
      <c r="X207" s="82"/>
      <c r="Y207" s="82"/>
    </row>
    <row r="208" spans="1:25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86"/>
      <c r="T208" s="59"/>
      <c r="U208" s="59"/>
      <c r="V208" s="59"/>
      <c r="W208" s="59"/>
      <c r="X208" s="82"/>
      <c r="Y208" s="82"/>
    </row>
    <row r="209" spans="1:25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86"/>
      <c r="T209" s="59"/>
      <c r="U209" s="59"/>
      <c r="V209" s="59"/>
      <c r="W209" s="59"/>
      <c r="X209" s="82"/>
      <c r="Y209" s="82"/>
    </row>
    <row r="210" spans="1:25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86"/>
      <c r="T210" s="59"/>
      <c r="U210" s="59"/>
      <c r="V210" s="59"/>
      <c r="W210" s="59"/>
      <c r="X210" s="82"/>
      <c r="Y210" s="82"/>
    </row>
    <row r="211" spans="1:25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86"/>
      <c r="T211" s="59"/>
      <c r="U211" s="59"/>
      <c r="V211" s="59"/>
      <c r="W211" s="59"/>
      <c r="X211" s="82"/>
      <c r="Y211" s="82"/>
    </row>
    <row r="212" spans="1:25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86"/>
      <c r="T212" s="59"/>
      <c r="U212" s="59"/>
      <c r="V212" s="59"/>
      <c r="W212" s="59"/>
      <c r="X212" s="82"/>
      <c r="Y212" s="82"/>
    </row>
    <row r="213" spans="1:25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86"/>
      <c r="T213" s="59"/>
      <c r="U213" s="59"/>
      <c r="V213" s="59"/>
      <c r="W213" s="59"/>
      <c r="X213" s="82"/>
      <c r="Y213" s="82"/>
    </row>
    <row r="214" spans="1:25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86"/>
      <c r="T214" s="59"/>
      <c r="U214" s="59"/>
      <c r="V214" s="59"/>
      <c r="W214" s="59"/>
      <c r="X214" s="82"/>
      <c r="Y214" s="82"/>
    </row>
    <row r="215" spans="1:25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86"/>
      <c r="T215" s="59"/>
      <c r="U215" s="59"/>
      <c r="V215" s="59"/>
      <c r="W215" s="59"/>
      <c r="X215" s="82"/>
      <c r="Y215" s="82"/>
    </row>
    <row r="216" spans="1:25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86"/>
      <c r="T216" s="59"/>
      <c r="U216" s="59"/>
      <c r="V216" s="59"/>
      <c r="W216" s="59"/>
      <c r="X216" s="82"/>
      <c r="Y216" s="82"/>
    </row>
    <row r="217" spans="1:25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86"/>
      <c r="T217" s="59"/>
      <c r="U217" s="59"/>
      <c r="V217" s="59"/>
      <c r="W217" s="59"/>
      <c r="X217" s="82"/>
      <c r="Y217" s="82"/>
    </row>
    <row r="218" spans="1:25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86"/>
      <c r="T218" s="59"/>
      <c r="U218" s="59"/>
      <c r="V218" s="59"/>
      <c r="W218" s="59"/>
      <c r="X218" s="82"/>
      <c r="Y218" s="82"/>
    </row>
    <row r="219" spans="1:25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86"/>
      <c r="T219" s="59"/>
      <c r="U219" s="59"/>
      <c r="V219" s="59"/>
      <c r="W219" s="59"/>
      <c r="X219" s="82"/>
      <c r="Y219" s="82"/>
    </row>
    <row r="220" spans="1:25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86"/>
      <c r="T220" s="59"/>
      <c r="U220" s="59"/>
      <c r="V220" s="59"/>
      <c r="W220" s="59"/>
      <c r="X220" s="82"/>
      <c r="Y220" s="82"/>
    </row>
    <row r="221" spans="1:25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86"/>
      <c r="T221" s="59"/>
      <c r="U221" s="59"/>
      <c r="V221" s="59"/>
      <c r="W221" s="59"/>
      <c r="X221" s="82"/>
      <c r="Y221" s="82"/>
    </row>
    <row r="222" spans="1:25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86"/>
      <c r="T222" s="59"/>
      <c r="U222" s="59"/>
      <c r="V222" s="59"/>
      <c r="W222" s="59"/>
      <c r="X222" s="82"/>
      <c r="Y222" s="82"/>
    </row>
    <row r="223" spans="1:25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86"/>
      <c r="T223" s="59"/>
      <c r="U223" s="59"/>
      <c r="V223" s="59"/>
      <c r="W223" s="59"/>
      <c r="X223" s="82"/>
      <c r="Y223" s="82"/>
    </row>
    <row r="224" spans="1:25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86"/>
      <c r="T224" s="59"/>
      <c r="U224" s="59"/>
      <c r="V224" s="59"/>
      <c r="W224" s="59"/>
      <c r="X224" s="82"/>
      <c r="Y224" s="82"/>
    </row>
    <row r="225" spans="1:25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86"/>
      <c r="T225" s="59"/>
      <c r="U225" s="59"/>
      <c r="V225" s="59"/>
      <c r="W225" s="59"/>
      <c r="X225" s="82"/>
      <c r="Y225" s="82"/>
    </row>
    <row r="226" spans="1:25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86"/>
      <c r="T226" s="59"/>
      <c r="U226" s="59"/>
      <c r="V226" s="59"/>
      <c r="W226" s="59"/>
      <c r="X226" s="82"/>
      <c r="Y226" s="82"/>
    </row>
    <row r="227" spans="1:25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86"/>
      <c r="T227" s="59"/>
      <c r="U227" s="59"/>
      <c r="V227" s="59"/>
      <c r="W227" s="59"/>
      <c r="X227" s="82"/>
      <c r="Y227" s="82"/>
    </row>
    <row r="228" spans="1:25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86"/>
      <c r="T228" s="59"/>
      <c r="U228" s="59"/>
      <c r="V228" s="59"/>
      <c r="W228" s="59"/>
      <c r="X228" s="82"/>
      <c r="Y228" s="82"/>
    </row>
    <row r="229" spans="1:25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86"/>
      <c r="T229" s="59"/>
      <c r="U229" s="59"/>
      <c r="V229" s="59"/>
      <c r="W229" s="59"/>
      <c r="X229" s="82"/>
      <c r="Y229" s="82"/>
    </row>
    <row r="230" spans="1:25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86"/>
      <c r="T230" s="59"/>
      <c r="U230" s="59"/>
      <c r="V230" s="59"/>
      <c r="W230" s="59"/>
      <c r="X230" s="82"/>
      <c r="Y230" s="82"/>
    </row>
    <row r="231" spans="1:25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86"/>
      <c r="T231" s="59"/>
      <c r="U231" s="59"/>
      <c r="V231" s="59"/>
      <c r="W231" s="59"/>
      <c r="X231" s="82"/>
      <c r="Y231" s="82"/>
    </row>
    <row r="232" spans="1:25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86"/>
      <c r="T232" s="59"/>
      <c r="U232" s="59"/>
      <c r="V232" s="59"/>
      <c r="W232" s="59"/>
      <c r="X232" s="82"/>
      <c r="Y232" s="82"/>
    </row>
    <row r="233" spans="1:25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86"/>
      <c r="T233" s="59"/>
      <c r="U233" s="59"/>
      <c r="V233" s="59"/>
      <c r="W233" s="59"/>
      <c r="X233" s="82"/>
      <c r="Y233" s="82"/>
    </row>
    <row r="234" spans="1:25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86"/>
      <c r="T234" s="59"/>
      <c r="U234" s="59"/>
      <c r="V234" s="59"/>
      <c r="W234" s="59"/>
      <c r="X234" s="82"/>
      <c r="Y234" s="82"/>
    </row>
    <row r="235" spans="1:25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86"/>
      <c r="T235" s="59"/>
      <c r="U235" s="59"/>
      <c r="V235" s="59"/>
      <c r="W235" s="59"/>
      <c r="X235" s="82"/>
      <c r="Y235" s="82"/>
    </row>
    <row r="236" spans="1:25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86"/>
      <c r="T236" s="59"/>
      <c r="U236" s="59"/>
      <c r="V236" s="59"/>
      <c r="W236" s="59"/>
      <c r="X236" s="82"/>
      <c r="Y236" s="82"/>
    </row>
    <row r="237" spans="1:25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86"/>
      <c r="T237" s="59"/>
      <c r="U237" s="59"/>
      <c r="V237" s="59"/>
      <c r="W237" s="59"/>
      <c r="X237" s="82"/>
      <c r="Y237" s="82"/>
    </row>
    <row r="238" spans="1:25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86"/>
      <c r="T238" s="59"/>
      <c r="U238" s="59"/>
      <c r="V238" s="59"/>
      <c r="W238" s="59"/>
      <c r="X238" s="82"/>
      <c r="Y238" s="82"/>
    </row>
    <row r="239" spans="1:25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86"/>
      <c r="T239" s="59"/>
      <c r="U239" s="59"/>
      <c r="V239" s="59"/>
      <c r="W239" s="59"/>
      <c r="X239" s="82"/>
      <c r="Y239" s="82"/>
    </row>
    <row r="240" spans="1:25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86"/>
      <c r="T240" s="59"/>
      <c r="U240" s="59"/>
      <c r="V240" s="59"/>
      <c r="W240" s="59"/>
      <c r="X240" s="82"/>
      <c r="Y240" s="82"/>
    </row>
    <row r="241" spans="1:25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86"/>
      <c r="T241" s="59"/>
      <c r="U241" s="59"/>
      <c r="V241" s="59"/>
      <c r="W241" s="59"/>
      <c r="X241" s="82"/>
      <c r="Y241" s="82"/>
    </row>
    <row r="242" spans="1:25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86"/>
      <c r="T242" s="59"/>
      <c r="U242" s="59"/>
      <c r="V242" s="59"/>
      <c r="W242" s="59"/>
      <c r="X242" s="82"/>
      <c r="Y242" s="82"/>
    </row>
    <row r="243" spans="1:25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86"/>
      <c r="T243" s="59"/>
      <c r="U243" s="59"/>
      <c r="V243" s="59"/>
      <c r="W243" s="59"/>
      <c r="X243" s="82"/>
      <c r="Y243" s="82"/>
    </row>
    <row r="244" spans="1:25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86"/>
      <c r="T244" s="59"/>
      <c r="U244" s="59"/>
      <c r="V244" s="59"/>
      <c r="W244" s="59"/>
      <c r="X244" s="82"/>
      <c r="Y244" s="82"/>
    </row>
    <row r="245" spans="1:25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86"/>
      <c r="T245" s="59"/>
      <c r="U245" s="59"/>
      <c r="V245" s="59"/>
      <c r="W245" s="59"/>
      <c r="X245" s="82"/>
      <c r="Y245" s="82"/>
    </row>
    <row r="246" spans="1:25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86"/>
      <c r="T246" s="59"/>
      <c r="U246" s="59"/>
      <c r="V246" s="59"/>
      <c r="W246" s="59"/>
      <c r="X246" s="82"/>
      <c r="Y246" s="82"/>
    </row>
    <row r="247" spans="1:25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86"/>
      <c r="T247" s="59"/>
      <c r="U247" s="59"/>
      <c r="V247" s="59"/>
      <c r="W247" s="59"/>
      <c r="X247" s="82"/>
      <c r="Y247" s="82"/>
    </row>
    <row r="248" spans="1:25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86"/>
      <c r="T248" s="59"/>
      <c r="U248" s="59"/>
      <c r="V248" s="59"/>
      <c r="W248" s="59"/>
      <c r="X248" s="82"/>
      <c r="Y248" s="82"/>
    </row>
    <row r="249" spans="1:25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86"/>
      <c r="T249" s="59"/>
      <c r="U249" s="59"/>
      <c r="V249" s="59"/>
      <c r="W249" s="59"/>
      <c r="X249" s="82"/>
      <c r="Y249" s="82"/>
    </row>
    <row r="250" spans="1:25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86"/>
      <c r="T250" s="59"/>
      <c r="U250" s="59"/>
      <c r="V250" s="59"/>
      <c r="W250" s="59"/>
      <c r="X250" s="82"/>
      <c r="Y250" s="82"/>
    </row>
    <row r="251" spans="1:25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86"/>
      <c r="T251" s="59"/>
      <c r="U251" s="59"/>
      <c r="V251" s="59"/>
      <c r="W251" s="59"/>
      <c r="X251" s="82"/>
      <c r="Y251" s="82"/>
    </row>
    <row r="252" spans="1:25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86"/>
      <c r="T252" s="59"/>
      <c r="U252" s="59"/>
      <c r="V252" s="59"/>
      <c r="W252" s="59"/>
      <c r="X252" s="82"/>
      <c r="Y252" s="82"/>
    </row>
    <row r="253" spans="1:25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86"/>
      <c r="T253" s="59"/>
      <c r="U253" s="59"/>
      <c r="V253" s="59"/>
      <c r="W253" s="59"/>
      <c r="X253" s="82"/>
      <c r="Y253" s="82"/>
    </row>
    <row r="254" spans="1:25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86"/>
      <c r="T254" s="59"/>
      <c r="U254" s="59"/>
      <c r="V254" s="59"/>
      <c r="W254" s="59"/>
      <c r="X254" s="82"/>
      <c r="Y254" s="82"/>
    </row>
    <row r="255" spans="1:25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86"/>
      <c r="T255" s="59"/>
      <c r="U255" s="59"/>
      <c r="V255" s="59"/>
      <c r="W255" s="59"/>
      <c r="X255" s="82"/>
      <c r="Y255" s="82"/>
    </row>
    <row r="256" spans="1:25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86"/>
      <c r="T256" s="59"/>
      <c r="U256" s="59"/>
      <c r="V256" s="59"/>
      <c r="W256" s="59"/>
      <c r="X256" s="82"/>
      <c r="Y256" s="82"/>
    </row>
    <row r="257" spans="1:25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86"/>
      <c r="T257" s="59"/>
      <c r="U257" s="59"/>
      <c r="V257" s="59"/>
      <c r="W257" s="59"/>
      <c r="X257" s="82"/>
      <c r="Y257" s="82"/>
    </row>
    <row r="258" spans="1:25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86"/>
      <c r="T258" s="59"/>
      <c r="U258" s="59"/>
      <c r="V258" s="59"/>
      <c r="W258" s="59"/>
      <c r="X258" s="82"/>
      <c r="Y258" s="82"/>
    </row>
    <row r="259" spans="1:25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86"/>
      <c r="T259" s="59"/>
      <c r="U259" s="59"/>
      <c r="V259" s="59"/>
      <c r="W259" s="59"/>
      <c r="X259" s="82"/>
      <c r="Y259" s="82"/>
    </row>
    <row r="260" spans="1:25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86"/>
      <c r="T260" s="59"/>
      <c r="U260" s="59"/>
      <c r="V260" s="59"/>
      <c r="W260" s="59"/>
      <c r="X260" s="82"/>
      <c r="Y260" s="82"/>
    </row>
    <row r="261" spans="1:25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86"/>
      <c r="T261" s="59"/>
      <c r="U261" s="59"/>
      <c r="V261" s="59"/>
      <c r="W261" s="59"/>
      <c r="X261" s="82"/>
      <c r="Y261" s="82"/>
    </row>
    <row r="262" spans="1:25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86"/>
      <c r="T262" s="59"/>
      <c r="U262" s="59"/>
      <c r="V262" s="59"/>
      <c r="W262" s="59"/>
      <c r="X262" s="82"/>
      <c r="Y262" s="82"/>
    </row>
    <row r="263" spans="1:25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86"/>
      <c r="T263" s="59"/>
      <c r="U263" s="59"/>
      <c r="V263" s="59"/>
      <c r="W263" s="59"/>
      <c r="X263" s="82"/>
      <c r="Y263" s="82"/>
    </row>
    <row r="264" spans="1:25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86"/>
      <c r="T264" s="59"/>
      <c r="U264" s="59"/>
      <c r="V264" s="59"/>
      <c r="W264" s="59"/>
      <c r="X264" s="82"/>
      <c r="Y264" s="82"/>
    </row>
    <row r="265" spans="1:25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86"/>
      <c r="T265" s="59"/>
      <c r="U265" s="59"/>
      <c r="V265" s="59"/>
      <c r="W265" s="59"/>
      <c r="X265" s="82"/>
      <c r="Y265" s="82"/>
    </row>
    <row r="266" spans="1:25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86"/>
      <c r="T266" s="59"/>
      <c r="U266" s="59"/>
      <c r="V266" s="59"/>
      <c r="W266" s="59"/>
      <c r="X266" s="82"/>
      <c r="Y266" s="82"/>
    </row>
    <row r="267" spans="1:25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86"/>
      <c r="T267" s="59"/>
      <c r="U267" s="59"/>
      <c r="V267" s="59"/>
      <c r="W267" s="59"/>
      <c r="X267" s="82"/>
      <c r="Y267" s="82"/>
    </row>
    <row r="268" spans="1:25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86"/>
      <c r="T268" s="59"/>
      <c r="U268" s="59"/>
      <c r="V268" s="59"/>
      <c r="W268" s="59"/>
      <c r="X268" s="82"/>
      <c r="Y268" s="82"/>
    </row>
    <row r="269" spans="1:25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86"/>
      <c r="T269" s="59"/>
      <c r="U269" s="59"/>
      <c r="V269" s="59"/>
      <c r="W269" s="59"/>
      <c r="X269" s="82"/>
      <c r="Y269" s="82"/>
    </row>
    <row r="270" spans="1:25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86"/>
      <c r="T270" s="59"/>
      <c r="U270" s="59"/>
      <c r="V270" s="59"/>
      <c r="W270" s="59"/>
      <c r="X270" s="82"/>
      <c r="Y270" s="82"/>
    </row>
    <row r="271" spans="1:25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86"/>
      <c r="T271" s="59"/>
      <c r="U271" s="59"/>
      <c r="V271" s="59"/>
      <c r="W271" s="59"/>
      <c r="X271" s="82"/>
      <c r="Y271" s="82"/>
    </row>
    <row r="272" spans="1:25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86"/>
      <c r="T272" s="59"/>
      <c r="U272" s="59"/>
      <c r="V272" s="59"/>
      <c r="W272" s="59"/>
      <c r="X272" s="82"/>
      <c r="Y272" s="82"/>
    </row>
    <row r="273" spans="1:25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86"/>
      <c r="T273" s="59"/>
      <c r="U273" s="59"/>
      <c r="V273" s="59"/>
      <c r="W273" s="59"/>
      <c r="X273" s="82"/>
      <c r="Y273" s="82"/>
    </row>
    <row r="274" spans="1:25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86"/>
      <c r="T274" s="59"/>
      <c r="U274" s="59"/>
      <c r="V274" s="59"/>
      <c r="W274" s="59"/>
      <c r="X274" s="82"/>
      <c r="Y274" s="82"/>
    </row>
    <row r="275" spans="1:25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86"/>
      <c r="T275" s="59"/>
      <c r="U275" s="59"/>
      <c r="V275" s="59"/>
      <c r="W275" s="59"/>
      <c r="X275" s="82"/>
      <c r="Y275" s="82"/>
    </row>
    <row r="276" spans="1:25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86"/>
      <c r="T276" s="59"/>
      <c r="U276" s="59"/>
      <c r="V276" s="59"/>
      <c r="W276" s="59"/>
      <c r="X276" s="82"/>
      <c r="Y276" s="82"/>
    </row>
    <row r="277" spans="1:25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86"/>
      <c r="T277" s="59"/>
      <c r="U277" s="59"/>
      <c r="V277" s="59"/>
      <c r="W277" s="59"/>
      <c r="X277" s="82"/>
      <c r="Y277" s="82"/>
    </row>
    <row r="278" spans="1:25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86"/>
      <c r="T278" s="59"/>
      <c r="U278" s="59"/>
      <c r="V278" s="59"/>
      <c r="W278" s="59"/>
      <c r="X278" s="82"/>
      <c r="Y278" s="82"/>
    </row>
    <row r="279" spans="1:25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86"/>
      <c r="T279" s="59"/>
      <c r="U279" s="59"/>
      <c r="V279" s="59"/>
      <c r="W279" s="59"/>
      <c r="X279" s="82"/>
      <c r="Y279" s="82"/>
    </row>
    <row r="280" spans="1:25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86"/>
      <c r="T280" s="59"/>
      <c r="U280" s="59"/>
      <c r="V280" s="59"/>
      <c r="W280" s="59"/>
      <c r="X280" s="82"/>
      <c r="Y280" s="82"/>
    </row>
    <row r="281" spans="1:25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86"/>
      <c r="T281" s="59"/>
      <c r="U281" s="59"/>
      <c r="V281" s="59"/>
      <c r="W281" s="59"/>
      <c r="X281" s="82"/>
      <c r="Y281" s="82"/>
    </row>
    <row r="282" spans="1:25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86"/>
      <c r="T282" s="59"/>
      <c r="U282" s="59"/>
      <c r="V282" s="59"/>
      <c r="W282" s="59"/>
      <c r="X282" s="82"/>
      <c r="Y282" s="82"/>
    </row>
    <row r="283" spans="1:25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86"/>
      <c r="T283" s="59"/>
      <c r="U283" s="59"/>
      <c r="V283" s="59"/>
      <c r="W283" s="59"/>
      <c r="X283" s="82"/>
      <c r="Y283" s="82"/>
    </row>
    <row r="284" spans="1:25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86"/>
      <c r="T284" s="59"/>
      <c r="U284" s="59"/>
      <c r="V284" s="59"/>
      <c r="W284" s="59"/>
      <c r="X284" s="82"/>
      <c r="Y284" s="82"/>
    </row>
    <row r="285" spans="1:25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86"/>
      <c r="T285" s="59"/>
      <c r="U285" s="59"/>
      <c r="V285" s="59"/>
      <c r="W285" s="59"/>
      <c r="X285" s="82"/>
      <c r="Y285" s="82"/>
    </row>
    <row r="286" spans="1:25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86"/>
      <c r="T286" s="59"/>
      <c r="U286" s="59"/>
      <c r="V286" s="59"/>
      <c r="W286" s="59"/>
      <c r="X286" s="82"/>
      <c r="Y286" s="82"/>
    </row>
    <row r="287" spans="1:25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86"/>
      <c r="T287" s="59"/>
      <c r="U287" s="59"/>
      <c r="V287" s="59"/>
      <c r="W287" s="59"/>
      <c r="X287" s="82"/>
      <c r="Y287" s="82"/>
    </row>
    <row r="288" spans="1:25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86"/>
      <c r="T288" s="59"/>
      <c r="U288" s="59"/>
      <c r="V288" s="59"/>
      <c r="W288" s="59"/>
      <c r="X288" s="82"/>
      <c r="Y288" s="82"/>
    </row>
    <row r="289" spans="1:25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86"/>
      <c r="T289" s="59"/>
      <c r="U289" s="59"/>
      <c r="V289" s="59"/>
      <c r="W289" s="59"/>
      <c r="X289" s="82"/>
      <c r="Y289" s="82"/>
    </row>
    <row r="290" spans="1:25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86"/>
      <c r="T290" s="59"/>
      <c r="U290" s="59"/>
      <c r="V290" s="59"/>
      <c r="W290" s="59"/>
      <c r="X290" s="82"/>
      <c r="Y290" s="82"/>
    </row>
    <row r="291" spans="1:25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86"/>
      <c r="T291" s="59"/>
      <c r="U291" s="59"/>
      <c r="V291" s="59"/>
      <c r="W291" s="59"/>
      <c r="X291" s="82"/>
      <c r="Y291" s="82"/>
    </row>
    <row r="292" spans="1:25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86"/>
      <c r="T292" s="59"/>
      <c r="U292" s="59"/>
      <c r="V292" s="59"/>
      <c r="W292" s="59"/>
      <c r="X292" s="82"/>
      <c r="Y292" s="82"/>
    </row>
    <row r="293" spans="1:25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86"/>
      <c r="T293" s="59"/>
      <c r="U293" s="59"/>
      <c r="V293" s="59"/>
      <c r="W293" s="59"/>
      <c r="X293" s="82"/>
      <c r="Y293" s="82"/>
    </row>
    <row r="294" spans="1:25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86"/>
      <c r="T294" s="59"/>
      <c r="U294" s="59"/>
      <c r="V294" s="59"/>
      <c r="W294" s="59"/>
      <c r="X294" s="82"/>
      <c r="Y294" s="82"/>
    </row>
    <row r="295" spans="1:25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86"/>
      <c r="T295" s="59"/>
      <c r="U295" s="59"/>
      <c r="V295" s="59"/>
      <c r="W295" s="59"/>
      <c r="X295" s="82"/>
      <c r="Y295" s="82"/>
    </row>
    <row r="296" spans="1:25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86"/>
      <c r="T296" s="59"/>
      <c r="U296" s="59"/>
      <c r="V296" s="59"/>
      <c r="W296" s="59"/>
      <c r="X296" s="82"/>
      <c r="Y296" s="82"/>
    </row>
    <row r="297" spans="1:25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86"/>
      <c r="T297" s="59"/>
      <c r="U297" s="59"/>
      <c r="V297" s="59"/>
      <c r="W297" s="59"/>
      <c r="X297" s="82"/>
      <c r="Y297" s="82"/>
    </row>
    <row r="298" spans="1:25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86"/>
      <c r="T298" s="59"/>
      <c r="U298" s="59"/>
      <c r="V298" s="59"/>
      <c r="W298" s="59"/>
      <c r="X298" s="82"/>
      <c r="Y298" s="82"/>
    </row>
    <row r="299" spans="1:25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86"/>
      <c r="T299" s="59"/>
      <c r="U299" s="59"/>
      <c r="V299" s="59"/>
      <c r="W299" s="59"/>
      <c r="X299" s="82"/>
      <c r="Y299" s="82"/>
    </row>
    <row r="300" spans="1:25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86"/>
      <c r="T300" s="59"/>
      <c r="U300" s="59"/>
      <c r="V300" s="59"/>
      <c r="W300" s="59"/>
      <c r="X300" s="82"/>
      <c r="Y300" s="82"/>
    </row>
    <row r="301" spans="1:25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86"/>
      <c r="T301" s="59"/>
      <c r="U301" s="59"/>
      <c r="V301" s="59"/>
      <c r="W301" s="59"/>
      <c r="X301" s="82"/>
      <c r="Y301" s="82"/>
    </row>
    <row r="302" spans="1:25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86"/>
      <c r="T302" s="59"/>
      <c r="U302" s="59"/>
      <c r="V302" s="59"/>
      <c r="W302" s="59"/>
      <c r="X302" s="82"/>
      <c r="Y302" s="82"/>
    </row>
    <row r="303" spans="1:25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86"/>
      <c r="T303" s="59"/>
      <c r="U303" s="59"/>
      <c r="V303" s="59"/>
      <c r="W303" s="59"/>
      <c r="X303" s="82"/>
      <c r="Y303" s="82"/>
    </row>
    <row r="304" spans="1:25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86"/>
      <c r="T304" s="59"/>
      <c r="U304" s="59"/>
      <c r="V304" s="59"/>
      <c r="W304" s="59"/>
      <c r="X304" s="82"/>
      <c r="Y304" s="82"/>
    </row>
    <row r="305" spans="1:25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86"/>
      <c r="T305" s="59"/>
      <c r="U305" s="59"/>
      <c r="V305" s="59"/>
      <c r="W305" s="59"/>
      <c r="X305" s="82"/>
      <c r="Y305" s="82"/>
    </row>
    <row r="306" spans="1:25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86"/>
      <c r="T306" s="59"/>
      <c r="U306" s="59"/>
      <c r="V306" s="59"/>
      <c r="W306" s="59"/>
      <c r="X306" s="82"/>
      <c r="Y306" s="82"/>
    </row>
    <row r="307" spans="1:25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86"/>
      <c r="T307" s="59"/>
      <c r="U307" s="59"/>
      <c r="V307" s="59"/>
      <c r="W307" s="59"/>
      <c r="X307" s="82"/>
      <c r="Y307" s="82"/>
    </row>
    <row r="308" spans="1:25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86"/>
      <c r="T308" s="59"/>
      <c r="U308" s="59"/>
      <c r="V308" s="59"/>
      <c r="W308" s="59"/>
      <c r="X308" s="82"/>
      <c r="Y308" s="82"/>
    </row>
    <row r="309" spans="1:25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86"/>
      <c r="T309" s="59"/>
      <c r="U309" s="59"/>
      <c r="V309" s="59"/>
      <c r="W309" s="59"/>
      <c r="X309" s="82"/>
      <c r="Y309" s="82"/>
    </row>
    <row r="310" spans="1:25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86"/>
      <c r="T310" s="59"/>
      <c r="U310" s="59"/>
      <c r="V310" s="59"/>
      <c r="W310" s="59"/>
      <c r="X310" s="82"/>
      <c r="Y310" s="82"/>
    </row>
    <row r="311" spans="1:25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86"/>
      <c r="T311" s="59"/>
      <c r="U311" s="59"/>
      <c r="V311" s="59"/>
      <c r="W311" s="59"/>
      <c r="X311" s="82"/>
      <c r="Y311" s="82"/>
    </row>
    <row r="312" spans="1:25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86"/>
      <c r="T312" s="59"/>
      <c r="U312" s="59"/>
      <c r="V312" s="59"/>
      <c r="W312" s="59"/>
      <c r="X312" s="82"/>
      <c r="Y312" s="82"/>
    </row>
    <row r="313" spans="1:25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86"/>
      <c r="T313" s="59"/>
      <c r="U313" s="59"/>
      <c r="V313" s="59"/>
      <c r="W313" s="59"/>
      <c r="X313" s="82"/>
      <c r="Y313" s="82"/>
    </row>
    <row r="314" spans="1:25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86"/>
      <c r="T314" s="59"/>
      <c r="U314" s="59"/>
      <c r="V314" s="59"/>
      <c r="W314" s="59"/>
      <c r="X314" s="82"/>
      <c r="Y314" s="82"/>
    </row>
    <row r="315" spans="1:25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86"/>
      <c r="T315" s="59"/>
      <c r="U315" s="59"/>
      <c r="V315" s="59"/>
      <c r="W315" s="59"/>
      <c r="X315" s="82"/>
      <c r="Y315" s="82"/>
    </row>
    <row r="316" spans="1:25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86"/>
      <c r="T316" s="59"/>
      <c r="U316" s="59"/>
      <c r="V316" s="59"/>
      <c r="W316" s="59"/>
      <c r="X316" s="82"/>
      <c r="Y316" s="82"/>
    </row>
    <row r="317" spans="1:25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86"/>
      <c r="T317" s="59"/>
      <c r="U317" s="59"/>
      <c r="V317" s="59"/>
      <c r="W317" s="59"/>
      <c r="X317" s="82"/>
      <c r="Y317" s="82"/>
    </row>
    <row r="318" spans="1:25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86"/>
      <c r="T318" s="59"/>
      <c r="U318" s="59"/>
      <c r="V318" s="59"/>
      <c r="W318" s="59"/>
      <c r="X318" s="82"/>
      <c r="Y318" s="82"/>
    </row>
    <row r="319" spans="1:25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86"/>
      <c r="T319" s="59"/>
      <c r="U319" s="59"/>
      <c r="V319" s="59"/>
      <c r="W319" s="59"/>
      <c r="X319" s="82"/>
      <c r="Y319" s="82"/>
    </row>
    <row r="320" spans="1:25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86"/>
      <c r="T320" s="59"/>
      <c r="U320" s="59"/>
      <c r="V320" s="59"/>
      <c r="W320" s="59"/>
      <c r="X320" s="82"/>
      <c r="Y320" s="82"/>
    </row>
    <row r="321" spans="1:25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86"/>
      <c r="T321" s="59"/>
      <c r="U321" s="59"/>
      <c r="V321" s="59"/>
      <c r="W321" s="59"/>
      <c r="X321" s="82"/>
      <c r="Y321" s="82"/>
    </row>
    <row r="322" spans="1:25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86"/>
      <c r="T322" s="59"/>
      <c r="U322" s="59"/>
      <c r="V322" s="59"/>
      <c r="W322" s="59"/>
      <c r="X322" s="82"/>
      <c r="Y322" s="82"/>
    </row>
    <row r="323" spans="1:25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86"/>
      <c r="T323" s="59"/>
      <c r="U323" s="59"/>
      <c r="V323" s="59"/>
      <c r="W323" s="59"/>
      <c r="X323" s="82"/>
      <c r="Y323" s="82"/>
    </row>
    <row r="324" spans="1:25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86"/>
      <c r="T324" s="59"/>
      <c r="U324" s="59"/>
      <c r="V324" s="59"/>
      <c r="W324" s="59"/>
      <c r="X324" s="82"/>
      <c r="Y324" s="82"/>
    </row>
    <row r="325" spans="1:25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86"/>
      <c r="T325" s="59"/>
      <c r="U325" s="59"/>
      <c r="V325" s="59"/>
      <c r="W325" s="59"/>
      <c r="X325" s="82"/>
      <c r="Y325" s="82"/>
    </row>
    <row r="326" spans="1:25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86"/>
      <c r="T326" s="59"/>
      <c r="U326" s="59"/>
      <c r="V326" s="59"/>
      <c r="W326" s="59"/>
      <c r="X326" s="82"/>
      <c r="Y326" s="82"/>
    </row>
    <row r="327" spans="1:25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86"/>
      <c r="T327" s="59"/>
      <c r="U327" s="59"/>
      <c r="V327" s="59"/>
      <c r="W327" s="59"/>
      <c r="X327" s="82"/>
      <c r="Y327" s="82"/>
    </row>
    <row r="328" spans="1:25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86"/>
      <c r="T328" s="59"/>
      <c r="U328" s="59"/>
      <c r="V328" s="59"/>
      <c r="W328" s="59"/>
      <c r="X328" s="82"/>
      <c r="Y328" s="82"/>
    </row>
    <row r="329" spans="1:25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86"/>
      <c r="T329" s="59"/>
      <c r="U329" s="59"/>
      <c r="V329" s="59"/>
      <c r="W329" s="59"/>
      <c r="X329" s="82"/>
      <c r="Y329" s="82"/>
    </row>
    <row r="330" spans="1:25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86"/>
      <c r="T330" s="59"/>
      <c r="U330" s="59"/>
      <c r="V330" s="59"/>
      <c r="W330" s="59"/>
      <c r="X330" s="82"/>
      <c r="Y330" s="82"/>
    </row>
    <row r="331" spans="1:25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86"/>
      <c r="T331" s="59"/>
      <c r="U331" s="59"/>
      <c r="V331" s="59"/>
      <c r="W331" s="59"/>
      <c r="X331" s="82"/>
      <c r="Y331" s="82"/>
    </row>
    <row r="332" spans="1:25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86"/>
      <c r="T332" s="59"/>
      <c r="U332" s="59"/>
      <c r="V332" s="59"/>
      <c r="W332" s="59"/>
      <c r="X332" s="82"/>
      <c r="Y332" s="82"/>
    </row>
    <row r="333" spans="1:25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86"/>
      <c r="T333" s="59"/>
      <c r="U333" s="59"/>
      <c r="V333" s="59"/>
      <c r="W333" s="59"/>
      <c r="X333" s="82"/>
      <c r="Y333" s="82"/>
    </row>
    <row r="334" spans="1:25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86"/>
      <c r="T334" s="59"/>
      <c r="U334" s="59"/>
      <c r="V334" s="59"/>
      <c r="W334" s="59"/>
      <c r="X334" s="82"/>
      <c r="Y334" s="82"/>
    </row>
    <row r="335" spans="1:25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86"/>
      <c r="T335" s="59"/>
      <c r="U335" s="59"/>
      <c r="V335" s="59"/>
      <c r="W335" s="59"/>
      <c r="X335" s="82"/>
      <c r="Y335" s="82"/>
    </row>
    <row r="336" spans="1:25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86"/>
      <c r="T336" s="59"/>
      <c r="U336" s="59"/>
      <c r="V336" s="59"/>
      <c r="W336" s="59"/>
      <c r="X336" s="82"/>
      <c r="Y336" s="82"/>
    </row>
    <row r="337" spans="1:25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86"/>
      <c r="T337" s="59"/>
      <c r="U337" s="59"/>
      <c r="V337" s="59"/>
      <c r="W337" s="59"/>
      <c r="X337" s="82"/>
      <c r="Y337" s="82"/>
    </row>
    <row r="338" spans="1:25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86"/>
      <c r="T338" s="59"/>
      <c r="U338" s="59"/>
      <c r="V338" s="59"/>
      <c r="W338" s="59"/>
      <c r="X338" s="82"/>
      <c r="Y338" s="82"/>
    </row>
    <row r="339" spans="1:25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86"/>
      <c r="T339" s="59"/>
      <c r="U339" s="59"/>
      <c r="V339" s="59"/>
      <c r="W339" s="59"/>
      <c r="X339" s="82"/>
      <c r="Y339" s="82"/>
    </row>
    <row r="340" spans="1:25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86"/>
      <c r="T340" s="59"/>
      <c r="U340" s="59"/>
      <c r="V340" s="59"/>
      <c r="W340" s="59"/>
      <c r="X340" s="82"/>
      <c r="Y340" s="82"/>
    </row>
    <row r="341" spans="1:25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86"/>
      <c r="T341" s="59"/>
      <c r="U341" s="59"/>
      <c r="V341" s="59"/>
      <c r="W341" s="59"/>
      <c r="X341" s="82"/>
      <c r="Y341" s="82"/>
    </row>
    <row r="342" spans="1:25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86"/>
      <c r="T342" s="59"/>
      <c r="U342" s="59"/>
      <c r="V342" s="59"/>
      <c r="W342" s="59"/>
      <c r="X342" s="82"/>
      <c r="Y342" s="82"/>
    </row>
    <row r="343" spans="1:25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86"/>
      <c r="T343" s="59"/>
      <c r="U343" s="59"/>
      <c r="V343" s="59"/>
      <c r="W343" s="59"/>
      <c r="X343" s="82"/>
      <c r="Y343" s="82"/>
    </row>
    <row r="344" spans="1:25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86"/>
      <c r="T344" s="59"/>
      <c r="U344" s="59"/>
      <c r="V344" s="59"/>
      <c r="W344" s="59"/>
      <c r="X344" s="82"/>
      <c r="Y344" s="82"/>
    </row>
    <row r="345" spans="1:25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86"/>
      <c r="T345" s="59"/>
      <c r="U345" s="59"/>
      <c r="V345" s="59"/>
      <c r="W345" s="59"/>
      <c r="X345" s="82"/>
      <c r="Y345" s="82"/>
    </row>
    <row r="346" spans="1:25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86"/>
      <c r="T346" s="59"/>
      <c r="U346" s="59"/>
      <c r="V346" s="59"/>
      <c r="W346" s="59"/>
      <c r="X346" s="82"/>
      <c r="Y346" s="82"/>
    </row>
    <row r="347" spans="1:25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86"/>
      <c r="T347" s="59"/>
      <c r="U347" s="59"/>
      <c r="V347" s="59"/>
      <c r="W347" s="59"/>
      <c r="X347" s="82"/>
      <c r="Y347" s="82"/>
    </row>
    <row r="348" spans="1:25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86"/>
      <c r="T348" s="59"/>
      <c r="U348" s="59"/>
      <c r="V348" s="59"/>
      <c r="W348" s="59"/>
      <c r="X348" s="82"/>
      <c r="Y348" s="82"/>
    </row>
    <row r="349" spans="1:25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86"/>
      <c r="T349" s="59"/>
      <c r="U349" s="59"/>
      <c r="V349" s="59"/>
      <c r="W349" s="59"/>
      <c r="X349" s="82"/>
      <c r="Y349" s="82"/>
    </row>
    <row r="350" spans="1:25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86"/>
      <c r="T350" s="59"/>
      <c r="U350" s="59"/>
      <c r="V350" s="59"/>
      <c r="W350" s="59"/>
      <c r="X350" s="82"/>
      <c r="Y350" s="82"/>
    </row>
    <row r="351" spans="1:25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86"/>
      <c r="T351" s="59"/>
      <c r="U351" s="59"/>
      <c r="V351" s="59"/>
      <c r="W351" s="59"/>
      <c r="X351" s="82"/>
      <c r="Y351" s="82"/>
    </row>
    <row r="352" spans="1:25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86"/>
      <c r="T352" s="59"/>
      <c r="U352" s="59"/>
      <c r="V352" s="59"/>
      <c r="W352" s="59"/>
      <c r="X352" s="82"/>
      <c r="Y352" s="82"/>
    </row>
    <row r="353" spans="1:25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86"/>
      <c r="T353" s="59"/>
      <c r="U353" s="59"/>
      <c r="V353" s="59"/>
      <c r="W353" s="59"/>
      <c r="X353" s="82"/>
      <c r="Y353" s="82"/>
    </row>
    <row r="354" spans="1:25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86"/>
      <c r="T354" s="59"/>
      <c r="U354" s="59"/>
      <c r="V354" s="59"/>
      <c r="W354" s="59"/>
      <c r="X354" s="82"/>
      <c r="Y354" s="82"/>
    </row>
    <row r="355" spans="1:25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86"/>
      <c r="T355" s="59"/>
      <c r="U355" s="59"/>
      <c r="V355" s="59"/>
      <c r="W355" s="59"/>
      <c r="X355" s="82"/>
      <c r="Y355" s="82"/>
    </row>
    <row r="356" spans="1:25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86"/>
      <c r="T356" s="59"/>
      <c r="U356" s="59"/>
      <c r="V356" s="59"/>
      <c r="W356" s="59"/>
      <c r="X356" s="82"/>
      <c r="Y356" s="82"/>
    </row>
    <row r="357" spans="1:25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86"/>
      <c r="T357" s="59"/>
      <c r="U357" s="59"/>
      <c r="V357" s="59"/>
      <c r="W357" s="59"/>
      <c r="X357" s="82"/>
      <c r="Y357" s="82"/>
    </row>
    <row r="358" spans="1:25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86"/>
      <c r="T358" s="59"/>
      <c r="U358" s="59"/>
      <c r="V358" s="59"/>
      <c r="W358" s="59"/>
      <c r="X358" s="82"/>
      <c r="Y358" s="82"/>
    </row>
    <row r="359" spans="1:25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86"/>
      <c r="T359" s="59"/>
      <c r="U359" s="59"/>
      <c r="V359" s="59"/>
      <c r="W359" s="59"/>
      <c r="X359" s="82"/>
      <c r="Y359" s="82"/>
    </row>
    <row r="360" spans="1:25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86"/>
      <c r="T360" s="59"/>
      <c r="U360" s="59"/>
      <c r="V360" s="59"/>
      <c r="W360" s="59"/>
      <c r="X360" s="82"/>
      <c r="Y360" s="82"/>
    </row>
    <row r="361" spans="1:25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86"/>
      <c r="T361" s="59"/>
      <c r="U361" s="59"/>
      <c r="V361" s="59"/>
      <c r="W361" s="59"/>
      <c r="X361" s="82"/>
      <c r="Y361" s="82"/>
    </row>
    <row r="362" spans="1:25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86"/>
      <c r="T362" s="59"/>
      <c r="U362" s="59"/>
      <c r="V362" s="59"/>
      <c r="W362" s="59"/>
      <c r="X362" s="82"/>
      <c r="Y362" s="82"/>
    </row>
    <row r="363" spans="1:25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86"/>
      <c r="T363" s="59"/>
      <c r="U363" s="59"/>
      <c r="V363" s="59"/>
      <c r="W363" s="59"/>
      <c r="X363" s="82"/>
      <c r="Y363" s="82"/>
    </row>
    <row r="364" spans="1:25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86"/>
      <c r="T364" s="59"/>
      <c r="U364" s="59"/>
      <c r="V364" s="59"/>
      <c r="W364" s="59"/>
      <c r="X364" s="82"/>
      <c r="Y364" s="82"/>
    </row>
    <row r="365" spans="1:25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86"/>
      <c r="T365" s="59"/>
      <c r="U365" s="59"/>
      <c r="V365" s="59"/>
      <c r="W365" s="59"/>
      <c r="X365" s="82"/>
      <c r="Y365" s="82"/>
    </row>
    <row r="366" spans="1:25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86"/>
      <c r="T366" s="59"/>
      <c r="U366" s="59"/>
      <c r="V366" s="59"/>
      <c r="W366" s="59"/>
      <c r="X366" s="82"/>
      <c r="Y366" s="82"/>
    </row>
    <row r="367" spans="1:25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86"/>
      <c r="T367" s="59"/>
      <c r="U367" s="59"/>
      <c r="V367" s="59"/>
      <c r="W367" s="59"/>
      <c r="X367" s="82"/>
      <c r="Y367" s="82"/>
    </row>
    <row r="368" spans="1:25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86"/>
      <c r="T368" s="59"/>
      <c r="U368" s="59"/>
      <c r="V368" s="59"/>
      <c r="W368" s="59"/>
      <c r="X368" s="82"/>
      <c r="Y368" s="82"/>
    </row>
    <row r="369" spans="1:25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86"/>
      <c r="T369" s="59"/>
      <c r="U369" s="59"/>
      <c r="V369" s="59"/>
      <c r="W369" s="59"/>
      <c r="X369" s="82"/>
      <c r="Y369" s="82"/>
    </row>
    <row r="370" spans="1:25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86"/>
      <c r="T370" s="59"/>
      <c r="U370" s="59"/>
      <c r="V370" s="59"/>
      <c r="W370" s="59"/>
      <c r="X370" s="82"/>
      <c r="Y370" s="82"/>
    </row>
    <row r="371" spans="1:25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86"/>
      <c r="T371" s="59"/>
      <c r="U371" s="59"/>
      <c r="V371" s="59"/>
      <c r="W371" s="59"/>
      <c r="X371" s="82"/>
      <c r="Y371" s="82"/>
    </row>
    <row r="372" spans="1:25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86"/>
      <c r="T372" s="59"/>
      <c r="U372" s="59"/>
      <c r="V372" s="59"/>
      <c r="W372" s="59"/>
      <c r="X372" s="82"/>
      <c r="Y372" s="82"/>
    </row>
    <row r="373" spans="1:25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86"/>
      <c r="T373" s="59"/>
      <c r="U373" s="59"/>
      <c r="V373" s="59"/>
      <c r="W373" s="59"/>
      <c r="X373" s="82"/>
      <c r="Y373" s="82"/>
    </row>
    <row r="374" spans="1:25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86"/>
      <c r="T374" s="59"/>
      <c r="U374" s="59"/>
      <c r="V374" s="59"/>
      <c r="W374" s="59"/>
      <c r="X374" s="82"/>
      <c r="Y374" s="82"/>
    </row>
    <row r="375" spans="1:25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86"/>
      <c r="T375" s="59"/>
      <c r="U375" s="59"/>
      <c r="V375" s="59"/>
      <c r="W375" s="59"/>
      <c r="X375" s="82"/>
      <c r="Y375" s="82"/>
    </row>
    <row r="376" spans="1:25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86"/>
      <c r="T376" s="59"/>
      <c r="U376" s="59"/>
      <c r="V376" s="59"/>
      <c r="W376" s="59"/>
      <c r="X376" s="82"/>
      <c r="Y376" s="82"/>
    </row>
    <row r="377" spans="1:25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86"/>
      <c r="T377" s="59"/>
      <c r="U377" s="59"/>
      <c r="V377" s="59"/>
      <c r="W377" s="59"/>
      <c r="X377" s="82"/>
      <c r="Y377" s="82"/>
    </row>
    <row r="378" spans="1:25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86"/>
      <c r="T378" s="59"/>
      <c r="U378" s="59"/>
      <c r="V378" s="59"/>
      <c r="W378" s="59"/>
      <c r="X378" s="82"/>
      <c r="Y378" s="82"/>
    </row>
    <row r="379" spans="1:25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86"/>
      <c r="T379" s="59"/>
      <c r="U379" s="59"/>
      <c r="V379" s="59"/>
      <c r="W379" s="59"/>
      <c r="X379" s="82"/>
      <c r="Y379" s="82"/>
    </row>
    <row r="380" spans="1:25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86"/>
      <c r="T380" s="59"/>
      <c r="U380" s="59"/>
      <c r="V380" s="59"/>
      <c r="W380" s="59"/>
      <c r="X380" s="82"/>
      <c r="Y380" s="82"/>
    </row>
    <row r="381" spans="1:25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86"/>
      <c r="T381" s="59"/>
      <c r="U381" s="59"/>
      <c r="V381" s="59"/>
      <c r="W381" s="59"/>
      <c r="X381" s="82"/>
      <c r="Y381" s="82"/>
    </row>
    <row r="382" spans="1:25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86"/>
      <c r="T382" s="59"/>
      <c r="U382" s="59"/>
      <c r="V382" s="59"/>
      <c r="W382" s="59"/>
      <c r="X382" s="82"/>
      <c r="Y382" s="82"/>
    </row>
    <row r="383" spans="1:25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86"/>
      <c r="T383" s="59"/>
      <c r="U383" s="59"/>
      <c r="V383" s="59"/>
      <c r="W383" s="59"/>
      <c r="X383" s="82"/>
      <c r="Y383" s="82"/>
    </row>
    <row r="384" spans="1:25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86"/>
      <c r="T384" s="59"/>
      <c r="U384" s="59"/>
      <c r="V384" s="59"/>
      <c r="W384" s="59"/>
      <c r="X384" s="82"/>
      <c r="Y384" s="82"/>
    </row>
    <row r="385" spans="1:25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86"/>
      <c r="T385" s="59"/>
      <c r="U385" s="59"/>
      <c r="V385" s="59"/>
      <c r="W385" s="59"/>
      <c r="X385" s="82"/>
      <c r="Y385" s="82"/>
    </row>
    <row r="386" spans="1:25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86"/>
      <c r="T386" s="59"/>
      <c r="U386" s="59"/>
      <c r="V386" s="59"/>
      <c r="W386" s="59"/>
      <c r="X386" s="82"/>
      <c r="Y386" s="82"/>
    </row>
    <row r="387" spans="1:25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86"/>
      <c r="T387" s="59"/>
      <c r="U387" s="59"/>
      <c r="V387" s="59"/>
      <c r="W387" s="59"/>
      <c r="X387" s="82"/>
      <c r="Y387" s="82"/>
    </row>
    <row r="388" spans="1:25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86"/>
      <c r="T388" s="59"/>
      <c r="U388" s="59"/>
      <c r="V388" s="59"/>
      <c r="W388" s="59"/>
      <c r="X388" s="82"/>
      <c r="Y388" s="82"/>
    </row>
    <row r="389" spans="1:25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86"/>
      <c r="T389" s="59"/>
      <c r="U389" s="59"/>
      <c r="V389" s="59"/>
      <c r="W389" s="59"/>
      <c r="X389" s="82"/>
      <c r="Y389" s="82"/>
    </row>
    <row r="390" spans="1:25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86"/>
      <c r="T390" s="59"/>
      <c r="U390" s="59"/>
      <c r="V390" s="59"/>
      <c r="W390" s="59"/>
      <c r="X390" s="82"/>
      <c r="Y390" s="82"/>
    </row>
    <row r="391" spans="1:25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86"/>
      <c r="T391" s="59"/>
      <c r="U391" s="59"/>
      <c r="V391" s="59"/>
      <c r="W391" s="59"/>
      <c r="X391" s="82"/>
      <c r="Y391" s="82"/>
    </row>
    <row r="392" spans="1:25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86"/>
      <c r="T392" s="59"/>
      <c r="U392" s="59"/>
      <c r="V392" s="59"/>
      <c r="W392" s="59"/>
      <c r="X392" s="82"/>
      <c r="Y392" s="82"/>
    </row>
    <row r="393" spans="1:25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86"/>
      <c r="T393" s="59"/>
      <c r="U393" s="59"/>
      <c r="V393" s="59"/>
      <c r="W393" s="59"/>
      <c r="X393" s="82"/>
      <c r="Y393" s="82"/>
    </row>
    <row r="394" spans="1:25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86"/>
      <c r="T394" s="59"/>
      <c r="U394" s="59"/>
      <c r="V394" s="59"/>
      <c r="W394" s="59"/>
      <c r="X394" s="82"/>
      <c r="Y394" s="82"/>
    </row>
    <row r="395" spans="1:25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86"/>
      <c r="T395" s="59"/>
      <c r="U395" s="59"/>
      <c r="V395" s="59"/>
      <c r="W395" s="59"/>
      <c r="X395" s="82"/>
      <c r="Y395" s="82"/>
    </row>
    <row r="396" spans="1:25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86"/>
      <c r="T396" s="59"/>
      <c r="U396" s="59"/>
      <c r="V396" s="59"/>
      <c r="W396" s="59"/>
      <c r="X396" s="82"/>
      <c r="Y396" s="82"/>
    </row>
    <row r="397" spans="1:25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86"/>
      <c r="T397" s="59"/>
      <c r="U397" s="59"/>
      <c r="V397" s="59"/>
      <c r="W397" s="59"/>
      <c r="X397" s="82"/>
      <c r="Y397" s="82"/>
    </row>
    <row r="398" spans="1:25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86"/>
      <c r="T398" s="59"/>
      <c r="U398" s="59"/>
      <c r="V398" s="59"/>
      <c r="W398" s="59"/>
      <c r="X398" s="82"/>
      <c r="Y398" s="82"/>
    </row>
    <row r="399" spans="1:25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86"/>
      <c r="T399" s="59"/>
      <c r="U399" s="59"/>
      <c r="V399" s="59"/>
      <c r="W399" s="59"/>
      <c r="X399" s="82"/>
      <c r="Y399" s="82"/>
    </row>
    <row r="400" spans="1:25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86"/>
      <c r="T400" s="59"/>
      <c r="U400" s="59"/>
      <c r="V400" s="59"/>
      <c r="W400" s="59"/>
      <c r="X400" s="82"/>
      <c r="Y400" s="82"/>
    </row>
    <row r="401" spans="1:25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86"/>
      <c r="T401" s="59"/>
      <c r="U401" s="59"/>
      <c r="V401" s="59"/>
      <c r="W401" s="59"/>
      <c r="X401" s="82"/>
      <c r="Y401" s="82"/>
    </row>
    <row r="402" spans="1:25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86"/>
      <c r="T402" s="59"/>
      <c r="U402" s="59"/>
      <c r="V402" s="59"/>
      <c r="W402" s="59"/>
      <c r="X402" s="82"/>
      <c r="Y402" s="82"/>
    </row>
    <row r="403" spans="1:25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86"/>
      <c r="T403" s="59"/>
      <c r="U403" s="59"/>
      <c r="V403" s="59"/>
      <c r="W403" s="59"/>
      <c r="X403" s="82"/>
      <c r="Y403" s="82"/>
    </row>
    <row r="404" spans="1:25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86"/>
      <c r="T404" s="59"/>
      <c r="U404" s="59"/>
      <c r="V404" s="59"/>
      <c r="W404" s="59"/>
      <c r="X404" s="82"/>
      <c r="Y404" s="82"/>
    </row>
    <row r="405" spans="1:25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86"/>
      <c r="T405" s="59"/>
      <c r="U405" s="59"/>
      <c r="V405" s="59"/>
      <c r="W405" s="59"/>
      <c r="X405" s="82"/>
      <c r="Y405" s="82"/>
    </row>
    <row r="406" spans="1:25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86"/>
      <c r="T406" s="59"/>
      <c r="U406" s="59"/>
      <c r="V406" s="59"/>
      <c r="W406" s="59"/>
      <c r="X406" s="82"/>
      <c r="Y406" s="82"/>
    </row>
    <row r="407" spans="1:25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86"/>
      <c r="T407" s="59"/>
      <c r="U407" s="59"/>
      <c r="V407" s="59"/>
      <c r="W407" s="59"/>
      <c r="X407" s="82"/>
      <c r="Y407" s="82"/>
    </row>
    <row r="408" spans="1:25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86"/>
      <c r="T408" s="59"/>
      <c r="U408" s="59"/>
      <c r="V408" s="59"/>
      <c r="W408" s="59"/>
      <c r="X408" s="82"/>
      <c r="Y408" s="82"/>
    </row>
    <row r="409" spans="1:25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86"/>
      <c r="T409" s="59"/>
      <c r="U409" s="59"/>
      <c r="V409" s="59"/>
      <c r="W409" s="59"/>
      <c r="X409" s="82"/>
      <c r="Y409" s="82"/>
    </row>
    <row r="410" spans="1:25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86"/>
      <c r="T410" s="59"/>
      <c r="U410" s="59"/>
      <c r="V410" s="59"/>
      <c r="W410" s="59"/>
      <c r="X410" s="82"/>
      <c r="Y410" s="82"/>
    </row>
    <row r="411" spans="1:25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86"/>
      <c r="T411" s="59"/>
      <c r="U411" s="59"/>
      <c r="V411" s="59"/>
      <c r="W411" s="59"/>
      <c r="X411" s="82"/>
      <c r="Y411" s="82"/>
    </row>
    <row r="412" spans="1:25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86"/>
      <c r="T412" s="59"/>
      <c r="U412" s="59"/>
      <c r="V412" s="59"/>
      <c r="W412" s="59"/>
      <c r="X412" s="82"/>
      <c r="Y412" s="82"/>
    </row>
    <row r="413" spans="1:25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86"/>
      <c r="T413" s="59"/>
      <c r="U413" s="59"/>
      <c r="V413" s="59"/>
      <c r="W413" s="59"/>
      <c r="X413" s="82"/>
      <c r="Y413" s="82"/>
    </row>
    <row r="414" spans="1:25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86"/>
      <c r="T414" s="59"/>
      <c r="U414" s="59"/>
      <c r="V414" s="59"/>
      <c r="W414" s="59"/>
      <c r="X414" s="82"/>
      <c r="Y414" s="82"/>
    </row>
    <row r="415" spans="1:25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86"/>
      <c r="T415" s="59"/>
      <c r="U415" s="59"/>
      <c r="V415" s="59"/>
      <c r="W415" s="59"/>
      <c r="X415" s="82"/>
      <c r="Y415" s="82"/>
    </row>
    <row r="416" spans="1:25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86"/>
      <c r="T416" s="59"/>
      <c r="U416" s="59"/>
      <c r="V416" s="59"/>
      <c r="W416" s="59"/>
      <c r="X416" s="82"/>
      <c r="Y416" s="82"/>
    </row>
    <row r="417" spans="1:25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86"/>
      <c r="T417" s="59"/>
      <c r="U417" s="59"/>
      <c r="V417" s="59"/>
      <c r="W417" s="59"/>
      <c r="X417" s="82"/>
      <c r="Y417" s="82"/>
    </row>
    <row r="418" spans="1:25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86"/>
      <c r="T418" s="59"/>
      <c r="U418" s="59"/>
      <c r="V418" s="59"/>
      <c r="W418" s="59"/>
      <c r="X418" s="82"/>
      <c r="Y418" s="82"/>
    </row>
    <row r="419" spans="1:25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86"/>
      <c r="T419" s="59"/>
      <c r="U419" s="59"/>
      <c r="V419" s="59"/>
      <c r="W419" s="59"/>
      <c r="X419" s="82"/>
      <c r="Y419" s="82"/>
    </row>
    <row r="420" spans="1:25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86"/>
      <c r="T420" s="59"/>
      <c r="U420" s="59"/>
      <c r="V420" s="59"/>
      <c r="W420" s="59"/>
      <c r="X420" s="82"/>
      <c r="Y420" s="82"/>
    </row>
    <row r="421" spans="1:25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86"/>
      <c r="T421" s="59"/>
      <c r="U421" s="59"/>
      <c r="V421" s="59"/>
      <c r="W421" s="59"/>
      <c r="X421" s="82"/>
      <c r="Y421" s="82"/>
    </row>
    <row r="422" spans="1:25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86"/>
      <c r="T422" s="59"/>
      <c r="U422" s="59"/>
      <c r="V422" s="59"/>
      <c r="W422" s="59"/>
      <c r="X422" s="82"/>
      <c r="Y422" s="82"/>
    </row>
    <row r="423" spans="1:25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86"/>
      <c r="T423" s="59"/>
      <c r="U423" s="59"/>
      <c r="V423" s="59"/>
      <c r="W423" s="59"/>
      <c r="X423" s="82"/>
      <c r="Y423" s="82"/>
    </row>
    <row r="424" spans="1:25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86"/>
      <c r="T424" s="59"/>
      <c r="U424" s="59"/>
      <c r="V424" s="59"/>
      <c r="W424" s="59"/>
      <c r="X424" s="82"/>
      <c r="Y424" s="82"/>
    </row>
    <row r="425" spans="1:25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86"/>
      <c r="T425" s="59"/>
      <c r="U425" s="59"/>
      <c r="V425" s="59"/>
      <c r="W425" s="59"/>
      <c r="X425" s="82"/>
      <c r="Y425" s="82"/>
    </row>
    <row r="426" spans="1:25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86"/>
      <c r="T426" s="59"/>
      <c r="U426" s="59"/>
      <c r="V426" s="59"/>
      <c r="W426" s="59"/>
      <c r="X426" s="82"/>
      <c r="Y426" s="82"/>
    </row>
    <row r="427" spans="1:25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86"/>
      <c r="T427" s="59"/>
      <c r="U427" s="59"/>
      <c r="V427" s="59"/>
      <c r="W427" s="59"/>
      <c r="X427" s="82"/>
      <c r="Y427" s="82"/>
    </row>
    <row r="428" spans="1:25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86"/>
      <c r="T428" s="59"/>
      <c r="U428" s="59"/>
      <c r="V428" s="59"/>
      <c r="W428" s="59"/>
      <c r="X428" s="82"/>
      <c r="Y428" s="82"/>
    </row>
    <row r="429" spans="1:25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86"/>
      <c r="T429" s="59"/>
      <c r="U429" s="59"/>
      <c r="V429" s="59"/>
      <c r="W429" s="59"/>
      <c r="X429" s="82"/>
      <c r="Y429" s="82"/>
    </row>
    <row r="430" spans="1:25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86"/>
      <c r="T430" s="59"/>
      <c r="U430" s="59"/>
      <c r="V430" s="59"/>
      <c r="W430" s="59"/>
      <c r="X430" s="82"/>
      <c r="Y430" s="82"/>
    </row>
    <row r="431" spans="1:25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86"/>
      <c r="T431" s="59"/>
      <c r="U431" s="59"/>
      <c r="V431" s="59"/>
      <c r="W431" s="59"/>
      <c r="X431" s="82"/>
      <c r="Y431" s="82"/>
    </row>
    <row r="432" spans="1:25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86"/>
      <c r="T432" s="59"/>
      <c r="U432" s="59"/>
      <c r="V432" s="59"/>
      <c r="W432" s="59"/>
      <c r="X432" s="82"/>
      <c r="Y432" s="82"/>
    </row>
    <row r="433" spans="1:25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86"/>
      <c r="T433" s="59"/>
      <c r="U433" s="59"/>
      <c r="V433" s="59"/>
      <c r="W433" s="59"/>
      <c r="X433" s="82"/>
      <c r="Y433" s="82"/>
    </row>
    <row r="434" spans="1:25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86"/>
      <c r="T434" s="59"/>
      <c r="U434" s="59"/>
      <c r="V434" s="59"/>
      <c r="W434" s="59"/>
      <c r="X434" s="82"/>
      <c r="Y434" s="82"/>
    </row>
    <row r="435" spans="1:25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86"/>
      <c r="T435" s="59"/>
      <c r="U435" s="59"/>
      <c r="V435" s="59"/>
      <c r="W435" s="59"/>
      <c r="X435" s="82"/>
      <c r="Y435" s="82"/>
    </row>
    <row r="436" spans="1:25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86"/>
      <c r="T436" s="59"/>
      <c r="U436" s="59"/>
      <c r="V436" s="59"/>
      <c r="W436" s="59"/>
      <c r="X436" s="82"/>
      <c r="Y436" s="82"/>
    </row>
    <row r="437" spans="1:25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86"/>
      <c r="T437" s="59"/>
      <c r="U437" s="59"/>
      <c r="V437" s="59"/>
      <c r="W437" s="59"/>
      <c r="X437" s="82"/>
      <c r="Y437" s="82"/>
    </row>
    <row r="438" spans="1:25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86"/>
      <c r="T438" s="59"/>
      <c r="U438" s="59"/>
      <c r="V438" s="59"/>
      <c r="W438" s="59"/>
      <c r="X438" s="82"/>
      <c r="Y438" s="82"/>
    </row>
    <row r="439" spans="1:25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86"/>
      <c r="T439" s="59"/>
      <c r="U439" s="59"/>
      <c r="V439" s="59"/>
      <c r="W439" s="59"/>
      <c r="X439" s="82"/>
      <c r="Y439" s="82"/>
    </row>
    <row r="440" spans="1:25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86"/>
      <c r="T440" s="59"/>
      <c r="U440" s="59"/>
      <c r="V440" s="59"/>
      <c r="W440" s="59"/>
      <c r="X440" s="82"/>
      <c r="Y440" s="82"/>
    </row>
    <row r="441" spans="1:25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86"/>
      <c r="T441" s="59"/>
      <c r="U441" s="59"/>
      <c r="V441" s="59"/>
      <c r="W441" s="59"/>
      <c r="X441" s="82"/>
      <c r="Y441" s="82"/>
    </row>
    <row r="442" spans="1:25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86"/>
      <c r="T442" s="59"/>
      <c r="U442" s="59"/>
      <c r="V442" s="59"/>
      <c r="W442" s="59"/>
      <c r="X442" s="82"/>
      <c r="Y442" s="82"/>
    </row>
    <row r="443" spans="1:25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86"/>
      <c r="T443" s="59"/>
      <c r="U443" s="59"/>
      <c r="V443" s="59"/>
      <c r="W443" s="59"/>
      <c r="X443" s="82"/>
      <c r="Y443" s="82"/>
    </row>
    <row r="444" spans="1:25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86"/>
      <c r="T444" s="59"/>
      <c r="U444" s="59"/>
      <c r="V444" s="59"/>
      <c r="W444" s="59"/>
      <c r="X444" s="82"/>
      <c r="Y444" s="82"/>
    </row>
    <row r="445" spans="1:25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86"/>
      <c r="T445" s="59"/>
      <c r="U445" s="59"/>
      <c r="V445" s="59"/>
      <c r="W445" s="59"/>
      <c r="X445" s="82"/>
      <c r="Y445" s="82"/>
    </row>
    <row r="446" spans="1:25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86"/>
      <c r="T446" s="59"/>
      <c r="U446" s="59"/>
      <c r="V446" s="59"/>
      <c r="W446" s="59"/>
      <c r="X446" s="82"/>
      <c r="Y446" s="82"/>
    </row>
    <row r="447" spans="1:25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86"/>
      <c r="T447" s="59"/>
      <c r="U447" s="59"/>
      <c r="V447" s="59"/>
      <c r="W447" s="59"/>
      <c r="X447" s="82"/>
      <c r="Y447" s="82"/>
    </row>
    <row r="448" spans="1:25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86"/>
      <c r="T448" s="59"/>
      <c r="U448" s="59"/>
      <c r="V448" s="59"/>
      <c r="W448" s="59"/>
      <c r="X448" s="82"/>
      <c r="Y448" s="82"/>
    </row>
    <row r="449" spans="1:25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86"/>
      <c r="T449" s="59"/>
      <c r="U449" s="59"/>
      <c r="V449" s="59"/>
      <c r="W449" s="59"/>
      <c r="X449" s="82"/>
      <c r="Y449" s="82"/>
    </row>
    <row r="450" spans="1:25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86"/>
      <c r="T450" s="59"/>
      <c r="U450" s="59"/>
      <c r="V450" s="59"/>
      <c r="W450" s="59"/>
      <c r="X450" s="82"/>
      <c r="Y450" s="82"/>
    </row>
    <row r="451" spans="1:25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86"/>
      <c r="T451" s="59"/>
      <c r="U451" s="59"/>
      <c r="V451" s="59"/>
      <c r="W451" s="59"/>
      <c r="X451" s="82"/>
      <c r="Y451" s="82"/>
    </row>
    <row r="452" spans="1:25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86"/>
      <c r="T452" s="59"/>
      <c r="U452" s="59"/>
      <c r="V452" s="59"/>
      <c r="W452" s="59"/>
      <c r="X452" s="82"/>
      <c r="Y452" s="82"/>
    </row>
    <row r="453" spans="1:25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86"/>
      <c r="T453" s="59"/>
      <c r="U453" s="59"/>
      <c r="V453" s="59"/>
      <c r="W453" s="59"/>
      <c r="X453" s="82"/>
      <c r="Y453" s="82"/>
    </row>
    <row r="454" spans="1:25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86"/>
      <c r="T454" s="59"/>
      <c r="U454" s="59"/>
      <c r="V454" s="59"/>
      <c r="W454" s="59"/>
      <c r="X454" s="82"/>
      <c r="Y454" s="82"/>
    </row>
    <row r="455" spans="1:25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86"/>
      <c r="T455" s="59"/>
      <c r="U455" s="59"/>
      <c r="V455" s="59"/>
      <c r="W455" s="59"/>
      <c r="X455" s="82"/>
      <c r="Y455" s="82"/>
    </row>
    <row r="456" spans="1:25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86"/>
      <c r="T456" s="59"/>
      <c r="U456" s="59"/>
      <c r="V456" s="59"/>
      <c r="W456" s="59"/>
      <c r="X456" s="82"/>
      <c r="Y456" s="82"/>
    </row>
    <row r="457" spans="1:25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86"/>
      <c r="T457" s="59"/>
      <c r="U457" s="59"/>
      <c r="V457" s="59"/>
      <c r="W457" s="59"/>
      <c r="X457" s="82"/>
      <c r="Y457" s="82"/>
    </row>
    <row r="458" spans="1:25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86"/>
      <c r="T458" s="59"/>
      <c r="U458" s="59"/>
      <c r="V458" s="59"/>
      <c r="W458" s="59"/>
      <c r="X458" s="82"/>
      <c r="Y458" s="82"/>
    </row>
    <row r="459" spans="1:25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86"/>
      <c r="T459" s="59"/>
      <c r="U459" s="59"/>
      <c r="V459" s="59"/>
      <c r="W459" s="59"/>
      <c r="X459" s="82"/>
      <c r="Y459" s="82"/>
    </row>
    <row r="460" spans="1:25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86"/>
      <c r="T460" s="59"/>
      <c r="U460" s="59"/>
      <c r="V460" s="59"/>
      <c r="W460" s="59"/>
      <c r="X460" s="82"/>
      <c r="Y460" s="82"/>
    </row>
    <row r="461" spans="1:25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86"/>
      <c r="T461" s="59"/>
      <c r="U461" s="59"/>
      <c r="V461" s="59"/>
      <c r="W461" s="59"/>
      <c r="X461" s="82"/>
      <c r="Y461" s="82"/>
    </row>
    <row r="462" spans="1:25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86"/>
      <c r="T462" s="59"/>
      <c r="U462" s="59"/>
      <c r="V462" s="59"/>
      <c r="W462" s="59"/>
      <c r="X462" s="82"/>
      <c r="Y462" s="82"/>
    </row>
    <row r="463" spans="1:25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86"/>
      <c r="T463" s="59"/>
      <c r="U463" s="59"/>
      <c r="V463" s="59"/>
      <c r="W463" s="59"/>
      <c r="X463" s="82"/>
      <c r="Y463" s="82"/>
    </row>
    <row r="464" spans="1:25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86"/>
      <c r="T464" s="59"/>
      <c r="U464" s="59"/>
      <c r="V464" s="59"/>
      <c r="W464" s="59"/>
      <c r="X464" s="82"/>
      <c r="Y464" s="82"/>
    </row>
    <row r="465" spans="1:25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86"/>
      <c r="T465" s="59"/>
      <c r="U465" s="59"/>
      <c r="V465" s="59"/>
      <c r="W465" s="59"/>
      <c r="X465" s="82"/>
      <c r="Y465" s="82"/>
    </row>
    <row r="466" spans="1:25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86"/>
      <c r="T466" s="59"/>
      <c r="U466" s="59"/>
      <c r="V466" s="59"/>
      <c r="W466" s="59"/>
      <c r="X466" s="82"/>
      <c r="Y466" s="82"/>
    </row>
    <row r="467" spans="1:25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86"/>
      <c r="T467" s="59"/>
      <c r="U467" s="59"/>
      <c r="V467" s="59"/>
      <c r="W467" s="59"/>
      <c r="X467" s="82"/>
      <c r="Y467" s="82"/>
    </row>
    <row r="468" spans="1:25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86"/>
      <c r="T468" s="59"/>
      <c r="U468" s="59"/>
      <c r="V468" s="59"/>
      <c r="W468" s="59"/>
      <c r="X468" s="82"/>
      <c r="Y468" s="82"/>
    </row>
    <row r="469" spans="1:25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86"/>
      <c r="T469" s="59"/>
      <c r="U469" s="59"/>
      <c r="V469" s="59"/>
      <c r="W469" s="59"/>
      <c r="X469" s="82"/>
      <c r="Y469" s="82"/>
    </row>
    <row r="470" spans="1:25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86"/>
      <c r="T470" s="59"/>
      <c r="U470" s="59"/>
      <c r="V470" s="59"/>
      <c r="W470" s="59"/>
      <c r="X470" s="82"/>
      <c r="Y470" s="82"/>
    </row>
    <row r="471" spans="1:25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86"/>
      <c r="T471" s="59"/>
      <c r="U471" s="59"/>
      <c r="V471" s="59"/>
      <c r="W471" s="59"/>
      <c r="X471" s="82"/>
      <c r="Y471" s="82"/>
    </row>
    <row r="472" spans="1:25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86"/>
      <c r="T472" s="59"/>
      <c r="U472" s="59"/>
      <c r="V472" s="59"/>
      <c r="W472" s="59"/>
      <c r="X472" s="82"/>
      <c r="Y472" s="82"/>
    </row>
    <row r="473" spans="1:25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86"/>
      <c r="T473" s="59"/>
      <c r="U473" s="59"/>
      <c r="V473" s="59"/>
      <c r="W473" s="59"/>
      <c r="X473" s="82"/>
      <c r="Y473" s="82"/>
    </row>
    <row r="474" spans="1:25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86"/>
      <c r="T474" s="59"/>
      <c r="U474" s="59"/>
      <c r="V474" s="59"/>
      <c r="W474" s="59"/>
      <c r="X474" s="82"/>
      <c r="Y474" s="82"/>
    </row>
    <row r="475" spans="1:25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86"/>
      <c r="T475" s="59"/>
      <c r="U475" s="59"/>
      <c r="V475" s="59"/>
      <c r="W475" s="59"/>
      <c r="X475" s="82"/>
      <c r="Y475" s="82"/>
    </row>
    <row r="476" spans="1:25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86"/>
      <c r="T476" s="59"/>
      <c r="U476" s="59"/>
      <c r="V476" s="59"/>
      <c r="W476" s="59"/>
      <c r="X476" s="82"/>
      <c r="Y476" s="82"/>
    </row>
    <row r="477" spans="1:25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86"/>
      <c r="T477" s="59"/>
      <c r="U477" s="59"/>
      <c r="V477" s="59"/>
      <c r="W477" s="59"/>
      <c r="X477" s="82"/>
      <c r="Y477" s="82"/>
    </row>
    <row r="478" spans="1:25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86"/>
      <c r="T478" s="59"/>
      <c r="U478" s="59"/>
      <c r="V478" s="59"/>
      <c r="W478" s="59"/>
      <c r="X478" s="82"/>
      <c r="Y478" s="82"/>
    </row>
    <row r="479" spans="1:25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86"/>
      <c r="T479" s="59"/>
      <c r="U479" s="59"/>
      <c r="V479" s="59"/>
      <c r="W479" s="59"/>
      <c r="X479" s="82"/>
      <c r="Y479" s="82"/>
    </row>
    <row r="480" spans="1:25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86"/>
      <c r="T480" s="59"/>
      <c r="U480" s="59"/>
      <c r="V480" s="59"/>
      <c r="W480" s="59"/>
      <c r="X480" s="82"/>
      <c r="Y480" s="82"/>
    </row>
    <row r="481" spans="1:25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86"/>
      <c r="T481" s="59"/>
      <c r="U481" s="59"/>
      <c r="V481" s="59"/>
      <c r="W481" s="59"/>
      <c r="X481" s="82"/>
      <c r="Y481" s="82"/>
    </row>
    <row r="482" spans="1:25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86"/>
      <c r="T482" s="59"/>
      <c r="U482" s="59"/>
      <c r="V482" s="59"/>
      <c r="W482" s="59"/>
      <c r="X482" s="82"/>
      <c r="Y482" s="82"/>
    </row>
    <row r="483" spans="1:25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86"/>
      <c r="T483" s="59"/>
      <c r="U483" s="59"/>
      <c r="V483" s="59"/>
      <c r="W483" s="59"/>
      <c r="X483" s="82"/>
      <c r="Y483" s="82"/>
    </row>
    <row r="484" spans="1:25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86"/>
      <c r="T484" s="59"/>
      <c r="U484" s="59"/>
      <c r="V484" s="59"/>
      <c r="W484" s="59"/>
      <c r="X484" s="82"/>
      <c r="Y484" s="82"/>
    </row>
    <row r="485" spans="1:25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86"/>
      <c r="T485" s="59"/>
      <c r="U485" s="59"/>
      <c r="V485" s="59"/>
      <c r="W485" s="59"/>
      <c r="X485" s="82"/>
      <c r="Y485" s="82"/>
    </row>
    <row r="486" spans="1:25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86"/>
      <c r="T486" s="59"/>
      <c r="U486" s="59"/>
      <c r="V486" s="59"/>
      <c r="W486" s="59"/>
      <c r="X486" s="82"/>
      <c r="Y486" s="82"/>
    </row>
    <row r="487" spans="1:25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86"/>
      <c r="T487" s="59"/>
      <c r="U487" s="59"/>
      <c r="V487" s="59"/>
      <c r="W487" s="59"/>
      <c r="X487" s="82"/>
      <c r="Y487" s="82"/>
    </row>
    <row r="488" spans="1:25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86"/>
      <c r="T488" s="59"/>
      <c r="U488" s="59"/>
      <c r="V488" s="59"/>
      <c r="W488" s="59"/>
      <c r="X488" s="82"/>
      <c r="Y488" s="82"/>
    </row>
    <row r="489" spans="1:25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86"/>
      <c r="T489" s="59"/>
      <c r="U489" s="59"/>
      <c r="V489" s="59"/>
      <c r="W489" s="59"/>
      <c r="X489" s="82"/>
      <c r="Y489" s="82"/>
    </row>
    <row r="490" spans="1:25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86"/>
      <c r="T490" s="59"/>
      <c r="U490" s="59"/>
      <c r="V490" s="59"/>
      <c r="W490" s="59"/>
      <c r="X490" s="82"/>
      <c r="Y490" s="82"/>
    </row>
    <row r="491" spans="1:25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86"/>
      <c r="T491" s="59"/>
      <c r="U491" s="59"/>
      <c r="V491" s="59"/>
      <c r="W491" s="59"/>
      <c r="X491" s="82"/>
      <c r="Y491" s="82"/>
    </row>
    <row r="492" spans="1:25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86"/>
      <c r="T492" s="59"/>
      <c r="U492" s="59"/>
      <c r="V492" s="59"/>
      <c r="W492" s="59"/>
      <c r="X492" s="82"/>
      <c r="Y492" s="82"/>
    </row>
    <row r="493" spans="1:25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86"/>
      <c r="T493" s="59"/>
      <c r="U493" s="59"/>
      <c r="V493" s="59"/>
      <c r="W493" s="59"/>
      <c r="X493" s="82"/>
      <c r="Y493" s="82"/>
    </row>
    <row r="494" spans="1:25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86"/>
      <c r="T494" s="59"/>
      <c r="U494" s="59"/>
      <c r="V494" s="59"/>
      <c r="W494" s="59"/>
      <c r="X494" s="82"/>
      <c r="Y494" s="82"/>
    </row>
    <row r="495" spans="1:25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86"/>
      <c r="T495" s="59"/>
      <c r="U495" s="59"/>
      <c r="V495" s="59"/>
      <c r="W495" s="59"/>
      <c r="X495" s="82"/>
      <c r="Y495" s="82"/>
    </row>
    <row r="496" spans="1:25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86"/>
      <c r="T496" s="59"/>
      <c r="U496" s="59"/>
      <c r="V496" s="59"/>
      <c r="W496" s="59"/>
      <c r="X496" s="82"/>
      <c r="Y496" s="82"/>
    </row>
    <row r="497" spans="1:25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86"/>
      <c r="T497" s="59"/>
      <c r="U497" s="59"/>
      <c r="V497" s="59"/>
      <c r="W497" s="59"/>
      <c r="X497" s="82"/>
      <c r="Y497" s="82"/>
    </row>
    <row r="498" spans="1:25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86"/>
      <c r="T498" s="59"/>
      <c r="U498" s="59"/>
      <c r="V498" s="59"/>
      <c r="W498" s="59"/>
      <c r="X498" s="82"/>
      <c r="Y498" s="82"/>
    </row>
    <row r="499" spans="1:25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86"/>
      <c r="T499" s="59"/>
      <c r="U499" s="59"/>
      <c r="V499" s="59"/>
      <c r="W499" s="59"/>
      <c r="X499" s="82"/>
      <c r="Y499" s="82"/>
    </row>
    <row r="500" spans="1:25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86"/>
      <c r="T500" s="59"/>
      <c r="U500" s="59"/>
      <c r="V500" s="59"/>
      <c r="W500" s="59"/>
      <c r="X500" s="82"/>
      <c r="Y500" s="82"/>
    </row>
    <row r="501" spans="1:25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86"/>
      <c r="T501" s="59"/>
      <c r="U501" s="59"/>
      <c r="V501" s="59"/>
      <c r="W501" s="59"/>
      <c r="X501" s="82"/>
      <c r="Y501" s="82"/>
    </row>
    <row r="502" spans="1:25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86"/>
      <c r="T502" s="59"/>
      <c r="U502" s="59"/>
      <c r="V502" s="59"/>
      <c r="W502" s="59"/>
      <c r="X502" s="82"/>
      <c r="Y502" s="82"/>
    </row>
    <row r="503" spans="1:25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86"/>
      <c r="T503" s="59"/>
      <c r="U503" s="59"/>
      <c r="V503" s="59"/>
      <c r="W503" s="59"/>
      <c r="X503" s="82"/>
      <c r="Y503" s="82"/>
    </row>
    <row r="504" spans="1:25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86"/>
      <c r="T504" s="59"/>
      <c r="U504" s="59"/>
      <c r="V504" s="59"/>
      <c r="W504" s="59"/>
      <c r="X504" s="82"/>
      <c r="Y504" s="82"/>
    </row>
    <row r="505" spans="1:25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86"/>
      <c r="T505" s="59"/>
      <c r="U505" s="59"/>
      <c r="V505" s="59"/>
      <c r="W505" s="59"/>
      <c r="X505" s="82"/>
      <c r="Y505" s="82"/>
    </row>
    <row r="506" spans="1:25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86"/>
      <c r="T506" s="59"/>
      <c r="U506" s="59"/>
      <c r="V506" s="59"/>
      <c r="W506" s="59"/>
      <c r="X506" s="82"/>
      <c r="Y506" s="82"/>
    </row>
    <row r="507" spans="1:25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86"/>
      <c r="T507" s="59"/>
      <c r="U507" s="59"/>
      <c r="V507" s="59"/>
      <c r="W507" s="59"/>
      <c r="X507" s="82"/>
      <c r="Y507" s="82"/>
    </row>
    <row r="508" spans="1:25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86"/>
      <c r="T508" s="59"/>
      <c r="U508" s="59"/>
      <c r="V508" s="59"/>
      <c r="W508" s="59"/>
      <c r="X508" s="82"/>
      <c r="Y508" s="82"/>
    </row>
    <row r="509" spans="1:25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86"/>
      <c r="T509" s="59"/>
      <c r="U509" s="59"/>
      <c r="V509" s="59"/>
      <c r="W509" s="59"/>
      <c r="X509" s="82"/>
      <c r="Y509" s="82"/>
    </row>
    <row r="510" spans="1:25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86"/>
      <c r="T510" s="59"/>
      <c r="U510" s="59"/>
      <c r="V510" s="59"/>
      <c r="W510" s="59"/>
      <c r="X510" s="82"/>
      <c r="Y510" s="82"/>
    </row>
    <row r="511" spans="1:25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86"/>
      <c r="T511" s="59"/>
      <c r="U511" s="59"/>
      <c r="V511" s="59"/>
      <c r="W511" s="59"/>
      <c r="X511" s="82"/>
      <c r="Y511" s="82"/>
    </row>
    <row r="512" spans="1:25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86"/>
      <c r="T512" s="59"/>
      <c r="U512" s="59"/>
      <c r="V512" s="59"/>
      <c r="W512" s="59"/>
      <c r="X512" s="82"/>
      <c r="Y512" s="82"/>
    </row>
    <row r="513" spans="1:25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86"/>
      <c r="T513" s="59"/>
      <c r="U513" s="59"/>
      <c r="V513" s="59"/>
      <c r="W513" s="59"/>
      <c r="X513" s="82"/>
      <c r="Y513" s="82"/>
    </row>
    <row r="514" spans="1:25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86"/>
      <c r="T514" s="59"/>
      <c r="U514" s="59"/>
      <c r="V514" s="59"/>
      <c r="W514" s="59"/>
      <c r="X514" s="82"/>
      <c r="Y514" s="82"/>
    </row>
    <row r="515" spans="1:25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86"/>
      <c r="T515" s="59"/>
      <c r="U515" s="59"/>
      <c r="V515" s="59"/>
      <c r="W515" s="59"/>
      <c r="X515" s="82"/>
      <c r="Y515" s="82"/>
    </row>
    <row r="516" spans="1:25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86"/>
      <c r="T516" s="59"/>
      <c r="U516" s="59"/>
      <c r="V516" s="59"/>
      <c r="W516" s="59"/>
      <c r="X516" s="82"/>
      <c r="Y516" s="82"/>
    </row>
    <row r="517" spans="1:25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86"/>
      <c r="T517" s="59"/>
      <c r="U517" s="59"/>
      <c r="V517" s="59"/>
      <c r="W517" s="59"/>
      <c r="X517" s="82"/>
      <c r="Y517" s="82"/>
    </row>
    <row r="518" spans="1:25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86"/>
      <c r="T518" s="59"/>
      <c r="U518" s="59"/>
      <c r="V518" s="59"/>
      <c r="W518" s="59"/>
      <c r="X518" s="82"/>
      <c r="Y518" s="82"/>
    </row>
    <row r="519" spans="1:25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86"/>
      <c r="T519" s="59"/>
      <c r="U519" s="59"/>
      <c r="V519" s="59"/>
      <c r="W519" s="59"/>
      <c r="X519" s="82"/>
      <c r="Y519" s="82"/>
    </row>
    <row r="520" spans="1:25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86"/>
      <c r="T520" s="59"/>
      <c r="U520" s="59"/>
      <c r="V520" s="59"/>
      <c r="W520" s="59"/>
      <c r="X520" s="82"/>
      <c r="Y520" s="82"/>
    </row>
    <row r="521" spans="1:25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86"/>
      <c r="T521" s="59"/>
      <c r="U521" s="59"/>
      <c r="V521" s="59"/>
      <c r="W521" s="59"/>
      <c r="X521" s="82"/>
      <c r="Y521" s="82"/>
    </row>
    <row r="522" spans="1:25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86"/>
      <c r="T522" s="59"/>
      <c r="U522" s="59"/>
      <c r="V522" s="59"/>
      <c r="W522" s="59"/>
      <c r="X522" s="82"/>
      <c r="Y522" s="82"/>
    </row>
    <row r="523" spans="1:25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86"/>
      <c r="T523" s="59"/>
      <c r="U523" s="59"/>
      <c r="V523" s="59"/>
      <c r="W523" s="59"/>
      <c r="X523" s="82"/>
      <c r="Y523" s="82"/>
    </row>
    <row r="524" spans="1:25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86"/>
      <c r="T524" s="59"/>
      <c r="U524" s="59"/>
      <c r="V524" s="59"/>
      <c r="W524" s="59"/>
      <c r="X524" s="82"/>
      <c r="Y524" s="82"/>
    </row>
    <row r="525" spans="1:25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86"/>
      <c r="T525" s="59"/>
      <c r="U525" s="59"/>
      <c r="V525" s="59"/>
      <c r="W525" s="59"/>
      <c r="X525" s="82"/>
      <c r="Y525" s="82"/>
    </row>
    <row r="526" spans="1:25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86"/>
      <c r="T526" s="59"/>
      <c r="U526" s="59"/>
      <c r="V526" s="59"/>
      <c r="W526" s="59"/>
      <c r="X526" s="82"/>
      <c r="Y526" s="82"/>
    </row>
    <row r="527" spans="1:25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86"/>
      <c r="T527" s="59"/>
      <c r="U527" s="59"/>
      <c r="V527" s="59"/>
      <c r="W527" s="59"/>
      <c r="X527" s="82"/>
      <c r="Y527" s="82"/>
    </row>
    <row r="528" spans="1:25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86"/>
      <c r="T528" s="59"/>
      <c r="U528" s="59"/>
      <c r="V528" s="59"/>
      <c r="W528" s="59"/>
      <c r="X528" s="82"/>
      <c r="Y528" s="82"/>
    </row>
    <row r="529" spans="1:25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86"/>
      <c r="T529" s="59"/>
      <c r="U529" s="59"/>
      <c r="V529" s="59"/>
      <c r="W529" s="59"/>
      <c r="X529" s="82"/>
      <c r="Y529" s="82"/>
    </row>
    <row r="530" spans="1:25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86"/>
      <c r="T530" s="59"/>
      <c r="U530" s="59"/>
      <c r="V530" s="59"/>
      <c r="W530" s="59"/>
      <c r="X530" s="82"/>
      <c r="Y530" s="82"/>
    </row>
    <row r="531" spans="1:25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86"/>
      <c r="T531" s="59"/>
      <c r="U531" s="59"/>
      <c r="V531" s="59"/>
      <c r="W531" s="59"/>
      <c r="X531" s="82"/>
      <c r="Y531" s="82"/>
    </row>
    <row r="532" spans="1:25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86"/>
      <c r="T532" s="59"/>
      <c r="U532" s="59"/>
      <c r="V532" s="59"/>
      <c r="W532" s="59"/>
      <c r="X532" s="82"/>
      <c r="Y532" s="82"/>
    </row>
    <row r="533" spans="1:25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86"/>
      <c r="T533" s="59"/>
      <c r="U533" s="59"/>
      <c r="V533" s="59"/>
      <c r="W533" s="59"/>
      <c r="X533" s="82"/>
      <c r="Y533" s="82"/>
    </row>
    <row r="534" spans="1:25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86"/>
      <c r="T534" s="59"/>
      <c r="U534" s="59"/>
      <c r="V534" s="59"/>
      <c r="W534" s="59"/>
      <c r="X534" s="82"/>
      <c r="Y534" s="82"/>
    </row>
    <row r="535" spans="1:25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86"/>
      <c r="T535" s="59"/>
      <c r="U535" s="59"/>
      <c r="V535" s="59"/>
      <c r="W535" s="59"/>
      <c r="X535" s="82"/>
      <c r="Y535" s="82"/>
    </row>
    <row r="536" spans="1:25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86"/>
      <c r="T536" s="59"/>
      <c r="U536" s="59"/>
      <c r="V536" s="59"/>
      <c r="W536" s="59"/>
      <c r="X536" s="82"/>
      <c r="Y536" s="82"/>
    </row>
    <row r="537" spans="1:25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86"/>
      <c r="T537" s="59"/>
      <c r="U537" s="59"/>
      <c r="V537" s="59"/>
      <c r="W537" s="59"/>
      <c r="X537" s="82"/>
      <c r="Y537" s="82"/>
    </row>
    <row r="538" spans="1:25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86"/>
      <c r="T538" s="59"/>
      <c r="U538" s="59"/>
      <c r="V538" s="59"/>
      <c r="W538" s="59"/>
      <c r="X538" s="82"/>
      <c r="Y538" s="82"/>
    </row>
    <row r="539" spans="1:25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86"/>
      <c r="T539" s="59"/>
      <c r="U539" s="59"/>
      <c r="V539" s="59"/>
      <c r="W539" s="59"/>
      <c r="X539" s="82"/>
      <c r="Y539" s="82"/>
    </row>
    <row r="540" spans="1:25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86"/>
      <c r="T540" s="59"/>
      <c r="U540" s="59"/>
      <c r="V540" s="59"/>
      <c r="W540" s="59"/>
      <c r="X540" s="82"/>
      <c r="Y540" s="82"/>
    </row>
    <row r="541" spans="1:25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86"/>
      <c r="T541" s="59"/>
      <c r="U541" s="59"/>
      <c r="V541" s="59"/>
      <c r="W541" s="59"/>
      <c r="X541" s="82"/>
      <c r="Y541" s="82"/>
    </row>
    <row r="542" spans="1:25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86"/>
      <c r="T542" s="59"/>
      <c r="U542" s="59"/>
      <c r="V542" s="59"/>
      <c r="W542" s="59"/>
      <c r="X542" s="82"/>
      <c r="Y542" s="82"/>
    </row>
    <row r="543" spans="1:25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86"/>
      <c r="T543" s="59"/>
      <c r="U543" s="59"/>
      <c r="V543" s="59"/>
      <c r="W543" s="59"/>
      <c r="X543" s="82"/>
      <c r="Y543" s="82"/>
    </row>
    <row r="544" spans="1:25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86"/>
      <c r="T544" s="59"/>
      <c r="U544" s="59"/>
      <c r="V544" s="59"/>
      <c r="W544" s="59"/>
      <c r="X544" s="82"/>
      <c r="Y544" s="82"/>
    </row>
    <row r="545" spans="1:25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86"/>
      <c r="T545" s="59"/>
      <c r="U545" s="59"/>
      <c r="V545" s="59"/>
      <c r="W545" s="59"/>
      <c r="X545" s="82"/>
      <c r="Y545" s="82"/>
    </row>
    <row r="546" spans="1:25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86"/>
      <c r="T546" s="59"/>
      <c r="U546" s="59"/>
      <c r="V546" s="59"/>
      <c r="W546" s="59"/>
      <c r="X546" s="82"/>
      <c r="Y546" s="82"/>
    </row>
    <row r="547" spans="1:25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86"/>
      <c r="T547" s="59"/>
      <c r="U547" s="59"/>
      <c r="V547" s="59"/>
      <c r="W547" s="59"/>
      <c r="X547" s="82"/>
      <c r="Y547" s="82"/>
    </row>
    <row r="548" spans="1:25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86"/>
      <c r="T548" s="59"/>
      <c r="U548" s="59"/>
      <c r="V548" s="59"/>
      <c r="W548" s="59"/>
      <c r="X548" s="82"/>
      <c r="Y548" s="82"/>
    </row>
    <row r="549" spans="1:25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86"/>
      <c r="T549" s="59"/>
      <c r="U549" s="59"/>
      <c r="V549" s="59"/>
      <c r="W549" s="59"/>
      <c r="X549" s="82"/>
      <c r="Y549" s="82"/>
    </row>
    <row r="550" spans="1:25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86"/>
      <c r="T550" s="59"/>
      <c r="U550" s="59"/>
      <c r="V550" s="59"/>
      <c r="W550" s="59"/>
      <c r="X550" s="82"/>
      <c r="Y550" s="82"/>
    </row>
    <row r="551" spans="1:25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86"/>
      <c r="T551" s="59"/>
      <c r="U551" s="59"/>
      <c r="V551" s="59"/>
      <c r="W551" s="59"/>
      <c r="X551" s="82"/>
      <c r="Y551" s="82"/>
    </row>
    <row r="552" spans="1:25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86"/>
      <c r="T552" s="59"/>
      <c r="U552" s="59"/>
      <c r="V552" s="59"/>
      <c r="W552" s="59"/>
      <c r="X552" s="82"/>
      <c r="Y552" s="82"/>
    </row>
    <row r="553" spans="1:25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86"/>
      <c r="T553" s="59"/>
      <c r="U553" s="59"/>
      <c r="V553" s="59"/>
      <c r="W553" s="59"/>
      <c r="X553" s="82"/>
      <c r="Y553" s="82"/>
    </row>
    <row r="554" spans="1:25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86"/>
      <c r="T554" s="59"/>
      <c r="U554" s="59"/>
      <c r="V554" s="59"/>
      <c r="W554" s="59"/>
      <c r="X554" s="82"/>
      <c r="Y554" s="82"/>
    </row>
    <row r="555" spans="1:25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86"/>
      <c r="T555" s="59"/>
      <c r="U555" s="59"/>
      <c r="V555" s="59"/>
      <c r="W555" s="59"/>
      <c r="X555" s="82"/>
      <c r="Y555" s="82"/>
    </row>
    <row r="556" spans="1:25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86"/>
      <c r="T556" s="59"/>
      <c r="U556" s="59"/>
      <c r="V556" s="59"/>
      <c r="W556" s="59"/>
      <c r="X556" s="82"/>
      <c r="Y556" s="82"/>
    </row>
    <row r="557" spans="1:25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86"/>
      <c r="T557" s="59"/>
      <c r="U557" s="59"/>
      <c r="V557" s="59"/>
      <c r="W557" s="59"/>
      <c r="X557" s="82"/>
      <c r="Y557" s="82"/>
    </row>
    <row r="558" spans="1:25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86"/>
      <c r="T558" s="59"/>
      <c r="U558" s="59"/>
      <c r="V558" s="59"/>
      <c r="W558" s="59"/>
      <c r="X558" s="82"/>
      <c r="Y558" s="82"/>
    </row>
    <row r="559" spans="1:25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86"/>
      <c r="T559" s="59"/>
      <c r="U559" s="59"/>
      <c r="V559" s="59"/>
      <c r="W559" s="59"/>
      <c r="X559" s="82"/>
      <c r="Y559" s="82"/>
    </row>
    <row r="560" spans="1:25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86"/>
      <c r="T560" s="59"/>
      <c r="U560" s="59"/>
      <c r="V560" s="59"/>
      <c r="W560" s="59"/>
      <c r="X560" s="82"/>
      <c r="Y560" s="82"/>
    </row>
    <row r="561" spans="1:25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86"/>
      <c r="T561" s="59"/>
      <c r="U561" s="59"/>
      <c r="V561" s="59"/>
      <c r="W561" s="59"/>
      <c r="X561" s="82"/>
      <c r="Y561" s="82"/>
    </row>
    <row r="562" spans="1:25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86"/>
      <c r="T562" s="59"/>
      <c r="U562" s="59"/>
      <c r="V562" s="59"/>
      <c r="W562" s="59"/>
      <c r="X562" s="82"/>
      <c r="Y562" s="82"/>
    </row>
    <row r="563" spans="1:25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86"/>
      <c r="T563" s="59"/>
      <c r="U563" s="59"/>
      <c r="V563" s="59"/>
      <c r="W563" s="59"/>
      <c r="X563" s="82"/>
      <c r="Y563" s="82"/>
    </row>
    <row r="564" spans="1:25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86"/>
      <c r="T564" s="59"/>
      <c r="U564" s="59"/>
      <c r="V564" s="59"/>
      <c r="W564" s="59"/>
      <c r="X564" s="82"/>
      <c r="Y564" s="82"/>
    </row>
    <row r="565" spans="1:25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86"/>
      <c r="T565" s="59"/>
      <c r="U565" s="59"/>
      <c r="V565" s="59"/>
      <c r="W565" s="59"/>
      <c r="X565" s="82"/>
      <c r="Y565" s="82"/>
    </row>
    <row r="566" spans="1:25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86"/>
      <c r="T566" s="59"/>
      <c r="U566" s="59"/>
      <c r="V566" s="59"/>
      <c r="W566" s="59"/>
      <c r="X566" s="82"/>
      <c r="Y566" s="82"/>
    </row>
    <row r="567" spans="1:25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86"/>
      <c r="T567" s="59"/>
      <c r="U567" s="59"/>
      <c r="V567" s="59"/>
      <c r="W567" s="59"/>
      <c r="X567" s="82"/>
      <c r="Y567" s="82"/>
    </row>
    <row r="568" spans="1:25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86"/>
      <c r="T568" s="59"/>
      <c r="U568" s="59"/>
      <c r="V568" s="59"/>
      <c r="W568" s="59"/>
      <c r="X568" s="82"/>
      <c r="Y568" s="82"/>
    </row>
    <row r="569" spans="1:25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86"/>
      <c r="T569" s="59"/>
      <c r="U569" s="59"/>
      <c r="V569" s="59"/>
      <c r="W569" s="59"/>
      <c r="X569" s="82"/>
      <c r="Y569" s="82"/>
    </row>
    <row r="570" spans="1:25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86"/>
      <c r="T570" s="59"/>
      <c r="U570" s="59"/>
      <c r="V570" s="59"/>
      <c r="W570" s="59"/>
      <c r="X570" s="82"/>
      <c r="Y570" s="82"/>
    </row>
    <row r="571" spans="1:25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86"/>
      <c r="T571" s="59"/>
      <c r="U571" s="59"/>
      <c r="V571" s="59"/>
      <c r="W571" s="59"/>
      <c r="X571" s="82"/>
      <c r="Y571" s="82"/>
    </row>
    <row r="572" spans="1:25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86"/>
      <c r="T572" s="59"/>
      <c r="U572" s="59"/>
      <c r="V572" s="59"/>
      <c r="W572" s="59"/>
      <c r="X572" s="82"/>
      <c r="Y572" s="82"/>
    </row>
    <row r="573" spans="1:25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86"/>
      <c r="T573" s="59"/>
      <c r="U573" s="59"/>
      <c r="V573" s="59"/>
      <c r="W573" s="59"/>
      <c r="X573" s="82"/>
      <c r="Y573" s="82"/>
    </row>
    <row r="574" spans="1:25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86"/>
      <c r="T574" s="59"/>
      <c r="U574" s="59"/>
      <c r="V574" s="59"/>
      <c r="W574" s="59"/>
      <c r="X574" s="82"/>
      <c r="Y574" s="82"/>
    </row>
    <row r="575" spans="1:25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86"/>
      <c r="T575" s="59"/>
      <c r="U575" s="59"/>
      <c r="V575" s="59"/>
      <c r="W575" s="59"/>
      <c r="X575" s="82"/>
      <c r="Y575" s="82"/>
    </row>
    <row r="576" spans="1:25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86"/>
      <c r="T576" s="59"/>
      <c r="U576" s="59"/>
      <c r="V576" s="59"/>
      <c r="W576" s="59"/>
      <c r="X576" s="82"/>
      <c r="Y576" s="82"/>
    </row>
    <row r="577" spans="1:25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86"/>
      <c r="T577" s="59"/>
      <c r="U577" s="59"/>
      <c r="V577" s="59"/>
      <c r="W577" s="59"/>
      <c r="X577" s="82"/>
      <c r="Y577" s="82"/>
    </row>
    <row r="578" spans="1:25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86"/>
      <c r="T578" s="59"/>
      <c r="U578" s="59"/>
      <c r="V578" s="59"/>
      <c r="W578" s="59"/>
      <c r="X578" s="82"/>
      <c r="Y578" s="82"/>
    </row>
    <row r="579" spans="1:25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86"/>
      <c r="T579" s="59"/>
      <c r="U579" s="59"/>
      <c r="V579" s="59"/>
      <c r="W579" s="59"/>
      <c r="X579" s="82"/>
      <c r="Y579" s="82"/>
    </row>
    <row r="580" spans="1:25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86"/>
      <c r="T580" s="59"/>
      <c r="U580" s="59"/>
      <c r="V580" s="59"/>
      <c r="W580" s="59"/>
      <c r="X580" s="82"/>
      <c r="Y580" s="82"/>
    </row>
    <row r="581" spans="1:25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86"/>
      <c r="T581" s="59"/>
      <c r="U581" s="59"/>
      <c r="V581" s="59"/>
      <c r="W581" s="59"/>
      <c r="X581" s="82"/>
      <c r="Y581" s="82"/>
    </row>
    <row r="582" spans="1:25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86"/>
      <c r="T582" s="59"/>
      <c r="U582" s="59"/>
      <c r="V582" s="59"/>
      <c r="W582" s="59"/>
      <c r="X582" s="82"/>
      <c r="Y582" s="82"/>
    </row>
    <row r="583" spans="1:25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86"/>
      <c r="T583" s="59"/>
      <c r="U583" s="59"/>
      <c r="V583" s="59"/>
      <c r="W583" s="59"/>
      <c r="X583" s="82"/>
      <c r="Y583" s="82"/>
    </row>
    <row r="584" spans="1:25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86"/>
      <c r="T584" s="59"/>
      <c r="U584" s="59"/>
      <c r="V584" s="59"/>
      <c r="W584" s="59"/>
      <c r="X584" s="82"/>
      <c r="Y584" s="82"/>
    </row>
    <row r="585" spans="1:25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86"/>
      <c r="T585" s="59"/>
      <c r="U585" s="59"/>
      <c r="V585" s="59"/>
      <c r="W585" s="59"/>
      <c r="X585" s="82"/>
      <c r="Y585" s="82"/>
    </row>
    <row r="586" spans="1:25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86"/>
      <c r="T586" s="59"/>
      <c r="U586" s="59"/>
      <c r="V586" s="59"/>
      <c r="W586" s="59"/>
      <c r="X586" s="82"/>
      <c r="Y586" s="82"/>
    </row>
    <row r="587" spans="1:25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86"/>
      <c r="T587" s="59"/>
      <c r="U587" s="59"/>
      <c r="V587" s="59"/>
      <c r="W587" s="59"/>
      <c r="X587" s="82"/>
      <c r="Y587" s="82"/>
    </row>
    <row r="588" spans="1:25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86"/>
      <c r="T588" s="59"/>
      <c r="U588" s="59"/>
      <c r="V588" s="59"/>
      <c r="W588" s="59"/>
      <c r="X588" s="82"/>
      <c r="Y588" s="82"/>
    </row>
    <row r="589" spans="1:25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86"/>
      <c r="T589" s="59"/>
      <c r="U589" s="59"/>
      <c r="V589" s="59"/>
      <c r="W589" s="59"/>
      <c r="X589" s="82"/>
      <c r="Y589" s="82"/>
    </row>
    <row r="590" spans="1:25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86"/>
      <c r="T590" s="59"/>
      <c r="U590" s="59"/>
      <c r="V590" s="59"/>
      <c r="W590" s="59"/>
      <c r="X590" s="82"/>
      <c r="Y590" s="82"/>
    </row>
    <row r="591" spans="1:25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86"/>
      <c r="T591" s="59"/>
      <c r="U591" s="59"/>
      <c r="V591" s="59"/>
      <c r="W591" s="59"/>
      <c r="X591" s="82"/>
      <c r="Y591" s="82"/>
    </row>
    <row r="592" spans="1:25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86"/>
      <c r="T592" s="59"/>
      <c r="U592" s="59"/>
      <c r="V592" s="59"/>
      <c r="W592" s="59"/>
      <c r="X592" s="82"/>
      <c r="Y592" s="82"/>
    </row>
    <row r="593" spans="1:25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86"/>
      <c r="T593" s="59"/>
      <c r="U593" s="59"/>
      <c r="V593" s="59"/>
      <c r="W593" s="59"/>
      <c r="X593" s="82"/>
      <c r="Y593" s="82"/>
    </row>
    <row r="594" spans="1:25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86"/>
      <c r="T594" s="59"/>
      <c r="U594" s="59"/>
      <c r="V594" s="59"/>
      <c r="W594" s="59"/>
      <c r="X594" s="82"/>
      <c r="Y594" s="82"/>
    </row>
    <row r="595" spans="1:25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86"/>
      <c r="T595" s="59"/>
      <c r="U595" s="59"/>
      <c r="V595" s="59"/>
      <c r="W595" s="59"/>
      <c r="X595" s="82"/>
      <c r="Y595" s="82"/>
    </row>
    <row r="596" spans="1:25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86"/>
      <c r="T596" s="59"/>
      <c r="U596" s="59"/>
      <c r="V596" s="59"/>
      <c r="W596" s="59"/>
      <c r="X596" s="82"/>
      <c r="Y596" s="82"/>
    </row>
    <row r="597" spans="1:25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86"/>
      <c r="T597" s="59"/>
      <c r="U597" s="59"/>
      <c r="V597" s="59"/>
      <c r="W597" s="59"/>
      <c r="X597" s="82"/>
      <c r="Y597" s="82"/>
    </row>
    <row r="598" spans="1:25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86"/>
      <c r="T598" s="59"/>
      <c r="U598" s="59"/>
      <c r="V598" s="59"/>
      <c r="W598" s="59"/>
      <c r="X598" s="82"/>
      <c r="Y598" s="82"/>
    </row>
    <row r="599" spans="1:25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86"/>
      <c r="T599" s="59"/>
      <c r="U599" s="59"/>
      <c r="V599" s="59"/>
      <c r="W599" s="59"/>
      <c r="X599" s="82"/>
      <c r="Y599" s="82"/>
    </row>
    <row r="600" spans="1:25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86"/>
      <c r="T600" s="59"/>
      <c r="U600" s="59"/>
      <c r="V600" s="59"/>
      <c r="W600" s="59"/>
      <c r="X600" s="82"/>
      <c r="Y600" s="82"/>
    </row>
    <row r="601" spans="1:25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86"/>
      <c r="T601" s="59"/>
      <c r="U601" s="59"/>
      <c r="V601" s="59"/>
      <c r="W601" s="59"/>
      <c r="X601" s="82"/>
      <c r="Y601" s="82"/>
    </row>
    <row r="602" spans="1:25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86"/>
      <c r="T602" s="59"/>
      <c r="U602" s="59"/>
      <c r="V602" s="59"/>
      <c r="W602" s="59"/>
      <c r="X602" s="82"/>
      <c r="Y602" s="82"/>
    </row>
    <row r="603" spans="1:25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86"/>
      <c r="T603" s="59"/>
      <c r="U603" s="59"/>
      <c r="V603" s="59"/>
      <c r="W603" s="59"/>
      <c r="X603" s="82"/>
      <c r="Y603" s="82"/>
    </row>
    <row r="604" spans="1:25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86"/>
      <c r="T604" s="59"/>
      <c r="U604" s="59"/>
      <c r="V604" s="59"/>
      <c r="W604" s="59"/>
      <c r="X604" s="82"/>
      <c r="Y604" s="82"/>
    </row>
    <row r="605" spans="1:25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86"/>
      <c r="T605" s="59"/>
      <c r="U605" s="59"/>
      <c r="V605" s="59"/>
      <c r="W605" s="59"/>
      <c r="X605" s="82"/>
      <c r="Y605" s="82"/>
    </row>
    <row r="606" spans="1:25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86"/>
      <c r="T606" s="59"/>
      <c r="U606" s="59"/>
      <c r="V606" s="59"/>
      <c r="W606" s="59"/>
      <c r="X606" s="82"/>
      <c r="Y606" s="82"/>
    </row>
    <row r="607" spans="1:25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86"/>
      <c r="T607" s="59"/>
      <c r="U607" s="59"/>
      <c r="V607" s="59"/>
      <c r="W607" s="59"/>
      <c r="X607" s="82"/>
      <c r="Y607" s="82"/>
    </row>
    <row r="608" spans="1:25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86"/>
      <c r="T608" s="59"/>
      <c r="U608" s="59"/>
      <c r="V608" s="59"/>
      <c r="W608" s="59"/>
      <c r="X608" s="82"/>
      <c r="Y608" s="82"/>
    </row>
    <row r="609" spans="1:25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86"/>
      <c r="T609" s="59"/>
      <c r="U609" s="59"/>
      <c r="V609" s="59"/>
      <c r="W609" s="59"/>
      <c r="X609" s="82"/>
      <c r="Y609" s="82"/>
    </row>
    <row r="610" spans="1:25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86"/>
      <c r="T610" s="59"/>
      <c r="U610" s="59"/>
      <c r="V610" s="59"/>
      <c r="W610" s="59"/>
      <c r="X610" s="82"/>
      <c r="Y610" s="82"/>
    </row>
    <row r="611" spans="1:25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86"/>
      <c r="T611" s="59"/>
      <c r="U611" s="59"/>
      <c r="V611" s="59"/>
      <c r="W611" s="59"/>
      <c r="X611" s="82"/>
      <c r="Y611" s="82"/>
    </row>
    <row r="612" spans="1:25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86"/>
      <c r="T612" s="59"/>
      <c r="U612" s="59"/>
      <c r="V612" s="59"/>
      <c r="W612" s="59"/>
      <c r="X612" s="82"/>
      <c r="Y612" s="82"/>
    </row>
    <row r="613" spans="1:25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86"/>
      <c r="T613" s="59"/>
      <c r="U613" s="59"/>
      <c r="V613" s="59"/>
      <c r="W613" s="59"/>
      <c r="X613" s="82"/>
      <c r="Y613" s="82"/>
    </row>
    <row r="614" spans="1:25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86"/>
      <c r="T614" s="59"/>
      <c r="U614" s="59"/>
      <c r="V614" s="59"/>
      <c r="W614" s="59"/>
      <c r="X614" s="82"/>
      <c r="Y614" s="82"/>
    </row>
    <row r="615" spans="1:25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86"/>
      <c r="T615" s="59"/>
      <c r="U615" s="59"/>
      <c r="V615" s="59"/>
      <c r="W615" s="59"/>
      <c r="X615" s="82"/>
      <c r="Y615" s="82"/>
    </row>
    <row r="616" spans="1:25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86"/>
      <c r="T616" s="59"/>
      <c r="U616" s="59"/>
      <c r="V616" s="59"/>
      <c r="W616" s="59"/>
      <c r="X616" s="82"/>
      <c r="Y616" s="82"/>
    </row>
    <row r="617" spans="1:25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86"/>
      <c r="T617" s="59"/>
      <c r="U617" s="59"/>
      <c r="V617" s="59"/>
      <c r="W617" s="59"/>
      <c r="X617" s="82"/>
      <c r="Y617" s="82"/>
    </row>
    <row r="618" spans="1:25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86"/>
      <c r="T618" s="59"/>
      <c r="U618" s="59"/>
      <c r="V618" s="59"/>
      <c r="W618" s="59"/>
      <c r="X618" s="82"/>
      <c r="Y618" s="82"/>
    </row>
    <row r="619" spans="1:25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86"/>
      <c r="T619" s="59"/>
      <c r="U619" s="59"/>
      <c r="V619" s="59"/>
      <c r="W619" s="59"/>
      <c r="X619" s="82"/>
      <c r="Y619" s="82"/>
    </row>
    <row r="620" spans="1:25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86"/>
      <c r="T620" s="59"/>
      <c r="U620" s="59"/>
      <c r="V620" s="59"/>
      <c r="W620" s="59"/>
      <c r="X620" s="82"/>
      <c r="Y620" s="82"/>
    </row>
    <row r="621" spans="1:25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86"/>
      <c r="T621" s="59"/>
      <c r="U621" s="59"/>
      <c r="V621" s="59"/>
      <c r="W621" s="59"/>
      <c r="X621" s="82"/>
      <c r="Y621" s="82"/>
    </row>
    <row r="622" spans="1:25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86"/>
      <c r="T622" s="59"/>
      <c r="U622" s="59"/>
      <c r="V622" s="59"/>
      <c r="W622" s="59"/>
      <c r="X622" s="82"/>
      <c r="Y622" s="82"/>
    </row>
    <row r="623" spans="1:25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86"/>
      <c r="T623" s="59"/>
      <c r="U623" s="59"/>
      <c r="V623" s="59"/>
      <c r="W623" s="59"/>
      <c r="X623" s="82"/>
      <c r="Y623" s="82"/>
    </row>
    <row r="624" spans="1:25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86"/>
      <c r="T624" s="59"/>
      <c r="U624" s="59"/>
      <c r="V624" s="59"/>
      <c r="W624" s="59"/>
      <c r="X624" s="82"/>
      <c r="Y624" s="82"/>
    </row>
    <row r="625" spans="1:25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86"/>
      <c r="T625" s="59"/>
      <c r="U625" s="59"/>
      <c r="V625" s="59"/>
      <c r="W625" s="59"/>
      <c r="X625" s="82"/>
      <c r="Y625" s="82"/>
    </row>
    <row r="626" spans="1:25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86"/>
      <c r="T626" s="59"/>
      <c r="U626" s="59"/>
      <c r="V626" s="59"/>
      <c r="W626" s="59"/>
      <c r="X626" s="82"/>
      <c r="Y626" s="82"/>
    </row>
    <row r="627" spans="1:25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86"/>
      <c r="T627" s="59"/>
      <c r="U627" s="59"/>
      <c r="V627" s="59"/>
      <c r="W627" s="59"/>
      <c r="X627" s="82"/>
      <c r="Y627" s="82"/>
    </row>
    <row r="628" spans="1:25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86"/>
      <c r="T628" s="59"/>
      <c r="U628" s="59"/>
      <c r="V628" s="59"/>
      <c r="W628" s="59"/>
      <c r="X628" s="82"/>
      <c r="Y628" s="82"/>
    </row>
    <row r="629" spans="1:25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86"/>
      <c r="T629" s="59"/>
      <c r="U629" s="59"/>
      <c r="V629" s="59"/>
      <c r="W629" s="59"/>
      <c r="X629" s="82"/>
      <c r="Y629" s="82"/>
    </row>
    <row r="630" spans="1:25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86"/>
      <c r="T630" s="59"/>
      <c r="U630" s="59"/>
      <c r="V630" s="59"/>
      <c r="W630" s="59"/>
      <c r="X630" s="82"/>
      <c r="Y630" s="82"/>
    </row>
    <row r="631" spans="1:25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86"/>
      <c r="T631" s="59"/>
      <c r="U631" s="59"/>
      <c r="V631" s="59"/>
      <c r="W631" s="59"/>
      <c r="X631" s="82"/>
      <c r="Y631" s="82"/>
    </row>
    <row r="632" spans="1:25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86"/>
      <c r="T632" s="59"/>
      <c r="U632" s="59"/>
      <c r="V632" s="59"/>
      <c r="W632" s="59"/>
      <c r="X632" s="82"/>
      <c r="Y632" s="82"/>
    </row>
    <row r="633" spans="1:25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86"/>
      <c r="T633" s="59"/>
      <c r="U633" s="59"/>
      <c r="V633" s="59"/>
      <c r="W633" s="59"/>
      <c r="X633" s="82"/>
      <c r="Y633" s="82"/>
    </row>
    <row r="634" spans="1:25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86"/>
      <c r="T634" s="59"/>
      <c r="U634" s="59"/>
      <c r="V634" s="59"/>
      <c r="W634" s="59"/>
      <c r="X634" s="82"/>
      <c r="Y634" s="82"/>
    </row>
    <row r="635" spans="1:25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86"/>
      <c r="T635" s="59"/>
      <c r="U635" s="59"/>
      <c r="V635" s="59"/>
      <c r="W635" s="59"/>
      <c r="X635" s="82"/>
      <c r="Y635" s="82"/>
    </row>
    <row r="636" spans="1:25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86"/>
      <c r="T636" s="59"/>
      <c r="U636" s="59"/>
      <c r="V636" s="59"/>
      <c r="W636" s="59"/>
      <c r="X636" s="82"/>
      <c r="Y636" s="82"/>
    </row>
    <row r="637" spans="1:25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86"/>
      <c r="T637" s="59"/>
      <c r="U637" s="59"/>
      <c r="V637" s="59"/>
      <c r="W637" s="59"/>
      <c r="X637" s="82"/>
      <c r="Y637" s="82"/>
    </row>
    <row r="638" spans="1:25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86"/>
      <c r="T638" s="59"/>
      <c r="U638" s="59"/>
      <c r="V638" s="59"/>
      <c r="W638" s="59"/>
      <c r="X638" s="82"/>
      <c r="Y638" s="82"/>
    </row>
    <row r="639" spans="1:25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86"/>
      <c r="T639" s="59"/>
      <c r="U639" s="59"/>
      <c r="V639" s="59"/>
      <c r="W639" s="59"/>
      <c r="X639" s="82"/>
      <c r="Y639" s="82"/>
    </row>
    <row r="640" spans="1:25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86"/>
      <c r="T640" s="59"/>
      <c r="U640" s="59"/>
      <c r="V640" s="59"/>
      <c r="W640" s="59"/>
      <c r="X640" s="82"/>
      <c r="Y640" s="82"/>
    </row>
    <row r="641" spans="1:25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86"/>
      <c r="T641" s="59"/>
      <c r="U641" s="59"/>
      <c r="V641" s="59"/>
      <c r="W641" s="59"/>
      <c r="X641" s="82"/>
      <c r="Y641" s="82"/>
    </row>
    <row r="642" spans="1:25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86"/>
      <c r="T642" s="59"/>
      <c r="U642" s="59"/>
      <c r="V642" s="59"/>
      <c r="W642" s="59"/>
      <c r="X642" s="82"/>
      <c r="Y642" s="82"/>
    </row>
    <row r="643" spans="1:25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86"/>
      <c r="T643" s="59"/>
      <c r="U643" s="59"/>
      <c r="V643" s="59"/>
      <c r="W643" s="59"/>
      <c r="X643" s="82"/>
      <c r="Y643" s="82"/>
    </row>
    <row r="644" spans="1:25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86"/>
      <c r="T644" s="59"/>
      <c r="U644" s="59"/>
      <c r="V644" s="59"/>
      <c r="W644" s="59"/>
      <c r="X644" s="82"/>
      <c r="Y644" s="82"/>
    </row>
    <row r="645" spans="1:25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86"/>
      <c r="T645" s="59"/>
      <c r="U645" s="59"/>
      <c r="V645" s="59"/>
      <c r="W645" s="59"/>
      <c r="X645" s="82"/>
      <c r="Y645" s="82"/>
    </row>
    <row r="646" spans="1:25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86"/>
      <c r="T646" s="59"/>
      <c r="U646" s="59"/>
      <c r="V646" s="59"/>
      <c r="W646" s="59"/>
      <c r="X646" s="82"/>
      <c r="Y646" s="82"/>
    </row>
    <row r="647" spans="1:25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86"/>
      <c r="T647" s="59"/>
      <c r="U647" s="59"/>
      <c r="V647" s="59"/>
      <c r="W647" s="59"/>
      <c r="X647" s="82"/>
      <c r="Y647" s="82"/>
    </row>
    <row r="648" spans="1:25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86"/>
      <c r="T648" s="59"/>
      <c r="U648" s="59"/>
      <c r="V648" s="59"/>
      <c r="W648" s="59"/>
      <c r="X648" s="82"/>
      <c r="Y648" s="82"/>
    </row>
    <row r="649" spans="1:25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86"/>
      <c r="T649" s="59"/>
      <c r="U649" s="59"/>
      <c r="V649" s="59"/>
      <c r="W649" s="59"/>
      <c r="X649" s="82"/>
      <c r="Y649" s="82"/>
    </row>
    <row r="650" spans="1:25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86"/>
      <c r="T650" s="59"/>
      <c r="U650" s="59"/>
      <c r="V650" s="59"/>
      <c r="W650" s="59"/>
      <c r="X650" s="82"/>
      <c r="Y650" s="82"/>
    </row>
    <row r="651" spans="1:25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86"/>
      <c r="T651" s="59"/>
      <c r="U651" s="59"/>
      <c r="V651" s="59"/>
      <c r="W651" s="59"/>
      <c r="X651" s="82"/>
      <c r="Y651" s="82"/>
    </row>
    <row r="652" spans="1:25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86"/>
      <c r="T652" s="59"/>
      <c r="U652" s="59"/>
      <c r="V652" s="59"/>
      <c r="W652" s="59"/>
      <c r="X652" s="82"/>
      <c r="Y652" s="82"/>
    </row>
    <row r="653" spans="1:25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86"/>
      <c r="T653" s="59"/>
      <c r="U653" s="59"/>
      <c r="V653" s="59"/>
      <c r="W653" s="59"/>
      <c r="X653" s="82"/>
      <c r="Y653" s="82"/>
    </row>
    <row r="654" spans="1:25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86"/>
      <c r="T654" s="59"/>
      <c r="U654" s="59"/>
      <c r="V654" s="59"/>
      <c r="W654" s="59"/>
      <c r="X654" s="82"/>
      <c r="Y654" s="82"/>
    </row>
    <row r="655" spans="1:25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86"/>
      <c r="T655" s="59"/>
      <c r="U655" s="59"/>
      <c r="V655" s="59"/>
      <c r="W655" s="59"/>
      <c r="X655" s="82"/>
      <c r="Y655" s="82"/>
    </row>
    <row r="656" spans="1:25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86"/>
      <c r="T656" s="59"/>
      <c r="U656" s="59"/>
      <c r="V656" s="59"/>
      <c r="W656" s="59"/>
      <c r="X656" s="82"/>
      <c r="Y656" s="82"/>
    </row>
    <row r="657" spans="1:25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86"/>
      <c r="T657" s="59"/>
      <c r="U657" s="59"/>
      <c r="V657" s="59"/>
      <c r="W657" s="59"/>
      <c r="X657" s="82"/>
      <c r="Y657" s="82"/>
    </row>
    <row r="658" spans="1:25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86"/>
      <c r="T658" s="59"/>
      <c r="U658" s="59"/>
      <c r="V658" s="59"/>
      <c r="W658" s="59"/>
      <c r="X658" s="82"/>
      <c r="Y658" s="82"/>
    </row>
    <row r="659" spans="1:25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86"/>
      <c r="T659" s="59"/>
      <c r="U659" s="59"/>
      <c r="V659" s="59"/>
      <c r="W659" s="59"/>
      <c r="X659" s="82"/>
      <c r="Y659" s="82"/>
    </row>
    <row r="660" spans="1:25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86"/>
      <c r="T660" s="59"/>
      <c r="U660" s="59"/>
      <c r="V660" s="59"/>
      <c r="W660" s="59"/>
      <c r="X660" s="82"/>
      <c r="Y660" s="82"/>
    </row>
    <row r="661" spans="1:25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86"/>
      <c r="T661" s="59"/>
      <c r="U661" s="59"/>
      <c r="V661" s="59"/>
      <c r="W661" s="59"/>
      <c r="X661" s="82"/>
      <c r="Y661" s="82"/>
    </row>
    <row r="662" spans="1:25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86"/>
      <c r="T662" s="59"/>
      <c r="U662" s="59"/>
      <c r="V662" s="59"/>
      <c r="W662" s="59"/>
      <c r="X662" s="82"/>
      <c r="Y662" s="82"/>
    </row>
    <row r="663" spans="1:25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86"/>
      <c r="T663" s="59"/>
      <c r="U663" s="59"/>
      <c r="V663" s="59"/>
      <c r="W663" s="59"/>
      <c r="X663" s="82"/>
      <c r="Y663" s="82"/>
    </row>
    <row r="664" spans="1:25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86"/>
      <c r="T664" s="59"/>
      <c r="U664" s="59"/>
      <c r="V664" s="59"/>
      <c r="W664" s="59"/>
      <c r="X664" s="82"/>
      <c r="Y664" s="82"/>
    </row>
    <row r="665" spans="1:25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86"/>
      <c r="T665" s="59"/>
      <c r="U665" s="59"/>
      <c r="V665" s="59"/>
      <c r="W665" s="59"/>
      <c r="X665" s="82"/>
      <c r="Y665" s="82"/>
    </row>
    <row r="666" spans="1:25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86"/>
      <c r="T666" s="59"/>
      <c r="U666" s="59"/>
      <c r="V666" s="59"/>
      <c r="W666" s="59"/>
      <c r="X666" s="82"/>
      <c r="Y666" s="82"/>
    </row>
    <row r="667" spans="1:25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86"/>
      <c r="T667" s="59"/>
      <c r="U667" s="59"/>
      <c r="V667" s="59"/>
      <c r="W667" s="59"/>
      <c r="X667" s="82"/>
      <c r="Y667" s="82"/>
    </row>
    <row r="668" spans="1:25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86"/>
      <c r="T668" s="59"/>
      <c r="U668" s="59"/>
      <c r="V668" s="59"/>
      <c r="W668" s="59"/>
      <c r="X668" s="82"/>
      <c r="Y668" s="82"/>
    </row>
    <row r="669" spans="1:25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86"/>
      <c r="T669" s="59"/>
      <c r="U669" s="59"/>
      <c r="V669" s="59"/>
      <c r="W669" s="59"/>
      <c r="X669" s="82"/>
      <c r="Y669" s="82"/>
    </row>
    <row r="670" spans="1:25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86"/>
      <c r="T670" s="59"/>
      <c r="U670" s="59"/>
      <c r="V670" s="59"/>
      <c r="W670" s="59"/>
      <c r="X670" s="82"/>
      <c r="Y670" s="82"/>
    </row>
    <row r="671" spans="1:25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86"/>
      <c r="T671" s="59"/>
      <c r="U671" s="59"/>
      <c r="V671" s="59"/>
      <c r="W671" s="59"/>
      <c r="X671" s="82"/>
      <c r="Y671" s="82"/>
    </row>
    <row r="672" spans="1:25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86"/>
      <c r="T672" s="59"/>
      <c r="U672" s="59"/>
      <c r="V672" s="59"/>
      <c r="W672" s="59"/>
      <c r="X672" s="82"/>
      <c r="Y672" s="82"/>
    </row>
    <row r="673" spans="1:25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86"/>
      <c r="T673" s="59"/>
      <c r="U673" s="59"/>
      <c r="V673" s="59"/>
      <c r="W673" s="59"/>
      <c r="X673" s="82"/>
      <c r="Y673" s="82"/>
    </row>
    <row r="674" spans="1:25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86"/>
      <c r="T674" s="59"/>
      <c r="U674" s="59"/>
      <c r="V674" s="59"/>
      <c r="W674" s="59"/>
      <c r="X674" s="82"/>
      <c r="Y674" s="82"/>
    </row>
    <row r="675" spans="1:25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86"/>
      <c r="T675" s="59"/>
      <c r="U675" s="59"/>
      <c r="V675" s="59"/>
      <c r="W675" s="59"/>
      <c r="X675" s="82"/>
      <c r="Y675" s="82"/>
    </row>
    <row r="676" spans="1:25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86"/>
      <c r="T676" s="59"/>
      <c r="U676" s="59"/>
      <c r="V676" s="59"/>
      <c r="W676" s="59"/>
      <c r="X676" s="82"/>
      <c r="Y676" s="82"/>
    </row>
    <row r="677" spans="1:25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86"/>
      <c r="T677" s="59"/>
      <c r="U677" s="59"/>
      <c r="V677" s="59"/>
      <c r="W677" s="59"/>
      <c r="X677" s="82"/>
      <c r="Y677" s="82"/>
    </row>
    <row r="678" spans="1:25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86"/>
      <c r="T678" s="59"/>
      <c r="U678" s="59"/>
      <c r="V678" s="59"/>
      <c r="W678" s="59"/>
      <c r="X678" s="82"/>
      <c r="Y678" s="82"/>
    </row>
    <row r="679" spans="1:25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86"/>
      <c r="T679" s="59"/>
      <c r="U679" s="59"/>
      <c r="V679" s="59"/>
      <c r="W679" s="59"/>
      <c r="X679" s="82"/>
      <c r="Y679" s="82"/>
    </row>
    <row r="680" spans="1:25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86"/>
      <c r="T680" s="59"/>
      <c r="U680" s="59"/>
      <c r="V680" s="59"/>
      <c r="W680" s="59"/>
      <c r="X680" s="82"/>
      <c r="Y680" s="82"/>
    </row>
    <row r="681" spans="1:25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86"/>
      <c r="T681" s="59"/>
      <c r="U681" s="59"/>
      <c r="V681" s="59"/>
      <c r="W681" s="59"/>
      <c r="X681" s="82"/>
      <c r="Y681" s="82"/>
    </row>
    <row r="682" spans="1:25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86"/>
      <c r="T682" s="59"/>
      <c r="U682" s="59"/>
      <c r="V682" s="59"/>
      <c r="W682" s="59"/>
      <c r="X682" s="82"/>
      <c r="Y682" s="82"/>
    </row>
    <row r="683" spans="1:25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86"/>
      <c r="T683" s="59"/>
      <c r="U683" s="59"/>
      <c r="V683" s="59"/>
      <c r="W683" s="59"/>
      <c r="X683" s="82"/>
      <c r="Y683" s="82"/>
    </row>
    <row r="684" spans="1:25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86"/>
      <c r="T684" s="59"/>
      <c r="U684" s="59"/>
      <c r="V684" s="59"/>
      <c r="W684" s="59"/>
      <c r="X684" s="82"/>
      <c r="Y684" s="82"/>
    </row>
    <row r="685" spans="1:25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86"/>
      <c r="T685" s="59"/>
      <c r="U685" s="59"/>
      <c r="V685" s="59"/>
      <c r="W685" s="59"/>
      <c r="X685" s="82"/>
      <c r="Y685" s="82"/>
    </row>
    <row r="686" spans="1:25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86"/>
      <c r="T686" s="59"/>
      <c r="U686" s="59"/>
      <c r="V686" s="59"/>
      <c r="W686" s="59"/>
      <c r="X686" s="82"/>
      <c r="Y686" s="82"/>
    </row>
    <row r="687" spans="1:25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86"/>
      <c r="T687" s="59"/>
      <c r="U687" s="59"/>
      <c r="V687" s="59"/>
      <c r="W687" s="59"/>
      <c r="X687" s="82"/>
      <c r="Y687" s="82"/>
    </row>
    <row r="688" spans="1:25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86"/>
      <c r="T688" s="59"/>
      <c r="U688" s="59"/>
      <c r="V688" s="59"/>
      <c r="W688" s="59"/>
      <c r="X688" s="82"/>
      <c r="Y688" s="82"/>
    </row>
    <row r="689" spans="1:25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86"/>
      <c r="T689" s="59"/>
      <c r="U689" s="59"/>
      <c r="V689" s="59"/>
      <c r="W689" s="59"/>
      <c r="X689" s="82"/>
      <c r="Y689" s="82"/>
    </row>
    <row r="690" spans="1:25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86"/>
      <c r="T690" s="59"/>
      <c r="U690" s="59"/>
      <c r="V690" s="59"/>
      <c r="W690" s="59"/>
      <c r="X690" s="82"/>
      <c r="Y690" s="82"/>
    </row>
    <row r="691" spans="1:25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86"/>
      <c r="T691" s="59"/>
      <c r="U691" s="59"/>
      <c r="V691" s="59"/>
      <c r="W691" s="59"/>
      <c r="X691" s="82"/>
      <c r="Y691" s="82"/>
    </row>
    <row r="692" spans="1:25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86"/>
      <c r="T692" s="59"/>
      <c r="U692" s="59"/>
      <c r="V692" s="59"/>
      <c r="W692" s="59"/>
      <c r="X692" s="82"/>
      <c r="Y692" s="82"/>
    </row>
    <row r="693" spans="1:25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86"/>
      <c r="T693" s="59"/>
      <c r="U693" s="59"/>
      <c r="V693" s="59"/>
      <c r="W693" s="59"/>
      <c r="X693" s="82"/>
      <c r="Y693" s="82"/>
    </row>
    <row r="694" spans="1:25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86"/>
      <c r="T694" s="59"/>
      <c r="U694" s="59"/>
      <c r="V694" s="59"/>
      <c r="W694" s="59"/>
      <c r="X694" s="82"/>
      <c r="Y694" s="82"/>
    </row>
    <row r="695" spans="1:25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86"/>
      <c r="T695" s="59"/>
      <c r="U695" s="59"/>
      <c r="V695" s="59"/>
      <c r="W695" s="59"/>
      <c r="X695" s="82"/>
      <c r="Y695" s="82"/>
    </row>
    <row r="696" spans="1:25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86"/>
      <c r="T696" s="59"/>
      <c r="U696" s="59"/>
      <c r="V696" s="59"/>
      <c r="W696" s="59"/>
      <c r="X696" s="82"/>
      <c r="Y696" s="82"/>
    </row>
    <row r="697" spans="1:25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86"/>
      <c r="T697" s="59"/>
      <c r="U697" s="59"/>
      <c r="V697" s="59"/>
      <c r="W697" s="59"/>
      <c r="X697" s="82"/>
      <c r="Y697" s="82"/>
    </row>
    <row r="698" spans="1:25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86"/>
      <c r="T698" s="59"/>
      <c r="U698" s="59"/>
      <c r="V698" s="59"/>
      <c r="W698" s="59"/>
      <c r="X698" s="82"/>
      <c r="Y698" s="82"/>
    </row>
    <row r="699" spans="1:25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86"/>
      <c r="T699" s="59"/>
      <c r="U699" s="59"/>
      <c r="V699" s="59"/>
      <c r="W699" s="59"/>
      <c r="X699" s="82"/>
      <c r="Y699" s="82"/>
    </row>
    <row r="700" spans="1:25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86"/>
      <c r="T700" s="59"/>
      <c r="U700" s="59"/>
      <c r="V700" s="59"/>
      <c r="W700" s="59"/>
      <c r="X700" s="82"/>
      <c r="Y700" s="82"/>
    </row>
    <row r="701" spans="1:25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86"/>
      <c r="T701" s="59"/>
      <c r="U701" s="59"/>
      <c r="V701" s="59"/>
      <c r="W701" s="59"/>
      <c r="X701" s="82"/>
      <c r="Y701" s="82"/>
    </row>
    <row r="702" spans="1:25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86"/>
      <c r="T702" s="59"/>
      <c r="U702" s="59"/>
      <c r="V702" s="59"/>
      <c r="W702" s="59"/>
      <c r="X702" s="82"/>
      <c r="Y702" s="82"/>
    </row>
    <row r="703" spans="1:25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86"/>
      <c r="T703" s="59"/>
      <c r="U703" s="59"/>
      <c r="V703" s="59"/>
      <c r="W703" s="59"/>
      <c r="X703" s="82"/>
      <c r="Y703" s="82"/>
    </row>
    <row r="704" spans="1:25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86"/>
      <c r="T704" s="59"/>
      <c r="U704" s="59"/>
      <c r="V704" s="59"/>
      <c r="W704" s="59"/>
      <c r="X704" s="82"/>
      <c r="Y704" s="82"/>
    </row>
    <row r="705" spans="1:25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86"/>
      <c r="T705" s="59"/>
      <c r="U705" s="59"/>
      <c r="V705" s="59"/>
      <c r="W705" s="59"/>
      <c r="X705" s="82"/>
      <c r="Y705" s="82"/>
    </row>
    <row r="706" spans="1:25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86"/>
      <c r="T706" s="59"/>
      <c r="U706" s="59"/>
      <c r="V706" s="59"/>
      <c r="W706" s="59"/>
      <c r="X706" s="82"/>
      <c r="Y706" s="82"/>
    </row>
    <row r="707" spans="1:25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86"/>
      <c r="T707" s="59"/>
      <c r="U707" s="59"/>
      <c r="V707" s="59"/>
      <c r="W707" s="59"/>
      <c r="X707" s="82"/>
      <c r="Y707" s="82"/>
    </row>
    <row r="708" spans="1:25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86"/>
      <c r="T708" s="59"/>
      <c r="U708" s="59"/>
      <c r="V708" s="59"/>
      <c r="W708" s="59"/>
      <c r="X708" s="82"/>
      <c r="Y708" s="82"/>
    </row>
    <row r="709" spans="1:25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86"/>
      <c r="T709" s="59"/>
      <c r="U709" s="59"/>
      <c r="V709" s="59"/>
      <c r="W709" s="59"/>
      <c r="X709" s="82"/>
      <c r="Y709" s="82"/>
    </row>
    <row r="710" spans="1:25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86"/>
      <c r="T710" s="59"/>
      <c r="U710" s="59"/>
      <c r="V710" s="59"/>
      <c r="W710" s="59"/>
      <c r="X710" s="82"/>
      <c r="Y710" s="82"/>
    </row>
    <row r="711" spans="1:25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86"/>
      <c r="T711" s="59"/>
      <c r="U711" s="59"/>
      <c r="V711" s="59"/>
      <c r="W711" s="59"/>
      <c r="X711" s="82"/>
      <c r="Y711" s="82"/>
    </row>
    <row r="712" spans="1:25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86"/>
      <c r="T712" s="59"/>
      <c r="U712" s="59"/>
      <c r="V712" s="59"/>
      <c r="W712" s="59"/>
      <c r="X712" s="82"/>
      <c r="Y712" s="82"/>
    </row>
    <row r="713" spans="1:25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86"/>
      <c r="T713" s="59"/>
      <c r="U713" s="59"/>
      <c r="V713" s="59"/>
      <c r="W713" s="59"/>
      <c r="X713" s="82"/>
      <c r="Y713" s="82"/>
    </row>
    <row r="714" spans="1:25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86"/>
      <c r="T714" s="59"/>
      <c r="U714" s="59"/>
      <c r="V714" s="59"/>
      <c r="W714" s="59"/>
      <c r="X714" s="82"/>
      <c r="Y714" s="82"/>
    </row>
    <row r="715" spans="1:25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86"/>
      <c r="T715" s="59"/>
      <c r="U715" s="59"/>
      <c r="V715" s="59"/>
      <c r="W715" s="59"/>
      <c r="X715" s="82"/>
      <c r="Y715" s="82"/>
    </row>
    <row r="716" spans="1:25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86"/>
      <c r="T716" s="59"/>
      <c r="U716" s="59"/>
      <c r="V716" s="59"/>
      <c r="W716" s="59"/>
      <c r="X716" s="82"/>
      <c r="Y716" s="82"/>
    </row>
    <row r="717" spans="1:25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86"/>
      <c r="T717" s="59"/>
      <c r="U717" s="59"/>
      <c r="V717" s="59"/>
      <c r="W717" s="59"/>
      <c r="X717" s="82"/>
      <c r="Y717" s="82"/>
    </row>
    <row r="718" spans="1:25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86"/>
      <c r="T718" s="59"/>
      <c r="U718" s="59"/>
      <c r="V718" s="59"/>
      <c r="W718" s="59"/>
      <c r="X718" s="82"/>
      <c r="Y718" s="82"/>
    </row>
    <row r="719" spans="1:25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86"/>
      <c r="T719" s="59"/>
      <c r="U719" s="59"/>
      <c r="V719" s="59"/>
      <c r="W719" s="59"/>
      <c r="X719" s="82"/>
      <c r="Y719" s="82"/>
    </row>
    <row r="720" spans="1:25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86"/>
      <c r="T720" s="59"/>
      <c r="U720" s="59"/>
      <c r="V720" s="59"/>
      <c r="W720" s="59"/>
      <c r="X720" s="82"/>
      <c r="Y720" s="82"/>
    </row>
    <row r="721" spans="1:25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86"/>
      <c r="T721" s="59"/>
      <c r="U721" s="59"/>
      <c r="V721" s="59"/>
      <c r="W721" s="59"/>
      <c r="X721" s="82"/>
      <c r="Y721" s="82"/>
    </row>
    <row r="722" spans="1:25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86"/>
      <c r="T722" s="59"/>
      <c r="U722" s="59"/>
      <c r="V722" s="59"/>
      <c r="W722" s="59"/>
      <c r="X722" s="82"/>
      <c r="Y722" s="82"/>
    </row>
    <row r="723" spans="1:25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86"/>
      <c r="T723" s="59"/>
      <c r="U723" s="59"/>
      <c r="V723" s="59"/>
      <c r="W723" s="59"/>
      <c r="X723" s="82"/>
      <c r="Y723" s="82"/>
    </row>
    <row r="724" spans="1:25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86"/>
      <c r="T724" s="59"/>
      <c r="U724" s="59"/>
      <c r="V724" s="59"/>
      <c r="W724" s="59"/>
      <c r="X724" s="82"/>
      <c r="Y724" s="82"/>
    </row>
    <row r="725" spans="1:25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86"/>
      <c r="T725" s="59"/>
      <c r="U725" s="59"/>
      <c r="V725" s="59"/>
      <c r="W725" s="59"/>
      <c r="X725" s="82"/>
      <c r="Y725" s="82"/>
    </row>
    <row r="726" spans="1:25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86"/>
      <c r="T726" s="59"/>
      <c r="U726" s="59"/>
      <c r="V726" s="59"/>
      <c r="W726" s="59"/>
      <c r="X726" s="82"/>
      <c r="Y726" s="82"/>
    </row>
    <row r="727" spans="1:25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86"/>
      <c r="T727" s="59"/>
      <c r="U727" s="59"/>
      <c r="V727" s="59"/>
      <c r="W727" s="59"/>
      <c r="X727" s="82"/>
      <c r="Y727" s="82"/>
    </row>
    <row r="728" spans="1:25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86"/>
      <c r="T728" s="59"/>
      <c r="U728" s="59"/>
      <c r="V728" s="59"/>
      <c r="W728" s="59"/>
      <c r="X728" s="82"/>
      <c r="Y728" s="82"/>
    </row>
    <row r="729" spans="1:25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86"/>
      <c r="T729" s="59"/>
      <c r="U729" s="59"/>
      <c r="V729" s="59"/>
      <c r="W729" s="59"/>
      <c r="X729" s="82"/>
      <c r="Y729" s="82"/>
    </row>
    <row r="730" spans="1:25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86"/>
      <c r="T730" s="59"/>
      <c r="U730" s="59"/>
      <c r="V730" s="59"/>
      <c r="W730" s="59"/>
      <c r="X730" s="82"/>
      <c r="Y730" s="82"/>
    </row>
    <row r="731" spans="1:25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86"/>
      <c r="T731" s="59"/>
      <c r="U731" s="59"/>
      <c r="V731" s="59"/>
      <c r="W731" s="59"/>
      <c r="X731" s="82"/>
      <c r="Y731" s="82"/>
    </row>
    <row r="732" spans="1:25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86"/>
      <c r="T732" s="59"/>
      <c r="U732" s="59"/>
      <c r="V732" s="59"/>
      <c r="W732" s="59"/>
      <c r="X732" s="82"/>
      <c r="Y732" s="82"/>
    </row>
    <row r="733" spans="1:25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86"/>
      <c r="T733" s="59"/>
      <c r="U733" s="59"/>
      <c r="V733" s="59"/>
      <c r="W733" s="59"/>
      <c r="X733" s="82"/>
      <c r="Y733" s="82"/>
    </row>
    <row r="734" spans="1:25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86"/>
      <c r="T734" s="59"/>
      <c r="U734" s="59"/>
      <c r="V734" s="59"/>
      <c r="W734" s="59"/>
      <c r="X734" s="82"/>
      <c r="Y734" s="82"/>
    </row>
    <row r="735" spans="1:25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86"/>
      <c r="T735" s="59"/>
      <c r="U735" s="59"/>
      <c r="V735" s="59"/>
      <c r="W735" s="59"/>
      <c r="X735" s="82"/>
      <c r="Y735" s="82"/>
    </row>
    <row r="736" spans="1:25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86"/>
      <c r="T736" s="59"/>
      <c r="U736" s="59"/>
      <c r="V736" s="59"/>
      <c r="W736" s="59"/>
      <c r="X736" s="82"/>
      <c r="Y736" s="82"/>
    </row>
    <row r="737" spans="1:25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86"/>
      <c r="T737" s="59"/>
      <c r="U737" s="59"/>
      <c r="V737" s="59"/>
      <c r="W737" s="59"/>
      <c r="X737" s="82"/>
      <c r="Y737" s="82"/>
    </row>
    <row r="738" spans="1:25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86"/>
      <c r="T738" s="59"/>
      <c r="U738" s="59"/>
      <c r="V738" s="59"/>
      <c r="W738" s="59"/>
      <c r="X738" s="82"/>
      <c r="Y738" s="82"/>
    </row>
    <row r="739" spans="1:25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86"/>
      <c r="T739" s="59"/>
      <c r="U739" s="59"/>
      <c r="V739" s="59"/>
      <c r="W739" s="59"/>
      <c r="X739" s="82"/>
      <c r="Y739" s="82"/>
    </row>
    <row r="740" spans="1:25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86"/>
      <c r="T740" s="59"/>
      <c r="U740" s="59"/>
      <c r="V740" s="59"/>
      <c r="W740" s="59"/>
      <c r="X740" s="82"/>
      <c r="Y740" s="82"/>
    </row>
    <row r="741" spans="1:25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86"/>
      <c r="T741" s="59"/>
      <c r="U741" s="59"/>
      <c r="V741" s="59"/>
      <c r="W741" s="59"/>
      <c r="X741" s="82"/>
      <c r="Y741" s="82"/>
    </row>
    <row r="742" spans="1:25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86"/>
      <c r="T742" s="59"/>
      <c r="U742" s="59"/>
      <c r="V742" s="59"/>
      <c r="W742" s="59"/>
      <c r="X742" s="82"/>
      <c r="Y742" s="82"/>
    </row>
    <row r="743" spans="1:25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86"/>
      <c r="T743" s="59"/>
      <c r="U743" s="59"/>
      <c r="V743" s="59"/>
      <c r="W743" s="59"/>
      <c r="X743" s="82"/>
      <c r="Y743" s="82"/>
    </row>
    <row r="744" spans="1:25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86"/>
      <c r="T744" s="59"/>
      <c r="U744" s="59"/>
      <c r="V744" s="59"/>
      <c r="W744" s="59"/>
      <c r="X744" s="82"/>
      <c r="Y744" s="82"/>
    </row>
    <row r="745" spans="1:25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86"/>
      <c r="T745" s="59"/>
      <c r="U745" s="59"/>
      <c r="V745" s="59"/>
      <c r="W745" s="59"/>
      <c r="X745" s="82"/>
      <c r="Y745" s="82"/>
    </row>
    <row r="746" spans="1:25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86"/>
      <c r="T746" s="59"/>
      <c r="U746" s="59"/>
      <c r="V746" s="59"/>
      <c r="W746" s="59"/>
      <c r="X746" s="82"/>
      <c r="Y746" s="82"/>
    </row>
    <row r="747" spans="1:25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86"/>
      <c r="T747" s="59"/>
      <c r="U747" s="59"/>
      <c r="V747" s="59"/>
      <c r="W747" s="59"/>
      <c r="X747" s="82"/>
      <c r="Y747" s="82"/>
    </row>
    <row r="748" spans="1:25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86"/>
      <c r="T748" s="59"/>
      <c r="U748" s="59"/>
      <c r="V748" s="59"/>
      <c r="W748" s="59"/>
      <c r="X748" s="82"/>
      <c r="Y748" s="82"/>
    </row>
    <row r="749" spans="1:25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86"/>
      <c r="T749" s="59"/>
      <c r="U749" s="59"/>
      <c r="V749" s="59"/>
      <c r="W749" s="59"/>
      <c r="X749" s="82"/>
      <c r="Y749" s="82"/>
    </row>
    <row r="750" spans="1:25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86"/>
      <c r="T750" s="59"/>
      <c r="U750" s="59"/>
      <c r="V750" s="59"/>
      <c r="W750" s="59"/>
      <c r="X750" s="82"/>
      <c r="Y750" s="82"/>
    </row>
    <row r="751" spans="1:25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86"/>
      <c r="T751" s="59"/>
      <c r="U751" s="59"/>
      <c r="V751" s="59"/>
      <c r="W751" s="59"/>
      <c r="X751" s="82"/>
      <c r="Y751" s="82"/>
    </row>
    <row r="752" spans="1:25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86"/>
      <c r="T752" s="59"/>
      <c r="U752" s="59"/>
      <c r="V752" s="59"/>
      <c r="W752" s="59"/>
      <c r="X752" s="82"/>
      <c r="Y752" s="82"/>
    </row>
    <row r="753" spans="1:25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86"/>
      <c r="T753" s="59"/>
      <c r="U753" s="59"/>
      <c r="V753" s="59"/>
      <c r="W753" s="59"/>
      <c r="X753" s="82"/>
      <c r="Y753" s="82"/>
    </row>
    <row r="754" spans="1:25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86"/>
      <c r="T754" s="59"/>
      <c r="U754" s="59"/>
      <c r="V754" s="59"/>
      <c r="W754" s="59"/>
      <c r="X754" s="82"/>
      <c r="Y754" s="82"/>
    </row>
    <row r="755" spans="1:25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86"/>
      <c r="T755" s="59"/>
      <c r="U755" s="59"/>
      <c r="V755" s="59"/>
      <c r="W755" s="59"/>
      <c r="X755" s="82"/>
      <c r="Y755" s="82"/>
    </row>
    <row r="756" spans="1:25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86"/>
      <c r="T756" s="59"/>
      <c r="U756" s="59"/>
      <c r="V756" s="59"/>
      <c r="W756" s="59"/>
      <c r="X756" s="82"/>
      <c r="Y756" s="82"/>
    </row>
    <row r="757" spans="1:25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86"/>
      <c r="T757" s="59"/>
      <c r="U757" s="59"/>
      <c r="V757" s="59"/>
      <c r="W757" s="59"/>
      <c r="X757" s="82"/>
      <c r="Y757" s="82"/>
    </row>
    <row r="758" spans="1:25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86"/>
      <c r="T758" s="59"/>
      <c r="U758" s="59"/>
      <c r="V758" s="59"/>
      <c r="W758" s="59"/>
      <c r="X758" s="82"/>
      <c r="Y758" s="82"/>
    </row>
    <row r="759" spans="1:25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86"/>
      <c r="T759" s="59"/>
      <c r="U759" s="59"/>
      <c r="V759" s="59"/>
      <c r="W759" s="59"/>
      <c r="X759" s="82"/>
      <c r="Y759" s="82"/>
    </row>
    <row r="760" spans="1:25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86"/>
      <c r="T760" s="59"/>
      <c r="U760" s="59"/>
      <c r="V760" s="59"/>
      <c r="W760" s="59"/>
      <c r="X760" s="82"/>
      <c r="Y760" s="82"/>
    </row>
    <row r="761" spans="1:25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86"/>
      <c r="T761" s="59"/>
      <c r="U761" s="59"/>
      <c r="V761" s="59"/>
      <c r="W761" s="59"/>
      <c r="X761" s="82"/>
      <c r="Y761" s="82"/>
    </row>
    <row r="762" spans="1:25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86"/>
      <c r="T762" s="59"/>
      <c r="U762" s="59"/>
      <c r="V762" s="59"/>
      <c r="W762" s="59"/>
      <c r="X762" s="82"/>
      <c r="Y762" s="82"/>
    </row>
    <row r="763" spans="1:25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86"/>
      <c r="T763" s="59"/>
      <c r="U763" s="59"/>
      <c r="V763" s="59"/>
      <c r="W763" s="59"/>
      <c r="X763" s="82"/>
      <c r="Y763" s="82"/>
    </row>
    <row r="764" spans="1:25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86"/>
      <c r="T764" s="59"/>
      <c r="U764" s="59"/>
      <c r="V764" s="59"/>
      <c r="W764" s="59"/>
      <c r="X764" s="82"/>
      <c r="Y764" s="82"/>
    </row>
    <row r="765" spans="1:25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86"/>
      <c r="T765" s="59"/>
      <c r="U765" s="59"/>
      <c r="V765" s="59"/>
      <c r="W765" s="59"/>
      <c r="X765" s="82"/>
      <c r="Y765" s="82"/>
    </row>
    <row r="766" spans="1:25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86"/>
      <c r="T766" s="59"/>
      <c r="U766" s="59"/>
      <c r="V766" s="59"/>
      <c r="W766" s="59"/>
      <c r="X766" s="82"/>
      <c r="Y766" s="82"/>
    </row>
    <row r="767" spans="1:25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86"/>
      <c r="T767" s="59"/>
      <c r="U767" s="59"/>
      <c r="V767" s="59"/>
      <c r="W767" s="59"/>
      <c r="X767" s="82"/>
      <c r="Y767" s="82"/>
    </row>
    <row r="768" spans="1:25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86"/>
      <c r="T768" s="59"/>
      <c r="U768" s="59"/>
      <c r="V768" s="59"/>
      <c r="W768" s="59"/>
      <c r="X768" s="82"/>
      <c r="Y768" s="82"/>
    </row>
    <row r="769" spans="1:25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86"/>
      <c r="T769" s="59"/>
      <c r="U769" s="59"/>
      <c r="V769" s="59"/>
      <c r="W769" s="59"/>
      <c r="X769" s="82"/>
      <c r="Y769" s="82"/>
    </row>
    <row r="770" spans="1:25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86"/>
      <c r="T770" s="59"/>
      <c r="U770" s="59"/>
      <c r="V770" s="59"/>
      <c r="W770" s="59"/>
      <c r="X770" s="82"/>
      <c r="Y770" s="82"/>
    </row>
    <row r="771" spans="1:25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86"/>
      <c r="T771" s="59"/>
      <c r="U771" s="59"/>
      <c r="V771" s="59"/>
      <c r="W771" s="59"/>
      <c r="X771" s="82"/>
      <c r="Y771" s="82"/>
    </row>
    <row r="772" spans="1:25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86"/>
      <c r="T772" s="59"/>
      <c r="U772" s="59"/>
      <c r="V772" s="59"/>
      <c r="W772" s="59"/>
      <c r="X772" s="82"/>
      <c r="Y772" s="82"/>
    </row>
    <row r="773" spans="1:25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86"/>
      <c r="T773" s="59"/>
      <c r="U773" s="59"/>
      <c r="V773" s="59"/>
      <c r="W773" s="59"/>
      <c r="X773" s="82"/>
      <c r="Y773" s="82"/>
    </row>
    <row r="774" spans="1:25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86"/>
      <c r="T774" s="59"/>
      <c r="U774" s="59"/>
      <c r="V774" s="59"/>
      <c r="W774" s="59"/>
      <c r="X774" s="82"/>
      <c r="Y774" s="82"/>
    </row>
    <row r="775" spans="1:25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86"/>
      <c r="T775" s="59"/>
      <c r="U775" s="59"/>
      <c r="V775" s="59"/>
      <c r="W775" s="59"/>
      <c r="X775" s="82"/>
      <c r="Y775" s="82"/>
    </row>
    <row r="776" spans="1:25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86"/>
      <c r="T776" s="59"/>
      <c r="U776" s="59"/>
      <c r="V776" s="59"/>
      <c r="W776" s="59"/>
      <c r="X776" s="82"/>
      <c r="Y776" s="82"/>
    </row>
    <row r="777" spans="1:25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86"/>
      <c r="T777" s="59"/>
      <c r="U777" s="59"/>
      <c r="V777" s="59"/>
      <c r="W777" s="59"/>
      <c r="X777" s="82"/>
      <c r="Y777" s="82"/>
    </row>
    <row r="778" spans="1:25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86"/>
      <c r="T778" s="59"/>
      <c r="U778" s="59"/>
      <c r="V778" s="59"/>
      <c r="W778" s="59"/>
      <c r="X778" s="82"/>
      <c r="Y778" s="82"/>
    </row>
    <row r="779" spans="1:25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86"/>
      <c r="T779" s="59"/>
      <c r="U779" s="59"/>
      <c r="V779" s="59"/>
      <c r="W779" s="59"/>
      <c r="X779" s="82"/>
      <c r="Y779" s="82"/>
    </row>
    <row r="780" spans="1:25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86"/>
      <c r="T780" s="59"/>
      <c r="U780" s="59"/>
      <c r="V780" s="59"/>
      <c r="W780" s="59"/>
      <c r="X780" s="82"/>
      <c r="Y780" s="82"/>
    </row>
    <row r="781" spans="1:25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86"/>
      <c r="T781" s="59"/>
      <c r="U781" s="59"/>
      <c r="V781" s="59"/>
      <c r="W781" s="59"/>
      <c r="X781" s="82"/>
      <c r="Y781" s="82"/>
    </row>
    <row r="782" spans="1:25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86"/>
      <c r="T782" s="59"/>
      <c r="U782" s="59"/>
      <c r="V782" s="59"/>
      <c r="W782" s="59"/>
      <c r="X782" s="82"/>
      <c r="Y782" s="82"/>
    </row>
    <row r="783" spans="1:25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86"/>
      <c r="T783" s="59"/>
      <c r="U783" s="59"/>
      <c r="V783" s="59"/>
      <c r="W783" s="59"/>
      <c r="X783" s="82"/>
      <c r="Y783" s="82"/>
    </row>
    <row r="784" spans="1:25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86"/>
      <c r="T784" s="59"/>
      <c r="U784" s="59"/>
      <c r="V784" s="59"/>
      <c r="W784" s="59"/>
      <c r="X784" s="82"/>
      <c r="Y784" s="82"/>
    </row>
    <row r="785" spans="1:25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86"/>
      <c r="T785" s="59"/>
      <c r="U785" s="59"/>
      <c r="V785" s="59"/>
      <c r="W785" s="59"/>
      <c r="X785" s="82"/>
      <c r="Y785" s="82"/>
    </row>
    <row r="786" spans="1:25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86"/>
      <c r="T786" s="59"/>
      <c r="U786" s="59"/>
      <c r="V786" s="59"/>
      <c r="W786" s="59"/>
      <c r="X786" s="82"/>
      <c r="Y786" s="82"/>
    </row>
    <row r="787" spans="1:25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86"/>
      <c r="T787" s="59"/>
      <c r="U787" s="59"/>
      <c r="V787" s="59"/>
      <c r="W787" s="59"/>
      <c r="X787" s="82"/>
      <c r="Y787" s="82"/>
    </row>
    <row r="788" spans="1:25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86"/>
      <c r="T788" s="59"/>
      <c r="U788" s="59"/>
      <c r="V788" s="59"/>
      <c r="W788" s="59"/>
      <c r="X788" s="82"/>
      <c r="Y788" s="82"/>
    </row>
    <row r="789" spans="1:25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86"/>
      <c r="T789" s="59"/>
      <c r="U789" s="59"/>
      <c r="V789" s="59"/>
      <c r="W789" s="59"/>
      <c r="X789" s="82"/>
      <c r="Y789" s="82"/>
    </row>
    <row r="790" spans="1:25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86"/>
      <c r="T790" s="59"/>
      <c r="U790" s="59"/>
      <c r="V790" s="59"/>
      <c r="W790" s="59"/>
      <c r="X790" s="82"/>
      <c r="Y790" s="82"/>
    </row>
    <row r="791" spans="1:25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86"/>
      <c r="T791" s="59"/>
      <c r="U791" s="59"/>
      <c r="V791" s="59"/>
      <c r="W791" s="59"/>
      <c r="X791" s="82"/>
      <c r="Y791" s="82"/>
    </row>
    <row r="792" spans="1:25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86"/>
      <c r="T792" s="59"/>
      <c r="U792" s="59"/>
      <c r="V792" s="59"/>
      <c r="W792" s="59"/>
      <c r="X792" s="82"/>
      <c r="Y792" s="82"/>
    </row>
    <row r="793" spans="1:25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86"/>
      <c r="T793" s="59"/>
      <c r="U793" s="59"/>
      <c r="V793" s="59"/>
      <c r="W793" s="59"/>
      <c r="X793" s="82"/>
      <c r="Y793" s="82"/>
    </row>
    <row r="794" spans="1:25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86"/>
      <c r="T794" s="59"/>
      <c r="U794" s="59"/>
      <c r="V794" s="59"/>
      <c r="W794" s="59"/>
      <c r="X794" s="82"/>
      <c r="Y794" s="82"/>
    </row>
    <row r="795" spans="1:25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86"/>
      <c r="T795" s="59"/>
      <c r="U795" s="59"/>
      <c r="V795" s="59"/>
      <c r="W795" s="59"/>
      <c r="X795" s="82"/>
      <c r="Y795" s="82"/>
    </row>
    <row r="796" spans="1:25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86"/>
      <c r="T796" s="59"/>
      <c r="U796" s="59"/>
      <c r="V796" s="59"/>
      <c r="W796" s="59"/>
      <c r="X796" s="82"/>
      <c r="Y796" s="82"/>
    </row>
    <row r="797" spans="1:25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86"/>
      <c r="T797" s="59"/>
      <c r="U797" s="59"/>
      <c r="V797" s="59"/>
      <c r="W797" s="59"/>
      <c r="X797" s="82"/>
      <c r="Y797" s="82"/>
    </row>
    <row r="798" spans="1:25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86"/>
      <c r="T798" s="59"/>
      <c r="U798" s="59"/>
      <c r="V798" s="59"/>
      <c r="W798" s="59"/>
      <c r="X798" s="82"/>
      <c r="Y798" s="82"/>
    </row>
    <row r="799" spans="1:25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86"/>
      <c r="T799" s="59"/>
      <c r="U799" s="59"/>
      <c r="V799" s="59"/>
      <c r="W799" s="59"/>
      <c r="X799" s="82"/>
      <c r="Y799" s="82"/>
    </row>
    <row r="800" spans="1:25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86"/>
      <c r="T800" s="59"/>
      <c r="U800" s="59"/>
      <c r="V800" s="59"/>
      <c r="W800" s="59"/>
      <c r="X800" s="82"/>
      <c r="Y800" s="82"/>
    </row>
    <row r="801" spans="1:25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86"/>
      <c r="T801" s="59"/>
      <c r="U801" s="59"/>
      <c r="V801" s="59"/>
      <c r="W801" s="59"/>
      <c r="X801" s="82"/>
      <c r="Y801" s="82"/>
    </row>
    <row r="802" spans="1:25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86"/>
      <c r="T802" s="59"/>
      <c r="U802" s="59"/>
      <c r="V802" s="59"/>
      <c r="W802" s="59"/>
      <c r="X802" s="82"/>
      <c r="Y802" s="82"/>
    </row>
    <row r="803" spans="1:25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86"/>
      <c r="T803" s="59"/>
      <c r="U803" s="59"/>
      <c r="V803" s="59"/>
      <c r="W803" s="59"/>
      <c r="X803" s="82"/>
      <c r="Y803" s="82"/>
    </row>
    <row r="804" spans="1:25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86"/>
      <c r="T804" s="59"/>
      <c r="U804" s="59"/>
      <c r="V804" s="59"/>
      <c r="W804" s="59"/>
      <c r="X804" s="82"/>
      <c r="Y804" s="82"/>
    </row>
    <row r="805" spans="1:25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86"/>
      <c r="T805" s="59"/>
      <c r="U805" s="59"/>
      <c r="V805" s="59"/>
      <c r="W805" s="59"/>
      <c r="X805" s="82"/>
      <c r="Y805" s="82"/>
    </row>
    <row r="806" spans="1:25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86"/>
      <c r="T806" s="59"/>
      <c r="U806" s="59"/>
      <c r="V806" s="59"/>
      <c r="W806" s="59"/>
      <c r="X806" s="82"/>
      <c r="Y806" s="82"/>
    </row>
    <row r="807" spans="1:25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86"/>
      <c r="T807" s="59"/>
      <c r="U807" s="59"/>
      <c r="V807" s="59"/>
      <c r="W807" s="59"/>
      <c r="X807" s="82"/>
      <c r="Y807" s="82"/>
    </row>
    <row r="808" spans="1:25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86"/>
      <c r="T808" s="59"/>
      <c r="U808" s="59"/>
      <c r="V808" s="59"/>
      <c r="W808" s="59"/>
      <c r="X808" s="82"/>
      <c r="Y808" s="82"/>
    </row>
    <row r="809" spans="1:25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86"/>
      <c r="T809" s="59"/>
      <c r="U809" s="59"/>
      <c r="V809" s="59"/>
      <c r="W809" s="59"/>
      <c r="X809" s="82"/>
      <c r="Y809" s="82"/>
    </row>
    <row r="810" spans="1:25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86"/>
      <c r="T810" s="59"/>
      <c r="U810" s="59"/>
      <c r="V810" s="59"/>
      <c r="W810" s="59"/>
      <c r="X810" s="82"/>
      <c r="Y810" s="82"/>
    </row>
    <row r="811" spans="1:25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86"/>
      <c r="T811" s="59"/>
      <c r="U811" s="59"/>
      <c r="V811" s="59"/>
      <c r="W811" s="59"/>
      <c r="X811" s="82"/>
      <c r="Y811" s="82"/>
    </row>
    <row r="812" spans="1:25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86"/>
      <c r="T812" s="59"/>
      <c r="U812" s="59"/>
      <c r="V812" s="59"/>
      <c r="W812" s="59"/>
      <c r="X812" s="82"/>
      <c r="Y812" s="82"/>
    </row>
    <row r="813" spans="1:25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86"/>
      <c r="T813" s="59"/>
      <c r="U813" s="59"/>
      <c r="V813" s="59"/>
      <c r="W813" s="59"/>
      <c r="X813" s="82"/>
      <c r="Y813" s="82"/>
    </row>
    <row r="814" spans="1:25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86"/>
      <c r="T814" s="59"/>
      <c r="U814" s="59"/>
      <c r="V814" s="59"/>
      <c r="W814" s="59"/>
      <c r="X814" s="82"/>
      <c r="Y814" s="82"/>
    </row>
    <row r="815" spans="1:25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86"/>
      <c r="T815" s="59"/>
      <c r="U815" s="59"/>
      <c r="V815" s="59"/>
      <c r="W815" s="59"/>
      <c r="X815" s="82"/>
      <c r="Y815" s="82"/>
    </row>
    <row r="816" spans="1:25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86"/>
      <c r="T816" s="59"/>
      <c r="U816" s="59"/>
      <c r="V816" s="59"/>
      <c r="W816" s="59"/>
      <c r="X816" s="82"/>
      <c r="Y816" s="82"/>
    </row>
    <row r="817" spans="1:25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86"/>
      <c r="T817" s="59"/>
      <c r="U817" s="59"/>
      <c r="V817" s="59"/>
      <c r="W817" s="59"/>
      <c r="X817" s="82"/>
      <c r="Y817" s="82"/>
    </row>
    <row r="818" spans="1:25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86"/>
      <c r="T818" s="59"/>
      <c r="U818" s="59"/>
      <c r="V818" s="59"/>
      <c r="W818" s="59"/>
      <c r="X818" s="82"/>
      <c r="Y818" s="82"/>
    </row>
    <row r="819" spans="1:25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86"/>
      <c r="T819" s="59"/>
      <c r="U819" s="59"/>
      <c r="V819" s="59"/>
      <c r="W819" s="59"/>
      <c r="X819" s="82"/>
      <c r="Y819" s="82"/>
    </row>
    <row r="820" spans="1:25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86"/>
      <c r="T820" s="59"/>
      <c r="U820" s="59"/>
      <c r="V820" s="59"/>
      <c r="W820" s="59"/>
      <c r="X820" s="82"/>
      <c r="Y820" s="82"/>
    </row>
    <row r="821" spans="1:25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86"/>
      <c r="T821" s="59"/>
      <c r="U821" s="59"/>
      <c r="V821" s="59"/>
      <c r="W821" s="59"/>
      <c r="X821" s="82"/>
      <c r="Y821" s="82"/>
    </row>
    <row r="822" spans="1:25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86"/>
      <c r="T822" s="59"/>
      <c r="U822" s="59"/>
      <c r="V822" s="59"/>
      <c r="W822" s="59"/>
      <c r="X822" s="82"/>
      <c r="Y822" s="82"/>
    </row>
    <row r="823" spans="1:25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86"/>
      <c r="T823" s="59"/>
      <c r="U823" s="59"/>
      <c r="V823" s="59"/>
      <c r="W823" s="59"/>
      <c r="X823" s="82"/>
      <c r="Y823" s="82"/>
    </row>
    <row r="824" spans="1:25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86"/>
      <c r="T824" s="59"/>
      <c r="U824" s="59"/>
      <c r="V824" s="59"/>
      <c r="W824" s="59"/>
      <c r="X824" s="82"/>
      <c r="Y824" s="82"/>
    </row>
    <row r="825" spans="1:25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86"/>
      <c r="T825" s="59"/>
      <c r="U825" s="59"/>
      <c r="V825" s="59"/>
      <c r="W825" s="59"/>
      <c r="X825" s="82"/>
      <c r="Y825" s="82"/>
    </row>
    <row r="826" spans="1:25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86"/>
      <c r="T826" s="59"/>
      <c r="U826" s="59"/>
      <c r="V826" s="59"/>
      <c r="W826" s="59"/>
      <c r="X826" s="82"/>
      <c r="Y826" s="82"/>
    </row>
    <row r="827" spans="1:25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86"/>
      <c r="T827" s="59"/>
      <c r="U827" s="59"/>
      <c r="V827" s="59"/>
      <c r="W827" s="59"/>
      <c r="X827" s="82"/>
      <c r="Y827" s="82"/>
    </row>
    <row r="828" spans="1:25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86"/>
      <c r="T828" s="59"/>
      <c r="U828" s="59"/>
      <c r="V828" s="59"/>
      <c r="W828" s="59"/>
      <c r="X828" s="82"/>
      <c r="Y828" s="82"/>
    </row>
    <row r="829" spans="1:25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86"/>
      <c r="T829" s="59"/>
      <c r="U829" s="59"/>
      <c r="V829" s="59"/>
      <c r="W829" s="59"/>
      <c r="X829" s="82"/>
      <c r="Y829" s="82"/>
    </row>
    <row r="830" spans="1:25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86"/>
      <c r="T830" s="59"/>
      <c r="U830" s="59"/>
      <c r="V830" s="59"/>
      <c r="W830" s="59"/>
      <c r="X830" s="82"/>
      <c r="Y830" s="82"/>
    </row>
    <row r="831" spans="1:25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86"/>
      <c r="T831" s="59"/>
      <c r="U831" s="59"/>
      <c r="V831" s="59"/>
      <c r="W831" s="59"/>
      <c r="X831" s="82"/>
      <c r="Y831" s="82"/>
    </row>
    <row r="832" spans="1:25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86"/>
      <c r="T832" s="59"/>
      <c r="U832" s="59"/>
      <c r="V832" s="59"/>
      <c r="W832" s="59"/>
      <c r="X832" s="82"/>
      <c r="Y832" s="82"/>
    </row>
    <row r="833" spans="1:25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86"/>
      <c r="T833" s="59"/>
      <c r="U833" s="59"/>
      <c r="V833" s="59"/>
      <c r="W833" s="59"/>
      <c r="X833" s="82"/>
      <c r="Y833" s="82"/>
    </row>
    <row r="834" spans="1:25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86"/>
      <c r="T834" s="59"/>
      <c r="U834" s="59"/>
      <c r="V834" s="59"/>
      <c r="W834" s="59"/>
      <c r="X834" s="82"/>
      <c r="Y834" s="82"/>
    </row>
    <row r="835" spans="1:25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86"/>
      <c r="T835" s="59"/>
      <c r="U835" s="59"/>
      <c r="V835" s="59"/>
      <c r="W835" s="59"/>
      <c r="X835" s="82"/>
      <c r="Y835" s="82"/>
    </row>
    <row r="836" spans="1:25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86"/>
      <c r="T836" s="59"/>
      <c r="U836" s="59"/>
      <c r="V836" s="59"/>
      <c r="W836" s="59"/>
      <c r="X836" s="82"/>
      <c r="Y836" s="82"/>
    </row>
    <row r="837" spans="1:25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86"/>
      <c r="T837" s="59"/>
      <c r="U837" s="59"/>
      <c r="V837" s="59"/>
      <c r="W837" s="59"/>
      <c r="X837" s="82"/>
      <c r="Y837" s="82"/>
    </row>
    <row r="838" spans="1:25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86"/>
      <c r="T838" s="59"/>
      <c r="U838" s="59"/>
      <c r="V838" s="59"/>
      <c r="W838" s="59"/>
      <c r="X838" s="82"/>
      <c r="Y838" s="82"/>
    </row>
    <row r="839" spans="1:25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86"/>
      <c r="T839" s="59"/>
      <c r="U839" s="59"/>
      <c r="V839" s="59"/>
      <c r="W839" s="59"/>
      <c r="X839" s="82"/>
      <c r="Y839" s="82"/>
    </row>
    <row r="840" spans="1:25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86"/>
      <c r="T840" s="59"/>
      <c r="U840" s="59"/>
      <c r="V840" s="59"/>
      <c r="W840" s="59"/>
      <c r="X840" s="82"/>
      <c r="Y840" s="82"/>
    </row>
    <row r="841" spans="1:25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86"/>
      <c r="T841" s="59"/>
      <c r="U841" s="59"/>
      <c r="V841" s="59"/>
      <c r="W841" s="59"/>
      <c r="X841" s="82"/>
      <c r="Y841" s="82"/>
    </row>
    <row r="842" spans="1:25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86"/>
      <c r="T842" s="59"/>
      <c r="U842" s="59"/>
      <c r="V842" s="59"/>
      <c r="W842" s="59"/>
      <c r="X842" s="82"/>
      <c r="Y842" s="82"/>
    </row>
    <row r="843" spans="1:25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86"/>
      <c r="T843" s="59"/>
      <c r="U843" s="59"/>
      <c r="V843" s="59"/>
      <c r="W843" s="59"/>
      <c r="X843" s="82"/>
      <c r="Y843" s="82"/>
    </row>
    <row r="844" spans="1:25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86"/>
      <c r="T844" s="59"/>
      <c r="U844" s="59"/>
      <c r="V844" s="59"/>
      <c r="W844" s="59"/>
      <c r="X844" s="82"/>
      <c r="Y844" s="82"/>
    </row>
    <row r="845" spans="1:25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86"/>
      <c r="T845" s="59"/>
      <c r="U845" s="59"/>
      <c r="V845" s="59"/>
      <c r="W845" s="59"/>
      <c r="X845" s="82"/>
      <c r="Y845" s="82"/>
    </row>
    <row r="846" spans="1:25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86"/>
      <c r="T846" s="59"/>
      <c r="U846" s="59"/>
      <c r="V846" s="59"/>
      <c r="W846" s="59"/>
      <c r="X846" s="82"/>
      <c r="Y846" s="82"/>
    </row>
    <row r="847" spans="1:25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86"/>
      <c r="T847" s="59"/>
      <c r="U847" s="59"/>
      <c r="V847" s="59"/>
      <c r="W847" s="59"/>
      <c r="X847" s="82"/>
      <c r="Y847" s="82"/>
    </row>
    <row r="848" spans="1:25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86"/>
      <c r="T848" s="59"/>
      <c r="U848" s="59"/>
      <c r="V848" s="59"/>
      <c r="W848" s="59"/>
      <c r="X848" s="82"/>
      <c r="Y848" s="82"/>
    </row>
    <row r="849" spans="1:25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86"/>
      <c r="T849" s="59"/>
      <c r="U849" s="59"/>
      <c r="V849" s="59"/>
      <c r="W849" s="59"/>
      <c r="X849" s="82"/>
      <c r="Y849" s="82"/>
    </row>
    <row r="850" spans="1:25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86"/>
      <c r="T850" s="59"/>
      <c r="U850" s="59"/>
      <c r="V850" s="59"/>
      <c r="W850" s="59"/>
      <c r="X850" s="82"/>
      <c r="Y850" s="82"/>
    </row>
    <row r="851" spans="1:25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86"/>
      <c r="T851" s="59"/>
      <c r="U851" s="59"/>
      <c r="V851" s="59"/>
      <c r="W851" s="59"/>
      <c r="X851" s="82"/>
      <c r="Y851" s="82"/>
    </row>
    <row r="852" spans="1:25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86"/>
      <c r="T852" s="59"/>
      <c r="U852" s="59"/>
      <c r="V852" s="59"/>
      <c r="W852" s="59"/>
      <c r="X852" s="82"/>
      <c r="Y852" s="82"/>
    </row>
    <row r="853" spans="1:25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86"/>
      <c r="T853" s="59"/>
      <c r="U853" s="59"/>
      <c r="V853" s="59"/>
      <c r="W853" s="59"/>
      <c r="X853" s="82"/>
      <c r="Y853" s="82"/>
    </row>
    <row r="854" spans="1:25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86"/>
      <c r="T854" s="59"/>
      <c r="U854" s="59"/>
      <c r="V854" s="59"/>
      <c r="W854" s="59"/>
      <c r="X854" s="82"/>
      <c r="Y854" s="82"/>
    </row>
    <row r="855" spans="1:25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86"/>
      <c r="T855" s="59"/>
      <c r="U855" s="59"/>
      <c r="V855" s="59"/>
      <c r="W855" s="59"/>
      <c r="X855" s="82"/>
      <c r="Y855" s="82"/>
    </row>
    <row r="856" spans="1:25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86"/>
      <c r="T856" s="59"/>
      <c r="U856" s="59"/>
      <c r="V856" s="59"/>
      <c r="W856" s="59"/>
      <c r="X856" s="82"/>
      <c r="Y856" s="82"/>
    </row>
    <row r="857" spans="1:25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86"/>
      <c r="T857" s="59"/>
      <c r="U857" s="59"/>
      <c r="V857" s="59"/>
      <c r="W857" s="59"/>
      <c r="X857" s="82"/>
      <c r="Y857" s="82"/>
    </row>
    <row r="858" spans="1:25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86"/>
      <c r="T858" s="59"/>
      <c r="U858" s="59"/>
      <c r="V858" s="59"/>
      <c r="W858" s="59"/>
      <c r="X858" s="82"/>
      <c r="Y858" s="82"/>
    </row>
    <row r="859" spans="1:25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86"/>
      <c r="T859" s="59"/>
      <c r="U859" s="59"/>
      <c r="V859" s="59"/>
      <c r="W859" s="59"/>
      <c r="X859" s="82"/>
      <c r="Y859" s="82"/>
    </row>
    <row r="860" spans="1:25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86"/>
      <c r="T860" s="59"/>
      <c r="U860" s="59"/>
      <c r="V860" s="59"/>
      <c r="W860" s="59"/>
      <c r="X860" s="82"/>
      <c r="Y860" s="82"/>
    </row>
    <row r="861" spans="1:25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86"/>
      <c r="T861" s="59"/>
      <c r="U861" s="59"/>
      <c r="V861" s="59"/>
      <c r="W861" s="59"/>
      <c r="X861" s="82"/>
      <c r="Y861" s="82"/>
    </row>
    <row r="862" spans="1:25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86"/>
      <c r="T862" s="59"/>
      <c r="U862" s="59"/>
      <c r="V862" s="59"/>
      <c r="W862" s="59"/>
      <c r="X862" s="82"/>
      <c r="Y862" s="82"/>
    </row>
    <row r="863" spans="1:25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86"/>
      <c r="T863" s="59"/>
      <c r="U863" s="59"/>
      <c r="V863" s="59"/>
      <c r="W863" s="59"/>
      <c r="X863" s="82"/>
      <c r="Y863" s="82"/>
    </row>
    <row r="864" spans="1:25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86"/>
      <c r="T864" s="59"/>
      <c r="U864" s="59"/>
      <c r="V864" s="59"/>
      <c r="W864" s="59"/>
      <c r="X864" s="82"/>
      <c r="Y864" s="82"/>
    </row>
    <row r="865" spans="1:25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86"/>
      <c r="T865" s="59"/>
      <c r="U865" s="59"/>
      <c r="V865" s="59"/>
      <c r="W865" s="59"/>
      <c r="X865" s="82"/>
      <c r="Y865" s="82"/>
    </row>
    <row r="866" spans="1:25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86"/>
      <c r="T866" s="59"/>
      <c r="U866" s="59"/>
      <c r="V866" s="59"/>
      <c r="W866" s="59"/>
      <c r="X866" s="82"/>
      <c r="Y866" s="82"/>
    </row>
    <row r="867" spans="1:25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86"/>
      <c r="T867" s="59"/>
      <c r="U867" s="59"/>
      <c r="V867" s="59"/>
      <c r="W867" s="59"/>
      <c r="X867" s="82"/>
      <c r="Y867" s="82"/>
    </row>
    <row r="868" spans="1:25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86"/>
      <c r="T868" s="59"/>
      <c r="U868" s="59"/>
      <c r="V868" s="59"/>
      <c r="W868" s="59"/>
      <c r="X868" s="82"/>
      <c r="Y868" s="82"/>
    </row>
    <row r="869" spans="1:25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86"/>
      <c r="T869" s="59"/>
      <c r="U869" s="59"/>
      <c r="V869" s="59"/>
      <c r="W869" s="59"/>
      <c r="X869" s="82"/>
      <c r="Y869" s="82"/>
    </row>
    <row r="870" spans="1:25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86"/>
      <c r="T870" s="59"/>
      <c r="U870" s="59"/>
      <c r="V870" s="59"/>
      <c r="W870" s="59"/>
      <c r="X870" s="82"/>
      <c r="Y870" s="82"/>
    </row>
    <row r="871" spans="1:25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86"/>
      <c r="T871" s="59"/>
      <c r="U871" s="59"/>
      <c r="V871" s="59"/>
      <c r="W871" s="59"/>
      <c r="X871" s="82"/>
      <c r="Y871" s="82"/>
    </row>
    <row r="872" spans="1:25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86"/>
      <c r="T872" s="59"/>
      <c r="U872" s="59"/>
      <c r="V872" s="59"/>
      <c r="W872" s="59"/>
      <c r="X872" s="82"/>
      <c r="Y872" s="82"/>
    </row>
    <row r="873" spans="1:25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86"/>
      <c r="T873" s="59"/>
      <c r="U873" s="59"/>
      <c r="V873" s="59"/>
      <c r="W873" s="59"/>
      <c r="X873" s="82"/>
      <c r="Y873" s="82"/>
    </row>
    <row r="874" spans="1:25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86"/>
      <c r="T874" s="59"/>
      <c r="U874" s="59"/>
      <c r="V874" s="59"/>
      <c r="W874" s="59"/>
      <c r="X874" s="82"/>
      <c r="Y874" s="82"/>
    </row>
    <row r="875" spans="1:25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86"/>
      <c r="T875" s="59"/>
      <c r="U875" s="59"/>
      <c r="V875" s="59"/>
      <c r="W875" s="59"/>
      <c r="X875" s="82"/>
      <c r="Y875" s="82"/>
    </row>
    <row r="876" spans="1:25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86"/>
      <c r="T876" s="59"/>
      <c r="U876" s="59"/>
      <c r="V876" s="59"/>
      <c r="W876" s="59"/>
      <c r="X876" s="82"/>
      <c r="Y876" s="82"/>
    </row>
    <row r="877" spans="1:25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86"/>
      <c r="T877" s="59"/>
      <c r="U877" s="59"/>
      <c r="V877" s="59"/>
      <c r="W877" s="59"/>
      <c r="X877" s="82"/>
      <c r="Y877" s="82"/>
    </row>
    <row r="878" spans="1:25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86"/>
      <c r="T878" s="59"/>
      <c r="U878" s="59"/>
      <c r="V878" s="59"/>
      <c r="W878" s="59"/>
      <c r="X878" s="82"/>
      <c r="Y878" s="82"/>
    </row>
    <row r="879" spans="1:25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86"/>
      <c r="T879" s="59"/>
      <c r="U879" s="59"/>
      <c r="V879" s="59"/>
      <c r="W879" s="59"/>
      <c r="X879" s="82"/>
      <c r="Y879" s="82"/>
    </row>
    <row r="880" spans="1:25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86"/>
      <c r="T880" s="59"/>
      <c r="U880" s="59"/>
      <c r="V880" s="59"/>
      <c r="W880" s="59"/>
      <c r="X880" s="82"/>
      <c r="Y880" s="82"/>
    </row>
    <row r="881" spans="1:25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86"/>
      <c r="T881" s="59"/>
      <c r="U881" s="59"/>
      <c r="V881" s="59"/>
      <c r="W881" s="59"/>
      <c r="X881" s="82"/>
      <c r="Y881" s="82"/>
    </row>
    <row r="882" spans="1:25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86"/>
      <c r="T882" s="59"/>
      <c r="U882" s="59"/>
      <c r="V882" s="59"/>
      <c r="W882" s="59"/>
      <c r="X882" s="82"/>
      <c r="Y882" s="82"/>
    </row>
    <row r="883" spans="1:25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86"/>
      <c r="T883" s="59"/>
      <c r="U883" s="59"/>
      <c r="V883" s="59"/>
      <c r="W883" s="59"/>
      <c r="X883" s="82"/>
      <c r="Y883" s="82"/>
    </row>
    <row r="884" spans="1:25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86"/>
      <c r="T884" s="59"/>
      <c r="U884" s="59"/>
      <c r="V884" s="59"/>
      <c r="W884" s="59"/>
      <c r="X884" s="82"/>
      <c r="Y884" s="82"/>
    </row>
    <row r="885" spans="1:25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86"/>
      <c r="T885" s="59"/>
      <c r="U885" s="59"/>
      <c r="V885" s="59"/>
      <c r="W885" s="59"/>
      <c r="X885" s="82"/>
      <c r="Y885" s="82"/>
    </row>
    <row r="886" spans="1:25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86"/>
      <c r="T886" s="59"/>
      <c r="U886" s="59"/>
      <c r="V886" s="59"/>
      <c r="W886" s="59"/>
      <c r="X886" s="82"/>
      <c r="Y886" s="82"/>
    </row>
    <row r="887" spans="1:25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86"/>
      <c r="T887" s="59"/>
      <c r="U887" s="59"/>
      <c r="V887" s="59"/>
      <c r="W887" s="59"/>
      <c r="X887" s="82"/>
      <c r="Y887" s="82"/>
    </row>
    <row r="888" spans="1:25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86"/>
      <c r="T888" s="59"/>
      <c r="U888" s="59"/>
      <c r="V888" s="59"/>
      <c r="W888" s="59"/>
      <c r="X888" s="82"/>
      <c r="Y888" s="82"/>
    </row>
    <row r="889" spans="1:25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86"/>
      <c r="T889" s="59"/>
      <c r="U889" s="59"/>
      <c r="V889" s="59"/>
      <c r="W889" s="59"/>
      <c r="X889" s="82"/>
      <c r="Y889" s="82"/>
    </row>
    <row r="890" spans="1:25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86"/>
      <c r="T890" s="59"/>
      <c r="U890" s="59"/>
      <c r="V890" s="59"/>
      <c r="W890" s="59"/>
      <c r="X890" s="82"/>
      <c r="Y890" s="82"/>
    </row>
    <row r="891" spans="1:25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86"/>
      <c r="T891" s="59"/>
      <c r="U891" s="59"/>
      <c r="V891" s="59"/>
      <c r="W891" s="59"/>
      <c r="X891" s="82"/>
      <c r="Y891" s="82"/>
    </row>
    <row r="892" spans="1:25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86"/>
      <c r="T892" s="59"/>
      <c r="U892" s="59"/>
      <c r="V892" s="59"/>
      <c r="W892" s="59"/>
      <c r="X892" s="82"/>
      <c r="Y892" s="82"/>
    </row>
    <row r="893" spans="1:25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86"/>
      <c r="T893" s="59"/>
      <c r="U893" s="59"/>
      <c r="V893" s="59"/>
      <c r="W893" s="59"/>
      <c r="X893" s="82"/>
      <c r="Y893" s="82"/>
    </row>
    <row r="894" spans="1:25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86"/>
      <c r="T894" s="59"/>
      <c r="U894" s="59"/>
      <c r="V894" s="59"/>
      <c r="W894" s="59"/>
      <c r="X894" s="82"/>
      <c r="Y894" s="82"/>
    </row>
    <row r="895" spans="1:25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86"/>
      <c r="T895" s="59"/>
      <c r="U895" s="59"/>
      <c r="V895" s="59"/>
      <c r="W895" s="59"/>
      <c r="X895" s="82"/>
      <c r="Y895" s="82"/>
    </row>
    <row r="896" spans="1:25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86"/>
      <c r="T896" s="59"/>
      <c r="U896" s="59"/>
      <c r="V896" s="59"/>
      <c r="W896" s="59"/>
      <c r="X896" s="82"/>
      <c r="Y896" s="82"/>
    </row>
    <row r="897" spans="1:25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86"/>
      <c r="T897" s="59"/>
      <c r="U897" s="59"/>
      <c r="V897" s="59"/>
      <c r="W897" s="59"/>
      <c r="X897" s="82"/>
      <c r="Y897" s="82"/>
    </row>
    <row r="898" spans="1:25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86"/>
      <c r="T898" s="59"/>
      <c r="U898" s="59"/>
      <c r="V898" s="59"/>
      <c r="W898" s="59"/>
      <c r="X898" s="82"/>
      <c r="Y898" s="82"/>
    </row>
    <row r="899" spans="1:25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86"/>
      <c r="T899" s="59"/>
      <c r="U899" s="59"/>
      <c r="V899" s="59"/>
      <c r="W899" s="59"/>
      <c r="X899" s="82"/>
      <c r="Y899" s="82"/>
    </row>
    <row r="900" spans="1:25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86"/>
      <c r="T900" s="59"/>
      <c r="U900" s="59"/>
      <c r="V900" s="59"/>
      <c r="W900" s="59"/>
      <c r="X900" s="82"/>
      <c r="Y900" s="82"/>
    </row>
    <row r="901" spans="1:25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86"/>
      <c r="T901" s="59"/>
      <c r="U901" s="59"/>
      <c r="V901" s="59"/>
      <c r="W901" s="59"/>
      <c r="X901" s="82"/>
      <c r="Y901" s="82"/>
    </row>
    <row r="902" spans="1:25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86"/>
      <c r="T902" s="59"/>
      <c r="U902" s="59"/>
      <c r="V902" s="59"/>
      <c r="W902" s="59"/>
      <c r="X902" s="82"/>
      <c r="Y902" s="82"/>
    </row>
    <row r="903" spans="1:25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86"/>
      <c r="T903" s="59"/>
      <c r="U903" s="59"/>
      <c r="V903" s="59"/>
      <c r="W903" s="59"/>
      <c r="X903" s="82"/>
      <c r="Y903" s="82"/>
    </row>
    <row r="904" spans="1:25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86"/>
      <c r="T904" s="59"/>
      <c r="U904" s="59"/>
      <c r="V904" s="59"/>
      <c r="W904" s="59"/>
      <c r="X904" s="82"/>
      <c r="Y904" s="82"/>
    </row>
    <row r="905" spans="1:25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86"/>
      <c r="T905" s="59"/>
      <c r="U905" s="59"/>
      <c r="V905" s="59"/>
      <c r="W905" s="59"/>
      <c r="X905" s="82"/>
      <c r="Y905" s="82"/>
    </row>
    <row r="906" spans="1:25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86"/>
      <c r="T906" s="59"/>
      <c r="U906" s="59"/>
      <c r="V906" s="59"/>
      <c r="W906" s="59"/>
      <c r="X906" s="82"/>
      <c r="Y906" s="82"/>
    </row>
    <row r="907" spans="1:25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86"/>
      <c r="T907" s="59"/>
      <c r="U907" s="59"/>
      <c r="V907" s="59"/>
      <c r="W907" s="59"/>
      <c r="X907" s="82"/>
      <c r="Y907" s="82"/>
    </row>
    <row r="908" spans="1:25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86"/>
      <c r="T908" s="59"/>
      <c r="U908" s="59"/>
      <c r="V908" s="59"/>
      <c r="W908" s="59"/>
      <c r="X908" s="82"/>
      <c r="Y908" s="82"/>
    </row>
    <row r="909" spans="1:25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86"/>
      <c r="T909" s="59"/>
      <c r="U909" s="59"/>
      <c r="V909" s="59"/>
      <c r="W909" s="59"/>
      <c r="X909" s="82"/>
      <c r="Y909" s="82"/>
    </row>
    <row r="910" spans="1:25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86"/>
      <c r="T910" s="59"/>
      <c r="U910" s="59"/>
      <c r="V910" s="59"/>
      <c r="W910" s="59"/>
      <c r="X910" s="82"/>
      <c r="Y910" s="82"/>
    </row>
    <row r="911" spans="1:25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86"/>
      <c r="T911" s="59"/>
      <c r="U911" s="59"/>
      <c r="V911" s="59"/>
      <c r="W911" s="59"/>
      <c r="X911" s="82"/>
      <c r="Y911" s="82"/>
    </row>
    <row r="912" spans="1:25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86"/>
      <c r="T912" s="59"/>
      <c r="U912" s="59"/>
      <c r="V912" s="59"/>
      <c r="W912" s="59"/>
      <c r="X912" s="82"/>
      <c r="Y912" s="82"/>
    </row>
    <row r="913" spans="1:25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86"/>
      <c r="T913" s="59"/>
      <c r="U913" s="59"/>
      <c r="V913" s="59"/>
      <c r="W913" s="59"/>
      <c r="X913" s="82"/>
      <c r="Y913" s="82"/>
    </row>
    <row r="914" spans="1:25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86"/>
      <c r="T914" s="59"/>
      <c r="U914" s="59"/>
      <c r="V914" s="59"/>
      <c r="W914" s="59"/>
      <c r="X914" s="82"/>
      <c r="Y914" s="82"/>
    </row>
    <row r="915" spans="1:25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86"/>
      <c r="T915" s="59"/>
      <c r="U915" s="59"/>
      <c r="V915" s="59"/>
      <c r="W915" s="59"/>
      <c r="X915" s="82"/>
      <c r="Y915" s="82"/>
    </row>
    <row r="916" spans="1:25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86"/>
      <c r="T916" s="59"/>
      <c r="U916" s="59"/>
      <c r="V916" s="59"/>
      <c r="W916" s="59"/>
      <c r="X916" s="82"/>
      <c r="Y916" s="82"/>
    </row>
    <row r="917" spans="1:25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86"/>
      <c r="T917" s="59"/>
      <c r="U917" s="59"/>
      <c r="V917" s="59"/>
      <c r="W917" s="59"/>
      <c r="X917" s="82"/>
      <c r="Y917" s="82"/>
    </row>
    <row r="918" spans="1:25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86"/>
      <c r="T918" s="59"/>
      <c r="U918" s="59"/>
      <c r="V918" s="59"/>
      <c r="W918" s="59"/>
      <c r="X918" s="82"/>
      <c r="Y918" s="82"/>
    </row>
    <row r="919" spans="1:25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86"/>
      <c r="T919" s="59"/>
      <c r="U919" s="59"/>
      <c r="V919" s="59"/>
      <c r="W919" s="59"/>
      <c r="X919" s="82"/>
      <c r="Y919" s="82"/>
    </row>
    <row r="920" spans="1:25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86"/>
      <c r="T920" s="59"/>
      <c r="U920" s="59"/>
      <c r="V920" s="59"/>
      <c r="W920" s="59"/>
      <c r="X920" s="82"/>
      <c r="Y920" s="82"/>
    </row>
    <row r="921" spans="1:25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86"/>
      <c r="T921" s="59"/>
      <c r="U921" s="59"/>
      <c r="V921" s="59"/>
      <c r="W921" s="59"/>
      <c r="X921" s="82"/>
      <c r="Y921" s="82"/>
    </row>
    <row r="922" spans="1:25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86"/>
      <c r="T922" s="59"/>
      <c r="U922" s="59"/>
      <c r="V922" s="59"/>
      <c r="W922" s="59"/>
      <c r="X922" s="82"/>
      <c r="Y922" s="82"/>
    </row>
    <row r="923" spans="1:25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86"/>
      <c r="T923" s="59"/>
      <c r="U923" s="59"/>
      <c r="V923" s="59"/>
      <c r="W923" s="59"/>
      <c r="X923" s="82"/>
      <c r="Y923" s="82"/>
    </row>
    <row r="924" spans="1:25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86"/>
      <c r="T924" s="59"/>
      <c r="U924" s="59"/>
      <c r="V924" s="59"/>
      <c r="W924" s="59"/>
      <c r="X924" s="82"/>
      <c r="Y924" s="82"/>
    </row>
    <row r="925" spans="1:25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86"/>
      <c r="T925" s="59"/>
      <c r="U925" s="59"/>
      <c r="V925" s="59"/>
      <c r="W925" s="59"/>
      <c r="X925" s="82"/>
      <c r="Y925" s="82"/>
    </row>
    <row r="926" spans="1:25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86"/>
      <c r="T926" s="59"/>
      <c r="U926" s="59"/>
      <c r="V926" s="59"/>
      <c r="W926" s="59"/>
      <c r="X926" s="82"/>
      <c r="Y926" s="82"/>
    </row>
    <row r="927" spans="1:25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86"/>
      <c r="T927" s="59"/>
      <c r="U927" s="59"/>
      <c r="V927" s="59"/>
      <c r="W927" s="59"/>
      <c r="X927" s="82"/>
      <c r="Y927" s="82"/>
    </row>
    <row r="928" spans="1:25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86"/>
      <c r="T928" s="59"/>
      <c r="U928" s="59"/>
      <c r="V928" s="59"/>
      <c r="W928" s="59"/>
      <c r="X928" s="82"/>
      <c r="Y928" s="82"/>
    </row>
    <row r="929" spans="1:25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86"/>
      <c r="T929" s="59"/>
      <c r="U929" s="59"/>
      <c r="V929" s="59"/>
      <c r="W929" s="59"/>
      <c r="X929" s="82"/>
      <c r="Y929" s="82"/>
    </row>
    <row r="930" spans="1:25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86"/>
      <c r="T930" s="59"/>
      <c r="U930" s="59"/>
      <c r="V930" s="59"/>
      <c r="W930" s="59"/>
      <c r="X930" s="82"/>
      <c r="Y930" s="82"/>
    </row>
    <row r="931" spans="1:25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86"/>
      <c r="T931" s="59"/>
      <c r="U931" s="59"/>
      <c r="V931" s="59"/>
      <c r="W931" s="59"/>
      <c r="X931" s="82"/>
      <c r="Y931" s="82"/>
    </row>
    <row r="932" spans="1:25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86"/>
      <c r="T932" s="59"/>
      <c r="U932" s="59"/>
      <c r="V932" s="59"/>
      <c r="W932" s="59"/>
      <c r="X932" s="82"/>
      <c r="Y932" s="82"/>
    </row>
    <row r="933" spans="1:25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86"/>
      <c r="T933" s="59"/>
      <c r="U933" s="59"/>
      <c r="V933" s="59"/>
      <c r="W933" s="59"/>
      <c r="X933" s="82"/>
      <c r="Y933" s="82"/>
    </row>
    <row r="934" spans="1:25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86"/>
      <c r="T934" s="59"/>
      <c r="U934" s="59"/>
      <c r="V934" s="59"/>
      <c r="W934" s="59"/>
      <c r="X934" s="82"/>
      <c r="Y934" s="82"/>
    </row>
    <row r="935" spans="1:25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86"/>
      <c r="T935" s="59"/>
      <c r="U935" s="59"/>
      <c r="V935" s="59"/>
      <c r="W935" s="59"/>
      <c r="X935" s="82"/>
      <c r="Y935" s="82"/>
    </row>
    <row r="936" spans="1:25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86"/>
      <c r="T936" s="59"/>
      <c r="U936" s="59"/>
      <c r="V936" s="59"/>
      <c r="W936" s="59"/>
      <c r="X936" s="82"/>
      <c r="Y936" s="82"/>
    </row>
    <row r="937" spans="1:25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86"/>
      <c r="T937" s="59"/>
      <c r="U937" s="59"/>
      <c r="V937" s="59"/>
      <c r="W937" s="59"/>
      <c r="X937" s="82"/>
      <c r="Y937" s="82"/>
    </row>
    <row r="938" spans="1:25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86"/>
      <c r="T938" s="59"/>
      <c r="U938" s="59"/>
      <c r="V938" s="59"/>
      <c r="W938" s="59"/>
      <c r="X938" s="82"/>
      <c r="Y938" s="82"/>
    </row>
    <row r="939" spans="1:25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86"/>
      <c r="T939" s="59"/>
      <c r="U939" s="59"/>
      <c r="V939" s="59"/>
      <c r="W939" s="59"/>
      <c r="X939" s="82"/>
      <c r="Y939" s="82"/>
    </row>
    <row r="940" spans="1:25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86"/>
      <c r="T940" s="59"/>
      <c r="U940" s="59"/>
      <c r="V940" s="59"/>
      <c r="W940" s="59"/>
      <c r="X940" s="82"/>
      <c r="Y940" s="82"/>
    </row>
    <row r="941" spans="1:25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86"/>
      <c r="T941" s="59"/>
      <c r="U941" s="59"/>
      <c r="V941" s="59"/>
      <c r="W941" s="59"/>
      <c r="X941" s="82"/>
      <c r="Y941" s="82"/>
    </row>
    <row r="942" spans="1:25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86"/>
      <c r="T942" s="59"/>
      <c r="U942" s="59"/>
      <c r="V942" s="59"/>
      <c r="W942" s="59"/>
      <c r="X942" s="82"/>
      <c r="Y942" s="82"/>
    </row>
    <row r="943" spans="1:25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86"/>
      <c r="T943" s="59"/>
      <c r="U943" s="59"/>
      <c r="V943" s="59"/>
      <c r="W943" s="59"/>
      <c r="X943" s="82"/>
      <c r="Y943" s="82"/>
    </row>
    <row r="944" spans="1:25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86"/>
      <c r="T944" s="59"/>
      <c r="U944" s="59"/>
      <c r="V944" s="59"/>
      <c r="W944" s="59"/>
      <c r="X944" s="82"/>
      <c r="Y944" s="82"/>
    </row>
    <row r="945" spans="1:25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86"/>
      <c r="T945" s="59"/>
      <c r="U945" s="59"/>
      <c r="V945" s="59"/>
      <c r="W945" s="59"/>
      <c r="X945" s="82"/>
      <c r="Y945" s="82"/>
    </row>
    <row r="946" spans="1:25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86"/>
      <c r="T946" s="59"/>
      <c r="U946" s="59"/>
      <c r="V946" s="59"/>
      <c r="W946" s="59"/>
      <c r="X946" s="82"/>
      <c r="Y946" s="82"/>
    </row>
    <row r="947" spans="1:25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86"/>
      <c r="T947" s="59"/>
      <c r="U947" s="59"/>
      <c r="V947" s="59"/>
      <c r="W947" s="59"/>
      <c r="X947" s="82"/>
      <c r="Y947" s="82"/>
    </row>
    <row r="948" spans="1:25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86"/>
      <c r="T948" s="59"/>
      <c r="U948" s="59"/>
      <c r="V948" s="59"/>
      <c r="W948" s="59"/>
      <c r="X948" s="82"/>
      <c r="Y948" s="82"/>
    </row>
    <row r="949" spans="1:25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86"/>
      <c r="T949" s="59"/>
      <c r="U949" s="59"/>
      <c r="V949" s="59"/>
      <c r="W949" s="59"/>
      <c r="X949" s="82"/>
      <c r="Y949" s="82"/>
    </row>
    <row r="950" spans="1:25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86"/>
      <c r="T950" s="59"/>
      <c r="U950" s="59"/>
      <c r="V950" s="59"/>
      <c r="W950" s="59"/>
      <c r="X950" s="82"/>
      <c r="Y950" s="82"/>
    </row>
    <row r="951" spans="1:25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86"/>
      <c r="T951" s="59"/>
      <c r="U951" s="59"/>
      <c r="V951" s="59"/>
      <c r="W951" s="59"/>
      <c r="X951" s="82"/>
      <c r="Y951" s="82"/>
    </row>
    <row r="952" spans="1:25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86"/>
      <c r="T952" s="59"/>
      <c r="U952" s="59"/>
      <c r="V952" s="59"/>
      <c r="W952" s="59"/>
      <c r="X952" s="82"/>
      <c r="Y952" s="82"/>
    </row>
    <row r="953" spans="1:25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86"/>
      <c r="T953" s="59"/>
      <c r="U953" s="59"/>
      <c r="V953" s="59"/>
      <c r="W953" s="59"/>
      <c r="X953" s="82"/>
      <c r="Y953" s="82"/>
    </row>
    <row r="954" spans="1:25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86"/>
      <c r="T954" s="59"/>
      <c r="U954" s="59"/>
      <c r="V954" s="59"/>
      <c r="W954" s="59"/>
      <c r="X954" s="82"/>
      <c r="Y954" s="82"/>
    </row>
    <row r="955" spans="1:25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86"/>
      <c r="T955" s="59"/>
      <c r="U955" s="59"/>
      <c r="V955" s="59"/>
      <c r="W955" s="59"/>
      <c r="X955" s="82"/>
      <c r="Y955" s="82"/>
    </row>
    <row r="956" spans="1:25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86"/>
      <c r="T956" s="59"/>
      <c r="U956" s="59"/>
      <c r="V956" s="59"/>
      <c r="W956" s="59"/>
      <c r="X956" s="82"/>
      <c r="Y956" s="82"/>
    </row>
    <row r="957" spans="1:25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86"/>
      <c r="T957" s="59"/>
      <c r="U957" s="59"/>
      <c r="V957" s="59"/>
      <c r="W957" s="59"/>
      <c r="X957" s="82"/>
      <c r="Y957" s="82"/>
    </row>
    <row r="958" spans="1:25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86"/>
      <c r="T958" s="59"/>
      <c r="U958" s="59"/>
      <c r="V958" s="59"/>
      <c r="W958" s="59"/>
      <c r="X958" s="82"/>
      <c r="Y958" s="82"/>
    </row>
    <row r="959" spans="1:25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86"/>
      <c r="T959" s="59"/>
      <c r="U959" s="59"/>
      <c r="V959" s="59"/>
      <c r="W959" s="59"/>
      <c r="X959" s="82"/>
      <c r="Y959" s="82"/>
    </row>
    <row r="960" spans="1:25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86"/>
      <c r="T960" s="59"/>
      <c r="U960" s="59"/>
      <c r="V960" s="59"/>
      <c r="W960" s="59"/>
      <c r="X960" s="82"/>
      <c r="Y960" s="82"/>
    </row>
    <row r="961" spans="1:25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86"/>
      <c r="T961" s="59"/>
      <c r="U961" s="59"/>
      <c r="V961" s="59"/>
      <c r="W961" s="59"/>
      <c r="X961" s="82"/>
      <c r="Y961" s="82"/>
    </row>
    <row r="962" spans="1:25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86"/>
      <c r="T962" s="59"/>
      <c r="U962" s="59"/>
      <c r="V962" s="59"/>
      <c r="W962" s="59"/>
      <c r="X962" s="82"/>
      <c r="Y962" s="82"/>
    </row>
    <row r="963" spans="1:25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86"/>
      <c r="T963" s="59"/>
      <c r="U963" s="59"/>
      <c r="V963" s="59"/>
      <c r="W963" s="59"/>
      <c r="X963" s="82"/>
      <c r="Y963" s="82"/>
    </row>
    <row r="964" spans="1:25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86"/>
      <c r="T964" s="59"/>
      <c r="U964" s="59"/>
      <c r="V964" s="59"/>
      <c r="W964" s="59"/>
      <c r="X964" s="82"/>
      <c r="Y964" s="82"/>
    </row>
    <row r="965" spans="1:25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86"/>
      <c r="T965" s="59"/>
      <c r="U965" s="59"/>
      <c r="V965" s="59"/>
      <c r="W965" s="59"/>
      <c r="X965" s="82"/>
      <c r="Y965" s="82"/>
    </row>
    <row r="966" spans="1:25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86"/>
      <c r="T966" s="59"/>
      <c r="U966" s="59"/>
      <c r="V966" s="59"/>
      <c r="W966" s="59"/>
      <c r="X966" s="82"/>
      <c r="Y966" s="82"/>
    </row>
    <row r="967" spans="1:25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86"/>
      <c r="T967" s="59"/>
      <c r="U967" s="59"/>
      <c r="V967" s="59"/>
      <c r="W967" s="59"/>
      <c r="X967" s="82"/>
      <c r="Y967" s="82"/>
    </row>
    <row r="968" spans="1:25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86"/>
      <c r="T968" s="59"/>
      <c r="U968" s="59"/>
      <c r="V968" s="59"/>
      <c r="W968" s="59"/>
      <c r="X968" s="82"/>
      <c r="Y968" s="82"/>
    </row>
    <row r="969" spans="1:25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86"/>
      <c r="T969" s="59"/>
      <c r="U969" s="59"/>
      <c r="V969" s="59"/>
      <c r="W969" s="59"/>
      <c r="X969" s="82"/>
      <c r="Y969" s="82"/>
    </row>
    <row r="970" spans="1:25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86"/>
      <c r="T970" s="59"/>
      <c r="U970" s="59"/>
      <c r="V970" s="59"/>
      <c r="W970" s="59"/>
      <c r="X970" s="82"/>
      <c r="Y970" s="82"/>
    </row>
    <row r="971" spans="1:25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86"/>
      <c r="T971" s="59"/>
      <c r="U971" s="59"/>
      <c r="V971" s="59"/>
      <c r="W971" s="59"/>
      <c r="X971" s="82"/>
      <c r="Y971" s="82"/>
    </row>
    <row r="972" spans="1:25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86"/>
      <c r="T972" s="59"/>
      <c r="U972" s="59"/>
      <c r="V972" s="59"/>
      <c r="W972" s="59"/>
      <c r="X972" s="82"/>
      <c r="Y972" s="82"/>
    </row>
    <row r="973" spans="1:25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86"/>
      <c r="T973" s="59"/>
      <c r="U973" s="59"/>
      <c r="V973" s="59"/>
      <c r="W973" s="59"/>
      <c r="X973" s="82"/>
      <c r="Y973" s="82"/>
    </row>
    <row r="974" spans="1:25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86"/>
      <c r="T974" s="59"/>
      <c r="U974" s="59"/>
      <c r="V974" s="59"/>
      <c r="W974" s="59"/>
      <c r="X974" s="82"/>
      <c r="Y974" s="82"/>
    </row>
    <row r="975" spans="1:25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86"/>
      <c r="T975" s="59"/>
      <c r="U975" s="59"/>
      <c r="V975" s="59"/>
      <c r="W975" s="59"/>
      <c r="X975" s="82"/>
      <c r="Y975" s="82"/>
    </row>
    <row r="976" spans="1:25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86"/>
      <c r="T976" s="59"/>
      <c r="U976" s="59"/>
      <c r="V976" s="59"/>
      <c r="W976" s="59"/>
      <c r="X976" s="82"/>
      <c r="Y976" s="82"/>
    </row>
    <row r="977" spans="1:25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86"/>
      <c r="T977" s="59"/>
      <c r="U977" s="59"/>
      <c r="V977" s="59"/>
      <c r="W977" s="59"/>
      <c r="X977" s="82"/>
      <c r="Y977" s="82"/>
    </row>
    <row r="978" spans="1:25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86"/>
      <c r="T978" s="59"/>
      <c r="U978" s="59"/>
      <c r="V978" s="59"/>
      <c r="W978" s="59"/>
      <c r="X978" s="82"/>
      <c r="Y978" s="82"/>
    </row>
    <row r="979" spans="1:25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86"/>
      <c r="T979" s="59"/>
      <c r="U979" s="59"/>
      <c r="V979" s="59"/>
      <c r="W979" s="59"/>
      <c r="X979" s="82"/>
      <c r="Y979" s="82"/>
    </row>
    <row r="980" spans="1:25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86"/>
      <c r="T980" s="59"/>
      <c r="U980" s="59"/>
      <c r="V980" s="59"/>
      <c r="W980" s="59"/>
      <c r="X980" s="82"/>
      <c r="Y980" s="82"/>
    </row>
    <row r="981" spans="1:25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86"/>
      <c r="T981" s="59"/>
      <c r="U981" s="59"/>
      <c r="V981" s="59"/>
      <c r="W981" s="59"/>
      <c r="X981" s="82"/>
      <c r="Y981" s="82"/>
    </row>
    <row r="982" spans="1:25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86"/>
      <c r="T982" s="59"/>
      <c r="U982" s="59"/>
      <c r="V982" s="59"/>
      <c r="W982" s="59"/>
      <c r="X982" s="82"/>
      <c r="Y982" s="82"/>
    </row>
    <row r="983" spans="1:25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86"/>
      <c r="T983" s="59"/>
      <c r="U983" s="59"/>
      <c r="V983" s="59"/>
      <c r="W983" s="59"/>
      <c r="X983" s="82"/>
      <c r="Y983" s="82"/>
    </row>
    <row r="984" spans="1:25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86"/>
      <c r="T984" s="59"/>
      <c r="U984" s="59"/>
      <c r="V984" s="59"/>
      <c r="W984" s="59"/>
      <c r="X984" s="82"/>
      <c r="Y984" s="82"/>
    </row>
    <row r="985" spans="1:25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86"/>
      <c r="T985" s="59"/>
      <c r="U985" s="59"/>
      <c r="V985" s="59"/>
      <c r="W985" s="59"/>
      <c r="X985" s="82"/>
      <c r="Y985" s="82"/>
    </row>
    <row r="986" spans="1:25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86"/>
      <c r="T986" s="59"/>
      <c r="U986" s="59"/>
      <c r="V986" s="59"/>
      <c r="W986" s="59"/>
      <c r="X986" s="82"/>
      <c r="Y986" s="82"/>
    </row>
    <row r="987" spans="1:25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86"/>
      <c r="T987" s="59"/>
      <c r="U987" s="59"/>
      <c r="V987" s="59"/>
      <c r="W987" s="59"/>
      <c r="X987" s="82"/>
      <c r="Y987" s="82"/>
    </row>
    <row r="988" spans="1:25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86"/>
      <c r="T988" s="59"/>
      <c r="U988" s="59"/>
      <c r="V988" s="59"/>
      <c r="W988" s="59"/>
      <c r="X988" s="82"/>
      <c r="Y988" s="82"/>
    </row>
    <row r="989" spans="1:25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86"/>
      <c r="T989" s="59"/>
      <c r="U989" s="59"/>
      <c r="V989" s="59"/>
      <c r="W989" s="59"/>
      <c r="X989" s="82"/>
      <c r="Y989" s="82"/>
    </row>
    <row r="990" spans="1:25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86"/>
      <c r="T990" s="59"/>
      <c r="U990" s="59"/>
      <c r="V990" s="59"/>
      <c r="W990" s="59"/>
      <c r="X990" s="82"/>
      <c r="Y990" s="82"/>
    </row>
    <row r="991" spans="1:25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86"/>
      <c r="T991" s="59"/>
      <c r="U991" s="59"/>
      <c r="V991" s="59"/>
      <c r="W991" s="59"/>
      <c r="X991" s="82"/>
      <c r="Y991" s="82"/>
    </row>
    <row r="992" spans="1:25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86"/>
      <c r="T992" s="59"/>
      <c r="U992" s="59"/>
      <c r="V992" s="59"/>
      <c r="W992" s="59"/>
      <c r="X992" s="82"/>
      <c r="Y992" s="82"/>
    </row>
    <row r="993" spans="1:25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86"/>
      <c r="T993" s="59"/>
      <c r="U993" s="59"/>
      <c r="V993" s="59"/>
      <c r="W993" s="59"/>
      <c r="X993" s="82"/>
      <c r="Y993" s="82"/>
    </row>
    <row r="994" spans="1:25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86"/>
      <c r="T994" s="59"/>
      <c r="U994" s="59"/>
      <c r="V994" s="59"/>
      <c r="W994" s="59"/>
      <c r="X994" s="82"/>
      <c r="Y994" s="82"/>
    </row>
    <row r="995" spans="1:25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86"/>
      <c r="T995" s="59"/>
      <c r="U995" s="59"/>
      <c r="V995" s="59"/>
      <c r="W995" s="59"/>
      <c r="X995" s="82"/>
      <c r="Y995" s="82"/>
    </row>
    <row r="996" spans="1:25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86"/>
      <c r="T996" s="59"/>
      <c r="U996" s="59"/>
      <c r="V996" s="59"/>
      <c r="W996" s="59"/>
      <c r="X996" s="82"/>
      <c r="Y996" s="82"/>
    </row>
    <row r="997" spans="1:25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86"/>
      <c r="T997" s="59"/>
      <c r="U997" s="59"/>
      <c r="V997" s="59"/>
      <c r="W997" s="59"/>
      <c r="X997" s="82"/>
      <c r="Y997" s="82"/>
    </row>
    <row r="998" spans="1:25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86"/>
      <c r="T998" s="59"/>
      <c r="U998" s="59"/>
      <c r="V998" s="59"/>
      <c r="W998" s="59"/>
      <c r="X998" s="82"/>
      <c r="Y998" s="82"/>
    </row>
    <row r="999" spans="1:25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86"/>
      <c r="T999" s="59"/>
      <c r="U999" s="59"/>
      <c r="V999" s="59"/>
      <c r="W999" s="59"/>
      <c r="X999" s="82"/>
      <c r="Y999" s="82"/>
    </row>
    <row r="1000" spans="1:25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86"/>
      <c r="T1000" s="59"/>
      <c r="U1000" s="59"/>
      <c r="V1000" s="59"/>
      <c r="W1000" s="59"/>
      <c r="X1000" s="82"/>
      <c r="Y1000" s="82"/>
    </row>
    <row r="1001" spans="1:25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86"/>
      <c r="T1001" s="59"/>
      <c r="U1001" s="59"/>
      <c r="V1001" s="59"/>
      <c r="W1001" s="59"/>
      <c r="X1001" s="82"/>
      <c r="Y1001" s="82"/>
    </row>
  </sheetData>
  <mergeCells count="8">
    <mergeCell ref="B1:C1"/>
    <mergeCell ref="A1:A2"/>
    <mergeCell ref="W1:W2"/>
    <mergeCell ref="U1:U2"/>
    <mergeCell ref="X1:X2"/>
    <mergeCell ref="Y1:Y2"/>
    <mergeCell ref="D1:T1"/>
    <mergeCell ref="V1:V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42" activePane="bottomRight" state="frozen"/>
      <selection pane="topRight" activeCell="B3" sqref="B3"/>
      <selection pane="bottomLeft" activeCell="B3" sqref="B3"/>
      <selection pane="bottomRight" activeCell="S47" sqref="S47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94" width="14.42578125" style="74" customWidth="1"/>
    <col min="9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454</v>
      </c>
      <c r="E1" s="111">
        <v>46113</v>
      </c>
      <c r="F1" s="89"/>
      <c r="G1" s="89"/>
      <c r="H1" s="90"/>
      <c r="I1" s="110">
        <v>46143</v>
      </c>
      <c r="J1" s="89"/>
      <c r="K1" s="89"/>
      <c r="L1" s="90"/>
      <c r="M1" s="109">
        <v>46174</v>
      </c>
      <c r="N1" s="89"/>
      <c r="O1" s="89"/>
      <c r="P1" s="90"/>
      <c r="Q1" s="109">
        <v>46204</v>
      </c>
      <c r="R1" s="89"/>
      <c r="S1" s="89"/>
      <c r="T1" s="90"/>
      <c r="U1" s="109">
        <v>46235</v>
      </c>
      <c r="V1" s="89"/>
      <c r="W1" s="89"/>
      <c r="X1" s="90"/>
      <c r="Y1" s="109">
        <v>46266</v>
      </c>
      <c r="Z1" s="89"/>
      <c r="AA1" s="89"/>
      <c r="AB1" s="90"/>
      <c r="AC1" s="109">
        <v>46296</v>
      </c>
      <c r="AD1" s="89"/>
      <c r="AE1" s="89"/>
      <c r="AF1" s="90"/>
      <c r="AG1" s="109">
        <v>46327</v>
      </c>
      <c r="AH1" s="89"/>
      <c r="AI1" s="89"/>
      <c r="AJ1" s="90"/>
      <c r="AK1" s="109">
        <v>46357</v>
      </c>
      <c r="AL1" s="89"/>
      <c r="AM1" s="89"/>
      <c r="AN1" s="90"/>
      <c r="AO1" s="109">
        <v>46388</v>
      </c>
      <c r="AP1" s="89"/>
      <c r="AQ1" s="89"/>
      <c r="AR1" s="90"/>
      <c r="AS1" s="109">
        <v>46419</v>
      </c>
      <c r="AT1" s="89"/>
      <c r="AU1" s="89"/>
      <c r="AV1" s="90"/>
      <c r="AW1" s="109">
        <v>46447</v>
      </c>
      <c r="AX1" s="89"/>
      <c r="AY1" s="89"/>
      <c r="AZ1" s="90"/>
      <c r="BA1" s="55" t="s">
        <v>455</v>
      </c>
      <c r="BB1" s="55" t="s">
        <v>456</v>
      </c>
      <c r="BC1" s="55" t="s">
        <v>457</v>
      </c>
      <c r="BD1" s="55" t="s">
        <v>458</v>
      </c>
      <c r="BE1" s="56" t="s">
        <v>459</v>
      </c>
    </row>
    <row r="2" spans="1:57" ht="15.75" customHeight="1" thickBot="1" x14ac:dyDescent="0.3">
      <c r="A2" s="14" t="s">
        <v>460</v>
      </c>
      <c r="B2" s="14" t="s">
        <v>461</v>
      </c>
      <c r="C2" s="14" t="s">
        <v>462</v>
      </c>
      <c r="D2" s="18"/>
      <c r="E2" s="18" t="s">
        <v>463</v>
      </c>
      <c r="F2" s="18" t="s">
        <v>464</v>
      </c>
      <c r="G2" s="18" t="s">
        <v>465</v>
      </c>
      <c r="H2" s="18" t="s">
        <v>466</v>
      </c>
      <c r="I2" s="18" t="s">
        <v>463</v>
      </c>
      <c r="J2" s="18" t="s">
        <v>464</v>
      </c>
      <c r="K2" s="18" t="s">
        <v>465</v>
      </c>
      <c r="L2" s="18" t="s">
        <v>466</v>
      </c>
      <c r="M2" s="18" t="s">
        <v>463</v>
      </c>
      <c r="N2" s="18" t="s">
        <v>464</v>
      </c>
      <c r="O2" s="18" t="s">
        <v>465</v>
      </c>
      <c r="P2" s="18" t="s">
        <v>466</v>
      </c>
      <c r="Q2" s="18" t="s">
        <v>463</v>
      </c>
      <c r="R2" s="18" t="s">
        <v>464</v>
      </c>
      <c r="S2" s="18" t="s">
        <v>465</v>
      </c>
      <c r="T2" s="18" t="s">
        <v>466</v>
      </c>
      <c r="U2" s="18" t="s">
        <v>463</v>
      </c>
      <c r="V2" s="18" t="s">
        <v>464</v>
      </c>
      <c r="W2" s="18" t="s">
        <v>465</v>
      </c>
      <c r="X2" s="18" t="s">
        <v>466</v>
      </c>
      <c r="Y2" s="18" t="s">
        <v>463</v>
      </c>
      <c r="Z2" s="18" t="s">
        <v>464</v>
      </c>
      <c r="AA2" s="18" t="s">
        <v>465</v>
      </c>
      <c r="AB2" s="18" t="s">
        <v>466</v>
      </c>
      <c r="AC2" s="18" t="s">
        <v>463</v>
      </c>
      <c r="AD2" s="18" t="s">
        <v>464</v>
      </c>
      <c r="AE2" s="18" t="s">
        <v>465</v>
      </c>
      <c r="AF2" s="18" t="s">
        <v>466</v>
      </c>
      <c r="AG2" s="18" t="s">
        <v>463</v>
      </c>
      <c r="AH2" s="18" t="s">
        <v>464</v>
      </c>
      <c r="AI2" s="18" t="s">
        <v>465</v>
      </c>
      <c r="AJ2" s="18" t="s">
        <v>466</v>
      </c>
      <c r="AK2" s="18" t="s">
        <v>463</v>
      </c>
      <c r="AL2" s="18" t="s">
        <v>464</v>
      </c>
      <c r="AM2" s="18" t="s">
        <v>465</v>
      </c>
      <c r="AN2" s="18" t="s">
        <v>466</v>
      </c>
      <c r="AO2" s="18" t="s">
        <v>463</v>
      </c>
      <c r="AP2" s="18" t="s">
        <v>464</v>
      </c>
      <c r="AQ2" s="18" t="s">
        <v>465</v>
      </c>
      <c r="AR2" s="18" t="s">
        <v>466</v>
      </c>
      <c r="AS2" s="18" t="s">
        <v>463</v>
      </c>
      <c r="AT2" s="18" t="s">
        <v>464</v>
      </c>
      <c r="AU2" s="18" t="s">
        <v>465</v>
      </c>
      <c r="AV2" s="18" t="s">
        <v>466</v>
      </c>
      <c r="AW2" s="18" t="s">
        <v>463</v>
      </c>
      <c r="AX2" s="18" t="s">
        <v>464</v>
      </c>
      <c r="AY2" s="18" t="s">
        <v>465</v>
      </c>
      <c r="AZ2" s="18" t="s">
        <v>466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7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5931.5252407882945</v>
      </c>
      <c r="O3" s="10"/>
      <c r="P3" s="70">
        <f t="shared" ref="P3:P34" ca="1" si="2">M3-(N3+O3)</f>
        <v>4924.4747592117055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5950.3969893672656</v>
      </c>
      <c r="S3" s="11"/>
      <c r="T3" s="70">
        <f t="shared" ref="T3:T34" ca="1" si="3">Q3-(R3+S3)</f>
        <v>54.603010632734367</v>
      </c>
      <c r="U3" s="70">
        <f ca="1">INDIRECT("'Aug"&amp;Members!$F$2&amp;"-COLLECTION'!K"&amp;ROW()-1)</f>
        <v>7264</v>
      </c>
      <c r="V3" s="70">
        <f ca="1">INDIRECT("'Aug"&amp;Members!$F$2&amp;"-EXPENSE'!R"&amp;ROW()+3)</f>
        <v>5911.9517975558956</v>
      </c>
      <c r="W3" s="10"/>
      <c r="X3" s="70">
        <f t="shared" ref="X3:X34" ca="1" si="4">U3-(V3+W3)</f>
        <v>1352.0482024441044</v>
      </c>
      <c r="Y3" s="70">
        <f ca="1">INDIRECT("'Sep"&amp;Members!$F$2&amp;"-COLLECTION'!K"&amp;ROW()-1)</f>
        <v>4551</v>
      </c>
      <c r="Z3" s="70">
        <f ca="1">INDIRECT("'Sep"&amp;Members!$F$2&amp;"-EXPENSE'!R"&amp;ROW()+3)</f>
        <v>6083.5372343750005</v>
      </c>
      <c r="AA3" s="11"/>
      <c r="AB3" s="70">
        <f t="shared" ref="AB3:AB34" ca="1" si="5">Y3-(Z3+AA3)</f>
        <v>-1532.5372343750005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37906</v>
      </c>
      <c r="BB3" s="70">
        <f t="shared" ref="BB3:BB34" ca="1" si="13">SUM(F3,J3,N3,R3,V3,Z3,AD3,AH3,AL3,AP3,AT3,AX3)</f>
        <v>29443.234080726565</v>
      </c>
      <c r="BC3" s="70">
        <f t="shared" ref="BC3:BC34" si="14">SUM(G3,K3,O3,S3,W3,AA3,AE3,AI3,AM3,AQ3,AU3,AY3)</f>
        <v>0</v>
      </c>
      <c r="BD3" s="70">
        <f t="shared" ref="BD3:BD34" ca="1" si="15">BA3-(BB3+BC3)</f>
        <v>8462.7659192734354</v>
      </c>
      <c r="BE3" s="70">
        <f t="shared" ref="BE3:BE34" ca="1" si="16">BD3+D3</f>
        <v>-979.94031813367474</v>
      </c>
    </row>
    <row r="4" spans="1:57" ht="16.149999999999999" customHeight="1" x14ac:dyDescent="0.25">
      <c r="A4" s="52" t="s">
        <v>10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6140.4346917049697</v>
      </c>
      <c r="K4" s="11"/>
      <c r="L4" s="72">
        <f t="shared" ca="1" si="1"/>
        <v>-6140.4346917049697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7545.7530504897186</v>
      </c>
      <c r="O4" s="10">
        <v>1000</v>
      </c>
      <c r="P4" s="72">
        <f t="shared" ca="1" si="2"/>
        <v>7954.2469495102814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6180.9440916896492</v>
      </c>
      <c r="S4" s="11"/>
      <c r="T4" s="72">
        <f t="shared" ca="1" si="3"/>
        <v>-6180.9440916896492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6604.0149903546226</v>
      </c>
      <c r="W4" s="10"/>
      <c r="X4" s="72">
        <f t="shared" ca="1" si="4"/>
        <v>-6604.0149903546226</v>
      </c>
      <c r="Y4" s="72">
        <f ca="1">INDIRECT("'Sep"&amp;Members!$F$2&amp;"-COLLECTION'!K"&amp;ROW()-1)</f>
        <v>0</v>
      </c>
      <c r="Z4" s="72">
        <f ca="1">INDIRECT("'Sep"&amp;Members!$F$2&amp;"-EXPENSE'!R"&amp;ROW()+3)</f>
        <v>7207.236634375</v>
      </c>
      <c r="AA4" s="11">
        <v>1000</v>
      </c>
      <c r="AB4" s="72">
        <f t="shared" ca="1" si="5"/>
        <v>-8207.236634375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33678.383458613956</v>
      </c>
      <c r="BC4" s="72">
        <f t="shared" si="14"/>
        <v>2000</v>
      </c>
      <c r="BD4" s="72">
        <f t="shared" ca="1" si="15"/>
        <v>-19178.383458613956</v>
      </c>
      <c r="BE4" s="72">
        <f t="shared" ca="1" si="16"/>
        <v>-16572.865488343188</v>
      </c>
    </row>
    <row r="5" spans="1:57" ht="16.149999999999999" customHeight="1" x14ac:dyDescent="0.25">
      <c r="A5" s="68" t="s">
        <v>13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7519.5127796036359</v>
      </c>
      <c r="O5" s="10"/>
      <c r="P5" s="70">
        <f t="shared" ca="1" si="2"/>
        <v>-1519.5127796036359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7584.5075866517309</v>
      </c>
      <c r="S5" s="11"/>
      <c r="T5" s="70">
        <f t="shared" ca="1" si="3"/>
        <v>-1584.5075866517309</v>
      </c>
      <c r="U5" s="70">
        <f ca="1">INDIRECT("'Aug"&amp;Members!$F$2&amp;"-COLLECTION'!K"&amp;ROW()-1)</f>
        <v>23273.809999999998</v>
      </c>
      <c r="V5" s="70">
        <f ca="1">INDIRECT("'Aug"&amp;Members!$F$2&amp;"-EXPENSE'!R"&amp;ROW()+3)</f>
        <v>7358.353401749393</v>
      </c>
      <c r="W5" s="10"/>
      <c r="X5" s="70">
        <f t="shared" ca="1" si="4"/>
        <v>15915.456598250605</v>
      </c>
      <c r="Y5" s="70">
        <f ca="1">INDIRECT("'Sep"&amp;Members!$F$2&amp;"-COLLECTION'!K"&amp;ROW()-1)</f>
        <v>6000</v>
      </c>
      <c r="Z5" s="70">
        <f ca="1">INDIRECT("'Sep"&amp;Members!$F$2&amp;"-EXPENSE'!R"&amp;ROW()+3)</f>
        <v>6957.236634375</v>
      </c>
      <c r="AA5" s="11"/>
      <c r="AB5" s="70">
        <f t="shared" ca="1" si="5"/>
        <v>-957.23663437499999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53273.81</v>
      </c>
      <c r="BB5" s="70">
        <f t="shared" ca="1" si="13"/>
        <v>36258.48444452176</v>
      </c>
      <c r="BC5" s="70">
        <f t="shared" si="14"/>
        <v>0</v>
      </c>
      <c r="BD5" s="70">
        <f t="shared" ca="1" si="15"/>
        <v>17015.325555478237</v>
      </c>
      <c r="BE5" s="70">
        <f t="shared" ca="1" si="16"/>
        <v>10378.066734462729</v>
      </c>
    </row>
    <row r="6" spans="1:57" ht="16.149999999999999" customHeight="1" x14ac:dyDescent="0.25">
      <c r="A6" s="52" t="s">
        <v>17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6064.2225661623743</v>
      </c>
      <c r="O6" s="10"/>
      <c r="P6" s="72">
        <f t="shared" ca="1" si="2"/>
        <v>-6064.2225661623743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>
        <v>1000</v>
      </c>
      <c r="T6" s="72">
        <f t="shared" ca="1" si="3"/>
        <v>14495.390860079529</v>
      </c>
      <c r="U6" s="72">
        <f ca="1">INDIRECT("'Aug"&amp;Members!$F$2&amp;"-COLLECTION'!K"&amp;ROW()-1)</f>
        <v>11259</v>
      </c>
      <c r="V6" s="72">
        <f ca="1">INDIRECT("'Aug"&amp;Members!$F$2&amp;"-EXPENSE'!R"&amp;ROW()+3)</f>
        <v>6090.5033916243365</v>
      </c>
      <c r="W6" s="10"/>
      <c r="X6" s="72">
        <f t="shared" ca="1" si="4"/>
        <v>5168.4966083756635</v>
      </c>
      <c r="Y6" s="72">
        <f ca="1">INDIRECT("'Sep"&amp;Members!$F$2&amp;"-COLLECTION'!K"&amp;ROW()-1)</f>
        <v>2914</v>
      </c>
      <c r="Z6" s="72">
        <f ca="1">INDIRECT("'Sep"&amp;Members!$F$2&amp;"-EXPENSE'!R"&amp;ROW()+3)</f>
        <v>6207.236634375</v>
      </c>
      <c r="AA6" s="11"/>
      <c r="AB6" s="72">
        <f t="shared" ca="1" si="5"/>
        <v>-3293.236634375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42651</v>
      </c>
      <c r="BB6" s="72">
        <f t="shared" ca="1" si="13"/>
        <v>31139.824483763696</v>
      </c>
      <c r="BC6" s="72">
        <f t="shared" si="14"/>
        <v>1000</v>
      </c>
      <c r="BD6" s="72">
        <f t="shared" ca="1" si="15"/>
        <v>10511.175516236304</v>
      </c>
      <c r="BE6" s="72">
        <f t="shared" ca="1" si="16"/>
        <v>4875.9536343299769</v>
      </c>
    </row>
    <row r="7" spans="1:57" ht="16.149999999999999" customHeight="1" x14ac:dyDescent="0.25">
      <c r="A7" s="68" t="s">
        <v>20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5582.5638157073336</v>
      </c>
      <c r="K7" s="11"/>
      <c r="L7" s="70">
        <f t="shared" ca="1" si="1"/>
        <v>-345.56381570733356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6178.147623053962</v>
      </c>
      <c r="O7" s="10"/>
      <c r="P7" s="70">
        <f t="shared" ca="1" si="2"/>
        <v>-623.16762305396242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5647.9547267080179</v>
      </c>
      <c r="S7" s="11"/>
      <c r="T7" s="70">
        <f t="shared" ca="1" si="3"/>
        <v>5611.0952732919814</v>
      </c>
      <c r="U7" s="70">
        <f ca="1">INDIRECT("'Aug"&amp;Members!$F$2&amp;"-COLLECTION'!K"&amp;ROW()-1)</f>
        <v>5703</v>
      </c>
      <c r="V7" s="70">
        <f ca="1">INDIRECT("'Aug"&amp;Members!$F$2&amp;"-EXPENSE'!R"&amp;ROW()+3)</f>
        <v>5881.1841667451881</v>
      </c>
      <c r="W7" s="10"/>
      <c r="X7" s="70">
        <f t="shared" ca="1" si="4"/>
        <v>-178.18416674518812</v>
      </c>
      <c r="Y7" s="70">
        <f ca="1">INDIRECT("'Sep"&amp;Members!$F$2&amp;"-COLLECTION'!K"&amp;ROW()-1)</f>
        <v>5923</v>
      </c>
      <c r="Z7" s="70">
        <f ca="1">INDIRECT("'Sep"&amp;Members!$F$2&amp;"-EXPENSE'!R"&amp;ROW()+3)</f>
        <v>6083.5372343750005</v>
      </c>
      <c r="AA7" s="11"/>
      <c r="AB7" s="70">
        <f t="shared" ca="1" si="5"/>
        <v>-160.53723437500048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33677.03</v>
      </c>
      <c r="BB7" s="70">
        <f t="shared" ca="1" si="13"/>
        <v>29373.387566589503</v>
      </c>
      <c r="BC7" s="70">
        <f t="shared" si="14"/>
        <v>0</v>
      </c>
      <c r="BD7" s="70">
        <f t="shared" ca="1" si="15"/>
        <v>4303.6424334104959</v>
      </c>
      <c r="BE7" s="70">
        <f t="shared" ca="1" si="16"/>
        <v>-1051.241724298794</v>
      </c>
    </row>
    <row r="8" spans="1:57" ht="16.5" customHeight="1" x14ac:dyDescent="0.25">
      <c r="A8" s="52" t="s">
        <v>22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6403.6616646621969</v>
      </c>
      <c r="O8" s="10"/>
      <c r="P8" s="72">
        <f t="shared" ca="1" si="2"/>
        <v>1065.3383353378031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6204.3360187354319</v>
      </c>
      <c r="S8" s="11"/>
      <c r="T8" s="72">
        <f t="shared" ca="1" si="3"/>
        <v>135.45398126456803</v>
      </c>
      <c r="U8" s="72">
        <f ca="1">INDIRECT("'Aug"&amp;Members!$F$2&amp;"-COLLECTION'!K"&amp;ROW()-1)</f>
        <v>6262.27</v>
      </c>
      <c r="V8" s="72">
        <f ca="1">INDIRECT("'Aug"&amp;Members!$F$2&amp;"-EXPENSE'!R"&amp;ROW()+3)</f>
        <v>6173.2932339651434</v>
      </c>
      <c r="W8" s="10"/>
      <c r="X8" s="72">
        <f t="shared" ca="1" si="4"/>
        <v>88.976766034857064</v>
      </c>
      <c r="Y8" s="72">
        <f ca="1">INDIRECT("'Sep"&amp;Members!$F$2&amp;"-COLLECTION'!K"&amp;ROW()-1)</f>
        <v>6228.92</v>
      </c>
      <c r="Z8" s="72">
        <f ca="1">INDIRECT("'Sep"&amp;Members!$F$2&amp;"-EXPENSE'!R"&amp;ROW()+3)</f>
        <v>6083.5372343750005</v>
      </c>
      <c r="AA8" s="11"/>
      <c r="AB8" s="72">
        <f t="shared" ca="1" si="5"/>
        <v>145.38276562499959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40610.03</v>
      </c>
      <c r="BB8" s="72">
        <f t="shared" ca="1" si="13"/>
        <v>30700.331003037041</v>
      </c>
      <c r="BC8" s="72">
        <f t="shared" si="14"/>
        <v>0</v>
      </c>
      <c r="BD8" s="72">
        <f t="shared" ca="1" si="15"/>
        <v>9909.6989969629576</v>
      </c>
      <c r="BE8" s="72">
        <f t="shared" ca="1" si="16"/>
        <v>-684.31774674966255</v>
      </c>
    </row>
    <row r="9" spans="1:57" ht="16.5" customHeight="1" x14ac:dyDescent="0.25">
      <c r="A9" s="68" t="s">
        <v>25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6175.7739258942438</v>
      </c>
      <c r="O9" s="10"/>
      <c r="P9" s="70">
        <f t="shared" ca="1" si="2"/>
        <v>-210.91392589424413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6220.1095379740509</v>
      </c>
      <c r="S9" s="11"/>
      <c r="T9" s="70">
        <f t="shared" ca="1" si="3"/>
        <v>-40.779537974050982</v>
      </c>
      <c r="U9" s="70">
        <f ca="1">INDIRECT("'Aug"&amp;Members!$F$2&amp;"-COLLECTION'!K"&amp;ROW()-1)</f>
        <v>6216.35</v>
      </c>
      <c r="V9" s="70">
        <f ca="1">INDIRECT("'Aug"&amp;Members!$F$2&amp;"-EXPENSE'!R"&amp;ROW()+3)</f>
        <v>6270.5696695967799</v>
      </c>
      <c r="W9" s="10"/>
      <c r="X9" s="70">
        <f t="shared" ca="1" si="4"/>
        <v>-54.219669596779568</v>
      </c>
      <c r="Y9" s="70">
        <f ca="1">INDIRECT("'Sep"&amp;Members!$F$2&amp;"-COLLECTION'!K"&amp;ROW()-1)</f>
        <v>6270</v>
      </c>
      <c r="Z9" s="70">
        <f ca="1">INDIRECT("'Sep"&amp;Members!$F$2&amp;"-EXPENSE'!R"&amp;ROW()+3)</f>
        <v>7833.5372343750005</v>
      </c>
      <c r="AA9" s="11"/>
      <c r="AB9" s="70">
        <f t="shared" ca="1" si="5"/>
        <v>-1563.5372343750005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37188.54</v>
      </c>
      <c r="BB9" s="70">
        <f t="shared" ca="1" si="13"/>
        <v>32517.961258029936</v>
      </c>
      <c r="BC9" s="70">
        <f t="shared" si="14"/>
        <v>0</v>
      </c>
      <c r="BD9" s="70">
        <f t="shared" ca="1" si="15"/>
        <v>4670.5787419700646</v>
      </c>
      <c r="BE9" s="70">
        <f t="shared" ca="1" si="16"/>
        <v>-2503.1763516168721</v>
      </c>
    </row>
    <row r="10" spans="1:57" ht="16.149999999999999" customHeight="1" x14ac:dyDescent="0.25">
      <c r="A10" s="52" t="s">
        <v>28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5525.5433751678484</v>
      </c>
      <c r="O10" s="10"/>
      <c r="P10" s="72">
        <f t="shared" ca="1" si="2"/>
        <v>-192.54337516784835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5468.000701744003</v>
      </c>
      <c r="S10" s="11"/>
      <c r="T10" s="72">
        <f t="shared" ca="1" si="3"/>
        <v>434.99929825599702</v>
      </c>
      <c r="U10" s="72">
        <f ca="1">INDIRECT("'Aug"&amp;Members!$F$2&amp;"-COLLECTION'!K"&amp;ROW()-1)</f>
        <v>5091.08</v>
      </c>
      <c r="V10" s="72">
        <f ca="1">INDIRECT("'Aug"&amp;Members!$F$2&amp;"-EXPENSE'!R"&amp;ROW()+3)</f>
        <v>5781.9111060060277</v>
      </c>
      <c r="W10" s="10"/>
      <c r="X10" s="72">
        <f t="shared" ca="1" si="4"/>
        <v>-690.83110600602777</v>
      </c>
      <c r="Y10" s="72">
        <f ca="1">INDIRECT("'Sep"&amp;Members!$F$2&amp;"-COLLECTION'!K"&amp;ROW()-1)</f>
        <v>5787</v>
      </c>
      <c r="Z10" s="72">
        <f ca="1">INDIRECT("'Sep"&amp;Members!$F$2&amp;"-EXPENSE'!R"&amp;ROW()+3)</f>
        <v>6083.5372343750005</v>
      </c>
      <c r="AA10" s="11"/>
      <c r="AB10" s="72">
        <f t="shared" ca="1" si="5"/>
        <v>-296.53723437500048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29105.08</v>
      </c>
      <c r="BB10" s="72">
        <f t="shared" ca="1" si="13"/>
        <v>28198.50776226155</v>
      </c>
      <c r="BC10" s="72">
        <f t="shared" si="14"/>
        <v>0</v>
      </c>
      <c r="BD10" s="72">
        <f t="shared" ca="1" si="15"/>
        <v>906.5722377384518</v>
      </c>
      <c r="BE10" s="72">
        <f t="shared" ca="1" si="16"/>
        <v>-1058.9270493617953</v>
      </c>
    </row>
    <row r="11" spans="1:57" ht="16.149999999999999" customHeight="1" x14ac:dyDescent="0.25">
      <c r="A11" s="68" t="s">
        <v>31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5551.9460829351374</v>
      </c>
      <c r="K11" s="11"/>
      <c r="L11" s="70">
        <f t="shared" ca="1" si="1"/>
        <v>4681.0539170648626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5744.2586034891101</v>
      </c>
      <c r="O11" s="10"/>
      <c r="P11" s="70">
        <f t="shared" ca="1" si="2"/>
        <v>-206.2586034891101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5788.7005529008984</v>
      </c>
      <c r="S11" s="11"/>
      <c r="T11" s="70">
        <f t="shared" ca="1" si="3"/>
        <v>-5788.7005529008984</v>
      </c>
      <c r="U11" s="70">
        <f ca="1">INDIRECT("'Aug"&amp;Members!$F$2&amp;"-COLLECTION'!K"&amp;ROW()-1)</f>
        <v>8225</v>
      </c>
      <c r="V11" s="70">
        <f ca="1">INDIRECT("'Aug"&amp;Members!$F$2&amp;"-EXPENSE'!R"&amp;ROW()+3)</f>
        <v>5834.4254690396265</v>
      </c>
      <c r="W11" s="10"/>
      <c r="X11" s="70">
        <f t="shared" ca="1" si="4"/>
        <v>2390.5745309603735</v>
      </c>
      <c r="Y11" s="70">
        <f ca="1">INDIRECT("'Sep"&amp;Members!$F$2&amp;"-COLLECTION'!K"&amp;ROW()-1)</f>
        <v>4462</v>
      </c>
      <c r="Z11" s="70">
        <f ca="1">INDIRECT("'Sep"&amp;Members!$F$2&amp;"-EXPENSE'!R"&amp;ROW()+3)</f>
        <v>6207.236634375</v>
      </c>
      <c r="AA11" s="11"/>
      <c r="AB11" s="70">
        <f t="shared" ca="1" si="5"/>
        <v>-1745.236634375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28458</v>
      </c>
      <c r="BB11" s="70">
        <f t="shared" ca="1" si="13"/>
        <v>29126.567342739774</v>
      </c>
      <c r="BC11" s="70">
        <f t="shared" si="14"/>
        <v>0</v>
      </c>
      <c r="BD11" s="70">
        <f t="shared" ca="1" si="15"/>
        <v>-668.56734273977418</v>
      </c>
      <c r="BE11" s="70">
        <f t="shared" ca="1" si="16"/>
        <v>-1265.8249353641986</v>
      </c>
    </row>
    <row r="12" spans="1:57" ht="16.149999999999999" customHeight="1" x14ac:dyDescent="0.25">
      <c r="A12" s="52" t="s">
        <v>35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6200.4443689494819</v>
      </c>
      <c r="O12" s="10"/>
      <c r="P12" s="72">
        <f t="shared" ca="1" si="2"/>
        <v>-6200.4443689494819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6253.1907247315212</v>
      </c>
      <c r="S12" s="11"/>
      <c r="T12" s="72">
        <f t="shared" ca="1" si="3"/>
        <v>12350.809275268479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6503.4910012244818</v>
      </c>
      <c r="W12" s="10"/>
      <c r="X12" s="72">
        <f t="shared" ca="1" si="4"/>
        <v>-6503.4910012244818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6083.5372343750005</v>
      </c>
      <c r="AA12" s="11"/>
      <c r="AB12" s="72">
        <f t="shared" ca="1" si="5"/>
        <v>-6083.5372343750005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31270.167370636424</v>
      </c>
      <c r="BC12" s="72">
        <f t="shared" si="14"/>
        <v>0</v>
      </c>
      <c r="BD12" s="72">
        <f t="shared" ca="1" si="15"/>
        <v>15155.832629363576</v>
      </c>
      <c r="BE12" s="72">
        <f t="shared" ca="1" si="16"/>
        <v>-12666.692965445283</v>
      </c>
    </row>
    <row r="13" spans="1:57" ht="16.149999999999999" customHeight="1" x14ac:dyDescent="0.25">
      <c r="A13" s="68" t="s">
        <v>39</v>
      </c>
      <c r="B13" s="69">
        <f>VLOOKUP(A13,Members!$A$2:$C$65,3,FALSE)</f>
        <v>0</v>
      </c>
      <c r="C13" s="68" t="str">
        <f>Members!B12</f>
        <v>Geetha N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5557.6869073217949</v>
      </c>
      <c r="O13" s="10"/>
      <c r="P13" s="70">
        <f t="shared" ca="1" si="2"/>
        <v>-656.68690732179493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5577.132976648938</v>
      </c>
      <c r="S13" s="11"/>
      <c r="T13" s="70">
        <f t="shared" ca="1" si="3"/>
        <v>-5577.132976648938</v>
      </c>
      <c r="U13" s="70">
        <f ca="1">INDIRECT("'Aug"&amp;Members!$F$2&amp;"-COLLECTION'!K"&amp;ROW()-1)</f>
        <v>2225</v>
      </c>
      <c r="V13" s="70">
        <f ca="1">INDIRECT("'Aug"&amp;Members!$F$2&amp;"-EXPENSE'!R"&amp;ROW()+3)</f>
        <v>5601.9627333744047</v>
      </c>
      <c r="W13" s="10"/>
      <c r="X13" s="70">
        <f t="shared" ca="1" si="4"/>
        <v>-3376.9627333744047</v>
      </c>
      <c r="Y13" s="70">
        <f ca="1">INDIRECT("'Sep"&amp;Members!$F$2&amp;"-COLLECTION'!K"&amp;ROW()-1)</f>
        <v>14645</v>
      </c>
      <c r="Z13" s="70">
        <f ca="1">INDIRECT("'Sep"&amp;Members!$F$2&amp;"-EXPENSE'!R"&amp;ROW()+3)</f>
        <v>6083.5372343750005</v>
      </c>
      <c r="AA13" s="11"/>
      <c r="AB13" s="70">
        <f t="shared" ca="1" si="5"/>
        <v>8561.4627656249995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27320</v>
      </c>
      <c r="BB13" s="70">
        <f t="shared" ca="1" si="13"/>
        <v>28162.996934633709</v>
      </c>
      <c r="BC13" s="70">
        <f t="shared" si="14"/>
        <v>0</v>
      </c>
      <c r="BD13" s="70">
        <f t="shared" ca="1" si="15"/>
        <v>-842.99693463370932</v>
      </c>
      <c r="BE13" s="70">
        <f t="shared" ca="1" si="16"/>
        <v>-1402.9643945921853</v>
      </c>
    </row>
    <row r="14" spans="1:57" ht="16.149999999999999" customHeight="1" x14ac:dyDescent="0.25">
      <c r="A14" s="52" t="s">
        <v>41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6244.0192276793032</v>
      </c>
      <c r="O14" s="10"/>
      <c r="P14" s="72">
        <f t="shared" ca="1" si="2"/>
        <v>-6244.0192276793032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5826.5028608520015</v>
      </c>
      <c r="S14" s="11"/>
      <c r="T14" s="72">
        <f t="shared" ca="1" si="3"/>
        <v>-1111.7528608520015</v>
      </c>
      <c r="U14" s="72">
        <f ca="1">INDIRECT("'Aug"&amp;Members!$F$2&amp;"-COLLECTION'!K"&amp;ROW()-1)</f>
        <v>7988.16</v>
      </c>
      <c r="V14" s="72">
        <f ca="1">INDIRECT("'Aug"&amp;Members!$F$2&amp;"-EXPENSE'!R"&amp;ROW()+3)</f>
        <v>5747.9375167749195</v>
      </c>
      <c r="W14" s="10"/>
      <c r="X14" s="72">
        <f t="shared" ca="1" si="4"/>
        <v>2240.2224832250804</v>
      </c>
      <c r="Y14" s="72">
        <f ca="1">INDIRECT("'Sep"&amp;Members!$F$2&amp;"-COLLECTION'!K"&amp;ROW()-1)</f>
        <v>4404.6499999999996</v>
      </c>
      <c r="Z14" s="72">
        <f ca="1">INDIRECT("'Sep"&amp;Members!$F$2&amp;"-EXPENSE'!R"&amp;ROW()+3)</f>
        <v>6083.5372343750005</v>
      </c>
      <c r="AA14" s="11"/>
      <c r="AB14" s="72">
        <f t="shared" ca="1" si="5"/>
        <v>-1678.8872343750008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29602.97</v>
      </c>
      <c r="BB14" s="72">
        <f t="shared" ca="1" si="13"/>
        <v>29752.416608464126</v>
      </c>
      <c r="BC14" s="72">
        <f t="shared" si="14"/>
        <v>0</v>
      </c>
      <c r="BD14" s="72">
        <f t="shared" ca="1" si="15"/>
        <v>-149.44660846412444</v>
      </c>
      <c r="BE14" s="72">
        <f t="shared" ca="1" si="16"/>
        <v>-1505.8383813907344</v>
      </c>
    </row>
    <row r="15" spans="1:57" ht="16.149999999999999" customHeight="1" x14ac:dyDescent="0.25">
      <c r="A15" s="68" t="s">
        <v>45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5703.5132810404448</v>
      </c>
      <c r="O15" s="10"/>
      <c r="P15" s="70">
        <f t="shared" ca="1" si="2"/>
        <v>-5703.5132810404448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>
        <v>1000</v>
      </c>
      <c r="T15" s="70">
        <f t="shared" ca="1" si="3"/>
        <v>3638.77632616757</v>
      </c>
      <c r="U15" s="70">
        <f ca="1">INDIRECT("'Aug"&amp;Members!$F$2&amp;"-COLLECTION'!K"&amp;ROW()-1)</f>
        <v>8495.49</v>
      </c>
      <c r="V15" s="70">
        <f ca="1">INDIRECT("'Aug"&amp;Members!$F$2&amp;"-EXPENSE'!R"&amp;ROW()+3)</f>
        <v>6854.5703719499033</v>
      </c>
      <c r="W15" s="10"/>
      <c r="X15" s="70">
        <f t="shared" ca="1" si="4"/>
        <v>1640.9196280500964</v>
      </c>
      <c r="Y15" s="70">
        <f ca="1">INDIRECT("'Sep"&amp;Members!$F$2&amp;"-COLLECTION'!K"&amp;ROW()-1)</f>
        <v>6863.52</v>
      </c>
      <c r="Z15" s="70">
        <f ca="1">INDIRECT("'Sep"&amp;Members!$F$2&amp;"-EXPENSE'!R"&amp;ROW()+3)</f>
        <v>6207.236634375</v>
      </c>
      <c r="AA15" s="11"/>
      <c r="AB15" s="70">
        <f t="shared" ca="1" si="5"/>
        <v>656.28336562500044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31677.079999999998</v>
      </c>
      <c r="BB15" s="70">
        <f t="shared" ca="1" si="13"/>
        <v>31046.629749102845</v>
      </c>
      <c r="BC15" s="70">
        <f t="shared" si="14"/>
        <v>1000</v>
      </c>
      <c r="BD15" s="70">
        <f t="shared" ca="1" si="15"/>
        <v>-369.54974910284727</v>
      </c>
      <c r="BE15" s="70">
        <f t="shared" ca="1" si="16"/>
        <v>-1215.8306062453012</v>
      </c>
    </row>
    <row r="16" spans="1:57" ht="16.149999999999999" customHeight="1" x14ac:dyDescent="0.25">
      <c r="A16" s="52" t="s">
        <v>47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6555.316883120031</v>
      </c>
      <c r="O16" s="10"/>
      <c r="P16" s="72">
        <f t="shared" ca="1" si="2"/>
        <v>-785.31688312003098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6571.2545306008578</v>
      </c>
      <c r="S16" s="11"/>
      <c r="T16" s="72">
        <f t="shared" ca="1" si="3"/>
        <v>-971.25453060085783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5836.6106247789048</v>
      </c>
      <c r="W16" s="10"/>
      <c r="X16" s="72">
        <f t="shared" ca="1" si="4"/>
        <v>-5836.6106247789048</v>
      </c>
      <c r="Y16" s="72">
        <f ca="1">INDIRECT("'Sep"&amp;Members!$F$2&amp;"-COLLECTION'!K"&amp;ROW()-1)</f>
        <v>5837</v>
      </c>
      <c r="Z16" s="72">
        <f ca="1">INDIRECT("'Sep"&amp;Members!$F$2&amp;"-EXPENSE'!R"&amp;ROW()+3)</f>
        <v>6207.236634375</v>
      </c>
      <c r="AA16" s="11"/>
      <c r="AB16" s="72">
        <f t="shared" ca="1" si="5"/>
        <v>-370.23663437499999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24207</v>
      </c>
      <c r="BB16" s="72">
        <f t="shared" ca="1" si="13"/>
        <v>30980.613889745222</v>
      </c>
      <c r="BC16" s="72">
        <f t="shared" si="14"/>
        <v>0</v>
      </c>
      <c r="BD16" s="72">
        <f t="shared" ca="1" si="15"/>
        <v>-6773.613889745222</v>
      </c>
      <c r="BE16" s="72">
        <f t="shared" ca="1" si="16"/>
        <v>-19647.872360101574</v>
      </c>
    </row>
    <row r="17" spans="1:57" ht="16.149999999999999" customHeight="1" x14ac:dyDescent="0.25">
      <c r="A17" s="68" t="s">
        <v>51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6817.9009633278783</v>
      </c>
      <c r="O17" s="10"/>
      <c r="P17" s="70">
        <f t="shared" ca="1" si="2"/>
        <v>-6817.9009633278783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6580.174332091824</v>
      </c>
      <c r="S17" s="11"/>
      <c r="T17" s="70">
        <f t="shared" ca="1" si="3"/>
        <v>-69.174332091823999</v>
      </c>
      <c r="U17" s="70">
        <f ca="1">INDIRECT("'Aug"&amp;Members!$F$2&amp;"-COLLECTION'!K"&amp;ROW()-1)</f>
        <v>13365</v>
      </c>
      <c r="V17" s="70">
        <f ca="1">INDIRECT("'Aug"&amp;Members!$F$2&amp;"-EXPENSE'!R"&amp;ROW()+3)</f>
        <v>6793.8654691305537</v>
      </c>
      <c r="W17" s="10"/>
      <c r="X17" s="70">
        <f t="shared" ca="1" si="4"/>
        <v>6571.1345308694463</v>
      </c>
      <c r="Y17" s="70">
        <f ca="1">INDIRECT("'Sep"&amp;Members!$F$2&amp;"-COLLECTION'!K"&amp;ROW()-1)</f>
        <v>6793</v>
      </c>
      <c r="Z17" s="70">
        <f ca="1">INDIRECT("'Sep"&amp;Members!$F$2&amp;"-EXPENSE'!R"&amp;ROW()+3)</f>
        <v>6957.236634375</v>
      </c>
      <c r="AA17" s="11"/>
      <c r="AB17" s="70">
        <f t="shared" ca="1" si="5"/>
        <v>-164.23663437499999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38340</v>
      </c>
      <c r="BB17" s="70">
        <f t="shared" ca="1" si="13"/>
        <v>33695.428540756649</v>
      </c>
      <c r="BC17" s="70">
        <f t="shared" si="14"/>
        <v>0</v>
      </c>
      <c r="BD17" s="70">
        <f t="shared" ca="1" si="15"/>
        <v>4644.5714592433505</v>
      </c>
      <c r="BE17" s="70">
        <f t="shared" ca="1" si="16"/>
        <v>4222.1704669303581</v>
      </c>
    </row>
    <row r="18" spans="1:57" ht="16.149999999999999" customHeight="1" x14ac:dyDescent="0.25">
      <c r="A18" s="52" t="s">
        <v>55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7109.4046039084433</v>
      </c>
      <c r="O18" s="10"/>
      <c r="P18" s="72">
        <f t="shared" ca="1" si="2"/>
        <v>-7109.4046039084433</v>
      </c>
      <c r="Q18" s="72">
        <f ca="1">INDIRECT("'July"&amp;Members!$F$2&amp;"-COLLECTION'!K"&amp;ROW()-1)</f>
        <v>7247</v>
      </c>
      <c r="R18" s="72">
        <f ca="1">INDIRECT("'July"&amp;Members!$F$2&amp;"-EXPENSE'!R"&amp;ROW()+3)</f>
        <v>6555.8087237432728</v>
      </c>
      <c r="S18" s="11"/>
      <c r="T18" s="72">
        <f t="shared" ca="1" si="3"/>
        <v>691.19127625672718</v>
      </c>
      <c r="U18" s="72">
        <f ca="1">INDIRECT("'Aug"&amp;Members!$F$2&amp;"-COLLECTION'!K"&amp;ROW()-1)</f>
        <v>6945.68</v>
      </c>
      <c r="V18" s="72">
        <f ca="1">INDIRECT("'Aug"&amp;Members!$F$2&amp;"-EXPENSE'!R"&amp;ROW()+3)</f>
        <v>6908.3030644571154</v>
      </c>
      <c r="W18" s="10"/>
      <c r="X18" s="72">
        <f t="shared" ca="1" si="4"/>
        <v>37.376935542884894</v>
      </c>
      <c r="Y18" s="72">
        <f ca="1">INDIRECT("'Sep"&amp;Members!$F$2&amp;"-COLLECTION'!K"&amp;ROW()-1)</f>
        <v>6908.3</v>
      </c>
      <c r="Z18" s="72">
        <f ca="1">INDIRECT("'Sep"&amp;Members!$F$2&amp;"-EXPENSE'!R"&amp;ROW()+3)</f>
        <v>6083.5372343750005</v>
      </c>
      <c r="AA18" s="11"/>
      <c r="AB18" s="72">
        <f t="shared" ca="1" si="5"/>
        <v>824.7627656249997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52891.340000000004</v>
      </c>
      <c r="BB18" s="72">
        <f t="shared" ca="1" si="13"/>
        <v>33148.576566247837</v>
      </c>
      <c r="BC18" s="72">
        <f t="shared" si="14"/>
        <v>0</v>
      </c>
      <c r="BD18" s="72">
        <f t="shared" ca="1" si="15"/>
        <v>19742.763433752167</v>
      </c>
      <c r="BE18" s="72">
        <f t="shared" ca="1" si="16"/>
        <v>-36363.014237003386</v>
      </c>
    </row>
    <row r="19" spans="1:57" ht="16.149999999999999" customHeight="1" x14ac:dyDescent="0.25">
      <c r="A19" s="68" t="s">
        <v>58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5814.9920897592847</v>
      </c>
      <c r="K19" s="11"/>
      <c r="L19" s="70">
        <f t="shared" ca="1" si="1"/>
        <v>-5814.9920897592847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7474.8810928589246</v>
      </c>
      <c r="O19" s="10">
        <v>1000</v>
      </c>
      <c r="P19" s="70">
        <f t="shared" ca="1" si="2"/>
        <v>-2458.8810928589246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6611.8686201920236</v>
      </c>
      <c r="S19" s="11"/>
      <c r="T19" s="70">
        <f t="shared" ca="1" si="3"/>
        <v>-6611.8686201920236</v>
      </c>
      <c r="U19" s="70">
        <f ca="1">INDIRECT("'Aug"&amp;Members!$F$2&amp;"-COLLECTION'!K"&amp;ROW()-1)</f>
        <v>19000</v>
      </c>
      <c r="V19" s="70">
        <f ca="1">INDIRECT("'Aug"&amp;Members!$F$2&amp;"-EXPENSE'!R"&amp;ROW()+3)</f>
        <v>6407.1447731726012</v>
      </c>
      <c r="W19" s="10"/>
      <c r="X19" s="70">
        <f t="shared" ca="1" si="4"/>
        <v>12592.8552268274</v>
      </c>
      <c r="Y19" s="70">
        <f ca="1">INDIRECT("'Sep"&amp;Members!$F$2&amp;"-COLLECTION'!K"&amp;ROW()-1)</f>
        <v>6000</v>
      </c>
      <c r="Z19" s="70">
        <f ca="1">INDIRECT("'Sep"&amp;Members!$F$2&amp;"-EXPENSE'!R"&amp;ROW()+3)</f>
        <v>6083.5372343750005</v>
      </c>
      <c r="AA19" s="11"/>
      <c r="AB19" s="70">
        <f t="shared" ca="1" si="5"/>
        <v>-83.53723437500048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31016</v>
      </c>
      <c r="BB19" s="70">
        <f t="shared" ca="1" si="13"/>
        <v>32392.423810357832</v>
      </c>
      <c r="BC19" s="70">
        <f t="shared" si="14"/>
        <v>1000</v>
      </c>
      <c r="BD19" s="70">
        <f t="shared" ca="1" si="15"/>
        <v>-2376.4238103578318</v>
      </c>
      <c r="BE19" s="70">
        <f t="shared" ca="1" si="16"/>
        <v>-4149.6500991650173</v>
      </c>
    </row>
    <row r="20" spans="1:57" ht="16.149999999999999" customHeight="1" x14ac:dyDescent="0.25">
      <c r="A20" s="52" t="s">
        <v>62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7044.9398412114842</v>
      </c>
      <c r="O20" s="10"/>
      <c r="P20" s="72">
        <f t="shared" ca="1" si="2"/>
        <v>119.84015878851551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7165.0676657116055</v>
      </c>
      <c r="S20" s="11"/>
      <c r="T20" s="72">
        <f t="shared" ca="1" si="3"/>
        <v>-7165.0676657116055</v>
      </c>
      <c r="U20" s="72">
        <f ca="1">INDIRECT("'Aug"&amp;Members!$F$2&amp;"-COLLECTION'!K"&amp;ROW()-1)</f>
        <v>14242.64</v>
      </c>
      <c r="V20" s="72">
        <f ca="1">INDIRECT("'Aug"&amp;Members!$F$2&amp;"-EXPENSE'!R"&amp;ROW()+3)</f>
        <v>7200.6103573031423</v>
      </c>
      <c r="W20" s="10"/>
      <c r="X20" s="72">
        <f t="shared" ca="1" si="4"/>
        <v>7042.0296426968571</v>
      </c>
      <c r="Y20" s="72">
        <f ca="1">INDIRECT("'Sep"&amp;Members!$F$2&amp;"-COLLECTION'!K"&amp;ROW()-1)</f>
        <v>7285.55</v>
      </c>
      <c r="Z20" s="72">
        <f ca="1">INDIRECT("'Sep"&amp;Members!$F$2&amp;"-EXPENSE'!R"&amp;ROW()+3)</f>
        <v>6207.236634375</v>
      </c>
      <c r="AA20" s="11"/>
      <c r="AB20" s="72">
        <f t="shared" ca="1" si="5"/>
        <v>1078.3133656250002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34813.97</v>
      </c>
      <c r="BB20" s="72">
        <f t="shared" ca="1" si="13"/>
        <v>34351.642011298958</v>
      </c>
      <c r="BC20" s="72">
        <f t="shared" si="14"/>
        <v>0</v>
      </c>
      <c r="BD20" s="72">
        <f t="shared" ca="1" si="15"/>
        <v>462.32798870104307</v>
      </c>
      <c r="BE20" s="72">
        <f t="shared" ca="1" si="16"/>
        <v>450.6105873590277</v>
      </c>
    </row>
    <row r="21" spans="1:57" ht="15.75" customHeight="1" x14ac:dyDescent="0.25">
      <c r="A21" s="68" t="s">
        <v>64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6742.519003481395</v>
      </c>
      <c r="O21" s="10"/>
      <c r="P21" s="70">
        <f t="shared" ca="1" si="2"/>
        <v>-479.51900348139498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6157.2196841016203</v>
      </c>
      <c r="S21" s="11"/>
      <c r="T21" s="70">
        <f t="shared" ca="1" si="3"/>
        <v>886.78031589837974</v>
      </c>
      <c r="U21" s="70">
        <f ca="1">INDIRECT("'Aug"&amp;Members!$F$2&amp;"-COLLECTION'!K"&amp;ROW()-1)</f>
        <v>5873</v>
      </c>
      <c r="V21" s="70">
        <f ca="1">INDIRECT("'Aug"&amp;Members!$F$2&amp;"-EXPENSE'!R"&amp;ROW()+3)</f>
        <v>6730.259571934067</v>
      </c>
      <c r="W21" s="10"/>
      <c r="X21" s="70">
        <f t="shared" ca="1" si="4"/>
        <v>-857.25957193406703</v>
      </c>
      <c r="Y21" s="70">
        <f ca="1">INDIRECT("'Sep"&amp;Members!$F$2&amp;"-COLLECTION'!K"&amp;ROW()-1)</f>
        <v>6798</v>
      </c>
      <c r="Z21" s="70">
        <f ca="1">INDIRECT("'Sep"&amp;Members!$F$2&amp;"-EXPENSE'!R"&amp;ROW()+3)</f>
        <v>6207.236634375</v>
      </c>
      <c r="AA21" s="11"/>
      <c r="AB21" s="70">
        <f t="shared" ca="1" si="5"/>
        <v>590.76336562500001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33874</v>
      </c>
      <c r="BB21" s="70">
        <f t="shared" ca="1" si="13"/>
        <v>32207.300937620821</v>
      </c>
      <c r="BC21" s="70">
        <f t="shared" si="14"/>
        <v>0</v>
      </c>
      <c r="BD21" s="70">
        <f t="shared" ca="1" si="15"/>
        <v>1666.6990623791789</v>
      </c>
      <c r="BE21" s="70">
        <f t="shared" ca="1" si="16"/>
        <v>-172.74301469200896</v>
      </c>
    </row>
    <row r="22" spans="1:57" ht="15.75" customHeight="1" x14ac:dyDescent="0.25">
      <c r="A22" s="52" t="s">
        <v>67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6447.511550807938</v>
      </c>
      <c r="O22" s="10"/>
      <c r="P22" s="72">
        <f t="shared" ca="1" si="2"/>
        <v>563.48844919206203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6607.8076919216728</v>
      </c>
      <c r="S22" s="11"/>
      <c r="T22" s="72">
        <f t="shared" ca="1" si="3"/>
        <v>792.19230807832719</v>
      </c>
      <c r="U22" s="72">
        <f ca="1">INDIRECT("'Aug"&amp;Members!$F$2&amp;"-COLLECTION'!K"&amp;ROW()-1)</f>
        <v>5018</v>
      </c>
      <c r="V22" s="72">
        <f ca="1">INDIRECT("'Aug"&amp;Members!$F$2&amp;"-EXPENSE'!R"&amp;ROW()+3)</f>
        <v>7530.3455733475967</v>
      </c>
      <c r="W22" s="10"/>
      <c r="X22" s="72">
        <f t="shared" ca="1" si="4"/>
        <v>-2512.3455733475967</v>
      </c>
      <c r="Y22" s="72">
        <f ca="1">INDIRECT("'Sep"&amp;Members!$F$2&amp;"-COLLECTION'!K"&amp;ROW()-1)</f>
        <v>7600</v>
      </c>
      <c r="Z22" s="72">
        <f ca="1">INDIRECT("'Sep"&amp;Members!$F$2&amp;"-EXPENSE'!R"&amp;ROW()+3)</f>
        <v>6207.236634375</v>
      </c>
      <c r="AA22" s="11"/>
      <c r="AB22" s="72">
        <f t="shared" ca="1" si="5"/>
        <v>1392.763365625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44225</v>
      </c>
      <c r="BB22" s="72">
        <f t="shared" ca="1" si="13"/>
        <v>33894.707152915827</v>
      </c>
      <c r="BC22" s="72">
        <f t="shared" si="14"/>
        <v>0</v>
      </c>
      <c r="BD22" s="72">
        <f t="shared" ca="1" si="15"/>
        <v>10330.292847084173</v>
      </c>
      <c r="BE22" s="72">
        <f t="shared" ca="1" si="16"/>
        <v>822.10081649103086</v>
      </c>
    </row>
    <row r="23" spans="1:57" ht="15.75" customHeight="1" x14ac:dyDescent="0.25">
      <c r="A23" s="68" t="s">
        <v>70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6157.9190514752772</v>
      </c>
      <c r="K23" s="11"/>
      <c r="L23" s="70">
        <f t="shared" ca="1" si="1"/>
        <v>-6157.9190514752772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7242.5478688131016</v>
      </c>
      <c r="O23" s="10">
        <v>1000</v>
      </c>
      <c r="P23" s="70">
        <f t="shared" ca="1" si="2"/>
        <v>-8242.5478688131006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>
        <v>1000</v>
      </c>
      <c r="T23" s="70">
        <f t="shared" ca="1" si="3"/>
        <v>21134.202682362386</v>
      </c>
      <c r="U23" s="70">
        <f ca="1">INDIRECT("'Aug"&amp;Members!$F$2&amp;"-COLLECTION'!K"&amp;ROW()-1)</f>
        <v>30000</v>
      </c>
      <c r="V23" s="70">
        <f ca="1">INDIRECT("'Aug"&amp;Members!$F$2&amp;"-EXPENSE'!R"&amp;ROW()+3)</f>
        <v>6486.6796570697452</v>
      </c>
      <c r="W23" s="10"/>
      <c r="X23" s="70">
        <f t="shared" ca="1" si="4"/>
        <v>23513.320342930256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6083.5372343750005</v>
      </c>
      <c r="AA23" s="11"/>
      <c r="AB23" s="70">
        <f t="shared" ca="1" si="5"/>
        <v>-6083.5372343750005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59212.36</v>
      </c>
      <c r="BB23" s="70">
        <f t="shared" ca="1" si="13"/>
        <v>33048.84112937074</v>
      </c>
      <c r="BC23" s="70">
        <f t="shared" si="14"/>
        <v>2000</v>
      </c>
      <c r="BD23" s="70">
        <f t="shared" ca="1" si="15"/>
        <v>24163.518870629261</v>
      </c>
      <c r="BE23" s="70">
        <f t="shared" ca="1" si="16"/>
        <v>13527.644055729032</v>
      </c>
    </row>
    <row r="24" spans="1:57" ht="15.75" customHeight="1" x14ac:dyDescent="0.25">
      <c r="A24" s="52" t="s">
        <v>72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5515.3570445556825</v>
      </c>
      <c r="O24" s="10"/>
      <c r="P24" s="72">
        <f t="shared" ca="1" si="2"/>
        <v>-5515.3570445556825</v>
      </c>
      <c r="Q24" s="72">
        <f ca="1">INDIRECT("'July"&amp;Members!$F$2&amp;"-COLLECTION'!K"&amp;ROW()-1)</f>
        <v>0</v>
      </c>
      <c r="R24" s="72">
        <f ca="1">INDIRECT("'July"&amp;Members!$F$2&amp;"-EXPENSE'!R"&amp;ROW()+3)</f>
        <v>6462.3771384638776</v>
      </c>
      <c r="S24" s="11">
        <v>1000</v>
      </c>
      <c r="T24" s="72">
        <f t="shared" ca="1" si="3"/>
        <v>-7462.3771384638776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7092.3467713605096</v>
      </c>
      <c r="W24" s="10">
        <v>1000</v>
      </c>
      <c r="X24" s="72">
        <f t="shared" ca="1" si="4"/>
        <v>-8092.3467713605096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7083.5372343750005</v>
      </c>
      <c r="AA24" s="11">
        <v>1000</v>
      </c>
      <c r="AB24" s="72">
        <f t="shared" ca="1" si="5"/>
        <v>-8083.5372343750005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5260</v>
      </c>
      <c r="BB24" s="72">
        <f t="shared" ca="1" si="13"/>
        <v>31829.128993022074</v>
      </c>
      <c r="BC24" s="72">
        <f t="shared" si="14"/>
        <v>3000</v>
      </c>
      <c r="BD24" s="72">
        <f t="shared" ca="1" si="15"/>
        <v>-29569.128993022074</v>
      </c>
      <c r="BE24" s="72">
        <f t="shared" ca="1" si="16"/>
        <v>-40737.087342277453</v>
      </c>
    </row>
    <row r="25" spans="1:57" ht="15.75" customHeight="1" x14ac:dyDescent="0.25">
      <c r="A25" s="68" t="s">
        <v>75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6240.1144676113063</v>
      </c>
      <c r="O25" s="10"/>
      <c r="P25" s="70">
        <f t="shared" ca="1" si="2"/>
        <v>4322.8855323886937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5696.6336963516042</v>
      </c>
      <c r="S25" s="11"/>
      <c r="T25" s="70">
        <f t="shared" ca="1" si="3"/>
        <v>-3.6336963516041578</v>
      </c>
      <c r="U25" s="70">
        <f ca="1">INDIRECT("'Aug"&amp;Members!$F$2&amp;"-COLLECTION'!K"&amp;ROW()-1)</f>
        <v>6247</v>
      </c>
      <c r="V25" s="70">
        <f ca="1">INDIRECT("'Aug"&amp;Members!$F$2&amp;"-EXPENSE'!R"&amp;ROW()+3)</f>
        <v>5847.2584276397583</v>
      </c>
      <c r="W25" s="10"/>
      <c r="X25" s="70">
        <f t="shared" ca="1" si="4"/>
        <v>399.74157236024166</v>
      </c>
      <c r="Y25" s="70">
        <f ca="1">INDIRECT("'Sep"&amp;Members!$F$2&amp;"-COLLECTION'!K"&amp;ROW()-1)</f>
        <v>5894</v>
      </c>
      <c r="Z25" s="70">
        <f ca="1">INDIRECT("'Sep"&amp;Members!$F$2&amp;"-EXPENSE'!R"&amp;ROW()+3)</f>
        <v>6083.5372343750005</v>
      </c>
      <c r="AA25" s="11"/>
      <c r="AB25" s="70">
        <f t="shared" ca="1" si="5"/>
        <v>-189.53723437500048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39018</v>
      </c>
      <c r="BB25" s="70">
        <f t="shared" ca="1" si="13"/>
        <v>29694.250560173823</v>
      </c>
      <c r="BC25" s="70">
        <f t="shared" si="14"/>
        <v>0</v>
      </c>
      <c r="BD25" s="70">
        <f t="shared" ca="1" si="15"/>
        <v>9323.749439826177</v>
      </c>
      <c r="BE25" s="70">
        <f t="shared" ca="1" si="16"/>
        <v>-1297.9577331284436</v>
      </c>
    </row>
    <row r="26" spans="1:57" ht="15.75" customHeight="1" x14ac:dyDescent="0.25">
      <c r="A26" s="52" t="s">
        <v>79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5540.6530989092289</v>
      </c>
      <c r="O26" s="10"/>
      <c r="P26" s="72">
        <f t="shared" ca="1" si="2"/>
        <v>-5540.6530989092289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6234.5626713661059</v>
      </c>
      <c r="S26" s="11"/>
      <c r="T26" s="72">
        <f t="shared" ca="1" si="3"/>
        <v>-6234.5626713661059</v>
      </c>
      <c r="U26" s="72">
        <f ca="1">INDIRECT("'Aug"&amp;Members!$F$2&amp;"-COLLECTION'!K"&amp;ROW()-1)</f>
        <v>6235</v>
      </c>
      <c r="V26" s="72">
        <f ca="1">INDIRECT("'Aug"&amp;Members!$F$2&amp;"-EXPENSE'!R"&amp;ROW()+3)</f>
        <v>7023.7615912225929</v>
      </c>
      <c r="W26" s="10">
        <v>1000</v>
      </c>
      <c r="X26" s="72">
        <f t="shared" ca="1" si="4"/>
        <v>-1788.7615912225929</v>
      </c>
      <c r="Y26" s="72">
        <f ca="1">INDIRECT("'Sep"&amp;Members!$F$2&amp;"-COLLECTION'!K"&amp;ROW()-1)</f>
        <v>6024</v>
      </c>
      <c r="Z26" s="72">
        <f ca="1">INDIRECT("'Sep"&amp;Members!$F$2&amp;"-EXPENSE'!R"&amp;ROW()+3)</f>
        <v>6083.5372343750005</v>
      </c>
      <c r="AA26" s="11"/>
      <c r="AB26" s="72">
        <f t="shared" ca="1" si="5"/>
        <v>-59.53723437500048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21701.25</v>
      </c>
      <c r="BB26" s="72">
        <f t="shared" ca="1" si="13"/>
        <v>30877.117721963601</v>
      </c>
      <c r="BC26" s="72">
        <f t="shared" si="14"/>
        <v>1000</v>
      </c>
      <c r="BD26" s="72">
        <f t="shared" ca="1" si="15"/>
        <v>-10175.867721963601</v>
      </c>
      <c r="BE26" s="72">
        <f t="shared" ca="1" si="16"/>
        <v>-9994.6993872868625</v>
      </c>
    </row>
    <row r="27" spans="1:57" ht="15.75" customHeight="1" x14ac:dyDescent="0.25">
      <c r="A27" s="68" t="s">
        <v>82</v>
      </c>
      <c r="B27" s="69" t="str">
        <f>VLOOKUP(A27,Members!$A$2:$C$65,3,FALSE)</f>
        <v>chandra.gumma@gmail.com</v>
      </c>
      <c r="C27" s="68" t="str">
        <f>Members!B26</f>
        <v>Ankur Agarwal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6740.247448244274</v>
      </c>
      <c r="O27" s="10"/>
      <c r="P27" s="70">
        <f t="shared" ca="1" si="2"/>
        <v>-275.24744824427398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7382.8160914275486</v>
      </c>
      <c r="S27" s="11"/>
      <c r="T27" s="70">
        <f t="shared" ca="1" si="3"/>
        <v>-680.8160914275486</v>
      </c>
      <c r="U27" s="70">
        <f ca="1">INDIRECT("'Aug"&amp;Members!$F$2&amp;"-COLLECTION'!K"&amp;ROW()-1)</f>
        <v>7382</v>
      </c>
      <c r="V27" s="70">
        <f ca="1">INDIRECT("'Aug"&amp;Members!$F$2&amp;"-EXPENSE'!R"&amp;ROW()+3)</f>
        <v>7102.1078104508797</v>
      </c>
      <c r="W27" s="10"/>
      <c r="X27" s="70">
        <f t="shared" ca="1" si="4"/>
        <v>279.8921895491203</v>
      </c>
      <c r="Y27" s="70">
        <f ca="1">INDIRECT("'Sep"&amp;Members!$F$2&amp;"-COLLECTION'!K"&amp;ROW()-1)</f>
        <v>7102</v>
      </c>
      <c r="Z27" s="70">
        <f ca="1">INDIRECT("'Sep"&amp;Members!$F$2&amp;"-EXPENSE'!R"&amp;ROW()+3)</f>
        <v>6330.9360343749995</v>
      </c>
      <c r="AA27" s="11"/>
      <c r="AB27" s="70">
        <f t="shared" ca="1" si="5"/>
        <v>771.06396562500049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33241</v>
      </c>
      <c r="BB27" s="70">
        <f t="shared" ca="1" si="13"/>
        <v>33891.542720370337</v>
      </c>
      <c r="BC27" s="70">
        <f t="shared" si="14"/>
        <v>0</v>
      </c>
      <c r="BD27" s="70">
        <f t="shared" ca="1" si="15"/>
        <v>-650.54272037033661</v>
      </c>
      <c r="BE27" s="70">
        <f t="shared" ca="1" si="16"/>
        <v>-1862.6414674739426</v>
      </c>
    </row>
    <row r="28" spans="1:57" ht="15.75" customHeight="1" x14ac:dyDescent="0.25">
      <c r="A28" s="52" t="s">
        <v>85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5472.1461982470073</v>
      </c>
      <c r="K28" s="11"/>
      <c r="L28" s="72">
        <f t="shared" ca="1" si="1"/>
        <v>-1032.1461982470073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5778.1643743495697</v>
      </c>
      <c r="O28" s="10"/>
      <c r="P28" s="72">
        <f t="shared" ca="1" si="2"/>
        <v>-325.73437434956941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6057.9476370996654</v>
      </c>
      <c r="S28" s="11"/>
      <c r="T28" s="72">
        <f t="shared" ca="1" si="3"/>
        <v>-282.94763709966537</v>
      </c>
      <c r="U28" s="72">
        <f ca="1">INDIRECT("'Aug"&amp;Members!$F$2&amp;"-COLLECTION'!K"&amp;ROW()-1)</f>
        <v>6058</v>
      </c>
      <c r="V28" s="72">
        <f ca="1">INDIRECT("'Aug"&amp;Members!$F$2&amp;"-EXPENSE'!R"&amp;ROW()+3)</f>
        <v>5764.2065595053091</v>
      </c>
      <c r="W28" s="10"/>
      <c r="X28" s="72">
        <f t="shared" ca="1" si="4"/>
        <v>293.79344049469091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6083.5372343750005</v>
      </c>
      <c r="AA28" s="11"/>
      <c r="AB28" s="72">
        <f t="shared" ca="1" si="5"/>
        <v>-6083.5372343750005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21725.43</v>
      </c>
      <c r="BB28" s="72">
        <f t="shared" ca="1" si="13"/>
        <v>29156.002003576556</v>
      </c>
      <c r="BC28" s="72">
        <f t="shared" si="14"/>
        <v>0</v>
      </c>
      <c r="BD28" s="72">
        <f t="shared" ca="1" si="15"/>
        <v>-7430.5720035765553</v>
      </c>
      <c r="BE28" s="72">
        <f t="shared" ca="1" si="16"/>
        <v>-6976.5107796854136</v>
      </c>
    </row>
    <row r="29" spans="1:57" ht="15.75" customHeight="1" x14ac:dyDescent="0.25">
      <c r="A29" s="68" t="s">
        <v>89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5569.2880060745401</v>
      </c>
      <c r="O29" s="10"/>
      <c r="P29" s="70">
        <f t="shared" ca="1" si="2"/>
        <v>4536.7119939254599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5524.4120708977616</v>
      </c>
      <c r="S29" s="11"/>
      <c r="T29" s="70">
        <f t="shared" ca="1" si="3"/>
        <v>59.587929102238377</v>
      </c>
      <c r="U29" s="70">
        <f ca="1">INDIRECT("'Aug"&amp;Members!$F$2&amp;"-COLLECTION'!K"&amp;ROW()-1)</f>
        <v>5513</v>
      </c>
      <c r="V29" s="70">
        <f ca="1">INDIRECT("'Aug"&amp;Members!$F$2&amp;"-EXPENSE'!R"&amp;ROW()+3)</f>
        <v>5644.2303443896326</v>
      </c>
      <c r="W29" s="10"/>
      <c r="X29" s="70">
        <f t="shared" ca="1" si="4"/>
        <v>-131.23034438963259</v>
      </c>
      <c r="Y29" s="70">
        <f ca="1">INDIRECT("'Sep"&amp;Members!$F$2&amp;"-COLLECTION'!K"&amp;ROW()-1)</f>
        <v>5653</v>
      </c>
      <c r="Z29" s="70">
        <f ca="1">INDIRECT("'Sep"&amp;Members!$F$2&amp;"-EXPENSE'!R"&amp;ROW()+3)</f>
        <v>6083.5372343750005</v>
      </c>
      <c r="AA29" s="11"/>
      <c r="AB29" s="70">
        <f t="shared" ca="1" si="5"/>
        <v>-430.53723437500048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48432</v>
      </c>
      <c r="BB29" s="70">
        <f t="shared" ca="1" si="13"/>
        <v>28222.839566140428</v>
      </c>
      <c r="BC29" s="70">
        <f t="shared" si="14"/>
        <v>0</v>
      </c>
      <c r="BD29" s="70">
        <f t="shared" ca="1" si="15"/>
        <v>20209.160433859572</v>
      </c>
      <c r="BE29" s="70">
        <f t="shared" ca="1" si="16"/>
        <v>-1366.8395931690866</v>
      </c>
    </row>
    <row r="30" spans="1:57" ht="15.75" customHeight="1" x14ac:dyDescent="0.25">
      <c r="A30" s="52" t="s">
        <v>93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6921.2404412114847</v>
      </c>
      <c r="O30" s="10"/>
      <c r="P30" s="72">
        <f t="shared" ca="1" si="2"/>
        <v>-1232.2404412114847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7039.6109021865668</v>
      </c>
      <c r="S30" s="11"/>
      <c r="T30" s="72">
        <f t="shared" ca="1" si="3"/>
        <v>-110.61090218656682</v>
      </c>
      <c r="U30" s="72">
        <f ca="1">INDIRECT("'Aug"&amp;Members!$F$2&amp;"-COLLECTION'!K"&amp;ROW()-1)</f>
        <v>7026</v>
      </c>
      <c r="V30" s="72">
        <f ca="1">INDIRECT("'Aug"&amp;Members!$F$2&amp;"-EXPENSE'!R"&amp;ROW()+3)</f>
        <v>6585.1392656723874</v>
      </c>
      <c r="W30" s="10"/>
      <c r="X30" s="72">
        <f t="shared" ca="1" si="4"/>
        <v>440.86073432761259</v>
      </c>
      <c r="Y30" s="72">
        <f ca="1">INDIRECT("'Sep"&amp;Members!$F$2&amp;"-COLLECTION'!K"&amp;ROW()-1)</f>
        <v>6670</v>
      </c>
      <c r="Z30" s="72">
        <f ca="1">INDIRECT("'Sep"&amp;Members!$F$2&amp;"-EXPENSE'!R"&amp;ROW()+3)</f>
        <v>6083.5372343750005</v>
      </c>
      <c r="AA30" s="11"/>
      <c r="AB30" s="72">
        <f t="shared" ca="1" si="5"/>
        <v>586.46276562499952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37136</v>
      </c>
      <c r="BB30" s="72">
        <f t="shared" ca="1" si="13"/>
        <v>32801.431505061621</v>
      </c>
      <c r="BC30" s="72">
        <f t="shared" si="14"/>
        <v>0</v>
      </c>
      <c r="BD30" s="72">
        <f t="shared" ca="1" si="15"/>
        <v>4334.5684949383794</v>
      </c>
      <c r="BE30" s="72">
        <f t="shared" ca="1" si="16"/>
        <v>-151.73514637584594</v>
      </c>
    </row>
    <row r="31" spans="1:57" ht="15.75" customHeight="1" x14ac:dyDescent="0.25">
      <c r="A31" s="68" t="s">
        <v>97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6327.2562588587543</v>
      </c>
      <c r="O31" s="10"/>
      <c r="P31" s="70">
        <f t="shared" ca="1" si="2"/>
        <v>9722.5337411412474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6261.7828138414534</v>
      </c>
      <c r="S31" s="11"/>
      <c r="T31" s="70">
        <f t="shared" ca="1" si="3"/>
        <v>-5199.7828138414534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6130.681547151642</v>
      </c>
      <c r="W31" s="10"/>
      <c r="X31" s="70">
        <f t="shared" ca="1" si="4"/>
        <v>-6130.681547151642</v>
      </c>
      <c r="Y31" s="70">
        <f ca="1">INDIRECT("'Sep"&amp;Members!$F$2&amp;"-COLLECTION'!K"&amp;ROW()-1)</f>
        <v>17709.62</v>
      </c>
      <c r="Z31" s="70">
        <f ca="1">INDIRECT("'Sep"&amp;Members!$F$2&amp;"-EXPENSE'!R"&amp;ROW()+3)</f>
        <v>6207.236634375</v>
      </c>
      <c r="AA31" s="11"/>
      <c r="AB31" s="70">
        <f t="shared" ca="1" si="5"/>
        <v>11502.383365624999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45498.41</v>
      </c>
      <c r="BB31" s="70">
        <f t="shared" ca="1" si="13"/>
        <v>30910.845382557447</v>
      </c>
      <c r="BC31" s="70">
        <f t="shared" si="14"/>
        <v>0</v>
      </c>
      <c r="BD31" s="70">
        <f t="shared" ca="1" si="15"/>
        <v>14587.564617442556</v>
      </c>
      <c r="BE31" s="70">
        <f t="shared" ca="1" si="16"/>
        <v>-1025.5540052209344</v>
      </c>
    </row>
    <row r="32" spans="1:57" ht="15.75" customHeight="1" x14ac:dyDescent="0.25">
      <c r="A32" s="52" t="s">
        <v>100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6843.1373136393486</v>
      </c>
      <c r="O32" s="10"/>
      <c r="P32" s="72">
        <f t="shared" ca="1" si="2"/>
        <v>-6843.1373136393486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7185.277346249557</v>
      </c>
      <c r="S32" s="11"/>
      <c r="T32" s="72">
        <f t="shared" ca="1" si="3"/>
        <v>-140.62734624955738</v>
      </c>
      <c r="U32" s="72">
        <f ca="1">INDIRECT("'Aug"&amp;Members!$F$2&amp;"-COLLECTION'!K"&amp;ROW()-1)</f>
        <v>7186</v>
      </c>
      <c r="V32" s="72">
        <f ca="1">INDIRECT("'Aug"&amp;Members!$F$2&amp;"-EXPENSE'!R"&amp;ROW()+3)</f>
        <v>6718.1534901376299</v>
      </c>
      <c r="W32" s="10"/>
      <c r="X32" s="72">
        <f t="shared" ca="1" si="4"/>
        <v>467.84650986237011</v>
      </c>
      <c r="Y32" s="72">
        <f ca="1">INDIRECT("'Sep"&amp;Members!$F$2&amp;"-COLLECTION'!K"&amp;ROW()-1)</f>
        <v>6718.15</v>
      </c>
      <c r="Z32" s="72">
        <f ca="1">INDIRECT("'Sep"&amp;Members!$F$2&amp;"-EXPENSE'!R"&amp;ROW()+3)</f>
        <v>6207.236634375</v>
      </c>
      <c r="AA32" s="11"/>
      <c r="AB32" s="72">
        <f t="shared" ca="1" si="5"/>
        <v>510.91336562499964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33035.35</v>
      </c>
      <c r="BB32" s="72">
        <f t="shared" ca="1" si="13"/>
        <v>33183.578840600836</v>
      </c>
      <c r="BC32" s="72">
        <f t="shared" si="14"/>
        <v>0</v>
      </c>
      <c r="BD32" s="72">
        <f t="shared" ca="1" si="15"/>
        <v>-148.22884060083743</v>
      </c>
      <c r="BE32" s="72">
        <f t="shared" ca="1" si="16"/>
        <v>-2555.8582468703316</v>
      </c>
    </row>
    <row r="33" spans="1:57" ht="15.75" customHeight="1" x14ac:dyDescent="0.25">
      <c r="A33" s="68" t="s">
        <v>104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5981.1317414042778</v>
      </c>
      <c r="K33" s="11"/>
      <c r="L33" s="70">
        <f t="shared" ca="1" si="1"/>
        <v>-5981.1317414042778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7495.6702583132355</v>
      </c>
      <c r="O33" s="10">
        <v>1000</v>
      </c>
      <c r="P33" s="70">
        <f t="shared" ca="1" si="2"/>
        <v>-8495.6702583132355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>
        <v>1000</v>
      </c>
      <c r="T33" s="70">
        <f t="shared" ca="1" si="3"/>
        <v>-7730.5318202221006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6874.0134730169084</v>
      </c>
      <c r="W33" s="10">
        <v>1000</v>
      </c>
      <c r="X33" s="70">
        <f t="shared" ca="1" si="4"/>
        <v>-7874.0134730169084</v>
      </c>
      <c r="Y33" s="70">
        <f ca="1">INDIRECT("'Sep"&amp;Members!$F$2&amp;"-COLLECTION'!K"&amp;ROW()-1)</f>
        <v>55000</v>
      </c>
      <c r="Z33" s="70">
        <f ca="1">INDIRECT("'Sep"&amp;Members!$F$2&amp;"-EXPENSE'!R"&amp;ROW()+3)</f>
        <v>7207.236634375</v>
      </c>
      <c r="AA33" s="11">
        <v>1000</v>
      </c>
      <c r="AB33" s="70">
        <f t="shared" ca="1" si="5"/>
        <v>46792.763365624996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55000</v>
      </c>
      <c r="BB33" s="70">
        <f t="shared" ca="1" si="13"/>
        <v>34288.583927331521</v>
      </c>
      <c r="BC33" s="70">
        <f t="shared" si="14"/>
        <v>4000</v>
      </c>
      <c r="BD33" s="70">
        <f t="shared" ca="1" si="15"/>
        <v>16711.416072668479</v>
      </c>
      <c r="BE33" s="70">
        <f t="shared" ca="1" si="16"/>
        <v>-2572.1101205525629</v>
      </c>
    </row>
    <row r="34" spans="1:57" ht="15.75" customHeight="1" x14ac:dyDescent="0.25">
      <c r="A34" s="52" t="s">
        <v>107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5929.8275190196</v>
      </c>
      <c r="O34" s="10"/>
      <c r="P34" s="72">
        <f t="shared" ca="1" si="2"/>
        <v>-926.17751901960037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6120.1583058860533</v>
      </c>
      <c r="S34" s="11"/>
      <c r="T34" s="72">
        <f t="shared" ca="1" si="3"/>
        <v>5322.9016941139462</v>
      </c>
      <c r="U34" s="72">
        <f ca="1">INDIRECT("'Aug"&amp;Members!$F$2&amp;"-COLLECTION'!K"&amp;ROW()-1)</f>
        <v>5510.03</v>
      </c>
      <c r="V34" s="72">
        <f ca="1">INDIRECT("'Aug"&amp;Members!$F$2&amp;"-EXPENSE'!R"&amp;ROW()+3)</f>
        <v>5860.8638133740942</v>
      </c>
      <c r="W34" s="10"/>
      <c r="X34" s="72">
        <f t="shared" ca="1" si="4"/>
        <v>-350.83381337409446</v>
      </c>
      <c r="Y34" s="72">
        <f ca="1">INDIRECT("'Sep"&amp;Members!$F$2&amp;"-COLLECTION'!K"&amp;ROW()-1)</f>
        <v>5860.86</v>
      </c>
      <c r="Z34" s="72">
        <f ca="1">INDIRECT("'Sep"&amp;Members!$F$2&amp;"-EXPENSE'!R"&amp;ROW()+3)</f>
        <v>6083.5372343750005</v>
      </c>
      <c r="AA34" s="11"/>
      <c r="AB34" s="72">
        <f t="shared" ca="1" si="5"/>
        <v>-222.67723437500081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32636.6</v>
      </c>
      <c r="BB34" s="72">
        <f t="shared" ca="1" si="13"/>
        <v>29563.574104749045</v>
      </c>
      <c r="BC34" s="72">
        <f t="shared" si="14"/>
        <v>0</v>
      </c>
      <c r="BD34" s="72">
        <f t="shared" ca="1" si="15"/>
        <v>3073.0258952509539</v>
      </c>
      <c r="BE34" s="72">
        <f t="shared" ca="1" si="16"/>
        <v>-1917.3595881705569</v>
      </c>
    </row>
    <row r="35" spans="1:57" ht="15.75" customHeight="1" x14ac:dyDescent="0.25">
      <c r="A35" s="68" t="s">
        <v>111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5639.1775522191247</v>
      </c>
      <c r="O35" s="10"/>
      <c r="P35" s="70">
        <f t="shared" ref="P35:P66" ca="1" si="19">M35-(N35+O35)</f>
        <v>-185.17755221912466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5462.2014021113737</v>
      </c>
      <c r="S35" s="11"/>
      <c r="T35" s="70">
        <f t="shared" ref="T35:T66" ca="1" si="20">Q35-(R35+S35)</f>
        <v>8.7285978886266093</v>
      </c>
      <c r="U35" s="70">
        <f ca="1">INDIRECT("'Aug"&amp;Members!$F$2&amp;"-COLLECTION'!K"&amp;ROW()-1)</f>
        <v>5626.86</v>
      </c>
      <c r="V35" s="70">
        <f ca="1">INDIRECT("'Aug"&amp;Members!$F$2&amp;"-EXPENSE'!R"&amp;ROW()+3)</f>
        <v>5596.6673194660816</v>
      </c>
      <c r="W35" s="10"/>
      <c r="X35" s="70">
        <f t="shared" ref="X35:X66" ca="1" si="21">U35-(V35+W35)</f>
        <v>30.192680533918065</v>
      </c>
      <c r="Y35" s="70">
        <f ca="1">INDIRECT("'Sep"&amp;Members!$F$2&amp;"-COLLECTION'!K"&amp;ROW()-1)</f>
        <v>5639.18</v>
      </c>
      <c r="Z35" s="70">
        <f ca="1">INDIRECT("'Sep"&amp;Members!$F$2&amp;"-EXPENSE'!R"&amp;ROW()+3)</f>
        <v>6083.5372343750005</v>
      </c>
      <c r="AA35" s="11"/>
      <c r="AB35" s="70">
        <f t="shared" ref="AB35:AB66" ca="1" si="22">Y35-(Z35+AA35)</f>
        <v>-444.35723437500019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31637.89</v>
      </c>
      <c r="BB35" s="70">
        <f t="shared" ref="BB35:BB66" ca="1" si="30">SUM(F35,J35,N35,R35,V35,Z35,AD35,AH35,AL35,AP35,AT35,AX35)</f>
        <v>28252.513653362854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3385.3763466371456</v>
      </c>
      <c r="BE35" s="70">
        <f t="shared" ref="BE35:BE66" ca="1" si="33">BD35+D35</f>
        <v>2400.4007764775306</v>
      </c>
    </row>
    <row r="36" spans="1:57" ht="15.75" customHeight="1" x14ac:dyDescent="0.25">
      <c r="A36" s="52" t="s">
        <v>115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7195.1882177409352</v>
      </c>
      <c r="O36" s="10"/>
      <c r="P36" s="72">
        <f t="shared" ca="1" si="19"/>
        <v>327.69178225906489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5586.2522748163819</v>
      </c>
      <c r="S36" s="11"/>
      <c r="T36" s="72">
        <f t="shared" ca="1" si="20"/>
        <v>-5586.2522748163819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8150.5310522551817</v>
      </c>
      <c r="W36" s="10"/>
      <c r="X36" s="72">
        <f t="shared" ca="1" si="21"/>
        <v>-8150.5310522551817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7207.236634375</v>
      </c>
      <c r="AA36" s="11">
        <v>1000</v>
      </c>
      <c r="AB36" s="72">
        <f t="shared" ca="1" si="22"/>
        <v>-8207.236634375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36133.150938436847</v>
      </c>
      <c r="BC36" s="72">
        <f t="shared" si="31"/>
        <v>1000</v>
      </c>
      <c r="BD36" s="72">
        <f t="shared" ca="1" si="32"/>
        <v>-17027.270938436846</v>
      </c>
      <c r="BE36" s="72">
        <f t="shared" ca="1" si="33"/>
        <v>-23782.90322622623</v>
      </c>
    </row>
    <row r="37" spans="1:57" ht="15.75" customHeight="1" x14ac:dyDescent="0.25">
      <c r="A37" s="68" t="s">
        <v>118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6526.9083388572117</v>
      </c>
      <c r="O37" s="10"/>
      <c r="P37" s="70">
        <f t="shared" ca="1" si="19"/>
        <v>-6526.9083388572117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>
        <v>1000</v>
      </c>
      <c r="T37" s="70">
        <f t="shared" ca="1" si="20"/>
        <v>4883.2297541006265</v>
      </c>
      <c r="U37" s="70">
        <f ca="1">INDIRECT("'Aug"&amp;Members!$F$2&amp;"-COLLECTION'!K"&amp;ROW()-1)</f>
        <v>8500</v>
      </c>
      <c r="V37" s="70">
        <f ca="1">INDIRECT("'Aug"&amp;Members!$F$2&amp;"-EXPENSE'!R"&amp;ROW()+3)</f>
        <v>6512.605300268483</v>
      </c>
      <c r="W37" s="10"/>
      <c r="X37" s="70">
        <f t="shared" ca="1" si="21"/>
        <v>1987.394699731517</v>
      </c>
      <c r="Y37" s="70">
        <f ca="1">INDIRECT("'Sep"&amp;Members!$F$2&amp;"-COLLECTION'!K"&amp;ROW()-1)</f>
        <v>7000</v>
      </c>
      <c r="Z37" s="70">
        <f ca="1">INDIRECT("'Sep"&amp;Members!$F$2&amp;"-EXPENSE'!R"&amp;ROW()+3)</f>
        <v>6207.236634375</v>
      </c>
      <c r="AA37" s="11"/>
      <c r="AB37" s="70">
        <f t="shared" ca="1" si="22"/>
        <v>792.76336562500001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34092</v>
      </c>
      <c r="BB37" s="70">
        <f t="shared" ca="1" si="30"/>
        <v>33730.222631089127</v>
      </c>
      <c r="BC37" s="70">
        <f t="shared" si="31"/>
        <v>1000</v>
      </c>
      <c r="BD37" s="70">
        <f t="shared" ca="1" si="32"/>
        <v>-638.22263108912739</v>
      </c>
      <c r="BE37" s="70">
        <f t="shared" ca="1" si="33"/>
        <v>-1047.1228933800157</v>
      </c>
    </row>
    <row r="38" spans="1:57" ht="15.75" customHeight="1" x14ac:dyDescent="0.25">
      <c r="A38" s="52" t="s">
        <v>120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5644.096100327296</v>
      </c>
      <c r="K38" s="11"/>
      <c r="L38" s="72">
        <f t="shared" ca="1" si="18"/>
        <v>5355.903899672704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6271.9750461371368</v>
      </c>
      <c r="O38" s="10"/>
      <c r="P38" s="72">
        <f t="shared" ca="1" si="19"/>
        <v>-6271.9750461371368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6911.3233648587047</v>
      </c>
      <c r="S38" s="11"/>
      <c r="T38" s="72">
        <f t="shared" ca="1" si="20"/>
        <v>29088.676635141295</v>
      </c>
      <c r="U38" s="72">
        <f ca="1">INDIRECT("'Aug"&amp;Members!$F$2&amp;"-COLLECTION'!K"&amp;ROW()-1)</f>
        <v>1408</v>
      </c>
      <c r="V38" s="72">
        <f ca="1">INDIRECT("'Aug"&amp;Members!$F$2&amp;"-EXPENSE'!R"&amp;ROW()+3)</f>
        <v>6430.2803089377285</v>
      </c>
      <c r="W38" s="10"/>
      <c r="X38" s="72">
        <f t="shared" ca="1" si="21"/>
        <v>-5022.2803089377285</v>
      </c>
      <c r="Y38" s="72">
        <f ca="1">INDIRECT("'Sep"&amp;Members!$F$2&amp;"-COLLECTION'!K"&amp;ROW()-1)</f>
        <v>5023</v>
      </c>
      <c r="Z38" s="72">
        <f ca="1">INDIRECT("'Sep"&amp;Members!$F$2&amp;"-EXPENSE'!R"&amp;ROW()+3)</f>
        <v>6083.5372343750005</v>
      </c>
      <c r="AA38" s="11"/>
      <c r="AB38" s="72">
        <f t="shared" ca="1" si="22"/>
        <v>-1060.5372343750005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53431</v>
      </c>
      <c r="BB38" s="72">
        <f t="shared" ca="1" si="30"/>
        <v>31341.212054635864</v>
      </c>
      <c r="BC38" s="72">
        <f t="shared" si="31"/>
        <v>0</v>
      </c>
      <c r="BD38" s="72">
        <f t="shared" ca="1" si="32"/>
        <v>22089.787945364136</v>
      </c>
      <c r="BE38" s="72">
        <f t="shared" ca="1" si="33"/>
        <v>-1505.9602162326228</v>
      </c>
    </row>
    <row r="39" spans="1:57" ht="15.75" customHeight="1" x14ac:dyDescent="0.25">
      <c r="A39" s="68" t="s">
        <v>123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6323.1896528260841</v>
      </c>
      <c r="O39" s="10"/>
      <c r="P39" s="70">
        <f t="shared" ca="1" si="19"/>
        <v>-800.55965282608395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5831.2477423696073</v>
      </c>
      <c r="S39" s="11"/>
      <c r="T39" s="70">
        <f t="shared" ca="1" si="20"/>
        <v>-5831.2477423696073</v>
      </c>
      <c r="U39" s="70">
        <f ca="1">INDIRECT("'Aug"&amp;Members!$F$2&amp;"-COLLECTION'!K"&amp;ROW()-1)</f>
        <v>11516.94</v>
      </c>
      <c r="V39" s="70">
        <f ca="1">INDIRECT("'Aug"&amp;Members!$F$2&amp;"-EXPENSE'!R"&amp;ROW()+3)</f>
        <v>5686.3863051116123</v>
      </c>
      <c r="W39" s="10"/>
      <c r="X39" s="70">
        <f t="shared" ca="1" si="21"/>
        <v>5830.5536948883882</v>
      </c>
      <c r="Y39" s="70">
        <f ca="1">INDIRECT("'Sep"&amp;Members!$F$2&amp;"-COLLECTION'!K"&amp;ROW()-1)</f>
        <v>6239.64</v>
      </c>
      <c r="Z39" s="70">
        <f ca="1">INDIRECT("'Sep"&amp;Members!$F$2&amp;"-EXPENSE'!R"&amp;ROW()+3)</f>
        <v>6083.5372343750005</v>
      </c>
      <c r="AA39" s="11"/>
      <c r="AB39" s="70">
        <f t="shared" ca="1" si="22"/>
        <v>156.10276562499985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61992.740000000005</v>
      </c>
      <c r="BB39" s="70">
        <f t="shared" ca="1" si="30"/>
        <v>29257.674409066749</v>
      </c>
      <c r="BC39" s="70">
        <f t="shared" si="31"/>
        <v>0</v>
      </c>
      <c r="BD39" s="70">
        <f t="shared" ca="1" si="32"/>
        <v>32735.065590933256</v>
      </c>
      <c r="BE39" s="70">
        <f t="shared" ca="1" si="33"/>
        <v>-1325.4635986574722</v>
      </c>
    </row>
    <row r="40" spans="1:57" ht="15.75" customHeight="1" x14ac:dyDescent="0.25">
      <c r="A40" s="52" t="s">
        <v>127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6366.5381486534134</v>
      </c>
      <c r="O40" s="10"/>
      <c r="P40" s="72">
        <f t="shared" ca="1" si="19"/>
        <v>-6366.5381486534134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5489.9677458069937</v>
      </c>
      <c r="S40" s="11"/>
      <c r="T40" s="72">
        <f t="shared" ca="1" si="20"/>
        <v>10016.032254193007</v>
      </c>
      <c r="U40" s="72">
        <f ca="1">INDIRECT("'Aug"&amp;Members!$F$2&amp;"-COLLECTION'!K"&amp;ROW()-1)</f>
        <v>6380</v>
      </c>
      <c r="V40" s="72">
        <f ca="1">INDIRECT("'Aug"&amp;Members!$F$2&amp;"-EXPENSE'!R"&amp;ROW()+3)</f>
        <v>5611.7879591802084</v>
      </c>
      <c r="W40" s="10"/>
      <c r="X40" s="72">
        <f t="shared" ca="1" si="21"/>
        <v>768.21204081979158</v>
      </c>
      <c r="Y40" s="72">
        <f ca="1">INDIRECT("'Sep"&amp;Members!$F$2&amp;"-COLLECTION'!K"&amp;ROW()-1)</f>
        <v>5666</v>
      </c>
      <c r="Z40" s="72">
        <f ca="1">INDIRECT("'Sep"&amp;Members!$F$2&amp;"-EXPENSE'!R"&amp;ROW()+3)</f>
        <v>6083.5372343750005</v>
      </c>
      <c r="AA40" s="11"/>
      <c r="AB40" s="72">
        <f t="shared" ca="1" si="22"/>
        <v>-417.53723437500048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68333</v>
      </c>
      <c r="BB40" s="72">
        <f t="shared" ca="1" si="30"/>
        <v>29060.945299156832</v>
      </c>
      <c r="BC40" s="72">
        <f t="shared" si="31"/>
        <v>0</v>
      </c>
      <c r="BD40" s="72">
        <f t="shared" ca="1" si="32"/>
        <v>39272.054700843168</v>
      </c>
      <c r="BE40" s="72">
        <f t="shared" ca="1" si="33"/>
        <v>-1510.0003863044258</v>
      </c>
    </row>
    <row r="41" spans="1:57" ht="15.75" customHeight="1" x14ac:dyDescent="0.25">
      <c r="A41" s="68" t="s">
        <v>130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5624.6337357339762</v>
      </c>
      <c r="O41" s="10"/>
      <c r="P41" s="70">
        <f t="shared" ca="1" si="19"/>
        <v>-28.333735733976027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5835.4654148297013</v>
      </c>
      <c r="S41" s="11"/>
      <c r="T41" s="70">
        <f t="shared" ca="1" si="20"/>
        <v>105.80458517029911</v>
      </c>
      <c r="U41" s="70">
        <f ca="1">INDIRECT("'Aug"&amp;Members!$F$2&amp;"-COLLECTION'!K"&amp;ROW()-1)</f>
        <v>7092</v>
      </c>
      <c r="V41" s="70">
        <f ca="1">INDIRECT("'Aug"&amp;Members!$F$2&amp;"-EXPENSE'!R"&amp;ROW()+3)</f>
        <v>5917.5662123020693</v>
      </c>
      <c r="W41" s="10"/>
      <c r="X41" s="70">
        <f t="shared" ca="1" si="21"/>
        <v>1174.4337876979307</v>
      </c>
      <c r="Y41" s="70">
        <f ca="1">INDIRECT("'Sep"&amp;Members!$F$2&amp;"-COLLECTION'!K"&amp;ROW()-1)</f>
        <v>5918</v>
      </c>
      <c r="Z41" s="70">
        <f ca="1">INDIRECT("'Sep"&amp;Members!$F$2&amp;"-EXPENSE'!R"&amp;ROW()+3)</f>
        <v>6083.5372343750005</v>
      </c>
      <c r="AA41" s="11"/>
      <c r="AB41" s="70">
        <f t="shared" ca="1" si="22"/>
        <v>-165.53723437500048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34551.270000000004</v>
      </c>
      <c r="BB41" s="70">
        <f t="shared" ca="1" si="30"/>
        <v>29089.044121723113</v>
      </c>
      <c r="BC41" s="70">
        <f t="shared" si="31"/>
        <v>0</v>
      </c>
      <c r="BD41" s="70">
        <f t="shared" ca="1" si="32"/>
        <v>5462.2258782768913</v>
      </c>
      <c r="BE41" s="70">
        <f t="shared" ca="1" si="33"/>
        <v>4808.8524565749176</v>
      </c>
    </row>
    <row r="42" spans="1:57" ht="15.75" customHeight="1" x14ac:dyDescent="0.25">
      <c r="A42" s="52" t="s">
        <v>134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6520.1819687202533</v>
      </c>
      <c r="O42" s="10"/>
      <c r="P42" s="72">
        <f t="shared" ca="1" si="19"/>
        <v>6201.6680312797471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6432.4418042855204</v>
      </c>
      <c r="S42" s="11"/>
      <c r="T42" s="72">
        <f t="shared" ca="1" si="20"/>
        <v>-6432.4418042855204</v>
      </c>
      <c r="U42" s="72">
        <f ca="1">INDIRECT("'Aug"&amp;Members!$F$2&amp;"-COLLECTION'!K"&amp;ROW()-1)</f>
        <v>13058.33</v>
      </c>
      <c r="V42" s="72">
        <f ca="1">INDIRECT("'Aug"&amp;Members!$F$2&amp;"-EXPENSE'!R"&amp;ROW()+3)</f>
        <v>6427.5528517741041</v>
      </c>
      <c r="W42" s="10"/>
      <c r="X42" s="72">
        <f t="shared" ca="1" si="21"/>
        <v>6630.7771482258959</v>
      </c>
      <c r="Y42" s="72">
        <f ca="1">INDIRECT("'Sep"&amp;Members!$F$2&amp;"-COLLECTION'!K"&amp;ROW()-1)</f>
        <v>6398.7</v>
      </c>
      <c r="Z42" s="72">
        <f ca="1">INDIRECT("'Sep"&amp;Members!$F$2&amp;"-EXPENSE'!R"&amp;ROW()+3)</f>
        <v>6083.5372343750005</v>
      </c>
      <c r="AA42" s="11"/>
      <c r="AB42" s="72">
        <f t="shared" ca="1" si="22"/>
        <v>315.16276562499934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34207.549999999996</v>
      </c>
      <c r="BB42" s="72">
        <f t="shared" ca="1" si="30"/>
        <v>31617.133514323956</v>
      </c>
      <c r="BC42" s="72">
        <f t="shared" si="31"/>
        <v>0</v>
      </c>
      <c r="BD42" s="72">
        <f t="shared" ca="1" si="32"/>
        <v>2590.4164856760399</v>
      </c>
      <c r="BE42" s="72">
        <f t="shared" ca="1" si="33"/>
        <v>-438.25795206476323</v>
      </c>
    </row>
    <row r="43" spans="1:57" ht="15.75" customHeight="1" x14ac:dyDescent="0.25">
      <c r="A43" s="68" t="s">
        <v>137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5485.103699971819</v>
      </c>
      <c r="K43" s="11"/>
      <c r="L43" s="70">
        <f t="shared" ca="1" si="18"/>
        <v>-5485.103699971819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6551.7935456447922</v>
      </c>
      <c r="O43" s="10">
        <v>1000</v>
      </c>
      <c r="P43" s="70">
        <f t="shared" ca="1" si="19"/>
        <v>-2064.9035456447918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5594.5118833840661</v>
      </c>
      <c r="S43" s="11"/>
      <c r="T43" s="70">
        <f t="shared" ca="1" si="20"/>
        <v>2069.1281166159342</v>
      </c>
      <c r="U43" s="70">
        <f ca="1">INDIRECT("'Aug"&amp;Members!$F$2&amp;"-COLLECTION'!K"&amp;ROW()-1)</f>
        <v>7887</v>
      </c>
      <c r="V43" s="70">
        <f ca="1">INDIRECT("'Aug"&amp;Members!$F$2&amp;"-EXPENSE'!R"&amp;ROW()+3)</f>
        <v>6531.6496502881746</v>
      </c>
      <c r="W43" s="10"/>
      <c r="X43" s="70">
        <f t="shared" ca="1" si="21"/>
        <v>1355.3503497118254</v>
      </c>
      <c r="Y43" s="70">
        <f ca="1">INDIRECT("'Sep"&amp;Members!$F$2&amp;"-COLLECTION'!K"&amp;ROW()-1)</f>
        <v>5000</v>
      </c>
      <c r="Z43" s="70">
        <f ca="1">INDIRECT("'Sep"&amp;Members!$F$2&amp;"-EXPENSE'!R"&amp;ROW()+3)</f>
        <v>6207.236634375</v>
      </c>
      <c r="AA43" s="11"/>
      <c r="AB43" s="70">
        <f t="shared" ca="1" si="22"/>
        <v>-1207.236634375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26037.53</v>
      </c>
      <c r="BB43" s="70">
        <f t="shared" ca="1" si="30"/>
        <v>30370.295413663851</v>
      </c>
      <c r="BC43" s="70">
        <f t="shared" si="31"/>
        <v>1000</v>
      </c>
      <c r="BD43" s="70">
        <f t="shared" ca="1" si="32"/>
        <v>-5332.7654136638521</v>
      </c>
      <c r="BE43" s="70">
        <f t="shared" ca="1" si="33"/>
        <v>579.44940968040464</v>
      </c>
    </row>
    <row r="44" spans="1:57" ht="15.75" customHeight="1" x14ac:dyDescent="0.25">
      <c r="A44" s="52" t="s">
        <v>141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/>
      <c r="H44" s="72">
        <f t="shared" ca="1" si="17"/>
        <v>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5368.4574076950557</v>
      </c>
      <c r="K44" s="11"/>
      <c r="L44" s="72">
        <f t="shared" ca="1" si="18"/>
        <v>2631.5425923049443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5472.2915023564692</v>
      </c>
      <c r="O44" s="10"/>
      <c r="P44" s="72">
        <f t="shared" ca="1" si="19"/>
        <v>-5472.2915023564692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5466.2433382189638</v>
      </c>
      <c r="S44" s="11"/>
      <c r="T44" s="72">
        <f t="shared" ca="1" si="20"/>
        <v>-5466.2433382189638</v>
      </c>
      <c r="U44" s="72">
        <f ca="1">INDIRECT("'Aug"&amp;Members!$F$2&amp;"-COLLECTION'!K"&amp;ROW()-1)</f>
        <v>20928.07</v>
      </c>
      <c r="V44" s="72">
        <f ca="1">INDIRECT("'Aug"&amp;Members!$F$2&amp;"-EXPENSE'!R"&amp;ROW()+3)</f>
        <v>6582.5674824330781</v>
      </c>
      <c r="W44" s="10">
        <v>1000</v>
      </c>
      <c r="X44" s="72">
        <f t="shared" ca="1" si="21"/>
        <v>13345.502517566922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6083.5372343750005</v>
      </c>
      <c r="AA44" s="11"/>
      <c r="AB44" s="72">
        <f t="shared" ca="1" si="22"/>
        <v>-6083.5372343750005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28928.07</v>
      </c>
      <c r="BB44" s="72">
        <f t="shared" ca="1" si="30"/>
        <v>28973.09696507857</v>
      </c>
      <c r="BC44" s="72">
        <f t="shared" si="31"/>
        <v>1000</v>
      </c>
      <c r="BD44" s="72">
        <f t="shared" ca="1" si="32"/>
        <v>-1045.0269650785704</v>
      </c>
      <c r="BE44" s="72">
        <f t="shared" ca="1" si="33"/>
        <v>-62907.531252991233</v>
      </c>
    </row>
    <row r="45" spans="1:57" ht="15.75" customHeight="1" x14ac:dyDescent="0.25">
      <c r="A45" s="68" t="s">
        <v>143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5988.0593756858161</v>
      </c>
      <c r="O45" s="10"/>
      <c r="P45" s="70">
        <f t="shared" ca="1" si="19"/>
        <v>-209.05937568581612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5969.7279881426975</v>
      </c>
      <c r="S45" s="11"/>
      <c r="T45" s="70">
        <f t="shared" ca="1" si="20"/>
        <v>-235.72798814269754</v>
      </c>
      <c r="U45" s="70">
        <f ca="1">INDIRECT("'Aug"&amp;Members!$F$2&amp;"-COLLECTION'!K"&amp;ROW()-1)</f>
        <v>12619</v>
      </c>
      <c r="V45" s="70">
        <f ca="1">INDIRECT("'Aug"&amp;Members!$F$2&amp;"-EXPENSE'!R"&amp;ROW()+3)</f>
        <v>5868.2646328122319</v>
      </c>
      <c r="W45" s="10"/>
      <c r="X45" s="70">
        <f t="shared" ca="1" si="21"/>
        <v>6750.7353671877681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6083.5372343750005</v>
      </c>
      <c r="AA45" s="11"/>
      <c r="AB45" s="70">
        <f t="shared" ca="1" si="22"/>
        <v>-6083.5372343750005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34274</v>
      </c>
      <c r="BB45" s="70">
        <f t="shared" ca="1" si="30"/>
        <v>29738.28218520293</v>
      </c>
      <c r="BC45" s="70">
        <f t="shared" si="31"/>
        <v>0</v>
      </c>
      <c r="BD45" s="70">
        <f t="shared" ca="1" si="32"/>
        <v>4535.7178147970699</v>
      </c>
      <c r="BE45" s="70">
        <f t="shared" ca="1" si="33"/>
        <v>-782.45180838844681</v>
      </c>
    </row>
    <row r="46" spans="1:57" ht="15.75" customHeight="1" x14ac:dyDescent="0.25">
      <c r="A46" s="52" t="s">
        <v>146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5957.999929113188</v>
      </c>
      <c r="K46" s="11"/>
      <c r="L46" s="72">
        <f t="shared" ca="1" si="18"/>
        <v>10165.220070886811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6577.1122386971374</v>
      </c>
      <c r="O46" s="10"/>
      <c r="P46" s="72">
        <f t="shared" ca="1" si="19"/>
        <v>-1173.8622386971374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6476.0244197064931</v>
      </c>
      <c r="S46" s="11"/>
      <c r="T46" s="72">
        <f t="shared" ca="1" si="20"/>
        <v>-6476.0244197064931</v>
      </c>
      <c r="U46" s="72">
        <f ca="1">INDIRECT("'Aug"&amp;Members!$F$2&amp;"-COLLECTION'!K"&amp;ROW()-1)</f>
        <v>13558.03</v>
      </c>
      <c r="V46" s="72">
        <f ca="1">INDIRECT("'Aug"&amp;Members!$F$2&amp;"-EXPENSE'!R"&amp;ROW()+3)</f>
        <v>5926.5141858037841</v>
      </c>
      <c r="W46" s="10"/>
      <c r="X46" s="72">
        <f t="shared" ca="1" si="21"/>
        <v>7631.5158141962165</v>
      </c>
      <c r="Y46" s="72">
        <f ca="1">INDIRECT("'Sep"&amp;Members!$F$2&amp;"-COLLECTION'!K"&amp;ROW()-1)</f>
        <v>5991.96</v>
      </c>
      <c r="Z46" s="72">
        <f ca="1">INDIRECT("'Sep"&amp;Members!$F$2&amp;"-EXPENSE'!R"&amp;ROW()+3)</f>
        <v>6083.5372343750005</v>
      </c>
      <c r="AA46" s="11"/>
      <c r="AB46" s="72">
        <f t="shared" ca="1" si="22"/>
        <v>-91.577234375000444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41076.46</v>
      </c>
      <c r="BB46" s="72">
        <f t="shared" ca="1" si="30"/>
        <v>31021.1880076956</v>
      </c>
      <c r="BC46" s="72">
        <f t="shared" si="31"/>
        <v>0</v>
      </c>
      <c r="BD46" s="72">
        <f t="shared" ca="1" si="32"/>
        <v>10055.271992304399</v>
      </c>
      <c r="BE46" s="72">
        <f t="shared" ca="1" si="33"/>
        <v>-1246.286056983352</v>
      </c>
    </row>
    <row r="47" spans="1:57" ht="15.75" customHeight="1" x14ac:dyDescent="0.25">
      <c r="A47" s="68" t="s">
        <v>149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5545.5685658262464</v>
      </c>
      <c r="O47" s="10"/>
      <c r="P47" s="70">
        <f t="shared" ca="1" si="19"/>
        <v>-5545.5685658262464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>
        <v>1000</v>
      </c>
      <c r="T47" s="70">
        <f t="shared" ca="1" si="20"/>
        <v>3189.4271810024693</v>
      </c>
      <c r="U47" s="70">
        <f ca="1">INDIRECT("'Aug"&amp;Members!$F$2&amp;"-COLLECTION'!K"&amp;ROW()-1)</f>
        <v>8418.15</v>
      </c>
      <c r="V47" s="70">
        <f ca="1">INDIRECT("'Aug"&amp;Members!$F$2&amp;"-EXPENSE'!R"&amp;ROW()+3)</f>
        <v>6641.6054126007257</v>
      </c>
      <c r="W47" s="10"/>
      <c r="X47" s="70">
        <f t="shared" ca="1" si="21"/>
        <v>1776.544587399274</v>
      </c>
      <c r="Y47" s="70">
        <f ca="1">INDIRECT("'Sep"&amp;Members!$F$2&amp;"-COLLECTION'!K"&amp;ROW()-1)</f>
        <v>6641.62</v>
      </c>
      <c r="Z47" s="70">
        <f ca="1">INDIRECT("'Sep"&amp;Members!$F$2&amp;"-EXPENSE'!R"&amp;ROW()+3)</f>
        <v>6207.236634375</v>
      </c>
      <c r="AA47" s="11"/>
      <c r="AB47" s="70">
        <f t="shared" ca="1" si="22"/>
        <v>434.3833656249999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30738.06</v>
      </c>
      <c r="BB47" s="70">
        <f t="shared" ca="1" si="30"/>
        <v>30535.82211668379</v>
      </c>
      <c r="BC47" s="70">
        <f t="shared" si="31"/>
        <v>1000</v>
      </c>
      <c r="BD47" s="70">
        <f t="shared" ca="1" si="32"/>
        <v>-797.76211668378892</v>
      </c>
      <c r="BE47" s="70">
        <f t="shared" ca="1" si="33"/>
        <v>-1513.2457146374836</v>
      </c>
    </row>
    <row r="48" spans="1:57" ht="15.75" customHeight="1" x14ac:dyDescent="0.25">
      <c r="A48" s="52" t="s">
        <v>151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6098.4403261804109</v>
      </c>
      <c r="K48" s="11"/>
      <c r="L48" s="72">
        <f t="shared" ca="1" si="18"/>
        <v>-6098.4403261804109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7461.4894600368552</v>
      </c>
      <c r="O48" s="10">
        <v>1000</v>
      </c>
      <c r="P48" s="72">
        <f t="shared" ca="1" si="19"/>
        <v>-8461.4894600368552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>
        <v>1000</v>
      </c>
      <c r="T48" s="72">
        <f t="shared" ca="1" si="20"/>
        <v>-8205.0199719826869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7238.9185314344104</v>
      </c>
      <c r="W48" s="10">
        <v>1000</v>
      </c>
      <c r="X48" s="72">
        <f t="shared" ca="1" si="21"/>
        <v>-8238.9185314344104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7207.236634375</v>
      </c>
      <c r="AA48" s="11">
        <v>1000</v>
      </c>
      <c r="AB48" s="72">
        <f t="shared" ca="1" si="22"/>
        <v>-8207.236634375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35211.104924009363</v>
      </c>
      <c r="BC48" s="72">
        <f t="shared" si="31"/>
        <v>4000</v>
      </c>
      <c r="BD48" s="72">
        <f t="shared" ca="1" si="32"/>
        <v>-39211.104924009363</v>
      </c>
      <c r="BE48" s="72">
        <f t="shared" ca="1" si="33"/>
        <v>-42111.59123925116</v>
      </c>
    </row>
    <row r="49" spans="1:57" ht="15.75" customHeight="1" x14ac:dyDescent="0.25">
      <c r="A49" s="68" t="s">
        <v>155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7247.5912296679689</v>
      </c>
      <c r="O49" s="10"/>
      <c r="P49" s="70">
        <f t="shared" ca="1" si="19"/>
        <v>11886.408770332031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5991.3245673379188</v>
      </c>
      <c r="S49" s="11"/>
      <c r="T49" s="70">
        <f t="shared" ca="1" si="20"/>
        <v>1534.6754326620812</v>
      </c>
      <c r="U49" s="70">
        <f ca="1">INDIRECT("'Aug"&amp;Members!$F$2&amp;"-COLLECTION'!K"&amp;ROW()-1)</f>
        <v>5731.15</v>
      </c>
      <c r="V49" s="70">
        <f ca="1">INDIRECT("'Aug"&amp;Members!$F$2&amp;"-EXPENSE'!R"&amp;ROW()+3)</f>
        <v>7080.8414927320682</v>
      </c>
      <c r="W49" s="10"/>
      <c r="X49" s="70">
        <f t="shared" ca="1" si="21"/>
        <v>-1349.6914927320686</v>
      </c>
      <c r="Y49" s="70">
        <f ca="1">INDIRECT("'Sep"&amp;Members!$F$2&amp;"-COLLECTION'!K"&amp;ROW()-1)</f>
        <v>7177</v>
      </c>
      <c r="Z49" s="70">
        <f ca="1">INDIRECT("'Sep"&amp;Members!$F$2&amp;"-EXPENSE'!R"&amp;ROW()+3)</f>
        <v>6207.236634375</v>
      </c>
      <c r="AA49" s="11"/>
      <c r="AB49" s="70">
        <f t="shared" ca="1" si="22"/>
        <v>969.76336562500001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56209.15</v>
      </c>
      <c r="BB49" s="70">
        <f t="shared" ca="1" si="30"/>
        <v>33213.395902739052</v>
      </c>
      <c r="BC49" s="70">
        <f t="shared" si="31"/>
        <v>0</v>
      </c>
      <c r="BD49" s="70">
        <f t="shared" ca="1" si="32"/>
        <v>22995.754097260949</v>
      </c>
      <c r="BE49" s="70">
        <f t="shared" ca="1" si="33"/>
        <v>257.69953947038084</v>
      </c>
    </row>
    <row r="50" spans="1:57" ht="15.75" customHeight="1" x14ac:dyDescent="0.25">
      <c r="A50" s="52" t="s">
        <v>158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5910.8130352102235</v>
      </c>
      <c r="O50" s="10"/>
      <c r="P50" s="72">
        <f t="shared" ca="1" si="19"/>
        <v>-1468.8130352102235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426</v>
      </c>
      <c r="V50" s="72">
        <f ca="1">INDIRECT("'Aug"&amp;Members!$F$2&amp;"-EXPENSE'!R"&amp;ROW()+3)</f>
        <v>5799.4561520878196</v>
      </c>
      <c r="W50" s="10"/>
      <c r="X50" s="72">
        <f t="shared" ca="1" si="21"/>
        <v>-5373.4561520878196</v>
      </c>
      <c r="Y50" s="72">
        <f ca="1">INDIRECT("'Sep"&amp;Members!$F$2&amp;"-COLLECTION'!K"&amp;ROW()-1)</f>
        <v>4976</v>
      </c>
      <c r="Z50" s="72">
        <f ca="1">INDIRECT("'Sep"&amp;Members!$F$2&amp;"-EXPENSE'!R"&amp;ROW()+3)</f>
        <v>6083.5372343750005</v>
      </c>
      <c r="AA50" s="11"/>
      <c r="AB50" s="72">
        <f t="shared" ca="1" si="22"/>
        <v>-1107.5372343750005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22584</v>
      </c>
      <c r="BB50" s="72">
        <f t="shared" ca="1" si="30"/>
        <v>28915.148518050584</v>
      </c>
      <c r="BC50" s="72">
        <f t="shared" si="31"/>
        <v>0</v>
      </c>
      <c r="BD50" s="72">
        <f t="shared" ca="1" si="32"/>
        <v>-6331.1485180505842</v>
      </c>
      <c r="BE50" s="72">
        <f t="shared" ca="1" si="33"/>
        <v>-1148.367846565423</v>
      </c>
    </row>
    <row r="51" spans="1:57" ht="15.75" customHeight="1" x14ac:dyDescent="0.25">
      <c r="A51" s="68" t="s">
        <v>162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6897.3591549985176</v>
      </c>
      <c r="O51" s="10"/>
      <c r="P51" s="70">
        <f t="shared" ca="1" si="19"/>
        <v>2102.6408450014824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7021.3343215261593</v>
      </c>
      <c r="S51" s="11"/>
      <c r="T51" s="70">
        <f t="shared" ca="1" si="20"/>
        <v>618.66567847384067</v>
      </c>
      <c r="U51" s="70">
        <f ca="1">INDIRECT("'Aug"&amp;Members!$F$2&amp;"-COLLECTION'!K"&amp;ROW()-1)</f>
        <v>6500</v>
      </c>
      <c r="V51" s="70">
        <f ca="1">INDIRECT("'Aug"&amp;Members!$F$2&amp;"-EXPENSE'!R"&amp;ROW()+3)</f>
        <v>7039.5400091489246</v>
      </c>
      <c r="W51" s="10"/>
      <c r="X51" s="70">
        <f t="shared" ca="1" si="21"/>
        <v>-539.54000914892458</v>
      </c>
      <c r="Y51" s="70">
        <f ca="1">INDIRECT("'Sep"&amp;Members!$F$2&amp;"-COLLECTION'!K"&amp;ROW()-1)</f>
        <v>7000</v>
      </c>
      <c r="Z51" s="70">
        <f ca="1">INDIRECT("'Sep"&amp;Members!$F$2&amp;"-EXPENSE'!R"&amp;ROW()+3)</f>
        <v>6083.5372343750005</v>
      </c>
      <c r="AA51" s="11"/>
      <c r="AB51" s="70">
        <f t="shared" ca="1" si="22"/>
        <v>916.46276562499952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36019</v>
      </c>
      <c r="BB51" s="70">
        <f t="shared" ca="1" si="30"/>
        <v>33487.164713898565</v>
      </c>
      <c r="BC51" s="70">
        <f t="shared" si="31"/>
        <v>0</v>
      </c>
      <c r="BD51" s="70">
        <f t="shared" ca="1" si="32"/>
        <v>2531.8352861014355</v>
      </c>
      <c r="BE51" s="70">
        <f t="shared" ca="1" si="33"/>
        <v>597.55755616578244</v>
      </c>
    </row>
    <row r="52" spans="1:57" ht="15.75" customHeight="1" x14ac:dyDescent="0.25">
      <c r="A52" s="52" t="s">
        <v>166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6959.7142084230272</v>
      </c>
      <c r="O52" s="10"/>
      <c r="P52" s="72">
        <f t="shared" ca="1" si="19"/>
        <v>-6959.7142084230272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7101.802578810195</v>
      </c>
      <c r="S52" s="11"/>
      <c r="T52" s="72">
        <f t="shared" ca="1" si="20"/>
        <v>12796.627421189805</v>
      </c>
      <c r="U52" s="72">
        <f ca="1">INDIRECT("'Aug"&amp;Members!$F$2&amp;"-COLLECTION'!K"&amp;ROW()-1)</f>
        <v>14874.74</v>
      </c>
      <c r="V52" s="72">
        <f ca="1">INDIRECT("'Aug"&amp;Members!$F$2&amp;"-EXPENSE'!R"&amp;ROW()+3)</f>
        <v>6907.4804874020647</v>
      </c>
      <c r="W52" s="10"/>
      <c r="X52" s="72">
        <f t="shared" ca="1" si="21"/>
        <v>7967.2595125979351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6207.236634375</v>
      </c>
      <c r="AA52" s="11"/>
      <c r="AB52" s="72">
        <f t="shared" ca="1" si="22"/>
        <v>-6207.236634375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74620.509999999995</v>
      </c>
      <c r="BB52" s="72">
        <f t="shared" ca="1" si="30"/>
        <v>33744.557135924944</v>
      </c>
      <c r="BC52" s="72">
        <f t="shared" si="31"/>
        <v>0</v>
      </c>
      <c r="BD52" s="72">
        <f t="shared" ca="1" si="32"/>
        <v>40875.95286407505</v>
      </c>
      <c r="BE52" s="72">
        <f t="shared" ca="1" si="33"/>
        <v>1028.6150562226539</v>
      </c>
    </row>
    <row r="53" spans="1:57" ht="15.75" customHeight="1" x14ac:dyDescent="0.25">
      <c r="A53" s="68" t="s">
        <v>170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6456.5094761820183</v>
      </c>
      <c r="O53" s="10"/>
      <c r="P53" s="70">
        <f t="shared" ca="1" si="19"/>
        <v>-484.50947618201826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6509.2195981669738</v>
      </c>
      <c r="S53" s="11"/>
      <c r="T53" s="70">
        <f t="shared" ca="1" si="20"/>
        <v>-37.21959816697381</v>
      </c>
      <c r="U53" s="70">
        <f ca="1">INDIRECT("'Aug"&amp;Members!$F$2&amp;"-COLLECTION'!K"&amp;ROW()-1)</f>
        <v>6509</v>
      </c>
      <c r="V53" s="70">
        <f ca="1">INDIRECT("'Aug"&amp;Members!$F$2&amp;"-EXPENSE'!R"&amp;ROW()+3)</f>
        <v>6353.3919820971605</v>
      </c>
      <c r="W53" s="10"/>
      <c r="X53" s="70">
        <f t="shared" ca="1" si="21"/>
        <v>155.60801790283949</v>
      </c>
      <c r="Y53" s="70">
        <f ca="1">INDIRECT("'Sep"&amp;Members!$F$2&amp;"-COLLECTION'!K"&amp;ROW()-1)</f>
        <v>6354</v>
      </c>
      <c r="Z53" s="70">
        <f ca="1">INDIRECT("'Sep"&amp;Members!$F$2&amp;"-EXPENSE'!R"&amp;ROW()+3)</f>
        <v>6207.236634375</v>
      </c>
      <c r="AA53" s="11"/>
      <c r="AB53" s="70">
        <f t="shared" ca="1" si="22"/>
        <v>146.76336562500001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32249</v>
      </c>
      <c r="BB53" s="70">
        <f t="shared" ca="1" si="30"/>
        <v>31554.631755685914</v>
      </c>
      <c r="BC53" s="70">
        <f t="shared" si="31"/>
        <v>0</v>
      </c>
      <c r="BD53" s="70">
        <f t="shared" ca="1" si="32"/>
        <v>694.36824431408604</v>
      </c>
      <c r="BE53" s="70">
        <f t="shared" ca="1" si="33"/>
        <v>4756.2524151746184</v>
      </c>
    </row>
    <row r="54" spans="1:57" ht="15.75" customHeight="1" x14ac:dyDescent="0.25">
      <c r="A54" s="52" t="s">
        <v>174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5546.3042452593472</v>
      </c>
      <c r="O54" s="10"/>
      <c r="P54" s="72">
        <f t="shared" ca="1" si="19"/>
        <v>-154.42424525934712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5585.9008021113741</v>
      </c>
      <c r="S54" s="11"/>
      <c r="T54" s="72">
        <f t="shared" ca="1" si="20"/>
        <v>3.6191978886263314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5662.6275678150914</v>
      </c>
      <c r="W54" s="10"/>
      <c r="X54" s="72">
        <f t="shared" ca="1" si="21"/>
        <v>-5662.6275678150914</v>
      </c>
      <c r="Y54" s="72">
        <f ca="1">INDIRECT("'Sep"&amp;Members!$F$2&amp;"-COLLECTION'!K"&amp;ROW()-1)</f>
        <v>5662.63</v>
      </c>
      <c r="Z54" s="72">
        <f ca="1">INDIRECT("'Sep"&amp;Members!$F$2&amp;"-EXPENSE'!R"&amp;ROW()+3)</f>
        <v>7207.236634375</v>
      </c>
      <c r="AA54" s="11"/>
      <c r="AB54" s="72">
        <f t="shared" ca="1" si="22"/>
        <v>-1544.6066343749999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57428.999999999993</v>
      </c>
      <c r="BB54" s="72">
        <f t="shared" ca="1" si="30"/>
        <v>29394.18542587111</v>
      </c>
      <c r="BC54" s="72">
        <f t="shared" si="31"/>
        <v>0</v>
      </c>
      <c r="BD54" s="72">
        <f t="shared" ca="1" si="32"/>
        <v>28034.814574128883</v>
      </c>
      <c r="BE54" s="72">
        <f t="shared" ca="1" si="33"/>
        <v>-8016.3813036780339</v>
      </c>
    </row>
    <row r="55" spans="1:57" ht="15.75" customHeight="1" x14ac:dyDescent="0.25">
      <c r="A55" s="68" t="s">
        <v>177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5647.666161062597</v>
      </c>
      <c r="O55" s="10"/>
      <c r="P55" s="70">
        <f t="shared" ca="1" si="19"/>
        <v>-25.666161062596984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5544.0945423782014</v>
      </c>
      <c r="S55" s="11"/>
      <c r="T55" s="70">
        <f t="shared" ca="1" si="20"/>
        <v>-5544.0945423782014</v>
      </c>
      <c r="U55" s="70">
        <f ca="1">INDIRECT("'Aug"&amp;Members!$F$2&amp;"-COLLECTION'!K"&amp;ROW()-1)</f>
        <v>5912</v>
      </c>
      <c r="V55" s="70">
        <f ca="1">INDIRECT("'Aug"&amp;Members!$F$2&amp;"-EXPENSE'!R"&amp;ROW()+3)</f>
        <v>5897.1661087215125</v>
      </c>
      <c r="W55" s="10"/>
      <c r="X55" s="70">
        <f t="shared" ca="1" si="21"/>
        <v>14.833891278487499</v>
      </c>
      <c r="Y55" s="70">
        <f ca="1">INDIRECT("'Sep"&amp;Members!$F$2&amp;"-COLLECTION'!K"&amp;ROW()-1)</f>
        <v>5897</v>
      </c>
      <c r="Z55" s="70">
        <f ca="1">INDIRECT("'Sep"&amp;Members!$F$2&amp;"-EXPENSE'!R"&amp;ROW()+3)</f>
        <v>6083.5372343750005</v>
      </c>
      <c r="AA55" s="11"/>
      <c r="AB55" s="70">
        <f t="shared" ca="1" si="22"/>
        <v>-186.53723437500048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48764</v>
      </c>
      <c r="BB55" s="70">
        <f t="shared" ca="1" si="30"/>
        <v>28829.207098644198</v>
      </c>
      <c r="BC55" s="70">
        <f t="shared" si="31"/>
        <v>0</v>
      </c>
      <c r="BD55" s="70">
        <f t="shared" ca="1" si="32"/>
        <v>19934.792901355802</v>
      </c>
      <c r="BE55" s="70">
        <f t="shared" ca="1" si="33"/>
        <v>-6391.2132978099289</v>
      </c>
    </row>
    <row r="56" spans="1:57" ht="15.75" customHeight="1" x14ac:dyDescent="0.25">
      <c r="A56" s="52" t="s">
        <v>181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6963.9098483313364</v>
      </c>
      <c r="O56" s="10"/>
      <c r="P56" s="72">
        <f t="shared" ca="1" si="19"/>
        <v>-574.16984833133665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6887.5989572706749</v>
      </c>
      <c r="S56" s="11"/>
      <c r="T56" s="72">
        <f t="shared" ca="1" si="20"/>
        <v>-6887.5989572706749</v>
      </c>
      <c r="U56" s="72">
        <f ca="1">INDIRECT("'Aug"&amp;Members!$F$2&amp;"-COLLECTION'!K"&amp;ROW()-1)</f>
        <v>7550.02</v>
      </c>
      <c r="V56" s="72">
        <f ca="1">INDIRECT("'Aug"&amp;Members!$F$2&amp;"-EXPENSE'!R"&amp;ROW()+3)</f>
        <v>7008.5331277098285</v>
      </c>
      <c r="W56" s="10"/>
      <c r="X56" s="72">
        <f t="shared" ca="1" si="21"/>
        <v>541.48687229017196</v>
      </c>
      <c r="Y56" s="72">
        <f ca="1">INDIRECT("'Sep"&amp;Members!$F$2&amp;"-COLLECTION'!K"&amp;ROW()-1)</f>
        <v>13417.72</v>
      </c>
      <c r="Z56" s="72">
        <f ca="1">INDIRECT("'Sep"&amp;Members!$F$2&amp;"-EXPENSE'!R"&amp;ROW()+3)</f>
        <v>6083.5372343750005</v>
      </c>
      <c r="AA56" s="11"/>
      <c r="AB56" s="72">
        <f t="shared" ca="1" si="22"/>
        <v>7334.1827656249989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53851.070000000007</v>
      </c>
      <c r="BB56" s="72">
        <f t="shared" ca="1" si="30"/>
        <v>33441.020232322066</v>
      </c>
      <c r="BC56" s="72">
        <f t="shared" si="31"/>
        <v>0</v>
      </c>
      <c r="BD56" s="72">
        <f t="shared" ca="1" si="32"/>
        <v>20410.049767677941</v>
      </c>
      <c r="BE56" s="72">
        <f t="shared" ca="1" si="33"/>
        <v>410.67621683908146</v>
      </c>
    </row>
    <row r="57" spans="1:57" ht="15.75" customHeight="1" x14ac:dyDescent="0.25">
      <c r="A57" s="68" t="s">
        <v>185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6468.7975898544373</v>
      </c>
      <c r="O57" s="10"/>
      <c r="P57" s="70">
        <f t="shared" ca="1" si="19"/>
        <v>-6468.7975898544373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5993.8038684357343</v>
      </c>
      <c r="S57" s="11"/>
      <c r="T57" s="70">
        <f t="shared" ca="1" si="20"/>
        <v>-5993.8038684357343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7784.3393388683044</v>
      </c>
      <c r="W57" s="10">
        <v>1000</v>
      </c>
      <c r="X57" s="70">
        <f t="shared" ca="1" si="21"/>
        <v>-8784.3393388683035</v>
      </c>
      <c r="Y57" s="70">
        <f ca="1">INDIRECT("'Sep"&amp;Members!$F$2&amp;"-COLLECTION'!K"&amp;ROW()-1)</f>
        <v>25000</v>
      </c>
      <c r="Z57" s="70">
        <f ca="1">INDIRECT("'Sep"&amp;Members!$F$2&amp;"-EXPENSE'!R"&amp;ROW()+3)</f>
        <v>7083.5372343750005</v>
      </c>
      <c r="AA57" s="11">
        <v>1000</v>
      </c>
      <c r="AB57" s="70">
        <f t="shared" ca="1" si="22"/>
        <v>16916.462765625001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49740.72</v>
      </c>
      <c r="BB57" s="70">
        <f t="shared" ca="1" si="30"/>
        <v>33579.033570762527</v>
      </c>
      <c r="BC57" s="70">
        <f t="shared" si="31"/>
        <v>2000</v>
      </c>
      <c r="BD57" s="70">
        <f t="shared" ca="1" si="32"/>
        <v>14161.686429237474</v>
      </c>
      <c r="BE57" s="70">
        <f t="shared" ca="1" si="33"/>
        <v>-4325.3567930979843</v>
      </c>
    </row>
    <row r="58" spans="1:57" ht="15.75" customHeight="1" x14ac:dyDescent="0.25">
      <c r="A58" s="52" t="s">
        <v>188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5520.9595263923738</v>
      </c>
      <c r="O58" s="10"/>
      <c r="P58" s="72">
        <f t="shared" ca="1" si="19"/>
        <v>272.04047360762615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5463.2558202263972</v>
      </c>
      <c r="S58" s="11"/>
      <c r="T58" s="72">
        <f t="shared" ca="1" si="20"/>
        <v>-5463.2558202263972</v>
      </c>
      <c r="U58" s="72">
        <f ca="1">INDIRECT("'Aug"&amp;Members!$F$2&amp;"-COLLECTION'!K"&amp;ROW()-1)</f>
        <v>5464</v>
      </c>
      <c r="V58" s="72">
        <f ca="1">INDIRECT("'Aug"&amp;Members!$F$2&amp;"-EXPENSE'!R"&amp;ROW()+3)</f>
        <v>6065.3912005621187</v>
      </c>
      <c r="W58" s="10"/>
      <c r="X58" s="72">
        <f t="shared" ca="1" si="21"/>
        <v>-601.39120056211868</v>
      </c>
      <c r="Y58" s="72">
        <f ca="1">INDIRECT("'Sep"&amp;Members!$F$2&amp;"-COLLECTION'!K"&amp;ROW()-1)</f>
        <v>6100</v>
      </c>
      <c r="Z58" s="72">
        <f ca="1">INDIRECT("'Sep"&amp;Members!$F$2&amp;"-EXPENSE'!R"&amp;ROW()+3)</f>
        <v>6083.5372343750005</v>
      </c>
      <c r="AA58" s="11"/>
      <c r="AB58" s="72">
        <f t="shared" ca="1" si="22"/>
        <v>16.46276562499952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24180.97</v>
      </c>
      <c r="BB58" s="72">
        <f t="shared" ca="1" si="30"/>
        <v>28976.794188328553</v>
      </c>
      <c r="BC58" s="72">
        <f t="shared" si="31"/>
        <v>0</v>
      </c>
      <c r="BD58" s="72">
        <f t="shared" ca="1" si="32"/>
        <v>-4795.8241883285518</v>
      </c>
      <c r="BE58" s="72">
        <f t="shared" ca="1" si="33"/>
        <v>-6332.5558737490646</v>
      </c>
    </row>
    <row r="59" spans="1:57" ht="15.75" customHeight="1" x14ac:dyDescent="0.25">
      <c r="A59" s="68" t="s">
        <v>192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5583.2579890912612</v>
      </c>
      <c r="O59" s="10"/>
      <c r="P59" s="70">
        <f t="shared" ca="1" si="19"/>
        <v>-5583.2579890912612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5591.8758380965073</v>
      </c>
      <c r="S59" s="11"/>
      <c r="T59" s="70">
        <f t="shared" ca="1" si="20"/>
        <v>-136.24583809650721</v>
      </c>
      <c r="U59" s="70">
        <f ca="1">INDIRECT("'Aug"&amp;Members!$F$2&amp;"-COLLECTION'!K"&amp;ROW()-1)</f>
        <v>11599.11</v>
      </c>
      <c r="V59" s="70">
        <f ca="1">INDIRECT("'Aug"&amp;Members!$F$2&amp;"-EXPENSE'!R"&amp;ROW()+3)</f>
        <v>5707.3355352398776</v>
      </c>
      <c r="W59" s="10"/>
      <c r="X59" s="70">
        <f t="shared" ca="1" si="21"/>
        <v>5891.774464760123</v>
      </c>
      <c r="Y59" s="70">
        <f ca="1">INDIRECT("'Sep"&amp;Members!$F$2&amp;"-COLLECTION'!K"&amp;ROW()-1)</f>
        <v>5707.34</v>
      </c>
      <c r="Z59" s="70">
        <f ca="1">INDIRECT("'Sep"&amp;Members!$F$2&amp;"-EXPENSE'!R"&amp;ROW()+3)</f>
        <v>6207.236634375</v>
      </c>
      <c r="AA59" s="11"/>
      <c r="AB59" s="70">
        <f t="shared" ca="1" si="22"/>
        <v>-499.89663437499985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32313.63</v>
      </c>
      <c r="BB59" s="70">
        <f t="shared" ca="1" si="30"/>
        <v>28551.502013206296</v>
      </c>
      <c r="BC59" s="70">
        <f t="shared" si="31"/>
        <v>0</v>
      </c>
      <c r="BD59" s="70">
        <f t="shared" ca="1" si="32"/>
        <v>3762.1279867937046</v>
      </c>
      <c r="BE59" s="70">
        <f t="shared" ca="1" si="33"/>
        <v>3479.7432769312654</v>
      </c>
    </row>
    <row r="60" spans="1:57" ht="15.75" customHeight="1" x14ac:dyDescent="0.25">
      <c r="A60" s="52" t="s">
        <v>195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7595.1259152483544</v>
      </c>
      <c r="O60" s="10"/>
      <c r="P60" s="72">
        <f t="shared" ca="1" si="19"/>
        <v>-7595.1259152483544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7898.0402316814852</v>
      </c>
      <c r="S60" s="11"/>
      <c r="T60" s="72">
        <f t="shared" ca="1" si="20"/>
        <v>-5234.0402316814852</v>
      </c>
      <c r="U60" s="72">
        <f ca="1">INDIRECT("'Aug"&amp;Members!$F$2&amp;"-COLLECTION'!K"&amp;ROW()-1)</f>
        <v>9230</v>
      </c>
      <c r="V60" s="72">
        <f ca="1">INDIRECT("'Aug"&amp;Members!$F$2&amp;"-EXPENSE'!R"&amp;ROW()+3)</f>
        <v>6448.3995565276527</v>
      </c>
      <c r="W60" s="10"/>
      <c r="X60" s="72">
        <f t="shared" ca="1" si="21"/>
        <v>2781.6004434723473</v>
      </c>
      <c r="Y60" s="72">
        <f ca="1">INDIRECT("'Sep"&amp;Members!$F$2&amp;"-COLLECTION'!K"&amp;ROW()-1)</f>
        <v>6529</v>
      </c>
      <c r="Z60" s="72">
        <f ca="1">INDIRECT("'Sep"&amp;Members!$F$2&amp;"-EXPENSE'!R"&amp;ROW()+3)</f>
        <v>6083.5372343750005</v>
      </c>
      <c r="AA60" s="11"/>
      <c r="AB60" s="72">
        <f t="shared" ca="1" si="22"/>
        <v>445.46276562499952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39343</v>
      </c>
      <c r="BB60" s="72">
        <f t="shared" ca="1" si="30"/>
        <v>36396.825587592393</v>
      </c>
      <c r="BC60" s="72">
        <f t="shared" si="31"/>
        <v>0</v>
      </c>
      <c r="BD60" s="72">
        <f t="shared" ca="1" si="32"/>
        <v>2946.1744124076067</v>
      </c>
      <c r="BE60" s="72">
        <f t="shared" ca="1" si="33"/>
        <v>-749.05217527362447</v>
      </c>
    </row>
    <row r="61" spans="1:57" ht="15.75" customHeight="1" x14ac:dyDescent="0.25">
      <c r="A61" s="68" t="s">
        <v>198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6102.2028692677013</v>
      </c>
      <c r="O61" s="10"/>
      <c r="P61" s="70">
        <f t="shared" ca="1" si="19"/>
        <v>-344.20286926770132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5751.4634383328275</v>
      </c>
      <c r="S61" s="11"/>
      <c r="T61" s="70">
        <f t="shared" ca="1" si="20"/>
        <v>360.53656166717246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6049.1540579155144</v>
      </c>
      <c r="W61" s="10"/>
      <c r="X61" s="70">
        <f t="shared" ca="1" si="21"/>
        <v>-6049.1540579155144</v>
      </c>
      <c r="Y61" s="70">
        <f ca="1">INDIRECT("'Sep"&amp;Members!$F$2&amp;"-COLLECTION'!K"&amp;ROW()-1)</f>
        <v>11838</v>
      </c>
      <c r="Z61" s="70">
        <f ca="1">INDIRECT("'Sep"&amp;Members!$F$2&amp;"-EXPENSE'!R"&amp;ROW()+3)</f>
        <v>6083.5372343750005</v>
      </c>
      <c r="AA61" s="11"/>
      <c r="AB61" s="70">
        <f t="shared" ca="1" si="22"/>
        <v>5754.4627656249995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40182</v>
      </c>
      <c r="BB61" s="70">
        <f t="shared" ca="1" si="30"/>
        <v>29790.932168472908</v>
      </c>
      <c r="BC61" s="70">
        <f t="shared" si="31"/>
        <v>0</v>
      </c>
      <c r="BD61" s="70">
        <f t="shared" ca="1" si="32"/>
        <v>10391.067831527092</v>
      </c>
      <c r="BE61" s="70">
        <f t="shared" ca="1" si="33"/>
        <v>-896.79663515250832</v>
      </c>
    </row>
    <row r="62" spans="1:57" ht="15.75" customHeight="1" x14ac:dyDescent="0.25">
      <c r="A62" s="52" t="s">
        <v>202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7874.7941679614851</v>
      </c>
      <c r="O62" s="10"/>
      <c r="P62" s="72">
        <f t="shared" ca="1" si="19"/>
        <v>-2268.624167961485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5790.6526449412022</v>
      </c>
      <c r="S62" s="11"/>
      <c r="T62" s="72">
        <f t="shared" ca="1" si="20"/>
        <v>-131.26264494120187</v>
      </c>
      <c r="U62" s="72">
        <f ca="1">INDIRECT("'Aug"&amp;Members!$F$2&amp;"-COLLECTION'!K"&amp;ROW()-1)</f>
        <v>5790.65</v>
      </c>
      <c r="V62" s="72">
        <f ca="1">INDIRECT("'Aug"&amp;Members!$F$2&amp;"-EXPENSE'!R"&amp;ROW()+3)</f>
        <v>5781.2093041627559</v>
      </c>
      <c r="W62" s="10"/>
      <c r="X62" s="72">
        <f t="shared" ca="1" si="21"/>
        <v>9.4406958372437657</v>
      </c>
      <c r="Y62" s="72">
        <f ca="1">INDIRECT("'Sep"&amp;Members!$F$2&amp;"-COLLECTION'!K"&amp;ROW()-1)</f>
        <v>5781.21</v>
      </c>
      <c r="Z62" s="72">
        <f ca="1">INDIRECT("'Sep"&amp;Members!$F$2&amp;"-EXPENSE'!R"&amp;ROW()+3)</f>
        <v>6083.5372343750005</v>
      </c>
      <c r="AA62" s="11"/>
      <c r="AB62" s="72">
        <f t="shared" ca="1" si="22"/>
        <v>-302.32723437500044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27727.909999999996</v>
      </c>
      <c r="BB62" s="72">
        <f t="shared" ca="1" si="30"/>
        <v>31168.857748118811</v>
      </c>
      <c r="BC62" s="72">
        <f t="shared" si="31"/>
        <v>0</v>
      </c>
      <c r="BD62" s="72">
        <f t="shared" ca="1" si="32"/>
        <v>-3440.9477481188151</v>
      </c>
      <c r="BE62" s="72">
        <f t="shared" ca="1" si="33"/>
        <v>-3531.618807294908</v>
      </c>
    </row>
    <row r="63" spans="1:57" ht="15.75" customHeight="1" x14ac:dyDescent="0.25">
      <c r="A63" s="68" t="s">
        <v>205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7708.4095084172423</v>
      </c>
      <c r="O63" s="10"/>
      <c r="P63" s="70">
        <f t="shared" ca="1" si="19"/>
        <v>-7708.4095084172423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8687.0046326482516</v>
      </c>
      <c r="S63" s="11">
        <v>1000</v>
      </c>
      <c r="T63" s="70">
        <f t="shared" ca="1" si="20"/>
        <v>2312.9953673517484</v>
      </c>
      <c r="U63" s="70">
        <f ca="1">INDIRECT("'Aug"&amp;Members!$F$2&amp;"-COLLECTION'!K"&amp;ROW()-1)</f>
        <v>12000</v>
      </c>
      <c r="V63" s="70">
        <f ca="1">INDIRECT("'Aug"&amp;Members!$F$2&amp;"-EXPENSE'!R"&amp;ROW()+3)</f>
        <v>6337.9523415451831</v>
      </c>
      <c r="W63" s="10"/>
      <c r="X63" s="70">
        <f t="shared" ca="1" si="21"/>
        <v>5662.0476584548169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6207.236634375</v>
      </c>
      <c r="AA63" s="11"/>
      <c r="AB63" s="70">
        <f t="shared" ca="1" si="22"/>
        <v>-6207.236634375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36000</v>
      </c>
      <c r="BB63" s="70">
        <f t="shared" ca="1" si="30"/>
        <v>36104.022174272977</v>
      </c>
      <c r="BC63" s="70">
        <f t="shared" si="31"/>
        <v>1000</v>
      </c>
      <c r="BD63" s="70">
        <f t="shared" ca="1" si="32"/>
        <v>-1104.0221742729773</v>
      </c>
      <c r="BE63" s="70">
        <f t="shared" ca="1" si="33"/>
        <v>15754.036940743132</v>
      </c>
    </row>
    <row r="64" spans="1:57" ht="15.75" customHeight="1" x14ac:dyDescent="0.25">
      <c r="A64" s="52" t="s">
        <v>207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6011.3102377047335</v>
      </c>
      <c r="O64" s="10"/>
      <c r="P64" s="72">
        <f t="shared" ca="1" si="19"/>
        <v>130.68976229526652</v>
      </c>
      <c r="Q64" s="72">
        <f ca="1">INDIRECT("'July"&amp;Members!$F$2&amp;"-COLLECTION'!K"&amp;ROW()-1)</f>
        <v>6273</v>
      </c>
      <c r="R64" s="72">
        <f ca="1">INDIRECT("'July"&amp;Members!$F$2&amp;"-EXPENSE'!R"&amp;ROW()+3)</f>
        <v>6482.6834089388813</v>
      </c>
      <c r="S64" s="11"/>
      <c r="T64" s="72">
        <f t="shared" ca="1" si="20"/>
        <v>-209.68340893888126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6309.5453169345719</v>
      </c>
      <c r="W64" s="10"/>
      <c r="X64" s="72">
        <f t="shared" ca="1" si="21"/>
        <v>-6309.5453169345719</v>
      </c>
      <c r="Y64" s="72">
        <f ca="1">INDIRECT("'Sep"&amp;Members!$F$2&amp;"-COLLECTION'!K"&amp;ROW()-1)</f>
        <v>12793</v>
      </c>
      <c r="Z64" s="72">
        <f ca="1">INDIRECT("'Sep"&amp;Members!$F$2&amp;"-EXPENSE'!R"&amp;ROW()+3)</f>
        <v>6207.236634375</v>
      </c>
      <c r="AA64" s="11"/>
      <c r="AB64" s="72">
        <f t="shared" ca="1" si="22"/>
        <v>6585.763365625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35035</v>
      </c>
      <c r="BB64" s="72">
        <f t="shared" ca="1" si="30"/>
        <v>31223.768121983408</v>
      </c>
      <c r="BC64" s="72">
        <f t="shared" si="31"/>
        <v>0</v>
      </c>
      <c r="BD64" s="72">
        <f t="shared" ca="1" si="32"/>
        <v>3811.2318780165915</v>
      </c>
      <c r="BE64" s="72">
        <f t="shared" ca="1" si="33"/>
        <v>-665.66998280585176</v>
      </c>
    </row>
    <row r="65" spans="1:57" ht="15.75" customHeight="1" x14ac:dyDescent="0.25">
      <c r="A65" s="68" t="s">
        <v>211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6560.7495927798527</v>
      </c>
      <c r="O65" s="10"/>
      <c r="P65" s="70">
        <f t="shared" ca="1" si="19"/>
        <v>26333.250407220148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6646.2939531200318</v>
      </c>
      <c r="S65" s="11"/>
      <c r="T65" s="70">
        <f t="shared" ca="1" si="20"/>
        <v>-6646.2939531200318</v>
      </c>
      <c r="U65" s="70">
        <f ca="1">INDIRECT("'Aug"&amp;Members!$F$2&amp;"-COLLECTION'!K"&amp;ROW()-1)</f>
        <v>13194</v>
      </c>
      <c r="V65" s="70">
        <f ca="1">INDIRECT("'Aug"&amp;Members!$F$2&amp;"-EXPENSE'!R"&amp;ROW()+3)</f>
        <v>6297.2956847611022</v>
      </c>
      <c r="W65" s="10"/>
      <c r="X65" s="70">
        <f t="shared" ca="1" si="21"/>
        <v>6896.7043152388978</v>
      </c>
      <c r="Y65" s="70">
        <f ca="1">INDIRECT("'Sep"&amp;Members!$F$2&amp;"-COLLECTION'!K"&amp;ROW()-1)</f>
        <v>6354</v>
      </c>
      <c r="Z65" s="70">
        <f ca="1">INDIRECT("'Sep"&amp;Members!$F$2&amp;"-EXPENSE'!R"&amp;ROW()+3)</f>
        <v>6207.236634375</v>
      </c>
      <c r="AA65" s="11"/>
      <c r="AB65" s="70">
        <f t="shared" ca="1" si="22"/>
        <v>146.76336562500001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63282</v>
      </c>
      <c r="BB65" s="70">
        <f t="shared" ca="1" si="30"/>
        <v>31602.557539908779</v>
      </c>
      <c r="BC65" s="70">
        <f t="shared" si="31"/>
        <v>0</v>
      </c>
      <c r="BD65" s="70">
        <f t="shared" ca="1" si="32"/>
        <v>31679.442460091221</v>
      </c>
      <c r="BE65" s="70">
        <f t="shared" ca="1" si="33"/>
        <v>-639.38382682357042</v>
      </c>
    </row>
    <row r="66" spans="1:57" ht="15.75" customHeight="1" x14ac:dyDescent="0.25">
      <c r="A66" s="52" t="s">
        <v>214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6556.3434423934432</v>
      </c>
      <c r="O66" s="10"/>
      <c r="P66" s="72">
        <f t="shared" ca="1" si="19"/>
        <v>-6556.3434423934432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6771.6129646180871</v>
      </c>
      <c r="S66" s="11"/>
      <c r="T66" s="72">
        <f t="shared" ca="1" si="20"/>
        <v>-6771.6129646180871</v>
      </c>
      <c r="U66" s="72">
        <f ca="1">INDIRECT("'Aug"&amp;Members!$F$2&amp;"-COLLECTION'!K"&amp;ROW()-1)</f>
        <v>19495</v>
      </c>
      <c r="V66" s="72">
        <f ca="1">INDIRECT("'Aug"&amp;Members!$F$2&amp;"-EXPENSE'!R"&amp;ROW()+3)</f>
        <v>7577.6586960247869</v>
      </c>
      <c r="W66" s="10">
        <v>1000</v>
      </c>
      <c r="X66" s="72">
        <f t="shared" ca="1" si="21"/>
        <v>10917.341303975212</v>
      </c>
      <c r="Y66" s="72">
        <f ca="1">INDIRECT("'Sep"&amp;Members!$F$2&amp;"-COLLECTION'!K"&amp;ROW()-1)</f>
        <v>8641</v>
      </c>
      <c r="Z66" s="72">
        <f ca="1">INDIRECT("'Sep"&amp;Members!$F$2&amp;"-EXPENSE'!R"&amp;ROW()+3)</f>
        <v>6083.5372343750005</v>
      </c>
      <c r="AA66" s="11"/>
      <c r="AB66" s="72">
        <f t="shared" ca="1" si="22"/>
        <v>2557.4627656249995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43367</v>
      </c>
      <c r="BB66" s="72">
        <f t="shared" ca="1" si="30"/>
        <v>33252.219443105423</v>
      </c>
      <c r="BC66" s="72">
        <f t="shared" si="31"/>
        <v>1000</v>
      </c>
      <c r="BD66" s="72">
        <f t="shared" ca="1" si="32"/>
        <v>9114.7805568945769</v>
      </c>
      <c r="BE66" s="72">
        <f t="shared" ca="1" si="33"/>
        <v>-235.42658249872329</v>
      </c>
    </row>
    <row r="67" spans="1:57" ht="15.75" customHeight="1" x14ac:dyDescent="0.25">
      <c r="A67" s="9"/>
      <c r="B67" s="8"/>
      <c r="C67" s="9" t="s">
        <v>254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0</v>
      </c>
      <c r="H67" s="11">
        <f t="shared" ca="1" si="34"/>
        <v>524376.30000000005</v>
      </c>
      <c r="I67" s="11">
        <f t="shared" ca="1" si="34"/>
        <v>257530.98999999996</v>
      </c>
      <c r="J67" s="11">
        <f t="shared" ca="1" si="34"/>
        <v>385692.96620000008</v>
      </c>
      <c r="K67" s="11">
        <f t="shared" si="34"/>
        <v>0</v>
      </c>
      <c r="L67" s="11">
        <f t="shared" ca="1" si="34"/>
        <v>-128161.97619999996</v>
      </c>
      <c r="M67" s="11">
        <f t="shared" ca="1" si="34"/>
        <v>325302.08</v>
      </c>
      <c r="N67" s="11">
        <f t="shared" ca="1" si="34"/>
        <v>410805.96620000002</v>
      </c>
      <c r="O67" s="11">
        <f t="shared" si="34"/>
        <v>6000</v>
      </c>
      <c r="P67" s="11">
        <f t="shared" ca="1" si="34"/>
        <v>-91503.886200000008</v>
      </c>
      <c r="Q67" s="11">
        <f t="shared" ca="1" si="34"/>
        <v>401232.16000000003</v>
      </c>
      <c r="R67" s="11">
        <f t="shared" ca="1" si="34"/>
        <v>406424.96619999991</v>
      </c>
      <c r="S67" s="11">
        <f t="shared" si="34"/>
        <v>9000</v>
      </c>
      <c r="T67" s="11">
        <f t="shared" ca="1" si="34"/>
        <v>-14192.806199999999</v>
      </c>
      <c r="U67" s="11">
        <f t="shared" ca="1" si="34"/>
        <v>478872.56000000011</v>
      </c>
      <c r="V67" s="11">
        <f t="shared" ca="1" si="34"/>
        <v>410380.96620000014</v>
      </c>
      <c r="W67" s="11">
        <f t="shared" si="34"/>
        <v>7000</v>
      </c>
      <c r="X67" s="11">
        <f t="shared" ca="1" si="34"/>
        <v>61491.59380000001</v>
      </c>
      <c r="Y67" s="11">
        <f t="shared" ca="1" si="34"/>
        <v>430648.57000000007</v>
      </c>
      <c r="Z67" s="11">
        <f t="shared" ca="1" si="34"/>
        <v>403059.9662000002</v>
      </c>
      <c r="AA67" s="11">
        <f t="shared" si="34"/>
        <v>6000</v>
      </c>
      <c r="AB67" s="11">
        <f t="shared" ca="1" si="34"/>
        <v>21588.60379999999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2417962.66</v>
      </c>
      <c r="BB67" s="11">
        <f t="shared" ca="1" si="35"/>
        <v>2016364.8309999998</v>
      </c>
      <c r="BC67" s="11">
        <f t="shared" si="35"/>
        <v>28000</v>
      </c>
      <c r="BD67" s="13">
        <f t="shared" ca="1" si="35"/>
        <v>373597.82900000003</v>
      </c>
      <c r="BE67" s="77">
        <f t="shared" ref="BE67:BE98" ca="1" si="36">BD67+D67</f>
        <v>-274452.06061299983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2026-10-04T07:13:13Z</dcterms:modified>
</cp:coreProperties>
</file>