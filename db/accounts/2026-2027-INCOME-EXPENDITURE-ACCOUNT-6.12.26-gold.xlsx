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EB1D6335-69B7-4A38-AD05-57B3202CFE43}" xr6:coauthVersionLast="47" xr6:coauthVersionMax="47" xr10:uidLastSave="{00000000-0000-0000-0000-000000000000}"/>
  <bookViews>
    <workbookView xWindow="-120" yWindow="-120" windowWidth="29040" windowHeight="15720" tabRatio="954" activeTab="4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state="hidden" r:id="rId6"/>
    <sheet name="June2026-COLLECTION" sheetId="7" state="hidden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27" l="1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S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U14" i="26"/>
  <c r="T14" i="26"/>
  <c r="X14" i="26" s="1"/>
  <c r="U13" i="26"/>
  <c r="T13" i="26"/>
  <c r="X12" i="26"/>
  <c r="T20" i="20" s="1"/>
  <c r="V12" i="26"/>
  <c r="U12" i="26"/>
  <c r="T12" i="26"/>
  <c r="U11" i="26"/>
  <c r="T11" i="26"/>
  <c r="X11" i="26" s="1"/>
  <c r="U10" i="26"/>
  <c r="T10" i="26"/>
  <c r="X9" i="26"/>
  <c r="V9" i="26"/>
  <c r="U9" i="26"/>
  <c r="T9" i="26"/>
  <c r="U8" i="26"/>
  <c r="T8" i="26"/>
  <c r="X8" i="26" s="1"/>
  <c r="U7" i="26"/>
  <c r="T7" i="26"/>
  <c r="X6" i="26"/>
  <c r="V6" i="26"/>
  <c r="U6" i="26"/>
  <c r="T6" i="26"/>
  <c r="U5" i="26"/>
  <c r="T5" i="26"/>
  <c r="X5" i="26" s="1"/>
  <c r="U4" i="26"/>
  <c r="Q4" i="26"/>
  <c r="Q15" i="26" s="1"/>
  <c r="K4" i="26"/>
  <c r="U3" i="26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K66" i="25" s="1"/>
  <c r="B2" i="25"/>
  <c r="O70" i="24"/>
  <c r="N70" i="24"/>
  <c r="M70" i="24"/>
  <c r="L70" i="24"/>
  <c r="H70" i="24"/>
  <c r="C70" i="24"/>
  <c r="F70" i="24" s="1"/>
  <c r="I69" i="24"/>
  <c r="F69" i="24"/>
  <c r="G69" i="24" s="1"/>
  <c r="J69" i="24" s="1"/>
  <c r="E69" i="24"/>
  <c r="D69" i="24"/>
  <c r="B69" i="24"/>
  <c r="I68" i="24"/>
  <c r="D68" i="24"/>
  <c r="E68" i="24" s="1"/>
  <c r="B68" i="24"/>
  <c r="I67" i="24"/>
  <c r="F67" i="24"/>
  <c r="G67" i="24" s="1"/>
  <c r="J67" i="24" s="1"/>
  <c r="E67" i="24"/>
  <c r="D67" i="24"/>
  <c r="B67" i="24"/>
  <c r="I66" i="24"/>
  <c r="E66" i="24"/>
  <c r="D66" i="24"/>
  <c r="B66" i="24"/>
  <c r="I65" i="24"/>
  <c r="F65" i="24"/>
  <c r="G65" i="24" s="1"/>
  <c r="J65" i="24" s="1"/>
  <c r="E65" i="24"/>
  <c r="D65" i="24"/>
  <c r="B65" i="24"/>
  <c r="I64" i="24"/>
  <c r="D64" i="24"/>
  <c r="E64" i="24" s="1"/>
  <c r="B64" i="24"/>
  <c r="I63" i="24"/>
  <c r="F63" i="24"/>
  <c r="G63" i="24" s="1"/>
  <c r="J63" i="24" s="1"/>
  <c r="E63" i="24"/>
  <c r="D63" i="24"/>
  <c r="B63" i="24"/>
  <c r="I62" i="24"/>
  <c r="E62" i="24"/>
  <c r="D62" i="24"/>
  <c r="B62" i="24"/>
  <c r="I61" i="24"/>
  <c r="F61" i="24"/>
  <c r="G61" i="24" s="1"/>
  <c r="J61" i="24" s="1"/>
  <c r="E61" i="24"/>
  <c r="D61" i="24"/>
  <c r="B61" i="24"/>
  <c r="I60" i="24"/>
  <c r="D60" i="24"/>
  <c r="E60" i="24" s="1"/>
  <c r="B60" i="24"/>
  <c r="I59" i="24"/>
  <c r="F59" i="24"/>
  <c r="E59" i="24"/>
  <c r="D59" i="24"/>
  <c r="B59" i="24"/>
  <c r="I58" i="24"/>
  <c r="E58" i="24"/>
  <c r="D58" i="24"/>
  <c r="B58" i="24"/>
  <c r="I57" i="24"/>
  <c r="G57" i="24"/>
  <c r="J57" i="24" s="1"/>
  <c r="F57" i="24"/>
  <c r="E57" i="24"/>
  <c r="D57" i="24"/>
  <c r="B57" i="24"/>
  <c r="I56" i="24"/>
  <c r="D56" i="24"/>
  <c r="E56" i="24" s="1"/>
  <c r="B56" i="24"/>
  <c r="I55" i="24"/>
  <c r="F55" i="24"/>
  <c r="G55" i="24" s="1"/>
  <c r="J55" i="24" s="1"/>
  <c r="E55" i="24"/>
  <c r="D55" i="24"/>
  <c r="B55" i="24"/>
  <c r="I54" i="24"/>
  <c r="E54" i="24"/>
  <c r="D54" i="24"/>
  <c r="B54" i="24"/>
  <c r="I53" i="24"/>
  <c r="F53" i="24"/>
  <c r="G53" i="24" s="1"/>
  <c r="J53" i="24" s="1"/>
  <c r="E53" i="24"/>
  <c r="D53" i="24"/>
  <c r="B53" i="24"/>
  <c r="I52" i="24"/>
  <c r="D52" i="24"/>
  <c r="E52" i="24" s="1"/>
  <c r="B52" i="24"/>
  <c r="I51" i="24"/>
  <c r="F51" i="24"/>
  <c r="G51" i="24" s="1"/>
  <c r="J51" i="24" s="1"/>
  <c r="E51" i="24"/>
  <c r="D51" i="24"/>
  <c r="B51" i="24"/>
  <c r="I50" i="24"/>
  <c r="E50" i="24"/>
  <c r="D50" i="24"/>
  <c r="B50" i="24"/>
  <c r="I49" i="24"/>
  <c r="F49" i="24"/>
  <c r="G49" i="24" s="1"/>
  <c r="J49" i="24" s="1"/>
  <c r="E49" i="24"/>
  <c r="D49" i="24"/>
  <c r="B49" i="24"/>
  <c r="I48" i="24"/>
  <c r="F48" i="24"/>
  <c r="G48" i="24" s="1"/>
  <c r="J48" i="24" s="1"/>
  <c r="D48" i="24"/>
  <c r="E48" i="24" s="1"/>
  <c r="B48" i="24"/>
  <c r="I47" i="24"/>
  <c r="F47" i="24"/>
  <c r="E47" i="24"/>
  <c r="D47" i="24"/>
  <c r="B47" i="24"/>
  <c r="I46" i="24"/>
  <c r="E46" i="24"/>
  <c r="D46" i="24"/>
  <c r="B46" i="24"/>
  <c r="I45" i="24"/>
  <c r="G45" i="24"/>
  <c r="J45" i="24" s="1"/>
  <c r="F45" i="24"/>
  <c r="E45" i="24"/>
  <c r="D45" i="24"/>
  <c r="B45" i="24"/>
  <c r="I44" i="24"/>
  <c r="F44" i="24"/>
  <c r="G44" i="24" s="1"/>
  <c r="J44" i="24" s="1"/>
  <c r="D44" i="24"/>
  <c r="E44" i="24" s="1"/>
  <c r="B44" i="24"/>
  <c r="I43" i="24"/>
  <c r="F43" i="24"/>
  <c r="E43" i="24"/>
  <c r="D43" i="24"/>
  <c r="B43" i="24"/>
  <c r="I42" i="24"/>
  <c r="E42" i="24"/>
  <c r="D42" i="24"/>
  <c r="B42" i="24"/>
  <c r="I41" i="24"/>
  <c r="F41" i="24"/>
  <c r="G41" i="24" s="1"/>
  <c r="J41" i="24" s="1"/>
  <c r="E41" i="24"/>
  <c r="D41" i="24"/>
  <c r="B41" i="24"/>
  <c r="I40" i="24"/>
  <c r="F40" i="24"/>
  <c r="G40" i="24" s="1"/>
  <c r="J40" i="24" s="1"/>
  <c r="D40" i="24"/>
  <c r="E40" i="24" s="1"/>
  <c r="B40" i="24"/>
  <c r="I39" i="24"/>
  <c r="F39" i="24"/>
  <c r="E39" i="24"/>
  <c r="D39" i="24"/>
  <c r="B39" i="24"/>
  <c r="I38" i="24"/>
  <c r="E38" i="24"/>
  <c r="D38" i="24"/>
  <c r="B38" i="24"/>
  <c r="I37" i="24"/>
  <c r="G37" i="24"/>
  <c r="J37" i="24" s="1"/>
  <c r="F37" i="24"/>
  <c r="E37" i="24"/>
  <c r="D37" i="24"/>
  <c r="B37" i="24"/>
  <c r="I36" i="24"/>
  <c r="F36" i="24"/>
  <c r="G36" i="24" s="1"/>
  <c r="J36" i="24" s="1"/>
  <c r="D36" i="24"/>
  <c r="E36" i="24" s="1"/>
  <c r="B36" i="24"/>
  <c r="I35" i="24"/>
  <c r="F35" i="24"/>
  <c r="G35" i="24" s="1"/>
  <c r="J35" i="24" s="1"/>
  <c r="E35" i="24"/>
  <c r="D35" i="24"/>
  <c r="B35" i="24"/>
  <c r="J34" i="24"/>
  <c r="I34" i="24"/>
  <c r="F34" i="24"/>
  <c r="G34" i="24" s="1"/>
  <c r="E34" i="24"/>
  <c r="D34" i="24"/>
  <c r="B34" i="24"/>
  <c r="I33" i="24"/>
  <c r="F33" i="24"/>
  <c r="G33" i="24" s="1"/>
  <c r="J33" i="24" s="1"/>
  <c r="E33" i="24"/>
  <c r="D33" i="24"/>
  <c r="B33" i="24"/>
  <c r="I32" i="24"/>
  <c r="F32" i="24"/>
  <c r="D32" i="24"/>
  <c r="E32" i="24" s="1"/>
  <c r="B32" i="24"/>
  <c r="I31" i="24"/>
  <c r="F31" i="24"/>
  <c r="G31" i="24" s="1"/>
  <c r="J31" i="24" s="1"/>
  <c r="E31" i="24"/>
  <c r="D31" i="24"/>
  <c r="B31" i="24"/>
  <c r="I30" i="24"/>
  <c r="F30" i="24"/>
  <c r="E30" i="24"/>
  <c r="D30" i="24"/>
  <c r="B30" i="24"/>
  <c r="I29" i="24"/>
  <c r="F29" i="24"/>
  <c r="G29" i="24" s="1"/>
  <c r="J29" i="24" s="1"/>
  <c r="E29" i="24"/>
  <c r="D29" i="24"/>
  <c r="B29" i="24"/>
  <c r="I28" i="24"/>
  <c r="F28" i="24"/>
  <c r="G28" i="24" s="1"/>
  <c r="J28" i="24" s="1"/>
  <c r="D28" i="24"/>
  <c r="E28" i="24" s="1"/>
  <c r="B28" i="24"/>
  <c r="I27" i="24"/>
  <c r="F27" i="24"/>
  <c r="G27" i="24" s="1"/>
  <c r="J27" i="24" s="1"/>
  <c r="E27" i="24"/>
  <c r="D27" i="24"/>
  <c r="B27" i="24"/>
  <c r="I26" i="24"/>
  <c r="F26" i="24"/>
  <c r="G26" i="24" s="1"/>
  <c r="J26" i="24" s="1"/>
  <c r="E26" i="24"/>
  <c r="D26" i="24"/>
  <c r="B26" i="24"/>
  <c r="I25" i="24"/>
  <c r="F25" i="24"/>
  <c r="G25" i="24" s="1"/>
  <c r="J25" i="24" s="1"/>
  <c r="E25" i="24"/>
  <c r="D25" i="24"/>
  <c r="B25" i="24"/>
  <c r="I24" i="24"/>
  <c r="F24" i="24"/>
  <c r="D24" i="24"/>
  <c r="E24" i="24" s="1"/>
  <c r="B24" i="24"/>
  <c r="I23" i="24"/>
  <c r="F23" i="24"/>
  <c r="G23" i="24" s="1"/>
  <c r="J23" i="24" s="1"/>
  <c r="E23" i="24"/>
  <c r="D23" i="24"/>
  <c r="B23" i="24"/>
  <c r="I22" i="24"/>
  <c r="F22" i="24"/>
  <c r="E22" i="24"/>
  <c r="D22" i="24"/>
  <c r="B22" i="24"/>
  <c r="I21" i="24"/>
  <c r="G21" i="24"/>
  <c r="J21" i="24" s="1"/>
  <c r="F21" i="24"/>
  <c r="E21" i="24"/>
  <c r="D21" i="24"/>
  <c r="B21" i="24"/>
  <c r="I20" i="24"/>
  <c r="F20" i="24"/>
  <c r="D20" i="24"/>
  <c r="E20" i="24" s="1"/>
  <c r="B20" i="24"/>
  <c r="I19" i="24"/>
  <c r="F19" i="24"/>
  <c r="G19" i="24" s="1"/>
  <c r="J19" i="24" s="1"/>
  <c r="E19" i="24"/>
  <c r="D19" i="24"/>
  <c r="B19" i="24"/>
  <c r="I18" i="24"/>
  <c r="F18" i="24"/>
  <c r="E18" i="24"/>
  <c r="D18" i="24"/>
  <c r="B18" i="24"/>
  <c r="I17" i="24"/>
  <c r="G17" i="24"/>
  <c r="J17" i="24" s="1"/>
  <c r="F17" i="24"/>
  <c r="E17" i="24"/>
  <c r="D17" i="24"/>
  <c r="B17" i="24"/>
  <c r="I16" i="24"/>
  <c r="F16" i="24"/>
  <c r="D16" i="24"/>
  <c r="E16" i="24" s="1"/>
  <c r="B16" i="24"/>
  <c r="I15" i="24"/>
  <c r="F15" i="24"/>
  <c r="G15" i="24" s="1"/>
  <c r="J15" i="24" s="1"/>
  <c r="E15" i="24"/>
  <c r="D15" i="24"/>
  <c r="B15" i="24"/>
  <c r="I14" i="24"/>
  <c r="F14" i="24"/>
  <c r="E14" i="24"/>
  <c r="D14" i="24"/>
  <c r="B14" i="24"/>
  <c r="I13" i="24"/>
  <c r="F13" i="24"/>
  <c r="G13" i="24" s="1"/>
  <c r="J13" i="24" s="1"/>
  <c r="D13" i="24"/>
  <c r="E13" i="24" s="1"/>
  <c r="B13" i="24"/>
  <c r="I12" i="24"/>
  <c r="F12" i="24"/>
  <c r="E12" i="24"/>
  <c r="D12" i="24"/>
  <c r="B12" i="24"/>
  <c r="I11" i="24"/>
  <c r="F11" i="24"/>
  <c r="E11" i="24"/>
  <c r="D11" i="24"/>
  <c r="B11" i="24"/>
  <c r="I10" i="24"/>
  <c r="F10" i="24"/>
  <c r="E10" i="24"/>
  <c r="D10" i="24"/>
  <c r="B10" i="24"/>
  <c r="T9" i="24"/>
  <c r="I9" i="24"/>
  <c r="F9" i="24"/>
  <c r="G9" i="24" s="1"/>
  <c r="J9" i="24" s="1"/>
  <c r="E9" i="24"/>
  <c r="D9" i="24"/>
  <c r="B9" i="24"/>
  <c r="T8" i="24"/>
  <c r="I8" i="24"/>
  <c r="F8" i="24"/>
  <c r="G8" i="24" s="1"/>
  <c r="J8" i="24" s="1"/>
  <c r="D8" i="24"/>
  <c r="E8" i="24" s="1"/>
  <c r="B8" i="24"/>
  <c r="I7" i="24"/>
  <c r="F7" i="24"/>
  <c r="E7" i="24"/>
  <c r="D7" i="24"/>
  <c r="B7" i="24"/>
  <c r="I6" i="24"/>
  <c r="F6" i="24"/>
  <c r="D6" i="24"/>
  <c r="B6" i="24"/>
  <c r="T5" i="24"/>
  <c r="I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F70" i="22"/>
  <c r="C70" i="22"/>
  <c r="F68" i="22" s="1"/>
  <c r="I69" i="22"/>
  <c r="F69" i="22"/>
  <c r="D69" i="22"/>
  <c r="E69" i="22" s="1"/>
  <c r="B69" i="22"/>
  <c r="I68" i="22"/>
  <c r="E68" i="22"/>
  <c r="D68" i="22"/>
  <c r="B68" i="22"/>
  <c r="I67" i="22"/>
  <c r="F67" i="22"/>
  <c r="D67" i="22"/>
  <c r="E67" i="22" s="1"/>
  <c r="B67" i="22"/>
  <c r="I66" i="22"/>
  <c r="F66" i="22"/>
  <c r="D66" i="22"/>
  <c r="E66" i="22" s="1"/>
  <c r="B66" i="22"/>
  <c r="I65" i="22"/>
  <c r="F65" i="22"/>
  <c r="D65" i="22"/>
  <c r="E65" i="22" s="1"/>
  <c r="B65" i="22"/>
  <c r="I64" i="22"/>
  <c r="E64" i="22"/>
  <c r="D64" i="22"/>
  <c r="B64" i="22"/>
  <c r="I63" i="22"/>
  <c r="G63" i="22"/>
  <c r="J63" i="22" s="1"/>
  <c r="F63" i="22"/>
  <c r="D63" i="22"/>
  <c r="E63" i="22" s="1"/>
  <c r="B63" i="22"/>
  <c r="I62" i="22"/>
  <c r="F62" i="22"/>
  <c r="E62" i="22"/>
  <c r="D62" i="22"/>
  <c r="B62" i="22"/>
  <c r="I61" i="22"/>
  <c r="F61" i="22"/>
  <c r="G61" i="22" s="1"/>
  <c r="D61" i="22"/>
  <c r="E61" i="22" s="1"/>
  <c r="B61" i="22"/>
  <c r="I60" i="22"/>
  <c r="F60" i="22"/>
  <c r="E60" i="22"/>
  <c r="D60" i="22"/>
  <c r="B60" i="22"/>
  <c r="I59" i="22"/>
  <c r="G59" i="22"/>
  <c r="J59" i="22" s="1"/>
  <c r="F59" i="22"/>
  <c r="D59" i="22"/>
  <c r="E59" i="22" s="1"/>
  <c r="B59" i="22"/>
  <c r="I58" i="22"/>
  <c r="F58" i="22"/>
  <c r="D58" i="22"/>
  <c r="E58" i="22" s="1"/>
  <c r="B58" i="22"/>
  <c r="I57" i="22"/>
  <c r="F57" i="22"/>
  <c r="G57" i="22" s="1"/>
  <c r="J57" i="22" s="1"/>
  <c r="D57" i="22"/>
  <c r="E57" i="22" s="1"/>
  <c r="B57" i="22"/>
  <c r="I56" i="22"/>
  <c r="F56" i="22"/>
  <c r="E56" i="22"/>
  <c r="D56" i="22"/>
  <c r="B56" i="22"/>
  <c r="I55" i="22"/>
  <c r="G55" i="22"/>
  <c r="J55" i="22" s="1"/>
  <c r="F55" i="22"/>
  <c r="D55" i="22"/>
  <c r="E55" i="22" s="1"/>
  <c r="B55" i="22"/>
  <c r="I54" i="22"/>
  <c r="F54" i="22"/>
  <c r="D54" i="22"/>
  <c r="E54" i="22" s="1"/>
  <c r="B54" i="22"/>
  <c r="I53" i="22"/>
  <c r="F53" i="22"/>
  <c r="G53" i="22" s="1"/>
  <c r="J53" i="22" s="1"/>
  <c r="D53" i="22"/>
  <c r="E53" i="22" s="1"/>
  <c r="B53" i="22"/>
  <c r="I52" i="22"/>
  <c r="F52" i="22"/>
  <c r="E52" i="22"/>
  <c r="D52" i="22"/>
  <c r="B52" i="22"/>
  <c r="I51" i="22"/>
  <c r="G51" i="22"/>
  <c r="J51" i="22" s="1"/>
  <c r="F51" i="22"/>
  <c r="D51" i="22"/>
  <c r="E51" i="22" s="1"/>
  <c r="B51" i="22"/>
  <c r="I50" i="22"/>
  <c r="F50" i="22"/>
  <c r="D50" i="22"/>
  <c r="E50" i="22" s="1"/>
  <c r="B50" i="22"/>
  <c r="I49" i="22"/>
  <c r="F49" i="22"/>
  <c r="G49" i="22" s="1"/>
  <c r="J49" i="22" s="1"/>
  <c r="D49" i="22"/>
  <c r="E49" i="22" s="1"/>
  <c r="B49" i="22"/>
  <c r="I48" i="22"/>
  <c r="F48" i="22"/>
  <c r="E48" i="22"/>
  <c r="D48" i="22"/>
  <c r="B48" i="22"/>
  <c r="I47" i="22"/>
  <c r="J47" i="22" s="1"/>
  <c r="F47" i="22"/>
  <c r="G47" i="22" s="1"/>
  <c r="D47" i="22"/>
  <c r="E47" i="22" s="1"/>
  <c r="B47" i="22"/>
  <c r="I46" i="22"/>
  <c r="F46" i="22"/>
  <c r="D46" i="22"/>
  <c r="B46" i="22"/>
  <c r="I45" i="22"/>
  <c r="F45" i="22"/>
  <c r="D45" i="22"/>
  <c r="E45" i="22" s="1"/>
  <c r="B45" i="22"/>
  <c r="I44" i="22"/>
  <c r="F44" i="22"/>
  <c r="G44" i="22" s="1"/>
  <c r="J44" i="22" s="1"/>
  <c r="E44" i="22"/>
  <c r="D44" i="22"/>
  <c r="B44" i="22"/>
  <c r="I43" i="22"/>
  <c r="F43" i="22"/>
  <c r="D43" i="22"/>
  <c r="E43" i="22" s="1"/>
  <c r="B43" i="22"/>
  <c r="I42" i="22"/>
  <c r="F42" i="22"/>
  <c r="G42" i="22" s="1"/>
  <c r="J42" i="22" s="1"/>
  <c r="E42" i="22"/>
  <c r="D42" i="22"/>
  <c r="B42" i="22"/>
  <c r="I41" i="22"/>
  <c r="F41" i="22"/>
  <c r="D41" i="22"/>
  <c r="E41" i="22" s="1"/>
  <c r="B41" i="22"/>
  <c r="J40" i="22"/>
  <c r="I40" i="22"/>
  <c r="F40" i="22"/>
  <c r="G40" i="22" s="1"/>
  <c r="E40" i="22"/>
  <c r="D40" i="22"/>
  <c r="B40" i="22"/>
  <c r="I39" i="22"/>
  <c r="F39" i="22"/>
  <c r="D39" i="22"/>
  <c r="E39" i="22" s="1"/>
  <c r="B39" i="22"/>
  <c r="I38" i="22"/>
  <c r="F38" i="22"/>
  <c r="E38" i="22"/>
  <c r="D38" i="22"/>
  <c r="B38" i="22"/>
  <c r="I37" i="22"/>
  <c r="F37" i="22"/>
  <c r="G37" i="22" s="1"/>
  <c r="J37" i="22" s="1"/>
  <c r="D37" i="22"/>
  <c r="E37" i="22" s="1"/>
  <c r="B37" i="22"/>
  <c r="I36" i="22"/>
  <c r="F36" i="22"/>
  <c r="G36" i="22" s="1"/>
  <c r="J36" i="22" s="1"/>
  <c r="E36" i="22"/>
  <c r="D36" i="22"/>
  <c r="B36" i="22"/>
  <c r="I35" i="22"/>
  <c r="G35" i="22"/>
  <c r="J35" i="22" s="1"/>
  <c r="F35" i="22"/>
  <c r="D35" i="22"/>
  <c r="E35" i="22" s="1"/>
  <c r="B35" i="22"/>
  <c r="I34" i="22"/>
  <c r="F34" i="22"/>
  <c r="G34" i="22" s="1"/>
  <c r="J34" i="22" s="1"/>
  <c r="E34" i="22"/>
  <c r="D34" i="22"/>
  <c r="B34" i="22"/>
  <c r="I33" i="22"/>
  <c r="F33" i="22"/>
  <c r="D33" i="22"/>
  <c r="E33" i="22" s="1"/>
  <c r="B33" i="22"/>
  <c r="I32" i="22"/>
  <c r="F32" i="22"/>
  <c r="G32" i="22" s="1"/>
  <c r="J32" i="22" s="1"/>
  <c r="E32" i="22"/>
  <c r="D32" i="22"/>
  <c r="B32" i="22"/>
  <c r="I31" i="22"/>
  <c r="F31" i="22"/>
  <c r="G31" i="22" s="1"/>
  <c r="J31" i="22" s="1"/>
  <c r="D31" i="22"/>
  <c r="E31" i="22" s="1"/>
  <c r="B31" i="22"/>
  <c r="J30" i="22"/>
  <c r="I30" i="22"/>
  <c r="G30" i="22"/>
  <c r="F30" i="22"/>
  <c r="E30" i="22"/>
  <c r="D30" i="22"/>
  <c r="B30" i="22"/>
  <c r="I29" i="22"/>
  <c r="F29" i="22"/>
  <c r="G29" i="22" s="1"/>
  <c r="J29" i="22" s="1"/>
  <c r="D29" i="22"/>
  <c r="E29" i="22" s="1"/>
  <c r="B29" i="22"/>
  <c r="I28" i="22"/>
  <c r="F28" i="22"/>
  <c r="G28" i="22" s="1"/>
  <c r="J28" i="22" s="1"/>
  <c r="E28" i="22"/>
  <c r="D28" i="22"/>
  <c r="B28" i="22"/>
  <c r="I27" i="22"/>
  <c r="G27" i="22"/>
  <c r="J27" i="22" s="1"/>
  <c r="F27" i="22"/>
  <c r="D27" i="22"/>
  <c r="E27" i="22" s="1"/>
  <c r="B27" i="22"/>
  <c r="I26" i="22"/>
  <c r="F26" i="22"/>
  <c r="G26" i="22" s="1"/>
  <c r="J26" i="22" s="1"/>
  <c r="E26" i="22"/>
  <c r="D26" i="22"/>
  <c r="B26" i="22"/>
  <c r="I25" i="22"/>
  <c r="F25" i="22"/>
  <c r="D25" i="22"/>
  <c r="E25" i="22" s="1"/>
  <c r="B25" i="22"/>
  <c r="I24" i="22"/>
  <c r="F24" i="22"/>
  <c r="G24" i="22" s="1"/>
  <c r="J24" i="22" s="1"/>
  <c r="E24" i="22"/>
  <c r="D24" i="22"/>
  <c r="B24" i="22"/>
  <c r="I23" i="22"/>
  <c r="F23" i="22"/>
  <c r="G23" i="22" s="1"/>
  <c r="J23" i="22" s="1"/>
  <c r="D23" i="22"/>
  <c r="E23" i="22" s="1"/>
  <c r="B23" i="22"/>
  <c r="I22" i="22"/>
  <c r="G22" i="22"/>
  <c r="J22" i="22" s="1"/>
  <c r="F22" i="22"/>
  <c r="E22" i="22"/>
  <c r="D22" i="22"/>
  <c r="B22" i="22"/>
  <c r="I21" i="22"/>
  <c r="F21" i="22"/>
  <c r="E21" i="22"/>
  <c r="D21" i="22"/>
  <c r="B21" i="22"/>
  <c r="I20" i="22"/>
  <c r="F20" i="22"/>
  <c r="E20" i="22"/>
  <c r="D20" i="22"/>
  <c r="B20" i="22"/>
  <c r="T19" i="22"/>
  <c r="I19" i="22"/>
  <c r="G19" i="22"/>
  <c r="J19" i="22" s="1"/>
  <c r="F19" i="22"/>
  <c r="E19" i="22"/>
  <c r="D19" i="22"/>
  <c r="B19" i="22"/>
  <c r="T18" i="22"/>
  <c r="I18" i="22"/>
  <c r="F18" i="22"/>
  <c r="E18" i="22"/>
  <c r="D18" i="22"/>
  <c r="B18" i="22"/>
  <c r="I17" i="22"/>
  <c r="F17" i="22"/>
  <c r="G17" i="22" s="1"/>
  <c r="J17" i="22" s="1"/>
  <c r="E17" i="22"/>
  <c r="D17" i="22"/>
  <c r="B17" i="22"/>
  <c r="I16" i="22"/>
  <c r="G16" i="22"/>
  <c r="J16" i="22" s="1"/>
  <c r="F16" i="22"/>
  <c r="D16" i="22"/>
  <c r="E16" i="22" s="1"/>
  <c r="B16" i="22"/>
  <c r="I15" i="22"/>
  <c r="F15" i="22"/>
  <c r="G15" i="22" s="1"/>
  <c r="J15" i="22" s="1"/>
  <c r="D15" i="22"/>
  <c r="E15" i="22" s="1"/>
  <c r="B15" i="22"/>
  <c r="I14" i="22"/>
  <c r="G14" i="22"/>
  <c r="F14" i="22"/>
  <c r="D14" i="22"/>
  <c r="E14" i="22" s="1"/>
  <c r="B14" i="22"/>
  <c r="I13" i="22"/>
  <c r="G13" i="22"/>
  <c r="J13" i="22" s="1"/>
  <c r="F13" i="22"/>
  <c r="E13" i="22"/>
  <c r="D13" i="22"/>
  <c r="B13" i="22"/>
  <c r="I12" i="22"/>
  <c r="G12" i="22"/>
  <c r="J12" i="22" s="1"/>
  <c r="F12" i="22"/>
  <c r="D12" i="22"/>
  <c r="E12" i="22" s="1"/>
  <c r="B12" i="22"/>
  <c r="I11" i="22"/>
  <c r="F11" i="22"/>
  <c r="E11" i="22"/>
  <c r="D11" i="22"/>
  <c r="B11" i="22"/>
  <c r="I10" i="22"/>
  <c r="F10" i="22"/>
  <c r="G10" i="22" s="1"/>
  <c r="J10" i="22" s="1"/>
  <c r="E10" i="22"/>
  <c r="D10" i="22"/>
  <c r="B10" i="22"/>
  <c r="T9" i="22"/>
  <c r="I9" i="22"/>
  <c r="G9" i="22"/>
  <c r="J9" i="22" s="1"/>
  <c r="F9" i="22"/>
  <c r="D9" i="22"/>
  <c r="E9" i="22" s="1"/>
  <c r="B9" i="22"/>
  <c r="T8" i="22"/>
  <c r="I8" i="22"/>
  <c r="F8" i="22"/>
  <c r="G8" i="22" s="1"/>
  <c r="J8" i="22" s="1"/>
  <c r="E8" i="22"/>
  <c r="D8" i="22"/>
  <c r="B8" i="22"/>
  <c r="I7" i="22"/>
  <c r="F7" i="22"/>
  <c r="G7" i="22" s="1"/>
  <c r="D7" i="22"/>
  <c r="E7" i="22" s="1"/>
  <c r="B7" i="22"/>
  <c r="I6" i="22"/>
  <c r="F6" i="22"/>
  <c r="E6" i="22"/>
  <c r="D6" i="22"/>
  <c r="B6" i="22"/>
  <c r="T5" i="22"/>
  <c r="G43" i="22" s="1"/>
  <c r="J43" i="22" s="1"/>
  <c r="I5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K66" i="21" s="1"/>
  <c r="B3" i="21"/>
  <c r="K2" i="21"/>
  <c r="B2" i="21"/>
  <c r="O70" i="20"/>
  <c r="N70" i="20"/>
  <c r="M70" i="20"/>
  <c r="L70" i="20"/>
  <c r="H70" i="20"/>
  <c r="F70" i="20"/>
  <c r="C70" i="20"/>
  <c r="K69" i="20"/>
  <c r="I69" i="20"/>
  <c r="F69" i="20"/>
  <c r="G69" i="20" s="1"/>
  <c r="J69" i="20" s="1"/>
  <c r="R69" i="20" s="1"/>
  <c r="E69" i="20"/>
  <c r="D69" i="20"/>
  <c r="B69" i="20"/>
  <c r="I68" i="20"/>
  <c r="G68" i="20"/>
  <c r="F68" i="20"/>
  <c r="D68" i="20"/>
  <c r="E68" i="20" s="1"/>
  <c r="B68" i="20"/>
  <c r="I67" i="20"/>
  <c r="F67" i="20"/>
  <c r="D67" i="20"/>
  <c r="E67" i="20" s="1"/>
  <c r="B67" i="20"/>
  <c r="K66" i="20"/>
  <c r="I66" i="20"/>
  <c r="F66" i="20"/>
  <c r="G66" i="20" s="1"/>
  <c r="D66" i="20"/>
  <c r="E66" i="20" s="1"/>
  <c r="B66" i="20"/>
  <c r="K65" i="20"/>
  <c r="I65" i="20"/>
  <c r="F65" i="20"/>
  <c r="G65" i="20" s="1"/>
  <c r="E65" i="20"/>
  <c r="D65" i="20"/>
  <c r="B65" i="20"/>
  <c r="I64" i="20"/>
  <c r="G64" i="20"/>
  <c r="F64" i="20"/>
  <c r="D64" i="20"/>
  <c r="E64" i="20" s="1"/>
  <c r="B64" i="20"/>
  <c r="I63" i="20"/>
  <c r="F63" i="20"/>
  <c r="D63" i="20"/>
  <c r="E63" i="20" s="1"/>
  <c r="B63" i="20"/>
  <c r="K62" i="20"/>
  <c r="I62" i="20"/>
  <c r="F62" i="20"/>
  <c r="G62" i="20" s="1"/>
  <c r="J62" i="20" s="1"/>
  <c r="R62" i="20" s="1"/>
  <c r="D62" i="20"/>
  <c r="E62" i="20" s="1"/>
  <c r="B62" i="20"/>
  <c r="K61" i="20"/>
  <c r="I61" i="20"/>
  <c r="G61" i="20"/>
  <c r="F61" i="20"/>
  <c r="E61" i="20"/>
  <c r="D61" i="20"/>
  <c r="B61" i="20"/>
  <c r="I60" i="20"/>
  <c r="G60" i="20"/>
  <c r="F60" i="20"/>
  <c r="D60" i="20"/>
  <c r="E60" i="20" s="1"/>
  <c r="B60" i="20"/>
  <c r="I59" i="20"/>
  <c r="F59" i="20"/>
  <c r="D59" i="20"/>
  <c r="E59" i="20" s="1"/>
  <c r="B59" i="20"/>
  <c r="K58" i="20"/>
  <c r="I58" i="20"/>
  <c r="F58" i="20"/>
  <c r="G58" i="20" s="1"/>
  <c r="D58" i="20"/>
  <c r="E58" i="20" s="1"/>
  <c r="B58" i="20"/>
  <c r="K57" i="20"/>
  <c r="I57" i="20"/>
  <c r="F57" i="20"/>
  <c r="G57" i="20" s="1"/>
  <c r="J57" i="20" s="1"/>
  <c r="R57" i="20" s="1"/>
  <c r="E57" i="20"/>
  <c r="D57" i="20"/>
  <c r="B57" i="20"/>
  <c r="I56" i="20"/>
  <c r="G56" i="20"/>
  <c r="F56" i="20"/>
  <c r="D56" i="20"/>
  <c r="E56" i="20" s="1"/>
  <c r="B56" i="20"/>
  <c r="I55" i="20"/>
  <c r="F55" i="20"/>
  <c r="D55" i="20"/>
  <c r="E55" i="20" s="1"/>
  <c r="B55" i="20"/>
  <c r="K54" i="20"/>
  <c r="I54" i="20"/>
  <c r="F54" i="20"/>
  <c r="G54" i="20" s="1"/>
  <c r="D54" i="20"/>
  <c r="E54" i="20" s="1"/>
  <c r="B54" i="20"/>
  <c r="K53" i="20"/>
  <c r="I53" i="20"/>
  <c r="F53" i="20"/>
  <c r="G53" i="20" s="1"/>
  <c r="J53" i="20" s="1"/>
  <c r="R53" i="20" s="1"/>
  <c r="E53" i="20"/>
  <c r="D53" i="20"/>
  <c r="B53" i="20"/>
  <c r="I52" i="20"/>
  <c r="G52" i="20"/>
  <c r="F52" i="20"/>
  <c r="D52" i="20"/>
  <c r="E52" i="20" s="1"/>
  <c r="B52" i="20"/>
  <c r="I51" i="20"/>
  <c r="F51" i="20"/>
  <c r="D51" i="20"/>
  <c r="E51" i="20" s="1"/>
  <c r="B51" i="20"/>
  <c r="K50" i="20"/>
  <c r="I50" i="20"/>
  <c r="F50" i="20"/>
  <c r="G50" i="20" s="1"/>
  <c r="D50" i="20"/>
  <c r="E50" i="20" s="1"/>
  <c r="B50" i="20"/>
  <c r="K49" i="20"/>
  <c r="I49" i="20"/>
  <c r="F49" i="20"/>
  <c r="G49" i="20" s="1"/>
  <c r="J49" i="20" s="1"/>
  <c r="R49" i="20" s="1"/>
  <c r="E49" i="20"/>
  <c r="D49" i="20"/>
  <c r="B49" i="20"/>
  <c r="I48" i="20"/>
  <c r="G48" i="20"/>
  <c r="F48" i="20"/>
  <c r="D48" i="20"/>
  <c r="E48" i="20" s="1"/>
  <c r="B48" i="20"/>
  <c r="I47" i="20"/>
  <c r="F47" i="20"/>
  <c r="D47" i="20"/>
  <c r="E47" i="20" s="1"/>
  <c r="B47" i="20"/>
  <c r="K46" i="20"/>
  <c r="I46" i="20"/>
  <c r="F46" i="20"/>
  <c r="G46" i="20" s="1"/>
  <c r="J46" i="20" s="1"/>
  <c r="R46" i="20" s="1"/>
  <c r="D46" i="20"/>
  <c r="E46" i="20" s="1"/>
  <c r="B46" i="20"/>
  <c r="K45" i="20"/>
  <c r="I45" i="20"/>
  <c r="F45" i="20"/>
  <c r="G45" i="20" s="1"/>
  <c r="E45" i="20"/>
  <c r="D45" i="20"/>
  <c r="B45" i="20"/>
  <c r="I44" i="20"/>
  <c r="G44" i="20"/>
  <c r="F44" i="20"/>
  <c r="D44" i="20"/>
  <c r="E44" i="20" s="1"/>
  <c r="B44" i="20"/>
  <c r="I43" i="20"/>
  <c r="F43" i="20"/>
  <c r="D43" i="20"/>
  <c r="E43" i="20" s="1"/>
  <c r="B43" i="20"/>
  <c r="K42" i="20"/>
  <c r="I42" i="20"/>
  <c r="F42" i="20"/>
  <c r="G42" i="20" s="1"/>
  <c r="D42" i="20"/>
  <c r="E42" i="20" s="1"/>
  <c r="B42" i="20"/>
  <c r="K41" i="20"/>
  <c r="I41" i="20"/>
  <c r="G41" i="20"/>
  <c r="F41" i="20"/>
  <c r="E41" i="20"/>
  <c r="D41" i="20"/>
  <c r="B41" i="20"/>
  <c r="I40" i="20"/>
  <c r="G40" i="20"/>
  <c r="F40" i="20"/>
  <c r="D40" i="20"/>
  <c r="E40" i="20" s="1"/>
  <c r="B40" i="20"/>
  <c r="I39" i="20"/>
  <c r="F39" i="20"/>
  <c r="D39" i="20"/>
  <c r="E39" i="20" s="1"/>
  <c r="B39" i="20"/>
  <c r="K38" i="20"/>
  <c r="I38" i="20"/>
  <c r="F38" i="20"/>
  <c r="G38" i="20" s="1"/>
  <c r="D38" i="20"/>
  <c r="E38" i="20" s="1"/>
  <c r="B38" i="20"/>
  <c r="K37" i="20"/>
  <c r="I37" i="20"/>
  <c r="G37" i="20"/>
  <c r="F37" i="20"/>
  <c r="E37" i="20"/>
  <c r="D37" i="20"/>
  <c r="B37" i="20"/>
  <c r="I36" i="20"/>
  <c r="G36" i="20"/>
  <c r="F36" i="20"/>
  <c r="D36" i="20"/>
  <c r="E36" i="20" s="1"/>
  <c r="B36" i="20"/>
  <c r="I35" i="20"/>
  <c r="G35" i="20"/>
  <c r="F35" i="20"/>
  <c r="D35" i="20"/>
  <c r="E35" i="20" s="1"/>
  <c r="B35" i="20"/>
  <c r="K34" i="20"/>
  <c r="I34" i="20"/>
  <c r="F34" i="20"/>
  <c r="G34" i="20" s="1"/>
  <c r="D34" i="20"/>
  <c r="E34" i="20" s="1"/>
  <c r="B34" i="20"/>
  <c r="K33" i="20"/>
  <c r="I33" i="20"/>
  <c r="G33" i="20"/>
  <c r="F33" i="20"/>
  <c r="E33" i="20"/>
  <c r="D33" i="20"/>
  <c r="B33" i="20"/>
  <c r="I32" i="20"/>
  <c r="G32" i="20"/>
  <c r="F32" i="20"/>
  <c r="D32" i="20"/>
  <c r="E32" i="20" s="1"/>
  <c r="B32" i="20"/>
  <c r="I31" i="20"/>
  <c r="F31" i="20"/>
  <c r="G31" i="20" s="1"/>
  <c r="D31" i="20"/>
  <c r="E31" i="20" s="1"/>
  <c r="B31" i="20"/>
  <c r="K30" i="20"/>
  <c r="I30" i="20"/>
  <c r="F30" i="20"/>
  <c r="G30" i="20" s="1"/>
  <c r="J30" i="20" s="1"/>
  <c r="R30" i="20" s="1"/>
  <c r="D30" i="20"/>
  <c r="E30" i="20" s="1"/>
  <c r="B30" i="20"/>
  <c r="K29" i="20"/>
  <c r="I29" i="20"/>
  <c r="G29" i="20"/>
  <c r="J29" i="20" s="1"/>
  <c r="R29" i="20" s="1"/>
  <c r="F29" i="20"/>
  <c r="E29" i="20"/>
  <c r="D29" i="20"/>
  <c r="B29" i="20"/>
  <c r="I28" i="20"/>
  <c r="G28" i="20"/>
  <c r="F28" i="20"/>
  <c r="D28" i="20"/>
  <c r="E28" i="20" s="1"/>
  <c r="B28" i="20"/>
  <c r="I27" i="20"/>
  <c r="F27" i="20"/>
  <c r="G27" i="20" s="1"/>
  <c r="D27" i="20"/>
  <c r="E27" i="20" s="1"/>
  <c r="B27" i="20"/>
  <c r="K26" i="20"/>
  <c r="I26" i="20"/>
  <c r="J26" i="20" s="1"/>
  <c r="R26" i="20" s="1"/>
  <c r="F26" i="20"/>
  <c r="G26" i="20" s="1"/>
  <c r="D26" i="20"/>
  <c r="E26" i="20" s="1"/>
  <c r="B26" i="20"/>
  <c r="K25" i="20"/>
  <c r="I25" i="20"/>
  <c r="G25" i="20"/>
  <c r="J25" i="20" s="1"/>
  <c r="R25" i="20" s="1"/>
  <c r="F25" i="20"/>
  <c r="E25" i="20"/>
  <c r="D25" i="20"/>
  <c r="B25" i="20"/>
  <c r="I24" i="20"/>
  <c r="G24" i="20"/>
  <c r="J24" i="20" s="1"/>
  <c r="F24" i="20"/>
  <c r="D24" i="20"/>
  <c r="E24" i="20" s="1"/>
  <c r="B24" i="20"/>
  <c r="I23" i="20"/>
  <c r="F23" i="20"/>
  <c r="G23" i="20" s="1"/>
  <c r="D23" i="20"/>
  <c r="E23" i="20" s="1"/>
  <c r="B23" i="20"/>
  <c r="K22" i="20"/>
  <c r="I22" i="20"/>
  <c r="F22" i="20"/>
  <c r="G22" i="20" s="1"/>
  <c r="J22" i="20" s="1"/>
  <c r="R22" i="20" s="1"/>
  <c r="D22" i="20"/>
  <c r="E22" i="20" s="1"/>
  <c r="B22" i="20"/>
  <c r="K21" i="20"/>
  <c r="I21" i="20"/>
  <c r="G21" i="20"/>
  <c r="F21" i="20"/>
  <c r="E21" i="20"/>
  <c r="D21" i="20"/>
  <c r="B21" i="20"/>
  <c r="K20" i="20"/>
  <c r="I20" i="20"/>
  <c r="G20" i="20"/>
  <c r="F20" i="20"/>
  <c r="D20" i="20"/>
  <c r="E20" i="20" s="1"/>
  <c r="B20" i="20"/>
  <c r="I19" i="20"/>
  <c r="F19" i="20"/>
  <c r="G19" i="20" s="1"/>
  <c r="E19" i="20"/>
  <c r="D19" i="20"/>
  <c r="B19" i="20"/>
  <c r="T18" i="20"/>
  <c r="T19" i="20" s="1"/>
  <c r="I18" i="20"/>
  <c r="F18" i="20"/>
  <c r="G18" i="20" s="1"/>
  <c r="D18" i="20"/>
  <c r="E18" i="20" s="1"/>
  <c r="B18" i="20"/>
  <c r="K17" i="20"/>
  <c r="I17" i="20"/>
  <c r="F17" i="20"/>
  <c r="G17" i="20" s="1"/>
  <c r="D17" i="20"/>
  <c r="E17" i="20" s="1"/>
  <c r="B17" i="20"/>
  <c r="K16" i="20"/>
  <c r="I16" i="20"/>
  <c r="F16" i="20"/>
  <c r="G16" i="20" s="1"/>
  <c r="J16" i="20" s="1"/>
  <c r="R16" i="20" s="1"/>
  <c r="E16" i="20"/>
  <c r="D16" i="20"/>
  <c r="B16" i="20"/>
  <c r="I15" i="20"/>
  <c r="F15" i="20"/>
  <c r="G15" i="20" s="1"/>
  <c r="D15" i="20"/>
  <c r="E15" i="20" s="1"/>
  <c r="B15" i="20"/>
  <c r="I14" i="20"/>
  <c r="F14" i="20"/>
  <c r="G14" i="20" s="1"/>
  <c r="J14" i="20" s="1"/>
  <c r="D14" i="20"/>
  <c r="E14" i="20" s="1"/>
  <c r="B14" i="20"/>
  <c r="K13" i="20"/>
  <c r="I13" i="20"/>
  <c r="G13" i="20"/>
  <c r="F13" i="20"/>
  <c r="D13" i="20"/>
  <c r="E13" i="20" s="1"/>
  <c r="B13" i="20"/>
  <c r="K12" i="20"/>
  <c r="I12" i="20"/>
  <c r="F12" i="20"/>
  <c r="G12" i="20" s="1"/>
  <c r="D12" i="20"/>
  <c r="E12" i="20" s="1"/>
  <c r="B12" i="20"/>
  <c r="T11" i="20"/>
  <c r="K67" i="20" s="1"/>
  <c r="I11" i="20"/>
  <c r="J11" i="20" s="1"/>
  <c r="F11" i="20"/>
  <c r="G11" i="20" s="1"/>
  <c r="D11" i="20"/>
  <c r="E11" i="20" s="1"/>
  <c r="B11" i="20"/>
  <c r="I10" i="20"/>
  <c r="F10" i="20"/>
  <c r="G10" i="20" s="1"/>
  <c r="E10" i="20"/>
  <c r="D10" i="20"/>
  <c r="B10" i="20"/>
  <c r="T9" i="20"/>
  <c r="J9" i="20"/>
  <c r="I9" i="20"/>
  <c r="F9" i="20"/>
  <c r="G9" i="20" s="1"/>
  <c r="D9" i="20"/>
  <c r="E9" i="20" s="1"/>
  <c r="B9" i="20"/>
  <c r="T8" i="20"/>
  <c r="K8" i="20"/>
  <c r="I8" i="20"/>
  <c r="G8" i="20"/>
  <c r="F8" i="20"/>
  <c r="D8" i="20"/>
  <c r="E8" i="20" s="1"/>
  <c r="B8" i="20"/>
  <c r="K7" i="20"/>
  <c r="I7" i="20"/>
  <c r="F7" i="20"/>
  <c r="G7" i="20" s="1"/>
  <c r="D7" i="20"/>
  <c r="E7" i="20" s="1"/>
  <c r="B7" i="20"/>
  <c r="K6" i="20"/>
  <c r="I6" i="20"/>
  <c r="G6" i="20"/>
  <c r="F6" i="20"/>
  <c r="D6" i="20"/>
  <c r="B6" i="20"/>
  <c r="T5" i="20"/>
  <c r="G67" i="20" s="1"/>
  <c r="I5" i="20"/>
  <c r="T4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F68" i="18" s="1"/>
  <c r="G68" i="18" s="1"/>
  <c r="I69" i="18"/>
  <c r="F69" i="18"/>
  <c r="D69" i="18"/>
  <c r="E69" i="18" s="1"/>
  <c r="B69" i="18"/>
  <c r="J68" i="18"/>
  <c r="I68" i="18"/>
  <c r="E68" i="18"/>
  <c r="D68" i="18"/>
  <c r="B68" i="18"/>
  <c r="I67" i="18"/>
  <c r="F67" i="18"/>
  <c r="G67" i="18" s="1"/>
  <c r="J67" i="18" s="1"/>
  <c r="D67" i="18"/>
  <c r="E67" i="18" s="1"/>
  <c r="B67" i="18"/>
  <c r="I66" i="18"/>
  <c r="E66" i="18"/>
  <c r="D66" i="18"/>
  <c r="B66" i="18"/>
  <c r="I65" i="18"/>
  <c r="E65" i="18"/>
  <c r="D65" i="18"/>
  <c r="B65" i="18"/>
  <c r="I64" i="18"/>
  <c r="F64" i="18"/>
  <c r="G64" i="18" s="1"/>
  <c r="E64" i="18"/>
  <c r="D64" i="18"/>
  <c r="B64" i="18"/>
  <c r="I63" i="18"/>
  <c r="F63" i="18"/>
  <c r="G63" i="18" s="1"/>
  <c r="D63" i="18"/>
  <c r="E63" i="18" s="1"/>
  <c r="B63" i="18"/>
  <c r="I62" i="18"/>
  <c r="E62" i="18"/>
  <c r="D62" i="18"/>
  <c r="B62" i="18"/>
  <c r="I61" i="18"/>
  <c r="F61" i="18"/>
  <c r="D61" i="18"/>
  <c r="E61" i="18" s="1"/>
  <c r="B61" i="18"/>
  <c r="I60" i="18"/>
  <c r="E60" i="18"/>
  <c r="D60" i="18"/>
  <c r="B60" i="18"/>
  <c r="I59" i="18"/>
  <c r="F59" i="18"/>
  <c r="G59" i="18" s="1"/>
  <c r="E59" i="18"/>
  <c r="D59" i="18"/>
  <c r="B59" i="18"/>
  <c r="I58" i="18"/>
  <c r="G58" i="18"/>
  <c r="F58" i="18"/>
  <c r="E58" i="18"/>
  <c r="D58" i="18"/>
  <c r="B58" i="18"/>
  <c r="I57" i="18"/>
  <c r="E57" i="18"/>
  <c r="D57" i="18"/>
  <c r="B57" i="18"/>
  <c r="I56" i="18"/>
  <c r="F56" i="18"/>
  <c r="G56" i="18" s="1"/>
  <c r="J56" i="18" s="1"/>
  <c r="E56" i="18"/>
  <c r="D56" i="18"/>
  <c r="B56" i="18"/>
  <c r="I55" i="18"/>
  <c r="F55" i="18"/>
  <c r="D55" i="18"/>
  <c r="E55" i="18" s="1"/>
  <c r="B55" i="18"/>
  <c r="I54" i="18"/>
  <c r="E54" i="18"/>
  <c r="D54" i="18"/>
  <c r="B54" i="18"/>
  <c r="I53" i="18"/>
  <c r="F53" i="18"/>
  <c r="G53" i="18" s="1"/>
  <c r="J53" i="18" s="1"/>
  <c r="E53" i="18"/>
  <c r="D53" i="18"/>
  <c r="B53" i="18"/>
  <c r="I52" i="18"/>
  <c r="G52" i="18"/>
  <c r="J52" i="18" s="1"/>
  <c r="F52" i="18"/>
  <c r="E52" i="18"/>
  <c r="D52" i="18"/>
  <c r="B52" i="18"/>
  <c r="I51" i="18"/>
  <c r="E51" i="18"/>
  <c r="D51" i="18"/>
  <c r="B51" i="18"/>
  <c r="I50" i="18"/>
  <c r="G50" i="18"/>
  <c r="J50" i="18" s="1"/>
  <c r="F50" i="18"/>
  <c r="E50" i="18"/>
  <c r="D50" i="18"/>
  <c r="B50" i="18"/>
  <c r="I49" i="18"/>
  <c r="F49" i="18"/>
  <c r="D49" i="18"/>
  <c r="E49" i="18" s="1"/>
  <c r="B49" i="18"/>
  <c r="I48" i="18"/>
  <c r="E48" i="18"/>
  <c r="D48" i="18"/>
  <c r="B48" i="18"/>
  <c r="I47" i="18"/>
  <c r="F47" i="18"/>
  <c r="G47" i="18" s="1"/>
  <c r="E47" i="18"/>
  <c r="D47" i="18"/>
  <c r="B47" i="18"/>
  <c r="I46" i="18"/>
  <c r="G46" i="18"/>
  <c r="J46" i="18" s="1"/>
  <c r="F46" i="18"/>
  <c r="E46" i="18"/>
  <c r="D46" i="18"/>
  <c r="B46" i="18"/>
  <c r="I45" i="18"/>
  <c r="F45" i="18"/>
  <c r="E45" i="18"/>
  <c r="D45" i="18"/>
  <c r="B45" i="18"/>
  <c r="I44" i="18"/>
  <c r="F44" i="18"/>
  <c r="G44" i="18" s="1"/>
  <c r="J44" i="18" s="1"/>
  <c r="E44" i="18"/>
  <c r="D44" i="18"/>
  <c r="B44" i="18"/>
  <c r="I43" i="18"/>
  <c r="F43" i="18"/>
  <c r="D43" i="18"/>
  <c r="E43" i="18" s="1"/>
  <c r="B43" i="18"/>
  <c r="I42" i="18"/>
  <c r="G42" i="18"/>
  <c r="F42" i="18"/>
  <c r="E42" i="18"/>
  <c r="D42" i="18"/>
  <c r="B42" i="18"/>
  <c r="I41" i="18"/>
  <c r="F41" i="18"/>
  <c r="G41" i="18" s="1"/>
  <c r="E41" i="18"/>
  <c r="D41" i="18"/>
  <c r="B41" i="18"/>
  <c r="I40" i="18"/>
  <c r="G40" i="18"/>
  <c r="J40" i="18" s="1"/>
  <c r="F40" i="18"/>
  <c r="E40" i="18"/>
  <c r="D40" i="18"/>
  <c r="B40" i="18"/>
  <c r="I39" i="18"/>
  <c r="F39" i="18"/>
  <c r="E39" i="18"/>
  <c r="D39" i="18"/>
  <c r="B39" i="18"/>
  <c r="I38" i="18"/>
  <c r="F38" i="18"/>
  <c r="G38" i="18" s="1"/>
  <c r="J38" i="18" s="1"/>
  <c r="E38" i="18"/>
  <c r="D38" i="18"/>
  <c r="B38" i="18"/>
  <c r="I37" i="18"/>
  <c r="F37" i="18"/>
  <c r="D37" i="18"/>
  <c r="E37" i="18" s="1"/>
  <c r="B37" i="18"/>
  <c r="I36" i="18"/>
  <c r="G36" i="18"/>
  <c r="F36" i="18"/>
  <c r="E36" i="18"/>
  <c r="D36" i="18"/>
  <c r="B36" i="18"/>
  <c r="I35" i="18"/>
  <c r="F35" i="18"/>
  <c r="G35" i="18" s="1"/>
  <c r="E35" i="18"/>
  <c r="D35" i="18"/>
  <c r="B35" i="18"/>
  <c r="I34" i="18"/>
  <c r="G34" i="18"/>
  <c r="J34" i="18" s="1"/>
  <c r="F34" i="18"/>
  <c r="E34" i="18"/>
  <c r="D34" i="18"/>
  <c r="B34" i="18"/>
  <c r="I33" i="18"/>
  <c r="F33" i="18"/>
  <c r="E33" i="18"/>
  <c r="D33" i="18"/>
  <c r="B33" i="18"/>
  <c r="I32" i="18"/>
  <c r="F32" i="18"/>
  <c r="G32" i="18" s="1"/>
  <c r="J32" i="18" s="1"/>
  <c r="E32" i="18"/>
  <c r="D32" i="18"/>
  <c r="B32" i="18"/>
  <c r="I31" i="18"/>
  <c r="F31" i="18"/>
  <c r="D31" i="18"/>
  <c r="E31" i="18" s="1"/>
  <c r="B31" i="18"/>
  <c r="I30" i="18"/>
  <c r="G30" i="18"/>
  <c r="F30" i="18"/>
  <c r="E30" i="18"/>
  <c r="D30" i="18"/>
  <c r="B30" i="18"/>
  <c r="I29" i="18"/>
  <c r="F29" i="18"/>
  <c r="G29" i="18" s="1"/>
  <c r="E29" i="18"/>
  <c r="D29" i="18"/>
  <c r="B29" i="18"/>
  <c r="I28" i="18"/>
  <c r="F28" i="18"/>
  <c r="E28" i="18"/>
  <c r="D28" i="18"/>
  <c r="B28" i="18"/>
  <c r="I27" i="18"/>
  <c r="E27" i="18"/>
  <c r="D27" i="18"/>
  <c r="B27" i="18"/>
  <c r="I26" i="18"/>
  <c r="E26" i="18"/>
  <c r="D26" i="18"/>
  <c r="B26" i="18"/>
  <c r="I25" i="18"/>
  <c r="F25" i="18"/>
  <c r="D25" i="18"/>
  <c r="E25" i="18" s="1"/>
  <c r="B25" i="18"/>
  <c r="I24" i="18"/>
  <c r="F24" i="18"/>
  <c r="G24" i="18" s="1"/>
  <c r="E24" i="18"/>
  <c r="D24" i="18"/>
  <c r="B24" i="18"/>
  <c r="J23" i="18"/>
  <c r="I23" i="18"/>
  <c r="G23" i="18"/>
  <c r="F23" i="18"/>
  <c r="E23" i="18"/>
  <c r="D23" i="18"/>
  <c r="B23" i="18"/>
  <c r="I22" i="18"/>
  <c r="F22" i="18"/>
  <c r="G22" i="18" s="1"/>
  <c r="J22" i="18" s="1"/>
  <c r="E22" i="18"/>
  <c r="D22" i="18"/>
  <c r="B22" i="18"/>
  <c r="I21" i="18"/>
  <c r="F21" i="18"/>
  <c r="D21" i="18"/>
  <c r="E21" i="18" s="1"/>
  <c r="B21" i="18"/>
  <c r="T20" i="18"/>
  <c r="I20" i="18"/>
  <c r="D20" i="18"/>
  <c r="E20" i="18" s="1"/>
  <c r="B20" i="18"/>
  <c r="J19" i="18"/>
  <c r="I19" i="18"/>
  <c r="F19" i="18"/>
  <c r="G19" i="18" s="1"/>
  <c r="D19" i="18"/>
  <c r="E19" i="18" s="1"/>
  <c r="B19" i="18"/>
  <c r="T18" i="18"/>
  <c r="T19" i="18" s="1"/>
  <c r="I18" i="18"/>
  <c r="F18" i="18"/>
  <c r="G18" i="18" s="1"/>
  <c r="J18" i="18" s="1"/>
  <c r="D18" i="18"/>
  <c r="E18" i="18" s="1"/>
  <c r="B18" i="18"/>
  <c r="I17" i="18"/>
  <c r="F17" i="18"/>
  <c r="G17" i="18" s="1"/>
  <c r="J17" i="18" s="1"/>
  <c r="E17" i="18"/>
  <c r="D17" i="18"/>
  <c r="B17" i="18"/>
  <c r="I16" i="18"/>
  <c r="F16" i="18"/>
  <c r="G16" i="18" s="1"/>
  <c r="J16" i="18" s="1"/>
  <c r="E16" i="18"/>
  <c r="D16" i="18"/>
  <c r="B16" i="18"/>
  <c r="J15" i="18"/>
  <c r="I15" i="18"/>
  <c r="G15" i="18"/>
  <c r="F15" i="18"/>
  <c r="E15" i="18"/>
  <c r="D15" i="18"/>
  <c r="B15" i="18"/>
  <c r="I14" i="18"/>
  <c r="G14" i="18"/>
  <c r="J14" i="18" s="1"/>
  <c r="F14" i="18"/>
  <c r="D14" i="18"/>
  <c r="E14" i="18" s="1"/>
  <c r="B14" i="18"/>
  <c r="I13" i="18"/>
  <c r="F13" i="18"/>
  <c r="G13" i="18" s="1"/>
  <c r="J13" i="18" s="1"/>
  <c r="D13" i="18"/>
  <c r="E13" i="18" s="1"/>
  <c r="B13" i="18"/>
  <c r="I12" i="18"/>
  <c r="G12" i="18"/>
  <c r="F12" i="18"/>
  <c r="D12" i="18"/>
  <c r="E12" i="18" s="1"/>
  <c r="B12" i="18"/>
  <c r="I11" i="18"/>
  <c r="E11" i="18"/>
  <c r="D11" i="18"/>
  <c r="B11" i="18"/>
  <c r="I10" i="18"/>
  <c r="F10" i="18"/>
  <c r="G10" i="18" s="1"/>
  <c r="J10" i="18" s="1"/>
  <c r="D10" i="18"/>
  <c r="E10" i="18" s="1"/>
  <c r="B10" i="18"/>
  <c r="T9" i="18"/>
  <c r="J58" i="18" s="1"/>
  <c r="I9" i="18"/>
  <c r="G9" i="18"/>
  <c r="J9" i="18" s="1"/>
  <c r="F9" i="18"/>
  <c r="D9" i="18"/>
  <c r="E9" i="18" s="1"/>
  <c r="B9" i="18"/>
  <c r="T8" i="18"/>
  <c r="I8" i="18"/>
  <c r="F8" i="18"/>
  <c r="G8" i="18" s="1"/>
  <c r="J8" i="18" s="1"/>
  <c r="D8" i="18"/>
  <c r="E8" i="18" s="1"/>
  <c r="B8" i="18"/>
  <c r="I7" i="18"/>
  <c r="G7" i="18"/>
  <c r="J7" i="18" s="1"/>
  <c r="F7" i="18"/>
  <c r="D7" i="18"/>
  <c r="E7" i="18" s="1"/>
  <c r="B7" i="18"/>
  <c r="I6" i="18"/>
  <c r="F6" i="18"/>
  <c r="G6" i="18" s="1"/>
  <c r="J6" i="18" s="1"/>
  <c r="D6" i="18"/>
  <c r="B6" i="18"/>
  <c r="T5" i="18"/>
  <c r="G28" i="18" s="1"/>
  <c r="J28" i="18" s="1"/>
  <c r="I5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I69" i="16"/>
  <c r="E69" i="16"/>
  <c r="D69" i="16"/>
  <c r="B69" i="16"/>
  <c r="I68" i="16"/>
  <c r="D68" i="16"/>
  <c r="E68" i="16" s="1"/>
  <c r="B68" i="16"/>
  <c r="I67" i="16"/>
  <c r="G67" i="16"/>
  <c r="F67" i="16"/>
  <c r="E67" i="16"/>
  <c r="D67" i="16"/>
  <c r="B67" i="16"/>
  <c r="I66" i="16"/>
  <c r="D66" i="16"/>
  <c r="E66" i="16" s="1"/>
  <c r="B66" i="16"/>
  <c r="I65" i="16"/>
  <c r="E65" i="16"/>
  <c r="D65" i="16"/>
  <c r="B65" i="16"/>
  <c r="I64" i="16"/>
  <c r="D64" i="16"/>
  <c r="E64" i="16" s="1"/>
  <c r="B64" i="16"/>
  <c r="I63" i="16"/>
  <c r="F63" i="16"/>
  <c r="G63" i="16" s="1"/>
  <c r="J63" i="16" s="1"/>
  <c r="E63" i="16"/>
  <c r="D63" i="16"/>
  <c r="B63" i="16"/>
  <c r="I62" i="16"/>
  <c r="D62" i="16"/>
  <c r="E62" i="16" s="1"/>
  <c r="B62" i="16"/>
  <c r="I61" i="16"/>
  <c r="E61" i="16"/>
  <c r="D61" i="16"/>
  <c r="B61" i="16"/>
  <c r="I60" i="16"/>
  <c r="D60" i="16"/>
  <c r="E60" i="16" s="1"/>
  <c r="B60" i="16"/>
  <c r="I59" i="16"/>
  <c r="G59" i="16"/>
  <c r="J59" i="16" s="1"/>
  <c r="F59" i="16"/>
  <c r="E59" i="16"/>
  <c r="D59" i="16"/>
  <c r="B59" i="16"/>
  <c r="I58" i="16"/>
  <c r="D58" i="16"/>
  <c r="E58" i="16" s="1"/>
  <c r="B58" i="16"/>
  <c r="I57" i="16"/>
  <c r="E57" i="16"/>
  <c r="D57" i="16"/>
  <c r="B57" i="16"/>
  <c r="I56" i="16"/>
  <c r="D56" i="16"/>
  <c r="E56" i="16" s="1"/>
  <c r="B56" i="16"/>
  <c r="I55" i="16"/>
  <c r="G55" i="16"/>
  <c r="F55" i="16"/>
  <c r="E55" i="16"/>
  <c r="D55" i="16"/>
  <c r="B55" i="16"/>
  <c r="I54" i="16"/>
  <c r="D54" i="16"/>
  <c r="E54" i="16" s="1"/>
  <c r="B54" i="16"/>
  <c r="I53" i="16"/>
  <c r="E53" i="16"/>
  <c r="D53" i="16"/>
  <c r="B53" i="16"/>
  <c r="I52" i="16"/>
  <c r="D52" i="16"/>
  <c r="E52" i="16" s="1"/>
  <c r="B52" i="16"/>
  <c r="I51" i="16"/>
  <c r="G51" i="16"/>
  <c r="F51" i="16"/>
  <c r="E51" i="16"/>
  <c r="D51" i="16"/>
  <c r="B51" i="16"/>
  <c r="I50" i="16"/>
  <c r="D50" i="16"/>
  <c r="E50" i="16" s="1"/>
  <c r="B50" i="16"/>
  <c r="I49" i="16"/>
  <c r="E49" i="16"/>
  <c r="D49" i="16"/>
  <c r="B49" i="16"/>
  <c r="I48" i="16"/>
  <c r="D48" i="16"/>
  <c r="E48" i="16" s="1"/>
  <c r="B48" i="16"/>
  <c r="I47" i="16"/>
  <c r="G47" i="16"/>
  <c r="F47" i="16"/>
  <c r="E47" i="16"/>
  <c r="D47" i="16"/>
  <c r="B47" i="16"/>
  <c r="I46" i="16"/>
  <c r="D46" i="16"/>
  <c r="E46" i="16" s="1"/>
  <c r="B46" i="16"/>
  <c r="I45" i="16"/>
  <c r="E45" i="16"/>
  <c r="D45" i="16"/>
  <c r="B45" i="16"/>
  <c r="I44" i="16"/>
  <c r="D44" i="16"/>
  <c r="E44" i="16" s="1"/>
  <c r="B44" i="16"/>
  <c r="I43" i="16"/>
  <c r="F43" i="16"/>
  <c r="G43" i="16" s="1"/>
  <c r="J43" i="16" s="1"/>
  <c r="E43" i="16"/>
  <c r="D43" i="16"/>
  <c r="B43" i="16"/>
  <c r="I42" i="16"/>
  <c r="D42" i="16"/>
  <c r="E42" i="16" s="1"/>
  <c r="B42" i="16"/>
  <c r="I41" i="16"/>
  <c r="E41" i="16"/>
  <c r="D41" i="16"/>
  <c r="B41" i="16"/>
  <c r="I40" i="16"/>
  <c r="F40" i="16"/>
  <c r="G40" i="16" s="1"/>
  <c r="J40" i="16" s="1"/>
  <c r="D40" i="16"/>
  <c r="E40" i="16" s="1"/>
  <c r="B40" i="16"/>
  <c r="I39" i="16"/>
  <c r="F39" i="16"/>
  <c r="G39" i="16" s="1"/>
  <c r="E39" i="16"/>
  <c r="D39" i="16"/>
  <c r="B39" i="16"/>
  <c r="I38" i="16"/>
  <c r="D38" i="16"/>
  <c r="E38" i="16" s="1"/>
  <c r="B38" i="16"/>
  <c r="I37" i="16"/>
  <c r="E37" i="16"/>
  <c r="D37" i="16"/>
  <c r="B37" i="16"/>
  <c r="I36" i="16"/>
  <c r="F36" i="16"/>
  <c r="G36" i="16" s="1"/>
  <c r="J36" i="16" s="1"/>
  <c r="D36" i="16"/>
  <c r="E36" i="16" s="1"/>
  <c r="B36" i="16"/>
  <c r="I35" i="16"/>
  <c r="F35" i="16"/>
  <c r="G35" i="16" s="1"/>
  <c r="J35" i="16" s="1"/>
  <c r="E35" i="16"/>
  <c r="D35" i="16"/>
  <c r="B35" i="16"/>
  <c r="I34" i="16"/>
  <c r="D34" i="16"/>
  <c r="E34" i="16" s="1"/>
  <c r="B34" i="16"/>
  <c r="I33" i="16"/>
  <c r="E33" i="16"/>
  <c r="D33" i="16"/>
  <c r="B33" i="16"/>
  <c r="I32" i="16"/>
  <c r="F32" i="16"/>
  <c r="G32" i="16" s="1"/>
  <c r="D32" i="16"/>
  <c r="E32" i="16" s="1"/>
  <c r="B32" i="16"/>
  <c r="I31" i="16"/>
  <c r="F31" i="16"/>
  <c r="G31" i="16" s="1"/>
  <c r="J31" i="16" s="1"/>
  <c r="E31" i="16"/>
  <c r="D31" i="16"/>
  <c r="B31" i="16"/>
  <c r="I30" i="16"/>
  <c r="D30" i="16"/>
  <c r="E30" i="16" s="1"/>
  <c r="B30" i="16"/>
  <c r="I29" i="16"/>
  <c r="E29" i="16"/>
  <c r="D29" i="16"/>
  <c r="B29" i="16"/>
  <c r="I28" i="16"/>
  <c r="F28" i="16"/>
  <c r="G28" i="16" s="1"/>
  <c r="J28" i="16" s="1"/>
  <c r="D28" i="16"/>
  <c r="E28" i="16" s="1"/>
  <c r="B28" i="16"/>
  <c r="I27" i="16"/>
  <c r="F27" i="16"/>
  <c r="G27" i="16" s="1"/>
  <c r="E27" i="16"/>
  <c r="D27" i="16"/>
  <c r="B27" i="16"/>
  <c r="I26" i="16"/>
  <c r="D26" i="16"/>
  <c r="E26" i="16" s="1"/>
  <c r="B26" i="16"/>
  <c r="I25" i="16"/>
  <c r="E25" i="16"/>
  <c r="D25" i="16"/>
  <c r="B25" i="16"/>
  <c r="I24" i="16"/>
  <c r="F24" i="16"/>
  <c r="G24" i="16" s="1"/>
  <c r="J24" i="16" s="1"/>
  <c r="D24" i="16"/>
  <c r="E24" i="16" s="1"/>
  <c r="B24" i="16"/>
  <c r="I23" i="16"/>
  <c r="F23" i="16"/>
  <c r="G23" i="16" s="1"/>
  <c r="J23" i="16" s="1"/>
  <c r="E23" i="16"/>
  <c r="D23" i="16"/>
  <c r="B23" i="16"/>
  <c r="I22" i="16"/>
  <c r="D22" i="16"/>
  <c r="E22" i="16" s="1"/>
  <c r="B22" i="16"/>
  <c r="I21" i="16"/>
  <c r="F21" i="16"/>
  <c r="G21" i="16" s="1"/>
  <c r="D21" i="16"/>
  <c r="E21" i="16" s="1"/>
  <c r="B21" i="16"/>
  <c r="T20" i="16"/>
  <c r="I20" i="16"/>
  <c r="F20" i="16"/>
  <c r="G20" i="16" s="1"/>
  <c r="D20" i="16"/>
  <c r="E20" i="16" s="1"/>
  <c r="B20" i="16"/>
  <c r="T19" i="16"/>
  <c r="I19" i="16"/>
  <c r="F19" i="16"/>
  <c r="G19" i="16" s="1"/>
  <c r="D19" i="16"/>
  <c r="E19" i="16" s="1"/>
  <c r="B19" i="16"/>
  <c r="I18" i="16"/>
  <c r="F18" i="16"/>
  <c r="G18" i="16" s="1"/>
  <c r="J18" i="16" s="1"/>
  <c r="E18" i="16"/>
  <c r="D18" i="16"/>
  <c r="B18" i="16"/>
  <c r="I17" i="16"/>
  <c r="D17" i="16"/>
  <c r="E17" i="16" s="1"/>
  <c r="B17" i="16"/>
  <c r="I16" i="16"/>
  <c r="E16" i="16"/>
  <c r="D16" i="16"/>
  <c r="B16" i="16"/>
  <c r="I15" i="16"/>
  <c r="F15" i="16"/>
  <c r="G15" i="16" s="1"/>
  <c r="J15" i="16" s="1"/>
  <c r="D15" i="16"/>
  <c r="E15" i="16" s="1"/>
  <c r="B15" i="16"/>
  <c r="I14" i="16"/>
  <c r="F14" i="16"/>
  <c r="G14" i="16" s="1"/>
  <c r="J14" i="16" s="1"/>
  <c r="D14" i="16"/>
  <c r="E14" i="16" s="1"/>
  <c r="B14" i="16"/>
  <c r="I13" i="16"/>
  <c r="E13" i="16"/>
  <c r="D13" i="16"/>
  <c r="B13" i="16"/>
  <c r="I12" i="16"/>
  <c r="F12" i="16"/>
  <c r="G12" i="16" s="1"/>
  <c r="D12" i="16"/>
  <c r="E12" i="16" s="1"/>
  <c r="B12" i="16"/>
  <c r="I11" i="16"/>
  <c r="F11" i="16"/>
  <c r="G11" i="16" s="1"/>
  <c r="D11" i="16"/>
  <c r="E11" i="16" s="1"/>
  <c r="B11" i="16"/>
  <c r="I10" i="16"/>
  <c r="E10" i="16"/>
  <c r="D10" i="16"/>
  <c r="B10" i="16"/>
  <c r="I9" i="16"/>
  <c r="F9" i="16"/>
  <c r="G9" i="16" s="1"/>
  <c r="J9" i="16" s="1"/>
  <c r="E9" i="16"/>
  <c r="D9" i="16"/>
  <c r="B9" i="16"/>
  <c r="T8" i="16"/>
  <c r="T9" i="16" s="1"/>
  <c r="I8" i="16"/>
  <c r="D8" i="16"/>
  <c r="E8" i="16" s="1"/>
  <c r="B8" i="16"/>
  <c r="I7" i="16"/>
  <c r="F7" i="16"/>
  <c r="G7" i="16" s="1"/>
  <c r="D7" i="16"/>
  <c r="E7" i="16" s="1"/>
  <c r="B7" i="16"/>
  <c r="I6" i="16"/>
  <c r="E6" i="16"/>
  <c r="D6" i="16"/>
  <c r="B6" i="16"/>
  <c r="T5" i="16"/>
  <c r="I5" i="16"/>
  <c r="I4" i="16"/>
  <c r="I3" i="16"/>
  <c r="I70" i="16" s="1"/>
  <c r="T14" i="16" s="1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F70" i="14"/>
  <c r="C70" i="14"/>
  <c r="I69" i="14"/>
  <c r="D69" i="14"/>
  <c r="E69" i="14" s="1"/>
  <c r="B69" i="14"/>
  <c r="I68" i="14"/>
  <c r="E68" i="14"/>
  <c r="D68" i="14"/>
  <c r="B68" i="14"/>
  <c r="I67" i="14"/>
  <c r="F67" i="14"/>
  <c r="G67" i="14" s="1"/>
  <c r="D67" i="14"/>
  <c r="E67" i="14" s="1"/>
  <c r="B67" i="14"/>
  <c r="I66" i="14"/>
  <c r="G66" i="14"/>
  <c r="J66" i="14" s="1"/>
  <c r="F66" i="14"/>
  <c r="D66" i="14"/>
  <c r="E66" i="14" s="1"/>
  <c r="B66" i="14"/>
  <c r="I65" i="14"/>
  <c r="F65" i="14"/>
  <c r="G65" i="14" s="1"/>
  <c r="J65" i="14" s="1"/>
  <c r="D65" i="14"/>
  <c r="E65" i="14" s="1"/>
  <c r="B65" i="14"/>
  <c r="I64" i="14"/>
  <c r="E64" i="14"/>
  <c r="D64" i="14"/>
  <c r="B64" i="14"/>
  <c r="I63" i="14"/>
  <c r="F63" i="14"/>
  <c r="G63" i="14" s="1"/>
  <c r="J63" i="14" s="1"/>
  <c r="E63" i="14"/>
  <c r="D63" i="14"/>
  <c r="B63" i="14"/>
  <c r="I62" i="14"/>
  <c r="F62" i="14"/>
  <c r="G62" i="14" s="1"/>
  <c r="D62" i="14"/>
  <c r="E62" i="14" s="1"/>
  <c r="B62" i="14"/>
  <c r="I61" i="14"/>
  <c r="F61" i="14"/>
  <c r="G61" i="14" s="1"/>
  <c r="D61" i="14"/>
  <c r="E61" i="14" s="1"/>
  <c r="B61" i="14"/>
  <c r="I60" i="14"/>
  <c r="E60" i="14"/>
  <c r="D60" i="14"/>
  <c r="B60" i="14"/>
  <c r="I59" i="14"/>
  <c r="E59" i="14"/>
  <c r="D59" i="14"/>
  <c r="B59" i="14"/>
  <c r="I58" i="14"/>
  <c r="F58" i="14"/>
  <c r="G58" i="14" s="1"/>
  <c r="J58" i="14" s="1"/>
  <c r="D58" i="14"/>
  <c r="E58" i="14" s="1"/>
  <c r="B58" i="14"/>
  <c r="I57" i="14"/>
  <c r="G57" i="14"/>
  <c r="J57" i="14" s="1"/>
  <c r="F57" i="14"/>
  <c r="D57" i="14"/>
  <c r="E57" i="14" s="1"/>
  <c r="B57" i="14"/>
  <c r="I56" i="14"/>
  <c r="E56" i="14"/>
  <c r="D56" i="14"/>
  <c r="B56" i="14"/>
  <c r="I55" i="14"/>
  <c r="E55" i="14"/>
  <c r="D55" i="14"/>
  <c r="B55" i="14"/>
  <c r="I54" i="14"/>
  <c r="G54" i="14"/>
  <c r="F54" i="14"/>
  <c r="D54" i="14"/>
  <c r="E54" i="14" s="1"/>
  <c r="B54" i="14"/>
  <c r="I53" i="14"/>
  <c r="F53" i="14"/>
  <c r="G53" i="14" s="1"/>
  <c r="J53" i="14" s="1"/>
  <c r="D53" i="14"/>
  <c r="E53" i="14" s="1"/>
  <c r="B53" i="14"/>
  <c r="I52" i="14"/>
  <c r="E52" i="14"/>
  <c r="D52" i="14"/>
  <c r="B52" i="14"/>
  <c r="I51" i="14"/>
  <c r="G51" i="14"/>
  <c r="J51" i="14" s="1"/>
  <c r="F51" i="14"/>
  <c r="E51" i="14"/>
  <c r="D51" i="14"/>
  <c r="B51" i="14"/>
  <c r="I50" i="14"/>
  <c r="F50" i="14"/>
  <c r="G50" i="14" s="1"/>
  <c r="J50" i="14" s="1"/>
  <c r="D50" i="14"/>
  <c r="E50" i="14" s="1"/>
  <c r="B50" i="14"/>
  <c r="I49" i="14"/>
  <c r="F49" i="14"/>
  <c r="G49" i="14" s="1"/>
  <c r="J49" i="14" s="1"/>
  <c r="D49" i="14"/>
  <c r="E49" i="14" s="1"/>
  <c r="B49" i="14"/>
  <c r="I48" i="14"/>
  <c r="E48" i="14"/>
  <c r="D48" i="14"/>
  <c r="B48" i="14"/>
  <c r="I47" i="14"/>
  <c r="E47" i="14"/>
  <c r="D47" i="14"/>
  <c r="B47" i="14"/>
  <c r="I46" i="14"/>
  <c r="F46" i="14"/>
  <c r="G46" i="14" s="1"/>
  <c r="J46" i="14" s="1"/>
  <c r="D46" i="14"/>
  <c r="E46" i="14" s="1"/>
  <c r="B46" i="14"/>
  <c r="I45" i="14"/>
  <c r="F45" i="14"/>
  <c r="G45" i="14" s="1"/>
  <c r="J45" i="14" s="1"/>
  <c r="D45" i="14"/>
  <c r="E45" i="14" s="1"/>
  <c r="B45" i="14"/>
  <c r="I44" i="14"/>
  <c r="E44" i="14"/>
  <c r="D44" i="14"/>
  <c r="B44" i="14"/>
  <c r="I43" i="14"/>
  <c r="E43" i="14"/>
  <c r="D43" i="14"/>
  <c r="B43" i="14"/>
  <c r="I42" i="14"/>
  <c r="F42" i="14"/>
  <c r="G42" i="14" s="1"/>
  <c r="J42" i="14" s="1"/>
  <c r="D42" i="14"/>
  <c r="E42" i="14" s="1"/>
  <c r="B42" i="14"/>
  <c r="I41" i="14"/>
  <c r="F41" i="14"/>
  <c r="G41" i="14" s="1"/>
  <c r="D41" i="14"/>
  <c r="E41" i="14" s="1"/>
  <c r="B41" i="14"/>
  <c r="I40" i="14"/>
  <c r="E40" i="14"/>
  <c r="D40" i="14"/>
  <c r="B40" i="14"/>
  <c r="I39" i="14"/>
  <c r="F39" i="14"/>
  <c r="G39" i="14" s="1"/>
  <c r="J39" i="14" s="1"/>
  <c r="D39" i="14"/>
  <c r="E39" i="14" s="1"/>
  <c r="B39" i="14"/>
  <c r="I38" i="14"/>
  <c r="G38" i="14"/>
  <c r="F38" i="14"/>
  <c r="D38" i="14"/>
  <c r="E38" i="14" s="1"/>
  <c r="B38" i="14"/>
  <c r="I37" i="14"/>
  <c r="F37" i="14"/>
  <c r="G37" i="14" s="1"/>
  <c r="J37" i="14" s="1"/>
  <c r="D37" i="14"/>
  <c r="E37" i="14" s="1"/>
  <c r="B37" i="14"/>
  <c r="I36" i="14"/>
  <c r="E36" i="14"/>
  <c r="D36" i="14"/>
  <c r="B36" i="14"/>
  <c r="I35" i="14"/>
  <c r="F35" i="14"/>
  <c r="G35" i="14" s="1"/>
  <c r="J35" i="14" s="1"/>
  <c r="D35" i="14"/>
  <c r="E35" i="14" s="1"/>
  <c r="B35" i="14"/>
  <c r="I34" i="14"/>
  <c r="G34" i="14"/>
  <c r="F34" i="14"/>
  <c r="E34" i="14"/>
  <c r="D34" i="14"/>
  <c r="B34" i="14"/>
  <c r="I33" i="14"/>
  <c r="F33" i="14"/>
  <c r="G33" i="14" s="1"/>
  <c r="J33" i="14" s="1"/>
  <c r="D33" i="14"/>
  <c r="E33" i="14" s="1"/>
  <c r="B33" i="14"/>
  <c r="I32" i="14"/>
  <c r="G32" i="14"/>
  <c r="F32" i="14"/>
  <c r="E32" i="14"/>
  <c r="D32" i="14"/>
  <c r="B32" i="14"/>
  <c r="I31" i="14"/>
  <c r="F31" i="14"/>
  <c r="G31" i="14" s="1"/>
  <c r="J31" i="14" s="1"/>
  <c r="D31" i="14"/>
  <c r="E31" i="14" s="1"/>
  <c r="B31" i="14"/>
  <c r="I30" i="14"/>
  <c r="G30" i="14"/>
  <c r="F30" i="14"/>
  <c r="D30" i="14"/>
  <c r="E30" i="14" s="1"/>
  <c r="B30" i="14"/>
  <c r="I29" i="14"/>
  <c r="F29" i="14"/>
  <c r="G29" i="14" s="1"/>
  <c r="J29" i="14" s="1"/>
  <c r="D29" i="14"/>
  <c r="E29" i="14" s="1"/>
  <c r="B29" i="14"/>
  <c r="J28" i="14"/>
  <c r="I28" i="14"/>
  <c r="G28" i="14"/>
  <c r="F28" i="14"/>
  <c r="E28" i="14"/>
  <c r="D28" i="14"/>
  <c r="B28" i="14"/>
  <c r="I27" i="14"/>
  <c r="G27" i="14"/>
  <c r="J27" i="14" s="1"/>
  <c r="F27" i="14"/>
  <c r="D27" i="14"/>
  <c r="E27" i="14" s="1"/>
  <c r="B27" i="14"/>
  <c r="J26" i="14"/>
  <c r="I26" i="14"/>
  <c r="G26" i="14"/>
  <c r="F26" i="14"/>
  <c r="D26" i="14"/>
  <c r="E26" i="14" s="1"/>
  <c r="B26" i="14"/>
  <c r="I25" i="14"/>
  <c r="F25" i="14"/>
  <c r="G25" i="14" s="1"/>
  <c r="J25" i="14" s="1"/>
  <c r="D25" i="14"/>
  <c r="E25" i="14" s="1"/>
  <c r="B25" i="14"/>
  <c r="I24" i="14"/>
  <c r="G24" i="14"/>
  <c r="F24" i="14"/>
  <c r="E24" i="14"/>
  <c r="D24" i="14"/>
  <c r="B24" i="14"/>
  <c r="I23" i="14"/>
  <c r="G23" i="14"/>
  <c r="F23" i="14"/>
  <c r="D23" i="14"/>
  <c r="E23" i="14" s="1"/>
  <c r="B23" i="14"/>
  <c r="I22" i="14"/>
  <c r="G22" i="14"/>
  <c r="F22" i="14"/>
  <c r="D22" i="14"/>
  <c r="E22" i="14" s="1"/>
  <c r="B22" i="14"/>
  <c r="I21" i="14"/>
  <c r="F21" i="14"/>
  <c r="G21" i="14" s="1"/>
  <c r="J21" i="14" s="1"/>
  <c r="D21" i="14"/>
  <c r="E21" i="14" s="1"/>
  <c r="B21" i="14"/>
  <c r="J20" i="14"/>
  <c r="I20" i="14"/>
  <c r="G20" i="14"/>
  <c r="F20" i="14"/>
  <c r="E20" i="14"/>
  <c r="D20" i="14"/>
  <c r="B20" i="14"/>
  <c r="I19" i="14"/>
  <c r="F19" i="14"/>
  <c r="G19" i="14" s="1"/>
  <c r="J19" i="14" s="1"/>
  <c r="D19" i="14"/>
  <c r="E19" i="14" s="1"/>
  <c r="B19" i="14"/>
  <c r="T18" i="14"/>
  <c r="I18" i="14"/>
  <c r="F18" i="14"/>
  <c r="G18" i="14" s="1"/>
  <c r="J18" i="14" s="1"/>
  <c r="D18" i="14"/>
  <c r="E18" i="14" s="1"/>
  <c r="B18" i="14"/>
  <c r="I17" i="14"/>
  <c r="F17" i="14"/>
  <c r="G17" i="14" s="1"/>
  <c r="D17" i="14"/>
  <c r="E17" i="14" s="1"/>
  <c r="B17" i="14"/>
  <c r="T16" i="14"/>
  <c r="T17" i="14" s="1"/>
  <c r="I16" i="14"/>
  <c r="F16" i="14"/>
  <c r="G16" i="14" s="1"/>
  <c r="J16" i="14" s="1"/>
  <c r="D16" i="14"/>
  <c r="E16" i="14" s="1"/>
  <c r="B16" i="14"/>
  <c r="J15" i="14"/>
  <c r="I15" i="14"/>
  <c r="F15" i="14"/>
  <c r="G15" i="14" s="1"/>
  <c r="E15" i="14"/>
  <c r="D15" i="14"/>
  <c r="B15" i="14"/>
  <c r="I14" i="14"/>
  <c r="F14" i="14"/>
  <c r="G14" i="14" s="1"/>
  <c r="J14" i="14" s="1"/>
  <c r="D14" i="14"/>
  <c r="E14" i="14" s="1"/>
  <c r="B14" i="14"/>
  <c r="J13" i="14"/>
  <c r="I13" i="14"/>
  <c r="G13" i="14"/>
  <c r="F13" i="14"/>
  <c r="D13" i="14"/>
  <c r="E13" i="14" s="1"/>
  <c r="B13" i="14"/>
  <c r="I12" i="14"/>
  <c r="F12" i="14"/>
  <c r="G12" i="14" s="1"/>
  <c r="J12" i="14" s="1"/>
  <c r="D12" i="14"/>
  <c r="E12" i="14" s="1"/>
  <c r="B12" i="14"/>
  <c r="T11" i="14"/>
  <c r="I11" i="14"/>
  <c r="F11" i="14"/>
  <c r="G11" i="14" s="1"/>
  <c r="D11" i="14"/>
  <c r="E11" i="14" s="1"/>
  <c r="B11" i="14"/>
  <c r="I10" i="14"/>
  <c r="D10" i="14"/>
  <c r="E10" i="14" s="1"/>
  <c r="B10" i="14"/>
  <c r="I9" i="14"/>
  <c r="G9" i="14"/>
  <c r="J9" i="14" s="1"/>
  <c r="F9" i="14"/>
  <c r="E9" i="14"/>
  <c r="D9" i="14"/>
  <c r="B9" i="14"/>
  <c r="T8" i="14"/>
  <c r="T9" i="14" s="1"/>
  <c r="J34" i="14" s="1"/>
  <c r="J8" i="14"/>
  <c r="I8" i="14"/>
  <c r="G8" i="14"/>
  <c r="F8" i="14"/>
  <c r="E8" i="14"/>
  <c r="D8" i="14"/>
  <c r="B8" i="14"/>
  <c r="I7" i="14"/>
  <c r="F7" i="14"/>
  <c r="G7" i="14" s="1"/>
  <c r="D7" i="14"/>
  <c r="E7" i="14" s="1"/>
  <c r="B7" i="14"/>
  <c r="I6" i="14"/>
  <c r="F6" i="14"/>
  <c r="G6" i="14" s="1"/>
  <c r="E6" i="14"/>
  <c r="D6" i="14"/>
  <c r="B6" i="14"/>
  <c r="T5" i="14"/>
  <c r="J5" i="14"/>
  <c r="I5" i="14"/>
  <c r="T4" i="14"/>
  <c r="I4" i="14"/>
  <c r="J4" i="14" s="1"/>
  <c r="I3" i="14"/>
  <c r="J3" i="14" s="1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F70" i="12"/>
  <c r="C70" i="12"/>
  <c r="I69" i="12"/>
  <c r="G69" i="12"/>
  <c r="F69" i="12"/>
  <c r="D69" i="12"/>
  <c r="E69" i="12" s="1"/>
  <c r="B69" i="12"/>
  <c r="I68" i="12"/>
  <c r="F68" i="12"/>
  <c r="G68" i="12" s="1"/>
  <c r="D68" i="12"/>
  <c r="E68" i="12" s="1"/>
  <c r="B68" i="12"/>
  <c r="I67" i="12"/>
  <c r="G67" i="12"/>
  <c r="F67" i="12"/>
  <c r="D67" i="12"/>
  <c r="E67" i="12" s="1"/>
  <c r="B67" i="12"/>
  <c r="I66" i="12"/>
  <c r="F66" i="12"/>
  <c r="G66" i="12" s="1"/>
  <c r="J66" i="12" s="1"/>
  <c r="E66" i="12"/>
  <c r="D66" i="12"/>
  <c r="B66" i="12"/>
  <c r="I65" i="12"/>
  <c r="G65" i="12"/>
  <c r="F65" i="12"/>
  <c r="D65" i="12"/>
  <c r="E65" i="12" s="1"/>
  <c r="B65" i="12"/>
  <c r="I64" i="12"/>
  <c r="F64" i="12"/>
  <c r="G64" i="12" s="1"/>
  <c r="J64" i="12" s="1"/>
  <c r="D64" i="12"/>
  <c r="E64" i="12" s="1"/>
  <c r="B64" i="12"/>
  <c r="I63" i="12"/>
  <c r="G63" i="12"/>
  <c r="F63" i="12"/>
  <c r="D63" i="12"/>
  <c r="E63" i="12" s="1"/>
  <c r="B63" i="12"/>
  <c r="I62" i="12"/>
  <c r="F62" i="12"/>
  <c r="G62" i="12" s="1"/>
  <c r="E62" i="12"/>
  <c r="D62" i="12"/>
  <c r="B62" i="12"/>
  <c r="I61" i="12"/>
  <c r="G61" i="12"/>
  <c r="F61" i="12"/>
  <c r="D61" i="12"/>
  <c r="E61" i="12" s="1"/>
  <c r="B61" i="12"/>
  <c r="I60" i="12"/>
  <c r="F60" i="12"/>
  <c r="G60" i="12" s="1"/>
  <c r="D60" i="12"/>
  <c r="E60" i="12" s="1"/>
  <c r="B60" i="12"/>
  <c r="I59" i="12"/>
  <c r="G59" i="12"/>
  <c r="F59" i="12"/>
  <c r="D59" i="12"/>
  <c r="E59" i="12" s="1"/>
  <c r="B59" i="12"/>
  <c r="I58" i="12"/>
  <c r="F58" i="12"/>
  <c r="G58" i="12" s="1"/>
  <c r="E58" i="12"/>
  <c r="D58" i="12"/>
  <c r="B58" i="12"/>
  <c r="I57" i="12"/>
  <c r="G57" i="12"/>
  <c r="F57" i="12"/>
  <c r="D57" i="12"/>
  <c r="E57" i="12" s="1"/>
  <c r="B57" i="12"/>
  <c r="I56" i="12"/>
  <c r="F56" i="12"/>
  <c r="G56" i="12" s="1"/>
  <c r="D56" i="12"/>
  <c r="E56" i="12" s="1"/>
  <c r="B56" i="12"/>
  <c r="I55" i="12"/>
  <c r="G55" i="12"/>
  <c r="F55" i="12"/>
  <c r="D55" i="12"/>
  <c r="E55" i="12" s="1"/>
  <c r="B55" i="12"/>
  <c r="I54" i="12"/>
  <c r="F54" i="12"/>
  <c r="G54" i="12" s="1"/>
  <c r="J54" i="12" s="1"/>
  <c r="E54" i="12"/>
  <c r="D54" i="12"/>
  <c r="B54" i="12"/>
  <c r="I53" i="12"/>
  <c r="G53" i="12"/>
  <c r="F53" i="12"/>
  <c r="D53" i="12"/>
  <c r="E53" i="12" s="1"/>
  <c r="B53" i="12"/>
  <c r="I52" i="12"/>
  <c r="F52" i="12"/>
  <c r="G52" i="12" s="1"/>
  <c r="J52" i="12" s="1"/>
  <c r="D52" i="12"/>
  <c r="E52" i="12" s="1"/>
  <c r="B52" i="12"/>
  <c r="I51" i="12"/>
  <c r="G51" i="12"/>
  <c r="F51" i="12"/>
  <c r="D51" i="12"/>
  <c r="E51" i="12" s="1"/>
  <c r="B51" i="12"/>
  <c r="I50" i="12"/>
  <c r="F50" i="12"/>
  <c r="G50" i="12" s="1"/>
  <c r="E50" i="12"/>
  <c r="D50" i="12"/>
  <c r="B50" i="12"/>
  <c r="I49" i="12"/>
  <c r="G49" i="12"/>
  <c r="F49" i="12"/>
  <c r="D49" i="12"/>
  <c r="E49" i="12" s="1"/>
  <c r="B49" i="12"/>
  <c r="I48" i="12"/>
  <c r="F48" i="12"/>
  <c r="G48" i="12" s="1"/>
  <c r="D48" i="12"/>
  <c r="E48" i="12" s="1"/>
  <c r="B48" i="12"/>
  <c r="I47" i="12"/>
  <c r="G47" i="12"/>
  <c r="F47" i="12"/>
  <c r="D47" i="12"/>
  <c r="E47" i="12" s="1"/>
  <c r="B47" i="12"/>
  <c r="I46" i="12"/>
  <c r="F46" i="12"/>
  <c r="G46" i="12" s="1"/>
  <c r="E46" i="12"/>
  <c r="D46" i="12"/>
  <c r="B46" i="12"/>
  <c r="I45" i="12"/>
  <c r="G45" i="12"/>
  <c r="F45" i="12"/>
  <c r="D45" i="12"/>
  <c r="E45" i="12" s="1"/>
  <c r="B45" i="12"/>
  <c r="I44" i="12"/>
  <c r="F44" i="12"/>
  <c r="G44" i="12" s="1"/>
  <c r="D44" i="12"/>
  <c r="E44" i="12" s="1"/>
  <c r="B44" i="12"/>
  <c r="I43" i="12"/>
  <c r="G43" i="12"/>
  <c r="F43" i="12"/>
  <c r="D43" i="12"/>
  <c r="E43" i="12" s="1"/>
  <c r="B43" i="12"/>
  <c r="I42" i="12"/>
  <c r="F42" i="12"/>
  <c r="G42" i="12" s="1"/>
  <c r="J42" i="12" s="1"/>
  <c r="E42" i="12"/>
  <c r="D42" i="12"/>
  <c r="B42" i="12"/>
  <c r="I41" i="12"/>
  <c r="G41" i="12"/>
  <c r="F41" i="12"/>
  <c r="D41" i="12"/>
  <c r="E41" i="12" s="1"/>
  <c r="B41" i="12"/>
  <c r="I40" i="12"/>
  <c r="F40" i="12"/>
  <c r="G40" i="12" s="1"/>
  <c r="J40" i="12" s="1"/>
  <c r="D40" i="12"/>
  <c r="E40" i="12" s="1"/>
  <c r="B40" i="12"/>
  <c r="I39" i="12"/>
  <c r="G39" i="12"/>
  <c r="F39" i="12"/>
  <c r="D39" i="12"/>
  <c r="E39" i="12" s="1"/>
  <c r="B39" i="12"/>
  <c r="I38" i="12"/>
  <c r="F38" i="12"/>
  <c r="G38" i="12" s="1"/>
  <c r="E38" i="12"/>
  <c r="D38" i="12"/>
  <c r="B38" i="12"/>
  <c r="I37" i="12"/>
  <c r="G37" i="12"/>
  <c r="F37" i="12"/>
  <c r="D37" i="12"/>
  <c r="E37" i="12" s="1"/>
  <c r="B37" i="12"/>
  <c r="I36" i="12"/>
  <c r="F36" i="12"/>
  <c r="G36" i="12" s="1"/>
  <c r="D36" i="12"/>
  <c r="E36" i="12" s="1"/>
  <c r="B36" i="12"/>
  <c r="I35" i="12"/>
  <c r="G35" i="12"/>
  <c r="F35" i="12"/>
  <c r="D35" i="12"/>
  <c r="E35" i="12" s="1"/>
  <c r="B35" i="12"/>
  <c r="I34" i="12"/>
  <c r="F34" i="12"/>
  <c r="G34" i="12" s="1"/>
  <c r="E34" i="12"/>
  <c r="D34" i="12"/>
  <c r="B34" i="12"/>
  <c r="I33" i="12"/>
  <c r="G33" i="12"/>
  <c r="F33" i="12"/>
  <c r="D33" i="12"/>
  <c r="E33" i="12" s="1"/>
  <c r="B33" i="12"/>
  <c r="I32" i="12"/>
  <c r="F32" i="12"/>
  <c r="G32" i="12" s="1"/>
  <c r="D32" i="12"/>
  <c r="E32" i="12" s="1"/>
  <c r="B32" i="12"/>
  <c r="I31" i="12"/>
  <c r="G31" i="12"/>
  <c r="F31" i="12"/>
  <c r="D31" i="12"/>
  <c r="E31" i="12" s="1"/>
  <c r="B31" i="12"/>
  <c r="I30" i="12"/>
  <c r="F30" i="12"/>
  <c r="G30" i="12" s="1"/>
  <c r="J30" i="12" s="1"/>
  <c r="E30" i="12"/>
  <c r="D30" i="12"/>
  <c r="B30" i="12"/>
  <c r="I29" i="12"/>
  <c r="G29" i="12"/>
  <c r="F29" i="12"/>
  <c r="D29" i="12"/>
  <c r="E29" i="12" s="1"/>
  <c r="B29" i="12"/>
  <c r="I28" i="12"/>
  <c r="F28" i="12"/>
  <c r="G28" i="12" s="1"/>
  <c r="J28" i="12" s="1"/>
  <c r="D28" i="12"/>
  <c r="E28" i="12" s="1"/>
  <c r="B28" i="12"/>
  <c r="I27" i="12"/>
  <c r="G27" i="12"/>
  <c r="F27" i="12"/>
  <c r="D27" i="12"/>
  <c r="E27" i="12" s="1"/>
  <c r="B27" i="12"/>
  <c r="I26" i="12"/>
  <c r="F26" i="12"/>
  <c r="G26" i="12" s="1"/>
  <c r="E26" i="12"/>
  <c r="D26" i="12"/>
  <c r="B26" i="12"/>
  <c r="I25" i="12"/>
  <c r="G25" i="12"/>
  <c r="F25" i="12"/>
  <c r="D25" i="12"/>
  <c r="E25" i="12" s="1"/>
  <c r="B25" i="12"/>
  <c r="I24" i="12"/>
  <c r="F24" i="12"/>
  <c r="G24" i="12" s="1"/>
  <c r="D24" i="12"/>
  <c r="E24" i="12" s="1"/>
  <c r="B24" i="12"/>
  <c r="I23" i="12"/>
  <c r="G23" i="12"/>
  <c r="F23" i="12"/>
  <c r="D23" i="12"/>
  <c r="E23" i="12" s="1"/>
  <c r="B23" i="12"/>
  <c r="I22" i="12"/>
  <c r="F22" i="12"/>
  <c r="G22" i="12" s="1"/>
  <c r="E22" i="12"/>
  <c r="D22" i="12"/>
  <c r="B22" i="12"/>
  <c r="I21" i="12"/>
  <c r="G21" i="12"/>
  <c r="F21" i="12"/>
  <c r="D21" i="12"/>
  <c r="E21" i="12" s="1"/>
  <c r="B21" i="12"/>
  <c r="T20" i="12"/>
  <c r="I20" i="12"/>
  <c r="G20" i="12"/>
  <c r="F20" i="12"/>
  <c r="E20" i="12"/>
  <c r="D20" i="12"/>
  <c r="B20" i="12"/>
  <c r="T19" i="12"/>
  <c r="I19" i="12"/>
  <c r="F19" i="12"/>
  <c r="G19" i="12" s="1"/>
  <c r="J19" i="12" s="1"/>
  <c r="E19" i="12"/>
  <c r="D19" i="12"/>
  <c r="B19" i="12"/>
  <c r="T18" i="12"/>
  <c r="I18" i="12"/>
  <c r="G18" i="12"/>
  <c r="F18" i="12"/>
  <c r="D18" i="12"/>
  <c r="E18" i="12" s="1"/>
  <c r="B18" i="12"/>
  <c r="I17" i="12"/>
  <c r="F17" i="12"/>
  <c r="G17" i="12" s="1"/>
  <c r="J17" i="12" s="1"/>
  <c r="E17" i="12"/>
  <c r="D17" i="12"/>
  <c r="B17" i="12"/>
  <c r="I16" i="12"/>
  <c r="G16" i="12"/>
  <c r="F16" i="12"/>
  <c r="D16" i="12"/>
  <c r="E16" i="12" s="1"/>
  <c r="B16" i="12"/>
  <c r="I15" i="12"/>
  <c r="F15" i="12"/>
  <c r="G15" i="12" s="1"/>
  <c r="D15" i="12"/>
  <c r="E15" i="12" s="1"/>
  <c r="B15" i="12"/>
  <c r="I14" i="12"/>
  <c r="G14" i="12"/>
  <c r="F14" i="12"/>
  <c r="D14" i="12"/>
  <c r="E14" i="12" s="1"/>
  <c r="B14" i="12"/>
  <c r="I13" i="12"/>
  <c r="G13" i="12"/>
  <c r="F13" i="12"/>
  <c r="D13" i="12"/>
  <c r="E13" i="12" s="1"/>
  <c r="B13" i="12"/>
  <c r="I12" i="12"/>
  <c r="G12" i="12"/>
  <c r="J12" i="12" s="1"/>
  <c r="F12" i="12"/>
  <c r="D12" i="12"/>
  <c r="E12" i="12" s="1"/>
  <c r="B12" i="12"/>
  <c r="I11" i="12"/>
  <c r="G11" i="12"/>
  <c r="F11" i="12"/>
  <c r="E11" i="12"/>
  <c r="D11" i="12"/>
  <c r="B11" i="12"/>
  <c r="I10" i="12"/>
  <c r="F10" i="12"/>
  <c r="D10" i="12"/>
  <c r="E10" i="12" s="1"/>
  <c r="B10" i="12"/>
  <c r="I9" i="12"/>
  <c r="F9" i="12"/>
  <c r="G9" i="12" s="1"/>
  <c r="E9" i="12"/>
  <c r="D9" i="12"/>
  <c r="B9" i="12"/>
  <c r="T8" i="12"/>
  <c r="T9" i="12" s="1"/>
  <c r="J8" i="12"/>
  <c r="I8" i="12"/>
  <c r="F8" i="12"/>
  <c r="G8" i="12" s="1"/>
  <c r="E8" i="12"/>
  <c r="D8" i="12"/>
  <c r="B8" i="12"/>
  <c r="I7" i="12"/>
  <c r="F7" i="12"/>
  <c r="G7" i="12" s="1"/>
  <c r="D7" i="12"/>
  <c r="E7" i="12" s="1"/>
  <c r="B7" i="12"/>
  <c r="I6" i="12"/>
  <c r="F6" i="12"/>
  <c r="G6" i="12" s="1"/>
  <c r="D6" i="12"/>
  <c r="E6" i="12" s="1"/>
  <c r="B6" i="12"/>
  <c r="T5" i="12"/>
  <c r="G10" i="12" s="1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I69" i="10"/>
  <c r="D69" i="10"/>
  <c r="E69" i="10" s="1"/>
  <c r="B69" i="10"/>
  <c r="I68" i="10"/>
  <c r="D68" i="10"/>
  <c r="E68" i="10" s="1"/>
  <c r="B68" i="10"/>
  <c r="I67" i="10"/>
  <c r="E67" i="10"/>
  <c r="D67" i="10"/>
  <c r="B67" i="10"/>
  <c r="I66" i="10"/>
  <c r="D66" i="10"/>
  <c r="E66" i="10" s="1"/>
  <c r="B66" i="10"/>
  <c r="I65" i="10"/>
  <c r="D65" i="10"/>
  <c r="E65" i="10" s="1"/>
  <c r="B65" i="10"/>
  <c r="I64" i="10"/>
  <c r="D64" i="10"/>
  <c r="E64" i="10" s="1"/>
  <c r="B64" i="10"/>
  <c r="I63" i="10"/>
  <c r="E63" i="10"/>
  <c r="D63" i="10"/>
  <c r="B63" i="10"/>
  <c r="I62" i="10"/>
  <c r="E62" i="10"/>
  <c r="D62" i="10"/>
  <c r="B62" i="10"/>
  <c r="I61" i="10"/>
  <c r="D61" i="10"/>
  <c r="E61" i="10" s="1"/>
  <c r="B61" i="10"/>
  <c r="I60" i="10"/>
  <c r="D60" i="10"/>
  <c r="E60" i="10" s="1"/>
  <c r="B60" i="10"/>
  <c r="I59" i="10"/>
  <c r="F59" i="10"/>
  <c r="G59" i="10" s="1"/>
  <c r="E59" i="10"/>
  <c r="D59" i="10"/>
  <c r="B59" i="10"/>
  <c r="I58" i="10"/>
  <c r="D58" i="10"/>
  <c r="E58" i="10" s="1"/>
  <c r="B58" i="10"/>
  <c r="I57" i="10"/>
  <c r="E57" i="10"/>
  <c r="D57" i="10"/>
  <c r="B57" i="10"/>
  <c r="I56" i="10"/>
  <c r="E56" i="10"/>
  <c r="D56" i="10"/>
  <c r="B56" i="10"/>
  <c r="I55" i="10"/>
  <c r="F55" i="10"/>
  <c r="G55" i="10" s="1"/>
  <c r="J55" i="10" s="1"/>
  <c r="E55" i="10"/>
  <c r="D55" i="10"/>
  <c r="B55" i="10"/>
  <c r="I54" i="10"/>
  <c r="F54" i="10"/>
  <c r="G54" i="10" s="1"/>
  <c r="J54" i="10" s="1"/>
  <c r="E54" i="10"/>
  <c r="D54" i="10"/>
  <c r="B54" i="10"/>
  <c r="I53" i="10"/>
  <c r="D53" i="10"/>
  <c r="E53" i="10" s="1"/>
  <c r="B53" i="10"/>
  <c r="I52" i="10"/>
  <c r="D52" i="10"/>
  <c r="E52" i="10" s="1"/>
  <c r="B52" i="10"/>
  <c r="I51" i="10"/>
  <c r="F51" i="10"/>
  <c r="G51" i="10" s="1"/>
  <c r="E51" i="10"/>
  <c r="D51" i="10"/>
  <c r="B51" i="10"/>
  <c r="I50" i="10"/>
  <c r="D50" i="10"/>
  <c r="E50" i="10" s="1"/>
  <c r="B50" i="10"/>
  <c r="I49" i="10"/>
  <c r="E49" i="10"/>
  <c r="D49" i="10"/>
  <c r="B49" i="10"/>
  <c r="I48" i="10"/>
  <c r="D48" i="10"/>
  <c r="E48" i="10" s="1"/>
  <c r="B48" i="10"/>
  <c r="I47" i="10"/>
  <c r="F47" i="10"/>
  <c r="E47" i="10"/>
  <c r="D47" i="10"/>
  <c r="B47" i="10"/>
  <c r="I46" i="10"/>
  <c r="F46" i="10"/>
  <c r="G46" i="10" s="1"/>
  <c r="J46" i="10" s="1"/>
  <c r="E46" i="10"/>
  <c r="D46" i="10"/>
  <c r="B46" i="10"/>
  <c r="I45" i="10"/>
  <c r="D45" i="10"/>
  <c r="E45" i="10" s="1"/>
  <c r="B45" i="10"/>
  <c r="I44" i="10"/>
  <c r="D44" i="10"/>
  <c r="E44" i="10" s="1"/>
  <c r="B44" i="10"/>
  <c r="I43" i="10"/>
  <c r="F43" i="10"/>
  <c r="G43" i="10" s="1"/>
  <c r="J43" i="10" s="1"/>
  <c r="E43" i="10"/>
  <c r="D43" i="10"/>
  <c r="B43" i="10"/>
  <c r="I42" i="10"/>
  <c r="D42" i="10"/>
  <c r="E42" i="10" s="1"/>
  <c r="B42" i="10"/>
  <c r="I41" i="10"/>
  <c r="E41" i="10"/>
  <c r="D41" i="10"/>
  <c r="B41" i="10"/>
  <c r="I40" i="10"/>
  <c r="F40" i="10"/>
  <c r="G40" i="10" s="1"/>
  <c r="D40" i="10"/>
  <c r="E40" i="10" s="1"/>
  <c r="B40" i="10"/>
  <c r="I39" i="10"/>
  <c r="F39" i="10"/>
  <c r="E39" i="10"/>
  <c r="D39" i="10"/>
  <c r="B39" i="10"/>
  <c r="I38" i="10"/>
  <c r="E38" i="10"/>
  <c r="D38" i="10"/>
  <c r="B38" i="10"/>
  <c r="I37" i="10"/>
  <c r="F37" i="10"/>
  <c r="G37" i="10" s="1"/>
  <c r="E37" i="10"/>
  <c r="D37" i="10"/>
  <c r="B37" i="10"/>
  <c r="I36" i="10"/>
  <c r="D36" i="10"/>
  <c r="E36" i="10" s="1"/>
  <c r="B36" i="10"/>
  <c r="I35" i="10"/>
  <c r="F35" i="10"/>
  <c r="G35" i="10" s="1"/>
  <c r="J35" i="10" s="1"/>
  <c r="E35" i="10"/>
  <c r="D35" i="10"/>
  <c r="B35" i="10"/>
  <c r="I34" i="10"/>
  <c r="F34" i="10"/>
  <c r="G34" i="10" s="1"/>
  <c r="J34" i="10" s="1"/>
  <c r="E34" i="10"/>
  <c r="D34" i="10"/>
  <c r="B34" i="10"/>
  <c r="I33" i="10"/>
  <c r="F33" i="10"/>
  <c r="G33" i="10" s="1"/>
  <c r="D33" i="10"/>
  <c r="E33" i="10" s="1"/>
  <c r="B33" i="10"/>
  <c r="I32" i="10"/>
  <c r="F32" i="10"/>
  <c r="E32" i="10"/>
  <c r="D32" i="10"/>
  <c r="B32" i="10"/>
  <c r="J31" i="10"/>
  <c r="I31" i="10"/>
  <c r="G31" i="10"/>
  <c r="F31" i="10"/>
  <c r="E31" i="10"/>
  <c r="D31" i="10"/>
  <c r="B31" i="10"/>
  <c r="I30" i="10"/>
  <c r="F30" i="10"/>
  <c r="G30" i="10" s="1"/>
  <c r="D30" i="10"/>
  <c r="E30" i="10" s="1"/>
  <c r="B30" i="10"/>
  <c r="I29" i="10"/>
  <c r="D29" i="10"/>
  <c r="E29" i="10" s="1"/>
  <c r="B29" i="10"/>
  <c r="I28" i="10"/>
  <c r="E28" i="10"/>
  <c r="D28" i="10"/>
  <c r="B28" i="10"/>
  <c r="I27" i="10"/>
  <c r="G27" i="10"/>
  <c r="J27" i="10" s="1"/>
  <c r="F27" i="10"/>
  <c r="E27" i="10"/>
  <c r="D27" i="10"/>
  <c r="B27" i="10"/>
  <c r="I26" i="10"/>
  <c r="F26" i="10"/>
  <c r="G26" i="10" s="1"/>
  <c r="D26" i="10"/>
  <c r="E26" i="10" s="1"/>
  <c r="B26" i="10"/>
  <c r="I25" i="10"/>
  <c r="F25" i="10"/>
  <c r="E25" i="10"/>
  <c r="D25" i="10"/>
  <c r="B25" i="10"/>
  <c r="I24" i="10"/>
  <c r="F24" i="10"/>
  <c r="G24" i="10" s="1"/>
  <c r="J24" i="10" s="1"/>
  <c r="E24" i="10"/>
  <c r="D24" i="10"/>
  <c r="B24" i="10"/>
  <c r="I23" i="10"/>
  <c r="F23" i="10"/>
  <c r="G23" i="10" s="1"/>
  <c r="J23" i="10" s="1"/>
  <c r="E23" i="10"/>
  <c r="D23" i="10"/>
  <c r="B23" i="10"/>
  <c r="I22" i="10"/>
  <c r="D22" i="10"/>
  <c r="E22" i="10" s="1"/>
  <c r="B22" i="10"/>
  <c r="J21" i="10"/>
  <c r="I21" i="10"/>
  <c r="F21" i="10"/>
  <c r="G21" i="10" s="1"/>
  <c r="E21" i="10"/>
  <c r="D21" i="10"/>
  <c r="B21" i="10"/>
  <c r="J20" i="10"/>
  <c r="I20" i="10"/>
  <c r="G20" i="10"/>
  <c r="F20" i="10"/>
  <c r="D20" i="10"/>
  <c r="E20" i="10" s="1"/>
  <c r="B20" i="10"/>
  <c r="I19" i="10"/>
  <c r="F19" i="10"/>
  <c r="G19" i="10" s="1"/>
  <c r="D19" i="10"/>
  <c r="E19" i="10" s="1"/>
  <c r="B19" i="10"/>
  <c r="I18" i="10"/>
  <c r="F18" i="10"/>
  <c r="G18" i="10" s="1"/>
  <c r="J18" i="10" s="1"/>
  <c r="D18" i="10"/>
  <c r="E18" i="10" s="1"/>
  <c r="B18" i="10"/>
  <c r="T17" i="10"/>
  <c r="I17" i="10"/>
  <c r="F17" i="10"/>
  <c r="D17" i="10"/>
  <c r="E17" i="10" s="1"/>
  <c r="B17" i="10"/>
  <c r="T16" i="10"/>
  <c r="J16" i="10"/>
  <c r="I16" i="10"/>
  <c r="F16" i="10"/>
  <c r="G16" i="10" s="1"/>
  <c r="E16" i="10"/>
  <c r="D16" i="10"/>
  <c r="B16" i="10"/>
  <c r="I15" i="10"/>
  <c r="G15" i="10"/>
  <c r="F15" i="10"/>
  <c r="E15" i="10"/>
  <c r="D15" i="10"/>
  <c r="B15" i="10"/>
  <c r="I14" i="10"/>
  <c r="F14" i="10"/>
  <c r="G14" i="10" s="1"/>
  <c r="D14" i="10"/>
  <c r="E14" i="10" s="1"/>
  <c r="B14" i="10"/>
  <c r="I13" i="10"/>
  <c r="D13" i="10"/>
  <c r="E13" i="10" s="1"/>
  <c r="B13" i="10"/>
  <c r="J12" i="10"/>
  <c r="I12" i="10"/>
  <c r="F12" i="10"/>
  <c r="G12" i="10" s="1"/>
  <c r="E12" i="10"/>
  <c r="D12" i="10"/>
  <c r="B12" i="10"/>
  <c r="I11" i="10"/>
  <c r="G11" i="10"/>
  <c r="J11" i="10" s="1"/>
  <c r="F11" i="10"/>
  <c r="D11" i="10"/>
  <c r="E11" i="10" s="1"/>
  <c r="B11" i="10"/>
  <c r="I10" i="10"/>
  <c r="F10" i="10"/>
  <c r="G10" i="10" s="1"/>
  <c r="J10" i="10" s="1"/>
  <c r="E10" i="10"/>
  <c r="D10" i="10"/>
  <c r="B10" i="10"/>
  <c r="I9" i="10"/>
  <c r="F9" i="10"/>
  <c r="G9" i="10" s="1"/>
  <c r="J9" i="10" s="1"/>
  <c r="D9" i="10"/>
  <c r="E9" i="10" s="1"/>
  <c r="B9" i="10"/>
  <c r="T8" i="10"/>
  <c r="T9" i="10" s="1"/>
  <c r="I8" i="10"/>
  <c r="F8" i="10"/>
  <c r="D8" i="10"/>
  <c r="E8" i="10" s="1"/>
  <c r="B8" i="10"/>
  <c r="I7" i="10"/>
  <c r="F7" i="10"/>
  <c r="G7" i="10" s="1"/>
  <c r="J7" i="10" s="1"/>
  <c r="E7" i="10"/>
  <c r="D7" i="10"/>
  <c r="B7" i="10"/>
  <c r="I6" i="10"/>
  <c r="F6" i="10"/>
  <c r="G6" i="10" s="1"/>
  <c r="E6" i="10"/>
  <c r="E70" i="10" s="1"/>
  <c r="D6" i="10"/>
  <c r="D70" i="10" s="1"/>
  <c r="B6" i="10"/>
  <c r="T5" i="10"/>
  <c r="G47" i="10" s="1"/>
  <c r="I5" i="10"/>
  <c r="I4" i="10"/>
  <c r="I3" i="10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B2" i="9"/>
  <c r="O70" i="8"/>
  <c r="N70" i="8"/>
  <c r="M70" i="8"/>
  <c r="L70" i="8"/>
  <c r="H70" i="8"/>
  <c r="C70" i="8"/>
  <c r="F69" i="8" s="1"/>
  <c r="G69" i="8" s="1"/>
  <c r="K69" i="8"/>
  <c r="I69" i="8"/>
  <c r="D69" i="8"/>
  <c r="E69" i="8" s="1"/>
  <c r="B69" i="8"/>
  <c r="I68" i="8"/>
  <c r="F68" i="8"/>
  <c r="G68" i="8" s="1"/>
  <c r="E68" i="8"/>
  <c r="D68" i="8"/>
  <c r="B68" i="8"/>
  <c r="I67" i="8"/>
  <c r="F67" i="8"/>
  <c r="G67" i="8" s="1"/>
  <c r="D67" i="8"/>
  <c r="E67" i="8" s="1"/>
  <c r="B67" i="8"/>
  <c r="I66" i="8"/>
  <c r="E66" i="8"/>
  <c r="D66" i="8"/>
  <c r="B66" i="8"/>
  <c r="I65" i="8"/>
  <c r="G65" i="8"/>
  <c r="F65" i="8"/>
  <c r="D65" i="8"/>
  <c r="E65" i="8" s="1"/>
  <c r="B65" i="8"/>
  <c r="I64" i="8"/>
  <c r="F64" i="8"/>
  <c r="D64" i="8"/>
  <c r="E64" i="8" s="1"/>
  <c r="B64" i="8"/>
  <c r="I63" i="8"/>
  <c r="F63" i="8"/>
  <c r="G63" i="8" s="1"/>
  <c r="D63" i="8"/>
  <c r="E63" i="8" s="1"/>
  <c r="B63" i="8"/>
  <c r="I62" i="8"/>
  <c r="F62" i="8"/>
  <c r="E62" i="8"/>
  <c r="D62" i="8"/>
  <c r="B62" i="8"/>
  <c r="I61" i="8"/>
  <c r="G61" i="8"/>
  <c r="F61" i="8"/>
  <c r="D61" i="8"/>
  <c r="E61" i="8" s="1"/>
  <c r="B61" i="8"/>
  <c r="I60" i="8"/>
  <c r="F60" i="8"/>
  <c r="D60" i="8"/>
  <c r="E60" i="8" s="1"/>
  <c r="B60" i="8"/>
  <c r="I59" i="8"/>
  <c r="F59" i="8"/>
  <c r="G59" i="8" s="1"/>
  <c r="D59" i="8"/>
  <c r="E59" i="8" s="1"/>
  <c r="B59" i="8"/>
  <c r="I58" i="8"/>
  <c r="F58" i="8"/>
  <c r="E58" i="8"/>
  <c r="D58" i="8"/>
  <c r="B58" i="8"/>
  <c r="I57" i="8"/>
  <c r="G57" i="8"/>
  <c r="F57" i="8"/>
  <c r="D57" i="8"/>
  <c r="E57" i="8" s="1"/>
  <c r="B57" i="8"/>
  <c r="I56" i="8"/>
  <c r="F56" i="8"/>
  <c r="D56" i="8"/>
  <c r="E56" i="8" s="1"/>
  <c r="B56" i="8"/>
  <c r="I55" i="8"/>
  <c r="F55" i="8"/>
  <c r="G55" i="8" s="1"/>
  <c r="D55" i="8"/>
  <c r="E55" i="8" s="1"/>
  <c r="B55" i="8"/>
  <c r="I54" i="8"/>
  <c r="F54" i="8"/>
  <c r="E54" i="8"/>
  <c r="D54" i="8"/>
  <c r="B54" i="8"/>
  <c r="I53" i="8"/>
  <c r="G53" i="8"/>
  <c r="F53" i="8"/>
  <c r="D53" i="8"/>
  <c r="E53" i="8" s="1"/>
  <c r="B53" i="8"/>
  <c r="I52" i="8"/>
  <c r="F52" i="8"/>
  <c r="D52" i="8"/>
  <c r="E52" i="8" s="1"/>
  <c r="B52" i="8"/>
  <c r="I51" i="8"/>
  <c r="F51" i="8"/>
  <c r="G51" i="8" s="1"/>
  <c r="D51" i="8"/>
  <c r="E51" i="8" s="1"/>
  <c r="B51" i="8"/>
  <c r="I50" i="8"/>
  <c r="F50" i="8"/>
  <c r="E50" i="8"/>
  <c r="D50" i="8"/>
  <c r="B50" i="8"/>
  <c r="I49" i="8"/>
  <c r="G49" i="8"/>
  <c r="F49" i="8"/>
  <c r="D49" i="8"/>
  <c r="E49" i="8" s="1"/>
  <c r="B49" i="8"/>
  <c r="I48" i="8"/>
  <c r="F48" i="8"/>
  <c r="D48" i="8"/>
  <c r="E48" i="8" s="1"/>
  <c r="B48" i="8"/>
  <c r="I47" i="8"/>
  <c r="F47" i="8"/>
  <c r="G47" i="8" s="1"/>
  <c r="D47" i="8"/>
  <c r="E47" i="8" s="1"/>
  <c r="B47" i="8"/>
  <c r="I46" i="8"/>
  <c r="F46" i="8"/>
  <c r="E46" i="8"/>
  <c r="D46" i="8"/>
  <c r="B46" i="8"/>
  <c r="I45" i="8"/>
  <c r="G45" i="8"/>
  <c r="F45" i="8"/>
  <c r="D45" i="8"/>
  <c r="E45" i="8" s="1"/>
  <c r="B45" i="8"/>
  <c r="I44" i="8"/>
  <c r="F44" i="8"/>
  <c r="D44" i="8"/>
  <c r="E44" i="8" s="1"/>
  <c r="B44" i="8"/>
  <c r="I43" i="8"/>
  <c r="F43" i="8"/>
  <c r="G43" i="8" s="1"/>
  <c r="D43" i="8"/>
  <c r="E43" i="8" s="1"/>
  <c r="B43" i="8"/>
  <c r="I42" i="8"/>
  <c r="F42" i="8"/>
  <c r="E42" i="8"/>
  <c r="D42" i="8"/>
  <c r="B42" i="8"/>
  <c r="I41" i="8"/>
  <c r="G41" i="8"/>
  <c r="F41" i="8"/>
  <c r="D41" i="8"/>
  <c r="E41" i="8" s="1"/>
  <c r="B41" i="8"/>
  <c r="I40" i="8"/>
  <c r="F40" i="8"/>
  <c r="D40" i="8"/>
  <c r="E40" i="8" s="1"/>
  <c r="B40" i="8"/>
  <c r="I39" i="8"/>
  <c r="F39" i="8"/>
  <c r="G39" i="8" s="1"/>
  <c r="D39" i="8"/>
  <c r="E39" i="8" s="1"/>
  <c r="B39" i="8"/>
  <c r="I38" i="8"/>
  <c r="F38" i="8"/>
  <c r="E38" i="8"/>
  <c r="D38" i="8"/>
  <c r="B38" i="8"/>
  <c r="I37" i="8"/>
  <c r="G37" i="8"/>
  <c r="J37" i="8" s="1"/>
  <c r="F37" i="8"/>
  <c r="D37" i="8"/>
  <c r="E37" i="8" s="1"/>
  <c r="B37" i="8"/>
  <c r="I36" i="8"/>
  <c r="F36" i="8"/>
  <c r="G36" i="8" s="1"/>
  <c r="D36" i="8"/>
  <c r="E36" i="8" s="1"/>
  <c r="B36" i="8"/>
  <c r="I35" i="8"/>
  <c r="F35" i="8"/>
  <c r="D35" i="8"/>
  <c r="E35" i="8" s="1"/>
  <c r="B35" i="8"/>
  <c r="I34" i="8"/>
  <c r="F34" i="8"/>
  <c r="E34" i="8"/>
  <c r="D34" i="8"/>
  <c r="B34" i="8"/>
  <c r="I33" i="8"/>
  <c r="F33" i="8"/>
  <c r="D33" i="8"/>
  <c r="E33" i="8" s="1"/>
  <c r="B33" i="8"/>
  <c r="I32" i="8"/>
  <c r="F32" i="8"/>
  <c r="G32" i="8" s="1"/>
  <c r="J32" i="8" s="1"/>
  <c r="E32" i="8"/>
  <c r="D32" i="8"/>
  <c r="B32" i="8"/>
  <c r="I31" i="8"/>
  <c r="F31" i="8"/>
  <c r="D31" i="8"/>
  <c r="E31" i="8" s="1"/>
  <c r="B31" i="8"/>
  <c r="K30" i="8"/>
  <c r="I30" i="8"/>
  <c r="F30" i="8"/>
  <c r="E30" i="8"/>
  <c r="D30" i="8"/>
  <c r="B30" i="8"/>
  <c r="I29" i="8"/>
  <c r="F29" i="8"/>
  <c r="G29" i="8" s="1"/>
  <c r="D29" i="8"/>
  <c r="E29" i="8" s="1"/>
  <c r="B29" i="8"/>
  <c r="I28" i="8"/>
  <c r="F28" i="8"/>
  <c r="G28" i="8" s="1"/>
  <c r="D28" i="8"/>
  <c r="E28" i="8" s="1"/>
  <c r="B28" i="8"/>
  <c r="I27" i="8"/>
  <c r="F27" i="8"/>
  <c r="G27" i="8" s="1"/>
  <c r="J27" i="8" s="1"/>
  <c r="E27" i="8"/>
  <c r="D27" i="8"/>
  <c r="B27" i="8"/>
  <c r="I26" i="8"/>
  <c r="F26" i="8"/>
  <c r="E26" i="8"/>
  <c r="D26" i="8"/>
  <c r="B26" i="8"/>
  <c r="K25" i="8"/>
  <c r="I25" i="8"/>
  <c r="F25" i="8"/>
  <c r="G25" i="8" s="1"/>
  <c r="D25" i="8"/>
  <c r="E25" i="8" s="1"/>
  <c r="B25" i="8"/>
  <c r="I24" i="8"/>
  <c r="F24" i="8"/>
  <c r="G24" i="8" s="1"/>
  <c r="D24" i="8"/>
  <c r="E24" i="8" s="1"/>
  <c r="B24" i="8"/>
  <c r="I23" i="8"/>
  <c r="F23" i="8"/>
  <c r="E23" i="8"/>
  <c r="D23" i="8"/>
  <c r="B23" i="8"/>
  <c r="I22" i="8"/>
  <c r="F22" i="8"/>
  <c r="G22" i="8" s="1"/>
  <c r="E22" i="8"/>
  <c r="D22" i="8"/>
  <c r="B22" i="8"/>
  <c r="I21" i="8"/>
  <c r="F21" i="8"/>
  <c r="D21" i="8"/>
  <c r="E21" i="8" s="1"/>
  <c r="B21" i="8"/>
  <c r="I20" i="8"/>
  <c r="F20" i="8"/>
  <c r="G20" i="8" s="1"/>
  <c r="D20" i="8"/>
  <c r="E20" i="8" s="1"/>
  <c r="B20" i="8"/>
  <c r="I19" i="8"/>
  <c r="F19" i="8"/>
  <c r="D19" i="8"/>
  <c r="E19" i="8" s="1"/>
  <c r="B19" i="8"/>
  <c r="T18" i="8"/>
  <c r="I18" i="8"/>
  <c r="F18" i="8"/>
  <c r="D18" i="8"/>
  <c r="E18" i="8" s="1"/>
  <c r="B18" i="8"/>
  <c r="T17" i="8"/>
  <c r="K17" i="8"/>
  <c r="I17" i="8"/>
  <c r="F17" i="8"/>
  <c r="E17" i="8"/>
  <c r="D17" i="8"/>
  <c r="B17" i="8"/>
  <c r="I16" i="8"/>
  <c r="F16" i="8"/>
  <c r="G16" i="8" s="1"/>
  <c r="E16" i="8"/>
  <c r="D16" i="8"/>
  <c r="B16" i="8"/>
  <c r="I15" i="8"/>
  <c r="F15" i="8"/>
  <c r="D15" i="8"/>
  <c r="E15" i="8" s="1"/>
  <c r="B15" i="8"/>
  <c r="I14" i="8"/>
  <c r="E14" i="8"/>
  <c r="D14" i="8"/>
  <c r="B14" i="8"/>
  <c r="I13" i="8"/>
  <c r="F13" i="8"/>
  <c r="E13" i="8"/>
  <c r="D13" i="8"/>
  <c r="B13" i="8"/>
  <c r="K12" i="8"/>
  <c r="I12" i="8"/>
  <c r="F12" i="8"/>
  <c r="G12" i="8" s="1"/>
  <c r="J12" i="8" s="1"/>
  <c r="R12" i="8" s="1"/>
  <c r="E12" i="8"/>
  <c r="D12" i="8"/>
  <c r="B12" i="8"/>
  <c r="T11" i="8"/>
  <c r="K65" i="8" s="1"/>
  <c r="I11" i="8"/>
  <c r="G11" i="8"/>
  <c r="F11" i="8"/>
  <c r="E11" i="8"/>
  <c r="D11" i="8"/>
  <c r="B11" i="8"/>
  <c r="I10" i="8"/>
  <c r="F10" i="8"/>
  <c r="E10" i="8"/>
  <c r="D10" i="8"/>
  <c r="B10" i="8"/>
  <c r="T9" i="8"/>
  <c r="J69" i="8" s="1"/>
  <c r="R69" i="8" s="1"/>
  <c r="K9" i="8"/>
  <c r="I9" i="8"/>
  <c r="F9" i="8"/>
  <c r="D9" i="8"/>
  <c r="E9" i="8" s="1"/>
  <c r="B9" i="8"/>
  <c r="T8" i="8"/>
  <c r="I8" i="8"/>
  <c r="F8" i="8"/>
  <c r="G8" i="8" s="1"/>
  <c r="E8" i="8"/>
  <c r="D8" i="8"/>
  <c r="B8" i="8"/>
  <c r="I7" i="8"/>
  <c r="F7" i="8"/>
  <c r="E7" i="8"/>
  <c r="D7" i="8"/>
  <c r="B7" i="8"/>
  <c r="I6" i="8"/>
  <c r="F6" i="8"/>
  <c r="E6" i="8"/>
  <c r="D6" i="8"/>
  <c r="B6" i="8"/>
  <c r="T5" i="8"/>
  <c r="I5" i="8"/>
  <c r="T4" i="8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I69" i="6"/>
  <c r="E69" i="6"/>
  <c r="D69" i="6"/>
  <c r="B69" i="6"/>
  <c r="I68" i="6"/>
  <c r="F68" i="6"/>
  <c r="G68" i="6" s="1"/>
  <c r="J68" i="6" s="1"/>
  <c r="E68" i="6"/>
  <c r="D68" i="6"/>
  <c r="B68" i="6"/>
  <c r="I67" i="6"/>
  <c r="D67" i="6"/>
  <c r="E67" i="6" s="1"/>
  <c r="B67" i="6"/>
  <c r="I66" i="6"/>
  <c r="E66" i="6"/>
  <c r="D66" i="6"/>
  <c r="B66" i="6"/>
  <c r="I65" i="6"/>
  <c r="F65" i="6"/>
  <c r="G65" i="6" s="1"/>
  <c r="J65" i="6" s="1"/>
  <c r="E65" i="6"/>
  <c r="D65" i="6"/>
  <c r="B65" i="6"/>
  <c r="I64" i="6"/>
  <c r="D64" i="6"/>
  <c r="E64" i="6" s="1"/>
  <c r="B64" i="6"/>
  <c r="I63" i="6"/>
  <c r="D63" i="6"/>
  <c r="E63" i="6" s="1"/>
  <c r="B63" i="6"/>
  <c r="I62" i="6"/>
  <c r="E62" i="6"/>
  <c r="D62" i="6"/>
  <c r="B62" i="6"/>
  <c r="I61" i="6"/>
  <c r="D61" i="6"/>
  <c r="E61" i="6" s="1"/>
  <c r="B61" i="6"/>
  <c r="I60" i="6"/>
  <c r="E60" i="6"/>
  <c r="D60" i="6"/>
  <c r="B60" i="6"/>
  <c r="I59" i="6"/>
  <c r="D59" i="6"/>
  <c r="E59" i="6" s="1"/>
  <c r="B59" i="6"/>
  <c r="I58" i="6"/>
  <c r="E58" i="6"/>
  <c r="D58" i="6"/>
  <c r="B58" i="6"/>
  <c r="I57" i="6"/>
  <c r="E57" i="6"/>
  <c r="D57" i="6"/>
  <c r="B57" i="6"/>
  <c r="I56" i="6"/>
  <c r="E56" i="6"/>
  <c r="D56" i="6"/>
  <c r="B56" i="6"/>
  <c r="I55" i="6"/>
  <c r="G55" i="6"/>
  <c r="J55" i="6" s="1"/>
  <c r="F55" i="6"/>
  <c r="E55" i="6"/>
  <c r="D55" i="6"/>
  <c r="B55" i="6"/>
  <c r="I54" i="6"/>
  <c r="D54" i="6"/>
  <c r="E54" i="6" s="1"/>
  <c r="B54" i="6"/>
  <c r="I53" i="6"/>
  <c r="D53" i="6"/>
  <c r="E53" i="6" s="1"/>
  <c r="B53" i="6"/>
  <c r="I52" i="6"/>
  <c r="D52" i="6"/>
  <c r="E52" i="6" s="1"/>
  <c r="B52" i="6"/>
  <c r="I51" i="6"/>
  <c r="F51" i="6"/>
  <c r="G51" i="6" s="1"/>
  <c r="J51" i="6" s="1"/>
  <c r="E51" i="6"/>
  <c r="D51" i="6"/>
  <c r="B51" i="6"/>
  <c r="I50" i="6"/>
  <c r="E50" i="6"/>
  <c r="D50" i="6"/>
  <c r="B50" i="6"/>
  <c r="I49" i="6"/>
  <c r="D49" i="6"/>
  <c r="E49" i="6" s="1"/>
  <c r="B49" i="6"/>
  <c r="I48" i="6"/>
  <c r="G48" i="6"/>
  <c r="F48" i="6"/>
  <c r="E48" i="6"/>
  <c r="D48" i="6"/>
  <c r="B48" i="6"/>
  <c r="I47" i="6"/>
  <c r="D47" i="6"/>
  <c r="E47" i="6" s="1"/>
  <c r="B47" i="6"/>
  <c r="I46" i="6"/>
  <c r="E46" i="6"/>
  <c r="D46" i="6"/>
  <c r="B46" i="6"/>
  <c r="I45" i="6"/>
  <c r="F45" i="6"/>
  <c r="G45" i="6" s="1"/>
  <c r="J45" i="6" s="1"/>
  <c r="E45" i="6"/>
  <c r="D45" i="6"/>
  <c r="B45" i="6"/>
  <c r="I44" i="6"/>
  <c r="F44" i="6"/>
  <c r="G44" i="6" s="1"/>
  <c r="J44" i="6" s="1"/>
  <c r="E44" i="6"/>
  <c r="D44" i="6"/>
  <c r="B44" i="6"/>
  <c r="I43" i="6"/>
  <c r="E43" i="6"/>
  <c r="D43" i="6"/>
  <c r="B43" i="6"/>
  <c r="I42" i="6"/>
  <c r="D42" i="6"/>
  <c r="E42" i="6" s="1"/>
  <c r="B42" i="6"/>
  <c r="I41" i="6"/>
  <c r="F41" i="6"/>
  <c r="G41" i="6" s="1"/>
  <c r="J41" i="6" s="1"/>
  <c r="E41" i="6"/>
  <c r="D41" i="6"/>
  <c r="B41" i="6"/>
  <c r="I40" i="6"/>
  <c r="D40" i="6"/>
  <c r="E40" i="6" s="1"/>
  <c r="B40" i="6"/>
  <c r="I39" i="6"/>
  <c r="E39" i="6"/>
  <c r="D39" i="6"/>
  <c r="B39" i="6"/>
  <c r="I38" i="6"/>
  <c r="E38" i="6"/>
  <c r="D38" i="6"/>
  <c r="B38" i="6"/>
  <c r="I37" i="6"/>
  <c r="D37" i="6"/>
  <c r="E37" i="6" s="1"/>
  <c r="B37" i="6"/>
  <c r="I36" i="6"/>
  <c r="E36" i="6"/>
  <c r="D36" i="6"/>
  <c r="B36" i="6"/>
  <c r="I35" i="6"/>
  <c r="D35" i="6"/>
  <c r="E35" i="6" s="1"/>
  <c r="B35" i="6"/>
  <c r="I34" i="6"/>
  <c r="F34" i="6"/>
  <c r="G34" i="6" s="1"/>
  <c r="J34" i="6" s="1"/>
  <c r="E34" i="6"/>
  <c r="D34" i="6"/>
  <c r="B34" i="6"/>
  <c r="I33" i="6"/>
  <c r="D33" i="6"/>
  <c r="E33" i="6" s="1"/>
  <c r="B33" i="6"/>
  <c r="I32" i="6"/>
  <c r="E32" i="6"/>
  <c r="D32" i="6"/>
  <c r="B32" i="6"/>
  <c r="I31" i="6"/>
  <c r="D31" i="6"/>
  <c r="E31" i="6" s="1"/>
  <c r="B31" i="6"/>
  <c r="I30" i="6"/>
  <c r="F30" i="6"/>
  <c r="G30" i="6" s="1"/>
  <c r="J30" i="6" s="1"/>
  <c r="E30" i="6"/>
  <c r="D30" i="6"/>
  <c r="B30" i="6"/>
  <c r="I29" i="6"/>
  <c r="D29" i="6"/>
  <c r="E29" i="6" s="1"/>
  <c r="B29" i="6"/>
  <c r="I28" i="6"/>
  <c r="E28" i="6"/>
  <c r="D28" i="6"/>
  <c r="B28" i="6"/>
  <c r="I27" i="6"/>
  <c r="D27" i="6"/>
  <c r="E27" i="6" s="1"/>
  <c r="B27" i="6"/>
  <c r="I26" i="6"/>
  <c r="F26" i="6"/>
  <c r="G26" i="6" s="1"/>
  <c r="J26" i="6" s="1"/>
  <c r="E26" i="6"/>
  <c r="D26" i="6"/>
  <c r="B26" i="6"/>
  <c r="I25" i="6"/>
  <c r="D25" i="6"/>
  <c r="E25" i="6" s="1"/>
  <c r="B25" i="6"/>
  <c r="I24" i="6"/>
  <c r="E24" i="6"/>
  <c r="D24" i="6"/>
  <c r="B24" i="6"/>
  <c r="I23" i="6"/>
  <c r="D23" i="6"/>
  <c r="E23" i="6" s="1"/>
  <c r="B23" i="6"/>
  <c r="I22" i="6"/>
  <c r="F22" i="6"/>
  <c r="G22" i="6" s="1"/>
  <c r="J22" i="6" s="1"/>
  <c r="E22" i="6"/>
  <c r="D22" i="6"/>
  <c r="B22" i="6"/>
  <c r="I21" i="6"/>
  <c r="D21" i="6"/>
  <c r="E21" i="6" s="1"/>
  <c r="B21" i="6"/>
  <c r="I20" i="6"/>
  <c r="E20" i="6"/>
  <c r="D20" i="6"/>
  <c r="B20" i="6"/>
  <c r="I19" i="6"/>
  <c r="D19" i="6"/>
  <c r="E19" i="6" s="1"/>
  <c r="B19" i="6"/>
  <c r="T18" i="6"/>
  <c r="I18" i="6"/>
  <c r="G18" i="6"/>
  <c r="J18" i="6" s="1"/>
  <c r="F18" i="6"/>
  <c r="D18" i="6"/>
  <c r="E18" i="6" s="1"/>
  <c r="B18" i="6"/>
  <c r="T17" i="6"/>
  <c r="I17" i="6"/>
  <c r="G17" i="6"/>
  <c r="J17" i="6" s="1"/>
  <c r="F17" i="6"/>
  <c r="E17" i="6"/>
  <c r="D17" i="6"/>
  <c r="B17" i="6"/>
  <c r="I16" i="6"/>
  <c r="D16" i="6"/>
  <c r="E16" i="6" s="1"/>
  <c r="B16" i="6"/>
  <c r="I15" i="6"/>
  <c r="D15" i="6"/>
  <c r="E15" i="6" s="1"/>
  <c r="B15" i="6"/>
  <c r="I14" i="6"/>
  <c r="D14" i="6"/>
  <c r="E14" i="6" s="1"/>
  <c r="B14" i="6"/>
  <c r="I13" i="6"/>
  <c r="F13" i="6"/>
  <c r="G13" i="6" s="1"/>
  <c r="J13" i="6" s="1"/>
  <c r="D13" i="6"/>
  <c r="E13" i="6" s="1"/>
  <c r="B13" i="6"/>
  <c r="I12" i="6"/>
  <c r="D12" i="6"/>
  <c r="E12" i="6" s="1"/>
  <c r="B12" i="6"/>
  <c r="I11" i="6"/>
  <c r="E11" i="6"/>
  <c r="D11" i="6"/>
  <c r="B11" i="6"/>
  <c r="I10" i="6"/>
  <c r="D10" i="6"/>
  <c r="E10" i="6" s="1"/>
  <c r="B10" i="6"/>
  <c r="T9" i="6"/>
  <c r="I9" i="6"/>
  <c r="F9" i="6"/>
  <c r="G9" i="6" s="1"/>
  <c r="J9" i="6" s="1"/>
  <c r="D9" i="6"/>
  <c r="E9" i="6" s="1"/>
  <c r="B9" i="6"/>
  <c r="T8" i="6"/>
  <c r="I8" i="6"/>
  <c r="F8" i="6"/>
  <c r="G8" i="6" s="1"/>
  <c r="J8" i="6" s="1"/>
  <c r="E8" i="6"/>
  <c r="D8" i="6"/>
  <c r="B8" i="6"/>
  <c r="I7" i="6"/>
  <c r="D7" i="6"/>
  <c r="E7" i="6" s="1"/>
  <c r="B7" i="6"/>
  <c r="I6" i="6"/>
  <c r="D6" i="6"/>
  <c r="E6" i="6" s="1"/>
  <c r="B6" i="6"/>
  <c r="T5" i="6"/>
  <c r="I5" i="6"/>
  <c r="I4" i="6"/>
  <c r="I3" i="6"/>
  <c r="P70" i="4"/>
  <c r="O70" i="4"/>
  <c r="N70" i="4"/>
  <c r="M70" i="4"/>
  <c r="L70" i="4"/>
  <c r="H70" i="4"/>
  <c r="C70" i="4"/>
  <c r="F69" i="4"/>
  <c r="E69" i="4"/>
  <c r="D69" i="4"/>
  <c r="B69" i="4"/>
  <c r="F68" i="4"/>
  <c r="E68" i="4"/>
  <c r="D68" i="4"/>
  <c r="B68" i="4"/>
  <c r="E67" i="4"/>
  <c r="F67" i="4" s="1"/>
  <c r="D67" i="4"/>
  <c r="B67" i="4"/>
  <c r="D66" i="4"/>
  <c r="E66" i="4" s="1"/>
  <c r="F66" i="4" s="1"/>
  <c r="G66" i="4" s="1"/>
  <c r="B66" i="4"/>
  <c r="F65" i="4"/>
  <c r="G65" i="4" s="1"/>
  <c r="E65" i="4"/>
  <c r="D65" i="4"/>
  <c r="B65" i="4"/>
  <c r="F64" i="4"/>
  <c r="E64" i="4"/>
  <c r="D64" i="4"/>
  <c r="B64" i="4"/>
  <c r="F63" i="4"/>
  <c r="G63" i="4" s="1"/>
  <c r="E63" i="4"/>
  <c r="D63" i="4"/>
  <c r="B63" i="4"/>
  <c r="D62" i="4"/>
  <c r="E62" i="4" s="1"/>
  <c r="F62" i="4" s="1"/>
  <c r="G62" i="4" s="1"/>
  <c r="B62" i="4"/>
  <c r="D61" i="4"/>
  <c r="E61" i="4" s="1"/>
  <c r="F61" i="4" s="1"/>
  <c r="G61" i="4" s="1"/>
  <c r="B61" i="4"/>
  <c r="F60" i="4"/>
  <c r="E60" i="4"/>
  <c r="D60" i="4"/>
  <c r="B60" i="4"/>
  <c r="F59" i="4"/>
  <c r="E59" i="4"/>
  <c r="D59" i="4"/>
  <c r="B59" i="4"/>
  <c r="F58" i="4"/>
  <c r="D58" i="4"/>
  <c r="E58" i="4" s="1"/>
  <c r="B58" i="4"/>
  <c r="D57" i="4"/>
  <c r="E57" i="4" s="1"/>
  <c r="F57" i="4" s="1"/>
  <c r="G57" i="4" s="1"/>
  <c r="B57" i="4"/>
  <c r="F56" i="4"/>
  <c r="E56" i="4"/>
  <c r="D56" i="4"/>
  <c r="B56" i="4"/>
  <c r="F55" i="4"/>
  <c r="E55" i="4"/>
  <c r="D55" i="4"/>
  <c r="B55" i="4"/>
  <c r="F54" i="4"/>
  <c r="G54" i="4" s="1"/>
  <c r="D54" i="4"/>
  <c r="E54" i="4" s="1"/>
  <c r="B54" i="4"/>
  <c r="D53" i="4"/>
  <c r="E53" i="4" s="1"/>
  <c r="F53" i="4" s="1"/>
  <c r="G53" i="4" s="1"/>
  <c r="B53" i="4"/>
  <c r="F52" i="4"/>
  <c r="G52" i="4" s="1"/>
  <c r="E52" i="4"/>
  <c r="D52" i="4"/>
  <c r="B52" i="4"/>
  <c r="F51" i="4"/>
  <c r="E51" i="4"/>
  <c r="D51" i="4"/>
  <c r="B51" i="4"/>
  <c r="I50" i="4"/>
  <c r="D50" i="4"/>
  <c r="E50" i="4" s="1"/>
  <c r="F50" i="4" s="1"/>
  <c r="G50" i="4" s="1"/>
  <c r="B50" i="4"/>
  <c r="E49" i="4"/>
  <c r="F49" i="4" s="1"/>
  <c r="G49" i="4" s="1"/>
  <c r="D49" i="4"/>
  <c r="B49" i="4"/>
  <c r="F48" i="4"/>
  <c r="G48" i="4" s="1"/>
  <c r="E48" i="4"/>
  <c r="D48" i="4"/>
  <c r="B48" i="4"/>
  <c r="F47" i="4"/>
  <c r="E47" i="4"/>
  <c r="D47" i="4"/>
  <c r="B47" i="4"/>
  <c r="G46" i="4"/>
  <c r="F46" i="4"/>
  <c r="D46" i="4"/>
  <c r="E46" i="4" s="1"/>
  <c r="B46" i="4"/>
  <c r="D45" i="4"/>
  <c r="E45" i="4" s="1"/>
  <c r="F45" i="4" s="1"/>
  <c r="G45" i="4" s="1"/>
  <c r="B45" i="4"/>
  <c r="F44" i="4"/>
  <c r="G44" i="4" s="1"/>
  <c r="E44" i="4"/>
  <c r="D44" i="4"/>
  <c r="B44" i="4"/>
  <c r="F43" i="4"/>
  <c r="E43" i="4"/>
  <c r="D43" i="4"/>
  <c r="B43" i="4"/>
  <c r="F42" i="4"/>
  <c r="G42" i="4" s="1"/>
  <c r="D42" i="4"/>
  <c r="E42" i="4" s="1"/>
  <c r="B42" i="4"/>
  <c r="D41" i="4"/>
  <c r="E41" i="4" s="1"/>
  <c r="F41" i="4" s="1"/>
  <c r="G41" i="4" s="1"/>
  <c r="B41" i="4"/>
  <c r="F40" i="4"/>
  <c r="E40" i="4"/>
  <c r="D40" i="4"/>
  <c r="B40" i="4"/>
  <c r="F39" i="4"/>
  <c r="E39" i="4"/>
  <c r="D39" i="4"/>
  <c r="B39" i="4"/>
  <c r="D38" i="4"/>
  <c r="E38" i="4" s="1"/>
  <c r="F38" i="4" s="1"/>
  <c r="G38" i="4" s="1"/>
  <c r="B38" i="4"/>
  <c r="F37" i="4"/>
  <c r="E37" i="4"/>
  <c r="D37" i="4"/>
  <c r="B37" i="4"/>
  <c r="F36" i="4"/>
  <c r="E36" i="4"/>
  <c r="D36" i="4"/>
  <c r="B36" i="4"/>
  <c r="F35" i="4"/>
  <c r="E35" i="4"/>
  <c r="D35" i="4"/>
  <c r="B35" i="4"/>
  <c r="D34" i="4"/>
  <c r="E34" i="4" s="1"/>
  <c r="F34" i="4" s="1"/>
  <c r="G34" i="4" s="1"/>
  <c r="B34" i="4"/>
  <c r="D33" i="4"/>
  <c r="E33" i="4" s="1"/>
  <c r="F33" i="4" s="1"/>
  <c r="G33" i="4" s="1"/>
  <c r="B33" i="4"/>
  <c r="F32" i="4"/>
  <c r="G32" i="4" s="1"/>
  <c r="E32" i="4"/>
  <c r="D32" i="4"/>
  <c r="B32" i="4"/>
  <c r="E31" i="4"/>
  <c r="F31" i="4" s="1"/>
  <c r="G31" i="4" s="1"/>
  <c r="D31" i="4"/>
  <c r="B31" i="4"/>
  <c r="F30" i="4"/>
  <c r="G30" i="4" s="1"/>
  <c r="D30" i="4"/>
  <c r="E30" i="4" s="1"/>
  <c r="B30" i="4"/>
  <c r="D29" i="4"/>
  <c r="E29" i="4" s="1"/>
  <c r="F29" i="4" s="1"/>
  <c r="G29" i="4" s="1"/>
  <c r="B29" i="4"/>
  <c r="F28" i="4"/>
  <c r="G28" i="4" s="1"/>
  <c r="E28" i="4"/>
  <c r="D28" i="4"/>
  <c r="B28" i="4"/>
  <c r="E27" i="4"/>
  <c r="F27" i="4" s="1"/>
  <c r="G27" i="4" s="1"/>
  <c r="D27" i="4"/>
  <c r="B27" i="4"/>
  <c r="I26" i="4"/>
  <c r="D26" i="4"/>
  <c r="E26" i="4" s="1"/>
  <c r="F26" i="4" s="1"/>
  <c r="G26" i="4" s="1"/>
  <c r="B26" i="4"/>
  <c r="D25" i="4"/>
  <c r="E25" i="4" s="1"/>
  <c r="F25" i="4" s="1"/>
  <c r="G25" i="4" s="1"/>
  <c r="B25" i="4"/>
  <c r="E24" i="4"/>
  <c r="F24" i="4" s="1"/>
  <c r="G24" i="4" s="1"/>
  <c r="D24" i="4"/>
  <c r="B24" i="4"/>
  <c r="E23" i="4"/>
  <c r="F23" i="4" s="1"/>
  <c r="G23" i="4" s="1"/>
  <c r="D23" i="4"/>
  <c r="B23" i="4"/>
  <c r="D22" i="4"/>
  <c r="E22" i="4" s="1"/>
  <c r="F22" i="4" s="1"/>
  <c r="G22" i="4" s="1"/>
  <c r="B22" i="4"/>
  <c r="E21" i="4"/>
  <c r="F21" i="4" s="1"/>
  <c r="G21" i="4" s="1"/>
  <c r="D21" i="4"/>
  <c r="B21" i="4"/>
  <c r="E20" i="4"/>
  <c r="F20" i="4" s="1"/>
  <c r="G20" i="4" s="1"/>
  <c r="D20" i="4"/>
  <c r="B20" i="4"/>
  <c r="F19" i="4"/>
  <c r="G19" i="4" s="1"/>
  <c r="E19" i="4"/>
  <c r="D19" i="4"/>
  <c r="B19" i="4"/>
  <c r="D18" i="4"/>
  <c r="E18" i="4" s="1"/>
  <c r="F18" i="4" s="1"/>
  <c r="G18" i="4" s="1"/>
  <c r="B18" i="4"/>
  <c r="E17" i="4"/>
  <c r="F17" i="4" s="1"/>
  <c r="G17" i="4" s="1"/>
  <c r="D17" i="4"/>
  <c r="B17" i="4"/>
  <c r="E16" i="4"/>
  <c r="F16" i="4" s="1"/>
  <c r="G16" i="4" s="1"/>
  <c r="D16" i="4"/>
  <c r="B16" i="4"/>
  <c r="F15" i="4"/>
  <c r="E15" i="4"/>
  <c r="D15" i="4"/>
  <c r="B15" i="4"/>
  <c r="D14" i="4"/>
  <c r="E14" i="4" s="1"/>
  <c r="F14" i="4" s="1"/>
  <c r="G14" i="4" s="1"/>
  <c r="B14" i="4"/>
  <c r="D13" i="4"/>
  <c r="E13" i="4" s="1"/>
  <c r="F13" i="4" s="1"/>
  <c r="G13" i="4" s="1"/>
  <c r="B13" i="4"/>
  <c r="E12" i="4"/>
  <c r="F12" i="4" s="1"/>
  <c r="G12" i="4" s="1"/>
  <c r="D12" i="4"/>
  <c r="B12" i="4"/>
  <c r="E11" i="4"/>
  <c r="F11" i="4" s="1"/>
  <c r="G11" i="4" s="1"/>
  <c r="D11" i="4"/>
  <c r="B11" i="4"/>
  <c r="F10" i="4"/>
  <c r="G10" i="4" s="1"/>
  <c r="D10" i="4"/>
  <c r="E10" i="4" s="1"/>
  <c r="B10" i="4"/>
  <c r="E9" i="4"/>
  <c r="F9" i="4" s="1"/>
  <c r="G9" i="4" s="1"/>
  <c r="D9" i="4"/>
  <c r="B9" i="4"/>
  <c r="D8" i="4"/>
  <c r="E8" i="4" s="1"/>
  <c r="F8" i="4" s="1"/>
  <c r="G8" i="4" s="1"/>
  <c r="B8" i="4"/>
  <c r="T7" i="4"/>
  <c r="I54" i="4" s="1"/>
  <c r="E7" i="4"/>
  <c r="F7" i="4" s="1"/>
  <c r="G7" i="4" s="1"/>
  <c r="D7" i="4"/>
  <c r="B7" i="4"/>
  <c r="E6" i="4"/>
  <c r="D6" i="4"/>
  <c r="B6" i="4"/>
  <c r="T5" i="4"/>
  <c r="G58" i="4" s="1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K66" i="3" s="1"/>
  <c r="B2" i="3"/>
  <c r="Q70" i="2"/>
  <c r="P70" i="2"/>
  <c r="O70" i="2"/>
  <c r="N70" i="2"/>
  <c r="M70" i="2"/>
  <c r="L70" i="2"/>
  <c r="H70" i="2"/>
  <c r="C70" i="2"/>
  <c r="I69" i="2"/>
  <c r="E69" i="2"/>
  <c r="F69" i="2" s="1"/>
  <c r="G69" i="2" s="1"/>
  <c r="J69" i="2" s="1"/>
  <c r="D69" i="2"/>
  <c r="B69" i="2"/>
  <c r="D68" i="2"/>
  <c r="E68" i="2" s="1"/>
  <c r="F68" i="2" s="1"/>
  <c r="G68" i="2" s="1"/>
  <c r="B68" i="2"/>
  <c r="F67" i="2"/>
  <c r="G67" i="2" s="1"/>
  <c r="D67" i="2"/>
  <c r="E67" i="2" s="1"/>
  <c r="B67" i="2"/>
  <c r="I66" i="2"/>
  <c r="F66" i="2"/>
  <c r="G66" i="2" s="1"/>
  <c r="J66" i="2" s="1"/>
  <c r="E66" i="2"/>
  <c r="D66" i="2"/>
  <c r="B66" i="2"/>
  <c r="D65" i="2"/>
  <c r="E65" i="2" s="1"/>
  <c r="B65" i="2"/>
  <c r="D64" i="2"/>
  <c r="E64" i="2" s="1"/>
  <c r="F64" i="2" s="1"/>
  <c r="G64" i="2" s="1"/>
  <c r="B64" i="2"/>
  <c r="I63" i="2"/>
  <c r="G63" i="2"/>
  <c r="J63" i="2" s="1"/>
  <c r="F63" i="2"/>
  <c r="D63" i="2"/>
  <c r="E63" i="2" s="1"/>
  <c r="B63" i="2"/>
  <c r="I62" i="2"/>
  <c r="D62" i="2"/>
  <c r="E62" i="2" s="1"/>
  <c r="F62" i="2" s="1"/>
  <c r="G62" i="2" s="1"/>
  <c r="J62" i="2" s="1"/>
  <c r="B62" i="2"/>
  <c r="D61" i="2"/>
  <c r="E61" i="2" s="1"/>
  <c r="B61" i="2"/>
  <c r="D60" i="2"/>
  <c r="E60" i="2" s="1"/>
  <c r="F60" i="2" s="1"/>
  <c r="G60" i="2" s="1"/>
  <c r="B60" i="2"/>
  <c r="D59" i="2"/>
  <c r="E59" i="2" s="1"/>
  <c r="F59" i="2" s="1"/>
  <c r="G59" i="2" s="1"/>
  <c r="B59" i="2"/>
  <c r="E58" i="2"/>
  <c r="F58" i="2" s="1"/>
  <c r="G58" i="2" s="1"/>
  <c r="D58" i="2"/>
  <c r="B58" i="2"/>
  <c r="I57" i="2"/>
  <c r="D57" i="2"/>
  <c r="E57" i="2" s="1"/>
  <c r="F57" i="2" s="1"/>
  <c r="G57" i="2" s="1"/>
  <c r="J57" i="2" s="1"/>
  <c r="B57" i="2"/>
  <c r="D56" i="2"/>
  <c r="E56" i="2" s="1"/>
  <c r="F56" i="2" s="1"/>
  <c r="G56" i="2" s="1"/>
  <c r="B56" i="2"/>
  <c r="F55" i="2"/>
  <c r="G55" i="2" s="1"/>
  <c r="D55" i="2"/>
  <c r="E55" i="2" s="1"/>
  <c r="B55" i="2"/>
  <c r="I54" i="2"/>
  <c r="E54" i="2"/>
  <c r="F54" i="2" s="1"/>
  <c r="G54" i="2" s="1"/>
  <c r="J54" i="2" s="1"/>
  <c r="D54" i="2"/>
  <c r="B54" i="2"/>
  <c r="I53" i="2"/>
  <c r="E53" i="2"/>
  <c r="F53" i="2" s="1"/>
  <c r="G53" i="2" s="1"/>
  <c r="J53" i="2" s="1"/>
  <c r="D53" i="2"/>
  <c r="B53" i="2"/>
  <c r="D52" i="2"/>
  <c r="E52" i="2" s="1"/>
  <c r="F52" i="2" s="1"/>
  <c r="G52" i="2" s="1"/>
  <c r="B52" i="2"/>
  <c r="F51" i="2"/>
  <c r="G51" i="2" s="1"/>
  <c r="D51" i="2"/>
  <c r="E51" i="2" s="1"/>
  <c r="B51" i="2"/>
  <c r="I50" i="2"/>
  <c r="F50" i="2"/>
  <c r="G50" i="2" s="1"/>
  <c r="J50" i="2" s="1"/>
  <c r="E50" i="2"/>
  <c r="D50" i="2"/>
  <c r="B50" i="2"/>
  <c r="D49" i="2"/>
  <c r="E49" i="2" s="1"/>
  <c r="F49" i="2" s="1"/>
  <c r="G49" i="2" s="1"/>
  <c r="B49" i="2"/>
  <c r="D48" i="2"/>
  <c r="E48" i="2" s="1"/>
  <c r="F48" i="2" s="1"/>
  <c r="G48" i="2" s="1"/>
  <c r="B48" i="2"/>
  <c r="I47" i="2"/>
  <c r="G47" i="2"/>
  <c r="J47" i="2" s="1"/>
  <c r="F47" i="2"/>
  <c r="D47" i="2"/>
  <c r="E47" i="2" s="1"/>
  <c r="B47" i="2"/>
  <c r="I46" i="2"/>
  <c r="D46" i="2"/>
  <c r="E46" i="2" s="1"/>
  <c r="F46" i="2" s="1"/>
  <c r="G46" i="2" s="1"/>
  <c r="J46" i="2" s="1"/>
  <c r="B46" i="2"/>
  <c r="D45" i="2"/>
  <c r="E45" i="2" s="1"/>
  <c r="B45" i="2"/>
  <c r="D44" i="2"/>
  <c r="E44" i="2" s="1"/>
  <c r="F44" i="2" s="1"/>
  <c r="G44" i="2" s="1"/>
  <c r="B44" i="2"/>
  <c r="D43" i="2"/>
  <c r="E43" i="2" s="1"/>
  <c r="F43" i="2" s="1"/>
  <c r="G43" i="2" s="1"/>
  <c r="B43" i="2"/>
  <c r="I42" i="2"/>
  <c r="E42" i="2"/>
  <c r="F42" i="2" s="1"/>
  <c r="G42" i="2" s="1"/>
  <c r="J42" i="2" s="1"/>
  <c r="D42" i="2"/>
  <c r="B42" i="2"/>
  <c r="I41" i="2"/>
  <c r="D41" i="2"/>
  <c r="E41" i="2" s="1"/>
  <c r="F41" i="2" s="1"/>
  <c r="G41" i="2" s="1"/>
  <c r="J41" i="2" s="1"/>
  <c r="B41" i="2"/>
  <c r="D40" i="2"/>
  <c r="E40" i="2" s="1"/>
  <c r="F40" i="2" s="1"/>
  <c r="G40" i="2" s="1"/>
  <c r="B40" i="2"/>
  <c r="F39" i="2"/>
  <c r="G39" i="2" s="1"/>
  <c r="D39" i="2"/>
  <c r="E39" i="2" s="1"/>
  <c r="B39" i="2"/>
  <c r="I38" i="2"/>
  <c r="E38" i="2"/>
  <c r="F38" i="2" s="1"/>
  <c r="G38" i="2" s="1"/>
  <c r="J38" i="2" s="1"/>
  <c r="D38" i="2"/>
  <c r="B38" i="2"/>
  <c r="I37" i="2"/>
  <c r="E37" i="2"/>
  <c r="F37" i="2" s="1"/>
  <c r="G37" i="2" s="1"/>
  <c r="J37" i="2" s="1"/>
  <c r="D37" i="2"/>
  <c r="B37" i="2"/>
  <c r="D36" i="2"/>
  <c r="E36" i="2" s="1"/>
  <c r="F36" i="2" s="1"/>
  <c r="G36" i="2" s="1"/>
  <c r="B36" i="2"/>
  <c r="F35" i="2"/>
  <c r="G35" i="2" s="1"/>
  <c r="D35" i="2"/>
  <c r="E35" i="2" s="1"/>
  <c r="B35" i="2"/>
  <c r="I34" i="2"/>
  <c r="F34" i="2"/>
  <c r="G34" i="2" s="1"/>
  <c r="J34" i="2" s="1"/>
  <c r="E34" i="2"/>
  <c r="D34" i="2"/>
  <c r="B34" i="2"/>
  <c r="D33" i="2"/>
  <c r="E33" i="2" s="1"/>
  <c r="F33" i="2" s="1"/>
  <c r="G33" i="2" s="1"/>
  <c r="B33" i="2"/>
  <c r="D32" i="2"/>
  <c r="E32" i="2" s="1"/>
  <c r="F32" i="2" s="1"/>
  <c r="G32" i="2" s="1"/>
  <c r="B32" i="2"/>
  <c r="I31" i="2"/>
  <c r="G31" i="2"/>
  <c r="J31" i="2" s="1"/>
  <c r="F31" i="2"/>
  <c r="D31" i="2"/>
  <c r="E31" i="2" s="1"/>
  <c r="B31" i="2"/>
  <c r="I30" i="2"/>
  <c r="D30" i="2"/>
  <c r="E30" i="2" s="1"/>
  <c r="F30" i="2" s="1"/>
  <c r="G30" i="2" s="1"/>
  <c r="J30" i="2" s="1"/>
  <c r="B30" i="2"/>
  <c r="I29" i="2"/>
  <c r="D29" i="2"/>
  <c r="E29" i="2" s="1"/>
  <c r="B29" i="2"/>
  <c r="D28" i="2"/>
  <c r="E28" i="2" s="1"/>
  <c r="F28" i="2" s="1"/>
  <c r="G28" i="2" s="1"/>
  <c r="B28" i="2"/>
  <c r="D27" i="2"/>
  <c r="E27" i="2" s="1"/>
  <c r="F27" i="2" s="1"/>
  <c r="G27" i="2" s="1"/>
  <c r="B27" i="2"/>
  <c r="I26" i="2"/>
  <c r="E26" i="2"/>
  <c r="F26" i="2" s="1"/>
  <c r="G26" i="2" s="1"/>
  <c r="J26" i="2" s="1"/>
  <c r="D26" i="2"/>
  <c r="B26" i="2"/>
  <c r="I25" i="2"/>
  <c r="D25" i="2"/>
  <c r="E25" i="2" s="1"/>
  <c r="F25" i="2" s="1"/>
  <c r="G25" i="2" s="1"/>
  <c r="J25" i="2" s="1"/>
  <c r="B25" i="2"/>
  <c r="D24" i="2"/>
  <c r="E24" i="2" s="1"/>
  <c r="F24" i="2" s="1"/>
  <c r="G24" i="2" s="1"/>
  <c r="B24" i="2"/>
  <c r="D23" i="2"/>
  <c r="E23" i="2" s="1"/>
  <c r="F23" i="2" s="1"/>
  <c r="G23" i="2" s="1"/>
  <c r="B23" i="2"/>
  <c r="D22" i="2"/>
  <c r="E22" i="2" s="1"/>
  <c r="F22" i="2" s="1"/>
  <c r="G22" i="2" s="1"/>
  <c r="B22" i="2"/>
  <c r="I21" i="2"/>
  <c r="D21" i="2"/>
  <c r="E21" i="2" s="1"/>
  <c r="F21" i="2" s="1"/>
  <c r="G21" i="2" s="1"/>
  <c r="J21" i="2" s="1"/>
  <c r="B21" i="2"/>
  <c r="D20" i="2"/>
  <c r="E20" i="2" s="1"/>
  <c r="F20" i="2" s="1"/>
  <c r="G20" i="2" s="1"/>
  <c r="B20" i="2"/>
  <c r="D19" i="2"/>
  <c r="E19" i="2" s="1"/>
  <c r="F19" i="2" s="1"/>
  <c r="G19" i="2" s="1"/>
  <c r="B19" i="2"/>
  <c r="T18" i="2"/>
  <c r="I18" i="2"/>
  <c r="D18" i="2"/>
  <c r="E18" i="2" s="1"/>
  <c r="F18" i="2" s="1"/>
  <c r="G18" i="2" s="1"/>
  <c r="J18" i="2" s="1"/>
  <c r="B18" i="2"/>
  <c r="T17" i="2"/>
  <c r="I17" i="2"/>
  <c r="E17" i="2"/>
  <c r="F17" i="2" s="1"/>
  <c r="G17" i="2" s="1"/>
  <c r="J17" i="2" s="1"/>
  <c r="D17" i="2"/>
  <c r="B17" i="2"/>
  <c r="T16" i="2"/>
  <c r="I16" i="2"/>
  <c r="D16" i="2"/>
  <c r="E16" i="2" s="1"/>
  <c r="F16" i="2" s="1"/>
  <c r="G16" i="2" s="1"/>
  <c r="J16" i="2" s="1"/>
  <c r="B16" i="2"/>
  <c r="D15" i="2"/>
  <c r="E15" i="2" s="1"/>
  <c r="F15" i="2" s="1"/>
  <c r="G15" i="2" s="1"/>
  <c r="B15" i="2"/>
  <c r="T14" i="2"/>
  <c r="I14" i="2"/>
  <c r="D14" i="2"/>
  <c r="E14" i="2" s="1"/>
  <c r="F14" i="2" s="1"/>
  <c r="G14" i="2" s="1"/>
  <c r="J14" i="2" s="1"/>
  <c r="B14" i="2"/>
  <c r="I13" i="2"/>
  <c r="D13" i="2"/>
  <c r="E13" i="2" s="1"/>
  <c r="F13" i="2" s="1"/>
  <c r="G13" i="2" s="1"/>
  <c r="J13" i="2" s="1"/>
  <c r="B13" i="2"/>
  <c r="I12" i="2"/>
  <c r="D12" i="2"/>
  <c r="E12" i="2" s="1"/>
  <c r="F12" i="2" s="1"/>
  <c r="G12" i="2" s="1"/>
  <c r="J12" i="2" s="1"/>
  <c r="B12" i="2"/>
  <c r="I11" i="2"/>
  <c r="E11" i="2"/>
  <c r="F11" i="2" s="1"/>
  <c r="G11" i="2" s="1"/>
  <c r="J11" i="2" s="1"/>
  <c r="D11" i="2"/>
  <c r="B11" i="2"/>
  <c r="I10" i="2"/>
  <c r="D10" i="2"/>
  <c r="E10" i="2" s="1"/>
  <c r="F10" i="2" s="1"/>
  <c r="G10" i="2" s="1"/>
  <c r="J10" i="2" s="1"/>
  <c r="B10" i="2"/>
  <c r="T9" i="2"/>
  <c r="I9" i="2"/>
  <c r="E9" i="2"/>
  <c r="F9" i="2" s="1"/>
  <c r="G9" i="2" s="1"/>
  <c r="J9" i="2" s="1"/>
  <c r="D9" i="2"/>
  <c r="B9" i="2"/>
  <c r="T8" i="2"/>
  <c r="D8" i="2"/>
  <c r="E8" i="2" s="1"/>
  <c r="F8" i="2" s="1"/>
  <c r="G8" i="2" s="1"/>
  <c r="B8" i="2"/>
  <c r="T7" i="2"/>
  <c r="I7" i="2"/>
  <c r="D7" i="2"/>
  <c r="E7" i="2" s="1"/>
  <c r="F7" i="2" s="1"/>
  <c r="G7" i="2" s="1"/>
  <c r="J7" i="2" s="1"/>
  <c r="B7" i="2"/>
  <c r="I6" i="2"/>
  <c r="E6" i="2"/>
  <c r="D6" i="2"/>
  <c r="D70" i="2" s="1"/>
  <c r="B6" i="2"/>
  <c r="T5" i="2"/>
  <c r="I5" i="2"/>
  <c r="I4" i="2"/>
  <c r="I3" i="2"/>
  <c r="H2" i="1"/>
  <c r="G2" i="1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U64" i="27"/>
  <c r="AG40" i="27"/>
  <c r="I35" i="27"/>
  <c r="Q32" i="27"/>
  <c r="I54" i="27"/>
  <c r="AG18" i="27"/>
  <c r="U7" i="27"/>
  <c r="M56" i="27"/>
  <c r="Y54" i="27"/>
  <c r="E43" i="27"/>
  <c r="E35" i="27"/>
  <c r="AC23" i="27"/>
  <c r="M47" i="27"/>
  <c r="Q21" i="27"/>
  <c r="AK61" i="27"/>
  <c r="AC48" i="27"/>
  <c r="AG12" i="27"/>
  <c r="U44" i="27"/>
  <c r="M48" i="27"/>
  <c r="AC28" i="27"/>
  <c r="AC24" i="27"/>
  <c r="Y38" i="27"/>
  <c r="AG41" i="27"/>
  <c r="AG29" i="27"/>
  <c r="U62" i="27"/>
  <c r="AK17" i="27"/>
  <c r="AC52" i="27"/>
  <c r="Y46" i="27"/>
  <c r="Y26" i="27"/>
  <c r="I3" i="27"/>
  <c r="M37" i="27"/>
  <c r="M60" i="27"/>
  <c r="Y40" i="27"/>
  <c r="Y4" i="27"/>
  <c r="E24" i="27"/>
  <c r="AK60" i="27"/>
  <c r="Y58" i="27"/>
  <c r="AK26" i="27"/>
  <c r="AC4" i="27"/>
  <c r="Y44" i="27"/>
  <c r="AK56" i="27"/>
  <c r="I62" i="27"/>
  <c r="Y16" i="27"/>
  <c r="AG21" i="27"/>
  <c r="Y64" i="27"/>
  <c r="Q57" i="27"/>
  <c r="I16" i="27"/>
  <c r="AC11" i="27"/>
  <c r="R66" i="27"/>
  <c r="M28" i="27"/>
  <c r="Q18" i="27"/>
  <c r="M29" i="27"/>
  <c r="E52" i="27"/>
  <c r="Q49" i="27"/>
  <c r="M55" i="27"/>
  <c r="M36" i="27"/>
  <c r="M10" i="27"/>
  <c r="AG35" i="27"/>
  <c r="E14" i="27"/>
  <c r="U63" i="27"/>
  <c r="Y35" i="27"/>
  <c r="U66" i="27"/>
  <c r="Y48" i="27"/>
  <c r="E13" i="27"/>
  <c r="Y3" i="27"/>
  <c r="AK30" i="27"/>
  <c r="M53" i="27"/>
  <c r="AG56" i="27"/>
  <c r="M43" i="27"/>
  <c r="Y19" i="27"/>
  <c r="AG17" i="27"/>
  <c r="M42" i="27"/>
  <c r="Q36" i="27"/>
  <c r="I9" i="27"/>
  <c r="M11" i="27"/>
  <c r="AK62" i="27"/>
  <c r="U10" i="27"/>
  <c r="Y39" i="27"/>
  <c r="AG49" i="27"/>
  <c r="I66" i="27"/>
  <c r="Y27" i="27"/>
  <c r="AK8" i="27"/>
  <c r="U37" i="27"/>
  <c r="I38" i="27"/>
  <c r="U56" i="27"/>
  <c r="U61" i="27"/>
  <c r="I21" i="27"/>
  <c r="Y20" i="27"/>
  <c r="E8" i="27"/>
  <c r="E65" i="27"/>
  <c r="I41" i="27"/>
  <c r="Q24" i="27"/>
  <c r="AC16" i="27"/>
  <c r="AK54" i="27"/>
  <c r="I37" i="27"/>
  <c r="AG47" i="27"/>
  <c r="E12" i="27"/>
  <c r="U54" i="27"/>
  <c r="AK34" i="27"/>
  <c r="Q46" i="27"/>
  <c r="M6" i="27"/>
  <c r="AG53" i="27"/>
  <c r="AC19" i="27"/>
  <c r="AK10" i="27"/>
  <c r="U40" i="27"/>
  <c r="Q41" i="27"/>
  <c r="Y60" i="27"/>
  <c r="U38" i="27"/>
  <c r="M16" i="27"/>
  <c r="U21" i="27"/>
  <c r="AK31" i="27"/>
  <c r="AK4" i="27"/>
  <c r="E45" i="27"/>
  <c r="AK13" i="27"/>
  <c r="Q51" i="27"/>
  <c r="AG31" i="27"/>
  <c r="U29" i="27"/>
  <c r="Q3" i="27"/>
  <c r="AG9" i="27"/>
  <c r="I29" i="27"/>
  <c r="U3" i="27"/>
  <c r="E28" i="27"/>
  <c r="I7" i="27"/>
  <c r="AG14" i="27"/>
  <c r="M65" i="27"/>
  <c r="I51" i="27"/>
  <c r="E23" i="27"/>
  <c r="I28" i="27"/>
  <c r="AK33" i="27"/>
  <c r="I11" i="27"/>
  <c r="U41" i="27"/>
  <c r="U36" i="27"/>
  <c r="AC62" i="27"/>
  <c r="AG38" i="27"/>
  <c r="AG22" i="27"/>
  <c r="AK5" i="27"/>
  <c r="Q27" i="27"/>
  <c r="AG37" i="27"/>
  <c r="Y30" i="27"/>
  <c r="E6" i="27"/>
  <c r="E49" i="27"/>
  <c r="AK50" i="27"/>
  <c r="AC64" i="27"/>
  <c r="Q59" i="27"/>
  <c r="Y6" i="27"/>
  <c r="I33" i="27"/>
  <c r="Y51" i="27"/>
  <c r="AC54" i="27"/>
  <c r="E18" i="27"/>
  <c r="AG8" i="27"/>
  <c r="U49" i="27"/>
  <c r="U50" i="27"/>
  <c r="AG15" i="27"/>
  <c r="Y7" i="27"/>
  <c r="E3" i="27"/>
  <c r="I39" i="27"/>
  <c r="I52" i="27"/>
  <c r="AC15" i="27"/>
  <c r="U6" i="27"/>
  <c r="M35" i="27"/>
  <c r="Q13" i="27"/>
  <c r="E55" i="27"/>
  <c r="E60" i="27"/>
  <c r="AC51" i="27"/>
  <c r="Q6" i="27"/>
  <c r="Q33" i="27"/>
  <c r="AK42" i="27"/>
  <c r="AK59" i="27"/>
  <c r="AK21" i="27"/>
  <c r="M44" i="27"/>
  <c r="U42" i="27"/>
  <c r="M12" i="27"/>
  <c r="U19" i="27"/>
  <c r="AK19" i="27"/>
  <c r="AC35" i="27"/>
  <c r="U48" i="27"/>
  <c r="Y36" i="27"/>
  <c r="Y10" i="27"/>
  <c r="Q61" i="27"/>
  <c r="I36" i="27"/>
  <c r="E32" i="27"/>
  <c r="M22" i="27"/>
  <c r="I43" i="27"/>
  <c r="I46" i="27"/>
  <c r="AC7" i="27"/>
  <c r="AG24" i="27"/>
  <c r="Y18" i="27"/>
  <c r="AC60" i="27"/>
  <c r="E41" i="27"/>
  <c r="M7" i="27"/>
  <c r="Q37" i="27"/>
  <c r="Q53" i="27"/>
  <c r="M54" i="27"/>
  <c r="AK45" i="27"/>
  <c r="AC17" i="27"/>
  <c r="M5" i="27"/>
  <c r="AG26" i="27"/>
  <c r="I49" i="27"/>
  <c r="Y42" i="27"/>
  <c r="AK20" i="27"/>
  <c r="I17" i="27"/>
  <c r="M34" i="27"/>
  <c r="U27" i="27"/>
  <c r="M45" i="27"/>
  <c r="U17" i="27"/>
  <c r="Y31" i="27"/>
  <c r="E27" i="27"/>
  <c r="AC31" i="27"/>
  <c r="E19" i="27"/>
  <c r="AG36" i="27"/>
  <c r="E66" i="27"/>
  <c r="AG61" i="27"/>
  <c r="E50" i="27"/>
  <c r="AK22" i="27"/>
  <c r="AG13" i="27"/>
  <c r="M59" i="27"/>
  <c r="Y34" i="27"/>
  <c r="I18" i="27"/>
  <c r="AK14" i="27"/>
  <c r="E48" i="27"/>
  <c r="E4" i="27"/>
  <c r="M9" i="27"/>
  <c r="Q4" i="27"/>
  <c r="U28" i="27"/>
  <c r="Y53" i="27"/>
  <c r="AK23" i="27"/>
  <c r="E11" i="27"/>
  <c r="AG16" i="27"/>
  <c r="U22" i="27"/>
  <c r="R9" i="27"/>
  <c r="AG48" i="27"/>
  <c r="Y49" i="27"/>
  <c r="Y43" i="27"/>
  <c r="AC47" i="27"/>
  <c r="AK29" i="27"/>
  <c r="AK39" i="27"/>
  <c r="AG64" i="27"/>
  <c r="AC32" i="27"/>
  <c r="AG20" i="27"/>
  <c r="I23" i="27"/>
  <c r="AC10" i="27"/>
  <c r="AG59" i="27"/>
  <c r="E62" i="27"/>
  <c r="Y21" i="27"/>
  <c r="AG54" i="27"/>
  <c r="Y55" i="27"/>
  <c r="E33" i="27"/>
  <c r="E61" i="27"/>
  <c r="AK16" i="27"/>
  <c r="E40" i="27"/>
  <c r="E46" i="27"/>
  <c r="E63" i="27"/>
  <c r="AK51" i="27"/>
  <c r="AG5" i="27"/>
  <c r="M3" i="27"/>
  <c r="I47" i="27"/>
  <c r="AC38" i="27"/>
  <c r="I14" i="27"/>
  <c r="Q16" i="27"/>
  <c r="AC45" i="27"/>
  <c r="M38" i="27"/>
  <c r="U60" i="27"/>
  <c r="Y8" i="27"/>
  <c r="AK12" i="27"/>
  <c r="Q39" i="27"/>
  <c r="U52" i="27"/>
  <c r="AK58" i="27"/>
  <c r="AG43" i="27"/>
  <c r="E36" i="27"/>
  <c r="Q17" i="27"/>
  <c r="E7" i="27"/>
  <c r="U30" i="27"/>
  <c r="Y33" i="27"/>
  <c r="Y5" i="27"/>
  <c r="AC46" i="27"/>
  <c r="I53" i="27"/>
  <c r="U35" i="27"/>
  <c r="AC56" i="27"/>
  <c r="E42" i="27"/>
  <c r="AG27" i="27"/>
  <c r="U16" i="27"/>
  <c r="M46" i="27"/>
  <c r="M49" i="27"/>
  <c r="I4" i="27"/>
  <c r="M66" i="27"/>
  <c r="AC50" i="27"/>
  <c r="Q34" i="27"/>
  <c r="E29" i="27"/>
  <c r="U53" i="27"/>
  <c r="E31" i="27"/>
  <c r="AK43" i="27"/>
  <c r="Y28" i="27"/>
  <c r="AC58" i="27"/>
  <c r="AG57" i="27"/>
  <c r="Q47" i="27"/>
  <c r="Q20" i="27"/>
  <c r="AG3" i="27"/>
  <c r="AC61" i="27"/>
  <c r="Y29" i="27"/>
  <c r="AG7" i="27"/>
  <c r="Y12" i="27"/>
  <c r="U65" i="27"/>
  <c r="U34" i="27"/>
  <c r="I57" i="27"/>
  <c r="Y37" i="27"/>
  <c r="E51" i="27"/>
  <c r="Q66" i="27"/>
  <c r="I42" i="27"/>
  <c r="AG19" i="27"/>
  <c r="Y24" i="27"/>
  <c r="AC63" i="27"/>
  <c r="M39" i="27"/>
  <c r="Q19" i="27"/>
  <c r="I24" i="27"/>
  <c r="M41" i="27"/>
  <c r="I6" i="27"/>
  <c r="AK24" i="27"/>
  <c r="Q60" i="27"/>
  <c r="AC5" i="27"/>
  <c r="E64" i="27"/>
  <c r="AK18" i="27"/>
  <c r="M61" i="27"/>
  <c r="Q40" i="27"/>
  <c r="M57" i="27"/>
  <c r="E44" i="27"/>
  <c r="Q44" i="27"/>
  <c r="U24" i="27"/>
  <c r="E37" i="27"/>
  <c r="E25" i="27"/>
  <c r="AG42" i="27"/>
  <c r="I60" i="27"/>
  <c r="E38" i="27"/>
  <c r="Y13" i="27"/>
  <c r="E21" i="27"/>
  <c r="Y52" i="27"/>
  <c r="AG32" i="27"/>
  <c r="M25" i="27"/>
  <c r="Y65" i="27"/>
  <c r="Q31" i="27"/>
  <c r="U39" i="27"/>
  <c r="AK53" i="27"/>
  <c r="U31" i="27"/>
  <c r="E15" i="27"/>
  <c r="AG11" i="27"/>
  <c r="Q55" i="27"/>
  <c r="E47" i="27"/>
  <c r="AC36" i="27"/>
  <c r="I12" i="27"/>
  <c r="M58" i="27"/>
  <c r="U33" i="27"/>
  <c r="Q29" i="27"/>
  <c r="I19" i="27"/>
  <c r="Q23" i="27"/>
  <c r="AK65" i="27"/>
  <c r="I44" i="27"/>
  <c r="Y25" i="27"/>
  <c r="AG23" i="27"/>
  <c r="Q50" i="27"/>
  <c r="Q45" i="27"/>
  <c r="Q52" i="27"/>
  <c r="E59" i="27"/>
  <c r="U18" i="27"/>
  <c r="I58" i="27"/>
  <c r="U26" i="27"/>
  <c r="M4" i="27"/>
  <c r="U9" i="27"/>
  <c r="AK55" i="27"/>
  <c r="Y62" i="27"/>
  <c r="AK57" i="27"/>
  <c r="E9" i="27"/>
  <c r="E56" i="27"/>
  <c r="AG58" i="27"/>
  <c r="AK3" i="27"/>
  <c r="Q5" i="27"/>
  <c r="AG4" i="27"/>
  <c r="Q26" i="27"/>
  <c r="Y15" i="27"/>
  <c r="AK38" i="27"/>
  <c r="AC59" i="27"/>
  <c r="AK66" i="27"/>
  <c r="AC53" i="27"/>
  <c r="U13" i="27"/>
  <c r="I8" i="27"/>
  <c r="AK47" i="27"/>
  <c r="AK6" i="27"/>
  <c r="AK9" i="27"/>
  <c r="AG52" i="27"/>
  <c r="U59" i="27"/>
  <c r="M50" i="27"/>
  <c r="Q48" i="27"/>
  <c r="I13" i="27"/>
  <c r="M24" i="27"/>
  <c r="Q58" i="27"/>
  <c r="AC66" i="27"/>
  <c r="U32" i="27"/>
  <c r="E16" i="27"/>
  <c r="AG55" i="27"/>
  <c r="Y47" i="27"/>
  <c r="AG45" i="27"/>
  <c r="Q8" i="27"/>
  <c r="Y66" i="27"/>
  <c r="M30" i="27"/>
  <c r="AK7" i="27"/>
  <c r="M23" i="27"/>
  <c r="AK40" i="27"/>
  <c r="I45" i="27"/>
  <c r="I25" i="27"/>
  <c r="I32" i="27"/>
  <c r="M18" i="27"/>
  <c r="AG50" i="27"/>
  <c r="Q28" i="27"/>
  <c r="AC9" i="27"/>
  <c r="M8" i="27"/>
  <c r="Y57" i="27"/>
  <c r="AK11" i="27"/>
  <c r="AC34" i="27"/>
  <c r="AK27" i="27"/>
  <c r="Q25" i="27"/>
  <c r="AG62" i="27"/>
  <c r="AC39" i="27"/>
  <c r="AC21" i="27"/>
  <c r="M20" i="27"/>
  <c r="Q62" i="27"/>
  <c r="AC37" i="27"/>
  <c r="M21" i="27"/>
  <c r="Y17" i="27"/>
  <c r="Q54" i="27"/>
  <c r="AC25" i="27"/>
  <c r="U57" i="27"/>
  <c r="AG60" i="27"/>
  <c r="AG46" i="27"/>
  <c r="AK32" i="27"/>
  <c r="Y63" i="27"/>
  <c r="Q7" i="27"/>
  <c r="AC27" i="27"/>
  <c r="AG51" i="27"/>
  <c r="E34" i="27"/>
  <c r="E30" i="27"/>
  <c r="U4" i="27"/>
  <c r="Y32" i="27"/>
  <c r="M26" i="27"/>
  <c r="I22" i="27"/>
  <c r="Y56" i="27"/>
  <c r="I34" i="27"/>
  <c r="AK15" i="27"/>
  <c r="U14" i="27"/>
  <c r="M14" i="27"/>
  <c r="AK37" i="27"/>
  <c r="AK35" i="27"/>
  <c r="I56" i="27"/>
  <c r="U15" i="27"/>
  <c r="I26" i="27"/>
  <c r="M40" i="27"/>
  <c r="AC30" i="27"/>
  <c r="Y11" i="27"/>
  <c r="AC3" i="27"/>
  <c r="Q65" i="27"/>
  <c r="U45" i="27"/>
  <c r="AK44" i="27"/>
  <c r="AC18" i="27"/>
  <c r="Q64" i="27"/>
  <c r="M32" i="27"/>
  <c r="E10" i="27"/>
  <c r="M15" i="27"/>
  <c r="AC20" i="27"/>
  <c r="M52" i="27"/>
  <c r="Y45" i="27"/>
  <c r="Y23" i="27"/>
  <c r="AK41" i="27"/>
  <c r="U51" i="27"/>
  <c r="I55" i="27"/>
  <c r="I50" i="27"/>
  <c r="E39" i="27"/>
  <c r="I15" i="27"/>
  <c r="M64" i="27"/>
  <c r="Y61" i="27"/>
  <c r="Q15" i="27"/>
  <c r="M51" i="27"/>
  <c r="M17" i="27"/>
  <c r="Q35" i="27"/>
  <c r="AC44" i="27"/>
  <c r="M27" i="27"/>
  <c r="AG44" i="27"/>
  <c r="U43" i="27"/>
  <c r="AC12" i="27"/>
  <c r="AG34" i="27"/>
  <c r="U25" i="27"/>
  <c r="U12" i="27"/>
  <c r="U55" i="27"/>
  <c r="U58" i="27"/>
  <c r="AK49" i="27"/>
  <c r="E57" i="27"/>
  <c r="I10" i="27"/>
  <c r="AG10" i="27"/>
  <c r="Q11" i="27"/>
  <c r="M63" i="27"/>
  <c r="E58" i="27"/>
  <c r="U23" i="27"/>
  <c r="AC57" i="27"/>
  <c r="AG65" i="27"/>
  <c r="Y41" i="27"/>
  <c r="AC29" i="27"/>
  <c r="Q14" i="27"/>
  <c r="Q63" i="27"/>
  <c r="AC33" i="27"/>
  <c r="Y59" i="27"/>
  <c r="Y14" i="27"/>
  <c r="I63" i="27"/>
  <c r="I48" i="27"/>
  <c r="E26" i="27"/>
  <c r="AG25" i="27"/>
  <c r="I20" i="27"/>
  <c r="AK63" i="27"/>
  <c r="I27" i="27"/>
  <c r="U8" i="27"/>
  <c r="M31" i="27"/>
  <c r="AG30" i="27"/>
  <c r="AK52" i="27"/>
  <c r="Q30" i="27"/>
  <c r="Q42" i="27"/>
  <c r="I61" i="27"/>
  <c r="AK46" i="27"/>
  <c r="I40" i="27"/>
  <c r="U20" i="27"/>
  <c r="AC26" i="27"/>
  <c r="U46" i="27"/>
  <c r="AK36" i="27"/>
  <c r="E20" i="27"/>
  <c r="E17" i="27"/>
  <c r="AG6" i="27"/>
  <c r="AC42" i="27"/>
  <c r="I31" i="27"/>
  <c r="Y50" i="27"/>
  <c r="AG39" i="27"/>
  <c r="I65" i="27"/>
  <c r="M33" i="27"/>
  <c r="M19" i="27"/>
  <c r="AK64" i="27"/>
  <c r="AK28" i="27"/>
  <c r="AC55" i="27"/>
  <c r="AK25" i="27"/>
  <c r="AC13" i="27"/>
  <c r="AC22" i="27"/>
  <c r="U5" i="27"/>
  <c r="AK48" i="27"/>
  <c r="Q43" i="27"/>
  <c r="AG33" i="27"/>
  <c r="AC14" i="27"/>
  <c r="AC6" i="27"/>
  <c r="Y9" i="27"/>
  <c r="Q9" i="27"/>
  <c r="E54" i="27"/>
  <c r="AC40" i="27"/>
  <c r="Y22" i="27"/>
  <c r="Q56" i="27"/>
  <c r="AG63" i="27"/>
  <c r="U47" i="27"/>
  <c r="Q10" i="27"/>
  <c r="U11" i="27"/>
  <c r="AC65" i="27"/>
  <c r="AC49" i="27"/>
  <c r="AC43" i="27"/>
  <c r="I5" i="27"/>
  <c r="E53" i="27"/>
  <c r="AG28" i="27"/>
  <c r="Q12" i="27"/>
  <c r="AC8" i="27"/>
  <c r="I64" i="27"/>
  <c r="M62" i="27"/>
  <c r="Q38" i="27"/>
  <c r="Q22" i="27"/>
  <c r="E5" i="27"/>
  <c r="AC41" i="27"/>
  <c r="AG66" i="27"/>
  <c r="E22" i="27"/>
  <c r="M13" i="27"/>
  <c r="I30" i="27"/>
  <c r="I59" i="27"/>
  <c r="K66" i="5" l="1"/>
  <c r="M67" i="27"/>
  <c r="Q67" i="27"/>
  <c r="T9" i="27"/>
  <c r="Y67" i="27"/>
  <c r="AC67" i="27"/>
  <c r="I67" i="27"/>
  <c r="AG67" i="27"/>
  <c r="E67" i="27"/>
  <c r="U67" i="27"/>
  <c r="AK67" i="27"/>
  <c r="T66" i="27"/>
  <c r="J64" i="2"/>
  <c r="J52" i="4"/>
  <c r="J24" i="2"/>
  <c r="J49" i="2"/>
  <c r="F61" i="2"/>
  <c r="G61" i="2" s="1"/>
  <c r="E70" i="2"/>
  <c r="J20" i="2"/>
  <c r="J40" i="2"/>
  <c r="J45" i="4"/>
  <c r="I7" i="4"/>
  <c r="I10" i="4"/>
  <c r="I17" i="4"/>
  <c r="I24" i="4"/>
  <c r="G56" i="4"/>
  <c r="J48" i="6"/>
  <c r="J11" i="8"/>
  <c r="J39" i="8"/>
  <c r="J47" i="8"/>
  <c r="J55" i="8"/>
  <c r="J63" i="8"/>
  <c r="D70" i="4"/>
  <c r="I67" i="4"/>
  <c r="I63" i="4"/>
  <c r="I59" i="4"/>
  <c r="I55" i="4"/>
  <c r="I51" i="4"/>
  <c r="I47" i="4"/>
  <c r="I43" i="4"/>
  <c r="I39" i="4"/>
  <c r="I35" i="4"/>
  <c r="I31" i="4"/>
  <c r="I27" i="4"/>
  <c r="I23" i="4"/>
  <c r="I19" i="4"/>
  <c r="I15" i="4"/>
  <c r="I11" i="4"/>
  <c r="I6" i="4"/>
  <c r="T8" i="4"/>
  <c r="T9" i="4" s="1"/>
  <c r="J63" i="4" s="1"/>
  <c r="I68" i="4"/>
  <c r="I64" i="4"/>
  <c r="I60" i="4"/>
  <c r="I56" i="4"/>
  <c r="I52" i="4"/>
  <c r="I48" i="4"/>
  <c r="I44" i="4"/>
  <c r="I40" i="4"/>
  <c r="I69" i="4"/>
  <c r="I65" i="4"/>
  <c r="I61" i="4"/>
  <c r="I57" i="4"/>
  <c r="I53" i="4"/>
  <c r="I49" i="4"/>
  <c r="I45" i="4"/>
  <c r="I41" i="4"/>
  <c r="I37" i="4"/>
  <c r="I33" i="4"/>
  <c r="I29" i="4"/>
  <c r="I46" i="4"/>
  <c r="J20" i="8"/>
  <c r="J25" i="8"/>
  <c r="R25" i="8" s="1"/>
  <c r="J6" i="10"/>
  <c r="J16" i="8"/>
  <c r="J45" i="8"/>
  <c r="J53" i="8"/>
  <c r="J61" i="8"/>
  <c r="E70" i="4"/>
  <c r="I12" i="4"/>
  <c r="E70" i="6"/>
  <c r="G59" i="4"/>
  <c r="F6" i="2"/>
  <c r="I21" i="4"/>
  <c r="I30" i="4"/>
  <c r="I34" i="4"/>
  <c r="I68" i="2"/>
  <c r="J68" i="2" s="1"/>
  <c r="I64" i="2"/>
  <c r="I60" i="2"/>
  <c r="J60" i="2" s="1"/>
  <c r="I56" i="2"/>
  <c r="J56" i="2" s="1"/>
  <c r="I52" i="2"/>
  <c r="J52" i="2" s="1"/>
  <c r="I48" i="2"/>
  <c r="J48" i="2" s="1"/>
  <c r="I44" i="2"/>
  <c r="J44" i="2" s="1"/>
  <c r="I40" i="2"/>
  <c r="I36" i="2"/>
  <c r="J36" i="2" s="1"/>
  <c r="I32" i="2"/>
  <c r="J32" i="2" s="1"/>
  <c r="I28" i="2"/>
  <c r="J28" i="2" s="1"/>
  <c r="I24" i="2"/>
  <c r="I15" i="2"/>
  <c r="J15" i="2" s="1"/>
  <c r="I20" i="2"/>
  <c r="I27" i="2"/>
  <c r="J27" i="2" s="1"/>
  <c r="I43" i="2"/>
  <c r="J43" i="2" s="1"/>
  <c r="I59" i="2"/>
  <c r="J59" i="2" s="1"/>
  <c r="F65" i="2"/>
  <c r="G65" i="2" s="1"/>
  <c r="I36" i="4"/>
  <c r="G55" i="4"/>
  <c r="J8" i="8"/>
  <c r="J28" i="8"/>
  <c r="J67" i="8"/>
  <c r="E70" i="12"/>
  <c r="I16" i="4"/>
  <c r="I25" i="4"/>
  <c r="G68" i="4"/>
  <c r="J68" i="4" s="1"/>
  <c r="J43" i="8"/>
  <c r="J51" i="8"/>
  <c r="J59" i="8"/>
  <c r="I42" i="4"/>
  <c r="F6" i="4"/>
  <c r="G51" i="4"/>
  <c r="J51" i="4" s="1"/>
  <c r="I33" i="2"/>
  <c r="J33" i="2" s="1"/>
  <c r="I49" i="2"/>
  <c r="I65" i="2"/>
  <c r="I18" i="4"/>
  <c r="G47" i="4"/>
  <c r="J47" i="4" s="1"/>
  <c r="I66" i="4"/>
  <c r="I28" i="4"/>
  <c r="I9" i="4"/>
  <c r="I14" i="4"/>
  <c r="J14" i="4" s="1"/>
  <c r="I32" i="4"/>
  <c r="G36" i="4"/>
  <c r="J36" i="4" s="1"/>
  <c r="I38" i="4"/>
  <c r="G40" i="4"/>
  <c r="J40" i="4" s="1"/>
  <c r="I19" i="2"/>
  <c r="J19" i="2" s="1"/>
  <c r="I23" i="2"/>
  <c r="J23" i="2" s="1"/>
  <c r="F29" i="2"/>
  <c r="G29" i="2" s="1"/>
  <c r="J29" i="2" s="1"/>
  <c r="I39" i="2"/>
  <c r="J39" i="2" s="1"/>
  <c r="F45" i="2"/>
  <c r="G45" i="2" s="1"/>
  <c r="I55" i="2"/>
  <c r="J55" i="2" s="1"/>
  <c r="I3" i="4"/>
  <c r="I8" i="4"/>
  <c r="J8" i="4" s="1"/>
  <c r="G43" i="4"/>
  <c r="J43" i="4" s="1"/>
  <c r="J24" i="8"/>
  <c r="K66" i="14"/>
  <c r="K61" i="14"/>
  <c r="K49" i="14"/>
  <c r="K37" i="14"/>
  <c r="R37" i="14" s="1"/>
  <c r="K33" i="14"/>
  <c r="R33" i="14" s="1"/>
  <c r="K29" i="14"/>
  <c r="K25" i="14"/>
  <c r="K21" i="14"/>
  <c r="K16" i="14"/>
  <c r="K12" i="14"/>
  <c r="K7" i="14"/>
  <c r="K59" i="14"/>
  <c r="K47" i="14"/>
  <c r="K62" i="14"/>
  <c r="K56" i="14"/>
  <c r="K50" i="14"/>
  <c r="K44" i="14"/>
  <c r="K17" i="14"/>
  <c r="K68" i="14"/>
  <c r="K65" i="14"/>
  <c r="K53" i="14"/>
  <c r="K41" i="14"/>
  <c r="K38" i="14"/>
  <c r="K34" i="14"/>
  <c r="K30" i="14"/>
  <c r="K26" i="14"/>
  <c r="K22" i="14"/>
  <c r="K13" i="14"/>
  <c r="K8" i="14"/>
  <c r="K63" i="14"/>
  <c r="K51" i="14"/>
  <c r="R51" i="14" s="1"/>
  <c r="K9" i="14"/>
  <c r="R9" i="14" s="1"/>
  <c r="K60" i="14"/>
  <c r="K54" i="14"/>
  <c r="K48" i="14"/>
  <c r="K42" i="14"/>
  <c r="K39" i="14"/>
  <c r="R39" i="14" s="1"/>
  <c r="K35" i="14"/>
  <c r="R35" i="14" s="1"/>
  <c r="K31" i="14"/>
  <c r="K27" i="14"/>
  <c r="K23" i="14"/>
  <c r="K19" i="14"/>
  <c r="K14" i="14"/>
  <c r="R14" i="14" s="1"/>
  <c r="K57" i="14"/>
  <c r="K45" i="14"/>
  <c r="K10" i="14"/>
  <c r="K43" i="14"/>
  <c r="K32" i="14"/>
  <c r="K64" i="14"/>
  <c r="K36" i="14"/>
  <c r="K28" i="14"/>
  <c r="K69" i="14"/>
  <c r="K52" i="14"/>
  <c r="K24" i="14"/>
  <c r="K40" i="14"/>
  <c r="K20" i="14"/>
  <c r="R20" i="14" s="1"/>
  <c r="K6" i="14"/>
  <c r="K18" i="14"/>
  <c r="K58" i="14"/>
  <c r="K11" i="14"/>
  <c r="K55" i="14"/>
  <c r="K15" i="14"/>
  <c r="R15" i="14" s="1"/>
  <c r="K46" i="14"/>
  <c r="R46" i="14" s="1"/>
  <c r="K67" i="14"/>
  <c r="I58" i="2"/>
  <c r="J58" i="2" s="1"/>
  <c r="I4" i="4"/>
  <c r="I13" i="4"/>
  <c r="I20" i="4"/>
  <c r="G35" i="4"/>
  <c r="J35" i="4" s="1"/>
  <c r="G39" i="4"/>
  <c r="J39" i="4" s="1"/>
  <c r="I62" i="4"/>
  <c r="G64" i="4"/>
  <c r="J64" i="4" s="1"/>
  <c r="I70" i="6"/>
  <c r="J29" i="8"/>
  <c r="J36" i="8"/>
  <c r="J41" i="8"/>
  <c r="J49" i="8"/>
  <c r="R49" i="8" s="1"/>
  <c r="J57" i="8"/>
  <c r="J65" i="8"/>
  <c r="R65" i="8" s="1"/>
  <c r="I45" i="2"/>
  <c r="I61" i="2"/>
  <c r="G15" i="4"/>
  <c r="J15" i="4" s="1"/>
  <c r="I22" i="4"/>
  <c r="G37" i="4"/>
  <c r="J37" i="4" s="1"/>
  <c r="G69" i="4"/>
  <c r="J69" i="4" s="1"/>
  <c r="I70" i="8"/>
  <c r="J22" i="8"/>
  <c r="R22" i="8" s="1"/>
  <c r="J68" i="8"/>
  <c r="R68" i="8" s="1"/>
  <c r="I8" i="2"/>
  <c r="I22" i="2"/>
  <c r="J22" i="2" s="1"/>
  <c r="I35" i="2"/>
  <c r="J35" i="2" s="1"/>
  <c r="I51" i="2"/>
  <c r="J51" i="2" s="1"/>
  <c r="I67" i="2"/>
  <c r="J67" i="2" s="1"/>
  <c r="I5" i="4"/>
  <c r="I58" i="4"/>
  <c r="G60" i="4"/>
  <c r="J60" i="4" s="1"/>
  <c r="G67" i="4"/>
  <c r="J67" i="4" s="1"/>
  <c r="R31" i="14"/>
  <c r="F70" i="6"/>
  <c r="F66" i="6"/>
  <c r="G66" i="6" s="1"/>
  <c r="J66" i="6" s="1"/>
  <c r="F62" i="6"/>
  <c r="G62" i="6" s="1"/>
  <c r="J62" i="6" s="1"/>
  <c r="F58" i="6"/>
  <c r="G58" i="6" s="1"/>
  <c r="J58" i="6" s="1"/>
  <c r="F54" i="6"/>
  <c r="G54" i="6" s="1"/>
  <c r="J54" i="6" s="1"/>
  <c r="F50" i="6"/>
  <c r="G50" i="6" s="1"/>
  <c r="J50" i="6" s="1"/>
  <c r="F46" i="6"/>
  <c r="G46" i="6" s="1"/>
  <c r="J46" i="6" s="1"/>
  <c r="F42" i="6"/>
  <c r="G42" i="6" s="1"/>
  <c r="J42" i="6" s="1"/>
  <c r="F38" i="6"/>
  <c r="G38" i="6" s="1"/>
  <c r="J38" i="6" s="1"/>
  <c r="K37" i="8"/>
  <c r="R37" i="8" s="1"/>
  <c r="J69" i="12"/>
  <c r="J67" i="12"/>
  <c r="J65" i="12"/>
  <c r="J63" i="12"/>
  <c r="J61" i="12"/>
  <c r="J59" i="12"/>
  <c r="J57" i="12"/>
  <c r="J55" i="12"/>
  <c r="J53" i="12"/>
  <c r="J51" i="12"/>
  <c r="J49" i="12"/>
  <c r="J47" i="12"/>
  <c r="J45" i="12"/>
  <c r="J43" i="12"/>
  <c r="J41" i="12"/>
  <c r="J39" i="12"/>
  <c r="J37" i="12"/>
  <c r="J35" i="12"/>
  <c r="J33" i="12"/>
  <c r="J31" i="12"/>
  <c r="J29" i="12"/>
  <c r="J27" i="12"/>
  <c r="J25" i="12"/>
  <c r="J23" i="12"/>
  <c r="J21" i="12"/>
  <c r="J18" i="12"/>
  <c r="J16" i="12"/>
  <c r="J14" i="12"/>
  <c r="J10" i="12"/>
  <c r="J15" i="12"/>
  <c r="F21" i="6"/>
  <c r="G21" i="6" s="1"/>
  <c r="J21" i="6" s="1"/>
  <c r="F25" i="6"/>
  <c r="G25" i="6" s="1"/>
  <c r="J25" i="6" s="1"/>
  <c r="F29" i="6"/>
  <c r="G29" i="6" s="1"/>
  <c r="J29" i="6" s="1"/>
  <c r="F33" i="6"/>
  <c r="G33" i="6" s="1"/>
  <c r="J33" i="6" s="1"/>
  <c r="F37" i="6"/>
  <c r="G37" i="6" s="1"/>
  <c r="J37" i="6" s="1"/>
  <c r="F61" i="6"/>
  <c r="G61" i="6" s="1"/>
  <c r="J61" i="6" s="1"/>
  <c r="D70" i="6"/>
  <c r="K8" i="8"/>
  <c r="G19" i="8"/>
  <c r="J19" i="8" s="1"/>
  <c r="K22" i="8"/>
  <c r="G34" i="8"/>
  <c r="J34" i="8" s="1"/>
  <c r="R34" i="8" s="1"/>
  <c r="K41" i="8"/>
  <c r="K45" i="8"/>
  <c r="K49" i="8"/>
  <c r="K53" i="8"/>
  <c r="K57" i="8"/>
  <c r="K61" i="8"/>
  <c r="K66" i="9"/>
  <c r="J30" i="10"/>
  <c r="J51" i="10"/>
  <c r="J26" i="12"/>
  <c r="J38" i="12"/>
  <c r="J50" i="12"/>
  <c r="J62" i="12"/>
  <c r="R19" i="14"/>
  <c r="R49" i="14"/>
  <c r="R65" i="14"/>
  <c r="F7" i="6"/>
  <c r="G7" i="6" s="1"/>
  <c r="J7" i="6" s="1"/>
  <c r="F12" i="6"/>
  <c r="G12" i="6" s="1"/>
  <c r="J12" i="6" s="1"/>
  <c r="F16" i="6"/>
  <c r="G16" i="6" s="1"/>
  <c r="J16" i="6" s="1"/>
  <c r="F40" i="6"/>
  <c r="G40" i="6" s="1"/>
  <c r="J40" i="6" s="1"/>
  <c r="F47" i="6"/>
  <c r="G47" i="6" s="1"/>
  <c r="J47" i="6" s="1"/>
  <c r="F64" i="6"/>
  <c r="G64" i="6" s="1"/>
  <c r="J64" i="6" s="1"/>
  <c r="F67" i="6"/>
  <c r="G67" i="6" s="1"/>
  <c r="J67" i="6" s="1"/>
  <c r="G62" i="8"/>
  <c r="J62" i="8" s="1"/>
  <c r="G58" i="8"/>
  <c r="J58" i="8" s="1"/>
  <c r="R58" i="8" s="1"/>
  <c r="G54" i="8"/>
  <c r="J54" i="8" s="1"/>
  <c r="G7" i="8"/>
  <c r="J7" i="8" s="1"/>
  <c r="K14" i="8"/>
  <c r="K67" i="8"/>
  <c r="K63" i="8"/>
  <c r="K59" i="8"/>
  <c r="K55" i="8"/>
  <c r="K51" i="8"/>
  <c r="K47" i="8"/>
  <c r="K43" i="8"/>
  <c r="K39" i="8"/>
  <c r="K35" i="8"/>
  <c r="K31" i="8"/>
  <c r="K27" i="8"/>
  <c r="R27" i="8" s="1"/>
  <c r="K23" i="8"/>
  <c r="K19" i="8"/>
  <c r="K15" i="8"/>
  <c r="K6" i="8"/>
  <c r="K68" i="8"/>
  <c r="K64" i="8"/>
  <c r="K60" i="8"/>
  <c r="K56" i="8"/>
  <c r="K52" i="8"/>
  <c r="K48" i="8"/>
  <c r="K44" i="8"/>
  <c r="K40" i="8"/>
  <c r="K36" i="8"/>
  <c r="K32" i="8"/>
  <c r="R32" i="8" s="1"/>
  <c r="K28" i="8"/>
  <c r="K24" i="8"/>
  <c r="K20" i="8"/>
  <c r="K11" i="8"/>
  <c r="G21" i="8"/>
  <c r="J21" i="8" s="1"/>
  <c r="R21" i="8" s="1"/>
  <c r="J15" i="10"/>
  <c r="J19" i="10"/>
  <c r="J13" i="12"/>
  <c r="J24" i="12"/>
  <c r="J36" i="12"/>
  <c r="J48" i="12"/>
  <c r="J60" i="12"/>
  <c r="E70" i="14"/>
  <c r="F57" i="6"/>
  <c r="G57" i="6" s="1"/>
  <c r="J57" i="6" s="1"/>
  <c r="K66" i="7"/>
  <c r="G10" i="8"/>
  <c r="J10" i="8" s="1"/>
  <c r="G13" i="8"/>
  <c r="J13" i="8" s="1"/>
  <c r="R13" i="8" s="1"/>
  <c r="K16" i="8"/>
  <c r="G26" i="8"/>
  <c r="J26" i="8" s="1"/>
  <c r="K29" i="8"/>
  <c r="J7" i="12"/>
  <c r="R28" i="14"/>
  <c r="F11" i="6"/>
  <c r="G11" i="6" s="1"/>
  <c r="J11" i="6" s="1"/>
  <c r="F20" i="6"/>
  <c r="G20" i="6" s="1"/>
  <c r="J20" i="6" s="1"/>
  <c r="F24" i="6"/>
  <c r="G24" i="6" s="1"/>
  <c r="J24" i="6" s="1"/>
  <c r="F28" i="6"/>
  <c r="G28" i="6" s="1"/>
  <c r="J28" i="6" s="1"/>
  <c r="F32" i="6"/>
  <c r="G32" i="6" s="1"/>
  <c r="J32" i="6" s="1"/>
  <c r="F36" i="6"/>
  <c r="G36" i="6" s="1"/>
  <c r="J36" i="6" s="1"/>
  <c r="F43" i="6"/>
  <c r="G43" i="6" s="1"/>
  <c r="J43" i="6" s="1"/>
  <c r="F60" i="6"/>
  <c r="G60" i="6" s="1"/>
  <c r="J60" i="6" s="1"/>
  <c r="D70" i="8"/>
  <c r="G31" i="8"/>
  <c r="J31" i="8" s="1"/>
  <c r="R31" i="8" s="1"/>
  <c r="K34" i="8"/>
  <c r="G38" i="8"/>
  <c r="J38" i="8" s="1"/>
  <c r="J26" i="10"/>
  <c r="J37" i="10"/>
  <c r="J9" i="12"/>
  <c r="R34" i="14"/>
  <c r="F6" i="6"/>
  <c r="G6" i="6" s="1"/>
  <c r="F15" i="6"/>
  <c r="G15" i="6" s="1"/>
  <c r="J15" i="6" s="1"/>
  <c r="F53" i="6"/>
  <c r="G53" i="6" s="1"/>
  <c r="J53" i="6" s="1"/>
  <c r="E70" i="8"/>
  <c r="K7" i="8"/>
  <c r="G15" i="8"/>
  <c r="J15" i="8" s="1"/>
  <c r="R15" i="8" s="1"/>
  <c r="G18" i="8"/>
  <c r="J18" i="8" s="1"/>
  <c r="K21" i="8"/>
  <c r="G33" i="8"/>
  <c r="J33" i="8" s="1"/>
  <c r="R33" i="8" s="1"/>
  <c r="G40" i="8"/>
  <c r="J40" i="8" s="1"/>
  <c r="R40" i="8" s="1"/>
  <c r="G42" i="8"/>
  <c r="J42" i="8" s="1"/>
  <c r="R42" i="8" s="1"/>
  <c r="G44" i="8"/>
  <c r="J44" i="8" s="1"/>
  <c r="R44" i="8" s="1"/>
  <c r="G46" i="8"/>
  <c r="J46" i="8" s="1"/>
  <c r="R46" i="8" s="1"/>
  <c r="G48" i="8"/>
  <c r="J48" i="8" s="1"/>
  <c r="G50" i="8"/>
  <c r="J50" i="8" s="1"/>
  <c r="G52" i="8"/>
  <c r="J52" i="8" s="1"/>
  <c r="R52" i="8" s="1"/>
  <c r="G56" i="8"/>
  <c r="J56" i="8" s="1"/>
  <c r="R56" i="8" s="1"/>
  <c r="G60" i="8"/>
  <c r="J60" i="8" s="1"/>
  <c r="G64" i="8"/>
  <c r="J64" i="8" s="1"/>
  <c r="J59" i="10"/>
  <c r="I70" i="12"/>
  <c r="J20" i="12"/>
  <c r="J22" i="12"/>
  <c r="J34" i="12"/>
  <c r="J46" i="12"/>
  <c r="J58" i="12"/>
  <c r="R63" i="14"/>
  <c r="F39" i="6"/>
  <c r="G39" i="6" s="1"/>
  <c r="J39" i="6" s="1"/>
  <c r="F56" i="6"/>
  <c r="G56" i="6" s="1"/>
  <c r="J56" i="6" s="1"/>
  <c r="F63" i="6"/>
  <c r="G63" i="6" s="1"/>
  <c r="J63" i="6" s="1"/>
  <c r="K10" i="8"/>
  <c r="K13" i="8"/>
  <c r="G23" i="8"/>
  <c r="J23" i="8" s="1"/>
  <c r="K26" i="8"/>
  <c r="K38" i="8"/>
  <c r="K66" i="8"/>
  <c r="J33" i="10"/>
  <c r="J32" i="12"/>
  <c r="J44" i="12"/>
  <c r="J56" i="12"/>
  <c r="J68" i="12"/>
  <c r="R29" i="14"/>
  <c r="R58" i="14"/>
  <c r="F10" i="6"/>
  <c r="G10" i="6" s="1"/>
  <c r="J10" i="6" s="1"/>
  <c r="F19" i="6"/>
  <c r="G19" i="6" s="1"/>
  <c r="J19" i="6" s="1"/>
  <c r="F23" i="6"/>
  <c r="G23" i="6" s="1"/>
  <c r="J23" i="6" s="1"/>
  <c r="F27" i="6"/>
  <c r="G27" i="6" s="1"/>
  <c r="J27" i="6" s="1"/>
  <c r="F31" i="6"/>
  <c r="G31" i="6" s="1"/>
  <c r="J31" i="6" s="1"/>
  <c r="F35" i="6"/>
  <c r="G35" i="6" s="1"/>
  <c r="J35" i="6" s="1"/>
  <c r="F49" i="6"/>
  <c r="G49" i="6" s="1"/>
  <c r="J49" i="6" s="1"/>
  <c r="F69" i="6"/>
  <c r="G69" i="6" s="1"/>
  <c r="J69" i="6" s="1"/>
  <c r="G6" i="8"/>
  <c r="G9" i="8"/>
  <c r="J9" i="8" s="1"/>
  <c r="R9" i="8" s="1"/>
  <c r="K18" i="8"/>
  <c r="K42" i="8"/>
  <c r="K46" i="8"/>
  <c r="K50" i="8"/>
  <c r="K54" i="8"/>
  <c r="K58" i="8"/>
  <c r="K62" i="8"/>
  <c r="J47" i="10"/>
  <c r="R13" i="14"/>
  <c r="R27" i="14"/>
  <c r="R42" i="14"/>
  <c r="R45" i="14"/>
  <c r="R53" i="14"/>
  <c r="F14" i="6"/>
  <c r="G14" i="6" s="1"/>
  <c r="J14" i="6" s="1"/>
  <c r="F52" i="6"/>
  <c r="G52" i="6" s="1"/>
  <c r="J52" i="6" s="1"/>
  <c r="F59" i="6"/>
  <c r="G59" i="6" s="1"/>
  <c r="J59" i="6" s="1"/>
  <c r="G17" i="8"/>
  <c r="J17" i="8" s="1"/>
  <c r="R17" i="8" s="1"/>
  <c r="G30" i="8"/>
  <c r="J30" i="8" s="1"/>
  <c r="R30" i="8" s="1"/>
  <c r="K33" i="8"/>
  <c r="G35" i="8"/>
  <c r="J35" i="8" s="1"/>
  <c r="J14" i="10"/>
  <c r="J40" i="10"/>
  <c r="R25" i="14"/>
  <c r="R18" i="14"/>
  <c r="I70" i="10"/>
  <c r="T20" i="10" s="1"/>
  <c r="J61" i="14"/>
  <c r="R61" i="14" s="1"/>
  <c r="F68" i="10"/>
  <c r="G68" i="10" s="1"/>
  <c r="J68" i="10" s="1"/>
  <c r="F64" i="10"/>
  <c r="G64" i="10" s="1"/>
  <c r="J64" i="10" s="1"/>
  <c r="F60" i="10"/>
  <c r="G60" i="10" s="1"/>
  <c r="J60" i="10" s="1"/>
  <c r="F56" i="10"/>
  <c r="G56" i="10" s="1"/>
  <c r="J56" i="10" s="1"/>
  <c r="F52" i="10"/>
  <c r="G52" i="10" s="1"/>
  <c r="J52" i="10" s="1"/>
  <c r="F48" i="10"/>
  <c r="G48" i="10" s="1"/>
  <c r="J48" i="10" s="1"/>
  <c r="F44" i="10"/>
  <c r="G44" i="10" s="1"/>
  <c r="J44" i="10" s="1"/>
  <c r="F69" i="10"/>
  <c r="G69" i="10" s="1"/>
  <c r="J69" i="10" s="1"/>
  <c r="F65" i="10"/>
  <c r="G65" i="10" s="1"/>
  <c r="J65" i="10" s="1"/>
  <c r="F61" i="10"/>
  <c r="G61" i="10" s="1"/>
  <c r="J61" i="10" s="1"/>
  <c r="F57" i="10"/>
  <c r="G57" i="10" s="1"/>
  <c r="J57" i="10" s="1"/>
  <c r="F53" i="10"/>
  <c r="G53" i="10" s="1"/>
  <c r="J53" i="10" s="1"/>
  <c r="F49" i="10"/>
  <c r="G49" i="10" s="1"/>
  <c r="J49" i="10" s="1"/>
  <c r="F45" i="10"/>
  <c r="G45" i="10" s="1"/>
  <c r="J45" i="10" s="1"/>
  <c r="F41" i="10"/>
  <c r="G41" i="10" s="1"/>
  <c r="J41" i="10" s="1"/>
  <c r="F70" i="10"/>
  <c r="F66" i="10"/>
  <c r="G66" i="10" s="1"/>
  <c r="J66" i="10" s="1"/>
  <c r="F62" i="10"/>
  <c r="G62" i="10" s="1"/>
  <c r="J62" i="10" s="1"/>
  <c r="J6" i="14"/>
  <c r="R6" i="14" s="1"/>
  <c r="R12" i="14"/>
  <c r="R16" i="14"/>
  <c r="J54" i="14"/>
  <c r="R54" i="14" s="1"/>
  <c r="F14" i="8"/>
  <c r="G14" i="8" s="1"/>
  <c r="J14" i="8" s="1"/>
  <c r="R14" i="8" s="1"/>
  <c r="F13" i="10"/>
  <c r="G13" i="10" s="1"/>
  <c r="J13" i="10" s="1"/>
  <c r="F22" i="10"/>
  <c r="G22" i="10" s="1"/>
  <c r="J22" i="10" s="1"/>
  <c r="F29" i="10"/>
  <c r="G29" i="10" s="1"/>
  <c r="J29" i="10" s="1"/>
  <c r="F36" i="10"/>
  <c r="G36" i="10" s="1"/>
  <c r="J36" i="10" s="1"/>
  <c r="F42" i="10"/>
  <c r="G42" i="10" s="1"/>
  <c r="J42" i="10" s="1"/>
  <c r="F50" i="10"/>
  <c r="G50" i="10" s="1"/>
  <c r="J50" i="10" s="1"/>
  <c r="F58" i="10"/>
  <c r="G58" i="10" s="1"/>
  <c r="J58" i="10" s="1"/>
  <c r="K66" i="11"/>
  <c r="R8" i="14"/>
  <c r="R66" i="14"/>
  <c r="G8" i="10"/>
  <c r="F63" i="10"/>
  <c r="G63" i="10" s="1"/>
  <c r="J63" i="10" s="1"/>
  <c r="J22" i="14"/>
  <c r="R22" i="14" s="1"/>
  <c r="J24" i="14"/>
  <c r="R24" i="14" s="1"/>
  <c r="J19" i="16"/>
  <c r="J39" i="16"/>
  <c r="F66" i="8"/>
  <c r="G66" i="8" s="1"/>
  <c r="J66" i="8" s="1"/>
  <c r="G17" i="10"/>
  <c r="J17" i="10" s="1"/>
  <c r="G32" i="10"/>
  <c r="J32" i="10" s="1"/>
  <c r="G39" i="10"/>
  <c r="J39" i="10" s="1"/>
  <c r="J6" i="12"/>
  <c r="G70" i="12"/>
  <c r="R26" i="14"/>
  <c r="R50" i="14"/>
  <c r="R57" i="14"/>
  <c r="E46" i="22"/>
  <c r="E70" i="22" s="1"/>
  <c r="D70" i="22"/>
  <c r="G25" i="10"/>
  <c r="J25" i="10" s="1"/>
  <c r="J30" i="14"/>
  <c r="R30" i="14" s="1"/>
  <c r="J32" i="14"/>
  <c r="R32" i="14" s="1"/>
  <c r="J38" i="14"/>
  <c r="R38" i="14" s="1"/>
  <c r="J62" i="14"/>
  <c r="R62" i="14" s="1"/>
  <c r="F28" i="10"/>
  <c r="G28" i="10" s="1"/>
  <c r="J28" i="10" s="1"/>
  <c r="F38" i="10"/>
  <c r="G38" i="10" s="1"/>
  <c r="J38" i="10" s="1"/>
  <c r="J11" i="12"/>
  <c r="K66" i="13"/>
  <c r="J7" i="14"/>
  <c r="R7" i="14" s="1"/>
  <c r="J11" i="14"/>
  <c r="R11" i="14" s="1"/>
  <c r="J17" i="14"/>
  <c r="R17" i="14" s="1"/>
  <c r="J67" i="14"/>
  <c r="R67" i="14" s="1"/>
  <c r="J27" i="16"/>
  <c r="J32" i="16"/>
  <c r="F67" i="10"/>
  <c r="G67" i="10" s="1"/>
  <c r="J67" i="10" s="1"/>
  <c r="D70" i="12"/>
  <c r="R21" i="14"/>
  <c r="J23" i="14"/>
  <c r="R23" i="14" s="1"/>
  <c r="J41" i="14"/>
  <c r="R41" i="14" s="1"/>
  <c r="I70" i="18"/>
  <c r="T13" i="18" s="1"/>
  <c r="F68" i="14"/>
  <c r="G68" i="14" s="1"/>
  <c r="J68" i="14" s="1"/>
  <c r="R68" i="14" s="1"/>
  <c r="F64" i="14"/>
  <c r="G64" i="14" s="1"/>
  <c r="J64" i="14" s="1"/>
  <c r="R64" i="14" s="1"/>
  <c r="F60" i="14"/>
  <c r="G60" i="14" s="1"/>
  <c r="J60" i="14" s="1"/>
  <c r="R60" i="14" s="1"/>
  <c r="F56" i="14"/>
  <c r="G56" i="14" s="1"/>
  <c r="J56" i="14" s="1"/>
  <c r="R56" i="14" s="1"/>
  <c r="F52" i="14"/>
  <c r="G52" i="14" s="1"/>
  <c r="J52" i="14" s="1"/>
  <c r="R52" i="14" s="1"/>
  <c r="F48" i="14"/>
  <c r="G48" i="14" s="1"/>
  <c r="J48" i="14" s="1"/>
  <c r="R48" i="14" s="1"/>
  <c r="F44" i="14"/>
  <c r="G44" i="14" s="1"/>
  <c r="J44" i="14" s="1"/>
  <c r="R44" i="14" s="1"/>
  <c r="F40" i="14"/>
  <c r="G40" i="14" s="1"/>
  <c r="J40" i="14" s="1"/>
  <c r="R40" i="14" s="1"/>
  <c r="J12" i="16"/>
  <c r="J20" i="16"/>
  <c r="J59" i="18"/>
  <c r="J64" i="18"/>
  <c r="J35" i="20"/>
  <c r="J54" i="20"/>
  <c r="R54" i="20" s="1"/>
  <c r="J66" i="20"/>
  <c r="R66" i="20" s="1"/>
  <c r="J17" i="20"/>
  <c r="R17" i="20" s="1"/>
  <c r="J58" i="20"/>
  <c r="R58" i="20" s="1"/>
  <c r="D70" i="14"/>
  <c r="J7" i="16"/>
  <c r="J55" i="16"/>
  <c r="K66" i="17"/>
  <c r="F47" i="14"/>
  <c r="G47" i="14" s="1"/>
  <c r="J47" i="14" s="1"/>
  <c r="R47" i="14" s="1"/>
  <c r="F59" i="14"/>
  <c r="G59" i="14" s="1"/>
  <c r="J59" i="14" s="1"/>
  <c r="R59" i="14" s="1"/>
  <c r="D70" i="18"/>
  <c r="E6" i="18"/>
  <c r="E70" i="18" s="1"/>
  <c r="J30" i="18"/>
  <c r="J36" i="18"/>
  <c r="J42" i="18"/>
  <c r="J8" i="20"/>
  <c r="R8" i="20" s="1"/>
  <c r="J12" i="20"/>
  <c r="R12" i="20" s="1"/>
  <c r="J65" i="20"/>
  <c r="R65" i="20" s="1"/>
  <c r="J51" i="16"/>
  <c r="J67" i="16"/>
  <c r="J6" i="20"/>
  <c r="J42" i="20"/>
  <c r="R42" i="20" s="1"/>
  <c r="F10" i="16"/>
  <c r="G10" i="16" s="1"/>
  <c r="J10" i="16" s="1"/>
  <c r="F68" i="16"/>
  <c r="G68" i="16" s="1"/>
  <c r="J68" i="16" s="1"/>
  <c r="F64" i="16"/>
  <c r="G64" i="16" s="1"/>
  <c r="J64" i="16" s="1"/>
  <c r="F60" i="16"/>
  <c r="G60" i="16" s="1"/>
  <c r="J60" i="16" s="1"/>
  <c r="F56" i="16"/>
  <c r="G56" i="16" s="1"/>
  <c r="J56" i="16" s="1"/>
  <c r="F52" i="16"/>
  <c r="G52" i="16" s="1"/>
  <c r="J52" i="16" s="1"/>
  <c r="F48" i="16"/>
  <c r="G48" i="16" s="1"/>
  <c r="J48" i="16" s="1"/>
  <c r="F44" i="16"/>
  <c r="G44" i="16" s="1"/>
  <c r="J44" i="16" s="1"/>
  <c r="F6" i="16"/>
  <c r="G6" i="16" s="1"/>
  <c r="F69" i="16"/>
  <c r="G69" i="16" s="1"/>
  <c r="J69" i="16" s="1"/>
  <c r="F65" i="16"/>
  <c r="G65" i="16" s="1"/>
  <c r="J65" i="16" s="1"/>
  <c r="F61" i="16"/>
  <c r="G61" i="16" s="1"/>
  <c r="J61" i="16" s="1"/>
  <c r="F57" i="16"/>
  <c r="G57" i="16" s="1"/>
  <c r="J57" i="16" s="1"/>
  <c r="F53" i="16"/>
  <c r="G53" i="16" s="1"/>
  <c r="J53" i="16" s="1"/>
  <c r="F49" i="16"/>
  <c r="G49" i="16" s="1"/>
  <c r="J49" i="16" s="1"/>
  <c r="F45" i="16"/>
  <c r="G45" i="16" s="1"/>
  <c r="J45" i="16" s="1"/>
  <c r="F41" i="16"/>
  <c r="G41" i="16" s="1"/>
  <c r="J41" i="16" s="1"/>
  <c r="F37" i="16"/>
  <c r="G37" i="16" s="1"/>
  <c r="J37" i="16" s="1"/>
  <c r="F33" i="16"/>
  <c r="G33" i="16" s="1"/>
  <c r="J33" i="16" s="1"/>
  <c r="F29" i="16"/>
  <c r="G29" i="16" s="1"/>
  <c r="J29" i="16" s="1"/>
  <c r="F25" i="16"/>
  <c r="G25" i="16" s="1"/>
  <c r="J25" i="16" s="1"/>
  <c r="F16" i="16"/>
  <c r="G16" i="16" s="1"/>
  <c r="J16" i="16" s="1"/>
  <c r="F70" i="16"/>
  <c r="F66" i="16"/>
  <c r="G66" i="16" s="1"/>
  <c r="J66" i="16" s="1"/>
  <c r="F62" i="16"/>
  <c r="G62" i="16" s="1"/>
  <c r="J62" i="16" s="1"/>
  <c r="F58" i="16"/>
  <c r="G58" i="16" s="1"/>
  <c r="J58" i="16" s="1"/>
  <c r="F54" i="16"/>
  <c r="G54" i="16" s="1"/>
  <c r="J54" i="16" s="1"/>
  <c r="F50" i="16"/>
  <c r="G50" i="16" s="1"/>
  <c r="J50" i="16" s="1"/>
  <c r="F46" i="16"/>
  <c r="G46" i="16" s="1"/>
  <c r="J46" i="16" s="1"/>
  <c r="F42" i="16"/>
  <c r="G42" i="16" s="1"/>
  <c r="J42" i="16" s="1"/>
  <c r="F38" i="16"/>
  <c r="G38" i="16" s="1"/>
  <c r="J38" i="16" s="1"/>
  <c r="F34" i="16"/>
  <c r="G34" i="16" s="1"/>
  <c r="J34" i="16" s="1"/>
  <c r="F30" i="16"/>
  <c r="G30" i="16" s="1"/>
  <c r="J30" i="16" s="1"/>
  <c r="F26" i="16"/>
  <c r="G26" i="16" s="1"/>
  <c r="J26" i="16" s="1"/>
  <c r="F22" i="16"/>
  <c r="G22" i="16" s="1"/>
  <c r="J22" i="16" s="1"/>
  <c r="F17" i="16"/>
  <c r="G17" i="16" s="1"/>
  <c r="J17" i="16" s="1"/>
  <c r="F13" i="16"/>
  <c r="G13" i="16" s="1"/>
  <c r="J13" i="16" s="1"/>
  <c r="F8" i="16"/>
  <c r="G8" i="16" s="1"/>
  <c r="J8" i="16" s="1"/>
  <c r="J12" i="18"/>
  <c r="J24" i="18"/>
  <c r="G70" i="18"/>
  <c r="I70" i="20"/>
  <c r="T13" i="20" s="1"/>
  <c r="J36" i="20"/>
  <c r="E70" i="16"/>
  <c r="J11" i="16"/>
  <c r="J47" i="16"/>
  <c r="D70" i="16"/>
  <c r="J21" i="20"/>
  <c r="R21" i="20" s="1"/>
  <c r="J32" i="20"/>
  <c r="R32" i="20" s="1"/>
  <c r="J38" i="20"/>
  <c r="R38" i="20" s="1"/>
  <c r="J45" i="20"/>
  <c r="R45" i="20" s="1"/>
  <c r="J61" i="20"/>
  <c r="R61" i="20" s="1"/>
  <c r="F36" i="14"/>
  <c r="G36" i="14" s="1"/>
  <c r="J36" i="14" s="1"/>
  <c r="R36" i="14" s="1"/>
  <c r="F43" i="14"/>
  <c r="G43" i="14" s="1"/>
  <c r="J43" i="14" s="1"/>
  <c r="R43" i="14" s="1"/>
  <c r="F55" i="14"/>
  <c r="G55" i="14" s="1"/>
  <c r="J55" i="14" s="1"/>
  <c r="R55" i="14" s="1"/>
  <c r="I70" i="14"/>
  <c r="J29" i="18"/>
  <c r="J35" i="18"/>
  <c r="J41" i="18"/>
  <c r="J47" i="18"/>
  <c r="J15" i="20"/>
  <c r="J34" i="20"/>
  <c r="R34" i="20" s="1"/>
  <c r="J50" i="20"/>
  <c r="R50" i="20" s="1"/>
  <c r="J21" i="16"/>
  <c r="J28" i="20"/>
  <c r="F10" i="14"/>
  <c r="G10" i="14" s="1"/>
  <c r="J10" i="14" s="1"/>
  <c r="R10" i="14" s="1"/>
  <c r="F69" i="14"/>
  <c r="G69" i="14" s="1"/>
  <c r="J69" i="14" s="1"/>
  <c r="R69" i="14" s="1"/>
  <c r="J7" i="20"/>
  <c r="R7" i="20" s="1"/>
  <c r="J13" i="20"/>
  <c r="R13" i="20" s="1"/>
  <c r="G25" i="18"/>
  <c r="J25" i="18" s="1"/>
  <c r="J68" i="20"/>
  <c r="T4" i="26"/>
  <c r="X13" i="26"/>
  <c r="T20" i="22" s="1"/>
  <c r="T21" i="22" s="1"/>
  <c r="V13" i="26"/>
  <c r="G21" i="18"/>
  <c r="J21" i="18" s="1"/>
  <c r="G31" i="18"/>
  <c r="J31" i="18" s="1"/>
  <c r="G37" i="18"/>
  <c r="J37" i="18" s="1"/>
  <c r="G43" i="18"/>
  <c r="J43" i="18" s="1"/>
  <c r="G49" i="18"/>
  <c r="J49" i="18" s="1"/>
  <c r="G55" i="18"/>
  <c r="J55" i="18" s="1"/>
  <c r="G61" i="18"/>
  <c r="J61" i="18" s="1"/>
  <c r="G69" i="18"/>
  <c r="J69" i="18" s="1"/>
  <c r="J19" i="20"/>
  <c r="J41" i="20"/>
  <c r="R41" i="20" s="1"/>
  <c r="J64" i="20"/>
  <c r="J7" i="22"/>
  <c r="J10" i="20"/>
  <c r="J23" i="20"/>
  <c r="R23" i="20" s="1"/>
  <c r="J27" i="20"/>
  <c r="J31" i="20"/>
  <c r="J33" i="20"/>
  <c r="R33" i="20" s="1"/>
  <c r="J37" i="20"/>
  <c r="R37" i="20" s="1"/>
  <c r="J60" i="20"/>
  <c r="F11" i="18"/>
  <c r="G11" i="18" s="1"/>
  <c r="J11" i="18" s="1"/>
  <c r="F20" i="18"/>
  <c r="G20" i="18" s="1"/>
  <c r="J20" i="18" s="1"/>
  <c r="F27" i="18"/>
  <c r="G27" i="18" s="1"/>
  <c r="J27" i="18" s="1"/>
  <c r="J56" i="20"/>
  <c r="J63" i="18"/>
  <c r="J67" i="20"/>
  <c r="R67" i="20" s="1"/>
  <c r="J52" i="20"/>
  <c r="I70" i="24"/>
  <c r="G33" i="18"/>
  <c r="J33" i="18" s="1"/>
  <c r="G39" i="18"/>
  <c r="J39" i="18" s="1"/>
  <c r="G45" i="18"/>
  <c r="J45" i="18" s="1"/>
  <c r="F48" i="18"/>
  <c r="G48" i="18" s="1"/>
  <c r="J48" i="18" s="1"/>
  <c r="F51" i="18"/>
  <c r="G51" i="18" s="1"/>
  <c r="J51" i="18" s="1"/>
  <c r="F54" i="18"/>
  <c r="G54" i="18" s="1"/>
  <c r="J54" i="18" s="1"/>
  <c r="F57" i="18"/>
  <c r="G57" i="18" s="1"/>
  <c r="J57" i="18" s="1"/>
  <c r="F60" i="18"/>
  <c r="G60" i="18" s="1"/>
  <c r="J60" i="18" s="1"/>
  <c r="K66" i="19"/>
  <c r="J48" i="20"/>
  <c r="R48" i="20" s="1"/>
  <c r="F70" i="18"/>
  <c r="F66" i="18"/>
  <c r="G66" i="18" s="1"/>
  <c r="J66" i="18" s="1"/>
  <c r="F62" i="18"/>
  <c r="G62" i="18" s="1"/>
  <c r="J62" i="18" s="1"/>
  <c r="D70" i="20"/>
  <c r="J18" i="20"/>
  <c r="R18" i="20" s="1"/>
  <c r="J44" i="20"/>
  <c r="F26" i="18"/>
  <c r="G26" i="18" s="1"/>
  <c r="J26" i="18" s="1"/>
  <c r="F65" i="18"/>
  <c r="G65" i="18" s="1"/>
  <c r="J65" i="18" s="1"/>
  <c r="E6" i="20"/>
  <c r="E70" i="20" s="1"/>
  <c r="J20" i="20"/>
  <c r="R20" i="20" s="1"/>
  <c r="J40" i="20"/>
  <c r="J14" i="22"/>
  <c r="J61" i="22"/>
  <c r="D70" i="24"/>
  <c r="T13" i="24"/>
  <c r="G6" i="22"/>
  <c r="G21" i="22"/>
  <c r="J21" i="22" s="1"/>
  <c r="G39" i="22"/>
  <c r="J39" i="22" s="1"/>
  <c r="G46" i="22"/>
  <c r="J46" i="22" s="1"/>
  <c r="G66" i="22"/>
  <c r="J66" i="22" s="1"/>
  <c r="X10" i="26"/>
  <c r="T21" i="16" s="1"/>
  <c r="V10" i="26"/>
  <c r="K11" i="20"/>
  <c r="R11" i="20" s="1"/>
  <c r="I70" i="22"/>
  <c r="T13" i="22" s="1"/>
  <c r="G20" i="22"/>
  <c r="J20" i="22" s="1"/>
  <c r="G41" i="22"/>
  <c r="J41" i="22" s="1"/>
  <c r="G48" i="22"/>
  <c r="J48" i="22" s="1"/>
  <c r="G62" i="22"/>
  <c r="J62" i="22" s="1"/>
  <c r="G50" i="22"/>
  <c r="J50" i="22" s="1"/>
  <c r="G54" i="22"/>
  <c r="J54" i="22" s="1"/>
  <c r="G58" i="22"/>
  <c r="J58" i="22" s="1"/>
  <c r="G30" i="24"/>
  <c r="J30" i="24" s="1"/>
  <c r="G32" i="24"/>
  <c r="J32" i="24" s="1"/>
  <c r="G47" i="24"/>
  <c r="J47" i="24" s="1"/>
  <c r="T15" i="26"/>
  <c r="K15" i="20"/>
  <c r="K24" i="20"/>
  <c r="R24" i="20" s="1"/>
  <c r="K28" i="20"/>
  <c r="K32" i="20"/>
  <c r="K36" i="20"/>
  <c r="G39" i="20"/>
  <c r="J39" i="20" s="1"/>
  <c r="K40" i="20"/>
  <c r="G43" i="20"/>
  <c r="J43" i="20" s="1"/>
  <c r="R43" i="20" s="1"/>
  <c r="K44" i="20"/>
  <c r="G47" i="20"/>
  <c r="J47" i="20" s="1"/>
  <c r="K48" i="20"/>
  <c r="G51" i="20"/>
  <c r="J51" i="20" s="1"/>
  <c r="K52" i="20"/>
  <c r="G55" i="20"/>
  <c r="J55" i="20" s="1"/>
  <c r="K56" i="20"/>
  <c r="G59" i="20"/>
  <c r="J59" i="20" s="1"/>
  <c r="R59" i="20" s="1"/>
  <c r="K60" i="20"/>
  <c r="G63" i="20"/>
  <c r="J63" i="20" s="1"/>
  <c r="R63" i="20" s="1"/>
  <c r="K64" i="20"/>
  <c r="K68" i="20"/>
  <c r="K10" i="20"/>
  <c r="K19" i="20"/>
  <c r="G38" i="22"/>
  <c r="J38" i="22" s="1"/>
  <c r="G69" i="22"/>
  <c r="J69" i="22" s="1"/>
  <c r="G22" i="24"/>
  <c r="J22" i="24" s="1"/>
  <c r="G24" i="24"/>
  <c r="J24" i="24" s="1"/>
  <c r="G43" i="24"/>
  <c r="J43" i="24" s="1"/>
  <c r="X7" i="26"/>
  <c r="V7" i="26"/>
  <c r="G60" i="22"/>
  <c r="J60" i="22" s="1"/>
  <c r="G56" i="22"/>
  <c r="J56" i="22" s="1"/>
  <c r="G52" i="22"/>
  <c r="J52" i="22" s="1"/>
  <c r="G18" i="22"/>
  <c r="J18" i="22" s="1"/>
  <c r="G25" i="22"/>
  <c r="J25" i="22" s="1"/>
  <c r="G33" i="22"/>
  <c r="J33" i="22" s="1"/>
  <c r="G45" i="22"/>
  <c r="J45" i="22" s="1"/>
  <c r="G67" i="22"/>
  <c r="J67" i="22" s="1"/>
  <c r="G10" i="24"/>
  <c r="J10" i="24" s="1"/>
  <c r="G6" i="24"/>
  <c r="G11" i="24"/>
  <c r="J11" i="24" s="1"/>
  <c r="G12" i="24"/>
  <c r="J12" i="24" s="1"/>
  <c r="G7" i="24"/>
  <c r="J7" i="24" s="1"/>
  <c r="G18" i="24"/>
  <c r="J18" i="24" s="1"/>
  <c r="G20" i="24"/>
  <c r="J20" i="24" s="1"/>
  <c r="U15" i="26"/>
  <c r="K9" i="20"/>
  <c r="R9" i="20" s="1"/>
  <c r="K14" i="20"/>
  <c r="R14" i="20" s="1"/>
  <c r="K18" i="20"/>
  <c r="K23" i="20"/>
  <c r="K27" i="20"/>
  <c r="K31" i="20"/>
  <c r="K35" i="20"/>
  <c r="K39" i="20"/>
  <c r="K43" i="20"/>
  <c r="K47" i="20"/>
  <c r="K51" i="20"/>
  <c r="K55" i="20"/>
  <c r="K59" i="20"/>
  <c r="K63" i="20"/>
  <c r="G11" i="22"/>
  <c r="J11" i="22" s="1"/>
  <c r="G65" i="22"/>
  <c r="J65" i="22" s="1"/>
  <c r="G68" i="22"/>
  <c r="J68" i="22" s="1"/>
  <c r="K66" i="23"/>
  <c r="G14" i="24"/>
  <c r="J14" i="24" s="1"/>
  <c r="G16" i="24"/>
  <c r="J16" i="24" s="1"/>
  <c r="G39" i="24"/>
  <c r="J39" i="24" s="1"/>
  <c r="G59" i="24"/>
  <c r="J59" i="24" s="1"/>
  <c r="F52" i="24"/>
  <c r="G52" i="24" s="1"/>
  <c r="J52" i="24" s="1"/>
  <c r="F56" i="24"/>
  <c r="G56" i="24" s="1"/>
  <c r="J56" i="24" s="1"/>
  <c r="F60" i="24"/>
  <c r="G60" i="24" s="1"/>
  <c r="J60" i="24" s="1"/>
  <c r="F64" i="24"/>
  <c r="G64" i="24" s="1"/>
  <c r="J64" i="24" s="1"/>
  <c r="F68" i="24"/>
  <c r="G68" i="24" s="1"/>
  <c r="J68" i="24" s="1"/>
  <c r="E6" i="24"/>
  <c r="E70" i="24" s="1"/>
  <c r="BC67" i="27"/>
  <c r="F64" i="22"/>
  <c r="G64" i="22" s="1"/>
  <c r="J64" i="22" s="1"/>
  <c r="V3" i="26"/>
  <c r="V5" i="26"/>
  <c r="V8" i="26"/>
  <c r="V11" i="26"/>
  <c r="V14" i="26"/>
  <c r="F38" i="24"/>
  <c r="G38" i="24" s="1"/>
  <c r="J38" i="24" s="1"/>
  <c r="F42" i="24"/>
  <c r="G42" i="24" s="1"/>
  <c r="J42" i="24" s="1"/>
  <c r="F46" i="24"/>
  <c r="G46" i="24" s="1"/>
  <c r="J46" i="24" s="1"/>
  <c r="F50" i="24"/>
  <c r="G50" i="24" s="1"/>
  <c r="J50" i="24" s="1"/>
  <c r="F54" i="24"/>
  <c r="G54" i="24" s="1"/>
  <c r="J54" i="24" s="1"/>
  <c r="F58" i="24"/>
  <c r="G58" i="24" s="1"/>
  <c r="J58" i="24" s="1"/>
  <c r="F62" i="24"/>
  <c r="G62" i="24" s="1"/>
  <c r="J62" i="24" s="1"/>
  <c r="F66" i="24"/>
  <c r="G66" i="24" s="1"/>
  <c r="J66" i="24" s="1"/>
  <c r="AS30" i="27"/>
  <c r="R30" i="27"/>
  <c r="AD45" i="27"/>
  <c r="AS41" i="27"/>
  <c r="AP46" i="27"/>
  <c r="AS8" i="27"/>
  <c r="AS33" i="27"/>
  <c r="AS16" i="27"/>
  <c r="R41" i="27"/>
  <c r="AW21" i="27"/>
  <c r="AP66" i="27"/>
  <c r="AW28" i="27"/>
  <c r="AO56" i="27"/>
  <c r="AD58" i="27"/>
  <c r="AS29" i="27"/>
  <c r="AD61" i="27"/>
  <c r="AP15" i="27"/>
  <c r="AD44" i="27"/>
  <c r="AS49" i="27"/>
  <c r="AO4" i="27"/>
  <c r="AP20" i="27"/>
  <c r="AP6" i="27"/>
  <c r="AW24" i="27"/>
  <c r="AD35" i="27"/>
  <c r="AW53" i="27"/>
  <c r="AP26" i="27"/>
  <c r="AW43" i="27"/>
  <c r="AD56" i="27"/>
  <c r="AD63" i="27"/>
  <c r="AW59" i="27"/>
  <c r="AS64" i="27"/>
  <c r="AS54" i="27"/>
  <c r="AD5" i="27"/>
  <c r="AW7" i="27"/>
  <c r="R43" i="27"/>
  <c r="AW35" i="27"/>
  <c r="AS17" i="27"/>
  <c r="AO41" i="27"/>
  <c r="AS27" i="27"/>
  <c r="AW41" i="27"/>
  <c r="AW34" i="27"/>
  <c r="AD24" i="27"/>
  <c r="AO34" i="27"/>
  <c r="AW46" i="27"/>
  <c r="AS20" i="27"/>
  <c r="AO5" i="27"/>
  <c r="AP40" i="27"/>
  <c r="AW25" i="27"/>
  <c r="AD22" i="27"/>
  <c r="AW44" i="27"/>
  <c r="AS39" i="27"/>
  <c r="AD47" i="27"/>
  <c r="AD3" i="27"/>
  <c r="AP10" i="27"/>
  <c r="AD18" i="27"/>
  <c r="AD27" i="27"/>
  <c r="AW64" i="27"/>
  <c r="AD65" i="27"/>
  <c r="AS15" i="27"/>
  <c r="AD39" i="27"/>
  <c r="AD66" i="27"/>
  <c r="AW49" i="27"/>
  <c r="AS40" i="27"/>
  <c r="AS43" i="27"/>
  <c r="AW66" i="27"/>
  <c r="AW31" i="27"/>
  <c r="AO17" i="27"/>
  <c r="AD36" i="27"/>
  <c r="AO60" i="27"/>
  <c r="AO52" i="27"/>
  <c r="AS37" i="27"/>
  <c r="AO48" i="27"/>
  <c r="AS14" i="27"/>
  <c r="AO38" i="27"/>
  <c r="AS9" i="27"/>
  <c r="AW5" i="27"/>
  <c r="AO44" i="27"/>
  <c r="AD26" i="27"/>
  <c r="R49" i="27"/>
  <c r="AO25" i="27"/>
  <c r="AW39" i="27"/>
  <c r="R34" i="27"/>
  <c r="AO43" i="27"/>
  <c r="AP4" i="27"/>
  <c r="AD11" i="27"/>
  <c r="AO12" i="27"/>
  <c r="AD42" i="27"/>
  <c r="AW58" i="27"/>
  <c r="AS23" i="27"/>
  <c r="AO31" i="27"/>
  <c r="AD20" i="27"/>
  <c r="AW54" i="27"/>
  <c r="AD7" i="27"/>
  <c r="AO18" i="27"/>
  <c r="AP23" i="27"/>
  <c r="AO24" i="27"/>
  <c r="AO8" i="27"/>
  <c r="AS3" i="27"/>
  <c r="AD64" i="27"/>
  <c r="AP22" i="27"/>
  <c r="AS63" i="27"/>
  <c r="AD49" i="27"/>
  <c r="AP29" i="27"/>
  <c r="AO49" i="27"/>
  <c r="R37" i="27"/>
  <c r="AO23" i="27"/>
  <c r="AS50" i="27"/>
  <c r="AO46" i="27"/>
  <c r="AD6" i="27"/>
  <c r="AD43" i="27"/>
  <c r="AW13" i="27"/>
  <c r="AP55" i="27"/>
  <c r="AO32" i="27"/>
  <c r="AO55" i="27"/>
  <c r="AO13" i="27"/>
  <c r="AP19" i="27"/>
  <c r="AO16" i="27"/>
  <c r="R28" i="27"/>
  <c r="AP38" i="27"/>
  <c r="AO10" i="27"/>
  <c r="AS35" i="27"/>
  <c r="AP14" i="27"/>
  <c r="AS47" i="27"/>
  <c r="AP43" i="27"/>
  <c r="R14" i="27"/>
  <c r="AW19" i="27"/>
  <c r="AP17" i="27"/>
  <c r="AS38" i="27"/>
  <c r="R24" i="27"/>
  <c r="AS24" i="27"/>
  <c r="AO9" i="27"/>
  <c r="AD12" i="27"/>
  <c r="AS46" i="27"/>
  <c r="AP42" i="27"/>
  <c r="R10" i="27"/>
  <c r="AO6" i="27"/>
  <c r="AP64" i="27"/>
  <c r="AW36" i="27"/>
  <c r="AS44" i="27"/>
  <c r="AD19" i="27"/>
  <c r="AW42" i="27"/>
  <c r="AW9" i="27"/>
  <c r="AD32" i="27"/>
  <c r="R53" i="27"/>
  <c r="AW50" i="27"/>
  <c r="AD48" i="27"/>
  <c r="AW37" i="27"/>
  <c r="AP56" i="27"/>
  <c r="AW40" i="27"/>
  <c r="AD40" i="27"/>
  <c r="AS51" i="27"/>
  <c r="AW56" i="27"/>
  <c r="AW57" i="27"/>
  <c r="AS61" i="27"/>
  <c r="AW3" i="27"/>
  <c r="AS48" i="27"/>
  <c r="AD55" i="27"/>
  <c r="AP50" i="27"/>
  <c r="AW55" i="27"/>
  <c r="AD30" i="27"/>
  <c r="AW38" i="27"/>
  <c r="AW47" i="27"/>
  <c r="AO53" i="27"/>
  <c r="AD15" i="27"/>
  <c r="AD25" i="27"/>
  <c r="AW15" i="27"/>
  <c r="AO27" i="27"/>
  <c r="AS32" i="27"/>
  <c r="AD57" i="27"/>
  <c r="AD31" i="27"/>
  <c r="AS6" i="27"/>
  <c r="AW10" i="27"/>
  <c r="AS31" i="27"/>
  <c r="AW61" i="27"/>
  <c r="AS59" i="27"/>
  <c r="AW62" i="27"/>
  <c r="AW14" i="27"/>
  <c r="AW16" i="27"/>
  <c r="AW18" i="27"/>
  <c r="AD13" i="27"/>
  <c r="AS5" i="27"/>
  <c r="AO45" i="27"/>
  <c r="R27" i="27"/>
  <c r="AD60" i="27"/>
  <c r="AO50" i="27"/>
  <c r="AP35" i="27"/>
  <c r="AS53" i="27"/>
  <c r="AS11" i="27"/>
  <c r="AP45" i="27"/>
  <c r="AP18" i="27"/>
  <c r="AS25" i="27"/>
  <c r="AO36" i="27"/>
  <c r="AO58" i="27"/>
  <c r="AS45" i="27"/>
  <c r="AP8" i="27"/>
  <c r="AW23" i="27"/>
  <c r="AD34" i="27"/>
  <c r="AS4" i="27"/>
  <c r="AS21" i="27"/>
  <c r="AO63" i="27"/>
  <c r="AW17" i="27"/>
  <c r="AS12" i="27"/>
  <c r="AO22" i="27"/>
  <c r="AO14" i="27"/>
  <c r="AW63" i="27"/>
  <c r="AP30" i="27"/>
  <c r="AO11" i="27"/>
  <c r="AD14" i="27"/>
  <c r="AO59" i="27"/>
  <c r="AO40" i="27"/>
  <c r="AP27" i="27"/>
  <c r="AO3" i="27"/>
  <c r="AW48" i="27"/>
  <c r="AO61" i="27"/>
  <c r="AD23" i="27"/>
  <c r="AD29" i="27"/>
  <c r="AP13" i="27"/>
  <c r="AW11" i="27"/>
  <c r="AS28" i="27"/>
  <c r="R19" i="27"/>
  <c r="AO57" i="27"/>
  <c r="AD41" i="27"/>
  <c r="R12" i="27"/>
  <c r="AW52" i="27"/>
  <c r="AS26" i="27"/>
  <c r="AP58" i="27"/>
  <c r="R29" i="27"/>
  <c r="AD16" i="27"/>
  <c r="AW26" i="27"/>
  <c r="AS60" i="27"/>
  <c r="AO65" i="27"/>
  <c r="AS18" i="27"/>
  <c r="AO19" i="27"/>
  <c r="AW33" i="27"/>
  <c r="AD4" i="27"/>
  <c r="AP51" i="27"/>
  <c r="AO62" i="27"/>
  <c r="AP59" i="27"/>
  <c r="R46" i="27"/>
  <c r="AO28" i="27"/>
  <c r="AO66" i="27"/>
  <c r="AW65" i="27"/>
  <c r="AW20" i="27"/>
  <c r="AP54" i="27"/>
  <c r="AD59" i="27"/>
  <c r="AS42" i="27"/>
  <c r="AW6" i="27"/>
  <c r="R39" i="27"/>
  <c r="AW45" i="27"/>
  <c r="AO37" i="27"/>
  <c r="AS65" i="27"/>
  <c r="AP34" i="27"/>
  <c r="AS36" i="27"/>
  <c r="AD10" i="27"/>
  <c r="AW8" i="27"/>
  <c r="AS55" i="27"/>
  <c r="R11" i="27"/>
  <c r="AO39" i="27"/>
  <c r="R6" i="27"/>
  <c r="AD53" i="27"/>
  <c r="AO30" i="27"/>
  <c r="AS10" i="27"/>
  <c r="AW27" i="27"/>
  <c r="AO21" i="27"/>
  <c r="AS56" i="27"/>
  <c r="AW60" i="27"/>
  <c r="AS34" i="27"/>
  <c r="AS66" i="27"/>
  <c r="R62" i="27"/>
  <c r="AD9" i="27"/>
  <c r="AD62" i="27"/>
  <c r="AD8" i="27"/>
  <c r="AO54" i="27"/>
  <c r="AD17" i="27"/>
  <c r="AS52" i="27"/>
  <c r="AW29" i="27"/>
  <c r="AO42" i="27"/>
  <c r="AD50" i="27"/>
  <c r="AD28" i="27"/>
  <c r="AW12" i="27"/>
  <c r="AD21" i="27"/>
  <c r="AS62" i="27"/>
  <c r="AP31" i="27"/>
  <c r="AW51" i="27"/>
  <c r="AD46" i="27"/>
  <c r="R65" i="27"/>
  <c r="AS7" i="27"/>
  <c r="R18" i="27"/>
  <c r="AW32" i="27"/>
  <c r="AD37" i="27"/>
  <c r="AO51" i="27"/>
  <c r="AP21" i="27"/>
  <c r="AS57" i="27"/>
  <c r="AP47" i="27"/>
  <c r="AP60" i="27"/>
  <c r="AP5" i="27"/>
  <c r="AD52" i="27"/>
  <c r="AO29" i="27"/>
  <c r="AO20" i="27"/>
  <c r="AS58" i="27"/>
  <c r="R22" i="27"/>
  <c r="AW30" i="27"/>
  <c r="AP62" i="27"/>
  <c r="AO15" i="27"/>
  <c r="AD38" i="27"/>
  <c r="R31" i="27"/>
  <c r="AW4" i="27"/>
  <c r="AO35" i="27"/>
  <c r="AD54" i="27"/>
  <c r="AD33" i="27"/>
  <c r="AO47" i="27"/>
  <c r="AP11" i="27"/>
  <c r="R55" i="27"/>
  <c r="AP63" i="27"/>
  <c r="AO64" i="27"/>
  <c r="AO33" i="27"/>
  <c r="AO26" i="27"/>
  <c r="AS19" i="27"/>
  <c r="AW22" i="27"/>
  <c r="AP39" i="27"/>
  <c r="AP9" i="27"/>
  <c r="AO7" i="27"/>
  <c r="AD51" i="27"/>
  <c r="AS13" i="27"/>
  <c r="AS22" i="27"/>
  <c r="AF32" i="27" l="1"/>
  <c r="AF11" i="27"/>
  <c r="AF48" i="27"/>
  <c r="AF30" i="27"/>
  <c r="AF53" i="27"/>
  <c r="T10" i="27"/>
  <c r="AF37" i="27"/>
  <c r="AF38" i="27"/>
  <c r="AF64" i="27"/>
  <c r="AF29" i="27"/>
  <c r="AD67" i="27"/>
  <c r="AF3" i="27"/>
  <c r="T53" i="27"/>
  <c r="T28" i="27"/>
  <c r="T29" i="27"/>
  <c r="T65" i="27"/>
  <c r="T62" i="27"/>
  <c r="AF17" i="27"/>
  <c r="AF6" i="27"/>
  <c r="BA48" i="27"/>
  <c r="AR40" i="27"/>
  <c r="BA40" i="27"/>
  <c r="AF41" i="27"/>
  <c r="AF20" i="27"/>
  <c r="AF14" i="27"/>
  <c r="AF27" i="27"/>
  <c r="AF60" i="27"/>
  <c r="T49" i="27"/>
  <c r="T34" i="27"/>
  <c r="T19" i="27"/>
  <c r="AR14" i="27"/>
  <c r="BA14" i="27"/>
  <c r="AR11" i="27"/>
  <c r="BA11" i="27"/>
  <c r="AF66" i="27"/>
  <c r="T55" i="27"/>
  <c r="AF45" i="27"/>
  <c r="AF18" i="27"/>
  <c r="AF8" i="27"/>
  <c r="T24" i="27"/>
  <c r="T46" i="27"/>
  <c r="AR60" i="27"/>
  <c r="BA60" i="27"/>
  <c r="AF56" i="27"/>
  <c r="T11" i="27"/>
  <c r="AF49" i="27"/>
  <c r="AF4" i="27"/>
  <c r="AF15" i="27"/>
  <c r="AF62" i="27"/>
  <c r="AR10" i="27"/>
  <c r="BA10" i="27"/>
  <c r="AR47" i="27"/>
  <c r="BA47" i="27"/>
  <c r="AR55" i="27"/>
  <c r="BA55" i="27"/>
  <c r="AF46" i="27"/>
  <c r="AF34" i="27"/>
  <c r="T43" i="27"/>
  <c r="AF7" i="27"/>
  <c r="AF44" i="27"/>
  <c r="AF57" i="27"/>
  <c r="AF22" i="27"/>
  <c r="AF42" i="27"/>
  <c r="T6" i="27"/>
  <c r="T41" i="27"/>
  <c r="AF16" i="27"/>
  <c r="AF61" i="27"/>
  <c r="AF63" i="27"/>
  <c r="AF39" i="27"/>
  <c r="T39" i="27"/>
  <c r="AF31" i="27"/>
  <c r="AF12" i="27"/>
  <c r="AR42" i="27"/>
  <c r="BA42" i="27"/>
  <c r="AF50" i="27"/>
  <c r="AF65" i="27"/>
  <c r="AF54" i="27"/>
  <c r="AF5" i="27"/>
  <c r="AF24" i="27"/>
  <c r="AF55" i="27"/>
  <c r="T37" i="27"/>
  <c r="T18" i="27"/>
  <c r="T31" i="27"/>
  <c r="AF36" i="27"/>
  <c r="BA33" i="27"/>
  <c r="AF47" i="27"/>
  <c r="AF10" i="27"/>
  <c r="AF26" i="27"/>
  <c r="T30" i="27"/>
  <c r="AR15" i="27"/>
  <c r="BA15" i="27"/>
  <c r="AF52" i="27"/>
  <c r="AF23" i="27"/>
  <c r="AF19" i="27"/>
  <c r="AF51" i="27"/>
  <c r="AF58" i="27"/>
  <c r="AF40" i="27"/>
  <c r="AF59" i="27"/>
  <c r="AF13" i="27"/>
  <c r="T27" i="27"/>
  <c r="AR19" i="27"/>
  <c r="BA19" i="27"/>
  <c r="AF21" i="27"/>
  <c r="AF33" i="27"/>
  <c r="AF35" i="27"/>
  <c r="AF9" i="27"/>
  <c r="T14" i="27"/>
  <c r="T12" i="27"/>
  <c r="AF25" i="27"/>
  <c r="AF28" i="27"/>
  <c r="AR5" i="27"/>
  <c r="BA5" i="27"/>
  <c r="AS67" i="27"/>
  <c r="AR26" i="27"/>
  <c r="BA26" i="27"/>
  <c r="AR21" i="27"/>
  <c r="BA21" i="27"/>
  <c r="BA16" i="27"/>
  <c r="AR6" i="27"/>
  <c r="BA6" i="27"/>
  <c r="AR30" i="27"/>
  <c r="BA30" i="27"/>
  <c r="AR46" i="27"/>
  <c r="BA46" i="27"/>
  <c r="AR29" i="27"/>
  <c r="BA29" i="27"/>
  <c r="AR31" i="27"/>
  <c r="BA31" i="27"/>
  <c r="AR66" i="27"/>
  <c r="BA66" i="27"/>
  <c r="BA61" i="27"/>
  <c r="BA65" i="27"/>
  <c r="AR59" i="27"/>
  <c r="BA59" i="27"/>
  <c r="AR63" i="27"/>
  <c r="BA63" i="27"/>
  <c r="AW67" i="27"/>
  <c r="AR13" i="27"/>
  <c r="BA13" i="27"/>
  <c r="BA32" i="27"/>
  <c r="AR51" i="27"/>
  <c r="BA51" i="27"/>
  <c r="AR38" i="27"/>
  <c r="BA38" i="27"/>
  <c r="AR20" i="27"/>
  <c r="BA20" i="27"/>
  <c r="BA12" i="27"/>
  <c r="AR35" i="27"/>
  <c r="BA35" i="27"/>
  <c r="BA37" i="27"/>
  <c r="BA57" i="27"/>
  <c r="AF43" i="27"/>
  <c r="AR9" i="27"/>
  <c r="BA9" i="27"/>
  <c r="AR4" i="27"/>
  <c r="BA4" i="27"/>
  <c r="BA28" i="27"/>
  <c r="AR18" i="27"/>
  <c r="BA18" i="27"/>
  <c r="BA41" i="27"/>
  <c r="AR27" i="27"/>
  <c r="BA27" i="27"/>
  <c r="AR54" i="27"/>
  <c r="BA54" i="27"/>
  <c r="BA49" i="27"/>
  <c r="AR58" i="27"/>
  <c r="BA58" i="27"/>
  <c r="AR17" i="27"/>
  <c r="BA17" i="27"/>
  <c r="AR23" i="27"/>
  <c r="BA23" i="27"/>
  <c r="AR39" i="27"/>
  <c r="BA39" i="27"/>
  <c r="BA44" i="27"/>
  <c r="BA36" i="27"/>
  <c r="AR56" i="27"/>
  <c r="BA56" i="27"/>
  <c r="AR43" i="27"/>
  <c r="BA43" i="27"/>
  <c r="T22" i="27"/>
  <c r="AR8" i="27"/>
  <c r="BA8" i="27"/>
  <c r="AR22" i="27"/>
  <c r="BA22" i="27"/>
  <c r="BA52" i="27"/>
  <c r="AO67" i="27"/>
  <c r="BA3" i="27"/>
  <c r="BA7" i="27"/>
  <c r="AR50" i="27"/>
  <c r="BA50" i="27"/>
  <c r="BA24" i="27"/>
  <c r="BA25" i="27"/>
  <c r="AR45" i="27"/>
  <c r="BA45" i="27"/>
  <c r="AR34" i="27"/>
  <c r="BA34" i="27"/>
  <c r="BA53" i="27"/>
  <c r="AR62" i="27"/>
  <c r="BA62" i="27"/>
  <c r="AR64" i="27"/>
  <c r="BA64" i="27"/>
  <c r="T4" i="10"/>
  <c r="T11" i="10"/>
  <c r="G70" i="14"/>
  <c r="T4" i="22"/>
  <c r="T11" i="22"/>
  <c r="G70" i="16"/>
  <c r="J6" i="16"/>
  <c r="R70" i="14"/>
  <c r="T11" i="24"/>
  <c r="T4" i="24"/>
  <c r="J70" i="14"/>
  <c r="R57" i="8"/>
  <c r="J61" i="2"/>
  <c r="T11" i="6"/>
  <c r="T4" i="6"/>
  <c r="G70" i="22"/>
  <c r="J6" i="22"/>
  <c r="R51" i="20"/>
  <c r="R31" i="20"/>
  <c r="V4" i="26"/>
  <c r="T4" i="4" s="1"/>
  <c r="R15" i="20"/>
  <c r="R36" i="20"/>
  <c r="R50" i="8"/>
  <c r="R26" i="8"/>
  <c r="R7" i="8"/>
  <c r="R64" i="20"/>
  <c r="T11" i="18"/>
  <c r="T4" i="18"/>
  <c r="T4" i="12"/>
  <c r="T11" i="12"/>
  <c r="R47" i="20"/>
  <c r="T4" i="16"/>
  <c r="T11" i="16"/>
  <c r="R44" i="20"/>
  <c r="R56" i="20"/>
  <c r="R27" i="20"/>
  <c r="R19" i="20"/>
  <c r="R66" i="8"/>
  <c r="R48" i="8"/>
  <c r="R54" i="8"/>
  <c r="R41" i="8"/>
  <c r="R36" i="8"/>
  <c r="R10" i="20"/>
  <c r="R68" i="20"/>
  <c r="R35" i="20"/>
  <c r="R23" i="8"/>
  <c r="R10" i="8"/>
  <c r="R62" i="8"/>
  <c r="R29" i="8"/>
  <c r="J6" i="6"/>
  <c r="G70" i="6"/>
  <c r="G70" i="24"/>
  <c r="J6" i="24"/>
  <c r="G70" i="8"/>
  <c r="J6" i="8"/>
  <c r="J70" i="18"/>
  <c r="R39" i="20"/>
  <c r="R35" i="8"/>
  <c r="F70" i="8"/>
  <c r="V15" i="26"/>
  <c r="T4" i="2"/>
  <c r="R40" i="20"/>
  <c r="K70" i="20"/>
  <c r="R28" i="20"/>
  <c r="R19" i="8"/>
  <c r="J8" i="2"/>
  <c r="I70" i="2"/>
  <c r="W3" i="26" s="1"/>
  <c r="R24" i="8"/>
  <c r="R6" i="20"/>
  <c r="J70" i="20"/>
  <c r="R64" i="8"/>
  <c r="R18" i="8"/>
  <c r="R38" i="8"/>
  <c r="K70" i="8"/>
  <c r="R11" i="8"/>
  <c r="R55" i="20"/>
  <c r="R52" i="20"/>
  <c r="R60" i="20"/>
  <c r="G70" i="20"/>
  <c r="J70" i="12"/>
  <c r="J8" i="10"/>
  <c r="J70" i="10" s="1"/>
  <c r="G70" i="10"/>
  <c r="R60" i="8"/>
  <c r="K70" i="14"/>
  <c r="G6" i="4"/>
  <c r="F70" i="4"/>
  <c r="R43" i="8"/>
  <c r="R47" i="8"/>
  <c r="J17" i="4"/>
  <c r="J25" i="4"/>
  <c r="J20" i="4"/>
  <c r="J27" i="4"/>
  <c r="J65" i="2"/>
  <c r="R39" i="8"/>
  <c r="J48" i="4"/>
  <c r="J11" i="4"/>
  <c r="J13" i="4"/>
  <c r="J12" i="4"/>
  <c r="J16" i="4"/>
  <c r="I70" i="4"/>
  <c r="W4" i="26" s="1"/>
  <c r="X4" i="26" s="1"/>
  <c r="J30" i="4"/>
  <c r="J50" i="4"/>
  <c r="J66" i="4"/>
  <c r="J57" i="4"/>
  <c r="J56" i="4"/>
  <c r="J9" i="4"/>
  <c r="J44" i="4"/>
  <c r="J42" i="4"/>
  <c r="J45" i="2"/>
  <c r="J58" i="4"/>
  <c r="J22" i="4"/>
  <c r="J61" i="4"/>
  <c r="J7" i="4"/>
  <c r="J53" i="4"/>
  <c r="J31" i="4"/>
  <c r="J18" i="4"/>
  <c r="J54" i="4"/>
  <c r="J46" i="4"/>
  <c r="J10" i="4"/>
  <c r="J38" i="4"/>
  <c r="R67" i="8"/>
  <c r="R61" i="8"/>
  <c r="J41" i="4"/>
  <c r="J19" i="4"/>
  <c r="J32" i="4"/>
  <c r="J23" i="4"/>
  <c r="R28" i="8"/>
  <c r="R53" i="8"/>
  <c r="R20" i="8"/>
  <c r="J34" i="4"/>
  <c r="J28" i="4"/>
  <c r="R59" i="8"/>
  <c r="R8" i="8"/>
  <c r="F70" i="2"/>
  <c r="G6" i="2"/>
  <c r="R45" i="8"/>
  <c r="R63" i="8"/>
  <c r="J26" i="4"/>
  <c r="J33" i="4"/>
  <c r="J65" i="4"/>
  <c r="J24" i="4"/>
  <c r="R51" i="8"/>
  <c r="J55" i="4"/>
  <c r="J59" i="4"/>
  <c r="R16" i="8"/>
  <c r="R55" i="8"/>
  <c r="J21" i="4"/>
  <c r="J29" i="4"/>
  <c r="J62" i="4"/>
  <c r="J49" i="4"/>
  <c r="AP44" i="27"/>
  <c r="R35" i="27"/>
  <c r="AP52" i="27"/>
  <c r="R50" i="27"/>
  <c r="AP65" i="27"/>
  <c r="R17" i="27"/>
  <c r="R63" i="27"/>
  <c r="R20" i="27"/>
  <c r="AP28" i="27"/>
  <c r="R38" i="27"/>
  <c r="AP48" i="27"/>
  <c r="AP41" i="27"/>
  <c r="R57" i="27"/>
  <c r="AP61" i="27"/>
  <c r="R54" i="27"/>
  <c r="AP32" i="27"/>
  <c r="R7" i="27"/>
  <c r="R36" i="27"/>
  <c r="R42" i="27"/>
  <c r="R60" i="27"/>
  <c r="R8" i="27"/>
  <c r="AP37" i="27"/>
  <c r="AP7" i="27"/>
  <c r="AP3" i="27"/>
  <c r="R25" i="27"/>
  <c r="AP16" i="27"/>
  <c r="AP57" i="27"/>
  <c r="R64" i="27"/>
  <c r="R16" i="27"/>
  <c r="R52" i="27"/>
  <c r="R59" i="27"/>
  <c r="R47" i="27"/>
  <c r="R61" i="27"/>
  <c r="AP12" i="27"/>
  <c r="R45" i="27"/>
  <c r="R56" i="27"/>
  <c r="AP25" i="27"/>
  <c r="AP24" i="27"/>
  <c r="R26" i="27"/>
  <c r="R40" i="27"/>
  <c r="AP36" i="27"/>
  <c r="R4" i="27"/>
  <c r="R48" i="27"/>
  <c r="R23" i="27"/>
  <c r="R58" i="27"/>
  <c r="AP49" i="27"/>
  <c r="R5" i="27"/>
  <c r="R13" i="27"/>
  <c r="R44" i="27"/>
  <c r="R15" i="27"/>
  <c r="R33" i="27"/>
  <c r="R51" i="27"/>
  <c r="AP33" i="27"/>
  <c r="R21" i="27"/>
  <c r="AP53" i="27"/>
  <c r="R32" i="27"/>
  <c r="AR49" i="27" l="1"/>
  <c r="AR48" i="27"/>
  <c r="AR65" i="27"/>
  <c r="T50" i="27"/>
  <c r="T57" i="27"/>
  <c r="AR52" i="27"/>
  <c r="T20" i="27"/>
  <c r="AR16" i="27"/>
  <c r="T23" i="27"/>
  <c r="AR44" i="27"/>
  <c r="T4" i="27"/>
  <c r="T25" i="27"/>
  <c r="T44" i="27"/>
  <c r="AR25" i="27"/>
  <c r="T26" i="27"/>
  <c r="AR7" i="27"/>
  <c r="AR24" i="27"/>
  <c r="T63" i="27"/>
  <c r="T64" i="27"/>
  <c r="T7" i="27"/>
  <c r="T40" i="27"/>
  <c r="T32" i="27"/>
  <c r="T45" i="27"/>
  <c r="AR53" i="27"/>
  <c r="T5" i="27"/>
  <c r="T17" i="27"/>
  <c r="T60" i="27"/>
  <c r="T21" i="27"/>
  <c r="T47" i="27"/>
  <c r="AR33" i="27"/>
  <c r="T59" i="27"/>
  <c r="AR28" i="27"/>
  <c r="T56" i="27"/>
  <c r="T33" i="27"/>
  <c r="T16" i="27"/>
  <c r="T51" i="27"/>
  <c r="AR32" i="27"/>
  <c r="T38" i="27"/>
  <c r="AR41" i="27"/>
  <c r="AR12" i="27"/>
  <c r="AR57" i="27"/>
  <c r="AR61" i="27"/>
  <c r="T48" i="27"/>
  <c r="T35" i="27"/>
  <c r="T52" i="27"/>
  <c r="T15" i="27"/>
  <c r="AP67" i="27"/>
  <c r="AR3" i="27"/>
  <c r="AR37" i="27"/>
  <c r="AR36" i="27"/>
  <c r="T58" i="27"/>
  <c r="T42" i="27"/>
  <c r="T13" i="27"/>
  <c r="T36" i="27"/>
  <c r="T8" i="27"/>
  <c r="T61" i="27"/>
  <c r="T54" i="27"/>
  <c r="J70" i="6"/>
  <c r="R54" i="4"/>
  <c r="R45" i="2"/>
  <c r="J70" i="24"/>
  <c r="K20" i="12"/>
  <c r="R20" i="12" s="1"/>
  <c r="K11" i="12"/>
  <c r="R11" i="12" s="1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37" i="12"/>
  <c r="R37" i="12" s="1"/>
  <c r="K33" i="12"/>
  <c r="R33" i="12" s="1"/>
  <c r="K29" i="12"/>
  <c r="R29" i="12" s="1"/>
  <c r="K25" i="12"/>
  <c r="R25" i="12" s="1"/>
  <c r="K21" i="12"/>
  <c r="R21" i="12" s="1"/>
  <c r="K16" i="12"/>
  <c r="R16" i="12" s="1"/>
  <c r="K12" i="12"/>
  <c r="R12" i="12" s="1"/>
  <c r="K7" i="12"/>
  <c r="R7" i="12" s="1"/>
  <c r="K9" i="12"/>
  <c r="R9" i="12" s="1"/>
  <c r="K67" i="12"/>
  <c r="R67" i="12" s="1"/>
  <c r="K63" i="12"/>
  <c r="R63" i="12" s="1"/>
  <c r="K59" i="12"/>
  <c r="R59" i="12" s="1"/>
  <c r="K55" i="12"/>
  <c r="R55" i="12" s="1"/>
  <c r="K51" i="12"/>
  <c r="R51" i="12" s="1"/>
  <c r="K47" i="12"/>
  <c r="R47" i="12" s="1"/>
  <c r="K43" i="12"/>
  <c r="R43" i="12" s="1"/>
  <c r="K39" i="12"/>
  <c r="R39" i="12" s="1"/>
  <c r="K35" i="12"/>
  <c r="R35" i="12" s="1"/>
  <c r="K31" i="12"/>
  <c r="R31" i="12" s="1"/>
  <c r="K27" i="12"/>
  <c r="R27" i="12" s="1"/>
  <c r="K23" i="12"/>
  <c r="R23" i="12" s="1"/>
  <c r="K18" i="12"/>
  <c r="R18" i="12" s="1"/>
  <c r="K6" i="12"/>
  <c r="K14" i="12"/>
  <c r="R14" i="12" s="1"/>
  <c r="K19" i="12"/>
  <c r="R19" i="12" s="1"/>
  <c r="K10" i="12"/>
  <c r="R10" i="12" s="1"/>
  <c r="K66" i="12"/>
  <c r="R66" i="12" s="1"/>
  <c r="K62" i="12"/>
  <c r="R62" i="12" s="1"/>
  <c r="K58" i="12"/>
  <c r="R58" i="12" s="1"/>
  <c r="K54" i="12"/>
  <c r="R54" i="12" s="1"/>
  <c r="K50" i="12"/>
  <c r="R50" i="12" s="1"/>
  <c r="K46" i="12"/>
  <c r="R46" i="12" s="1"/>
  <c r="K42" i="12"/>
  <c r="R42" i="12" s="1"/>
  <c r="K38" i="12"/>
  <c r="R38" i="12" s="1"/>
  <c r="K34" i="12"/>
  <c r="R34" i="12" s="1"/>
  <c r="K30" i="12"/>
  <c r="R30" i="12" s="1"/>
  <c r="K26" i="12"/>
  <c r="R26" i="12" s="1"/>
  <c r="K22" i="12"/>
  <c r="R22" i="12" s="1"/>
  <c r="K17" i="12"/>
  <c r="R17" i="12" s="1"/>
  <c r="K68" i="12"/>
  <c r="R68" i="12" s="1"/>
  <c r="K56" i="12"/>
  <c r="R56" i="12" s="1"/>
  <c r="K44" i="12"/>
  <c r="R44" i="12" s="1"/>
  <c r="K32" i="12"/>
  <c r="R32" i="12" s="1"/>
  <c r="K60" i="12"/>
  <c r="R60" i="12" s="1"/>
  <c r="K48" i="12"/>
  <c r="R48" i="12" s="1"/>
  <c r="K36" i="12"/>
  <c r="R36" i="12" s="1"/>
  <c r="K24" i="12"/>
  <c r="R24" i="12" s="1"/>
  <c r="K13" i="12"/>
  <c r="R13" i="12" s="1"/>
  <c r="K15" i="12"/>
  <c r="R15" i="12" s="1"/>
  <c r="K64" i="12"/>
  <c r="R64" i="12" s="1"/>
  <c r="K52" i="12"/>
  <c r="R52" i="12" s="1"/>
  <c r="K40" i="12"/>
  <c r="R40" i="12" s="1"/>
  <c r="K28" i="12"/>
  <c r="R28" i="12" s="1"/>
  <c r="K8" i="12"/>
  <c r="R8" i="12" s="1"/>
  <c r="J70" i="22"/>
  <c r="K69" i="10"/>
  <c r="R69" i="10" s="1"/>
  <c r="K65" i="10"/>
  <c r="R65" i="10" s="1"/>
  <c r="K61" i="10"/>
  <c r="R61" i="10" s="1"/>
  <c r="K57" i="10"/>
  <c r="R57" i="10" s="1"/>
  <c r="K53" i="10"/>
  <c r="R53" i="10" s="1"/>
  <c r="K49" i="10"/>
  <c r="R49" i="10" s="1"/>
  <c r="K45" i="10"/>
  <c r="R45" i="10" s="1"/>
  <c r="K41" i="10"/>
  <c r="R41" i="10" s="1"/>
  <c r="K37" i="10"/>
  <c r="R37" i="10" s="1"/>
  <c r="K33" i="10"/>
  <c r="R33" i="10" s="1"/>
  <c r="K29" i="10"/>
  <c r="R29" i="10" s="1"/>
  <c r="K25" i="10"/>
  <c r="R25" i="10" s="1"/>
  <c r="K39" i="10"/>
  <c r="R39" i="10" s="1"/>
  <c r="K32" i="10"/>
  <c r="R32" i="10" s="1"/>
  <c r="K17" i="10"/>
  <c r="R17" i="10" s="1"/>
  <c r="K63" i="10"/>
  <c r="R63" i="10" s="1"/>
  <c r="K22" i="10"/>
  <c r="R22" i="10" s="1"/>
  <c r="K13" i="10"/>
  <c r="R13" i="10" s="1"/>
  <c r="K8" i="10"/>
  <c r="K68" i="10"/>
  <c r="R68" i="10" s="1"/>
  <c r="K58" i="10"/>
  <c r="R58" i="10" s="1"/>
  <c r="K50" i="10"/>
  <c r="R50" i="10" s="1"/>
  <c r="K42" i="10"/>
  <c r="R42" i="10" s="1"/>
  <c r="K36" i="10"/>
  <c r="R36" i="10" s="1"/>
  <c r="K18" i="10"/>
  <c r="R18" i="10" s="1"/>
  <c r="K26" i="10"/>
  <c r="R26" i="10" s="1"/>
  <c r="K9" i="10"/>
  <c r="R9" i="10" s="1"/>
  <c r="K56" i="10"/>
  <c r="R56" i="10" s="1"/>
  <c r="K48" i="10"/>
  <c r="R48" i="10" s="1"/>
  <c r="K40" i="10"/>
  <c r="R40" i="10" s="1"/>
  <c r="K23" i="10"/>
  <c r="R23" i="10" s="1"/>
  <c r="K14" i="10"/>
  <c r="R14" i="10" s="1"/>
  <c r="K66" i="10"/>
  <c r="R66" i="10" s="1"/>
  <c r="K59" i="10"/>
  <c r="R59" i="10" s="1"/>
  <c r="K51" i="10"/>
  <c r="R51" i="10" s="1"/>
  <c r="K43" i="10"/>
  <c r="R43" i="10" s="1"/>
  <c r="K30" i="10"/>
  <c r="R30" i="10" s="1"/>
  <c r="K19" i="10"/>
  <c r="R19" i="10" s="1"/>
  <c r="K10" i="10"/>
  <c r="R10" i="10" s="1"/>
  <c r="K64" i="10"/>
  <c r="R64" i="10" s="1"/>
  <c r="K27" i="10"/>
  <c r="R27" i="10" s="1"/>
  <c r="K34" i="10"/>
  <c r="R34" i="10" s="1"/>
  <c r="K15" i="10"/>
  <c r="R15" i="10" s="1"/>
  <c r="K6" i="10"/>
  <c r="K54" i="10"/>
  <c r="R54" i="10" s="1"/>
  <c r="K46" i="10"/>
  <c r="R46" i="10" s="1"/>
  <c r="K31" i="10"/>
  <c r="R31" i="10" s="1"/>
  <c r="K24" i="10"/>
  <c r="R24" i="10" s="1"/>
  <c r="K20" i="10"/>
  <c r="R20" i="10" s="1"/>
  <c r="K11" i="10"/>
  <c r="R11" i="10" s="1"/>
  <c r="K47" i="10"/>
  <c r="R47" i="10" s="1"/>
  <c r="K35" i="10"/>
  <c r="R35" i="10" s="1"/>
  <c r="K7" i="10"/>
  <c r="R7" i="10" s="1"/>
  <c r="K52" i="10"/>
  <c r="R52" i="10" s="1"/>
  <c r="K67" i="10"/>
  <c r="R67" i="10" s="1"/>
  <c r="K28" i="10"/>
  <c r="R28" i="10" s="1"/>
  <c r="K44" i="10"/>
  <c r="R44" i="10" s="1"/>
  <c r="K21" i="10"/>
  <c r="R21" i="10" s="1"/>
  <c r="K12" i="10"/>
  <c r="R12" i="10" s="1"/>
  <c r="K62" i="10"/>
  <c r="R62" i="10" s="1"/>
  <c r="K16" i="10"/>
  <c r="R16" i="10" s="1"/>
  <c r="K38" i="10"/>
  <c r="R38" i="10" s="1"/>
  <c r="K55" i="10"/>
  <c r="R55" i="10" s="1"/>
  <c r="K60" i="10"/>
  <c r="R60" i="10" s="1"/>
  <c r="K58" i="2"/>
  <c r="R58" i="2" s="1"/>
  <c r="K42" i="2"/>
  <c r="R42" i="2" s="1"/>
  <c r="K26" i="2"/>
  <c r="R26" i="2" s="1"/>
  <c r="K9" i="2"/>
  <c r="R9" i="2" s="1"/>
  <c r="K41" i="2"/>
  <c r="R41" i="2" s="1"/>
  <c r="K28" i="2"/>
  <c r="R28" i="2" s="1"/>
  <c r="K25" i="2"/>
  <c r="R25" i="2" s="1"/>
  <c r="K12" i="2"/>
  <c r="R12" i="2" s="1"/>
  <c r="K38" i="2"/>
  <c r="R38" i="2" s="1"/>
  <c r="K17" i="2"/>
  <c r="R17" i="2" s="1"/>
  <c r="K8" i="2"/>
  <c r="K55" i="2"/>
  <c r="R55" i="2" s="1"/>
  <c r="K39" i="2"/>
  <c r="R39" i="2" s="1"/>
  <c r="K23" i="2"/>
  <c r="R23" i="2" s="1"/>
  <c r="K19" i="2"/>
  <c r="R19" i="2" s="1"/>
  <c r="K53" i="2"/>
  <c r="R53" i="2" s="1"/>
  <c r="K68" i="2"/>
  <c r="R68" i="2" s="1"/>
  <c r="K65" i="2"/>
  <c r="K52" i="2"/>
  <c r="R52" i="2" s="1"/>
  <c r="K49" i="2"/>
  <c r="R49" i="2" s="1"/>
  <c r="K36" i="2"/>
  <c r="R36" i="2" s="1"/>
  <c r="K33" i="2"/>
  <c r="R33" i="2" s="1"/>
  <c r="K14" i="2"/>
  <c r="R14" i="2" s="1"/>
  <c r="K10" i="2"/>
  <c r="R10" i="2" s="1"/>
  <c r="K6" i="2"/>
  <c r="K62" i="2"/>
  <c r="R62" i="2" s="1"/>
  <c r="K46" i="2"/>
  <c r="R46" i="2" s="1"/>
  <c r="K30" i="2"/>
  <c r="R30" i="2" s="1"/>
  <c r="K24" i="2"/>
  <c r="R24" i="2" s="1"/>
  <c r="K57" i="2"/>
  <c r="R57" i="2" s="1"/>
  <c r="K7" i="2"/>
  <c r="R7" i="2" s="1"/>
  <c r="K67" i="2"/>
  <c r="R67" i="2" s="1"/>
  <c r="K51" i="2"/>
  <c r="R51" i="2" s="1"/>
  <c r="K35" i="2"/>
  <c r="R35" i="2" s="1"/>
  <c r="K59" i="2"/>
  <c r="R59" i="2" s="1"/>
  <c r="K43" i="2"/>
  <c r="R43" i="2" s="1"/>
  <c r="K27" i="2"/>
  <c r="R27" i="2" s="1"/>
  <c r="K20" i="2"/>
  <c r="R20" i="2" s="1"/>
  <c r="K15" i="2"/>
  <c r="R15" i="2" s="1"/>
  <c r="K56" i="2"/>
  <c r="R56" i="2" s="1"/>
  <c r="K31" i="2"/>
  <c r="R31" i="2" s="1"/>
  <c r="K54" i="2"/>
  <c r="R54" i="2" s="1"/>
  <c r="K69" i="2"/>
  <c r="R69" i="2" s="1"/>
  <c r="K40" i="2"/>
  <c r="R40" i="2" s="1"/>
  <c r="K37" i="2"/>
  <c r="R37" i="2" s="1"/>
  <c r="K11" i="2"/>
  <c r="R11" i="2" s="1"/>
  <c r="K66" i="2"/>
  <c r="R66" i="2" s="1"/>
  <c r="K50" i="2"/>
  <c r="R50" i="2" s="1"/>
  <c r="K34" i="2"/>
  <c r="R34" i="2" s="1"/>
  <c r="K63" i="2"/>
  <c r="R63" i="2" s="1"/>
  <c r="K21" i="2"/>
  <c r="R21" i="2" s="1"/>
  <c r="K16" i="2"/>
  <c r="R16" i="2" s="1"/>
  <c r="K60" i="2"/>
  <c r="R60" i="2" s="1"/>
  <c r="K44" i="2"/>
  <c r="R44" i="2" s="1"/>
  <c r="K47" i="2"/>
  <c r="R47" i="2" s="1"/>
  <c r="K22" i="2"/>
  <c r="R22" i="2" s="1"/>
  <c r="K64" i="2"/>
  <c r="R64" i="2" s="1"/>
  <c r="K61" i="2"/>
  <c r="K48" i="2"/>
  <c r="R48" i="2" s="1"/>
  <c r="K45" i="2"/>
  <c r="K32" i="2"/>
  <c r="R32" i="2" s="1"/>
  <c r="K29" i="2"/>
  <c r="R29" i="2" s="1"/>
  <c r="K18" i="2"/>
  <c r="R18" i="2" s="1"/>
  <c r="K13" i="2"/>
  <c r="R13" i="2" s="1"/>
  <c r="K67" i="24"/>
  <c r="R67" i="24" s="1"/>
  <c r="K63" i="24"/>
  <c r="R63" i="24" s="1"/>
  <c r="K59" i="24"/>
  <c r="R59" i="24" s="1"/>
  <c r="K55" i="24"/>
  <c r="R55" i="24" s="1"/>
  <c r="K51" i="24"/>
  <c r="R51" i="24" s="1"/>
  <c r="K47" i="24"/>
  <c r="R47" i="24" s="1"/>
  <c r="K43" i="24"/>
  <c r="R43" i="24" s="1"/>
  <c r="K39" i="24"/>
  <c r="R39" i="24" s="1"/>
  <c r="K35" i="24"/>
  <c r="R35" i="24" s="1"/>
  <c r="K31" i="24"/>
  <c r="R31" i="24" s="1"/>
  <c r="K27" i="24"/>
  <c r="R27" i="24" s="1"/>
  <c r="K23" i="24"/>
  <c r="R23" i="24" s="1"/>
  <c r="K19" i="24"/>
  <c r="R19" i="24" s="1"/>
  <c r="K15" i="24"/>
  <c r="R15" i="24" s="1"/>
  <c r="K6" i="24"/>
  <c r="K11" i="24"/>
  <c r="R11" i="24" s="1"/>
  <c r="K68" i="24"/>
  <c r="R68" i="24" s="1"/>
  <c r="K64" i="24"/>
  <c r="R64" i="24" s="1"/>
  <c r="K60" i="24"/>
  <c r="R60" i="24" s="1"/>
  <c r="K56" i="24"/>
  <c r="R56" i="24" s="1"/>
  <c r="K52" i="24"/>
  <c r="R52" i="24" s="1"/>
  <c r="K48" i="24"/>
  <c r="R48" i="24" s="1"/>
  <c r="K44" i="24"/>
  <c r="R44" i="24" s="1"/>
  <c r="K40" i="24"/>
  <c r="R40" i="24" s="1"/>
  <c r="K36" i="24"/>
  <c r="R36" i="24" s="1"/>
  <c r="K32" i="24"/>
  <c r="R32" i="24" s="1"/>
  <c r="K28" i="24"/>
  <c r="R28" i="24" s="1"/>
  <c r="K24" i="24"/>
  <c r="R24" i="24" s="1"/>
  <c r="K20" i="24"/>
  <c r="R20" i="24" s="1"/>
  <c r="K16" i="24"/>
  <c r="R16" i="24" s="1"/>
  <c r="K12" i="24"/>
  <c r="R12" i="24" s="1"/>
  <c r="K7" i="24"/>
  <c r="R7" i="24" s="1"/>
  <c r="K69" i="24"/>
  <c r="R69" i="24" s="1"/>
  <c r="K65" i="24"/>
  <c r="R65" i="24" s="1"/>
  <c r="K61" i="24"/>
  <c r="R61" i="24" s="1"/>
  <c r="K57" i="24"/>
  <c r="R57" i="24" s="1"/>
  <c r="K53" i="24"/>
  <c r="R53" i="24" s="1"/>
  <c r="K49" i="24"/>
  <c r="R49" i="24" s="1"/>
  <c r="K45" i="24"/>
  <c r="R45" i="24" s="1"/>
  <c r="K41" i="24"/>
  <c r="R41" i="24" s="1"/>
  <c r="K37" i="24"/>
  <c r="R37" i="24" s="1"/>
  <c r="K33" i="24"/>
  <c r="R33" i="24" s="1"/>
  <c r="K29" i="24"/>
  <c r="R29" i="24" s="1"/>
  <c r="K25" i="24"/>
  <c r="R25" i="24" s="1"/>
  <c r="K21" i="24"/>
  <c r="R21" i="24" s="1"/>
  <c r="K17" i="24"/>
  <c r="R17" i="24" s="1"/>
  <c r="K13" i="24"/>
  <c r="R13" i="24" s="1"/>
  <c r="K8" i="24"/>
  <c r="R8" i="24" s="1"/>
  <c r="K26" i="24"/>
  <c r="R26" i="24" s="1"/>
  <c r="K54" i="24"/>
  <c r="R54" i="24" s="1"/>
  <c r="K30" i="24"/>
  <c r="R30" i="24" s="1"/>
  <c r="K34" i="24"/>
  <c r="R34" i="24" s="1"/>
  <c r="K9" i="24"/>
  <c r="R9" i="24" s="1"/>
  <c r="K58" i="24"/>
  <c r="R58" i="24" s="1"/>
  <c r="K38" i="24"/>
  <c r="R38" i="24" s="1"/>
  <c r="K42" i="24"/>
  <c r="R42" i="24" s="1"/>
  <c r="K62" i="24"/>
  <c r="R62" i="24" s="1"/>
  <c r="K46" i="24"/>
  <c r="R46" i="24" s="1"/>
  <c r="K10" i="24"/>
  <c r="R10" i="24" s="1"/>
  <c r="K66" i="24"/>
  <c r="R66" i="24" s="1"/>
  <c r="K50" i="24"/>
  <c r="R50" i="24" s="1"/>
  <c r="K14" i="24"/>
  <c r="R14" i="24" s="1"/>
  <c r="K18" i="24"/>
  <c r="R18" i="24" s="1"/>
  <c r="K22" i="24"/>
  <c r="R22" i="24" s="1"/>
  <c r="K20" i="22"/>
  <c r="R20" i="22" s="1"/>
  <c r="K6" i="22"/>
  <c r="K69" i="22"/>
  <c r="R69" i="22" s="1"/>
  <c r="K65" i="22"/>
  <c r="R65" i="22" s="1"/>
  <c r="K61" i="22"/>
  <c r="R61" i="22" s="1"/>
  <c r="K57" i="22"/>
  <c r="R57" i="22" s="1"/>
  <c r="K53" i="22"/>
  <c r="R53" i="22" s="1"/>
  <c r="K66" i="22"/>
  <c r="R66" i="22" s="1"/>
  <c r="K62" i="22"/>
  <c r="R62" i="22" s="1"/>
  <c r="K58" i="22"/>
  <c r="R58" i="22" s="1"/>
  <c r="K54" i="22"/>
  <c r="R54" i="22" s="1"/>
  <c r="K50" i="22"/>
  <c r="R50" i="22" s="1"/>
  <c r="K46" i="22"/>
  <c r="R46" i="22" s="1"/>
  <c r="K42" i="22"/>
  <c r="R42" i="22" s="1"/>
  <c r="K38" i="22"/>
  <c r="R38" i="22" s="1"/>
  <c r="K34" i="22"/>
  <c r="R34" i="22" s="1"/>
  <c r="K30" i="22"/>
  <c r="R30" i="22" s="1"/>
  <c r="K26" i="22"/>
  <c r="R26" i="22" s="1"/>
  <c r="K22" i="22"/>
  <c r="R22" i="22" s="1"/>
  <c r="K67" i="22"/>
  <c r="R67" i="22" s="1"/>
  <c r="K63" i="22"/>
  <c r="R63" i="22" s="1"/>
  <c r="K59" i="22"/>
  <c r="R59" i="22" s="1"/>
  <c r="K55" i="22"/>
  <c r="R55" i="22" s="1"/>
  <c r="K51" i="22"/>
  <c r="R51" i="22" s="1"/>
  <c r="K47" i="22"/>
  <c r="R47" i="22" s="1"/>
  <c r="K43" i="22"/>
  <c r="R43" i="22" s="1"/>
  <c r="K39" i="22"/>
  <c r="R39" i="22" s="1"/>
  <c r="K35" i="22"/>
  <c r="R35" i="22" s="1"/>
  <c r="K19" i="22"/>
  <c r="R19" i="22" s="1"/>
  <c r="K15" i="22"/>
  <c r="R15" i="22" s="1"/>
  <c r="K56" i="22"/>
  <c r="R56" i="22" s="1"/>
  <c r="K52" i="22"/>
  <c r="R52" i="22" s="1"/>
  <c r="K36" i="22"/>
  <c r="R36" i="22" s="1"/>
  <c r="K31" i="22"/>
  <c r="R31" i="22" s="1"/>
  <c r="K23" i="22"/>
  <c r="R23" i="22" s="1"/>
  <c r="K12" i="22"/>
  <c r="R12" i="22" s="1"/>
  <c r="K8" i="22"/>
  <c r="R8" i="22" s="1"/>
  <c r="K60" i="22"/>
  <c r="R60" i="22" s="1"/>
  <c r="K48" i="22"/>
  <c r="R48" i="22" s="1"/>
  <c r="K41" i="22"/>
  <c r="R41" i="22" s="1"/>
  <c r="K16" i="22"/>
  <c r="R16" i="22" s="1"/>
  <c r="K9" i="22"/>
  <c r="R9" i="22" s="1"/>
  <c r="K64" i="22"/>
  <c r="R64" i="22" s="1"/>
  <c r="K29" i="22"/>
  <c r="R29" i="22" s="1"/>
  <c r="K13" i="22"/>
  <c r="R13" i="22" s="1"/>
  <c r="K44" i="22"/>
  <c r="R44" i="22" s="1"/>
  <c r="K32" i="22"/>
  <c r="R32" i="22" s="1"/>
  <c r="K24" i="22"/>
  <c r="R24" i="22" s="1"/>
  <c r="K21" i="22"/>
  <c r="R21" i="22" s="1"/>
  <c r="K10" i="22"/>
  <c r="R10" i="22" s="1"/>
  <c r="K68" i="22"/>
  <c r="R68" i="22" s="1"/>
  <c r="K37" i="22"/>
  <c r="R37" i="22" s="1"/>
  <c r="K17" i="22"/>
  <c r="R17" i="22" s="1"/>
  <c r="K27" i="22"/>
  <c r="R27" i="22" s="1"/>
  <c r="K14" i="22"/>
  <c r="R14" i="22" s="1"/>
  <c r="K49" i="22"/>
  <c r="R49" i="22" s="1"/>
  <c r="K18" i="22"/>
  <c r="R18" i="22" s="1"/>
  <c r="K28" i="22"/>
  <c r="R28" i="22" s="1"/>
  <c r="K11" i="22"/>
  <c r="R11" i="22" s="1"/>
  <c r="K7" i="22"/>
  <c r="R7" i="22" s="1"/>
  <c r="K25" i="22"/>
  <c r="R25" i="22" s="1"/>
  <c r="K45" i="22"/>
  <c r="R45" i="22" s="1"/>
  <c r="K40" i="22"/>
  <c r="R40" i="22" s="1"/>
  <c r="K33" i="22"/>
  <c r="R33" i="22" s="1"/>
  <c r="R8" i="10"/>
  <c r="AF67" i="27"/>
  <c r="R32" i="4"/>
  <c r="R31" i="4"/>
  <c r="K60" i="6"/>
  <c r="R60" i="6" s="1"/>
  <c r="K36" i="6"/>
  <c r="R36" i="6" s="1"/>
  <c r="K32" i="6"/>
  <c r="R32" i="6" s="1"/>
  <c r="K28" i="6"/>
  <c r="R28" i="6" s="1"/>
  <c r="K24" i="6"/>
  <c r="R24" i="6" s="1"/>
  <c r="K20" i="6"/>
  <c r="R20" i="6" s="1"/>
  <c r="K11" i="6"/>
  <c r="R11" i="6" s="1"/>
  <c r="K57" i="6"/>
  <c r="R57" i="6" s="1"/>
  <c r="K50" i="6"/>
  <c r="R50" i="6" s="1"/>
  <c r="K43" i="6"/>
  <c r="R43" i="6" s="1"/>
  <c r="K64" i="6"/>
  <c r="R64" i="6" s="1"/>
  <c r="K40" i="6"/>
  <c r="R40" i="6" s="1"/>
  <c r="K16" i="6"/>
  <c r="R16" i="6" s="1"/>
  <c r="K12" i="6"/>
  <c r="R12" i="6" s="1"/>
  <c r="K7" i="6"/>
  <c r="R7" i="6" s="1"/>
  <c r="K67" i="6"/>
  <c r="R67" i="6" s="1"/>
  <c r="K61" i="6"/>
  <c r="R61" i="6" s="1"/>
  <c r="K54" i="6"/>
  <c r="R54" i="6" s="1"/>
  <c r="K47" i="6"/>
  <c r="R47" i="6" s="1"/>
  <c r="K37" i="6"/>
  <c r="R37" i="6" s="1"/>
  <c r="K33" i="6"/>
  <c r="R33" i="6" s="1"/>
  <c r="K29" i="6"/>
  <c r="R29" i="6" s="1"/>
  <c r="K25" i="6"/>
  <c r="R25" i="6" s="1"/>
  <c r="K21" i="6"/>
  <c r="R21" i="6" s="1"/>
  <c r="K44" i="6"/>
  <c r="R44" i="6" s="1"/>
  <c r="K65" i="6"/>
  <c r="R65" i="6" s="1"/>
  <c r="K58" i="6"/>
  <c r="R58" i="6" s="1"/>
  <c r="K51" i="6"/>
  <c r="R51" i="6" s="1"/>
  <c r="K41" i="6"/>
  <c r="R41" i="6" s="1"/>
  <c r="K17" i="6"/>
  <c r="R17" i="6" s="1"/>
  <c r="K13" i="6"/>
  <c r="R13" i="6" s="1"/>
  <c r="K8" i="6"/>
  <c r="R8" i="6" s="1"/>
  <c r="K68" i="6"/>
  <c r="R68" i="6" s="1"/>
  <c r="K48" i="6"/>
  <c r="R48" i="6" s="1"/>
  <c r="K34" i="6"/>
  <c r="R34" i="6" s="1"/>
  <c r="K30" i="6"/>
  <c r="R30" i="6" s="1"/>
  <c r="K26" i="6"/>
  <c r="R26" i="6" s="1"/>
  <c r="K22" i="6"/>
  <c r="R22" i="6" s="1"/>
  <c r="K62" i="6"/>
  <c r="R62" i="6" s="1"/>
  <c r="K55" i="6"/>
  <c r="R55" i="6" s="1"/>
  <c r="K45" i="6"/>
  <c r="R45" i="6" s="1"/>
  <c r="K38" i="6"/>
  <c r="R38" i="6" s="1"/>
  <c r="K18" i="6"/>
  <c r="R18" i="6" s="1"/>
  <c r="K9" i="6"/>
  <c r="R9" i="6" s="1"/>
  <c r="K52" i="6"/>
  <c r="R52" i="6" s="1"/>
  <c r="K63" i="6"/>
  <c r="R63" i="6" s="1"/>
  <c r="K27" i="6"/>
  <c r="R27" i="6" s="1"/>
  <c r="K31" i="6"/>
  <c r="R31" i="6" s="1"/>
  <c r="K46" i="6"/>
  <c r="R46" i="6" s="1"/>
  <c r="K69" i="6"/>
  <c r="R69" i="6" s="1"/>
  <c r="K59" i="6"/>
  <c r="R59" i="6" s="1"/>
  <c r="K49" i="6"/>
  <c r="R49" i="6" s="1"/>
  <c r="K15" i="6"/>
  <c r="R15" i="6" s="1"/>
  <c r="K42" i="6"/>
  <c r="R42" i="6" s="1"/>
  <c r="K35" i="6"/>
  <c r="R35" i="6" s="1"/>
  <c r="K19" i="6"/>
  <c r="R19" i="6" s="1"/>
  <c r="K6" i="6"/>
  <c r="R6" i="6" s="1"/>
  <c r="K56" i="6"/>
  <c r="R56" i="6" s="1"/>
  <c r="K10" i="6"/>
  <c r="R10" i="6" s="1"/>
  <c r="K66" i="6"/>
  <c r="R66" i="6" s="1"/>
  <c r="K39" i="6"/>
  <c r="R39" i="6" s="1"/>
  <c r="K23" i="6"/>
  <c r="R23" i="6" s="1"/>
  <c r="K14" i="6"/>
  <c r="R14" i="6" s="1"/>
  <c r="K53" i="6"/>
  <c r="R53" i="6" s="1"/>
  <c r="R65" i="2"/>
  <c r="W15" i="26"/>
  <c r="X3" i="26"/>
  <c r="X15" i="26" s="1"/>
  <c r="R61" i="2"/>
  <c r="BA67" i="27"/>
  <c r="R24" i="4"/>
  <c r="R21" i="4"/>
  <c r="R19" i="4"/>
  <c r="R11" i="4"/>
  <c r="G70" i="2"/>
  <c r="J6" i="2"/>
  <c r="R70" i="20"/>
  <c r="R8" i="2"/>
  <c r="J70" i="8"/>
  <c r="R6" i="8"/>
  <c r="K69" i="16"/>
  <c r="R69" i="16" s="1"/>
  <c r="K65" i="16"/>
  <c r="R65" i="16" s="1"/>
  <c r="K61" i="16"/>
  <c r="R61" i="16" s="1"/>
  <c r="K57" i="16"/>
  <c r="R57" i="16" s="1"/>
  <c r="K53" i="16"/>
  <c r="R53" i="16" s="1"/>
  <c r="K49" i="16"/>
  <c r="R49" i="16" s="1"/>
  <c r="K45" i="16"/>
  <c r="R45" i="16" s="1"/>
  <c r="K41" i="16"/>
  <c r="R41" i="16" s="1"/>
  <c r="K37" i="16"/>
  <c r="R37" i="16" s="1"/>
  <c r="K33" i="16"/>
  <c r="R33" i="16" s="1"/>
  <c r="K29" i="16"/>
  <c r="R29" i="16" s="1"/>
  <c r="K25" i="16"/>
  <c r="R25" i="16" s="1"/>
  <c r="K16" i="16"/>
  <c r="R16" i="16" s="1"/>
  <c r="K66" i="16"/>
  <c r="R66" i="16" s="1"/>
  <c r="K62" i="16"/>
  <c r="R62" i="16" s="1"/>
  <c r="K13" i="16"/>
  <c r="R13" i="16" s="1"/>
  <c r="K8" i="16"/>
  <c r="R8" i="16" s="1"/>
  <c r="K67" i="16"/>
  <c r="R67" i="16" s="1"/>
  <c r="K63" i="16"/>
  <c r="R63" i="16" s="1"/>
  <c r="K59" i="16"/>
  <c r="R59" i="16" s="1"/>
  <c r="K55" i="16"/>
  <c r="R55" i="16" s="1"/>
  <c r="K51" i="16"/>
  <c r="R51" i="16" s="1"/>
  <c r="K47" i="16"/>
  <c r="R47" i="16" s="1"/>
  <c r="K43" i="16"/>
  <c r="R43" i="16" s="1"/>
  <c r="K39" i="16"/>
  <c r="R39" i="16" s="1"/>
  <c r="K35" i="16"/>
  <c r="R35" i="16" s="1"/>
  <c r="K31" i="16"/>
  <c r="R31" i="16" s="1"/>
  <c r="K27" i="16"/>
  <c r="R27" i="16" s="1"/>
  <c r="K23" i="16"/>
  <c r="R23" i="16" s="1"/>
  <c r="K18" i="16"/>
  <c r="R18" i="16" s="1"/>
  <c r="K9" i="16"/>
  <c r="R9" i="16" s="1"/>
  <c r="K14" i="16"/>
  <c r="R14" i="16" s="1"/>
  <c r="K10" i="16"/>
  <c r="R10" i="16" s="1"/>
  <c r="K56" i="16"/>
  <c r="R56" i="16" s="1"/>
  <c r="K54" i="16"/>
  <c r="R54" i="16" s="1"/>
  <c r="K19" i="16"/>
  <c r="R19" i="16" s="1"/>
  <c r="K15" i="16"/>
  <c r="R15" i="16" s="1"/>
  <c r="K17" i="16"/>
  <c r="R17" i="16" s="1"/>
  <c r="K11" i="16"/>
  <c r="R11" i="16" s="1"/>
  <c r="K60" i="16"/>
  <c r="R60" i="16" s="1"/>
  <c r="K58" i="16"/>
  <c r="R58" i="16" s="1"/>
  <c r="K40" i="16"/>
  <c r="R40" i="16" s="1"/>
  <c r="K36" i="16"/>
  <c r="R36" i="16" s="1"/>
  <c r="K32" i="16"/>
  <c r="R32" i="16" s="1"/>
  <c r="K28" i="16"/>
  <c r="R28" i="16" s="1"/>
  <c r="K24" i="16"/>
  <c r="R24" i="16" s="1"/>
  <c r="K7" i="16"/>
  <c r="R7" i="16" s="1"/>
  <c r="K64" i="16"/>
  <c r="R64" i="16" s="1"/>
  <c r="K44" i="16"/>
  <c r="R44" i="16" s="1"/>
  <c r="K42" i="16"/>
  <c r="R42" i="16" s="1"/>
  <c r="K38" i="16"/>
  <c r="R38" i="16" s="1"/>
  <c r="K34" i="16"/>
  <c r="R34" i="16" s="1"/>
  <c r="K30" i="16"/>
  <c r="R30" i="16" s="1"/>
  <c r="K26" i="16"/>
  <c r="R26" i="16" s="1"/>
  <c r="K22" i="16"/>
  <c r="R22" i="16" s="1"/>
  <c r="K20" i="16"/>
  <c r="R20" i="16" s="1"/>
  <c r="K12" i="16"/>
  <c r="R12" i="16" s="1"/>
  <c r="K48" i="16"/>
  <c r="R48" i="16" s="1"/>
  <c r="K46" i="16"/>
  <c r="R46" i="16" s="1"/>
  <c r="K6" i="16"/>
  <c r="K50" i="16"/>
  <c r="R50" i="16" s="1"/>
  <c r="K52" i="16"/>
  <c r="R52" i="16" s="1"/>
  <c r="K21" i="16"/>
  <c r="R21" i="16" s="1"/>
  <c r="K68" i="16"/>
  <c r="R68" i="16" s="1"/>
  <c r="K68" i="4"/>
  <c r="R68" i="4" s="1"/>
  <c r="K64" i="4"/>
  <c r="R64" i="4" s="1"/>
  <c r="K60" i="4"/>
  <c r="R60" i="4" s="1"/>
  <c r="K56" i="4"/>
  <c r="K52" i="4"/>
  <c r="R52" i="4" s="1"/>
  <c r="K48" i="4"/>
  <c r="R48" i="4" s="1"/>
  <c r="K44" i="4"/>
  <c r="R44" i="4" s="1"/>
  <c r="K40" i="4"/>
  <c r="R40" i="4" s="1"/>
  <c r="K36" i="4"/>
  <c r="R36" i="4" s="1"/>
  <c r="K32" i="4"/>
  <c r="K28" i="4"/>
  <c r="R28" i="4" s="1"/>
  <c r="K24" i="4"/>
  <c r="K20" i="4"/>
  <c r="R20" i="4" s="1"/>
  <c r="K16" i="4"/>
  <c r="R16" i="4" s="1"/>
  <c r="K12" i="4"/>
  <c r="R12" i="4" s="1"/>
  <c r="K7" i="4"/>
  <c r="R7" i="4" s="1"/>
  <c r="K69" i="4"/>
  <c r="R69" i="4" s="1"/>
  <c r="K65" i="4"/>
  <c r="R65" i="4" s="1"/>
  <c r="K61" i="4"/>
  <c r="R61" i="4" s="1"/>
  <c r="K57" i="4"/>
  <c r="R57" i="4" s="1"/>
  <c r="K53" i="4"/>
  <c r="R53" i="4" s="1"/>
  <c r="K49" i="4"/>
  <c r="R49" i="4" s="1"/>
  <c r="K45" i="4"/>
  <c r="R45" i="4" s="1"/>
  <c r="K41" i="4"/>
  <c r="R41" i="4" s="1"/>
  <c r="K37" i="4"/>
  <c r="R37" i="4" s="1"/>
  <c r="K33" i="4"/>
  <c r="R33" i="4" s="1"/>
  <c r="K29" i="4"/>
  <c r="R29" i="4" s="1"/>
  <c r="K25" i="4"/>
  <c r="R25" i="4" s="1"/>
  <c r="K21" i="4"/>
  <c r="K17" i="4"/>
  <c r="R17" i="4" s="1"/>
  <c r="K13" i="4"/>
  <c r="R13" i="4" s="1"/>
  <c r="K66" i="4"/>
  <c r="R66" i="4" s="1"/>
  <c r="K62" i="4"/>
  <c r="R62" i="4" s="1"/>
  <c r="K58" i="4"/>
  <c r="R58" i="4" s="1"/>
  <c r="K54" i="4"/>
  <c r="K50" i="4"/>
  <c r="R50" i="4" s="1"/>
  <c r="K46" i="4"/>
  <c r="R46" i="4" s="1"/>
  <c r="K42" i="4"/>
  <c r="R42" i="4" s="1"/>
  <c r="K38" i="4"/>
  <c r="R38" i="4" s="1"/>
  <c r="K34" i="4"/>
  <c r="R34" i="4" s="1"/>
  <c r="K30" i="4"/>
  <c r="R30" i="4" s="1"/>
  <c r="K26" i="4"/>
  <c r="R26" i="4" s="1"/>
  <c r="K22" i="4"/>
  <c r="R22" i="4" s="1"/>
  <c r="K18" i="4"/>
  <c r="R18" i="4" s="1"/>
  <c r="K14" i="4"/>
  <c r="R14" i="4" s="1"/>
  <c r="K39" i="4"/>
  <c r="R39" i="4" s="1"/>
  <c r="K35" i="4"/>
  <c r="R35" i="4" s="1"/>
  <c r="K43" i="4"/>
  <c r="R43" i="4" s="1"/>
  <c r="K31" i="4"/>
  <c r="K19" i="4"/>
  <c r="K47" i="4"/>
  <c r="R47" i="4" s="1"/>
  <c r="K27" i="4"/>
  <c r="R27" i="4" s="1"/>
  <c r="K11" i="4"/>
  <c r="K8" i="4"/>
  <c r="R8" i="4" s="1"/>
  <c r="K51" i="4"/>
  <c r="R51" i="4" s="1"/>
  <c r="K55" i="4"/>
  <c r="K59" i="4"/>
  <c r="R59" i="4" s="1"/>
  <c r="K23" i="4"/>
  <c r="R23" i="4" s="1"/>
  <c r="K9" i="4"/>
  <c r="R9" i="4" s="1"/>
  <c r="K6" i="4"/>
  <c r="K63" i="4"/>
  <c r="R63" i="4" s="1"/>
  <c r="K10" i="4"/>
  <c r="R10" i="4" s="1"/>
  <c r="K67" i="4"/>
  <c r="R67" i="4" s="1"/>
  <c r="K15" i="4"/>
  <c r="R15" i="4" s="1"/>
  <c r="R55" i="4"/>
  <c r="J70" i="16"/>
  <c r="R56" i="4"/>
  <c r="G70" i="4"/>
  <c r="J6" i="4"/>
  <c r="K68" i="18"/>
  <c r="R68" i="18" s="1"/>
  <c r="K64" i="18"/>
  <c r="R64" i="18" s="1"/>
  <c r="K60" i="18"/>
  <c r="R60" i="18" s="1"/>
  <c r="K56" i="18"/>
  <c r="R56" i="18" s="1"/>
  <c r="K52" i="18"/>
  <c r="R52" i="18" s="1"/>
  <c r="K48" i="18"/>
  <c r="R48" i="18" s="1"/>
  <c r="K44" i="18"/>
  <c r="R44" i="18" s="1"/>
  <c r="K40" i="18"/>
  <c r="R40" i="18" s="1"/>
  <c r="K36" i="18"/>
  <c r="R36" i="18" s="1"/>
  <c r="K32" i="18"/>
  <c r="R32" i="18" s="1"/>
  <c r="K66" i="18"/>
  <c r="R66" i="18" s="1"/>
  <c r="K62" i="18"/>
  <c r="R62" i="18" s="1"/>
  <c r="K58" i="18"/>
  <c r="R58" i="18" s="1"/>
  <c r="K54" i="18"/>
  <c r="R54" i="18" s="1"/>
  <c r="K50" i="18"/>
  <c r="R50" i="18" s="1"/>
  <c r="K46" i="18"/>
  <c r="R46" i="18" s="1"/>
  <c r="K42" i="18"/>
  <c r="R42" i="18" s="1"/>
  <c r="K38" i="18"/>
  <c r="R38" i="18" s="1"/>
  <c r="K34" i="18"/>
  <c r="R34" i="18" s="1"/>
  <c r="K30" i="18"/>
  <c r="R30" i="18" s="1"/>
  <c r="K26" i="18"/>
  <c r="R26" i="18" s="1"/>
  <c r="K22" i="18"/>
  <c r="R22" i="18" s="1"/>
  <c r="K27" i="18"/>
  <c r="R27" i="18" s="1"/>
  <c r="K20" i="18"/>
  <c r="R20" i="18" s="1"/>
  <c r="K11" i="18"/>
  <c r="R11" i="18" s="1"/>
  <c r="K63" i="18"/>
  <c r="R63" i="18" s="1"/>
  <c r="K24" i="18"/>
  <c r="R24" i="18" s="1"/>
  <c r="K16" i="18"/>
  <c r="R16" i="18" s="1"/>
  <c r="K12" i="18"/>
  <c r="R12" i="18" s="1"/>
  <c r="K7" i="18"/>
  <c r="R7" i="18" s="1"/>
  <c r="K69" i="18"/>
  <c r="R69" i="18" s="1"/>
  <c r="K61" i="18"/>
  <c r="R61" i="18" s="1"/>
  <c r="K55" i="18"/>
  <c r="R55" i="18" s="1"/>
  <c r="K49" i="18"/>
  <c r="R49" i="18" s="1"/>
  <c r="K43" i="18"/>
  <c r="R43" i="18" s="1"/>
  <c r="K37" i="18"/>
  <c r="R37" i="18" s="1"/>
  <c r="K31" i="18"/>
  <c r="R31" i="18" s="1"/>
  <c r="K28" i="18"/>
  <c r="R28" i="18" s="1"/>
  <c r="K21" i="18"/>
  <c r="R21" i="18" s="1"/>
  <c r="K17" i="18"/>
  <c r="R17" i="18" s="1"/>
  <c r="K25" i="18"/>
  <c r="R25" i="18" s="1"/>
  <c r="K67" i="18"/>
  <c r="R67" i="18" s="1"/>
  <c r="K59" i="18"/>
  <c r="R59" i="18" s="1"/>
  <c r="K53" i="18"/>
  <c r="R53" i="18" s="1"/>
  <c r="K47" i="18"/>
  <c r="R47" i="18" s="1"/>
  <c r="K41" i="18"/>
  <c r="R41" i="18" s="1"/>
  <c r="K35" i="18"/>
  <c r="R35" i="18" s="1"/>
  <c r="K29" i="18"/>
  <c r="R29" i="18" s="1"/>
  <c r="K18" i="18"/>
  <c r="R18" i="18" s="1"/>
  <c r="K14" i="18"/>
  <c r="R14" i="18" s="1"/>
  <c r="K9" i="18"/>
  <c r="R9" i="18" s="1"/>
  <c r="K65" i="18"/>
  <c r="R65" i="18" s="1"/>
  <c r="K45" i="18"/>
  <c r="R45" i="18" s="1"/>
  <c r="K39" i="18"/>
  <c r="R39" i="18" s="1"/>
  <c r="K33" i="18"/>
  <c r="R33" i="18" s="1"/>
  <c r="K10" i="18"/>
  <c r="R10" i="18" s="1"/>
  <c r="K8" i="18"/>
  <c r="R8" i="18" s="1"/>
  <c r="K6" i="18"/>
  <c r="K51" i="18"/>
  <c r="R51" i="18" s="1"/>
  <c r="K57" i="18"/>
  <c r="R57" i="18" s="1"/>
  <c r="K19" i="18"/>
  <c r="R19" i="18" s="1"/>
  <c r="K15" i="18"/>
  <c r="R15" i="18" s="1"/>
  <c r="K23" i="18"/>
  <c r="R23" i="18" s="1"/>
  <c r="K13" i="18"/>
  <c r="R13" i="18" s="1"/>
  <c r="AT16" i="27"/>
  <c r="Z32" i="27"/>
  <c r="F16" i="27"/>
  <c r="J55" i="27"/>
  <c r="V27" i="27"/>
  <c r="AH23" i="27"/>
  <c r="AX20" i="27"/>
  <c r="V6" i="27"/>
  <c r="J59" i="27"/>
  <c r="AT65" i="27"/>
  <c r="Z8" i="27"/>
  <c r="AL33" i="27"/>
  <c r="J8" i="27"/>
  <c r="AH46" i="27"/>
  <c r="Z50" i="27"/>
  <c r="F56" i="27"/>
  <c r="V59" i="27"/>
  <c r="F27" i="27"/>
  <c r="N57" i="27"/>
  <c r="Z40" i="27"/>
  <c r="AL19" i="27"/>
  <c r="AH63" i="27"/>
  <c r="AL30" i="27"/>
  <c r="F13" i="27"/>
  <c r="N52" i="27"/>
  <c r="F36" i="27"/>
  <c r="V54" i="27"/>
  <c r="F29" i="27"/>
  <c r="AT4" i="27"/>
  <c r="N46" i="27"/>
  <c r="F24" i="27"/>
  <c r="V60" i="27"/>
  <c r="Z43" i="27"/>
  <c r="AX66" i="27"/>
  <c r="AH36" i="27"/>
  <c r="AH37" i="27"/>
  <c r="F47" i="27"/>
  <c r="V14" i="27"/>
  <c r="AX25" i="27"/>
  <c r="F49" i="27"/>
  <c r="AL29" i="27"/>
  <c r="N51" i="27"/>
  <c r="AX34" i="27"/>
  <c r="J56" i="27"/>
  <c r="AH31" i="27"/>
  <c r="F32" i="27"/>
  <c r="N53" i="27"/>
  <c r="AL11" i="27"/>
  <c r="AT26" i="27"/>
  <c r="Z26" i="27"/>
  <c r="AT11" i="27"/>
  <c r="AX11" i="27"/>
  <c r="J23" i="27"/>
  <c r="J40" i="27"/>
  <c r="AX28" i="27"/>
  <c r="J33" i="27"/>
  <c r="F62" i="27"/>
  <c r="AH7" i="27"/>
  <c r="V49" i="27"/>
  <c r="AL31" i="27"/>
  <c r="AT33" i="27"/>
  <c r="AX13" i="27"/>
  <c r="J48" i="27"/>
  <c r="F9" i="27"/>
  <c r="AL66" i="27"/>
  <c r="AT10" i="27"/>
  <c r="AX30" i="27"/>
  <c r="AH8" i="27"/>
  <c r="N56" i="27"/>
  <c r="V43" i="27"/>
  <c r="Z42" i="27"/>
  <c r="V29" i="27"/>
  <c r="Z7" i="27"/>
  <c r="AH6" i="27"/>
  <c r="AX16" i="27"/>
  <c r="V57" i="27"/>
  <c r="V18" i="27"/>
  <c r="AL39" i="27"/>
  <c r="AT12" i="27"/>
  <c r="V26" i="27"/>
  <c r="J11" i="27"/>
  <c r="J47" i="27"/>
  <c r="AH61" i="27"/>
  <c r="AL36" i="27"/>
  <c r="F21" i="27"/>
  <c r="F19" i="27"/>
  <c r="N10" i="27"/>
  <c r="F60" i="27"/>
  <c r="AH33" i="27"/>
  <c r="F25" i="27"/>
  <c r="AH17" i="27"/>
  <c r="F22" i="27"/>
  <c r="AL44" i="27"/>
  <c r="N17" i="27"/>
  <c r="AX17" i="27"/>
  <c r="AX43" i="27"/>
  <c r="AT45" i="27"/>
  <c r="J52" i="27"/>
  <c r="J53" i="27"/>
  <c r="N7" i="27"/>
  <c r="J58" i="27"/>
  <c r="AT20" i="27"/>
  <c r="N25" i="27"/>
  <c r="V28" i="27"/>
  <c r="Z11" i="27"/>
  <c r="Z31" i="27"/>
  <c r="F34" i="27"/>
  <c r="AT8" i="27"/>
  <c r="AH26" i="27"/>
  <c r="J4" i="27"/>
  <c r="Z46" i="27"/>
  <c r="N48" i="27"/>
  <c r="F55" i="27"/>
  <c r="Z10" i="27"/>
  <c r="AT25" i="27"/>
  <c r="AT31" i="27"/>
  <c r="AT52" i="27"/>
  <c r="AH21" i="27"/>
  <c r="N63" i="27"/>
  <c r="AT39" i="27"/>
  <c r="AT32" i="27"/>
  <c r="AH45" i="27"/>
  <c r="AH58" i="27"/>
  <c r="V50" i="27"/>
  <c r="AT64" i="27"/>
  <c r="Z24" i="27"/>
  <c r="AL27" i="27"/>
  <c r="AT57" i="27"/>
  <c r="Z19" i="27"/>
  <c r="AX33" i="27"/>
  <c r="N3" i="27"/>
  <c r="AT36" i="27"/>
  <c r="AH47" i="27"/>
  <c r="J66" i="27"/>
  <c r="N24" i="27"/>
  <c r="N12" i="27"/>
  <c r="AH57" i="27"/>
  <c r="F30" i="27"/>
  <c r="N40" i="27"/>
  <c r="AL25" i="27"/>
  <c r="AL65" i="27"/>
  <c r="V10" i="27"/>
  <c r="J44" i="27"/>
  <c r="AX47" i="27"/>
  <c r="F41" i="27"/>
  <c r="J20" i="27"/>
  <c r="N29" i="27"/>
  <c r="Z5" i="27"/>
  <c r="AL34" i="27"/>
  <c r="AT34" i="27"/>
  <c r="V31" i="27"/>
  <c r="AL41" i="27"/>
  <c r="AT60" i="27"/>
  <c r="AX61" i="27"/>
  <c r="AH28" i="27"/>
  <c r="AH5" i="27"/>
  <c r="Z36" i="27"/>
  <c r="AX19" i="27"/>
  <c r="AL18" i="27"/>
  <c r="J63" i="27"/>
  <c r="AH20" i="27"/>
  <c r="Z55" i="27"/>
  <c r="Z54" i="27"/>
  <c r="AL6" i="27"/>
  <c r="AX9" i="27"/>
  <c r="V8" i="27"/>
  <c r="AH52" i="27"/>
  <c r="AT18" i="27"/>
  <c r="V61" i="27"/>
  <c r="N33" i="27"/>
  <c r="F50" i="27"/>
  <c r="AX56" i="27"/>
  <c r="AH35" i="27"/>
  <c r="AX21" i="27"/>
  <c r="AX36" i="27"/>
  <c r="AL50" i="27"/>
  <c r="N15" i="27"/>
  <c r="AT7" i="27"/>
  <c r="AX59" i="27"/>
  <c r="F12" i="27"/>
  <c r="AX27" i="27"/>
  <c r="V35" i="27"/>
  <c r="AT21" i="27"/>
  <c r="J46" i="27"/>
  <c r="AH24" i="27"/>
  <c r="F14" i="27"/>
  <c r="V23" i="27"/>
  <c r="AL60" i="27"/>
  <c r="N8" i="27"/>
  <c r="AL42" i="27"/>
  <c r="AT24" i="27"/>
  <c r="V48" i="27"/>
  <c r="Z56" i="27"/>
  <c r="AT30" i="27"/>
  <c r="AX22" i="27"/>
  <c r="AL46" i="27"/>
  <c r="AH30" i="27"/>
  <c r="N18" i="27"/>
  <c r="Z52" i="27"/>
  <c r="AL45" i="27"/>
  <c r="AX54" i="27"/>
  <c r="V44" i="27"/>
  <c r="AX15" i="27"/>
  <c r="AT62" i="27"/>
  <c r="AL32" i="27"/>
  <c r="AH53" i="27"/>
  <c r="N28" i="27"/>
  <c r="J65" i="27"/>
  <c r="V66" i="27"/>
  <c r="F45" i="27"/>
  <c r="F20" i="27"/>
  <c r="N26" i="27"/>
  <c r="AL62" i="27"/>
  <c r="V17" i="27"/>
  <c r="AX24" i="27"/>
  <c r="F59" i="27"/>
  <c r="J16" i="27"/>
  <c r="N23" i="27"/>
  <c r="Z37" i="27"/>
  <c r="F18" i="27"/>
  <c r="AH39" i="27"/>
  <c r="F37" i="27"/>
  <c r="J34" i="27"/>
  <c r="V55" i="27"/>
  <c r="Z57" i="27"/>
  <c r="J14" i="27"/>
  <c r="N9" i="27"/>
  <c r="AT9" i="27"/>
  <c r="AH18" i="27"/>
  <c r="AX64" i="27"/>
  <c r="F46" i="27"/>
  <c r="F26" i="27"/>
  <c r="J27" i="27"/>
  <c r="N5" i="27"/>
  <c r="AL22" i="27"/>
  <c r="AT6" i="27"/>
  <c r="V39" i="27"/>
  <c r="Z38" i="27"/>
  <c r="Z60" i="27"/>
  <c r="V46" i="27"/>
  <c r="J57" i="27"/>
  <c r="AX23" i="27"/>
  <c r="F51" i="27"/>
  <c r="AX31" i="27"/>
  <c r="N66" i="27"/>
  <c r="AL15" i="27"/>
  <c r="Z33" i="27"/>
  <c r="AL57" i="27"/>
  <c r="F66" i="27"/>
  <c r="AL48" i="27"/>
  <c r="N35" i="27"/>
  <c r="AT17" i="27"/>
  <c r="AT22" i="27"/>
  <c r="AH50" i="27"/>
  <c r="Z18" i="27"/>
  <c r="AX52" i="27"/>
  <c r="AL21" i="27"/>
  <c r="AX10" i="27"/>
  <c r="Z63" i="27"/>
  <c r="N58" i="27"/>
  <c r="AT56" i="27"/>
  <c r="J50" i="27"/>
  <c r="AH60" i="27"/>
  <c r="Z14" i="27"/>
  <c r="N38" i="27"/>
  <c r="AT28" i="27"/>
  <c r="J39" i="27"/>
  <c r="AL13" i="27"/>
  <c r="AX14" i="27"/>
  <c r="Z9" i="27"/>
  <c r="Z15" i="27"/>
  <c r="V65" i="27"/>
  <c r="R3" i="27"/>
  <c r="AX7" i="27"/>
  <c r="AX60" i="27"/>
  <c r="J43" i="27"/>
  <c r="Z48" i="27"/>
  <c r="J60" i="27"/>
  <c r="V63" i="27"/>
  <c r="V22" i="27"/>
  <c r="AX42" i="27"/>
  <c r="AT15" i="27"/>
  <c r="Z62" i="27"/>
  <c r="V64" i="27"/>
  <c r="Z61" i="27"/>
  <c r="AH19" i="27"/>
  <c r="AX50" i="27"/>
  <c r="F54" i="27"/>
  <c r="Z20" i="27"/>
  <c r="AX4" i="27"/>
  <c r="AL5" i="27"/>
  <c r="F5" i="27"/>
  <c r="N37" i="27"/>
  <c r="AH38" i="27"/>
  <c r="AL40" i="27"/>
  <c r="F11" i="27"/>
  <c r="V21" i="27"/>
  <c r="Z35" i="27"/>
  <c r="AT37" i="27"/>
  <c r="Z22" i="27"/>
  <c r="AL52" i="27"/>
  <c r="AH62" i="27"/>
  <c r="N36" i="27"/>
  <c r="Z39" i="27"/>
  <c r="F63" i="27"/>
  <c r="F39" i="27"/>
  <c r="AT47" i="27"/>
  <c r="N54" i="27"/>
  <c r="AX32" i="27"/>
  <c r="AX38" i="27"/>
  <c r="AH51" i="27"/>
  <c r="J31" i="27"/>
  <c r="Z47" i="27"/>
  <c r="AX49" i="27"/>
  <c r="J28" i="27"/>
  <c r="AH4" i="27"/>
  <c r="J24" i="27"/>
  <c r="AH41" i="27"/>
  <c r="N50" i="27"/>
  <c r="F31" i="27"/>
  <c r="V53" i="27"/>
  <c r="F52" i="27"/>
  <c r="V12" i="27"/>
  <c r="AH29" i="27"/>
  <c r="N34" i="27"/>
  <c r="J15" i="27"/>
  <c r="J12" i="27"/>
  <c r="V62" i="27"/>
  <c r="AT50" i="27"/>
  <c r="AX12" i="27"/>
  <c r="J13" i="27"/>
  <c r="AL28" i="27"/>
  <c r="Z45" i="27"/>
  <c r="AX53" i="27"/>
  <c r="AL23" i="27"/>
  <c r="N32" i="27"/>
  <c r="AT42" i="27"/>
  <c r="V45" i="27"/>
  <c r="N19" i="27"/>
  <c r="AL8" i="27"/>
  <c r="J18" i="27"/>
  <c r="J32" i="27"/>
  <c r="N44" i="27"/>
  <c r="Z17" i="27"/>
  <c r="AT61" i="27"/>
  <c r="AX51" i="27"/>
  <c r="J35" i="27"/>
  <c r="AH65" i="27"/>
  <c r="F8" i="27"/>
  <c r="AH66" i="27"/>
  <c r="AL12" i="27"/>
  <c r="AT54" i="27"/>
  <c r="Z44" i="27"/>
  <c r="N21" i="27"/>
  <c r="AT55" i="27"/>
  <c r="J19" i="27"/>
  <c r="J17" i="27"/>
  <c r="N55" i="27"/>
  <c r="V47" i="27"/>
  <c r="AX8" i="27"/>
  <c r="J6" i="27"/>
  <c r="N61" i="27"/>
  <c r="N59" i="27"/>
  <c r="V56" i="27"/>
  <c r="AL56" i="27"/>
  <c r="AX55" i="27"/>
  <c r="AT58" i="27"/>
  <c r="AL16" i="27"/>
  <c r="N62" i="27"/>
  <c r="AH12" i="27"/>
  <c r="N49" i="27"/>
  <c r="J42" i="27"/>
  <c r="J29" i="27"/>
  <c r="AL9" i="27"/>
  <c r="V41" i="27"/>
  <c r="V40" i="27"/>
  <c r="AH22" i="27"/>
  <c r="F57" i="27"/>
  <c r="F48" i="27"/>
  <c r="F15" i="27"/>
  <c r="J21" i="27"/>
  <c r="J10" i="27"/>
  <c r="AH16" i="27"/>
  <c r="N64" i="27"/>
  <c r="V9" i="27"/>
  <c r="Z27" i="27"/>
  <c r="N30" i="27"/>
  <c r="F61" i="27"/>
  <c r="Z64" i="27"/>
  <c r="AH44" i="27"/>
  <c r="J22" i="27"/>
  <c r="Z23" i="27"/>
  <c r="AL4" i="27"/>
  <c r="AX63" i="27"/>
  <c r="F38" i="27"/>
  <c r="N43" i="27"/>
  <c r="Z12" i="27"/>
  <c r="AL64" i="27"/>
  <c r="AT63" i="27"/>
  <c r="F65" i="27"/>
  <c r="J62" i="27"/>
  <c r="AT38" i="27"/>
  <c r="AL26" i="27"/>
  <c r="J5" i="27"/>
  <c r="AH59" i="27"/>
  <c r="AT40" i="27"/>
  <c r="AH64" i="27"/>
  <c r="F7" i="27"/>
  <c r="Z21" i="27"/>
  <c r="V19" i="27"/>
  <c r="F23" i="27"/>
  <c r="AT27" i="27"/>
  <c r="Z13" i="27"/>
  <c r="V15" i="27"/>
  <c r="J54" i="27"/>
  <c r="AX41" i="27"/>
  <c r="N22" i="27"/>
  <c r="AL7" i="27"/>
  <c r="Z25" i="27"/>
  <c r="V25" i="27"/>
  <c r="F28" i="27"/>
  <c r="AL49" i="27"/>
  <c r="V51" i="27"/>
  <c r="V33" i="27"/>
  <c r="N47" i="27"/>
  <c r="AH11" i="27"/>
  <c r="AT48" i="27"/>
  <c r="AT53" i="27"/>
  <c r="AX46" i="27"/>
  <c r="J9" i="27"/>
  <c r="J41" i="27"/>
  <c r="AT14" i="27"/>
  <c r="Z41" i="27"/>
  <c r="N65" i="27"/>
  <c r="AH27" i="27"/>
  <c r="V37" i="27"/>
  <c r="J64" i="27"/>
  <c r="AT59" i="27"/>
  <c r="AX44" i="27"/>
  <c r="J36" i="27"/>
  <c r="N4" i="27"/>
  <c r="V30" i="27"/>
  <c r="V16" i="27"/>
  <c r="AX26" i="27"/>
  <c r="AX40" i="27"/>
  <c r="AH40" i="27"/>
  <c r="F58" i="27"/>
  <c r="AT44" i="27"/>
  <c r="N11" i="27"/>
  <c r="AX57" i="27"/>
  <c r="AL54" i="27"/>
  <c r="AH34" i="27"/>
  <c r="AT5" i="27"/>
  <c r="AT49" i="27"/>
  <c r="AH55" i="27"/>
  <c r="Z53" i="27"/>
  <c r="Z4" i="27"/>
  <c r="AL20" i="27"/>
  <c r="V24" i="27"/>
  <c r="AL58" i="27"/>
  <c r="AT46" i="27"/>
  <c r="AX48" i="27"/>
  <c r="Z30" i="27"/>
  <c r="V32" i="27"/>
  <c r="AH15" i="27"/>
  <c r="F40" i="27"/>
  <c r="V58" i="27"/>
  <c r="F64" i="27"/>
  <c r="F17" i="27"/>
  <c r="AH9" i="27"/>
  <c r="V4" i="27"/>
  <c r="AX65" i="27"/>
  <c r="AH10" i="27"/>
  <c r="AX35" i="27"/>
  <c r="F10" i="27"/>
  <c r="AT19" i="27"/>
  <c r="AX29" i="27"/>
  <c r="J7" i="27"/>
  <c r="AH25" i="27"/>
  <c r="F33" i="27"/>
  <c r="AL38" i="27"/>
  <c r="N16" i="27"/>
  <c r="J30" i="27"/>
  <c r="Z34" i="27"/>
  <c r="J61" i="27"/>
  <c r="AX37" i="27"/>
  <c r="V7" i="27"/>
  <c r="Z28" i="27"/>
  <c r="AX39" i="27"/>
  <c r="AL24" i="27"/>
  <c r="AH48" i="27"/>
  <c r="N27" i="27"/>
  <c r="Z16" i="27"/>
  <c r="AL35" i="27"/>
  <c r="AX5" i="27"/>
  <c r="V52" i="27"/>
  <c r="V42" i="27"/>
  <c r="N13" i="27"/>
  <c r="Z59" i="27"/>
  <c r="J51" i="27"/>
  <c r="AH32" i="27"/>
  <c r="V38" i="27"/>
  <c r="N41" i="27"/>
  <c r="Z65" i="27"/>
  <c r="V13" i="27"/>
  <c r="AH14" i="27"/>
  <c r="V20" i="27"/>
  <c r="F43" i="27"/>
  <c r="J38" i="27"/>
  <c r="AT66" i="27"/>
  <c r="N45" i="27"/>
  <c r="AX18" i="27"/>
  <c r="V5" i="27"/>
  <c r="AH13" i="27"/>
  <c r="F42" i="27"/>
  <c r="F35" i="27"/>
  <c r="AL37" i="27"/>
  <c r="N6" i="27"/>
  <c r="J25" i="27"/>
  <c r="Z6" i="27"/>
  <c r="AT13" i="27"/>
  <c r="Z51" i="27"/>
  <c r="AT29" i="27"/>
  <c r="J45" i="27"/>
  <c r="F4" i="27"/>
  <c r="AL63" i="27"/>
  <c r="N14" i="27"/>
  <c r="AX6" i="27"/>
  <c r="AH49" i="27"/>
  <c r="N20" i="27"/>
  <c r="Z66" i="27"/>
  <c r="F6" i="27"/>
  <c r="AL47" i="27"/>
  <c r="F44" i="27"/>
  <c r="AT51" i="27"/>
  <c r="N39" i="27"/>
  <c r="AT43" i="27"/>
  <c r="F53" i="27"/>
  <c r="AL53" i="27"/>
  <c r="AX45" i="27"/>
  <c r="AL55" i="27"/>
  <c r="J37" i="27"/>
  <c r="AX58" i="27"/>
  <c r="AL43" i="27"/>
  <c r="AX62" i="27"/>
  <c r="Z58" i="27"/>
  <c r="AL17" i="27"/>
  <c r="V34" i="27"/>
  <c r="Z49" i="27"/>
  <c r="N42" i="27"/>
  <c r="AT41" i="27"/>
  <c r="J26" i="27"/>
  <c r="AH54" i="27"/>
  <c r="V11" i="27"/>
  <c r="AL59" i="27"/>
  <c r="AL61" i="27"/>
  <c r="AH56" i="27"/>
  <c r="AT35" i="27"/>
  <c r="N60" i="27"/>
  <c r="J49" i="27"/>
  <c r="N31" i="27"/>
  <c r="V36" i="27"/>
  <c r="AH43" i="27"/>
  <c r="AL14" i="27"/>
  <c r="AL10" i="27"/>
  <c r="AT23" i="27"/>
  <c r="Z29" i="27"/>
  <c r="AH42" i="27"/>
  <c r="AL51" i="27"/>
  <c r="L46" i="27" l="1"/>
  <c r="L6" i="27"/>
  <c r="L58" i="27"/>
  <c r="L56" i="27"/>
  <c r="L10" i="27"/>
  <c r="L45" i="27"/>
  <c r="L55" i="27"/>
  <c r="L54" i="27"/>
  <c r="L27" i="27"/>
  <c r="L20" i="27"/>
  <c r="L63" i="27"/>
  <c r="L62" i="27"/>
  <c r="L24" i="27"/>
  <c r="L31" i="27"/>
  <c r="L22" i="27"/>
  <c r="L4" i="27"/>
  <c r="L59" i="27"/>
  <c r="L30" i="27"/>
  <c r="L25" i="27"/>
  <c r="N67" i="27"/>
  <c r="P3" i="27"/>
  <c r="L15" i="27"/>
  <c r="L41" i="27"/>
  <c r="L14" i="27"/>
  <c r="L26" i="27"/>
  <c r="L39" i="27"/>
  <c r="L50" i="27"/>
  <c r="L19" i="27"/>
  <c r="L23" i="27"/>
  <c r="L35" i="27"/>
  <c r="L9" i="27"/>
  <c r="L7" i="27"/>
  <c r="L13" i="27"/>
  <c r="L43" i="27"/>
  <c r="L17" i="27"/>
  <c r="L47" i="27"/>
  <c r="L38" i="27"/>
  <c r="L16" i="27"/>
  <c r="P26" i="27"/>
  <c r="AV47" i="27"/>
  <c r="BB27" i="27"/>
  <c r="BD27" i="27" s="1"/>
  <c r="BE27" i="27" s="1"/>
  <c r="H27" i="27"/>
  <c r="AB35" i="27"/>
  <c r="AJ22" i="27"/>
  <c r="P47" i="27"/>
  <c r="AZ42" i="27"/>
  <c r="BB12" i="27"/>
  <c r="BD12" i="27" s="1"/>
  <c r="BE12" i="27" s="1"/>
  <c r="H12" i="27"/>
  <c r="X27" i="27"/>
  <c r="AB20" i="27"/>
  <c r="AN20" i="27"/>
  <c r="AN6" i="27"/>
  <c r="AN18" i="27"/>
  <c r="AN21" i="27"/>
  <c r="AN47" i="27"/>
  <c r="AN57" i="27"/>
  <c r="L32" i="27"/>
  <c r="L42" i="27"/>
  <c r="AJ18" i="27"/>
  <c r="AJ35" i="27"/>
  <c r="AJ8" i="27"/>
  <c r="AJ28" i="27"/>
  <c r="AJ59" i="27"/>
  <c r="AJ58" i="27"/>
  <c r="P63" i="27"/>
  <c r="P28" i="27"/>
  <c r="P27" i="27"/>
  <c r="P18" i="27"/>
  <c r="P37" i="27"/>
  <c r="AV42" i="27"/>
  <c r="AV7" i="27"/>
  <c r="AV57" i="27"/>
  <c r="AV40" i="27"/>
  <c r="AV39" i="27"/>
  <c r="AZ55" i="27"/>
  <c r="AZ30" i="27"/>
  <c r="AZ13" i="27"/>
  <c r="AZ61" i="27"/>
  <c r="AZ44" i="27"/>
  <c r="BB41" i="27"/>
  <c r="BD41" i="27" s="1"/>
  <c r="BE41" i="27" s="1"/>
  <c r="H41" i="27"/>
  <c r="BB51" i="27"/>
  <c r="BD51" i="27" s="1"/>
  <c r="BE51" i="27" s="1"/>
  <c r="H51" i="27"/>
  <c r="BB54" i="27"/>
  <c r="BD54" i="27" s="1"/>
  <c r="BE54" i="27" s="1"/>
  <c r="H54" i="27"/>
  <c r="BB25" i="27"/>
  <c r="BD25" i="27" s="1"/>
  <c r="BE25" i="27" s="1"/>
  <c r="H25" i="27"/>
  <c r="X57" i="27"/>
  <c r="X32" i="27"/>
  <c r="X61" i="27"/>
  <c r="X53" i="27"/>
  <c r="X60" i="27"/>
  <c r="X54" i="27"/>
  <c r="AB10" i="27"/>
  <c r="AB27" i="27"/>
  <c r="AB11" i="27"/>
  <c r="AB56" i="27"/>
  <c r="AB38" i="27"/>
  <c r="L11" i="27"/>
  <c r="AJ13" i="27"/>
  <c r="AV21" i="27"/>
  <c r="AZ21" i="27"/>
  <c r="AB15" i="27"/>
  <c r="AN17" i="27"/>
  <c r="L37" i="27"/>
  <c r="BB62" i="27"/>
  <c r="BD62" i="27" s="1"/>
  <c r="BE62" i="27" s="1"/>
  <c r="H62" i="27"/>
  <c r="AN12" i="27"/>
  <c r="AN11" i="27"/>
  <c r="AN25" i="27"/>
  <c r="AN60" i="27"/>
  <c r="AN51" i="27"/>
  <c r="AN61" i="27"/>
  <c r="L36" i="27"/>
  <c r="AJ49" i="27"/>
  <c r="AJ39" i="27"/>
  <c r="AJ14" i="27"/>
  <c r="AJ32" i="27"/>
  <c r="AJ63" i="27"/>
  <c r="AJ62" i="27"/>
  <c r="L8" i="27"/>
  <c r="P7" i="27"/>
  <c r="P24" i="27"/>
  <c r="P31" i="27"/>
  <c r="P22" i="27"/>
  <c r="P61" i="27"/>
  <c r="AV22" i="27"/>
  <c r="AV18" i="27"/>
  <c r="AV5" i="27"/>
  <c r="AV44" i="27"/>
  <c r="AV43" i="27"/>
  <c r="AV17" i="27"/>
  <c r="AZ6" i="27"/>
  <c r="AZ34" i="27"/>
  <c r="AZ17" i="27"/>
  <c r="AZ65" i="27"/>
  <c r="AZ48" i="27"/>
  <c r="BB57" i="27"/>
  <c r="BD57" i="27" s="1"/>
  <c r="BE57" i="27" s="1"/>
  <c r="H57" i="27"/>
  <c r="BB28" i="27"/>
  <c r="BD28" i="27" s="1"/>
  <c r="BE28" i="27" s="1"/>
  <c r="H28" i="27"/>
  <c r="BB21" i="27"/>
  <c r="BD21" i="27" s="1"/>
  <c r="BE21" i="27" s="1"/>
  <c r="H21" i="27"/>
  <c r="BB65" i="27"/>
  <c r="BD65" i="27" s="1"/>
  <c r="BE65" i="27" s="1"/>
  <c r="H65" i="27"/>
  <c r="BB38" i="27"/>
  <c r="BD38" i="27" s="1"/>
  <c r="BE38" i="27" s="1"/>
  <c r="H38" i="27"/>
  <c r="X52" i="27"/>
  <c r="X44" i="27"/>
  <c r="X7" i="27"/>
  <c r="X6" i="27"/>
  <c r="X14" i="27"/>
  <c r="X58" i="27"/>
  <c r="AB21" i="27"/>
  <c r="AB31" i="27"/>
  <c r="AB60" i="27"/>
  <c r="AB42" i="27"/>
  <c r="AN28" i="27"/>
  <c r="AZ8" i="27"/>
  <c r="X16" i="27"/>
  <c r="AN34" i="27"/>
  <c r="P65" i="27"/>
  <c r="AV29" i="27"/>
  <c r="BB16" i="27"/>
  <c r="BD16" i="27" s="1"/>
  <c r="BE16" i="27" s="1"/>
  <c r="H16" i="27"/>
  <c r="X15" i="27"/>
  <c r="AB45" i="27"/>
  <c r="AB6" i="27"/>
  <c r="L48" i="27"/>
  <c r="AJ43" i="27"/>
  <c r="AJ4" i="27"/>
  <c r="AJ51" i="27"/>
  <c r="AJ44" i="27"/>
  <c r="AJ26" i="27"/>
  <c r="L21" i="27"/>
  <c r="P16" i="27"/>
  <c r="P6" i="27"/>
  <c r="P5" i="27"/>
  <c r="P34" i="27"/>
  <c r="P54" i="27"/>
  <c r="AV25" i="27"/>
  <c r="AV41" i="27"/>
  <c r="AV28" i="27"/>
  <c r="AV56" i="27"/>
  <c r="AV55" i="27"/>
  <c r="AZ11" i="27"/>
  <c r="AZ51" i="27"/>
  <c r="AZ46" i="27"/>
  <c r="AZ29" i="27"/>
  <c r="AZ12" i="27"/>
  <c r="AZ60" i="27"/>
  <c r="BB26" i="27"/>
  <c r="BD26" i="27" s="1"/>
  <c r="BE26" i="27" s="1"/>
  <c r="H26" i="27"/>
  <c r="BB60" i="27"/>
  <c r="BD60" i="27" s="1"/>
  <c r="BE60" i="27" s="1"/>
  <c r="H60" i="27"/>
  <c r="BB17" i="27"/>
  <c r="BD17" i="27" s="1"/>
  <c r="BE17" i="27" s="1"/>
  <c r="H17" i="27"/>
  <c r="BB59" i="27"/>
  <c r="BD59" i="27" s="1"/>
  <c r="BE59" i="27" s="1"/>
  <c r="H59" i="27"/>
  <c r="BB20" i="27"/>
  <c r="BD20" i="27" s="1"/>
  <c r="BE20" i="27" s="1"/>
  <c r="H20" i="27"/>
  <c r="BB39" i="27"/>
  <c r="BD39" i="27" s="1"/>
  <c r="BE39" i="27" s="1"/>
  <c r="H39" i="27"/>
  <c r="X59" i="27"/>
  <c r="X21" i="27"/>
  <c r="X40" i="27"/>
  <c r="X33" i="27"/>
  <c r="X22" i="27"/>
  <c r="AB57" i="27"/>
  <c r="AB43" i="27"/>
  <c r="AB24" i="27"/>
  <c r="AB4" i="27"/>
  <c r="AB54" i="27"/>
  <c r="AZ19" i="27"/>
  <c r="AZ52" i="27"/>
  <c r="BB6" i="27"/>
  <c r="BD6" i="27" s="1"/>
  <c r="BE6" i="27" s="1"/>
  <c r="H6" i="27"/>
  <c r="AB33" i="27"/>
  <c r="L18" i="27"/>
  <c r="P49" i="27"/>
  <c r="AZ27" i="27"/>
  <c r="AZ56" i="27"/>
  <c r="BB23" i="27"/>
  <c r="BD23" i="27" s="1"/>
  <c r="BE23" i="27" s="1"/>
  <c r="H23" i="27"/>
  <c r="X36" i="27"/>
  <c r="L5" i="27"/>
  <c r="AJ45" i="27"/>
  <c r="AJ21" i="27"/>
  <c r="AJ53" i="27"/>
  <c r="AJ48" i="27"/>
  <c r="AJ30" i="27"/>
  <c r="BB5" i="27"/>
  <c r="BD5" i="27" s="1"/>
  <c r="BE5" i="27" s="1"/>
  <c r="H5" i="27"/>
  <c r="P32" i="27"/>
  <c r="P15" i="27"/>
  <c r="P10" i="27"/>
  <c r="P44" i="27"/>
  <c r="P8" i="27"/>
  <c r="AV15" i="27"/>
  <c r="AV10" i="27"/>
  <c r="AV33" i="27"/>
  <c r="AV60" i="27"/>
  <c r="AV59" i="27"/>
  <c r="AZ47" i="27"/>
  <c r="AZ23" i="27"/>
  <c r="AZ50" i="27"/>
  <c r="AZ33" i="27"/>
  <c r="AZ16" i="27"/>
  <c r="AZ64" i="27"/>
  <c r="BB29" i="27"/>
  <c r="BD29" i="27" s="1"/>
  <c r="BE29" i="27" s="1"/>
  <c r="H29" i="27"/>
  <c r="BB31" i="27"/>
  <c r="BD31" i="27" s="1"/>
  <c r="BE31" i="27" s="1"/>
  <c r="H31" i="27"/>
  <c r="BB24" i="27"/>
  <c r="BD24" i="27" s="1"/>
  <c r="BE24" i="27" s="1"/>
  <c r="H24" i="27"/>
  <c r="BB36" i="27"/>
  <c r="BD36" i="27" s="1"/>
  <c r="BE36" i="27" s="1"/>
  <c r="H36" i="27"/>
  <c r="BB55" i="27"/>
  <c r="BD55" i="27" s="1"/>
  <c r="BE55" i="27" s="1"/>
  <c r="H55" i="27"/>
  <c r="X9" i="27"/>
  <c r="X28" i="27"/>
  <c r="X48" i="27"/>
  <c r="X39" i="27"/>
  <c r="X26" i="27"/>
  <c r="AB29" i="27"/>
  <c r="AB47" i="27"/>
  <c r="AB28" i="27"/>
  <c r="AB9" i="27"/>
  <c r="AB58" i="27"/>
  <c r="AN55" i="27"/>
  <c r="L33" i="27"/>
  <c r="AJ66" i="27"/>
  <c r="P53" i="27"/>
  <c r="P40" i="27"/>
  <c r="X23" i="27"/>
  <c r="BB42" i="27"/>
  <c r="BD42" i="27" s="1"/>
  <c r="BE42" i="27" s="1"/>
  <c r="H42" i="27"/>
  <c r="AN59" i="27"/>
  <c r="P30" i="27"/>
  <c r="AZ15" i="27"/>
  <c r="BB18" i="27"/>
  <c r="BD18" i="27" s="1"/>
  <c r="BE18" i="27" s="1"/>
  <c r="H18" i="27"/>
  <c r="X13" i="27"/>
  <c r="L51" i="27"/>
  <c r="AN19" i="27"/>
  <c r="AN52" i="27"/>
  <c r="AN33" i="27"/>
  <c r="L53" i="27"/>
  <c r="L66" i="27"/>
  <c r="L49" i="27"/>
  <c r="AJ9" i="27"/>
  <c r="AJ25" i="27"/>
  <c r="AJ7" i="27"/>
  <c r="AJ52" i="27"/>
  <c r="AJ34" i="27"/>
  <c r="BB58" i="27"/>
  <c r="BD58" i="27" s="1"/>
  <c r="BE58" i="27" s="1"/>
  <c r="H58" i="27"/>
  <c r="P39" i="27"/>
  <c r="P35" i="27"/>
  <c r="P14" i="27"/>
  <c r="P51" i="27"/>
  <c r="P17" i="27"/>
  <c r="X5" i="27"/>
  <c r="AV46" i="27"/>
  <c r="AV26" i="27"/>
  <c r="AV49" i="27"/>
  <c r="AV64" i="27"/>
  <c r="AV63" i="27"/>
  <c r="AZ63" i="27"/>
  <c r="AZ5" i="27"/>
  <c r="AZ54" i="27"/>
  <c r="AZ37" i="27"/>
  <c r="AZ20" i="27"/>
  <c r="BB47" i="27"/>
  <c r="BD47" i="27" s="1"/>
  <c r="BE47" i="27" s="1"/>
  <c r="H47" i="27"/>
  <c r="BB40" i="27"/>
  <c r="BD40" i="27" s="1"/>
  <c r="BE40" i="27" s="1"/>
  <c r="H40" i="27"/>
  <c r="BB7" i="27"/>
  <c r="BD7" i="27" s="1"/>
  <c r="BE7" i="27" s="1"/>
  <c r="H7" i="27"/>
  <c r="BB52" i="27"/>
  <c r="BD52" i="27" s="1"/>
  <c r="BE52" i="27" s="1"/>
  <c r="H52" i="27"/>
  <c r="X18" i="27"/>
  <c r="X43" i="27"/>
  <c r="X56" i="27"/>
  <c r="X47" i="27"/>
  <c r="X30" i="27"/>
  <c r="AB5" i="27"/>
  <c r="AB41" i="27"/>
  <c r="AB51" i="27"/>
  <c r="AB32" i="27"/>
  <c r="AB13" i="27"/>
  <c r="AB62" i="27"/>
  <c r="AN16" i="27"/>
  <c r="AN65" i="27"/>
  <c r="AJ36" i="27"/>
  <c r="L28" i="27"/>
  <c r="AZ38" i="27"/>
  <c r="AB64" i="27"/>
  <c r="AV8" i="27"/>
  <c r="BB15" i="27"/>
  <c r="BD15" i="27" s="1"/>
  <c r="BE15" i="27" s="1"/>
  <c r="H15" i="27"/>
  <c r="AN38" i="27"/>
  <c r="AN37" i="27"/>
  <c r="AJ17" i="27"/>
  <c r="AJ29" i="27"/>
  <c r="AJ38" i="27"/>
  <c r="P12" i="27"/>
  <c r="P42" i="27"/>
  <c r="P38" i="27"/>
  <c r="P58" i="27"/>
  <c r="P21" i="27"/>
  <c r="AV11" i="27"/>
  <c r="AV61" i="27"/>
  <c r="AV53" i="27"/>
  <c r="AV19" i="27"/>
  <c r="AV50" i="27"/>
  <c r="AZ7" i="27"/>
  <c r="AZ10" i="27"/>
  <c r="AZ58" i="27"/>
  <c r="AZ41" i="27"/>
  <c r="AZ24" i="27"/>
  <c r="BB45" i="27"/>
  <c r="BD45" i="27" s="1"/>
  <c r="BE45" i="27" s="1"/>
  <c r="H45" i="27"/>
  <c r="BB63" i="27"/>
  <c r="BD63" i="27" s="1"/>
  <c r="BE63" i="27" s="1"/>
  <c r="H63" i="27"/>
  <c r="BB56" i="27"/>
  <c r="BD56" i="27" s="1"/>
  <c r="BE56" i="27" s="1"/>
  <c r="H56" i="27"/>
  <c r="BB11" i="27"/>
  <c r="BD11" i="27" s="1"/>
  <c r="BE11" i="27" s="1"/>
  <c r="H11" i="27"/>
  <c r="X41" i="27"/>
  <c r="X51" i="27"/>
  <c r="X63" i="27"/>
  <c r="X55" i="27"/>
  <c r="X34" i="27"/>
  <c r="AB25" i="27"/>
  <c r="AB53" i="27"/>
  <c r="AB55" i="27"/>
  <c r="AB36" i="27"/>
  <c r="AB18" i="27"/>
  <c r="AB66" i="27"/>
  <c r="AN15" i="27"/>
  <c r="AN8" i="27"/>
  <c r="AJ12" i="27"/>
  <c r="AV9" i="27"/>
  <c r="BB50" i="27"/>
  <c r="BD50" i="27" s="1"/>
  <c r="BE50" i="27" s="1"/>
  <c r="H50" i="27"/>
  <c r="X35" i="27"/>
  <c r="X29" i="27"/>
  <c r="AN26" i="27"/>
  <c r="AJ61" i="27"/>
  <c r="AV52" i="27"/>
  <c r="AN32" i="27"/>
  <c r="AN24" i="27"/>
  <c r="AN46" i="27"/>
  <c r="AN5" i="27"/>
  <c r="AN23" i="27"/>
  <c r="AN50" i="27"/>
  <c r="AN27" i="27"/>
  <c r="AJ11" i="27"/>
  <c r="AN30" i="27"/>
  <c r="AN56" i="27"/>
  <c r="AN66" i="27"/>
  <c r="AN31" i="27"/>
  <c r="AN41" i="27"/>
  <c r="L64" i="27"/>
  <c r="L44" i="27"/>
  <c r="L57" i="27"/>
  <c r="AJ19" i="27"/>
  <c r="AJ33" i="27"/>
  <c r="AJ6" i="27"/>
  <c r="AJ60" i="27"/>
  <c r="AJ42" i="27"/>
  <c r="P50" i="27"/>
  <c r="P46" i="27"/>
  <c r="P52" i="27"/>
  <c r="P48" i="27"/>
  <c r="P64" i="27"/>
  <c r="P25" i="27"/>
  <c r="AV24" i="27"/>
  <c r="AV6" i="27"/>
  <c r="AV12" i="27"/>
  <c r="AV23" i="27"/>
  <c r="AV54" i="27"/>
  <c r="AZ43" i="27"/>
  <c r="AZ14" i="27"/>
  <c r="AZ62" i="27"/>
  <c r="AZ45" i="27"/>
  <c r="AZ28" i="27"/>
  <c r="BB8" i="27"/>
  <c r="BD8" i="27" s="1"/>
  <c r="BE8" i="27" s="1"/>
  <c r="H8" i="27"/>
  <c r="BB32" i="27"/>
  <c r="BD32" i="27" s="1"/>
  <c r="BE32" i="27" s="1"/>
  <c r="H32" i="27"/>
  <c r="BB30" i="27"/>
  <c r="BD30" i="27" s="1"/>
  <c r="BE30" i="27" s="1"/>
  <c r="H30" i="27"/>
  <c r="BB14" i="27"/>
  <c r="BD14" i="27" s="1"/>
  <c r="BE14" i="27" s="1"/>
  <c r="H14" i="27"/>
  <c r="X25" i="27"/>
  <c r="X11" i="27"/>
  <c r="X65" i="27"/>
  <c r="X38" i="27"/>
  <c r="AB37" i="27"/>
  <c r="AB65" i="27"/>
  <c r="AB59" i="27"/>
  <c r="AB40" i="27"/>
  <c r="AB22" i="27"/>
  <c r="AB8" i="27"/>
  <c r="L52" i="27"/>
  <c r="AJ47" i="27"/>
  <c r="P60" i="27"/>
  <c r="P45" i="27"/>
  <c r="AZ31" i="27"/>
  <c r="BB53" i="27"/>
  <c r="BD53" i="27" s="1"/>
  <c r="BE53" i="27" s="1"/>
  <c r="H53" i="27"/>
  <c r="X8" i="27"/>
  <c r="AN54" i="27"/>
  <c r="AJ40" i="27"/>
  <c r="AV51" i="27"/>
  <c r="AN48" i="27"/>
  <c r="AN63" i="27"/>
  <c r="AN29" i="27"/>
  <c r="AN44" i="27"/>
  <c r="AN7" i="27"/>
  <c r="AN58" i="27"/>
  <c r="L12" i="27"/>
  <c r="AJ56" i="27"/>
  <c r="AN36" i="27"/>
  <c r="AN64" i="27"/>
  <c r="AN4" i="27"/>
  <c r="AN35" i="27"/>
  <c r="AN45" i="27"/>
  <c r="L61" i="27"/>
  <c r="AJ23" i="27"/>
  <c r="AJ37" i="27"/>
  <c r="AJ15" i="27"/>
  <c r="AJ64" i="27"/>
  <c r="AJ46" i="27"/>
  <c r="P11" i="27"/>
  <c r="P56" i="27"/>
  <c r="P59" i="27"/>
  <c r="P55" i="27"/>
  <c r="P4" i="27"/>
  <c r="P29" i="27"/>
  <c r="AV14" i="27"/>
  <c r="AV13" i="27"/>
  <c r="AV16" i="27"/>
  <c r="AV27" i="27"/>
  <c r="AV58" i="27"/>
  <c r="AZ59" i="27"/>
  <c r="AZ18" i="27"/>
  <c r="AZ66" i="27"/>
  <c r="AZ49" i="27"/>
  <c r="AZ32" i="27"/>
  <c r="BB61" i="27"/>
  <c r="BD61" i="27" s="1"/>
  <c r="BE61" i="27" s="1"/>
  <c r="H61" i="27"/>
  <c r="BB34" i="27"/>
  <c r="BD34" i="27" s="1"/>
  <c r="BE34" i="27" s="1"/>
  <c r="H34" i="27"/>
  <c r="BB48" i="27"/>
  <c r="BD48" i="27" s="1"/>
  <c r="BE48" i="27" s="1"/>
  <c r="H48" i="27"/>
  <c r="BB33" i="27"/>
  <c r="BD33" i="27" s="1"/>
  <c r="BE33" i="27" s="1"/>
  <c r="H33" i="27"/>
  <c r="BB35" i="27"/>
  <c r="BD35" i="27" s="1"/>
  <c r="BE35" i="27" s="1"/>
  <c r="H35" i="27"/>
  <c r="X64" i="27"/>
  <c r="X12" i="27"/>
  <c r="X20" i="27"/>
  <c r="X42" i="27"/>
  <c r="AB49" i="27"/>
  <c r="AB14" i="27"/>
  <c r="AB63" i="27"/>
  <c r="AB44" i="27"/>
  <c r="AB26" i="27"/>
  <c r="AB17" i="27"/>
  <c r="AV48" i="27"/>
  <c r="BB10" i="27"/>
  <c r="BD10" i="27" s="1"/>
  <c r="BE10" i="27" s="1"/>
  <c r="H10" i="27"/>
  <c r="X62" i="27"/>
  <c r="R67" i="27"/>
  <c r="T3" i="27"/>
  <c r="T67" i="27" s="1"/>
  <c r="L29" i="27"/>
  <c r="AZ25" i="27"/>
  <c r="BB43" i="27"/>
  <c r="BD43" i="27" s="1"/>
  <c r="BE43" i="27" s="1"/>
  <c r="H43" i="27"/>
  <c r="X17" i="27"/>
  <c r="X66" i="27"/>
  <c r="AB39" i="27"/>
  <c r="AB50" i="27"/>
  <c r="AN40" i="27"/>
  <c r="AN9" i="27"/>
  <c r="AN49" i="27"/>
  <c r="L60" i="27"/>
  <c r="L34" i="27"/>
  <c r="L65" i="27"/>
  <c r="AJ27" i="27"/>
  <c r="AJ55" i="27"/>
  <c r="AJ20" i="27"/>
  <c r="AJ5" i="27"/>
  <c r="AJ50" i="27"/>
  <c r="P20" i="27"/>
  <c r="P66" i="27"/>
  <c r="P19" i="27"/>
  <c r="P62" i="27"/>
  <c r="P9" i="27"/>
  <c r="P33" i="27"/>
  <c r="AV30" i="27"/>
  <c r="AV34" i="27"/>
  <c r="AV38" i="27"/>
  <c r="AV32" i="27"/>
  <c r="AV31" i="27"/>
  <c r="AV62" i="27"/>
  <c r="AZ39" i="27"/>
  <c r="AZ22" i="27"/>
  <c r="AZ4" i="27"/>
  <c r="AZ53" i="27"/>
  <c r="AZ36" i="27"/>
  <c r="BB19" i="27"/>
  <c r="BD19" i="27" s="1"/>
  <c r="BE19" i="27" s="1"/>
  <c r="H19" i="27"/>
  <c r="BB37" i="27"/>
  <c r="BD37" i="27" s="1"/>
  <c r="BE37" i="27" s="1"/>
  <c r="H37" i="27"/>
  <c r="BB64" i="27"/>
  <c r="BD64" i="27" s="1"/>
  <c r="BE64" i="27" s="1"/>
  <c r="H64" i="27"/>
  <c r="BB46" i="27"/>
  <c r="BD46" i="27" s="1"/>
  <c r="BE46" i="27" s="1"/>
  <c r="H46" i="27"/>
  <c r="BB9" i="27"/>
  <c r="BD9" i="27" s="1"/>
  <c r="BE9" i="27" s="1"/>
  <c r="H9" i="27"/>
  <c r="X49" i="27"/>
  <c r="X31" i="27"/>
  <c r="X37" i="27"/>
  <c r="X10" i="27"/>
  <c r="X46" i="27"/>
  <c r="AB61" i="27"/>
  <c r="AB19" i="27"/>
  <c r="AB7" i="27"/>
  <c r="AB48" i="27"/>
  <c r="AB30" i="27"/>
  <c r="AJ41" i="27"/>
  <c r="AV4" i="27"/>
  <c r="BB13" i="27"/>
  <c r="BD13" i="27" s="1"/>
  <c r="BE13" i="27" s="1"/>
  <c r="H13" i="27"/>
  <c r="AB46" i="27"/>
  <c r="AJ16" i="27"/>
  <c r="AV20" i="27"/>
  <c r="AN42" i="27"/>
  <c r="AN22" i="27"/>
  <c r="AN39" i="27"/>
  <c r="AN10" i="27"/>
  <c r="AN62" i="27"/>
  <c r="AN14" i="27"/>
  <c r="AN13" i="27"/>
  <c r="AN43" i="27"/>
  <c r="AN53" i="27"/>
  <c r="L40" i="27"/>
  <c r="AJ65" i="27"/>
  <c r="AJ31" i="27"/>
  <c r="AJ57" i="27"/>
  <c r="AJ24" i="27"/>
  <c r="AJ10" i="27"/>
  <c r="AJ54" i="27"/>
  <c r="P36" i="27"/>
  <c r="P43" i="27"/>
  <c r="P23" i="27"/>
  <c r="P41" i="27"/>
  <c r="P13" i="27"/>
  <c r="P57" i="27"/>
  <c r="AV37" i="27"/>
  <c r="AV65" i="27"/>
  <c r="AV45" i="27"/>
  <c r="AV36" i="27"/>
  <c r="AV35" i="27"/>
  <c r="AV66" i="27"/>
  <c r="AZ35" i="27"/>
  <c r="AZ26" i="27"/>
  <c r="AZ9" i="27"/>
  <c r="AZ57" i="27"/>
  <c r="AZ40" i="27"/>
  <c r="BB44" i="27"/>
  <c r="BD44" i="27" s="1"/>
  <c r="BE44" i="27" s="1"/>
  <c r="H44" i="27"/>
  <c r="BB66" i="27"/>
  <c r="BD66" i="27" s="1"/>
  <c r="BE66" i="27" s="1"/>
  <c r="H66" i="27"/>
  <c r="BB4" i="27"/>
  <c r="BD4" i="27" s="1"/>
  <c r="BE4" i="27" s="1"/>
  <c r="H4" i="27"/>
  <c r="BB49" i="27"/>
  <c r="BD49" i="27" s="1"/>
  <c r="BE49" i="27" s="1"/>
  <c r="H49" i="27"/>
  <c r="BB22" i="27"/>
  <c r="BD22" i="27" s="1"/>
  <c r="BE22" i="27" s="1"/>
  <c r="H22" i="27"/>
  <c r="X4" i="27"/>
  <c r="X24" i="27"/>
  <c r="X45" i="27"/>
  <c r="X19" i="27"/>
  <c r="X50" i="27"/>
  <c r="AB12" i="27"/>
  <c r="AB23" i="27"/>
  <c r="AB16" i="27"/>
  <c r="AB52" i="27"/>
  <c r="AB34" i="27"/>
  <c r="R70" i="6"/>
  <c r="K70" i="22"/>
  <c r="AR67" i="27"/>
  <c r="K70" i="12"/>
  <c r="R6" i="12"/>
  <c r="K70" i="24"/>
  <c r="J70" i="4"/>
  <c r="R6" i="4"/>
  <c r="R6" i="22"/>
  <c r="K70" i="2"/>
  <c r="K70" i="16"/>
  <c r="K70" i="10"/>
  <c r="R6" i="10"/>
  <c r="K70" i="6"/>
  <c r="K70" i="18"/>
  <c r="R6" i="18"/>
  <c r="R6" i="16"/>
  <c r="R70" i="8"/>
  <c r="K70" i="4"/>
  <c r="J70" i="2"/>
  <c r="R6" i="2"/>
  <c r="R6" i="24"/>
  <c r="AL3" i="27"/>
  <c r="AH3" i="27"/>
  <c r="V3" i="27"/>
  <c r="Z3" i="27"/>
  <c r="J3" i="27"/>
  <c r="F3" i="27"/>
  <c r="AT3" i="27"/>
  <c r="AX3" i="27"/>
  <c r="AT67" i="27" l="1"/>
  <c r="AV3" i="27"/>
  <c r="AV67" i="27" s="1"/>
  <c r="AX67" i="27"/>
  <c r="AZ3" i="27"/>
  <c r="AZ67" i="27" s="1"/>
  <c r="F67" i="27"/>
  <c r="BB3" i="27"/>
  <c r="H3" i="27"/>
  <c r="H67" i="27" s="1"/>
  <c r="J67" i="27"/>
  <c r="L3" i="27"/>
  <c r="L67" i="27" s="1"/>
  <c r="V67" i="27"/>
  <c r="X3" i="27"/>
  <c r="X67" i="27" s="1"/>
  <c r="AH67" i="27"/>
  <c r="AJ3" i="27"/>
  <c r="AJ67" i="27" s="1"/>
  <c r="Z67" i="27"/>
  <c r="AB3" i="27"/>
  <c r="AB67" i="27" s="1"/>
  <c r="AL67" i="27"/>
  <c r="AN3" i="27"/>
  <c r="AN67" i="27" s="1"/>
  <c r="R70" i="22"/>
  <c r="R70" i="24"/>
  <c r="R70" i="2"/>
  <c r="R70" i="4"/>
  <c r="R70" i="10"/>
  <c r="P67" i="27"/>
  <c r="R70" i="16"/>
  <c r="R70" i="12"/>
  <c r="R70" i="18"/>
  <c r="BB67" i="27" l="1"/>
  <c r="BD3" i="27"/>
  <c r="BD67" i="27" l="1"/>
  <c r="BE67" i="27" s="1"/>
  <c r="BE3" i="27"/>
</calcChain>
</file>

<file path=xl/sharedStrings.xml><?xml version="1.0" encoding="utf-8"?>
<sst xmlns="http://schemas.openxmlformats.org/spreadsheetml/2006/main" count="2570" uniqueCount="393">
  <si>
    <t>FLAT #</t>
  </si>
  <si>
    <t>Amount</t>
  </si>
  <si>
    <t>Date</t>
  </si>
  <si>
    <t>Total</t>
  </si>
  <si>
    <t>F1</t>
  </si>
  <si>
    <t>F2</t>
  </si>
  <si>
    <t>F3</t>
  </si>
  <si>
    <t>1-May-26</t>
  </si>
  <si>
    <t>F4</t>
  </si>
  <si>
    <t>F5</t>
  </si>
  <si>
    <t>10-May-26</t>
  </si>
  <si>
    <t>15-May-26</t>
  </si>
  <si>
    <t>F6</t>
  </si>
  <si>
    <t>2-May-26</t>
  </si>
  <si>
    <t>F7</t>
  </si>
  <si>
    <t>24-May-26</t>
  </si>
  <si>
    <t>F8</t>
  </si>
  <si>
    <t>F9</t>
  </si>
  <si>
    <t>16-May-26</t>
  </si>
  <si>
    <t>F10</t>
  </si>
  <si>
    <t>F11</t>
  </si>
  <si>
    <t>F12</t>
  </si>
  <si>
    <t>F13</t>
  </si>
  <si>
    <t>F14</t>
  </si>
  <si>
    <t>F15</t>
  </si>
  <si>
    <t>25-May-26</t>
  </si>
  <si>
    <t>F16</t>
  </si>
  <si>
    <t>11-May-26</t>
  </si>
  <si>
    <t>G1</t>
  </si>
  <si>
    <t>G2</t>
  </si>
  <si>
    <t>G3</t>
  </si>
  <si>
    <t>26-May-26</t>
  </si>
  <si>
    <t>G4</t>
  </si>
  <si>
    <t>G5</t>
  </si>
  <si>
    <t>G6</t>
  </si>
  <si>
    <t>G7</t>
  </si>
  <si>
    <t>G8</t>
  </si>
  <si>
    <t>5-May-26</t>
  </si>
  <si>
    <t>13-May-26</t>
  </si>
  <si>
    <t>G9</t>
  </si>
  <si>
    <t>G10</t>
  </si>
  <si>
    <t>23-May-26</t>
  </si>
  <si>
    <t>G11</t>
  </si>
  <si>
    <t>G12</t>
  </si>
  <si>
    <t>12-May-26</t>
  </si>
  <si>
    <t>G13</t>
  </si>
  <si>
    <t>G14</t>
  </si>
  <si>
    <t>21-May-26</t>
  </si>
  <si>
    <t>G15</t>
  </si>
  <si>
    <t>G16</t>
  </si>
  <si>
    <t>S1</t>
  </si>
  <si>
    <t>17-May-26</t>
  </si>
  <si>
    <t>S2</t>
  </si>
  <si>
    <t>S3</t>
  </si>
  <si>
    <t>S4</t>
  </si>
  <si>
    <t>30-May-26</t>
  </si>
  <si>
    <t>S5</t>
  </si>
  <si>
    <t>S6</t>
  </si>
  <si>
    <t>S7</t>
  </si>
  <si>
    <t>S8</t>
  </si>
  <si>
    <t>S9</t>
  </si>
  <si>
    <t>S10</t>
  </si>
  <si>
    <t>6-May-26</t>
  </si>
  <si>
    <t>S11</t>
  </si>
  <si>
    <t>20-May-26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</si>
  <si>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</si>
  <si>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</si>
  <si>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</si>
  <si>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</si>
  <si>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</si>
  <si>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</si>
  <si>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</si>
  <si>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</si>
  <si>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</si>
  <si>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19-May-26</t>
  </si>
  <si>
    <t>T5</t>
  </si>
  <si>
    <t>T6</t>
  </si>
  <si>
    <t>T7</t>
  </si>
  <si>
    <t>T8</t>
  </si>
  <si>
    <t>T9</t>
  </si>
  <si>
    <t>T10</t>
  </si>
  <si>
    <t>T11</t>
  </si>
  <si>
    <t>T12</t>
  </si>
  <si>
    <t>27-May-26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</si>
  <si>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</si>
  <si>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</si>
  <si>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</si>
  <si>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</si>
  <si>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</si>
  <si>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</si>
  <si>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</si>
  <si>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</si>
  <si>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</si>
  <si>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</si>
  <si>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</si>
  <si>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</si>
  <si>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</si>
  <si>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</si>
  <si>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</si>
  <si>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</si>
  <si>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</si>
  <si>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</si>
  <si>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</si>
  <si>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</si>
  <si>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</si>
  <si>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</si>
  <si>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</si>
  <si>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</si>
  <si>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</si>
  <si>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</si>
  <si>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</si>
  <si>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</si>
  <si>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</si>
  <si>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</si>
  <si>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</si>
  <si>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</si>
  <si>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</si>
  <si>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</si>
  <si>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</si>
  <si>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</si>
  <si>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</si>
  <si>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</si>
  <si>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</si>
  <si>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</si>
  <si>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</si>
  <si>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</si>
  <si>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</si>
  <si>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</si>
  <si>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</si>
  <si>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</si>
  <si>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</si>
  <si>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</si>
  <si>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</si>
  <si>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</si>
  <si>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</si>
  <si>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</si>
  <si>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</si>
  <si>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</si>
  <si>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</si>
  <si>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</si>
  <si>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</si>
  <si>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</si>
  <si>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</si>
  <si>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</si>
  <si>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</si>
  <si>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</si>
  <si>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Chandramouli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</si>
  <si>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</si>
  <si>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</si>
  <si>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</si>
  <si>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</si>
  <si>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</si>
  <si>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</si>
  <si>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</si>
  <si>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</si>
  <si>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</si>
  <si>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</si>
  <si>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</si>
  <si>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</si>
  <si>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</si>
  <si>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</si>
  <si>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</si>
  <si>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</si>
  <si>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</si>
  <si>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</si>
  <si>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</si>
  <si>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</si>
  <si>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</si>
  <si>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</si>
  <si>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</si>
  <si>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</si>
  <si>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</si>
  <si>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</si>
  <si>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</si>
  <si>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</si>
  <si>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</si>
  <si>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</si>
  <si>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</si>
  <si>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</si>
  <si>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</si>
  <si>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</si>
  <si>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</si>
  <si>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</si>
  <si>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</si>
  <si>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</si>
  <si>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</si>
  <si>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</si>
  <si>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</si>
  <si>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</si>
  <si>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</si>
  <si>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</si>
  <si>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</si>
  <si>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</si>
  <si>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</si>
  <si>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</si>
  <si>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</si>
  <si>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</si>
  <si>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</si>
  <si>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</si>
  <si>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</si>
  <si>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</si>
  <si>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</si>
  <si>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</si>
  <si>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</si>
  <si>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</si>
  <si>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</si>
  <si>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</si>
  <si>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</si>
  <si>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</si>
  <si>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</si>
  <si>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</si>
  <si>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</si>
  <si>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</si>
  <si>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</si>
  <si>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</si>
  <si>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</si>
  <si>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</si>
  <si>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</si>
  <si>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</si>
  <si>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</si>
  <si>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</si>
  <si>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</si>
  <si>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</si>
  <si>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</si>
  <si>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</si>
  <si>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</si>
  <si>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</si>
  <si>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</si>
  <si>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</si>
  <si>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</si>
  <si>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</si>
  <si>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</si>
  <si>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</si>
  <si>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</si>
  <si>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</si>
  <si>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</si>
  <si>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</si>
  <si>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</si>
  <si>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</si>
  <si>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</si>
  <si>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</si>
  <si>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</si>
  <si>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</si>
  <si>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</si>
  <si>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</si>
  <si>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</si>
  <si>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</si>
  <si>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</si>
  <si>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</si>
  <si>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</si>
  <si>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</si>
  <si>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</si>
  <si>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</si>
  <si>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</si>
  <si>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</si>
  <si>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</si>
  <si>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</si>
  <si>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</si>
  <si>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</si>
  <si>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</si>
  <si>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</si>
  <si>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</si>
  <si>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</si>
  <si>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</si>
  <si>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</si>
  <si>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</si>
  <si>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</si>
  <si>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</si>
  <si>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</si>
  <si>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</si>
  <si>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</si>
  <si>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</si>
  <si>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</si>
  <si>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</si>
  <si>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</si>
  <si>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</si>
  <si>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</si>
  <si>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</si>
  <si>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</si>
  <si>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</si>
  <si>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</si>
  <si>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</si>
  <si>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</si>
  <si>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</si>
  <si>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</si>
  <si>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</si>
  <si>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</si>
  <si>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</si>
  <si>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</si>
  <si>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</si>
  <si>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</si>
  <si>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</si>
  <si>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</si>
  <si>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</si>
  <si>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</si>
  <si>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</si>
  <si>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</si>
  <si>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</si>
  <si>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</si>
  <si>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</si>
  <si>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</si>
  <si>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</si>
  <si>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</si>
  <si>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</si>
  <si>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</si>
  <si>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ANNUAL MEMBERSHIP FEE</t>
  </si>
  <si>
    <t>TOTAL EXPENSE TO BE PAID</t>
  </si>
  <si>
    <t>RENT PER METER</t>
  </si>
  <si>
    <t>COMMON AREA METER RENT</t>
  </si>
  <si>
    <t>COMMON AREA METER RENT/FLAT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</si>
  <si>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</si>
  <si>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</si>
  <si>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</si>
  <si>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</si>
  <si>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</si>
  <si>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AMOUNT AVAILABLE FOR NON MAINTENANCE CORPUS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</si>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</sst>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8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#,##0.00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534-8B35-085FFB2B4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89</v>
      </c>
      <c r="B1" s="14" t="s">
        <v>90</v>
      </c>
      <c r="C1" s="14" t="s">
        <v>91</v>
      </c>
      <c r="D1" s="14" t="s">
        <v>92</v>
      </c>
      <c r="E1" s="14"/>
      <c r="F1" s="14" t="s">
        <v>93</v>
      </c>
      <c r="G1" s="14" t="s">
        <v>94</v>
      </c>
      <c r="H1" s="14" t="s">
        <v>95</v>
      </c>
    </row>
    <row r="2" spans="1:8" x14ac:dyDescent="0.25">
      <c r="A2" s="15" t="s">
        <v>4</v>
      </c>
      <c r="B2" s="15" t="s">
        <v>96</v>
      </c>
      <c r="C2" s="15" t="s">
        <v>97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5</v>
      </c>
      <c r="B3" s="16" t="s">
        <v>98</v>
      </c>
      <c r="C3" s="16" t="s">
        <v>99</v>
      </c>
      <c r="D3" s="16"/>
      <c r="E3" s="16"/>
      <c r="F3" s="16"/>
      <c r="G3" s="16"/>
      <c r="H3" s="16"/>
    </row>
    <row r="4" spans="1:8" x14ac:dyDescent="0.25">
      <c r="A4" s="15" t="s">
        <v>6</v>
      </c>
      <c r="B4" s="15" t="s">
        <v>100</v>
      </c>
      <c r="C4" s="15" t="s">
        <v>101</v>
      </c>
      <c r="D4" s="15" t="s">
        <v>102</v>
      </c>
      <c r="E4" s="15"/>
      <c r="F4" s="15"/>
      <c r="G4" s="15"/>
      <c r="H4" s="15"/>
    </row>
    <row r="5" spans="1:8" x14ac:dyDescent="0.25">
      <c r="A5" s="16" t="s">
        <v>8</v>
      </c>
      <c r="B5" s="16" t="s">
        <v>103</v>
      </c>
      <c r="C5" s="16" t="s">
        <v>104</v>
      </c>
      <c r="D5" s="16"/>
      <c r="E5" s="16"/>
      <c r="F5" s="16"/>
      <c r="G5" s="16"/>
      <c r="H5" s="16"/>
    </row>
    <row r="6" spans="1:8" ht="25.5" customHeight="1" x14ac:dyDescent="0.25">
      <c r="A6" s="15" t="s">
        <v>9</v>
      </c>
      <c r="B6" s="15" t="s">
        <v>105</v>
      </c>
      <c r="C6" s="15"/>
      <c r="D6" s="15"/>
      <c r="E6" s="15"/>
      <c r="F6" s="15"/>
      <c r="G6" s="15"/>
      <c r="H6" s="15"/>
    </row>
    <row r="7" spans="1:8" x14ac:dyDescent="0.25">
      <c r="A7" s="16" t="s">
        <v>12</v>
      </c>
      <c r="B7" s="16" t="s">
        <v>106</v>
      </c>
      <c r="C7" s="16" t="s">
        <v>107</v>
      </c>
      <c r="D7" s="16"/>
      <c r="E7" s="16"/>
      <c r="F7" s="16"/>
      <c r="G7" s="16"/>
      <c r="H7" s="16"/>
    </row>
    <row r="8" spans="1:8" x14ac:dyDescent="0.25">
      <c r="A8" s="15" t="s">
        <v>14</v>
      </c>
      <c r="B8" s="15" t="s">
        <v>108</v>
      </c>
      <c r="C8" s="15" t="s">
        <v>109</v>
      </c>
      <c r="D8" s="15"/>
      <c r="E8" s="15"/>
      <c r="F8" s="15"/>
      <c r="G8" s="15"/>
      <c r="H8" s="15"/>
    </row>
    <row r="9" spans="1:8" x14ac:dyDescent="0.25">
      <c r="A9" s="16" t="s">
        <v>16</v>
      </c>
      <c r="B9" s="16" t="s">
        <v>110</v>
      </c>
      <c r="C9" s="15" t="s">
        <v>111</v>
      </c>
      <c r="D9" s="16"/>
      <c r="E9" s="16"/>
      <c r="F9" s="16"/>
      <c r="G9" s="16"/>
      <c r="H9" s="16"/>
    </row>
    <row r="10" spans="1:8" x14ac:dyDescent="0.25">
      <c r="A10" s="15" t="s">
        <v>17</v>
      </c>
      <c r="B10" s="15" t="s">
        <v>112</v>
      </c>
      <c r="C10" s="15" t="s">
        <v>113</v>
      </c>
      <c r="D10" s="15" t="s">
        <v>114</v>
      </c>
      <c r="E10" s="15"/>
      <c r="F10" s="15"/>
      <c r="G10" s="15"/>
      <c r="H10" s="15"/>
    </row>
    <row r="11" spans="1:8" x14ac:dyDescent="0.25">
      <c r="A11" s="16" t="s">
        <v>19</v>
      </c>
      <c r="B11" s="16" t="s">
        <v>115</v>
      </c>
      <c r="C11" s="16" t="s">
        <v>116</v>
      </c>
      <c r="D11" s="16" t="s">
        <v>117</v>
      </c>
      <c r="E11" s="16"/>
      <c r="F11" s="16"/>
      <c r="G11" s="16"/>
      <c r="H11" s="16"/>
    </row>
    <row r="12" spans="1:8" x14ac:dyDescent="0.25">
      <c r="A12" s="15" t="s">
        <v>20</v>
      </c>
      <c r="B12" s="15" t="s">
        <v>103</v>
      </c>
      <c r="C12" s="15"/>
      <c r="D12" s="15"/>
      <c r="E12" s="15"/>
      <c r="F12" s="15"/>
      <c r="G12" s="15"/>
      <c r="H12" s="15"/>
    </row>
    <row r="13" spans="1:8" x14ac:dyDescent="0.25">
      <c r="A13" s="16" t="s">
        <v>21</v>
      </c>
      <c r="B13" s="16" t="s">
        <v>118</v>
      </c>
      <c r="C13" s="16" t="s">
        <v>119</v>
      </c>
      <c r="D13" s="16" t="s">
        <v>120</v>
      </c>
      <c r="E13" s="16"/>
      <c r="F13" s="16"/>
      <c r="G13" s="16"/>
      <c r="H13" s="16"/>
    </row>
    <row r="14" spans="1:8" x14ac:dyDescent="0.25">
      <c r="A14" s="15" t="s">
        <v>22</v>
      </c>
      <c r="B14" s="15" t="s">
        <v>121</v>
      </c>
      <c r="C14" s="15"/>
      <c r="D14" s="15"/>
      <c r="E14" s="15"/>
      <c r="F14" s="15"/>
      <c r="G14" s="15"/>
      <c r="H14" s="15"/>
    </row>
    <row r="15" spans="1:8" x14ac:dyDescent="0.25">
      <c r="A15" s="16" t="s">
        <v>23</v>
      </c>
      <c r="B15" s="16" t="s">
        <v>122</v>
      </c>
      <c r="C15" s="16" t="s">
        <v>123</v>
      </c>
      <c r="D15" s="16" t="s">
        <v>124</v>
      </c>
      <c r="E15" s="16"/>
      <c r="F15" s="16"/>
      <c r="G15" s="16"/>
      <c r="H15" s="16"/>
    </row>
    <row r="16" spans="1:8" x14ac:dyDescent="0.25">
      <c r="A16" s="15" t="s">
        <v>24</v>
      </c>
      <c r="B16" s="15" t="s">
        <v>125</v>
      </c>
      <c r="C16" s="15" t="s">
        <v>126</v>
      </c>
      <c r="D16" s="15" t="s">
        <v>127</v>
      </c>
      <c r="E16" s="15"/>
      <c r="F16" s="15"/>
      <c r="G16" s="15"/>
      <c r="H16" s="15"/>
    </row>
    <row r="17" spans="1:8" x14ac:dyDescent="0.25">
      <c r="A17" s="16" t="s">
        <v>26</v>
      </c>
      <c r="B17" s="16" t="s">
        <v>128</v>
      </c>
      <c r="C17" s="16" t="s">
        <v>129</v>
      </c>
      <c r="D17" s="16"/>
      <c r="E17" s="16"/>
      <c r="F17" s="16"/>
      <c r="G17" s="16"/>
      <c r="H17" s="16"/>
    </row>
    <row r="18" spans="1:8" x14ac:dyDescent="0.25">
      <c r="A18" s="15" t="s">
        <v>28</v>
      </c>
      <c r="B18" s="15" t="s">
        <v>130</v>
      </c>
      <c r="C18" s="15" t="s">
        <v>131</v>
      </c>
      <c r="D18" s="15" t="s">
        <v>132</v>
      </c>
      <c r="E18" s="15"/>
      <c r="F18" s="15"/>
      <c r="G18" s="15"/>
      <c r="H18" s="15"/>
    </row>
    <row r="19" spans="1:8" x14ac:dyDescent="0.25">
      <c r="A19" s="16" t="s">
        <v>29</v>
      </c>
      <c r="B19" s="16" t="s">
        <v>133</v>
      </c>
      <c r="C19" s="16"/>
      <c r="D19" s="16"/>
      <c r="E19" s="16"/>
      <c r="F19" s="16"/>
      <c r="G19" s="16"/>
      <c r="H19" s="16"/>
    </row>
    <row r="20" spans="1:8" x14ac:dyDescent="0.25">
      <c r="A20" s="15" t="s">
        <v>30</v>
      </c>
      <c r="B20" s="15" t="s">
        <v>134</v>
      </c>
      <c r="C20" s="15" t="s">
        <v>135</v>
      </c>
      <c r="D20" s="15"/>
      <c r="E20" s="15"/>
      <c r="F20" s="15"/>
      <c r="G20" s="15"/>
      <c r="H20" s="15"/>
    </row>
    <row r="21" spans="1:8" x14ac:dyDescent="0.25">
      <c r="A21" s="16" t="s">
        <v>32</v>
      </c>
      <c r="B21" s="16" t="s">
        <v>136</v>
      </c>
      <c r="C21" s="16" t="s">
        <v>137</v>
      </c>
      <c r="D21" s="16"/>
      <c r="E21" s="16"/>
      <c r="F21" s="16"/>
      <c r="G21" s="16"/>
      <c r="H21" s="16"/>
    </row>
    <row r="22" spans="1:8" x14ac:dyDescent="0.25">
      <c r="A22" s="15" t="s">
        <v>33</v>
      </c>
      <c r="B22" s="15" t="s">
        <v>138</v>
      </c>
      <c r="C22" s="15"/>
      <c r="D22" s="15"/>
      <c r="E22" s="15"/>
      <c r="F22" s="15"/>
      <c r="G22" s="15"/>
      <c r="H22" s="15"/>
    </row>
    <row r="23" spans="1:8" x14ac:dyDescent="0.25">
      <c r="A23" s="16" t="s">
        <v>34</v>
      </c>
      <c r="B23" s="16" t="s">
        <v>139</v>
      </c>
      <c r="C23" s="16"/>
      <c r="D23" s="16" t="s">
        <v>140</v>
      </c>
      <c r="E23" s="16"/>
      <c r="F23" s="16"/>
      <c r="G23" s="16"/>
      <c r="H23" s="16"/>
    </row>
    <row r="24" spans="1:8" x14ac:dyDescent="0.25">
      <c r="A24" s="15" t="s">
        <v>35</v>
      </c>
      <c r="B24" s="15" t="s">
        <v>141</v>
      </c>
      <c r="C24" s="15" t="s">
        <v>142</v>
      </c>
      <c r="D24" s="15" t="s">
        <v>143</v>
      </c>
      <c r="E24" s="15"/>
      <c r="F24" s="15"/>
      <c r="G24" s="15"/>
      <c r="H24" s="15"/>
    </row>
    <row r="25" spans="1:8" x14ac:dyDescent="0.25">
      <c r="A25" s="16" t="s">
        <v>36</v>
      </c>
      <c r="B25" s="16" t="s">
        <v>144</v>
      </c>
      <c r="C25" s="15" t="s">
        <v>145</v>
      </c>
      <c r="D25" s="16"/>
      <c r="E25" s="16"/>
      <c r="F25" s="16"/>
      <c r="G25" s="16"/>
      <c r="H25" s="16"/>
    </row>
    <row r="26" spans="1:8" x14ac:dyDescent="0.25">
      <c r="A26" s="15" t="s">
        <v>39</v>
      </c>
      <c r="B26" s="15" t="s">
        <v>146</v>
      </c>
      <c r="C26" s="15" t="s">
        <v>147</v>
      </c>
      <c r="D26" s="15"/>
      <c r="E26" s="15"/>
      <c r="F26" s="15"/>
      <c r="G26" s="15"/>
      <c r="H26" s="15"/>
    </row>
    <row r="27" spans="1:8" x14ac:dyDescent="0.25">
      <c r="A27" s="16" t="s">
        <v>40</v>
      </c>
      <c r="B27" s="16" t="s">
        <v>148</v>
      </c>
      <c r="C27" s="15" t="s">
        <v>149</v>
      </c>
      <c r="D27" s="16" t="s">
        <v>150</v>
      </c>
      <c r="E27" s="16"/>
      <c r="F27" s="16"/>
      <c r="G27" s="16"/>
      <c r="H27" s="16"/>
    </row>
    <row r="28" spans="1:8" x14ac:dyDescent="0.25">
      <c r="A28" s="15" t="s">
        <v>42</v>
      </c>
      <c r="B28" s="15" t="s">
        <v>151</v>
      </c>
      <c r="C28" s="15" t="s">
        <v>152</v>
      </c>
      <c r="D28" s="15" t="s">
        <v>153</v>
      </c>
      <c r="E28" s="15"/>
      <c r="F28" s="15"/>
      <c r="G28" s="15"/>
      <c r="H28" s="15"/>
    </row>
    <row r="29" spans="1:8" x14ac:dyDescent="0.25">
      <c r="A29" s="16" t="s">
        <v>43</v>
      </c>
      <c r="B29" s="16" t="s">
        <v>154</v>
      </c>
      <c r="C29" s="16" t="s">
        <v>155</v>
      </c>
      <c r="D29" s="16" t="s">
        <v>156</v>
      </c>
      <c r="E29" s="16"/>
      <c r="F29" s="16"/>
      <c r="G29" s="16"/>
      <c r="H29" s="16"/>
    </row>
    <row r="30" spans="1:8" x14ac:dyDescent="0.25">
      <c r="A30" s="15" t="s">
        <v>45</v>
      </c>
      <c r="B30" s="15" t="s">
        <v>157</v>
      </c>
      <c r="C30" s="15" t="s">
        <v>158</v>
      </c>
      <c r="D30" s="15"/>
      <c r="E30" s="15"/>
      <c r="F30" s="15"/>
      <c r="G30" s="15"/>
      <c r="H30" s="15"/>
    </row>
    <row r="31" spans="1:8" x14ac:dyDescent="0.25">
      <c r="A31" s="16" t="s">
        <v>46</v>
      </c>
      <c r="B31" s="16" t="s">
        <v>159</v>
      </c>
      <c r="C31" s="16" t="s">
        <v>160</v>
      </c>
      <c r="D31" s="16" t="s">
        <v>161</v>
      </c>
      <c r="E31" s="16"/>
      <c r="F31" s="16"/>
      <c r="G31" s="16"/>
      <c r="H31" s="16"/>
    </row>
    <row r="32" spans="1:8" x14ac:dyDescent="0.25">
      <c r="A32" s="15" t="s">
        <v>48</v>
      </c>
      <c r="B32" s="15" t="s">
        <v>162</v>
      </c>
      <c r="C32" s="15" t="s">
        <v>163</v>
      </c>
      <c r="D32" s="15"/>
      <c r="E32" s="15"/>
      <c r="F32" s="15"/>
      <c r="G32" s="15"/>
      <c r="H32" s="15"/>
    </row>
    <row r="33" spans="1:8" x14ac:dyDescent="0.25">
      <c r="A33" s="16" t="s">
        <v>49</v>
      </c>
      <c r="B33" s="16" t="s">
        <v>164</v>
      </c>
      <c r="C33" s="16" t="s">
        <v>165</v>
      </c>
      <c r="D33" s="16" t="s">
        <v>166</v>
      </c>
      <c r="E33" s="16"/>
      <c r="F33" s="16"/>
      <c r="G33" s="16"/>
      <c r="H33" s="16"/>
    </row>
    <row r="34" spans="1:8" x14ac:dyDescent="0.25">
      <c r="A34" s="15" t="s">
        <v>50</v>
      </c>
      <c r="B34" s="15" t="s">
        <v>167</v>
      </c>
      <c r="C34" s="15" t="s">
        <v>168</v>
      </c>
      <c r="D34" s="15" t="s">
        <v>169</v>
      </c>
      <c r="E34" s="15"/>
      <c r="F34" s="15"/>
      <c r="G34" s="15"/>
      <c r="H34" s="15"/>
    </row>
    <row r="35" spans="1:8" x14ac:dyDescent="0.25">
      <c r="A35" s="16" t="s">
        <v>52</v>
      </c>
      <c r="B35" s="16" t="s">
        <v>170</v>
      </c>
      <c r="C35" s="16" t="s">
        <v>171</v>
      </c>
      <c r="D35" s="16"/>
      <c r="E35" s="16"/>
      <c r="F35" s="16"/>
      <c r="G35" s="16"/>
      <c r="H35" s="16"/>
    </row>
    <row r="36" spans="1:8" x14ac:dyDescent="0.25">
      <c r="A36" s="15" t="s">
        <v>53</v>
      </c>
      <c r="B36" s="15" t="s">
        <v>172</v>
      </c>
      <c r="C36" s="15"/>
      <c r="D36" s="15"/>
      <c r="E36" s="15"/>
      <c r="F36" s="15"/>
      <c r="G36" s="15"/>
      <c r="H36" s="15"/>
    </row>
    <row r="37" spans="1:8" x14ac:dyDescent="0.25">
      <c r="A37" s="16" t="s">
        <v>54</v>
      </c>
      <c r="B37" s="16" t="s">
        <v>173</v>
      </c>
      <c r="C37" s="16" t="s">
        <v>174</v>
      </c>
      <c r="D37" s="16"/>
      <c r="E37" s="16"/>
      <c r="F37" s="16"/>
      <c r="G37" s="16"/>
      <c r="H37" s="16"/>
    </row>
    <row r="38" spans="1:8" ht="25.5" customHeight="1" x14ac:dyDescent="0.25">
      <c r="A38" s="15" t="s">
        <v>56</v>
      </c>
      <c r="B38" s="15" t="s">
        <v>175</v>
      </c>
      <c r="C38" s="15" t="s">
        <v>176</v>
      </c>
      <c r="D38" s="15" t="s">
        <v>177</v>
      </c>
      <c r="E38" s="15"/>
      <c r="F38" s="15"/>
      <c r="G38" s="15"/>
      <c r="H38" s="15"/>
    </row>
    <row r="39" spans="1:8" x14ac:dyDescent="0.25">
      <c r="A39" s="16" t="s">
        <v>57</v>
      </c>
      <c r="B39" s="16" t="s">
        <v>178</v>
      </c>
      <c r="C39" s="16" t="s">
        <v>179</v>
      </c>
      <c r="D39" s="16"/>
      <c r="E39" s="16"/>
      <c r="F39" s="16"/>
      <c r="G39" s="16"/>
      <c r="H39" s="16"/>
    </row>
    <row r="40" spans="1:8" x14ac:dyDescent="0.25">
      <c r="A40" s="15" t="s">
        <v>58</v>
      </c>
      <c r="B40" s="15" t="s">
        <v>180</v>
      </c>
      <c r="C40" s="15" t="s">
        <v>181</v>
      </c>
      <c r="D40" s="15" t="s">
        <v>182</v>
      </c>
      <c r="E40" s="15"/>
      <c r="F40" s="15"/>
      <c r="G40" s="15"/>
      <c r="H40" s="15"/>
    </row>
    <row r="41" spans="1:8" x14ac:dyDescent="0.25">
      <c r="A41" s="16" t="s">
        <v>59</v>
      </c>
      <c r="B41" s="16" t="s">
        <v>183</v>
      </c>
      <c r="C41" s="16" t="s">
        <v>184</v>
      </c>
      <c r="D41" s="16"/>
      <c r="E41" s="16"/>
      <c r="F41" s="16"/>
      <c r="G41" s="16"/>
      <c r="H41" s="16"/>
    </row>
    <row r="42" spans="1:8" x14ac:dyDescent="0.25">
      <c r="A42" s="15" t="s">
        <v>60</v>
      </c>
      <c r="B42" s="15" t="s">
        <v>185</v>
      </c>
      <c r="C42" s="15" t="s">
        <v>186</v>
      </c>
      <c r="D42" s="15" t="s">
        <v>187</v>
      </c>
      <c r="E42" s="15"/>
      <c r="F42" s="15"/>
      <c r="G42" s="15"/>
      <c r="H42" s="15"/>
    </row>
    <row r="43" spans="1:8" x14ac:dyDescent="0.25">
      <c r="A43" s="16" t="s">
        <v>61</v>
      </c>
      <c r="B43" s="16" t="s">
        <v>188</v>
      </c>
      <c r="C43" s="16"/>
      <c r="D43" s="16"/>
      <c r="E43" s="16"/>
      <c r="F43" s="16"/>
      <c r="G43" s="16"/>
      <c r="H43" s="16"/>
    </row>
    <row r="44" spans="1:8" x14ac:dyDescent="0.25">
      <c r="A44" s="15" t="s">
        <v>63</v>
      </c>
      <c r="B44" s="15" t="s">
        <v>189</v>
      </c>
      <c r="C44" s="15" t="s">
        <v>190</v>
      </c>
      <c r="D44" s="15"/>
      <c r="E44" s="15"/>
      <c r="F44" s="15"/>
      <c r="G44" s="15"/>
      <c r="H44" s="15"/>
    </row>
    <row r="45" spans="1:8" x14ac:dyDescent="0.25">
      <c r="A45" s="16" t="s">
        <v>65</v>
      </c>
      <c r="B45" s="16" t="s">
        <v>191</v>
      </c>
      <c r="C45" s="16" t="s">
        <v>192</v>
      </c>
      <c r="D45" s="16"/>
      <c r="E45" s="16"/>
      <c r="F45" s="16"/>
      <c r="G45" s="16"/>
      <c r="H45" s="16"/>
    </row>
    <row r="46" spans="1:8" x14ac:dyDescent="0.25">
      <c r="A46" s="15" t="s">
        <v>66</v>
      </c>
      <c r="B46" s="15" t="s">
        <v>121</v>
      </c>
      <c r="C46" s="15" t="s">
        <v>193</v>
      </c>
      <c r="D46" s="15"/>
      <c r="E46" s="15"/>
      <c r="F46" s="15"/>
      <c r="G46" s="15"/>
      <c r="H46" s="15"/>
    </row>
    <row r="47" spans="1:8" x14ac:dyDescent="0.25">
      <c r="A47" s="16" t="s">
        <v>67</v>
      </c>
      <c r="B47" s="16" t="s">
        <v>194</v>
      </c>
      <c r="C47" s="16" t="s">
        <v>195</v>
      </c>
      <c r="D47" s="16" t="s">
        <v>196</v>
      </c>
      <c r="E47" s="16"/>
      <c r="F47" s="16"/>
      <c r="G47" s="16"/>
      <c r="H47" s="16"/>
    </row>
    <row r="48" spans="1:8" x14ac:dyDescent="0.25">
      <c r="A48" s="15" t="s">
        <v>68</v>
      </c>
      <c r="B48" s="15" t="s">
        <v>197</v>
      </c>
      <c r="C48" s="15"/>
      <c r="D48" s="15" t="s">
        <v>198</v>
      </c>
      <c r="E48" s="15"/>
      <c r="F48" s="15"/>
      <c r="G48" s="15"/>
      <c r="H48" s="15"/>
    </row>
    <row r="49" spans="1:8" x14ac:dyDescent="0.25">
      <c r="A49" s="16" t="s">
        <v>69</v>
      </c>
      <c r="B49" s="16" t="s">
        <v>199</v>
      </c>
      <c r="C49" s="16" t="s">
        <v>200</v>
      </c>
      <c r="D49" s="16" t="s">
        <v>201</v>
      </c>
      <c r="E49" s="16"/>
      <c r="F49" s="16"/>
      <c r="G49" s="16"/>
      <c r="H49" s="16"/>
    </row>
    <row r="50" spans="1:8" x14ac:dyDescent="0.25">
      <c r="A50" s="15" t="s">
        <v>70</v>
      </c>
      <c r="B50" s="15" t="s">
        <v>202</v>
      </c>
      <c r="C50" s="15" t="s">
        <v>203</v>
      </c>
      <c r="D50" s="15" t="s">
        <v>204</v>
      </c>
      <c r="E50" s="15"/>
      <c r="F50" s="15"/>
      <c r="G50" s="15"/>
      <c r="H50" s="15"/>
    </row>
    <row r="51" spans="1:8" x14ac:dyDescent="0.25">
      <c r="A51" s="16" t="s">
        <v>71</v>
      </c>
      <c r="B51" s="16" t="s">
        <v>205</v>
      </c>
      <c r="C51" s="16" t="s">
        <v>206</v>
      </c>
      <c r="D51" s="16" t="s">
        <v>207</v>
      </c>
      <c r="E51" s="16"/>
      <c r="F51" s="16"/>
      <c r="G51" s="16"/>
      <c r="H51" s="16"/>
    </row>
    <row r="52" spans="1:8" x14ac:dyDescent="0.25">
      <c r="A52" s="15" t="s">
        <v>72</v>
      </c>
      <c r="B52" s="15" t="s">
        <v>208</v>
      </c>
      <c r="C52" s="15" t="s">
        <v>209</v>
      </c>
      <c r="D52" s="15" t="s">
        <v>210</v>
      </c>
      <c r="E52" s="15"/>
      <c r="F52" s="15"/>
      <c r="G52" s="15"/>
      <c r="H52" s="15"/>
    </row>
    <row r="53" spans="1:8" x14ac:dyDescent="0.25">
      <c r="A53" s="16" t="s">
        <v>73</v>
      </c>
      <c r="B53" s="16" t="s">
        <v>211</v>
      </c>
      <c r="C53" s="16" t="s">
        <v>212</v>
      </c>
      <c r="D53" s="16"/>
      <c r="E53" s="16"/>
      <c r="F53" s="16"/>
      <c r="G53" s="16"/>
      <c r="H53" s="16"/>
    </row>
    <row r="54" spans="1:8" x14ac:dyDescent="0.25">
      <c r="A54" s="15" t="s">
        <v>75</v>
      </c>
      <c r="B54" s="15" t="s">
        <v>213</v>
      </c>
      <c r="C54" s="15" t="s">
        <v>214</v>
      </c>
      <c r="D54" s="15" t="s">
        <v>215</v>
      </c>
      <c r="E54" s="15"/>
      <c r="F54" s="15"/>
      <c r="G54" s="15"/>
      <c r="H54" s="15"/>
    </row>
    <row r="55" spans="1:8" x14ac:dyDescent="0.25">
      <c r="A55" s="16" t="s">
        <v>76</v>
      </c>
      <c r="B55" s="16" t="s">
        <v>216</v>
      </c>
      <c r="C55" s="16" t="s">
        <v>217</v>
      </c>
      <c r="D55" s="16" t="s">
        <v>218</v>
      </c>
      <c r="E55" s="16"/>
      <c r="F55" s="16"/>
      <c r="G55" s="16"/>
      <c r="H55" s="16"/>
    </row>
    <row r="56" spans="1:8" x14ac:dyDescent="0.25">
      <c r="A56" s="15" t="s">
        <v>77</v>
      </c>
      <c r="B56" s="15" t="s">
        <v>219</v>
      </c>
      <c r="C56" s="15" t="s">
        <v>220</v>
      </c>
      <c r="D56" s="15"/>
      <c r="E56" s="15"/>
      <c r="F56" s="15"/>
      <c r="G56" s="15"/>
      <c r="H56" s="15"/>
    </row>
    <row r="57" spans="1:8" x14ac:dyDescent="0.25">
      <c r="A57" s="16" t="s">
        <v>78</v>
      </c>
      <c r="B57" s="16" t="s">
        <v>221</v>
      </c>
      <c r="C57" s="16" t="s">
        <v>222</v>
      </c>
      <c r="D57" s="16" t="s">
        <v>223</v>
      </c>
      <c r="E57" s="16"/>
      <c r="F57" s="16"/>
      <c r="G57" s="16"/>
      <c r="H57" s="16"/>
    </row>
    <row r="58" spans="1:8" x14ac:dyDescent="0.25">
      <c r="A58" s="15" t="s">
        <v>79</v>
      </c>
      <c r="B58" s="15" t="s">
        <v>224</v>
      </c>
      <c r="C58" s="15" t="s">
        <v>225</v>
      </c>
      <c r="D58" s="15"/>
      <c r="E58" s="15"/>
      <c r="F58" s="15"/>
      <c r="G58" s="15"/>
      <c r="H58" s="15"/>
    </row>
    <row r="59" spans="1:8" ht="25.5" customHeight="1" x14ac:dyDescent="0.25">
      <c r="A59" s="16" t="s">
        <v>80</v>
      </c>
      <c r="B59" s="16" t="s">
        <v>105</v>
      </c>
      <c r="C59" s="16" t="s">
        <v>226</v>
      </c>
      <c r="D59" s="16" t="s">
        <v>227</v>
      </c>
      <c r="E59" s="16"/>
      <c r="F59" s="16"/>
      <c r="G59" s="16"/>
      <c r="H59" s="16"/>
    </row>
    <row r="60" spans="1:8" x14ac:dyDescent="0.25">
      <c r="A60" s="15" t="s">
        <v>81</v>
      </c>
      <c r="B60" s="15" t="s">
        <v>228</v>
      </c>
      <c r="C60" s="15" t="s">
        <v>229</v>
      </c>
      <c r="D60" s="15" t="s">
        <v>230</v>
      </c>
      <c r="E60" s="15"/>
      <c r="F60" s="15"/>
      <c r="G60" s="15"/>
      <c r="H60" s="15"/>
    </row>
    <row r="61" spans="1:8" x14ac:dyDescent="0.25">
      <c r="A61" s="16" t="s">
        <v>82</v>
      </c>
      <c r="B61" s="16" t="s">
        <v>231</v>
      </c>
      <c r="C61" s="16" t="s">
        <v>232</v>
      </c>
      <c r="D61" s="16"/>
      <c r="E61" s="16"/>
      <c r="F61" s="16"/>
      <c r="G61" s="16"/>
      <c r="H61" s="16"/>
    </row>
    <row r="62" spans="1:8" x14ac:dyDescent="0.25">
      <c r="A62" s="15" t="s">
        <v>84</v>
      </c>
      <c r="B62" s="15" t="s">
        <v>233</v>
      </c>
      <c r="C62" s="15"/>
      <c r="D62" s="15"/>
      <c r="E62" s="15"/>
      <c r="F62" s="15"/>
      <c r="G62" s="15"/>
      <c r="H62" s="15"/>
    </row>
    <row r="63" spans="1:8" x14ac:dyDescent="0.25">
      <c r="A63" s="16" t="s">
        <v>85</v>
      </c>
      <c r="B63" s="16" t="s">
        <v>234</v>
      </c>
      <c r="C63" s="16" t="s">
        <v>235</v>
      </c>
      <c r="D63" s="16" t="s">
        <v>236</v>
      </c>
      <c r="E63" s="16"/>
      <c r="F63" s="16"/>
      <c r="G63" s="16"/>
      <c r="H63" s="16"/>
    </row>
    <row r="64" spans="1:8" x14ac:dyDescent="0.25">
      <c r="A64" s="15" t="s">
        <v>86</v>
      </c>
      <c r="B64" s="15" t="s">
        <v>237</v>
      </c>
      <c r="C64" s="15"/>
      <c r="D64" s="15" t="s">
        <v>238</v>
      </c>
      <c r="E64" s="15"/>
      <c r="F64" s="15"/>
      <c r="G64" s="15"/>
      <c r="H64" s="15"/>
    </row>
    <row r="65" spans="1:8" x14ac:dyDescent="0.25">
      <c r="A65" s="16" t="s">
        <v>87</v>
      </c>
      <c r="B65" s="16" t="s">
        <v>239</v>
      </c>
      <c r="C65" s="16" t="s">
        <v>240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opLeftCell="H1" workbookViewId="0">
      <pane ySplit="2" topLeftCell="A3" activePane="bottomLeft" state="frozen"/>
      <selection pane="bottomLeft" activeCell="R6" sqref="R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6.28515625" bestFit="1" customWidth="1"/>
  </cols>
  <sheetData>
    <row r="1" spans="1:20" ht="18.75" customHeight="1" x14ac:dyDescent="0.25">
      <c r="A1" s="17"/>
      <c r="B1" s="84" t="s">
        <v>241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0</v>
      </c>
      <c r="B2" s="14">
        <v>1</v>
      </c>
      <c r="C2" s="18" t="s">
        <v>242</v>
      </c>
      <c r="D2" s="18" t="s">
        <v>243</v>
      </c>
      <c r="E2" s="18" t="s">
        <v>244</v>
      </c>
      <c r="F2" s="18" t="s">
        <v>245</v>
      </c>
      <c r="G2" s="18" t="s">
        <v>246</v>
      </c>
      <c r="H2" s="18" t="s">
        <v>247</v>
      </c>
      <c r="I2" s="18" t="s">
        <v>248</v>
      </c>
      <c r="J2" s="18" t="s">
        <v>249</v>
      </c>
      <c r="K2" s="18" t="s">
        <v>250</v>
      </c>
      <c r="L2" s="18" t="s">
        <v>251</v>
      </c>
      <c r="M2" s="18" t="s">
        <v>252</v>
      </c>
      <c r="N2" s="18" t="s">
        <v>253</v>
      </c>
      <c r="O2" s="18" t="s">
        <v>254</v>
      </c>
      <c r="P2" s="18" t="s">
        <v>255</v>
      </c>
      <c r="Q2" s="18" t="s">
        <v>256</v>
      </c>
      <c r="R2" s="18" t="s">
        <v>257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'ANNUAL-EXPENSE-DETAILS'!V3</f>
        <v>269762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'ANNUAL-EXPENSE-DETAILS'!U3</f>
        <v>48800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264</v>
      </c>
      <c r="T7" s="80">
        <f>(99.84+0.18*99.84)</f>
        <v>117.8112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265</v>
      </c>
      <c r="T8" s="22">
        <f>$T$7*3</f>
        <v>353.43360000000001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266</v>
      </c>
      <c r="T9" s="20">
        <f>T8/64</f>
        <v>5.5224000000000002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267</v>
      </c>
      <c r="T11" s="20"/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268</v>
      </c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269</v>
      </c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270</v>
      </c>
      <c r="T14" s="22">
        <f>T12-T13</f>
        <v>0</v>
      </c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271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272</v>
      </c>
      <c r="T16" s="22">
        <f>T11-T14-T15</f>
        <v>0</v>
      </c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273</v>
      </c>
      <c r="T17" s="20">
        <f>'ANNUAL-EXPENSE-DETAILS'!Y9</f>
        <v>0</v>
      </c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274</v>
      </c>
      <c r="T18" s="22">
        <f>T16-T17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">
      <c r="A70" s="23" t="s">
        <v>88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27" t="s">
        <v>2</v>
      </c>
      <c r="E1" s="18" t="s">
        <v>1</v>
      </c>
      <c r="F1" s="14" t="s">
        <v>2</v>
      </c>
      <c r="G1" s="18" t="s">
        <v>1</v>
      </c>
      <c r="H1" s="14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>
        <v>9230</v>
      </c>
      <c r="D2" s="28" t="s">
        <v>275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2">
        <v>6000</v>
      </c>
      <c r="D4" s="29" t="s">
        <v>276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5">
        <v>5549</v>
      </c>
      <c r="D5" s="31" t="s">
        <v>277</v>
      </c>
      <c r="E5" s="25">
        <v>440</v>
      </c>
      <c r="F5" s="25" t="s">
        <v>277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>
        <v>4867.34</v>
      </c>
      <c r="D7" s="32" t="s">
        <v>278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>
        <v>5384</v>
      </c>
      <c r="D8" s="28" t="s">
        <v>279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>
        <v>6070</v>
      </c>
      <c r="D9" s="33" t="s">
        <v>280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5">
        <v>27822</v>
      </c>
      <c r="D11" s="32" t="s">
        <v>280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6">
        <v>5549</v>
      </c>
      <c r="D12" s="28" t="s">
        <v>277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280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>
        <v>4934</v>
      </c>
      <c r="D14" s="30" t="s">
        <v>281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5">
        <v>7000</v>
      </c>
      <c r="D15" s="31" t="s">
        <v>282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>
        <v>5764</v>
      </c>
      <c r="D16" s="28" t="s">
        <v>283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>
        <v>5903.12</v>
      </c>
      <c r="D17" s="25" t="s">
        <v>282</v>
      </c>
      <c r="E17" s="25">
        <v>20000</v>
      </c>
      <c r="F17" s="25" t="s">
        <v>284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5">
        <v>6121</v>
      </c>
      <c r="D19" s="33" t="s">
        <v>281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6">
        <v>5796</v>
      </c>
      <c r="D20" s="30" t="s">
        <v>285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5">
        <v>5604</v>
      </c>
      <c r="D21" s="33" t="s">
        <v>286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>
        <v>5260</v>
      </c>
      <c r="D23" s="25" t="s">
        <v>287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6">
        <v>10621</v>
      </c>
      <c r="D24" s="30" t="s">
        <v>288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>
        <v>495.94</v>
      </c>
      <c r="D25" s="32" t="s">
        <v>289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6">
        <v>5590</v>
      </c>
      <c r="D26" s="30" t="s">
        <v>290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>
        <v>16648</v>
      </c>
      <c r="D28" s="28" t="s">
        <v>291</v>
      </c>
      <c r="E28" s="26">
        <v>4928</v>
      </c>
      <c r="F28" s="26" t="s">
        <v>280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5">
        <v>4487</v>
      </c>
      <c r="D29" s="32" t="s">
        <v>280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>
        <v>10677</v>
      </c>
      <c r="D30" s="30" t="s">
        <v>282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>
        <v>5970</v>
      </c>
      <c r="D31" s="31" t="s">
        <v>280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>
        <v>4819</v>
      </c>
      <c r="D33" s="33" t="s">
        <v>290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>
        <v>4890</v>
      </c>
      <c r="D34" s="28" t="s">
        <v>285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5635</v>
      </c>
      <c r="D35" s="31" t="s">
        <v>276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>
        <v>5092</v>
      </c>
      <c r="D36" s="30" t="s">
        <v>283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>
        <v>28414.74</v>
      </c>
      <c r="D38" s="26" t="s">
        <v>282</v>
      </c>
      <c r="E38" s="26">
        <v>4935</v>
      </c>
      <c r="F38" s="26" t="s">
        <v>280</v>
      </c>
      <c r="G38" s="26">
        <v>1000</v>
      </c>
      <c r="H38" s="26" t="s">
        <v>279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>
        <v>35878</v>
      </c>
      <c r="D39" s="33" t="s">
        <v>291</v>
      </c>
      <c r="E39" s="25">
        <v>4903</v>
      </c>
      <c r="F39" s="25" t="s">
        <v>281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>
        <v>4936</v>
      </c>
      <c r="D40" s="30" t="s">
        <v>292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5">
        <v>2028.67</v>
      </c>
      <c r="D41" s="31" t="s">
        <v>292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>
        <v>5150</v>
      </c>
      <c r="D44" s="30" t="s">
        <v>280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>
        <v>4739</v>
      </c>
      <c r="D46" s="30" t="s">
        <v>281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6">
        <v>16641</v>
      </c>
      <c r="D48" s="30" t="s">
        <v>282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>
        <v>4839</v>
      </c>
      <c r="D49" s="31" t="s">
        <v>280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>
        <v>5879</v>
      </c>
      <c r="D50" s="30" t="s">
        <v>281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5">
        <v>39847.339999999997</v>
      </c>
      <c r="D51" s="31" t="s">
        <v>283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6">
        <v>5431</v>
      </c>
      <c r="D52" s="28" t="s">
        <v>280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5">
        <v>30484.97</v>
      </c>
      <c r="D53" s="33" t="s">
        <v>293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>
        <v>25990</v>
      </c>
      <c r="D54" s="28" t="s">
        <v>280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5">
        <v>13753.45</v>
      </c>
      <c r="D55" s="32" t="s">
        <v>282</v>
      </c>
      <c r="E55" s="25">
        <v>6246</v>
      </c>
      <c r="F55" s="31" t="s">
        <v>280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>
        <v>4712</v>
      </c>
      <c r="D56" s="28" t="s">
        <v>288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5">
        <v>1536.73</v>
      </c>
      <c r="D57" s="31" t="s">
        <v>290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>
        <v>4785</v>
      </c>
      <c r="D58" s="28" t="s">
        <v>281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5">
        <v>5920</v>
      </c>
      <c r="D59" s="33" t="s">
        <v>280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6">
        <v>4939</v>
      </c>
      <c r="D60" s="30" t="s">
        <v>280</v>
      </c>
      <c r="E60" s="26">
        <v>6348</v>
      </c>
      <c r="F60" s="26" t="s">
        <v>280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5">
        <v>4806</v>
      </c>
      <c r="D61" s="33" t="s">
        <v>280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>
        <v>12000</v>
      </c>
      <c r="D62" s="26" t="s">
        <v>289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5">
        <v>4477</v>
      </c>
      <c r="D63" s="32" t="s">
        <v>281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6">
        <v>5420</v>
      </c>
      <c r="D64" s="30" t="s">
        <v>280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>
        <v>5231</v>
      </c>
      <c r="D65" s="31" t="s">
        <v>280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topLeftCell="I1" workbookViewId="0">
      <pane ySplit="2" topLeftCell="A3" activePane="bottomLeft" state="frozen"/>
      <selection pane="bottomLeft" activeCell="S11" sqref="S11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87" t="s">
        <v>294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0</v>
      </c>
      <c r="B2" s="18">
        <v>1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 t="s">
        <v>305</v>
      </c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261</v>
      </c>
      <c r="T4" s="22">
        <f>'ANNUAL-EXPENSE-DETAILS'!V4</f>
        <v>281008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263</v>
      </c>
      <c r="T5" s="20">
        <f>'ANNUAL-EXPENSE-DETAILS'!U4</f>
        <v>42100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6.4623023577388616E-3</v>
      </c>
      <c r="G6" s="22">
        <f t="shared" ref="G6:G37" si="3">F6*$T$5</f>
        <v>272.06292926080607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648.9595386358061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/>
      <c r="R6" s="22">
        <f t="shared" ref="R6:R37" si="7">(SUM(J6:P6)*$B$2)</f>
        <v>5539.709538635806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1.6234821583879032E-2</v>
      </c>
      <c r="G7" s="20">
        <f t="shared" si="3"/>
        <v>683.48598868130728</v>
      </c>
      <c r="H7" s="20">
        <v>4</v>
      </c>
      <c r="I7" s="20">
        <f t="shared" si="4"/>
        <v>494.79759999999999</v>
      </c>
      <c r="J7" s="20">
        <f t="shared" si="5"/>
        <v>1184.0819980563074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/>
      <c r="R7" s="20">
        <f t="shared" si="7"/>
        <v>6074.8319980563074</v>
      </c>
      <c r="S7" s="20" t="s">
        <v>307</v>
      </c>
      <c r="T7" s="80">
        <f>(104.83+0.18*104.83)</f>
        <v>123.6994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1.5117359838495152E-2</v>
      </c>
      <c r="G8" s="22">
        <f t="shared" si="3"/>
        <v>636.44084920064586</v>
      </c>
      <c r="H8" s="22">
        <v>4</v>
      </c>
      <c r="I8" s="22">
        <f t="shared" si="4"/>
        <v>494.79759999999999</v>
      </c>
      <c r="J8" s="22">
        <f t="shared" si="5"/>
        <v>1137.036858575646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/>
      <c r="R8" s="22">
        <f t="shared" si="7"/>
        <v>6777.786858575646</v>
      </c>
      <c r="S8" s="22" t="s">
        <v>308</v>
      </c>
      <c r="T8" s="22">
        <f>$T$7*3</f>
        <v>371.09820000000002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8.5153747625833047E-3</v>
      </c>
      <c r="G9" s="20">
        <f t="shared" si="3"/>
        <v>358.49727750475711</v>
      </c>
      <c r="H9" s="20">
        <v>4</v>
      </c>
      <c r="I9" s="20">
        <f t="shared" si="4"/>
        <v>494.79759999999999</v>
      </c>
      <c r="J9" s="20">
        <f t="shared" si="5"/>
        <v>859.0932868797571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/>
      <c r="R9" s="20">
        <f t="shared" si="7"/>
        <v>5749.8432868797572</v>
      </c>
      <c r="S9" s="20" t="s">
        <v>309</v>
      </c>
      <c r="T9" s="20">
        <f>T8/64</f>
        <v>5.7984093750000003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6.8251260219240372E-3</v>
      </c>
      <c r="G10" s="22">
        <f t="shared" si="3"/>
        <v>287.33780552300198</v>
      </c>
      <c r="H10" s="22">
        <v>3</v>
      </c>
      <c r="I10" s="22">
        <f t="shared" si="4"/>
        <v>371.09820000000002</v>
      </c>
      <c r="J10" s="22">
        <f t="shared" si="5"/>
        <v>664.234414898002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/>
      <c r="R10" s="22">
        <f t="shared" si="7"/>
        <v>5554.9844148980019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1.2307013829467606E-2</v>
      </c>
      <c r="G11" s="20">
        <f t="shared" si="3"/>
        <v>518.1252822205862</v>
      </c>
      <c r="H11" s="20">
        <v>3</v>
      </c>
      <c r="I11" s="20">
        <f t="shared" si="4"/>
        <v>371.09820000000002</v>
      </c>
      <c r="J11" s="20">
        <f t="shared" si="5"/>
        <v>895.02189159558623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/>
      <c r="R11" s="20">
        <f t="shared" si="7"/>
        <v>5785.7718915955866</v>
      </c>
      <c r="S11" s="20"/>
      <c r="T11" s="20"/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7.028061291722525E-6</v>
      </c>
      <c r="G12" s="22">
        <f t="shared" si="3"/>
        <v>0.29588138038151829</v>
      </c>
      <c r="H12" s="22">
        <v>3</v>
      </c>
      <c r="I12" s="22">
        <f t="shared" si="4"/>
        <v>371.09820000000002</v>
      </c>
      <c r="J12" s="22">
        <f t="shared" si="5"/>
        <v>377.19249075538153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/>
      <c r="R12" s="22">
        <f t="shared" si="7"/>
        <v>6017.9424907553812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1.5575940837780045E-3</v>
      </c>
      <c r="G13" s="20">
        <f t="shared" si="3"/>
        <v>65.574710927053985</v>
      </c>
      <c r="H13" s="20">
        <v>3</v>
      </c>
      <c r="I13" s="20">
        <f t="shared" si="4"/>
        <v>371.09820000000002</v>
      </c>
      <c r="J13" s="20">
        <f t="shared" si="5"/>
        <v>442.47132030205398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/>
      <c r="R13" s="20">
        <f t="shared" si="7"/>
        <v>5333.2213203020538</v>
      </c>
      <c r="S13" s="20"/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3.4806473547255804E-3</v>
      </c>
      <c r="G14" s="22">
        <f t="shared" si="3"/>
        <v>146.53525363394692</v>
      </c>
      <c r="H14" s="22">
        <v>4</v>
      </c>
      <c r="I14" s="22">
        <f t="shared" si="4"/>
        <v>494.79759999999999</v>
      </c>
      <c r="J14" s="22">
        <f t="shared" si="5"/>
        <v>647.13126300894692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/>
      <c r="R14" s="22">
        <f t="shared" si="7"/>
        <v>5537.8812630089469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2.0846108298910475E-2</v>
      </c>
      <c r="G15" s="20">
        <f t="shared" si="3"/>
        <v>877.62115938413103</v>
      </c>
      <c r="H15" s="20">
        <v>3</v>
      </c>
      <c r="I15" s="20">
        <f t="shared" si="4"/>
        <v>371.09820000000002</v>
      </c>
      <c r="J15" s="20">
        <f t="shared" si="5"/>
        <v>1254.5177687591311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/>
      <c r="R15" s="20">
        <f t="shared" si="7"/>
        <v>6145.2677687591313</v>
      </c>
      <c r="S15" s="25"/>
      <c r="T15" s="25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1.6261176813722994E-3</v>
      </c>
      <c r="G16" s="22">
        <f t="shared" si="3"/>
        <v>68.459554385773799</v>
      </c>
      <c r="H16" s="22">
        <v>3</v>
      </c>
      <c r="I16" s="22">
        <f t="shared" si="4"/>
        <v>371.09820000000002</v>
      </c>
      <c r="J16" s="22">
        <f t="shared" si="5"/>
        <v>445.35616376077382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/>
      <c r="R16" s="22">
        <f t="shared" si="7"/>
        <v>5336.1061637607736</v>
      </c>
      <c r="S16" s="22"/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1.2630304648886844E-2</v>
      </c>
      <c r="G17" s="20">
        <f t="shared" si="3"/>
        <v>531.73582571813608</v>
      </c>
      <c r="H17" s="20">
        <v>3</v>
      </c>
      <c r="I17" s="20">
        <f t="shared" si="4"/>
        <v>371.09820000000002</v>
      </c>
      <c r="J17" s="20">
        <f t="shared" si="5"/>
        <v>908.63243509313611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/>
      <c r="R17" s="20">
        <f t="shared" si="7"/>
        <v>5799.3824350931363</v>
      </c>
      <c r="S17" s="20"/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3.1353938437697114E-3</v>
      </c>
      <c r="G18" s="22">
        <f t="shared" si="3"/>
        <v>132.00008082270486</v>
      </c>
      <c r="H18" s="22">
        <v>4</v>
      </c>
      <c r="I18" s="22">
        <f t="shared" si="4"/>
        <v>494.79759999999999</v>
      </c>
      <c r="J18" s="22">
        <f t="shared" si="5"/>
        <v>632.59609019770483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/>
      <c r="R18" s="22">
        <f t="shared" si="7"/>
        <v>5523.3460901977051</v>
      </c>
      <c r="S18" s="22"/>
      <c r="T18" s="22"/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9.0776196659211068E-3</v>
      </c>
      <c r="G19" s="20">
        <f t="shared" si="3"/>
        <v>382.16778793527857</v>
      </c>
      <c r="H19" s="20">
        <v>4</v>
      </c>
      <c r="I19" s="20">
        <f t="shared" si="4"/>
        <v>494.79759999999999</v>
      </c>
      <c r="J19" s="20">
        <f t="shared" si="5"/>
        <v>882.76379731027851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/>
      <c r="R19" s="20">
        <f t="shared" si="7"/>
        <v>5773.5137973102783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8.7754130303770387E-3</v>
      </c>
      <c r="G20" s="22">
        <f t="shared" si="3"/>
        <v>369.4448885788733</v>
      </c>
      <c r="H20" s="22">
        <v>4</v>
      </c>
      <c r="I20" s="22">
        <f t="shared" si="4"/>
        <v>494.79759999999999</v>
      </c>
      <c r="J20" s="22">
        <f t="shared" si="5"/>
        <v>870.04089795387335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/>
      <c r="R20" s="22">
        <f t="shared" si="7"/>
        <v>6510.7908979538734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2.6524781822622277E-2</v>
      </c>
      <c r="G21" s="20">
        <f t="shared" si="3"/>
        <v>1116.6933147323978</v>
      </c>
      <c r="H21" s="20">
        <v>3</v>
      </c>
      <c r="I21" s="20">
        <f t="shared" si="4"/>
        <v>371.09820000000002</v>
      </c>
      <c r="J21" s="20">
        <f t="shared" si="5"/>
        <v>1493.5899241073976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/>
      <c r="R21" s="20">
        <f t="shared" si="7"/>
        <v>6384.3399241073976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1.1862488952766157E-2</v>
      </c>
      <c r="G22" s="22">
        <f t="shared" si="3"/>
        <v>499.41078491145521</v>
      </c>
      <c r="H22" s="22">
        <v>3</v>
      </c>
      <c r="I22" s="22">
        <f t="shared" si="4"/>
        <v>371.09820000000002</v>
      </c>
      <c r="J22" s="22">
        <f t="shared" si="5"/>
        <v>876.30739428645529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/>
      <c r="R22" s="22">
        <f t="shared" si="7"/>
        <v>5767.0573942864557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2.9094416732408323E-2</v>
      </c>
      <c r="G23" s="20">
        <f t="shared" si="3"/>
        <v>1224.8749444343905</v>
      </c>
      <c r="H23" s="20">
        <v>4</v>
      </c>
      <c r="I23" s="20">
        <f t="shared" si="4"/>
        <v>494.79759999999999</v>
      </c>
      <c r="J23" s="20">
        <f t="shared" si="5"/>
        <v>1725.4709538093903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/>
      <c r="R23" s="20">
        <f t="shared" si="7"/>
        <v>6616.2209538093903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2.1211567486080045E-2</v>
      </c>
      <c r="G24" s="22">
        <f t="shared" si="3"/>
        <v>893.00699116396993</v>
      </c>
      <c r="H24" s="22">
        <v>4</v>
      </c>
      <c r="I24" s="22">
        <f t="shared" si="4"/>
        <v>494.79759999999999</v>
      </c>
      <c r="J24" s="22">
        <f t="shared" si="5"/>
        <v>1393.6030005389698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/>
      <c r="R24" s="22">
        <f t="shared" si="7"/>
        <v>6284.3530005389694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3.7070387790851922E-2</v>
      </c>
      <c r="G25" s="20">
        <f t="shared" si="3"/>
        <v>1560.663325994866</v>
      </c>
      <c r="H25" s="20">
        <v>4</v>
      </c>
      <c r="I25" s="20">
        <f t="shared" si="4"/>
        <v>494.79759999999999</v>
      </c>
      <c r="J25" s="20">
        <f t="shared" si="5"/>
        <v>2061.2593353698658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/>
      <c r="R25" s="20">
        <f t="shared" si="7"/>
        <v>6952.0093353698658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1.9294663768762727E-2</v>
      </c>
      <c r="G26" s="22">
        <f t="shared" si="3"/>
        <v>812.30534466491076</v>
      </c>
      <c r="H26" s="22">
        <v>3</v>
      </c>
      <c r="I26" s="22">
        <f t="shared" si="4"/>
        <v>371.09820000000002</v>
      </c>
      <c r="J26" s="22">
        <f t="shared" si="5"/>
        <v>1189.2019540399108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/>
      <c r="R26" s="22">
        <f t="shared" si="7"/>
        <v>6079.9519540399106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/>
      <c r="R27" s="20">
        <f t="shared" si="7"/>
        <v>5267.6466093750005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1.2116377666929634E-2</v>
      </c>
      <c r="G28" s="22">
        <f t="shared" si="3"/>
        <v>510.09949977773761</v>
      </c>
      <c r="H28" s="22">
        <v>3</v>
      </c>
      <c r="I28" s="22">
        <f t="shared" si="4"/>
        <v>371.09820000000002</v>
      </c>
      <c r="J28" s="22">
        <f t="shared" si="5"/>
        <v>886.99610915273763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/>
      <c r="R28" s="22">
        <f t="shared" si="7"/>
        <v>5777.7461091527375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/>
      <c r="R29" s="20">
        <f t="shared" si="7"/>
        <v>5267.6466093750005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1.7780116560396523E-2</v>
      </c>
      <c r="G30" s="22">
        <f t="shared" si="3"/>
        <v>748.54290719269363</v>
      </c>
      <c r="H30" s="22">
        <v>5</v>
      </c>
      <c r="I30" s="22">
        <f t="shared" si="4"/>
        <v>618.49699999999996</v>
      </c>
      <c r="J30" s="22">
        <f t="shared" si="5"/>
        <v>1372.8383165676937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/>
      <c r="R30" s="22">
        <f t="shared" si="7"/>
        <v>6263.5883165676933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4.4320711520925175E-3</v>
      </c>
      <c r="G31" s="20">
        <f t="shared" si="3"/>
        <v>186.59019550309498</v>
      </c>
      <c r="H31" s="20">
        <v>3</v>
      </c>
      <c r="I31" s="20">
        <f t="shared" si="4"/>
        <v>371.09820000000002</v>
      </c>
      <c r="J31" s="20">
        <f t="shared" si="5"/>
        <v>563.48680487809497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/>
      <c r="R31" s="20">
        <f t="shared" si="7"/>
        <v>5454.2368048780954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2.8981967751740764E-3</v>
      </c>
      <c r="G32" s="22">
        <f t="shared" si="3"/>
        <v>122.01408423482862</v>
      </c>
      <c r="H32" s="22">
        <v>3</v>
      </c>
      <c r="I32" s="22">
        <f t="shared" si="4"/>
        <v>371.09820000000002</v>
      </c>
      <c r="J32" s="22">
        <f t="shared" si="5"/>
        <v>498.91069360982863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/>
      <c r="R32" s="22">
        <f t="shared" si="7"/>
        <v>5389.6606936098287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1.9597748911968263E-2</v>
      </c>
      <c r="G33" s="20">
        <f t="shared" si="3"/>
        <v>825.06522919386384</v>
      </c>
      <c r="H33" s="20">
        <v>3</v>
      </c>
      <c r="I33" s="20">
        <f t="shared" si="4"/>
        <v>371.09820000000002</v>
      </c>
      <c r="J33" s="20">
        <f t="shared" si="5"/>
        <v>1201.9618385688639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/>
      <c r="R33" s="20">
        <f t="shared" si="7"/>
        <v>6092.7118385688636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1.2842024995299984E-2</v>
      </c>
      <c r="G34" s="22">
        <f t="shared" si="3"/>
        <v>540.6492523021293</v>
      </c>
      <c r="H34" s="22">
        <v>4</v>
      </c>
      <c r="I34" s="22">
        <f t="shared" si="4"/>
        <v>494.79759999999999</v>
      </c>
      <c r="J34" s="22">
        <f t="shared" si="5"/>
        <v>1041.2452616771293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/>
      <c r="R34" s="22">
        <f t="shared" si="7"/>
        <v>5931.9952616771297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1.8171052469748587E-2</v>
      </c>
      <c r="G35" s="20">
        <f t="shared" si="3"/>
        <v>765.00130897641554</v>
      </c>
      <c r="H35" s="20">
        <v>4</v>
      </c>
      <c r="I35" s="20">
        <f t="shared" si="4"/>
        <v>494.79759999999999</v>
      </c>
      <c r="J35" s="20">
        <f t="shared" si="5"/>
        <v>1265.5973183514157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/>
      <c r="R35" s="20">
        <f t="shared" si="7"/>
        <v>6156.3473183514161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1.2782286474320342E-2</v>
      </c>
      <c r="G36" s="22">
        <f t="shared" si="3"/>
        <v>538.13426056888636</v>
      </c>
      <c r="H36" s="22">
        <v>4</v>
      </c>
      <c r="I36" s="22">
        <f t="shared" si="4"/>
        <v>494.79759999999999</v>
      </c>
      <c r="J36" s="22">
        <f t="shared" si="5"/>
        <v>1038.7302699438865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/>
      <c r="R36" s="22">
        <f t="shared" si="7"/>
        <v>5929.480269943886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74454.5</v>
      </c>
      <c r="D37" s="20">
        <f t="shared" si="0"/>
        <v>0</v>
      </c>
      <c r="E37" s="20">
        <f t="shared" si="1"/>
        <v>74454.5</v>
      </c>
      <c r="F37" s="20">
        <f t="shared" si="2"/>
        <v>0.13081769736113869</v>
      </c>
      <c r="G37" s="20">
        <f t="shared" si="3"/>
        <v>5507.4250589039384</v>
      </c>
      <c r="H37" s="20">
        <v>3</v>
      </c>
      <c r="I37" s="20">
        <f t="shared" si="4"/>
        <v>371.09820000000002</v>
      </c>
      <c r="J37" s="20">
        <f t="shared" si="5"/>
        <v>5884.3216682789389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/>
      <c r="R37" s="20">
        <f t="shared" si="7"/>
        <v>10775.071668278939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4.4057159222485581E-3</v>
      </c>
      <c r="G38" s="22">
        <f t="shared" ref="G38:G69" si="11">F38*$T$5</f>
        <v>185.48064032666429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562.37724970166437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/>
      <c r="R38" s="22">
        <f t="shared" ref="R38:R69" si="15">(SUM(J38:P38)*$B$2)</f>
        <v>5453.1272497016644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5.6405462912042056E-2</v>
      </c>
      <c r="G39" s="20">
        <f t="shared" si="11"/>
        <v>2374.6699885969706</v>
      </c>
      <c r="H39" s="20">
        <v>4</v>
      </c>
      <c r="I39" s="20">
        <f t="shared" si="12"/>
        <v>494.79759999999999</v>
      </c>
      <c r="J39" s="20">
        <f t="shared" si="13"/>
        <v>2875.2659979719706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/>
      <c r="R39" s="20">
        <f t="shared" si="15"/>
        <v>7766.0159979719701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3.197504335435309E-2</v>
      </c>
      <c r="G40" s="22">
        <f t="shared" si="11"/>
        <v>1346.1493252182652</v>
      </c>
      <c r="H40" s="22">
        <v>4</v>
      </c>
      <c r="I40" s="22">
        <f t="shared" si="12"/>
        <v>494.79759999999999</v>
      </c>
      <c r="J40" s="22">
        <f t="shared" si="13"/>
        <v>1846.7453345932649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/>
      <c r="R40" s="22">
        <f t="shared" si="15"/>
        <v>6737.4953345932645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8.1587006520283858E-3</v>
      </c>
      <c r="G41" s="20">
        <f t="shared" si="11"/>
        <v>343.48129745039506</v>
      </c>
      <c r="H41" s="20">
        <v>3</v>
      </c>
      <c r="I41" s="20">
        <f t="shared" si="12"/>
        <v>371.09820000000002</v>
      </c>
      <c r="J41" s="20">
        <f t="shared" si="13"/>
        <v>720.37790682539503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/>
      <c r="R41" s="20">
        <f t="shared" si="15"/>
        <v>5611.1279068253953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1.4231824115738113E-3</v>
      </c>
      <c r="G42" s="22">
        <f t="shared" si="11"/>
        <v>59.915979527257456</v>
      </c>
      <c r="H42" s="22">
        <v>3</v>
      </c>
      <c r="I42" s="22">
        <f t="shared" si="12"/>
        <v>371.09820000000002</v>
      </c>
      <c r="J42" s="22">
        <f t="shared" si="13"/>
        <v>436.81258890225746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/>
      <c r="R42" s="22">
        <f t="shared" si="15"/>
        <v>5327.5625889022576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5.2332701393488857E-3</v>
      </c>
      <c r="G43" s="20">
        <f t="shared" si="11"/>
        <v>220.3206728665881</v>
      </c>
      <c r="H43" s="20">
        <v>3</v>
      </c>
      <c r="I43" s="20">
        <f t="shared" si="12"/>
        <v>371.09820000000002</v>
      </c>
      <c r="J43" s="20">
        <f t="shared" si="13"/>
        <v>597.21728224158812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/>
      <c r="R43" s="20">
        <f t="shared" si="15"/>
        <v>5487.9672822415878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7.806419079780795E-3</v>
      </c>
      <c r="G44" s="22">
        <f t="shared" si="11"/>
        <v>328.65024325877147</v>
      </c>
      <c r="H44" s="22">
        <v>3</v>
      </c>
      <c r="I44" s="22">
        <f t="shared" si="12"/>
        <v>371.09820000000002</v>
      </c>
      <c r="J44" s="22">
        <f t="shared" si="13"/>
        <v>705.54685263377155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/>
      <c r="R44" s="22">
        <f t="shared" si="15"/>
        <v>5596.2968526337718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1.9197149418340078E-2</v>
      </c>
      <c r="G45" s="20">
        <f t="shared" si="11"/>
        <v>808.19999051211732</v>
      </c>
      <c r="H45" s="20">
        <v>3</v>
      </c>
      <c r="I45" s="20">
        <f t="shared" si="12"/>
        <v>371.09820000000002</v>
      </c>
      <c r="J45" s="20">
        <f t="shared" si="13"/>
        <v>1185.0965998871175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/>
      <c r="R45" s="20">
        <f t="shared" si="15"/>
        <v>6075.8465998871179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2.0319882209692752E-3</v>
      </c>
      <c r="G46" s="22">
        <f t="shared" si="11"/>
        <v>85.546704102806487</v>
      </c>
      <c r="H46" s="22">
        <v>4</v>
      </c>
      <c r="I46" s="22">
        <f t="shared" si="12"/>
        <v>494.79759999999999</v>
      </c>
      <c r="J46" s="22">
        <f t="shared" si="13"/>
        <v>586.14271347780652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/>
      <c r="R46" s="22">
        <f t="shared" si="15"/>
        <v>5476.8927134778069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2.1848485540642399E-3</v>
      </c>
      <c r="G47" s="20">
        <f t="shared" si="11"/>
        <v>91.982124126104495</v>
      </c>
      <c r="H47" s="20">
        <v>3</v>
      </c>
      <c r="I47" s="20">
        <f t="shared" si="12"/>
        <v>371.09820000000002</v>
      </c>
      <c r="J47" s="20">
        <f t="shared" si="13"/>
        <v>468.87873350110453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/>
      <c r="R47" s="20">
        <f t="shared" si="15"/>
        <v>5359.6287335011048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1.2159424542341434E-2</v>
      </c>
      <c r="G48" s="22">
        <f t="shared" si="11"/>
        <v>511.91177323257438</v>
      </c>
      <c r="H48" s="22">
        <v>3</v>
      </c>
      <c r="I48" s="22">
        <f t="shared" si="12"/>
        <v>371.09820000000002</v>
      </c>
      <c r="J48" s="22">
        <f t="shared" si="13"/>
        <v>888.80838260757434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/>
      <c r="R48" s="22">
        <f t="shared" si="15"/>
        <v>5779.5583826075745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1622.5</v>
      </c>
      <c r="D49" s="20">
        <f t="shared" si="8"/>
        <v>0</v>
      </c>
      <c r="E49" s="20">
        <f t="shared" si="9"/>
        <v>1622.5</v>
      </c>
      <c r="F49" s="20">
        <f t="shared" si="10"/>
        <v>2.8507573614549491E-3</v>
      </c>
      <c r="G49" s="20">
        <f t="shared" si="11"/>
        <v>120.01688491725335</v>
      </c>
      <c r="H49" s="20">
        <v>3</v>
      </c>
      <c r="I49" s="20">
        <f t="shared" si="12"/>
        <v>371.09820000000002</v>
      </c>
      <c r="J49" s="20">
        <f t="shared" si="13"/>
        <v>496.9134942922534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/>
      <c r="R49" s="20">
        <f t="shared" si="15"/>
        <v>5387.6634942922537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4.3925383073265778E-6</v>
      </c>
      <c r="G50" s="22">
        <f t="shared" si="11"/>
        <v>0.18492586273844894</v>
      </c>
      <c r="H50" s="22">
        <v>4</v>
      </c>
      <c r="I50" s="22">
        <f t="shared" si="12"/>
        <v>494.79759999999999</v>
      </c>
      <c r="J50" s="22">
        <f t="shared" si="13"/>
        <v>500.78093523773845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/>
      <c r="R50" s="22">
        <f t="shared" si="15"/>
        <v>5391.530935237738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1.5324687646600966E-2</v>
      </c>
      <c r="G51" s="20">
        <f t="shared" si="11"/>
        <v>645.16934992190068</v>
      </c>
      <c r="H51" s="20">
        <v>4</v>
      </c>
      <c r="I51" s="20">
        <f t="shared" si="12"/>
        <v>494.79759999999999</v>
      </c>
      <c r="J51" s="20">
        <f t="shared" si="13"/>
        <v>1145.7653592969007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/>
      <c r="R51" s="20">
        <f t="shared" si="15"/>
        <v>6036.5153592969009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2.8067441276155368E-2</v>
      </c>
      <c r="G52" s="22">
        <f t="shared" si="11"/>
        <v>1181.639277726141</v>
      </c>
      <c r="H52" s="22">
        <v>4</v>
      </c>
      <c r="I52" s="22">
        <f t="shared" si="12"/>
        <v>494.79759999999999</v>
      </c>
      <c r="J52" s="22">
        <f t="shared" si="13"/>
        <v>1682.2352871011408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/>
      <c r="R52" s="22">
        <f t="shared" si="15"/>
        <v>6572.9852871011408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5.1559614651399376E-3</v>
      </c>
      <c r="G53" s="20">
        <f t="shared" si="11"/>
        <v>217.06597768239138</v>
      </c>
      <c r="H53" s="20">
        <v>3</v>
      </c>
      <c r="I53" s="20">
        <f t="shared" si="12"/>
        <v>371.09820000000002</v>
      </c>
      <c r="J53" s="20">
        <f t="shared" si="13"/>
        <v>593.96258705739137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/>
      <c r="R53" s="20">
        <f t="shared" si="15"/>
        <v>5484.7125870573909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2.5525040103874744E-2</v>
      </c>
      <c r="G54" s="22">
        <f t="shared" si="11"/>
        <v>1074.6041883731268</v>
      </c>
      <c r="H54" s="22">
        <v>3</v>
      </c>
      <c r="I54" s="22">
        <f t="shared" si="12"/>
        <v>371.09820000000002</v>
      </c>
      <c r="J54" s="22">
        <f t="shared" si="13"/>
        <v>1451.5007977481268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/>
      <c r="R54" s="22">
        <f t="shared" si="15"/>
        <v>6342.2507977481273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2.5508348458306906E-2</v>
      </c>
      <c r="G55" s="20">
        <f t="shared" si="11"/>
        <v>1073.9014700947207</v>
      </c>
      <c r="H55" s="20">
        <v>4</v>
      </c>
      <c r="I55" s="20">
        <f t="shared" si="12"/>
        <v>494.79759999999999</v>
      </c>
      <c r="J55" s="20">
        <f t="shared" si="13"/>
        <v>1574.4974794697205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/>
      <c r="R55" s="20">
        <f t="shared" si="15"/>
        <v>6465.2474794697209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1.3803990884604505E-2</v>
      </c>
      <c r="G56" s="22">
        <f t="shared" si="11"/>
        <v>581.14801624184963</v>
      </c>
      <c r="H56" s="22">
        <v>4</v>
      </c>
      <c r="I56" s="22">
        <f t="shared" si="12"/>
        <v>494.79759999999999</v>
      </c>
      <c r="J56" s="22">
        <f t="shared" si="13"/>
        <v>1081.7440256168497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/>
      <c r="R56" s="22">
        <f t="shared" si="15"/>
        <v>5972.4940256168502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1.6691645567840996E-5</v>
      </c>
      <c r="G57" s="20">
        <f t="shared" si="11"/>
        <v>0.7027182784061059</v>
      </c>
      <c r="H57" s="20">
        <v>4</v>
      </c>
      <c r="I57" s="20">
        <f t="shared" si="12"/>
        <v>494.79759999999999</v>
      </c>
      <c r="J57" s="20">
        <f t="shared" si="13"/>
        <v>501.2987276534061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/>
      <c r="R57" s="20">
        <f t="shared" si="15"/>
        <v>5392.0487276534059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8.432795042405565E-3</v>
      </c>
      <c r="G58" s="22">
        <f t="shared" si="11"/>
        <v>355.02067128527426</v>
      </c>
      <c r="H58" s="22">
        <v>3</v>
      </c>
      <c r="I58" s="22">
        <f t="shared" si="12"/>
        <v>371.09820000000002</v>
      </c>
      <c r="J58" s="22">
        <f t="shared" si="13"/>
        <v>731.91728066027429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/>
      <c r="R58" s="22">
        <f t="shared" si="15"/>
        <v>5622.6672806602746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2.6653043941196213E-2</v>
      </c>
      <c r="G59" s="20">
        <f t="shared" si="11"/>
        <v>1122.0931499243607</v>
      </c>
      <c r="H59" s="20">
        <v>3</v>
      </c>
      <c r="I59" s="20">
        <f t="shared" si="12"/>
        <v>371.09820000000002</v>
      </c>
      <c r="J59" s="20">
        <f t="shared" si="13"/>
        <v>1498.9897592993607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/>
      <c r="R59" s="20">
        <f t="shared" si="15"/>
        <v>6389.7397592993602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2.1259006899799173E-2</v>
      </c>
      <c r="G60" s="22">
        <f t="shared" si="11"/>
        <v>895.00419048154515</v>
      </c>
      <c r="H60" s="22">
        <v>3</v>
      </c>
      <c r="I60" s="22">
        <f t="shared" si="12"/>
        <v>371.09820000000002</v>
      </c>
      <c r="J60" s="22">
        <f t="shared" si="13"/>
        <v>1271.9007998565453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/>
      <c r="R60" s="22">
        <f t="shared" si="15"/>
        <v>6162.6507998565448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1.2483593869422134E-2</v>
      </c>
      <c r="G61" s="20">
        <f t="shared" si="11"/>
        <v>525.5593019026719</v>
      </c>
      <c r="H61" s="20">
        <v>3</v>
      </c>
      <c r="I61" s="20">
        <f t="shared" si="12"/>
        <v>371.09820000000002</v>
      </c>
      <c r="J61" s="20">
        <f t="shared" si="13"/>
        <v>902.45591127767193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/>
      <c r="R61" s="20">
        <f t="shared" si="15"/>
        <v>5793.2059112776715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1.5268463156267187E-3</v>
      </c>
      <c r="G62" s="22">
        <f t="shared" si="11"/>
        <v>64.280229887884857</v>
      </c>
      <c r="H62" s="22">
        <v>4</v>
      </c>
      <c r="I62" s="22">
        <f t="shared" si="12"/>
        <v>494.79759999999999</v>
      </c>
      <c r="J62" s="22">
        <f t="shared" si="13"/>
        <v>564.87623926288484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/>
      <c r="R62" s="22">
        <f t="shared" si="15"/>
        <v>5455.6262392628851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5.1019332439598206E-2</v>
      </c>
      <c r="G63" s="20">
        <f t="shared" si="11"/>
        <v>2147.9138957070845</v>
      </c>
      <c r="H63" s="20">
        <v>3</v>
      </c>
      <c r="I63" s="20">
        <f t="shared" si="12"/>
        <v>371.09820000000002</v>
      </c>
      <c r="J63" s="20">
        <f t="shared" si="13"/>
        <v>2524.8105050820845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/>
      <c r="R63" s="20">
        <f t="shared" si="15"/>
        <v>8165.560505082085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1.1636712483769572E-2</v>
      </c>
      <c r="G64" s="22">
        <f t="shared" si="11"/>
        <v>489.90559556669899</v>
      </c>
      <c r="H64" s="22">
        <v>3</v>
      </c>
      <c r="I64" s="22">
        <f t="shared" si="12"/>
        <v>371.09820000000002</v>
      </c>
      <c r="J64" s="22">
        <f t="shared" si="13"/>
        <v>866.80220494169907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/>
      <c r="R64" s="22">
        <f t="shared" si="15"/>
        <v>5757.5522049416995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8.0409806253920347E-3</v>
      </c>
      <c r="G65" s="20">
        <f t="shared" si="11"/>
        <v>338.52528432900465</v>
      </c>
      <c r="H65" s="20">
        <v>3</v>
      </c>
      <c r="I65" s="20">
        <f t="shared" si="12"/>
        <v>371.09820000000002</v>
      </c>
      <c r="J65" s="20">
        <f t="shared" si="13"/>
        <v>715.42189370400467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/>
      <c r="R65" s="20">
        <f t="shared" si="15"/>
        <v>5606.171893704005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3.8405719436279205E-2</v>
      </c>
      <c r="G66" s="22">
        <f t="shared" si="11"/>
        <v>1616.8807882673545</v>
      </c>
      <c r="H66" s="22">
        <v>4</v>
      </c>
      <c r="I66" s="22">
        <f t="shared" si="12"/>
        <v>494.79759999999999</v>
      </c>
      <c r="J66" s="22">
        <f t="shared" si="13"/>
        <v>2117.4767976423545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7008.2267976423545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1.7807350297901949E-2</v>
      </c>
      <c r="G67" s="20">
        <f t="shared" si="11"/>
        <v>749.68944754167205</v>
      </c>
      <c r="H67" s="20">
        <v>4</v>
      </c>
      <c r="I67" s="20">
        <f t="shared" si="12"/>
        <v>494.79759999999999</v>
      </c>
      <c r="J67" s="20">
        <f t="shared" si="13"/>
        <v>1250.285456916672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/>
      <c r="R67" s="20">
        <f t="shared" si="15"/>
        <v>6141.035456916672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1.0828485435221481E-2</v>
      </c>
      <c r="G68" s="22">
        <f t="shared" si="11"/>
        <v>455.87923682282434</v>
      </c>
      <c r="H68" s="22">
        <v>4</v>
      </c>
      <c r="I68" s="22">
        <f t="shared" si="12"/>
        <v>494.79759999999999</v>
      </c>
      <c r="J68" s="22">
        <f t="shared" si="13"/>
        <v>956.47524619782439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/>
      <c r="R68" s="22">
        <f t="shared" si="15"/>
        <v>5847.2252461978242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2.1573512642603754E-2</v>
      </c>
      <c r="G69" s="20">
        <f t="shared" si="11"/>
        <v>908.24488225361802</v>
      </c>
      <c r="H69" s="20">
        <v>3</v>
      </c>
      <c r="I69" s="20">
        <f t="shared" si="12"/>
        <v>371.09820000000002</v>
      </c>
      <c r="J69" s="20">
        <f t="shared" si="13"/>
        <v>1285.141491628618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/>
      <c r="R69" s="20">
        <f t="shared" si="15"/>
        <v>6175.8914916286176</v>
      </c>
      <c r="S69" s="20"/>
      <c r="T69" s="20"/>
    </row>
    <row r="70" spans="1:20" ht="12.75" customHeight="1" x14ac:dyDescent="0.25">
      <c r="A70" s="23" t="s">
        <v>88</v>
      </c>
      <c r="B70" s="23" t="s">
        <v>88</v>
      </c>
      <c r="C70" s="24">
        <f>SUM(C3:C69)</f>
        <v>569147</v>
      </c>
      <c r="D70" s="24">
        <f>SUM(D3:D69)</f>
        <v>0</v>
      </c>
      <c r="E70" s="24">
        <f>SUM(E5:E69)</f>
        <v>569147</v>
      </c>
      <c r="F70" s="24">
        <f>SUM(F6:F69)</f>
        <v>0.99999999999999989</v>
      </c>
      <c r="G70" s="24">
        <f>SUM(G6:G69)</f>
        <v>42100</v>
      </c>
      <c r="H70" s="24">
        <f>SUM(H3:H69)</f>
        <v>223</v>
      </c>
      <c r="I70" s="24">
        <f>SUM(I3:I69)</f>
        <v>27584.966200000028</v>
      </c>
      <c r="J70" s="24">
        <f>SUM(J6:J69)</f>
        <v>69684.966199999966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385692.96619999997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tabSelected="1" workbookViewId="0">
      <pane ySplit="1" topLeftCell="A20" activePane="bottomLeft" state="frozen"/>
      <selection pane="bottomLeft" activeCell="D50" sqref="D50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36" t="s">
        <v>2</v>
      </c>
      <c r="E1" s="18" t="s">
        <v>1</v>
      </c>
      <c r="F1" s="36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>
        <v>6000</v>
      </c>
      <c r="D4" s="37" t="s">
        <v>7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>
        <v>4827</v>
      </c>
      <c r="D6" s="37" t="s">
        <v>10</v>
      </c>
      <c r="E6" s="26">
        <v>205</v>
      </c>
      <c r="F6" s="37" t="s">
        <v>11</v>
      </c>
      <c r="G6" s="26">
        <v>205</v>
      </c>
      <c r="H6" s="37" t="s">
        <v>11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>
        <v>9442.7099999999991</v>
      </c>
      <c r="D7" s="38" t="s">
        <v>13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>
        <v>7174</v>
      </c>
      <c r="D8" s="37" t="s">
        <v>15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>
        <v>453</v>
      </c>
      <c r="D9" s="39" t="s">
        <v>10</v>
      </c>
      <c r="E9" s="25">
        <v>468</v>
      </c>
      <c r="F9" s="38" t="s">
        <v>11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>
        <v>4867</v>
      </c>
      <c r="D10" s="37" t="s">
        <v>7</v>
      </c>
      <c r="E10" s="26">
        <v>5366</v>
      </c>
      <c r="F10" s="37" t="s">
        <v>18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>
        <v>6536.41</v>
      </c>
      <c r="D13" s="38" t="s">
        <v>10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>
        <v>5907</v>
      </c>
      <c r="D16" s="37" t="s">
        <v>25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>
        <v>5887.24</v>
      </c>
      <c r="D17" s="38" t="s">
        <v>27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>
        <v>2100</v>
      </c>
      <c r="D20" s="40" t="s">
        <v>31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>
        <v>11592</v>
      </c>
      <c r="D21" s="39" t="s">
        <v>10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>
        <v>5067</v>
      </c>
      <c r="D25" s="38" t="s">
        <v>37</v>
      </c>
      <c r="E25" s="25">
        <v>3879.31</v>
      </c>
      <c r="F25" s="38" t="s">
        <v>38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>
        <v>4440</v>
      </c>
      <c r="D27" s="38" t="s">
        <v>41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>
        <v>6335</v>
      </c>
      <c r="D29" s="39" t="s">
        <v>44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>
        <v>6116.55</v>
      </c>
      <c r="D31" s="38" t="s">
        <v>47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>
        <v>4556.92</v>
      </c>
      <c r="D34" s="40" t="s">
        <v>51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>
        <v>6948</v>
      </c>
      <c r="D35" s="38" t="s">
        <v>7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>
        <v>6000</v>
      </c>
      <c r="D37" s="38" t="s">
        <v>10</v>
      </c>
      <c r="E37" s="25">
        <v>5000</v>
      </c>
      <c r="F37" s="38" t="s">
        <v>55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>
        <v>4363.79</v>
      </c>
      <c r="D38" s="37" t="s">
        <v>44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>
        <v>5067.7</v>
      </c>
      <c r="D40" s="40" t="s">
        <v>41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>
        <v>8000</v>
      </c>
      <c r="D43" s="25" t="s">
        <v>62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>
        <v>4992</v>
      </c>
      <c r="D44" s="37" t="s">
        <v>64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>
        <v>16123.22</v>
      </c>
      <c r="D45" s="38" t="s">
        <v>10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>
        <v>1511</v>
      </c>
      <c r="D52" s="40" t="s">
        <v>18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>
        <v>10300</v>
      </c>
      <c r="D53" s="38" t="s">
        <v>74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>
        <v>5343</v>
      </c>
      <c r="D54" s="37" t="s">
        <v>55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>
        <v>6494.14</v>
      </c>
      <c r="D55" s="38" t="s">
        <v>47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>
        <v>20028.72</v>
      </c>
      <c r="D56" s="37" t="s">
        <v>15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>
        <v>5287.24</v>
      </c>
      <c r="D57" s="39" t="s">
        <v>27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>
        <v>4766.55</v>
      </c>
      <c r="D58" s="37" t="s">
        <v>15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>
        <v>15000</v>
      </c>
      <c r="D59" s="39" t="s">
        <v>10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>
        <v>5187</v>
      </c>
      <c r="D60" s="40" t="s">
        <v>15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>
        <v>84.49</v>
      </c>
      <c r="D61" s="38" t="s">
        <v>83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>
        <v>5350</v>
      </c>
      <c r="D63" s="38" t="s">
        <v>15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>
        <v>5420</v>
      </c>
      <c r="D64" s="40" t="s">
        <v>11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>
        <v>10000</v>
      </c>
      <c r="D65" s="38" t="s">
        <v>11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87" t="s">
        <v>310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0</v>
      </c>
      <c r="B2" s="18">
        <v>0</v>
      </c>
      <c r="C2" s="18" t="s">
        <v>311</v>
      </c>
      <c r="D2" s="18" t="s">
        <v>295</v>
      </c>
      <c r="E2" s="18" t="s">
        <v>296</v>
      </c>
      <c r="F2" s="42" t="s">
        <v>297</v>
      </c>
      <c r="G2" s="18" t="s">
        <v>246</v>
      </c>
      <c r="H2" s="18" t="s">
        <v>247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312</v>
      </c>
      <c r="N2" s="18" t="s">
        <v>313</v>
      </c>
      <c r="O2" s="18" t="s">
        <v>303</v>
      </c>
      <c r="P2" s="18" t="s">
        <v>304</v>
      </c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261</v>
      </c>
      <c r="T4" s="22">
        <f>'ANNUAL-EXPENSE-DETAILS'!V5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263</v>
      </c>
      <c r="T5" s="20">
        <f>'ANNUAL-EXPENSE-DETAILS'!U5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0</v>
      </c>
      <c r="S11" s="20" t="s">
        <v>261</v>
      </c>
      <c r="T11" s="20">
        <f>'ANNUAL-EXPENSE-DETAILS'!V5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0</v>
      </c>
      <c r="S14" s="22" t="s">
        <v>314</v>
      </c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0</v>
      </c>
      <c r="S15" s="20" t="s">
        <v>268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0</v>
      </c>
      <c r="S17" s="20" t="s">
        <v>315</v>
      </c>
      <c r="T17" s="20">
        <f>T15-T16</f>
        <v>0</v>
      </c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0</v>
      </c>
      <c r="S18" s="22" t="s">
        <v>272</v>
      </c>
      <c r="T18" s="22">
        <f>T14-T17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44">
        <f t="shared" ref="F70" si="16">IF($C$70=0, 0, E70/$C$70)</f>
        <v>0</v>
      </c>
      <c r="G70" s="22">
        <f t="shared" ref="G70:P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40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87" t="s">
        <v>316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42" t="s">
        <v>297</v>
      </c>
      <c r="G2" s="18" t="s">
        <v>246</v>
      </c>
      <c r="H2" s="18" t="s">
        <v>247</v>
      </c>
      <c r="I2" s="18" t="s">
        <v>298</v>
      </c>
      <c r="J2" s="18" t="s">
        <v>299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'ANNUAL-EXPENSE-DETAILS'!V6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'ANNUAL-EXPENSE-DETAILS'!U6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'ANNUAL-EXPENSE-DETAILS'!V6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317</v>
      </c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268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269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315</v>
      </c>
      <c r="T17" s="20">
        <f>T15-T16</f>
        <v>0</v>
      </c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272</v>
      </c>
      <c r="T18" s="22">
        <f>T14-T17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0" ht="16.5" customHeight="1" x14ac:dyDescent="0.25">
      <c r="A1" s="47"/>
      <c r="B1" s="88" t="s">
        <v>318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'ANNUAL-EXPENSE-DETAILS'!V7</f>
        <v>0</v>
      </c>
    </row>
    <row r="5" spans="1:20" ht="12.75" customHeight="1" x14ac:dyDescent="0.25">
      <c r="A5" s="19" t="s">
        <v>262</v>
      </c>
      <c r="B5" s="19" t="s">
        <v>259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'ANNUAL-EXPENSE-DETAILS'!U7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'ANNUAL-EXPENSE-DETAILS'!V7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320</v>
      </c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268</v>
      </c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269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270</v>
      </c>
      <c r="T16" s="22">
        <f>T14-T15</f>
        <v>0</v>
      </c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272</v>
      </c>
      <c r="T17" s="20">
        <f>T13-T16</f>
        <v>0</v>
      </c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321</v>
      </c>
      <c r="T20" s="22">
        <f>I70</f>
        <v>26271.999957000018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1" t="s">
        <v>322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323</v>
      </c>
      <c r="J2" s="18" t="s">
        <v>319</v>
      </c>
      <c r="K2" s="18" t="s">
        <v>300</v>
      </c>
      <c r="L2" s="18" t="s">
        <v>301</v>
      </c>
      <c r="M2" s="18" t="s">
        <v>302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'ANNUAL-EXPENSE-DETAILS'!V8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'ANNUAL-EXPENSE-DETAILS'!U8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324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'ANNUAL-EXPENSE-DETAILS'!V8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325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273</v>
      </c>
      <c r="T20" s="22">
        <f>'ANNUAL-EXPENSE-DETAILS'!X8</f>
        <v>0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 t="s">
        <v>326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0" ht="16.5" customHeight="1" x14ac:dyDescent="0.25">
      <c r="A1" s="48"/>
      <c r="B1" s="91" t="s">
        <v>327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328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'ANNUAL-EXPENSE-DETAILS'!V9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'ANNUAL-EXPENSE-DETAILS'!U9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'ANNUAL-EXPENSE-DETAILS'!V9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329</v>
      </c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268</v>
      </c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269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270</v>
      </c>
      <c r="T16" s="22">
        <f>T14-T15</f>
        <v>0</v>
      </c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272</v>
      </c>
      <c r="T17" s="20">
        <f>T13-T16</f>
        <v>0</v>
      </c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273</v>
      </c>
      <c r="T18" s="22">
        <f>'ANNUAL-EXPENSE-DETAILS'!X9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1" t="s">
        <v>330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 t="s">
        <v>331</v>
      </c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'ANNUAL-EXPENSE-DETAILS'!V10</f>
        <v>0</v>
      </c>
    </row>
    <row r="5" spans="1:20" ht="12.75" customHeight="1" x14ac:dyDescent="0.25">
      <c r="A5" s="19" t="s">
        <v>262</v>
      </c>
      <c r="B5" s="19" t="s">
        <v>259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'ANNUAL-EXPENSE-DETAILS'!U10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'ANNUAL-EXPENSE-DETAILS'!V10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332</v>
      </c>
      <c r="T14" s="22">
        <f>CEILING( I70,1)</f>
        <v>26272</v>
      </c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333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268</v>
      </c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269</v>
      </c>
      <c r="T18" s="22"/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270</v>
      </c>
      <c r="T19" s="20">
        <f>T17-T18</f>
        <v>0</v>
      </c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272</v>
      </c>
      <c r="T20" s="22">
        <f>T16-T19</f>
        <v>0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273</v>
      </c>
      <c r="T21" s="20">
        <f>'ANNUAL-EXPENSE-DETAILS'!X10</f>
        <v>0</v>
      </c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1" t="s">
        <v>334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'ANNUAL-EXPENSE-DETAILS'!V11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'ANNUAL-EXPENSE-DETAILS'!U11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'ANNUAL-EXPENSE-DETAILS'!V11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335</v>
      </c>
      <c r="T13" s="20">
        <f>I70</f>
        <v>26271.999957000018</v>
      </c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336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273</v>
      </c>
      <c r="T20" s="22">
        <f>'ANNUAL-EXPENSE-DETAILS'!X11</f>
        <v>0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0" ht="16.5" customHeight="1" x14ac:dyDescent="0.25">
      <c r="A1" s="48"/>
      <c r="B1" s="91" t="s">
        <v>337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'ANNUAL-EXPENSE-DETAILS'!V12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'ANNUAL-EXPENSE-DETAILS'!U12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117.81165900000001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353.434977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5.5224215156250001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'ANNUAL-EXPENSE-DETAILS'!V12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335</v>
      </c>
      <c r="T13" s="20">
        <f>I70</f>
        <v>26271.999957000018</v>
      </c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338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273</v>
      </c>
      <c r="T20" s="22">
        <f>'ANNUAL-EXPENSE-DETAILS'!X12</f>
        <v>0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94" t="s">
        <v>339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/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'ANNUAL-EXPENSE-DETAILS'!V13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'ANNUAL-EXPENSE-DETAILS'!U13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5.5223437500000001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'ANNUAL-EXPENSE-DETAILS'!V13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335</v>
      </c>
      <c r="T13" s="20">
        <f>T8+I70</f>
        <v>26625.060000000023</v>
      </c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340</v>
      </c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268</v>
      </c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269</v>
      </c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270</v>
      </c>
      <c r="T18" s="22">
        <f>T16-T17</f>
        <v>0</v>
      </c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272</v>
      </c>
      <c r="T19" s="20">
        <f>T15-T18</f>
        <v>0</v>
      </c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273</v>
      </c>
      <c r="T20" s="22">
        <f>'ANNUAL-EXPENSE-DETAILS'!X13</f>
        <v>0</v>
      </c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274</v>
      </c>
      <c r="T21" s="20">
        <f>T19-T20</f>
        <v>0</v>
      </c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96" t="s">
        <v>341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0" ht="58.5" customHeight="1" x14ac:dyDescent="0.25">
      <c r="A2" s="18" t="s">
        <v>0</v>
      </c>
      <c r="B2" s="18">
        <v>0</v>
      </c>
      <c r="C2" s="18" t="s">
        <v>242</v>
      </c>
      <c r="D2" s="18" t="s">
        <v>295</v>
      </c>
      <c r="E2" s="18" t="s">
        <v>296</v>
      </c>
      <c r="F2" s="18" t="s">
        <v>297</v>
      </c>
      <c r="G2" s="18" t="s">
        <v>246</v>
      </c>
      <c r="H2" s="18" t="s">
        <v>247</v>
      </c>
      <c r="I2" s="18" t="s">
        <v>298</v>
      </c>
      <c r="J2" s="18" t="s">
        <v>319</v>
      </c>
      <c r="K2" s="18" t="s">
        <v>300</v>
      </c>
      <c r="L2" s="18" t="s">
        <v>301</v>
      </c>
      <c r="M2" s="18" t="s">
        <v>312</v>
      </c>
      <c r="N2" s="18" t="s">
        <v>303</v>
      </c>
      <c r="O2" s="18" t="s">
        <v>304</v>
      </c>
      <c r="P2" s="18" t="s">
        <v>331</v>
      </c>
      <c r="Q2" s="18"/>
      <c r="R2" s="18" t="s">
        <v>306</v>
      </c>
      <c r="S2" s="18"/>
      <c r="T2" s="18"/>
    </row>
    <row r="3" spans="1:20" ht="12.75" customHeight="1" x14ac:dyDescent="0.25">
      <c r="A3" s="19" t="s">
        <v>258</v>
      </c>
      <c r="B3" s="19" t="s">
        <v>259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260</v>
      </c>
      <c r="B4" s="21" t="s">
        <v>259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261</v>
      </c>
      <c r="T4" s="22">
        <f>'ANNUAL-EXPENSE-DETAILS'!V14</f>
        <v>0</v>
      </c>
    </row>
    <row r="5" spans="1:20" ht="12.75" customHeight="1" x14ac:dyDescent="0.25">
      <c r="A5" s="19" t="s">
        <v>262</v>
      </c>
      <c r="B5" s="19" t="s">
        <v>259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263</v>
      </c>
      <c r="T5" s="20">
        <f>'ANNUAL-EXPENSE-DETAILS'!U14</f>
        <v>0</v>
      </c>
    </row>
    <row r="6" spans="1:20" ht="12.75" customHeight="1" x14ac:dyDescent="0.25">
      <c r="A6" s="21" t="s">
        <v>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307</v>
      </c>
      <c r="T7" s="20">
        <v>117.81</v>
      </c>
    </row>
    <row r="8" spans="1:20" ht="12.75" customHeight="1" x14ac:dyDescent="0.25">
      <c r="A8" s="21" t="s">
        <v>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308</v>
      </c>
      <c r="T8" s="22">
        <f>$T$7*3</f>
        <v>353.43</v>
      </c>
    </row>
    <row r="9" spans="1:20" ht="12.75" customHeight="1" x14ac:dyDescent="0.25">
      <c r="A9" s="19" t="s">
        <v>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309</v>
      </c>
      <c r="T9" s="20">
        <f>T8/64</f>
        <v>5.5223437500000001</v>
      </c>
    </row>
    <row r="10" spans="1:20" ht="12.75" customHeight="1" x14ac:dyDescent="0.25">
      <c r="A10" s="21" t="s">
        <v>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12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261</v>
      </c>
      <c r="T11" s="20">
        <f>'ANNUAL-EXPENSE-DETAILS'!V14</f>
        <v>0</v>
      </c>
    </row>
    <row r="12" spans="1:20" ht="12.75" customHeight="1" x14ac:dyDescent="0.25">
      <c r="A12" s="21" t="s">
        <v>14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16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335</v>
      </c>
      <c r="T13" s="20">
        <f>T8+I70</f>
        <v>26625.060000000023</v>
      </c>
    </row>
    <row r="14" spans="1:20" ht="12.75" customHeight="1" x14ac:dyDescent="0.25">
      <c r="A14" s="21" t="s">
        <v>17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19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20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21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22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23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24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26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28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29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30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32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33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34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35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36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39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40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42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43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45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46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48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49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50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52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53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54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56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57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58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59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60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61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63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65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66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67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68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69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71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72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73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76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77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78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79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80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81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82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84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85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86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87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88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0</v>
      </c>
      <c r="B1" s="18"/>
      <c r="C1" s="18" t="s">
        <v>1</v>
      </c>
      <c r="D1" s="45" t="s">
        <v>2</v>
      </c>
      <c r="E1" s="18" t="s">
        <v>1</v>
      </c>
      <c r="F1" s="45" t="s">
        <v>2</v>
      </c>
      <c r="G1" s="18" t="s">
        <v>1</v>
      </c>
      <c r="H1" s="36" t="s">
        <v>2</v>
      </c>
      <c r="I1" s="18" t="s">
        <v>1</v>
      </c>
      <c r="J1" s="14" t="s">
        <v>2</v>
      </c>
      <c r="K1" s="14" t="s">
        <v>3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8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12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14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16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17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19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20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21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22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23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24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26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28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29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30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32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33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34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35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36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39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40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42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43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45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46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48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49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50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52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53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54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56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57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58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59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60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61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63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65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66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67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68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69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71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72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73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76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77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78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79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80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81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82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84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85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86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87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88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workbookViewId="0">
      <pane xSplit="1" ySplit="2" topLeftCell="B15" activePane="bottomRight" state="frozen"/>
      <selection pane="topRight"/>
      <selection pane="bottomLeft" activeCell="A3" sqref="A3"/>
      <selection pane="bottomRight" activeCell="L8" sqref="L8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3" width="11.42578125" style="83" customWidth="1"/>
    <col min="24" max="24" width="11.42578125" style="67" customWidth="1"/>
    <col min="25" max="28" width="14.42578125" style="67" customWidth="1"/>
    <col min="29" max="16384" width="14.42578125" style="67"/>
  </cols>
  <sheetData>
    <row r="1" spans="1:24" ht="32.25" customHeight="1" x14ac:dyDescent="0.25">
      <c r="A1" s="98" t="s">
        <v>342</v>
      </c>
      <c r="B1" s="102" t="s">
        <v>343</v>
      </c>
      <c r="C1" s="103"/>
      <c r="D1" s="102" t="s">
        <v>344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3"/>
      <c r="T1" s="101" t="s">
        <v>345</v>
      </c>
      <c r="U1" s="101" t="s">
        <v>346</v>
      </c>
      <c r="V1" s="101" t="s">
        <v>347</v>
      </c>
      <c r="W1" s="100" t="s">
        <v>348</v>
      </c>
      <c r="X1" s="101" t="s">
        <v>349</v>
      </c>
    </row>
    <row r="2" spans="1:24" ht="38.25" customHeight="1" thickBot="1" x14ac:dyDescent="0.3">
      <c r="A2" s="99"/>
      <c r="B2" s="57" t="s">
        <v>350</v>
      </c>
      <c r="C2" s="57" t="s">
        <v>351</v>
      </c>
      <c r="D2" s="57" t="s">
        <v>352</v>
      </c>
      <c r="E2" s="57" t="s">
        <v>353</v>
      </c>
      <c r="F2" s="57" t="s">
        <v>354</v>
      </c>
      <c r="G2" s="57" t="s">
        <v>355</v>
      </c>
      <c r="H2" s="57" t="s">
        <v>356</v>
      </c>
      <c r="I2" s="57" t="s">
        <v>357</v>
      </c>
      <c r="J2" s="57" t="s">
        <v>358</v>
      </c>
      <c r="K2" s="57" t="s">
        <v>359</v>
      </c>
      <c r="L2" s="57" t="s">
        <v>360</v>
      </c>
      <c r="M2" s="57" t="s">
        <v>361</v>
      </c>
      <c r="N2" s="57" t="s">
        <v>362</v>
      </c>
      <c r="O2" s="57" t="s">
        <v>363</v>
      </c>
      <c r="P2" s="57" t="s">
        <v>364</v>
      </c>
      <c r="Q2" s="57" t="s">
        <v>365</v>
      </c>
      <c r="R2" s="57" t="s">
        <v>366</v>
      </c>
      <c r="S2" s="57" t="s">
        <v>367</v>
      </c>
      <c r="T2" s="99"/>
      <c r="U2" s="99"/>
      <c r="V2" s="99"/>
      <c r="W2" s="99"/>
      <c r="X2" s="99"/>
    </row>
    <row r="3" spans="1:24" ht="30" customHeight="1" x14ac:dyDescent="0.25">
      <c r="A3" s="60" t="s">
        <v>368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61">
        <f t="shared" ref="X3:X14" si="3">T3+W3</f>
        <v>344833.89760000003</v>
      </c>
    </row>
    <row r="4" spans="1:24" ht="30" customHeight="1" x14ac:dyDescent="0.25">
      <c r="A4" s="62" t="s">
        <v>369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63">
        <f t="shared" si="3"/>
        <v>350692.96620000002</v>
      </c>
    </row>
    <row r="5" spans="1:24" ht="30" customHeight="1" x14ac:dyDescent="0.25">
      <c r="A5" s="60" t="s">
        <v>370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1">
        <f t="shared" si="1"/>
        <v>0</v>
      </c>
      <c r="V5" s="61">
        <f t="shared" si="2"/>
        <v>0</v>
      </c>
      <c r="W5" s="79"/>
      <c r="X5" s="61">
        <f t="shared" si="3"/>
        <v>0</v>
      </c>
    </row>
    <row r="6" spans="1:24" ht="30" customHeight="1" x14ac:dyDescent="0.25">
      <c r="A6" s="62" t="s">
        <v>371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79"/>
      <c r="X6" s="63">
        <f t="shared" si="3"/>
        <v>0</v>
      </c>
    </row>
    <row r="7" spans="1:24" ht="30" customHeight="1" x14ac:dyDescent="0.25">
      <c r="A7" s="60" t="s">
        <v>372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61">
        <f t="shared" si="3"/>
        <v>0</v>
      </c>
    </row>
    <row r="8" spans="1:24" ht="30" customHeight="1" x14ac:dyDescent="0.25">
      <c r="A8" s="62" t="s">
        <v>373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63">
        <f t="shared" si="3"/>
        <v>0</v>
      </c>
    </row>
    <row r="9" spans="1:24" ht="30" customHeight="1" x14ac:dyDescent="0.25">
      <c r="A9" s="60" t="s">
        <v>374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61">
        <f t="shared" si="3"/>
        <v>0</v>
      </c>
    </row>
    <row r="10" spans="1:24" ht="30" customHeight="1" x14ac:dyDescent="0.25">
      <c r="A10" s="62" t="s">
        <v>375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63">
        <f t="shared" si="3"/>
        <v>0</v>
      </c>
    </row>
    <row r="11" spans="1:24" ht="30" customHeight="1" x14ac:dyDescent="0.25">
      <c r="A11" s="60" t="s">
        <v>376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61">
        <f t="shared" si="3"/>
        <v>0</v>
      </c>
    </row>
    <row r="12" spans="1:24" ht="30" customHeight="1" x14ac:dyDescent="0.25">
      <c r="A12" s="62" t="s">
        <v>377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63">
        <f t="shared" si="3"/>
        <v>0</v>
      </c>
    </row>
    <row r="13" spans="1:24" ht="30" customHeight="1" x14ac:dyDescent="0.25">
      <c r="A13" s="60" t="s">
        <v>378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61">
        <f t="shared" si="3"/>
        <v>0</v>
      </c>
    </row>
    <row r="14" spans="1:24" ht="30" customHeight="1" x14ac:dyDescent="0.25">
      <c r="A14" s="62" t="s">
        <v>379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63">
        <f t="shared" si="3"/>
        <v>0</v>
      </c>
    </row>
    <row r="15" spans="1:24" ht="30" customHeight="1" thickBot="1" x14ac:dyDescent="0.3">
      <c r="A15" s="65" t="s">
        <v>88</v>
      </c>
      <c r="B15" s="66">
        <f t="shared" ref="B15:Q15" si="4">SUM(B3:B14)</f>
        <v>48600</v>
      </c>
      <c r="C15" s="66">
        <f t="shared" si="4"/>
        <v>42300</v>
      </c>
      <c r="D15" s="66">
        <f t="shared" si="4"/>
        <v>63200</v>
      </c>
      <c r="E15" s="66">
        <f t="shared" si="4"/>
        <v>56383</v>
      </c>
      <c r="F15" s="66">
        <f t="shared" si="4"/>
        <v>302080</v>
      </c>
      <c r="G15" s="66">
        <f t="shared" si="4"/>
        <v>13200</v>
      </c>
      <c r="H15" s="66">
        <f t="shared" si="4"/>
        <v>20000</v>
      </c>
      <c r="I15" s="66">
        <f t="shared" si="4"/>
        <v>0</v>
      </c>
      <c r="J15" s="66">
        <f t="shared" si="4"/>
        <v>11800</v>
      </c>
      <c r="K15" s="66">
        <f t="shared" si="4"/>
        <v>13995</v>
      </c>
      <c r="L15" s="66">
        <f t="shared" si="4"/>
        <v>0</v>
      </c>
      <c r="M15" s="66">
        <f t="shared" si="4"/>
        <v>6000</v>
      </c>
      <c r="N15" s="66">
        <f t="shared" si="4"/>
        <v>14000</v>
      </c>
      <c r="O15" s="66">
        <f t="shared" si="4"/>
        <v>14000</v>
      </c>
      <c r="P15" s="66">
        <f t="shared" si="4"/>
        <v>20000</v>
      </c>
      <c r="Q15" s="66">
        <f t="shared" si="4"/>
        <v>11600</v>
      </c>
      <c r="R15" s="66"/>
      <c r="S15" s="66">
        <f>SUM(S3:S14)</f>
        <v>4512</v>
      </c>
      <c r="T15" s="66">
        <f t="shared" si="0"/>
        <v>641670</v>
      </c>
      <c r="U15" s="66">
        <f>SUM(U3:U14)</f>
        <v>90900</v>
      </c>
      <c r="V15" s="66">
        <f>SUM(V3:V14)</f>
        <v>550770</v>
      </c>
      <c r="W15" s="81">
        <f>SUM(W3:W14)</f>
        <v>53856.863800000043</v>
      </c>
      <c r="X15" s="66">
        <f>SUM(X3:X14)</f>
        <v>695526.86380000005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59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59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59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59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59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59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59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59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59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59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59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59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59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59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59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59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59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59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59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59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59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59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59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59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59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59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59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59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59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59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59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59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59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59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59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59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59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59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59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59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59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59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59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59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59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59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59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59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59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59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59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59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59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59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59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59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59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59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59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59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59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59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59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59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59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59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59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59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59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59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59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59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59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59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59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59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59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59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59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59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59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59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59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59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59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59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59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59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59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59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59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59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59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59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59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59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59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59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59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59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59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59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59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59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59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59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59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59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59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59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59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59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59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59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59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59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59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59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59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59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59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59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59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59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59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59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59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59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59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59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59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59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59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59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59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59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59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59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59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59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59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59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59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59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59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59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59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59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59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59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59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59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59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59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59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59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59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59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59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59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59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59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59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59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59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59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59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59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59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59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59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59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59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59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59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59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59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59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59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59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59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59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59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59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59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59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59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59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59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59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59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59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59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59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59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59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59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59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59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59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59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59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59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59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59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59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59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59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59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59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59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59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59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59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59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59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59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59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59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59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59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59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59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59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59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59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59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59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59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59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59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59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59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59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59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59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59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59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59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59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59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59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59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59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59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59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59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59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59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59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59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59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59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59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59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59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59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59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59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59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59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59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59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59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59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59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59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59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59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59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59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59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59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59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59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59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59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59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59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59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59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59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59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59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59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59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59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59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59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59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59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59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59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59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59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59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59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59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59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59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59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59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59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59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59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59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59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59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59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59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59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59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59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59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59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59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59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59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59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59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59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59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59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59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59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59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59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59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59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59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59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59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59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59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59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59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59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59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59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59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59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59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59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59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59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59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59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59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59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59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59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59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59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59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59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59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59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59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59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59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59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59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59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59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59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59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59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59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59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59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59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59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59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59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59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59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59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59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59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59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59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59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59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59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59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59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59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59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59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59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59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59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59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59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59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59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59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59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59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59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59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59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59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59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59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59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59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59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59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59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59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59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59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59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59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59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59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59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59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59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59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59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59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59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59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59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59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59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59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59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59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59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59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59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59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59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59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59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59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59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59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59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59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59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59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59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59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59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59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59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59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59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59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59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59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59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59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59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59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59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59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59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59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59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59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59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59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59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59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59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59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59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59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59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59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59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59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59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59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59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59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59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59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59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59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59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59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59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59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59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59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59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59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59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59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59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59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59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59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59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59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59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59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59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59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59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59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59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59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59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59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59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59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59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59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59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59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59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59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59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59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59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59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59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59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59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59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59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59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59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59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59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59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59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59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59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59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59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59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59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59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59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59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59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59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59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59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59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59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59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59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59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59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59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59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59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59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59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59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59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59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59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59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59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59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59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59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59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59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59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59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59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59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59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59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59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59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59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59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59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59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59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59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59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59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59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59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59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59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59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59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59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59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59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59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59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59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59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59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59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59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59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59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59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59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59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59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59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59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59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59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59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59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59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59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59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59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59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59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59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59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59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59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59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59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59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59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59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59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59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59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59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59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59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59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59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59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59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59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59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59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59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59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59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59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59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59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59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59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59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59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59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59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59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59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59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59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59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59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59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59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59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59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59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59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59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59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59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59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59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59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59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59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59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59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59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59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59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59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59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59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59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59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59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59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59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59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59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59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59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59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59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59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59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59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59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59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59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59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59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59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59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59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59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59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59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59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59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59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59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59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59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59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59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59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59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59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59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59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59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59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59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59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59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59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59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59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59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59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59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59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59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59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59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59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59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59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59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59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59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59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59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59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59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59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59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59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59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59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59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59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59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59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59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59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59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59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59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59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59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59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59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59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59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59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59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59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59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59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59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59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59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59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59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59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59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59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59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59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59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59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59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59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59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59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59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59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59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59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59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59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59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59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59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59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59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59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59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59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59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59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59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59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59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59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59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59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59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59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59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59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59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59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59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59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59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59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59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59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59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59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59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59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59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59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59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59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59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59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59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59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59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59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59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59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59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59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59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59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59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59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59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59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59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59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59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59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59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59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59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59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59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59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59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59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59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59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59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59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59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59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59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59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59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59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59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59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59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59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59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59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59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59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59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59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59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59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59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59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59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59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59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59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59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59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59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59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59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59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59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59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59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59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59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59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59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59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59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59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59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59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59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59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59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59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59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59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59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59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59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59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59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59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59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59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59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59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59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59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59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59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59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59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59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59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59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59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59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59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59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59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59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59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59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59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59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59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59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59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59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59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59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59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59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59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59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59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59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59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59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59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59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59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59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59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59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59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59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59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59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59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59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59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59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59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59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59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59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59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59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59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59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59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59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59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59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59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59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59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59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59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59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59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59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59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59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D3" activePane="bottomRight" state="frozen"/>
      <selection pane="topRight" activeCell="B3" sqref="B3"/>
      <selection pane="bottomLeft" activeCell="B3" sqref="B3"/>
      <selection pane="bottomRight" activeCell="F7" sqref="F7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61" width="14.42578125" style="74" customWidth="1"/>
    <col min="62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380</v>
      </c>
      <c r="E1" s="107">
        <v>46113</v>
      </c>
      <c r="F1" s="85"/>
      <c r="G1" s="85"/>
      <c r="H1" s="86"/>
      <c r="I1" s="106">
        <v>46143</v>
      </c>
      <c r="J1" s="85"/>
      <c r="K1" s="85"/>
      <c r="L1" s="86"/>
      <c r="M1" s="105">
        <v>46174</v>
      </c>
      <c r="N1" s="85"/>
      <c r="O1" s="85"/>
      <c r="P1" s="86"/>
      <c r="Q1" s="105">
        <v>46204</v>
      </c>
      <c r="R1" s="85"/>
      <c r="S1" s="85"/>
      <c r="T1" s="86"/>
      <c r="U1" s="105">
        <v>46235</v>
      </c>
      <c r="V1" s="85"/>
      <c r="W1" s="85"/>
      <c r="X1" s="86"/>
      <c r="Y1" s="105">
        <v>46266</v>
      </c>
      <c r="Z1" s="85"/>
      <c r="AA1" s="85"/>
      <c r="AB1" s="86"/>
      <c r="AC1" s="105">
        <v>46296</v>
      </c>
      <c r="AD1" s="85"/>
      <c r="AE1" s="85"/>
      <c r="AF1" s="86"/>
      <c r="AG1" s="105">
        <v>46327</v>
      </c>
      <c r="AH1" s="85"/>
      <c r="AI1" s="85"/>
      <c r="AJ1" s="86"/>
      <c r="AK1" s="105">
        <v>46357</v>
      </c>
      <c r="AL1" s="85"/>
      <c r="AM1" s="85"/>
      <c r="AN1" s="86"/>
      <c r="AO1" s="105">
        <v>46388</v>
      </c>
      <c r="AP1" s="85"/>
      <c r="AQ1" s="85"/>
      <c r="AR1" s="86"/>
      <c r="AS1" s="105">
        <v>46419</v>
      </c>
      <c r="AT1" s="85"/>
      <c r="AU1" s="85"/>
      <c r="AV1" s="86"/>
      <c r="AW1" s="105">
        <v>46447</v>
      </c>
      <c r="AX1" s="85"/>
      <c r="AY1" s="85"/>
      <c r="AZ1" s="86"/>
      <c r="BA1" s="55" t="s">
        <v>381</v>
      </c>
      <c r="BB1" s="55" t="s">
        <v>382</v>
      </c>
      <c r="BC1" s="55" t="s">
        <v>383</v>
      </c>
      <c r="BD1" s="55" t="s">
        <v>384</v>
      </c>
      <c r="BE1" s="56" t="s">
        <v>385</v>
      </c>
    </row>
    <row r="2" spans="1:57" ht="15.75" customHeight="1" thickBot="1" x14ac:dyDescent="0.3">
      <c r="A2" s="14" t="s">
        <v>386</v>
      </c>
      <c r="B2" s="14" t="s">
        <v>387</v>
      </c>
      <c r="C2" s="14" t="s">
        <v>388</v>
      </c>
      <c r="D2" s="18"/>
      <c r="E2" s="18" t="s">
        <v>389</v>
      </c>
      <c r="F2" s="18" t="s">
        <v>390</v>
      </c>
      <c r="G2" s="18" t="s">
        <v>391</v>
      </c>
      <c r="H2" s="18" t="s">
        <v>392</v>
      </c>
      <c r="I2" s="18" t="s">
        <v>389</v>
      </c>
      <c r="J2" s="18" t="s">
        <v>390</v>
      </c>
      <c r="K2" s="18" t="s">
        <v>391</v>
      </c>
      <c r="L2" s="18" t="s">
        <v>392</v>
      </c>
      <c r="M2" s="18" t="s">
        <v>389</v>
      </c>
      <c r="N2" s="18" t="s">
        <v>390</v>
      </c>
      <c r="O2" s="18" t="s">
        <v>391</v>
      </c>
      <c r="P2" s="18" t="s">
        <v>392</v>
      </c>
      <c r="Q2" s="18" t="s">
        <v>389</v>
      </c>
      <c r="R2" s="18" t="s">
        <v>390</v>
      </c>
      <c r="S2" s="18" t="s">
        <v>391</v>
      </c>
      <c r="T2" s="18" t="s">
        <v>392</v>
      </c>
      <c r="U2" s="18" t="s">
        <v>389</v>
      </c>
      <c r="V2" s="18" t="s">
        <v>390</v>
      </c>
      <c r="W2" s="18" t="s">
        <v>391</v>
      </c>
      <c r="X2" s="18" t="s">
        <v>392</v>
      </c>
      <c r="Y2" s="18" t="s">
        <v>389</v>
      </c>
      <c r="Z2" s="18" t="s">
        <v>390</v>
      </c>
      <c r="AA2" s="18" t="s">
        <v>391</v>
      </c>
      <c r="AB2" s="18" t="s">
        <v>392</v>
      </c>
      <c r="AC2" s="18" t="s">
        <v>389</v>
      </c>
      <c r="AD2" s="18" t="s">
        <v>390</v>
      </c>
      <c r="AE2" s="18" t="s">
        <v>391</v>
      </c>
      <c r="AF2" s="18" t="s">
        <v>392</v>
      </c>
      <c r="AG2" s="18" t="s">
        <v>389</v>
      </c>
      <c r="AH2" s="18" t="s">
        <v>390</v>
      </c>
      <c r="AI2" s="18" t="s">
        <v>391</v>
      </c>
      <c r="AJ2" s="18" t="s">
        <v>392</v>
      </c>
      <c r="AK2" s="18" t="s">
        <v>389</v>
      </c>
      <c r="AL2" s="18" t="s">
        <v>390</v>
      </c>
      <c r="AM2" s="18" t="s">
        <v>391</v>
      </c>
      <c r="AN2" s="18" t="s">
        <v>392</v>
      </c>
      <c r="AO2" s="18" t="s">
        <v>389</v>
      </c>
      <c r="AP2" s="18" t="s">
        <v>390</v>
      </c>
      <c r="AQ2" s="18" t="s">
        <v>391</v>
      </c>
      <c r="AR2" s="18" t="s">
        <v>392</v>
      </c>
      <c r="AS2" s="18" t="s">
        <v>389</v>
      </c>
      <c r="AT2" s="18" t="s">
        <v>390</v>
      </c>
      <c r="AU2" s="18" t="s">
        <v>391</v>
      </c>
      <c r="AV2" s="18" t="s">
        <v>392</v>
      </c>
      <c r="AW2" s="18" t="s">
        <v>389</v>
      </c>
      <c r="AX2" s="18" t="s">
        <v>390</v>
      </c>
      <c r="AY2" s="18" t="s">
        <v>391</v>
      </c>
      <c r="AZ2" s="18" t="s">
        <v>392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4126.5027648942214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5539.709538635806</v>
      </c>
      <c r="K3" s="11"/>
      <c r="L3" s="70">
        <f t="shared" ref="L3:L34" ca="1" si="1">I3-(J3+K3)</f>
        <v>-5539.709538635806</v>
      </c>
      <c r="M3" s="70">
        <f ca="1">INDIRECT("'June"&amp;Members!$F$2&amp;"-COLLECTION'!K"&amp;ROW()-1)</f>
        <v>0</v>
      </c>
      <c r="N3" s="70">
        <f ca="1">INDIRECT("'June"&amp;Members!$F$2&amp;"-EXPENSE'!R"&amp;ROW()+3)</f>
        <v>0</v>
      </c>
      <c r="O3" s="10"/>
      <c r="P3" s="70">
        <f t="shared" ref="P3:P34" ca="1" si="2">M3-(N3+O3)</f>
        <v>0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9230</v>
      </c>
      <c r="BB3" s="70">
        <f t="shared" ref="BB3:BB34" ca="1" si="13">SUM(F3,J3,N3,R3,V3,Z3,AD3,AH3,AL3,AP3,AT3,AX3)</f>
        <v>10643.206773741585</v>
      </c>
      <c r="BC3" s="70">
        <f t="shared" ref="BC3:BC34" si="14">SUM(G3,K3,O3,S3,W3,AA3,AE3,AI3,AM3,AQ3,AU3,AY3)</f>
        <v>0</v>
      </c>
      <c r="BD3" s="70">
        <f t="shared" ref="BD3:BD34" ca="1" si="15">BA3-(BB3+BC3)</f>
        <v>-1413.2067737415855</v>
      </c>
      <c r="BE3" s="70">
        <f t="shared" ref="BE3:BE34" ca="1" si="16">BD3+D3</f>
        <v>-10855.913011148696</v>
      </c>
    </row>
    <row r="4" spans="1:57" ht="16.149999999999999" customHeight="1" x14ac:dyDescent="0.25">
      <c r="A4" s="52" t="s">
        <v>5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6074.8319980563074</v>
      </c>
      <c r="K4" s="11"/>
      <c r="L4" s="72">
        <f t="shared" ca="1" si="1"/>
        <v>-6074.8319980563074</v>
      </c>
      <c r="M4" s="72">
        <f ca="1">INDIRECT("'June"&amp;Members!$F$2&amp;"-COLLECTION'!K"&amp;ROW()-1)</f>
        <v>0</v>
      </c>
      <c r="N4" s="72">
        <f ca="1">INDIRECT("'June"&amp;Members!$F$2&amp;"-EXPENSE'!R"&amp;ROW()+3)</f>
        <v>0</v>
      </c>
      <c r="O4" s="10"/>
      <c r="P4" s="72">
        <f t="shared" ca="1" si="2"/>
        <v>0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0</v>
      </c>
      <c r="BB4" s="72">
        <f t="shared" ca="1" si="13"/>
        <v>12040.906285046778</v>
      </c>
      <c r="BC4" s="72">
        <f t="shared" si="14"/>
        <v>0</v>
      </c>
      <c r="BD4" s="72">
        <f t="shared" ca="1" si="15"/>
        <v>-12040.906285046778</v>
      </c>
      <c r="BE4" s="72">
        <f t="shared" ca="1" si="16"/>
        <v>-9435.3883147760098</v>
      </c>
    </row>
    <row r="5" spans="1:57" ht="16.149999999999999" customHeight="1" x14ac:dyDescent="0.25">
      <c r="A5" s="68" t="s">
        <v>6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6777.786858575646</v>
      </c>
      <c r="K5" s="11"/>
      <c r="L5" s="70">
        <f t="shared" ca="1" si="1"/>
        <v>-777.78685857564597</v>
      </c>
      <c r="M5" s="70">
        <f ca="1">INDIRECT("'June"&amp;Members!$F$2&amp;"-COLLECTION'!K"&amp;ROW()-1)</f>
        <v>0</v>
      </c>
      <c r="N5" s="70">
        <f ca="1">INDIRECT("'June"&amp;Members!$F$2&amp;"-EXPENSE'!R"&amp;ROW()+3)</f>
        <v>0</v>
      </c>
      <c r="O5" s="10"/>
      <c r="P5" s="70">
        <f t="shared" ca="1" si="2"/>
        <v>0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12000</v>
      </c>
      <c r="BB5" s="70">
        <f t="shared" ca="1" si="13"/>
        <v>13540.777444028376</v>
      </c>
      <c r="BC5" s="70">
        <f t="shared" si="14"/>
        <v>0</v>
      </c>
      <c r="BD5" s="70">
        <f t="shared" ca="1" si="15"/>
        <v>-1540.7774440283756</v>
      </c>
      <c r="BE5" s="70">
        <f t="shared" ca="1" si="16"/>
        <v>-8178.0362650438838</v>
      </c>
    </row>
    <row r="6" spans="1:57" ht="16.149999999999999" customHeight="1" x14ac:dyDescent="0.25">
      <c r="A6" s="52" t="s">
        <v>8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5749.8432868797572</v>
      </c>
      <c r="K6" s="11"/>
      <c r="L6" s="72">
        <f t="shared" ca="1" si="1"/>
        <v>-5749.8432868797572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0</v>
      </c>
      <c r="O6" s="10"/>
      <c r="P6" s="72">
        <f t="shared" ca="1" si="2"/>
        <v>0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11004.637318426863</v>
      </c>
      <c r="BC6" s="72">
        <f t="shared" si="14"/>
        <v>0</v>
      </c>
      <c r="BD6" s="72">
        <f t="shared" ca="1" si="15"/>
        <v>-5015.6373184268632</v>
      </c>
      <c r="BE6" s="72">
        <f t="shared" ca="1" si="16"/>
        <v>-10650.859200333191</v>
      </c>
    </row>
    <row r="7" spans="1:57" ht="16.149999999999999" customHeight="1" x14ac:dyDescent="0.25">
      <c r="A7" s="68" t="s">
        <v>9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5554.9844148980019</v>
      </c>
      <c r="K7" s="11"/>
      <c r="L7" s="70">
        <f t="shared" ca="1" si="1"/>
        <v>-317.98441489800189</v>
      </c>
      <c r="M7" s="70">
        <f ca="1">INDIRECT("'June"&amp;Members!$F$2&amp;"-COLLECTION'!K"&amp;ROW()-1)</f>
        <v>0</v>
      </c>
      <c r="N7" s="70">
        <f ca="1">INDIRECT("'June"&amp;Members!$F$2&amp;"-EXPENSE'!R"&amp;ROW()+3)</f>
        <v>0</v>
      </c>
      <c r="O7" s="10"/>
      <c r="P7" s="70">
        <f t="shared" ca="1" si="2"/>
        <v>0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5237</v>
      </c>
      <c r="BB7" s="70">
        <f t="shared" ca="1" si="13"/>
        <v>10587.317161015044</v>
      </c>
      <c r="BC7" s="70">
        <f t="shared" si="14"/>
        <v>0</v>
      </c>
      <c r="BD7" s="70">
        <f t="shared" ca="1" si="15"/>
        <v>-5350.3171610150439</v>
      </c>
      <c r="BE7" s="70">
        <f t="shared" ca="1" si="16"/>
        <v>-10705.201318724334</v>
      </c>
    </row>
    <row r="8" spans="1:57" ht="16.5" customHeight="1" x14ac:dyDescent="0.25">
      <c r="A8" s="52" t="s">
        <v>12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5785.7718915955866</v>
      </c>
      <c r="K8" s="11"/>
      <c r="L8" s="72">
        <f t="shared" ca="1" si="1"/>
        <v>3656.9381084044126</v>
      </c>
      <c r="M8" s="72">
        <f ca="1">INDIRECT("'June"&amp;Members!$F$2&amp;"-COLLECTION'!K"&amp;ROW()-1)</f>
        <v>0</v>
      </c>
      <c r="N8" s="72">
        <f ca="1">INDIRECT("'June"&amp;Members!$F$2&amp;"-EXPENSE'!R"&amp;ROW()+3)</f>
        <v>0</v>
      </c>
      <c r="O8" s="10"/>
      <c r="P8" s="72">
        <f t="shared" ca="1" si="2"/>
        <v>0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14310.05</v>
      </c>
      <c r="BB8" s="72">
        <f t="shared" ca="1" si="13"/>
        <v>11184.987660791199</v>
      </c>
      <c r="BC8" s="72">
        <f t="shared" si="14"/>
        <v>0</v>
      </c>
      <c r="BD8" s="72">
        <f t="shared" ca="1" si="15"/>
        <v>3125.0623392088</v>
      </c>
      <c r="BE8" s="72">
        <f t="shared" ca="1" si="16"/>
        <v>-7468.9544045038201</v>
      </c>
    </row>
    <row r="9" spans="1:57" ht="16.5" customHeight="1" x14ac:dyDescent="0.25">
      <c r="A9" s="68" t="s">
        <v>14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6017.9424907553812</v>
      </c>
      <c r="K9" s="11"/>
      <c r="L9" s="70">
        <f t="shared" ca="1" si="1"/>
        <v>1156.0575092446188</v>
      </c>
      <c r="M9" s="70">
        <f ca="1">INDIRECT("'June"&amp;Members!$F$2&amp;"-COLLECTION'!K"&amp;ROW()-1)</f>
        <v>0</v>
      </c>
      <c r="N9" s="70">
        <f ca="1">INDIRECT("'June"&amp;Members!$F$2&amp;"-EXPENSE'!R"&amp;ROW()+3)</f>
        <v>0</v>
      </c>
      <c r="O9" s="10"/>
      <c r="P9" s="70">
        <f t="shared" ca="1" si="2"/>
        <v>0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12558</v>
      </c>
      <c r="BB9" s="70">
        <f t="shared" ca="1" si="13"/>
        <v>11349.100884820855</v>
      </c>
      <c r="BC9" s="70">
        <f t="shared" si="14"/>
        <v>0</v>
      </c>
      <c r="BD9" s="70">
        <f t="shared" ca="1" si="15"/>
        <v>1208.8991151791452</v>
      </c>
      <c r="BE9" s="70">
        <f t="shared" ca="1" si="16"/>
        <v>-5964.8559784077916</v>
      </c>
    </row>
    <row r="10" spans="1:57" ht="16.149999999999999" customHeight="1" x14ac:dyDescent="0.25">
      <c r="A10" s="52" t="s">
        <v>16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5333.2213203020538</v>
      </c>
      <c r="K10" s="11"/>
      <c r="L10" s="72">
        <f t="shared" ca="1" si="1"/>
        <v>-4412.2213203020538</v>
      </c>
      <c r="M10" s="72">
        <f ca="1">INDIRECT("'June"&amp;Members!$F$2&amp;"-COLLECTION'!K"&amp;ROW()-1)</f>
        <v>0</v>
      </c>
      <c r="N10" s="72">
        <f ca="1">INDIRECT("'June"&amp;Members!$F$2&amp;"-EXPENSE'!R"&amp;ROW()+3)</f>
        <v>0</v>
      </c>
      <c r="O10" s="10"/>
      <c r="P10" s="72">
        <f t="shared" ca="1" si="2"/>
        <v>0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6991</v>
      </c>
      <c r="BB10" s="72">
        <f t="shared" ca="1" si="13"/>
        <v>10358.626011982959</v>
      </c>
      <c r="BC10" s="72">
        <f t="shared" si="14"/>
        <v>0</v>
      </c>
      <c r="BD10" s="72">
        <f t="shared" ca="1" si="15"/>
        <v>-3367.6260119829585</v>
      </c>
      <c r="BE10" s="72">
        <f t="shared" ca="1" si="16"/>
        <v>-5333.1252990832054</v>
      </c>
    </row>
    <row r="11" spans="1:57" ht="16.149999999999999" customHeight="1" x14ac:dyDescent="0.25">
      <c r="A11" s="68" t="s">
        <v>17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5537.8812630089469</v>
      </c>
      <c r="K11" s="11"/>
      <c r="L11" s="70">
        <f t="shared" ca="1" si="1"/>
        <v>4695.1187369910531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0</v>
      </c>
      <c r="O11" s="10"/>
      <c r="P11" s="70">
        <f t="shared" ca="1" si="2"/>
        <v>0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10233</v>
      </c>
      <c r="BB11" s="70">
        <f t="shared" ca="1" si="13"/>
        <v>10478.968127895198</v>
      </c>
      <c r="BC11" s="70">
        <f t="shared" si="14"/>
        <v>0</v>
      </c>
      <c r="BD11" s="70">
        <f t="shared" ca="1" si="15"/>
        <v>-245.96812789519754</v>
      </c>
      <c r="BE11" s="70">
        <f t="shared" ca="1" si="16"/>
        <v>-843.22572051962197</v>
      </c>
    </row>
    <row r="12" spans="1:57" ht="16.149999999999999" customHeight="1" x14ac:dyDescent="0.25">
      <c r="A12" s="52" t="s">
        <v>19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6145.2677687591313</v>
      </c>
      <c r="K12" s="11"/>
      <c r="L12" s="72">
        <f t="shared" ca="1" si="1"/>
        <v>-6145.2677687591313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0</v>
      </c>
      <c r="O12" s="10"/>
      <c r="P12" s="72">
        <f t="shared" ca="1" si="2"/>
        <v>0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11878.18482662866</v>
      </c>
      <c r="BC12" s="72">
        <f t="shared" si="14"/>
        <v>0</v>
      </c>
      <c r="BD12" s="72">
        <f t="shared" ca="1" si="15"/>
        <v>15943.81517337134</v>
      </c>
      <c r="BE12" s="72">
        <f t="shared" ca="1" si="16"/>
        <v>-11878.710421437519</v>
      </c>
    </row>
    <row r="13" spans="1:57" ht="16.149999999999999" customHeight="1" x14ac:dyDescent="0.25">
      <c r="A13" s="68" t="s">
        <v>20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5336.1061637607736</v>
      </c>
      <c r="K13" s="11"/>
      <c r="L13" s="70">
        <f t="shared" ca="1" si="1"/>
        <v>-5336.1061637607736</v>
      </c>
      <c r="M13" s="70">
        <f ca="1">INDIRECT("'June"&amp;Members!$F$2&amp;"-COLLECTION'!K"&amp;ROW()-1)</f>
        <v>0</v>
      </c>
      <c r="N13" s="70">
        <f ca="1">INDIRECT("'June"&amp;Members!$F$2&amp;"-EXPENSE'!R"&amp;ROW()+3)</f>
        <v>0</v>
      </c>
      <c r="O13" s="10"/>
      <c r="P13" s="70">
        <f t="shared" ca="1" si="2"/>
        <v>0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5549</v>
      </c>
      <c r="BB13" s="70">
        <f t="shared" ca="1" si="13"/>
        <v>10016.323581781537</v>
      </c>
      <c r="BC13" s="70">
        <f t="shared" si="14"/>
        <v>0</v>
      </c>
      <c r="BD13" s="70">
        <f t="shared" ca="1" si="15"/>
        <v>-4467.3235817815366</v>
      </c>
      <c r="BE13" s="70">
        <f t="shared" ca="1" si="16"/>
        <v>-5027.2910417400126</v>
      </c>
    </row>
    <row r="14" spans="1:57" ht="16.149999999999999" customHeight="1" x14ac:dyDescent="0.25">
      <c r="A14" s="52" t="s">
        <v>21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4577.6943668474069</v>
      </c>
      <c r="G14" s="10"/>
      <c r="H14" s="72">
        <f t="shared" ca="1" si="0"/>
        <v>1381.3056331525931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5799.3824350931363</v>
      </c>
      <c r="K14" s="11"/>
      <c r="L14" s="72">
        <f t="shared" ca="1" si="1"/>
        <v>737.02756490686352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0</v>
      </c>
      <c r="O14" s="10"/>
      <c r="P14" s="72">
        <f t="shared" ca="1" si="2"/>
        <v>0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12495.41</v>
      </c>
      <c r="BB14" s="72">
        <f t="shared" ca="1" si="13"/>
        <v>10377.076801940544</v>
      </c>
      <c r="BC14" s="72">
        <f t="shared" si="14"/>
        <v>0</v>
      </c>
      <c r="BD14" s="72">
        <f t="shared" ca="1" si="15"/>
        <v>2118.3331980594558</v>
      </c>
      <c r="BE14" s="72">
        <f t="shared" ca="1" si="16"/>
        <v>761.94142513284578</v>
      </c>
    </row>
    <row r="15" spans="1:57" ht="16.149999999999999" customHeight="1" x14ac:dyDescent="0.25">
      <c r="A15" s="68" t="s">
        <v>22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5523.3460901977051</v>
      </c>
      <c r="K15" s="11"/>
      <c r="L15" s="70">
        <f t="shared" ca="1" si="1"/>
        <v>-5523.3460901977051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0</v>
      </c>
      <c r="O15" s="10"/>
      <c r="P15" s="70">
        <f t="shared" ca="1" si="2"/>
        <v>0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10514.752508356949</v>
      </c>
      <c r="BC15" s="70">
        <f t="shared" si="14"/>
        <v>0</v>
      </c>
      <c r="BD15" s="70">
        <f t="shared" ca="1" si="15"/>
        <v>-5580.752508356949</v>
      </c>
      <c r="BE15" s="70">
        <f t="shared" ca="1" si="16"/>
        <v>-6427.0333654994029</v>
      </c>
    </row>
    <row r="16" spans="1:57" ht="16.149999999999999" customHeight="1" x14ac:dyDescent="0.25">
      <c r="A16" s="52" t="s">
        <v>23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5773.5137973102783</v>
      </c>
      <c r="K16" s="11"/>
      <c r="L16" s="72">
        <f t="shared" ca="1" si="1"/>
        <v>-5773.5137973102783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0</v>
      </c>
      <c r="O16" s="10"/>
      <c r="P16" s="72">
        <f t="shared" ca="1" si="2"/>
        <v>0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10525.173068534794</v>
      </c>
      <c r="BC16" s="72">
        <f t="shared" si="14"/>
        <v>0</v>
      </c>
      <c r="BD16" s="72">
        <f t="shared" ca="1" si="15"/>
        <v>-3525.1730685347939</v>
      </c>
      <c r="BE16" s="72">
        <f t="shared" ca="1" si="16"/>
        <v>-16399.431538891142</v>
      </c>
    </row>
    <row r="17" spans="1:57" ht="16.149999999999999" customHeight="1" x14ac:dyDescent="0.25">
      <c r="A17" s="68" t="s">
        <v>24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6510.7908979538734</v>
      </c>
      <c r="K17" s="11"/>
      <c r="L17" s="70">
        <f t="shared" ca="1" si="1"/>
        <v>-603.79089795387335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0</v>
      </c>
      <c r="O17" s="10"/>
      <c r="P17" s="70">
        <f t="shared" ca="1" si="2"/>
        <v>0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11671</v>
      </c>
      <c r="BB17" s="70">
        <f t="shared" ca="1" si="13"/>
        <v>12417.741353692383</v>
      </c>
      <c r="BC17" s="70">
        <f t="shared" si="14"/>
        <v>0</v>
      </c>
      <c r="BD17" s="70">
        <f t="shared" ca="1" si="15"/>
        <v>-746.7413536923832</v>
      </c>
      <c r="BE17" s="70">
        <f t="shared" ca="1" si="16"/>
        <v>-1169.1423460053757</v>
      </c>
    </row>
    <row r="18" spans="1:57" ht="16.149999999999999" customHeight="1" x14ac:dyDescent="0.25">
      <c r="A18" s="52" t="s">
        <v>26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6384.3399241073976</v>
      </c>
      <c r="K18" s="11"/>
      <c r="L18" s="72">
        <f t="shared" ca="1" si="1"/>
        <v>-497.09992410739778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0</v>
      </c>
      <c r="O18" s="10"/>
      <c r="P18" s="72">
        <f t="shared" ca="1" si="2"/>
        <v>0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31790.36</v>
      </c>
      <c r="BB18" s="72">
        <f t="shared" ca="1" si="13"/>
        <v>12692.042410546932</v>
      </c>
      <c r="BC18" s="72">
        <f t="shared" si="14"/>
        <v>0</v>
      </c>
      <c r="BD18" s="72">
        <f t="shared" ca="1" si="15"/>
        <v>19098.317589453069</v>
      </c>
      <c r="BE18" s="72">
        <f t="shared" ca="1" si="16"/>
        <v>-37007.460081302488</v>
      </c>
    </row>
    <row r="19" spans="1:57" ht="16.149999999999999" customHeight="1" x14ac:dyDescent="0.25">
      <c r="A19" s="68" t="s">
        <v>28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5767.0573942864557</v>
      </c>
      <c r="K19" s="11"/>
      <c r="L19" s="70">
        <f t="shared" ca="1" si="1"/>
        <v>-5767.0573942864557</v>
      </c>
      <c r="M19" s="70">
        <f ca="1">INDIRECT("'June"&amp;Members!$F$2&amp;"-COLLECTION'!K"&amp;ROW()-1)</f>
        <v>0</v>
      </c>
      <c r="N19" s="70">
        <f ca="1">INDIRECT("'June"&amp;Members!$F$2&amp;"-EXPENSE'!R"&amp;ROW()+3)</f>
        <v>0</v>
      </c>
      <c r="O19" s="10"/>
      <c r="P19" s="70">
        <f t="shared" ca="1" si="2"/>
        <v>0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0</v>
      </c>
      <c r="BB19" s="70">
        <f t="shared" ca="1" si="13"/>
        <v>11782.32305663222</v>
      </c>
      <c r="BC19" s="70">
        <f t="shared" si="14"/>
        <v>0</v>
      </c>
      <c r="BD19" s="70">
        <f t="shared" ca="1" si="15"/>
        <v>-11782.32305663222</v>
      </c>
      <c r="BE19" s="70">
        <f t="shared" ca="1" si="16"/>
        <v>-13555.549345439405</v>
      </c>
    </row>
    <row r="20" spans="1:57" ht="16.149999999999999" customHeight="1" x14ac:dyDescent="0.25">
      <c r="A20" s="52" t="s">
        <v>29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6616.2209538093903</v>
      </c>
      <c r="K20" s="11"/>
      <c r="L20" s="72">
        <f t="shared" ca="1" si="1"/>
        <v>-6616.2209538093903</v>
      </c>
      <c r="M20" s="72">
        <f ca="1">INDIRECT("'June"&amp;Members!$F$2&amp;"-COLLECTION'!K"&amp;ROW()-1)</f>
        <v>0</v>
      </c>
      <c r="N20" s="72">
        <f ca="1">INDIRECT("'June"&amp;Members!$F$2&amp;"-EXPENSE'!R"&amp;ROW()+3)</f>
        <v>0</v>
      </c>
      <c r="O20" s="10"/>
      <c r="P20" s="72">
        <f t="shared" ca="1" si="2"/>
        <v>0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6121</v>
      </c>
      <c r="BB20" s="72">
        <f t="shared" ca="1" si="13"/>
        <v>13274.067553488841</v>
      </c>
      <c r="BC20" s="72">
        <f t="shared" si="14"/>
        <v>0</v>
      </c>
      <c r="BD20" s="72">
        <f t="shared" ca="1" si="15"/>
        <v>-7153.0675534888414</v>
      </c>
      <c r="BE20" s="72">
        <f t="shared" ca="1" si="16"/>
        <v>-7164.7849548308568</v>
      </c>
    </row>
    <row r="21" spans="1:57" ht="15.75" customHeight="1" x14ac:dyDescent="0.25">
      <c r="A21" s="68" t="s">
        <v>30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6284.3530005389694</v>
      </c>
      <c r="K21" s="11"/>
      <c r="L21" s="70">
        <f t="shared" ca="1" si="1"/>
        <v>-4184.3530005389694</v>
      </c>
      <c r="M21" s="70">
        <f ca="1">INDIRECT("'June"&amp;Members!$F$2&amp;"-COLLECTION'!K"&amp;ROW()-1)</f>
        <v>0</v>
      </c>
      <c r="N21" s="70">
        <f ca="1">INDIRECT("'June"&amp;Members!$F$2&amp;"-EXPENSE'!R"&amp;ROW()+3)</f>
        <v>0</v>
      </c>
      <c r="O21" s="10"/>
      <c r="P21" s="70">
        <f t="shared" ca="1" si="2"/>
        <v>0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7896</v>
      </c>
      <c r="BB21" s="70">
        <f t="shared" ca="1" si="13"/>
        <v>12318.796245780788</v>
      </c>
      <c r="BC21" s="70">
        <f t="shared" si="14"/>
        <v>0</v>
      </c>
      <c r="BD21" s="70">
        <f t="shared" ca="1" si="15"/>
        <v>-4422.796245780788</v>
      </c>
      <c r="BE21" s="70">
        <f t="shared" ca="1" si="16"/>
        <v>-6262.2383228519757</v>
      </c>
    </row>
    <row r="22" spans="1:57" ht="15.75" customHeight="1" x14ac:dyDescent="0.25">
      <c r="A22" s="52" t="s">
        <v>32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6952.0093353698658</v>
      </c>
      <c r="K22" s="11"/>
      <c r="L22" s="72">
        <f t="shared" ca="1" si="1"/>
        <v>4639.9906646301342</v>
      </c>
      <c r="M22" s="72">
        <f ca="1">INDIRECT("'June"&amp;Members!$F$2&amp;"-COLLECTION'!K"&amp;ROW()-1)</f>
        <v>0</v>
      </c>
      <c r="N22" s="72">
        <f ca="1">INDIRECT("'June"&amp;Members!$F$2&amp;"-EXPENSE'!R"&amp;ROW()+3)</f>
        <v>0</v>
      </c>
      <c r="O22" s="10"/>
      <c r="P22" s="72">
        <f t="shared" ca="1" si="2"/>
        <v>0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17196</v>
      </c>
      <c r="BB22" s="72">
        <f t="shared" ca="1" si="13"/>
        <v>13962.153580367598</v>
      </c>
      <c r="BC22" s="72">
        <f t="shared" si="14"/>
        <v>0</v>
      </c>
      <c r="BD22" s="72">
        <f t="shared" ca="1" si="15"/>
        <v>3233.8464196324021</v>
      </c>
      <c r="BE22" s="72">
        <f t="shared" ca="1" si="16"/>
        <v>-6274.3456109607396</v>
      </c>
    </row>
    <row r="23" spans="1:57" ht="15.75" customHeight="1" x14ac:dyDescent="0.25">
      <c r="A23" s="68" t="s">
        <v>33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6079.9519540399106</v>
      </c>
      <c r="K23" s="11"/>
      <c r="L23" s="70">
        <f t="shared" ca="1" si="1"/>
        <v>-6079.9519540399106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0</v>
      </c>
      <c r="O23" s="10"/>
      <c r="P23" s="70">
        <f t="shared" ca="1" si="2"/>
        <v>0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11834.503988920533</v>
      </c>
      <c r="BC23" s="70">
        <f t="shared" si="14"/>
        <v>0</v>
      </c>
      <c r="BD23" s="70">
        <f t="shared" ca="1" si="15"/>
        <v>-11834.503988920533</v>
      </c>
      <c r="BE23" s="70">
        <f t="shared" ca="1" si="16"/>
        <v>-22470.378803820764</v>
      </c>
    </row>
    <row r="24" spans="1:57" ht="15.75" customHeight="1" x14ac:dyDescent="0.25">
      <c r="A24" s="52" t="s">
        <v>34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5267.6466093750005</v>
      </c>
      <c r="K24" s="11"/>
      <c r="L24" s="72">
        <f t="shared" ca="1" si="1"/>
        <v>-5267.6466093750005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0</v>
      </c>
      <c r="O24" s="10"/>
      <c r="P24" s="72">
        <f t="shared" ca="1" si="2"/>
        <v>0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10632.586740833936</v>
      </c>
      <c r="BC24" s="72">
        <f t="shared" si="14"/>
        <v>0</v>
      </c>
      <c r="BD24" s="72">
        <f t="shared" ca="1" si="15"/>
        <v>-5372.5867408339363</v>
      </c>
      <c r="BE24" s="72">
        <f t="shared" ca="1" si="16"/>
        <v>-16540.545090089316</v>
      </c>
    </row>
    <row r="25" spans="1:57" ht="15.75" customHeight="1" x14ac:dyDescent="0.25">
      <c r="A25" s="68" t="s">
        <v>35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5777.7461091527375</v>
      </c>
      <c r="K25" s="11"/>
      <c r="L25" s="70">
        <f t="shared" ca="1" si="1"/>
        <v>-5777.7461091527375</v>
      </c>
      <c r="M25" s="70">
        <f ca="1">INDIRECT("'June"&amp;Members!$F$2&amp;"-COLLECTION'!K"&amp;ROW()-1)</f>
        <v>0</v>
      </c>
      <c r="N25" s="70">
        <f ca="1">INDIRECT("'June"&amp;Members!$F$2&amp;"-EXPENSE'!R"&amp;ROW()+3)</f>
        <v>0</v>
      </c>
      <c r="O25" s="10"/>
      <c r="P25" s="70">
        <f t="shared" ca="1" si="2"/>
        <v>0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10621</v>
      </c>
      <c r="BB25" s="70">
        <f t="shared" ca="1" si="13"/>
        <v>10562.431295381561</v>
      </c>
      <c r="BC25" s="70">
        <f t="shared" si="14"/>
        <v>0</v>
      </c>
      <c r="BD25" s="70">
        <f t="shared" ca="1" si="15"/>
        <v>58.568704618439369</v>
      </c>
      <c r="BE25" s="70">
        <f t="shared" ca="1" si="16"/>
        <v>-10563.138468336181</v>
      </c>
    </row>
    <row r="26" spans="1:57" ht="15.75" customHeight="1" x14ac:dyDescent="0.25">
      <c r="A26" s="52" t="s">
        <v>36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5267.6466093750005</v>
      </c>
      <c r="K26" s="11"/>
      <c r="L26" s="72">
        <f t="shared" ca="1" si="1"/>
        <v>3678.663390624999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0</v>
      </c>
      <c r="O26" s="10"/>
      <c r="P26" s="72">
        <f t="shared" ca="1" si="2"/>
        <v>0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10262.725869795973</v>
      </c>
      <c r="BC26" s="72">
        <f t="shared" si="14"/>
        <v>0</v>
      </c>
      <c r="BD26" s="72">
        <f t="shared" ca="1" si="15"/>
        <v>-820.47586979597327</v>
      </c>
      <c r="BE26" s="72">
        <f t="shared" ca="1" si="16"/>
        <v>-639.30753511923467</v>
      </c>
    </row>
    <row r="27" spans="1:57" ht="15.75" customHeight="1" x14ac:dyDescent="0.25">
      <c r="A27" s="68" t="s">
        <v>39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6263.5883165676933</v>
      </c>
      <c r="K27" s="11"/>
      <c r="L27" s="70">
        <f t="shared" ca="1" si="1"/>
        <v>-6263.5883165676933</v>
      </c>
      <c r="M27" s="70">
        <f ca="1">INDIRECT("'June"&amp;Members!$F$2&amp;"-COLLECTION'!K"&amp;ROW()-1)</f>
        <v>0</v>
      </c>
      <c r="N27" s="70">
        <f ca="1">INDIRECT("'June"&amp;Members!$F$2&amp;"-EXPENSE'!R"&amp;ROW()+3)</f>
        <v>0</v>
      </c>
      <c r="O27" s="10"/>
      <c r="P27" s="70">
        <f t="shared" ca="1" si="2"/>
        <v>0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5590</v>
      </c>
      <c r="BB27" s="70">
        <f t="shared" ca="1" si="13"/>
        <v>12054.733117427722</v>
      </c>
      <c r="BC27" s="70">
        <f t="shared" si="14"/>
        <v>0</v>
      </c>
      <c r="BD27" s="70">
        <f t="shared" ca="1" si="15"/>
        <v>-6464.7331174277224</v>
      </c>
      <c r="BE27" s="70">
        <f t="shared" ca="1" si="16"/>
        <v>-7676.8318645313284</v>
      </c>
    </row>
    <row r="28" spans="1:57" ht="15.75" customHeight="1" x14ac:dyDescent="0.25">
      <c r="A28" s="52" t="s">
        <v>40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5454.2368048780954</v>
      </c>
      <c r="K28" s="11"/>
      <c r="L28" s="72">
        <f t="shared" ca="1" si="1"/>
        <v>-1014.2368048780954</v>
      </c>
      <c r="M28" s="72">
        <f ca="1">INDIRECT("'June"&amp;Members!$F$2&amp;"-COLLECTION'!K"&amp;ROW()-1)</f>
        <v>0</v>
      </c>
      <c r="N28" s="72">
        <f ca="1">INDIRECT("'June"&amp;Members!$F$2&amp;"-EXPENSE'!R"&amp;ROW()+3)</f>
        <v>0</v>
      </c>
      <c r="O28" s="10"/>
      <c r="P28" s="72">
        <f t="shared" ca="1" si="2"/>
        <v>0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4440</v>
      </c>
      <c r="BB28" s="72">
        <f t="shared" ca="1" si="13"/>
        <v>10346.489152089041</v>
      </c>
      <c r="BC28" s="72">
        <f t="shared" si="14"/>
        <v>0</v>
      </c>
      <c r="BD28" s="72">
        <f t="shared" ca="1" si="15"/>
        <v>-5906.4891520890415</v>
      </c>
      <c r="BE28" s="72">
        <f t="shared" ca="1" si="16"/>
        <v>-5452.4279281978997</v>
      </c>
    </row>
    <row r="29" spans="1:57" ht="15.75" customHeight="1" x14ac:dyDescent="0.25">
      <c r="A29" s="68" t="s">
        <v>42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5389.6606936098287</v>
      </c>
      <c r="K29" s="11"/>
      <c r="L29" s="70">
        <f t="shared" ca="1" si="1"/>
        <v>-5389.6606936098287</v>
      </c>
      <c r="M29" s="70">
        <f ca="1">INDIRECT("'June"&amp;Members!$F$2&amp;"-COLLECTION'!K"&amp;ROW()-1)</f>
        <v>0</v>
      </c>
      <c r="N29" s="70">
        <f ca="1">INDIRECT("'June"&amp;Members!$F$2&amp;"-EXPENSE'!R"&amp;ROW()+3)</f>
        <v>0</v>
      </c>
      <c r="O29" s="10"/>
      <c r="P29" s="70">
        <f t="shared" ca="1" si="2"/>
        <v>0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21576</v>
      </c>
      <c r="BB29" s="70">
        <f t="shared" ca="1" si="13"/>
        <v>10106.402328438646</v>
      </c>
      <c r="BC29" s="70">
        <f t="shared" si="14"/>
        <v>0</v>
      </c>
      <c r="BD29" s="70">
        <f t="shared" ca="1" si="15"/>
        <v>11469.597671561354</v>
      </c>
      <c r="BE29" s="70">
        <f t="shared" ca="1" si="16"/>
        <v>-10106.402355467304</v>
      </c>
    </row>
    <row r="30" spans="1:57" ht="15.75" customHeight="1" x14ac:dyDescent="0.25">
      <c r="A30" s="52" t="s">
        <v>43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6092.7118385688636</v>
      </c>
      <c r="K30" s="11"/>
      <c r="L30" s="72">
        <f t="shared" ca="1" si="1"/>
        <v>242.28816143113636</v>
      </c>
      <c r="M30" s="72">
        <f ca="1">INDIRECT("'June"&amp;Members!$F$2&amp;"-COLLECTION'!K"&amp;ROW()-1)</f>
        <v>0</v>
      </c>
      <c r="N30" s="72">
        <f ca="1">INDIRECT("'June"&amp;Members!$F$2&amp;"-EXPENSE'!R"&amp;ROW()+3)</f>
        <v>0</v>
      </c>
      <c r="O30" s="10"/>
      <c r="P30" s="72">
        <f t="shared" ca="1" si="2"/>
        <v>0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10822</v>
      </c>
      <c r="BB30" s="72">
        <f t="shared" ca="1" si="13"/>
        <v>12024.354668422311</v>
      </c>
      <c r="BC30" s="72">
        <f t="shared" si="14"/>
        <v>0</v>
      </c>
      <c r="BD30" s="72">
        <f t="shared" ca="1" si="15"/>
        <v>-1202.3546684223111</v>
      </c>
      <c r="BE30" s="72">
        <f t="shared" ca="1" si="16"/>
        <v>-5688.6583097365365</v>
      </c>
    </row>
    <row r="31" spans="1:57" ht="15.75" customHeight="1" x14ac:dyDescent="0.25">
      <c r="A31" s="68" t="s">
        <v>45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5931.9952616771297</v>
      </c>
      <c r="K31" s="11"/>
      <c r="L31" s="70">
        <f t="shared" ca="1" si="1"/>
        <v>-5931.9952616771297</v>
      </c>
      <c r="M31" s="70">
        <f ca="1">INDIRECT("'June"&amp;Members!$F$2&amp;"-COLLECTION'!K"&amp;ROW()-1)</f>
        <v>0</v>
      </c>
      <c r="N31" s="70">
        <f ca="1">INDIRECT("'June"&amp;Members!$F$2&amp;"-EXPENSE'!R"&amp;ROW()+3)</f>
        <v>0</v>
      </c>
      <c r="O31" s="10"/>
      <c r="P31" s="70">
        <f t="shared" ca="1" si="2"/>
        <v>0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10677</v>
      </c>
      <c r="BB31" s="70">
        <f t="shared" ca="1" si="13"/>
        <v>11113.680087200793</v>
      </c>
      <c r="BC31" s="70">
        <f t="shared" si="14"/>
        <v>0</v>
      </c>
      <c r="BD31" s="70">
        <f t="shared" ca="1" si="15"/>
        <v>-436.68008720079342</v>
      </c>
      <c r="BE31" s="70">
        <f t="shared" ca="1" si="16"/>
        <v>-16049.798709864284</v>
      </c>
    </row>
    <row r="32" spans="1:57" ht="15.75" customHeight="1" x14ac:dyDescent="0.25">
      <c r="A32" s="52" t="s">
        <v>46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6156.3473183514161</v>
      </c>
      <c r="K32" s="11"/>
      <c r="L32" s="72">
        <f t="shared" ca="1" si="1"/>
        <v>-39.797318351415925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0</v>
      </c>
      <c r="O32" s="10"/>
      <c r="P32" s="72">
        <f t="shared" ca="1" si="2"/>
        <v>0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12086.55</v>
      </c>
      <c r="BB32" s="72">
        <f t="shared" ca="1" si="13"/>
        <v>12272.89408590219</v>
      </c>
      <c r="BC32" s="72">
        <f t="shared" si="14"/>
        <v>0</v>
      </c>
      <c r="BD32" s="72">
        <f t="shared" ca="1" si="15"/>
        <v>-186.34408590219027</v>
      </c>
      <c r="BE32" s="72">
        <f t="shared" ca="1" si="16"/>
        <v>-2593.9734921716845</v>
      </c>
    </row>
    <row r="33" spans="1:57" ht="15.75" customHeight="1" x14ac:dyDescent="0.25">
      <c r="A33" s="68" t="s">
        <v>48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5929.480269943886</v>
      </c>
      <c r="K33" s="11"/>
      <c r="L33" s="70">
        <f t="shared" ca="1" si="1"/>
        <v>-5929.480269943886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0</v>
      </c>
      <c r="O33" s="10"/>
      <c r="P33" s="70">
        <f t="shared" ca="1" si="2"/>
        <v>0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10624.256567903278</v>
      </c>
      <c r="BC33" s="70">
        <f t="shared" si="14"/>
        <v>0</v>
      </c>
      <c r="BD33" s="70">
        <f t="shared" ca="1" si="15"/>
        <v>-10624.256567903278</v>
      </c>
      <c r="BE33" s="70">
        <f t="shared" ca="1" si="16"/>
        <v>-29907.782761124319</v>
      </c>
    </row>
    <row r="34" spans="1:57" ht="15.75" customHeight="1" x14ac:dyDescent="0.25">
      <c r="A34" s="52" t="s">
        <v>49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10775.071668278939</v>
      </c>
      <c r="K34" s="11"/>
      <c r="L34" s="72">
        <f t="shared" ca="1" si="1"/>
        <v>-10775.071668278939</v>
      </c>
      <c r="M34" s="72">
        <f ca="1">INDIRECT("'June"&amp;Members!$F$2&amp;"-COLLECTION'!K"&amp;ROW()-1)</f>
        <v>0</v>
      </c>
      <c r="N34" s="72">
        <f ca="1">INDIRECT("'June"&amp;Members!$F$2&amp;"-EXPENSE'!R"&amp;ROW()+3)</f>
        <v>0</v>
      </c>
      <c r="O34" s="10"/>
      <c r="P34" s="72">
        <f t="shared" ca="1" si="2"/>
        <v>0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4819</v>
      </c>
      <c r="BB34" s="72">
        <f t="shared" ca="1" si="13"/>
        <v>15778.719838134082</v>
      </c>
      <c r="BC34" s="72">
        <f t="shared" si="14"/>
        <v>0</v>
      </c>
      <c r="BD34" s="72">
        <f t="shared" ca="1" si="15"/>
        <v>-10959.719838134082</v>
      </c>
      <c r="BE34" s="72">
        <f t="shared" ca="1" si="16"/>
        <v>-15950.105321555593</v>
      </c>
    </row>
    <row r="35" spans="1:57" ht="15.75" customHeight="1" x14ac:dyDescent="0.25">
      <c r="A35" s="68" t="s">
        <v>50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5453.1272497016644</v>
      </c>
      <c r="K35" s="11"/>
      <c r="L35" s="70">
        <f t="shared" ref="L35:L66" ca="1" si="18">I35-(J35+K35)</f>
        <v>-896.2072497016643</v>
      </c>
      <c r="M35" s="70">
        <f ca="1">INDIRECT("'June"&amp;Members!$F$2&amp;"-COLLECTION'!K"&amp;ROW()-1)</f>
        <v>0</v>
      </c>
      <c r="N35" s="70">
        <f ca="1">INDIRECT("'June"&amp;Members!$F$2&amp;"-EXPENSE'!R"&amp;ROW()+3)</f>
        <v>0</v>
      </c>
      <c r="O35" s="10"/>
      <c r="P35" s="70">
        <f t="shared" ref="P35:P66" ca="1" si="19">M35-(N35+O35)</f>
        <v>0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9446.92</v>
      </c>
      <c r="BB35" s="70">
        <f t="shared" ref="BB35:BB66" ca="1" si="30">SUM(F35,J35,N35,R35,V35,Z35,AD35,AH35,AL35,AP35,AT35,AX35)</f>
        <v>10027.114499701664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-580.19449970166352</v>
      </c>
      <c r="BE35" s="70">
        <f t="shared" ref="BE35:BE66" ca="1" si="33">BD35+D35</f>
        <v>-1565.1700698612785</v>
      </c>
    </row>
    <row r="36" spans="1:57" ht="15.75" customHeight="1" x14ac:dyDescent="0.25">
      <c r="A36" s="52" t="s">
        <v>52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7766.0159979719701</v>
      </c>
      <c r="K36" s="11"/>
      <c r="L36" s="72">
        <f t="shared" ca="1" si="18"/>
        <v>-818.01599797197014</v>
      </c>
      <c r="M36" s="72">
        <f ca="1">INDIRECT("'June"&amp;Members!$F$2&amp;"-COLLECTION'!K"&amp;ROW()-1)</f>
        <v>0</v>
      </c>
      <c r="N36" s="72">
        <f ca="1">INDIRECT("'June"&amp;Members!$F$2&amp;"-EXPENSE'!R"&amp;ROW()+3)</f>
        <v>0</v>
      </c>
      <c r="O36" s="10"/>
      <c r="P36" s="72">
        <f t="shared" ca="1" si="19"/>
        <v>0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12583</v>
      </c>
      <c r="BB36" s="72">
        <f t="shared" ca="1" si="30"/>
        <v>15288.897043651152</v>
      </c>
      <c r="BC36" s="72">
        <f t="shared" si="31"/>
        <v>0</v>
      </c>
      <c r="BD36" s="72">
        <f t="shared" ca="1" si="32"/>
        <v>-2705.8970436511518</v>
      </c>
      <c r="BE36" s="72">
        <f t="shared" ca="1" si="33"/>
        <v>-9461.5293314405353</v>
      </c>
    </row>
    <row r="37" spans="1:57" ht="15.75" customHeight="1" x14ac:dyDescent="0.25">
      <c r="A37" s="68" t="s">
        <v>53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6737.4953345932645</v>
      </c>
      <c r="K37" s="11"/>
      <c r="L37" s="70">
        <f t="shared" ca="1" si="18"/>
        <v>-6737.4953345932645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0</v>
      </c>
      <c r="O37" s="10"/>
      <c r="P37" s="70">
        <f t="shared" ca="1" si="19"/>
        <v>0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11984.996677260227</v>
      </c>
      <c r="BC37" s="70">
        <f t="shared" si="31"/>
        <v>0</v>
      </c>
      <c r="BD37" s="70">
        <f t="shared" ca="1" si="32"/>
        <v>-6892.9966772602274</v>
      </c>
      <c r="BE37" s="70">
        <f t="shared" ca="1" si="33"/>
        <v>-7301.8969395511158</v>
      </c>
    </row>
    <row r="38" spans="1:57" ht="15.75" customHeight="1" x14ac:dyDescent="0.25">
      <c r="A38" s="52" t="s">
        <v>54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5611.1279068253953</v>
      </c>
      <c r="K38" s="11"/>
      <c r="L38" s="72">
        <f t="shared" ca="1" si="18"/>
        <v>5388.8720931746047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0</v>
      </c>
      <c r="O38" s="10"/>
      <c r="P38" s="72">
        <f t="shared" ca="1" si="19"/>
        <v>0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11000</v>
      </c>
      <c r="BB38" s="72">
        <f t="shared" ca="1" si="30"/>
        <v>11643.409843224828</v>
      </c>
      <c r="BC38" s="72">
        <f t="shared" si="31"/>
        <v>0</v>
      </c>
      <c r="BD38" s="72">
        <f t="shared" ca="1" si="32"/>
        <v>-643.40984322482836</v>
      </c>
      <c r="BE38" s="72">
        <f t="shared" ca="1" si="33"/>
        <v>-24239.158004821587</v>
      </c>
    </row>
    <row r="39" spans="1:57" ht="15.75" customHeight="1" x14ac:dyDescent="0.25">
      <c r="A39" s="68" t="s">
        <v>56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5327.5625889022576</v>
      </c>
      <c r="K39" s="11"/>
      <c r="L39" s="70">
        <f t="shared" ca="1" si="18"/>
        <v>-963.77258890225767</v>
      </c>
      <c r="M39" s="70">
        <f ca="1">INDIRECT("'June"&amp;Members!$F$2&amp;"-COLLECTION'!K"&amp;ROW()-1)</f>
        <v>0</v>
      </c>
      <c r="N39" s="70">
        <f ca="1">INDIRECT("'June"&amp;Members!$F$2&amp;"-EXPENSE'!R"&amp;ROW()+3)</f>
        <v>0</v>
      </c>
      <c r="O39" s="10"/>
      <c r="P39" s="70">
        <f t="shared" ca="1" si="19"/>
        <v>0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38713.530000000006</v>
      </c>
      <c r="BB39" s="70">
        <f t="shared" ca="1" si="30"/>
        <v>10175.633395980998</v>
      </c>
      <c r="BC39" s="70">
        <f t="shared" si="31"/>
        <v>0</v>
      </c>
      <c r="BD39" s="70">
        <f t="shared" ca="1" si="32"/>
        <v>28537.896604019006</v>
      </c>
      <c r="BE39" s="70">
        <f t="shared" ca="1" si="33"/>
        <v>-5522.6325855717223</v>
      </c>
    </row>
    <row r="40" spans="1:57" ht="15.75" customHeight="1" x14ac:dyDescent="0.25">
      <c r="A40" s="52" t="s">
        <v>57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5487.9672822415878</v>
      </c>
      <c r="K40" s="11"/>
      <c r="L40" s="72">
        <f t="shared" ca="1" si="18"/>
        <v>-5487.9672822415878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0</v>
      </c>
      <c r="O40" s="10"/>
      <c r="P40" s="72">
        <f t="shared" ca="1" si="19"/>
        <v>0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10062.136849463592</v>
      </c>
      <c r="BC40" s="72">
        <f t="shared" si="31"/>
        <v>0</v>
      </c>
      <c r="BD40" s="72">
        <f t="shared" ca="1" si="32"/>
        <v>30718.86315053641</v>
      </c>
      <c r="BE40" s="72">
        <f t="shared" ca="1" si="33"/>
        <v>-10063.191936611183</v>
      </c>
    </row>
    <row r="41" spans="1:57" ht="15.75" customHeight="1" x14ac:dyDescent="0.25">
      <c r="A41" s="68" t="s">
        <v>58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5596.2968526337718</v>
      </c>
      <c r="K41" s="11"/>
      <c r="L41" s="70">
        <f t="shared" ca="1" si="18"/>
        <v>-528.59685263377196</v>
      </c>
      <c r="M41" s="70">
        <f ca="1">INDIRECT("'June"&amp;Members!$F$2&amp;"-COLLECTION'!K"&amp;ROW()-1)</f>
        <v>0</v>
      </c>
      <c r="N41" s="70">
        <f ca="1">INDIRECT("'June"&amp;Members!$F$2&amp;"-EXPENSE'!R"&amp;ROW()+3)</f>
        <v>0</v>
      </c>
      <c r="O41" s="10"/>
      <c r="P41" s="70">
        <f t="shared" ca="1" si="19"/>
        <v>0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10003.700000000001</v>
      </c>
      <c r="BB41" s="70">
        <f t="shared" ca="1" si="30"/>
        <v>10663.999139819512</v>
      </c>
      <c r="BC41" s="70">
        <f t="shared" si="31"/>
        <v>0</v>
      </c>
      <c r="BD41" s="70">
        <f t="shared" ca="1" si="32"/>
        <v>-660.29913981951177</v>
      </c>
      <c r="BE41" s="70">
        <f t="shared" ca="1" si="33"/>
        <v>-1313.6725615214855</v>
      </c>
    </row>
    <row r="42" spans="1:57" ht="15.75" customHeight="1" x14ac:dyDescent="0.25">
      <c r="A42" s="52" t="s">
        <v>59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6075.8465998871179</v>
      </c>
      <c r="K42" s="11"/>
      <c r="L42" s="72">
        <f t="shared" ca="1" si="18"/>
        <v>-6075.8465998871179</v>
      </c>
      <c r="M42" s="72">
        <f ca="1">INDIRECT("'June"&amp;Members!$F$2&amp;"-COLLECTION'!K"&amp;ROW()-1)</f>
        <v>0</v>
      </c>
      <c r="N42" s="72">
        <f ca="1">INDIRECT("'June"&amp;Members!$F$2&amp;"-EXPENSE'!R"&amp;ROW()+3)</f>
        <v>0</v>
      </c>
      <c r="O42" s="10"/>
      <c r="P42" s="72">
        <f t="shared" ca="1" si="19"/>
        <v>0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2028.67</v>
      </c>
      <c r="BB42" s="72">
        <f t="shared" ca="1" si="30"/>
        <v>11721.129846380252</v>
      </c>
      <c r="BC42" s="72">
        <f t="shared" si="31"/>
        <v>0</v>
      </c>
      <c r="BD42" s="72">
        <f t="shared" ca="1" si="32"/>
        <v>-9692.4598463802522</v>
      </c>
      <c r="BE42" s="72">
        <f t="shared" ca="1" si="33"/>
        <v>-12721.134284121055</v>
      </c>
    </row>
    <row r="43" spans="1:57" ht="15.75" customHeight="1" x14ac:dyDescent="0.25">
      <c r="A43" s="68" t="s">
        <v>60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5476.8927134778069</v>
      </c>
      <c r="K43" s="11"/>
      <c r="L43" s="70">
        <f t="shared" ca="1" si="18"/>
        <v>-5476.8927134778069</v>
      </c>
      <c r="M43" s="70">
        <f ca="1">INDIRECT("'June"&amp;Members!$F$2&amp;"-COLLECTION'!K"&amp;ROW()-1)</f>
        <v>0</v>
      </c>
      <c r="N43" s="70">
        <f ca="1">INDIRECT("'June"&amp;Members!$F$2&amp;"-EXPENSE'!R"&amp;ROW()+3)</f>
        <v>0</v>
      </c>
      <c r="O43" s="10"/>
      <c r="P43" s="70">
        <f t="shared" ca="1" si="19"/>
        <v>0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0</v>
      </c>
      <c r="BB43" s="70">
        <f t="shared" ca="1" si="30"/>
        <v>11796.358549118582</v>
      </c>
      <c r="BC43" s="70">
        <f t="shared" si="31"/>
        <v>0</v>
      </c>
      <c r="BD43" s="70">
        <f t="shared" ca="1" si="32"/>
        <v>-11796.358549118582</v>
      </c>
      <c r="BE43" s="70">
        <f t="shared" ca="1" si="33"/>
        <v>-5884.1437257743255</v>
      </c>
    </row>
    <row r="44" spans="1:57" ht="15.75" customHeight="1" x14ac:dyDescent="0.25">
      <c r="A44" s="52" t="s">
        <v>61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5359.6287335011048</v>
      </c>
      <c r="K44" s="11"/>
      <c r="L44" s="72">
        <f t="shared" ca="1" si="18"/>
        <v>2640.3712664988952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0</v>
      </c>
      <c r="O44" s="10"/>
      <c r="P44" s="72">
        <f t="shared" ca="1" si="19"/>
        <v>0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9983.5709023300915</v>
      </c>
      <c r="BC44" s="72">
        <f t="shared" si="31"/>
        <v>1000</v>
      </c>
      <c r="BD44" s="72">
        <f t="shared" ca="1" si="32"/>
        <v>-2983.5709023300915</v>
      </c>
      <c r="BE44" s="72">
        <f t="shared" ca="1" si="33"/>
        <v>-64846.075190242758</v>
      </c>
    </row>
    <row r="45" spans="1:57" ht="15.75" customHeight="1" x14ac:dyDescent="0.25">
      <c r="A45" s="68" t="s">
        <v>63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5779.5583826075745</v>
      </c>
      <c r="K45" s="11"/>
      <c r="L45" s="70">
        <f t="shared" ca="1" si="18"/>
        <v>-787.55838260757446</v>
      </c>
      <c r="M45" s="70">
        <f ca="1">INDIRECT("'June"&amp;Members!$F$2&amp;"-COLLECTION'!K"&amp;ROW()-1)</f>
        <v>0</v>
      </c>
      <c r="N45" s="70">
        <f ca="1">INDIRECT("'June"&amp;Members!$F$2&amp;"-EXPENSE'!R"&amp;ROW()+3)</f>
        <v>0</v>
      </c>
      <c r="O45" s="10"/>
      <c r="P45" s="70">
        <f t="shared" ca="1" si="19"/>
        <v>0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10142</v>
      </c>
      <c r="BB45" s="70">
        <f t="shared" ca="1" si="30"/>
        <v>10602.773275086491</v>
      </c>
      <c r="BC45" s="70">
        <f t="shared" si="31"/>
        <v>0</v>
      </c>
      <c r="BD45" s="70">
        <f t="shared" ca="1" si="32"/>
        <v>-460.77327508649068</v>
      </c>
      <c r="BE45" s="70">
        <f t="shared" ca="1" si="33"/>
        <v>-5778.9428982720074</v>
      </c>
    </row>
    <row r="46" spans="1:57" ht="15.75" customHeight="1" x14ac:dyDescent="0.25">
      <c r="A46" s="52" t="s">
        <v>65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5387.6634942922537</v>
      </c>
      <c r="K46" s="11"/>
      <c r="L46" s="72">
        <f t="shared" ca="1" si="18"/>
        <v>10735.556505707746</v>
      </c>
      <c r="M46" s="72">
        <f ca="1">INDIRECT("'June"&amp;Members!$F$2&amp;"-COLLECTION'!K"&amp;ROW()-1)</f>
        <v>0</v>
      </c>
      <c r="N46" s="72">
        <f ca="1">INDIRECT("'June"&amp;Members!$F$2&amp;"-EXPENSE'!R"&amp;ROW()+3)</f>
        <v>0</v>
      </c>
      <c r="O46" s="10"/>
      <c r="P46" s="72">
        <f t="shared" ca="1" si="19"/>
        <v>0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16123.22</v>
      </c>
      <c r="BB46" s="72">
        <f t="shared" ca="1" si="30"/>
        <v>10224.916812865447</v>
      </c>
      <c r="BC46" s="72">
        <f t="shared" si="31"/>
        <v>0</v>
      </c>
      <c r="BD46" s="72">
        <f t="shared" ca="1" si="32"/>
        <v>5898.303187134552</v>
      </c>
      <c r="BE46" s="72">
        <f t="shared" ca="1" si="33"/>
        <v>-5403.2548621531987</v>
      </c>
    </row>
    <row r="47" spans="1:57" ht="15.75" customHeight="1" x14ac:dyDescent="0.25">
      <c r="A47" s="68" t="s">
        <v>66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5391.530935237738</v>
      </c>
      <c r="K47" s="11"/>
      <c r="L47" s="70">
        <f t="shared" ca="1" si="18"/>
        <v>-5391.530935237738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0</v>
      </c>
      <c r="O47" s="10"/>
      <c r="P47" s="70">
        <f t="shared" ca="1" si="19"/>
        <v>0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10085.517191901781</v>
      </c>
      <c r="BC47" s="70">
        <f t="shared" si="31"/>
        <v>0</v>
      </c>
      <c r="BD47" s="70">
        <f t="shared" ca="1" si="32"/>
        <v>-5346.5171919017812</v>
      </c>
      <c r="BE47" s="70">
        <f t="shared" ca="1" si="33"/>
        <v>-6062.0007898554759</v>
      </c>
    </row>
    <row r="48" spans="1:57" ht="15.75" customHeight="1" x14ac:dyDescent="0.25">
      <c r="A48" s="52" t="s">
        <v>67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6036.5153592969009</v>
      </c>
      <c r="K48" s="11"/>
      <c r="L48" s="72">
        <f t="shared" ca="1" si="18"/>
        <v>-6036.5153592969009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0</v>
      </c>
      <c r="O48" s="10"/>
      <c r="P48" s="72">
        <f t="shared" ca="1" si="19"/>
        <v>0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11338.529551342937</v>
      </c>
      <c r="BC48" s="72">
        <f t="shared" si="31"/>
        <v>0</v>
      </c>
      <c r="BD48" s="72">
        <f t="shared" ca="1" si="32"/>
        <v>-11338.529551342937</v>
      </c>
      <c r="BE48" s="72">
        <f t="shared" ca="1" si="33"/>
        <v>-14239.015866584734</v>
      </c>
    </row>
    <row r="49" spans="1:57" ht="15.75" customHeight="1" x14ac:dyDescent="0.25">
      <c r="A49" s="68" t="s">
        <v>68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6572.9852871011408</v>
      </c>
      <c r="K49" s="11"/>
      <c r="L49" s="70">
        <f t="shared" ca="1" si="18"/>
        <v>-6572.9852871011408</v>
      </c>
      <c r="M49" s="70">
        <f ca="1">INDIRECT("'June"&amp;Members!$F$2&amp;"-COLLECTION'!K"&amp;ROW()-1)</f>
        <v>0</v>
      </c>
      <c r="N49" s="70">
        <f ca="1">INDIRECT("'June"&amp;Members!$F$2&amp;"-EXPENSE'!R"&amp;ROW()+3)</f>
        <v>0</v>
      </c>
      <c r="O49" s="10"/>
      <c r="P49" s="70">
        <f t="shared" ca="1" si="19"/>
        <v>0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16641</v>
      </c>
      <c r="BB49" s="70">
        <f t="shared" ca="1" si="30"/>
        <v>13038.183355530124</v>
      </c>
      <c r="BC49" s="70">
        <f t="shared" si="31"/>
        <v>0</v>
      </c>
      <c r="BD49" s="70">
        <f t="shared" ca="1" si="32"/>
        <v>3602.8166444698763</v>
      </c>
      <c r="BE49" s="70">
        <f t="shared" ca="1" si="33"/>
        <v>-19135.237913320692</v>
      </c>
    </row>
    <row r="50" spans="1:57" ht="15.75" customHeight="1" x14ac:dyDescent="0.25">
      <c r="A50" s="52" t="s">
        <v>69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5484.7125870573909</v>
      </c>
      <c r="K50" s="11"/>
      <c r="L50" s="72">
        <f t="shared" ca="1" si="18"/>
        <v>-645.71258705739092</v>
      </c>
      <c r="M50" s="72">
        <f ca="1">INDIRECT("'June"&amp;Members!$F$2&amp;"-COLLECTION'!K"&amp;ROW()-1)</f>
        <v>0</v>
      </c>
      <c r="N50" s="72">
        <f ca="1">INDIRECT("'June"&amp;Members!$F$2&amp;"-EXPENSE'!R"&amp;ROW()+3)</f>
        <v>0</v>
      </c>
      <c r="O50" s="10"/>
      <c r="P50" s="72">
        <f t="shared" ca="1" si="19"/>
        <v>0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9678</v>
      </c>
      <c r="BB50" s="72">
        <f t="shared" ca="1" si="30"/>
        <v>10419.080212551167</v>
      </c>
      <c r="BC50" s="72">
        <f t="shared" si="31"/>
        <v>0</v>
      </c>
      <c r="BD50" s="72">
        <f t="shared" ca="1" si="32"/>
        <v>-741.08021255116728</v>
      </c>
      <c r="BE50" s="72">
        <f t="shared" ca="1" si="33"/>
        <v>4441.700458933994</v>
      </c>
    </row>
    <row r="51" spans="1:57" ht="15.75" customHeight="1" x14ac:dyDescent="0.25">
      <c r="A51" s="68" t="s">
        <v>70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6342.2507977481273</v>
      </c>
      <c r="K51" s="11"/>
      <c r="L51" s="70">
        <f t="shared" ca="1" si="18"/>
        <v>-6342.2507977481273</v>
      </c>
      <c r="M51" s="70">
        <f ca="1">INDIRECT("'June"&amp;Members!$F$2&amp;"-COLLECTION'!K"&amp;ROW()-1)</f>
        <v>0</v>
      </c>
      <c r="N51" s="70">
        <f ca="1">INDIRECT("'June"&amp;Members!$F$2&amp;"-EXPENSE'!R"&amp;ROW()+3)</f>
        <v>0</v>
      </c>
      <c r="O51" s="10"/>
      <c r="P51" s="70">
        <f t="shared" ca="1" si="19"/>
        <v>0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5879</v>
      </c>
      <c r="BB51" s="70">
        <f t="shared" ca="1" si="30"/>
        <v>12934.550467735276</v>
      </c>
      <c r="BC51" s="70">
        <f t="shared" si="31"/>
        <v>0</v>
      </c>
      <c r="BD51" s="70">
        <f t="shared" ca="1" si="32"/>
        <v>-7055.5504677352765</v>
      </c>
      <c r="BE51" s="70">
        <f t="shared" ca="1" si="33"/>
        <v>-8989.8281976709295</v>
      </c>
    </row>
    <row r="52" spans="1:57" ht="15.75" customHeight="1" x14ac:dyDescent="0.25">
      <c r="A52" s="52" t="s">
        <v>71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6465.2474794697209</v>
      </c>
      <c r="K52" s="11"/>
      <c r="L52" s="72">
        <f t="shared" ca="1" si="18"/>
        <v>-6465.2474794697209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0</v>
      </c>
      <c r="O52" s="10"/>
      <c r="P52" s="72">
        <f t="shared" ca="1" si="19"/>
        <v>0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12688.692911521935</v>
      </c>
      <c r="BC52" s="72">
        <f t="shared" si="31"/>
        <v>0</v>
      </c>
      <c r="BD52" s="72">
        <f t="shared" ca="1" si="32"/>
        <v>27158.647088478061</v>
      </c>
      <c r="BE52" s="72">
        <f t="shared" ca="1" si="33"/>
        <v>-12688.690719374335</v>
      </c>
    </row>
    <row r="53" spans="1:57" ht="15.75" customHeight="1" x14ac:dyDescent="0.25">
      <c r="A53" s="68" t="s">
        <v>72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5972.4940256168502</v>
      </c>
      <c r="K53" s="11"/>
      <c r="L53" s="70">
        <f t="shared" ca="1" si="18"/>
        <v>-4461.4940256168502</v>
      </c>
      <c r="M53" s="70">
        <f ca="1">INDIRECT("'June"&amp;Members!$F$2&amp;"-COLLECTION'!K"&amp;ROW()-1)</f>
        <v>0</v>
      </c>
      <c r="N53" s="70">
        <f ca="1">INDIRECT("'June"&amp;Members!$F$2&amp;"-EXPENSE'!R"&amp;ROW()+3)</f>
        <v>0</v>
      </c>
      <c r="O53" s="10"/>
      <c r="P53" s="70">
        <f t="shared" ca="1" si="19"/>
        <v>0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6942</v>
      </c>
      <c r="BB53" s="70">
        <f t="shared" ca="1" si="30"/>
        <v>11545.188519930894</v>
      </c>
      <c r="BC53" s="70">
        <f t="shared" si="31"/>
        <v>0</v>
      </c>
      <c r="BD53" s="70">
        <f t="shared" ca="1" si="32"/>
        <v>-4603.1885199308945</v>
      </c>
      <c r="BE53" s="70">
        <f t="shared" ca="1" si="33"/>
        <v>-541.3043490703626</v>
      </c>
    </row>
    <row r="54" spans="1:57" ht="15.75" customHeight="1" x14ac:dyDescent="0.25">
      <c r="A54" s="52" t="s">
        <v>73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5392.0487276534059</v>
      </c>
      <c r="K54" s="11"/>
      <c r="L54" s="72">
        <f t="shared" ca="1" si="18"/>
        <v>4907.9512723465941</v>
      </c>
      <c r="M54" s="72">
        <f ca="1">INDIRECT("'June"&amp;Members!$F$2&amp;"-COLLECTION'!K"&amp;ROW()-1)</f>
        <v>0</v>
      </c>
      <c r="N54" s="72">
        <f ca="1">INDIRECT("'June"&amp;Members!$F$2&amp;"-EXPENSE'!R"&amp;ROW()+3)</f>
        <v>0</v>
      </c>
      <c r="O54" s="10"/>
      <c r="P54" s="72">
        <f t="shared" ca="1" si="19"/>
        <v>0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40784.97</v>
      </c>
      <c r="BB54" s="72">
        <f t="shared" ca="1" si="30"/>
        <v>10125.658593899563</v>
      </c>
      <c r="BC54" s="72">
        <f t="shared" si="31"/>
        <v>0</v>
      </c>
      <c r="BD54" s="72">
        <f t="shared" ca="1" si="32"/>
        <v>30659.311406100438</v>
      </c>
      <c r="BE54" s="72">
        <f t="shared" ca="1" si="33"/>
        <v>-5391.8844717064785</v>
      </c>
    </row>
    <row r="55" spans="1:57" ht="15.75" customHeight="1" x14ac:dyDescent="0.25">
      <c r="A55" s="68" t="s">
        <v>75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5622.6672806602746</v>
      </c>
      <c r="K55" s="11"/>
      <c r="L55" s="70">
        <f t="shared" ca="1" si="18"/>
        <v>-279.66728066027463</v>
      </c>
      <c r="M55" s="70">
        <f ca="1">INDIRECT("'June"&amp;Members!$F$2&amp;"-COLLECTION'!K"&amp;ROW()-1)</f>
        <v>0</v>
      </c>
      <c r="N55" s="70">
        <f ca="1">INDIRECT("'June"&amp;Members!$F$2&amp;"-EXPENSE'!R"&amp;ROW()+3)</f>
        <v>0</v>
      </c>
      <c r="O55" s="10"/>
      <c r="P55" s="70">
        <f t="shared" ca="1" si="19"/>
        <v>0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31333</v>
      </c>
      <c r="BB55" s="70">
        <f t="shared" ca="1" si="30"/>
        <v>10629.84025014082</v>
      </c>
      <c r="BC55" s="70">
        <f t="shared" si="31"/>
        <v>0</v>
      </c>
      <c r="BD55" s="70">
        <f t="shared" ca="1" si="32"/>
        <v>20703.15974985918</v>
      </c>
      <c r="BE55" s="70">
        <f t="shared" ca="1" si="33"/>
        <v>-5622.8464493065512</v>
      </c>
    </row>
    <row r="56" spans="1:57" ht="15.75" customHeight="1" x14ac:dyDescent="0.25">
      <c r="A56" s="52" t="s">
        <v>76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6389.7397592993602</v>
      </c>
      <c r="K56" s="11"/>
      <c r="L56" s="72">
        <f t="shared" ca="1" si="18"/>
        <v>104.4002407006401</v>
      </c>
      <c r="M56" s="72">
        <f ca="1">INDIRECT("'June"&amp;Members!$F$2&amp;"-COLLECTION'!K"&amp;ROW()-1)</f>
        <v>0</v>
      </c>
      <c r="N56" s="72">
        <f ca="1">INDIRECT("'June"&amp;Members!$F$2&amp;"-EXPENSE'!R"&amp;ROW()+3)</f>
        <v>0</v>
      </c>
      <c r="O56" s="10"/>
      <c r="P56" s="72">
        <f t="shared" ca="1" si="19"/>
        <v>0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26493.59</v>
      </c>
      <c r="BB56" s="72">
        <f t="shared" ca="1" si="30"/>
        <v>12883.952763848574</v>
      </c>
      <c r="BC56" s="72">
        <f t="shared" si="31"/>
        <v>0</v>
      </c>
      <c r="BD56" s="72">
        <f t="shared" ca="1" si="32"/>
        <v>13609.637236151426</v>
      </c>
      <c r="BE56" s="72">
        <f t="shared" ca="1" si="33"/>
        <v>-6389.7363146874341</v>
      </c>
    </row>
    <row r="57" spans="1:57" ht="15.75" customHeight="1" x14ac:dyDescent="0.25">
      <c r="A57" s="68" t="s">
        <v>77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6162.6507998565448</v>
      </c>
      <c r="K57" s="11"/>
      <c r="L57" s="70">
        <f t="shared" ca="1" si="18"/>
        <v>13866.069200143456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0</v>
      </c>
      <c r="O57" s="10"/>
      <c r="P57" s="70">
        <f t="shared" ca="1" si="19"/>
        <v>0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12416.32661617568</v>
      </c>
      <c r="BC57" s="70">
        <f t="shared" si="31"/>
        <v>0</v>
      </c>
      <c r="BD57" s="70">
        <f t="shared" ca="1" si="32"/>
        <v>12324.393383824321</v>
      </c>
      <c r="BE57" s="70">
        <f t="shared" ca="1" si="33"/>
        <v>-6162.6498385111372</v>
      </c>
    </row>
    <row r="58" spans="1:57" ht="15.75" customHeight="1" x14ac:dyDescent="0.25">
      <c r="A58" s="52" t="s">
        <v>78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5793.2059112776715</v>
      </c>
      <c r="K58" s="11"/>
      <c r="L58" s="72">
        <f t="shared" ca="1" si="18"/>
        <v>-505.96591127767169</v>
      </c>
      <c r="M58" s="72">
        <f ca="1">INDIRECT("'June"&amp;Members!$F$2&amp;"-COLLECTION'!K"&amp;ROW()-1)</f>
        <v>0</v>
      </c>
      <c r="N58" s="72">
        <f ca="1">INDIRECT("'June"&amp;Members!$F$2&amp;"-EXPENSE'!R"&amp;ROW()+3)</f>
        <v>0</v>
      </c>
      <c r="O58" s="10"/>
      <c r="P58" s="72">
        <f t="shared" ca="1" si="19"/>
        <v>0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6823.9699999999993</v>
      </c>
      <c r="BB58" s="72">
        <f t="shared" ca="1" si="30"/>
        <v>10980.751385727108</v>
      </c>
      <c r="BC58" s="72">
        <f t="shared" si="31"/>
        <v>0</v>
      </c>
      <c r="BD58" s="72">
        <f t="shared" ca="1" si="32"/>
        <v>-4156.7813857271085</v>
      </c>
      <c r="BE58" s="72">
        <f t="shared" ca="1" si="33"/>
        <v>-5693.5130711476213</v>
      </c>
    </row>
    <row r="59" spans="1:57" ht="15.75" customHeight="1" x14ac:dyDescent="0.25">
      <c r="A59" s="68" t="s">
        <v>79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5455.6262392628851</v>
      </c>
      <c r="K59" s="11"/>
      <c r="L59" s="70">
        <f t="shared" ca="1" si="18"/>
        <v>-689.07623926288488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0</v>
      </c>
      <c r="O59" s="10"/>
      <c r="P59" s="70">
        <f t="shared" ca="1" si="19"/>
        <v>0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9551.5499999999993</v>
      </c>
      <c r="BB59" s="70">
        <f t="shared" ca="1" si="30"/>
        <v>10222.174750284361</v>
      </c>
      <c r="BC59" s="70">
        <f t="shared" si="31"/>
        <v>0</v>
      </c>
      <c r="BD59" s="70">
        <f t="shared" ca="1" si="32"/>
        <v>-670.62475028436165</v>
      </c>
      <c r="BE59" s="70">
        <f t="shared" ca="1" si="33"/>
        <v>-953.00946014680085</v>
      </c>
    </row>
    <row r="60" spans="1:57" ht="15.75" customHeight="1" x14ac:dyDescent="0.25">
      <c r="A60" s="52" t="s">
        <v>80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8165.560505082085</v>
      </c>
      <c r="K60" s="11"/>
      <c r="L60" s="72">
        <f t="shared" ca="1" si="18"/>
        <v>6834.439494917915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0</v>
      </c>
      <c r="O60" s="10"/>
      <c r="P60" s="72">
        <f t="shared" ca="1" si="19"/>
        <v>0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20920</v>
      </c>
      <c r="BB60" s="72">
        <f t="shared" ca="1" si="30"/>
        <v>13499.879064328956</v>
      </c>
      <c r="BC60" s="72">
        <f t="shared" si="31"/>
        <v>0</v>
      </c>
      <c r="BD60" s="72">
        <f t="shared" ca="1" si="32"/>
        <v>7420.1209356710442</v>
      </c>
      <c r="BE60" s="72">
        <f t="shared" ca="1" si="33"/>
        <v>3724.894347989813</v>
      </c>
    </row>
    <row r="61" spans="1:57" ht="15.75" customHeight="1" x14ac:dyDescent="0.25">
      <c r="A61" s="68" t="s">
        <v>81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5757.5522049416995</v>
      </c>
      <c r="K61" s="11"/>
      <c r="L61" s="70">
        <f t="shared" ca="1" si="18"/>
        <v>-570.55220494169953</v>
      </c>
      <c r="M61" s="70">
        <f ca="1">INDIRECT("'June"&amp;Members!$F$2&amp;"-COLLECTION'!K"&amp;ROW()-1)</f>
        <v>0</v>
      </c>
      <c r="N61" s="70">
        <f ca="1">INDIRECT("'June"&amp;Members!$F$2&amp;"-EXPENSE'!R"&amp;ROW()+3)</f>
        <v>0</v>
      </c>
      <c r="O61" s="10"/>
      <c r="P61" s="70">
        <f t="shared" ca="1" si="19"/>
        <v>0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16474</v>
      </c>
      <c r="BB61" s="70">
        <f t="shared" ca="1" si="30"/>
        <v>10943.456824393104</v>
      </c>
      <c r="BC61" s="70">
        <f t="shared" si="31"/>
        <v>0</v>
      </c>
      <c r="BD61" s="70">
        <f t="shared" ca="1" si="32"/>
        <v>5530.5431756068956</v>
      </c>
      <c r="BE61" s="70">
        <f t="shared" ca="1" si="33"/>
        <v>-5757.3212910727052</v>
      </c>
    </row>
    <row r="62" spans="1:57" ht="15.75" customHeight="1" x14ac:dyDescent="0.25">
      <c r="A62" s="52" t="s">
        <v>82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5606.171893704005</v>
      </c>
      <c r="K62" s="11"/>
      <c r="L62" s="72">
        <f t="shared" ca="1" si="18"/>
        <v>-5521.6818937040052</v>
      </c>
      <c r="M62" s="72">
        <f ca="1">INDIRECT("'June"&amp;Members!$F$2&amp;"-COLLECTION'!K"&amp;ROW()-1)</f>
        <v>0</v>
      </c>
      <c r="N62" s="72">
        <f ca="1">INDIRECT("'June"&amp;Members!$F$2&amp;"-EXPENSE'!R"&amp;ROW()+3)</f>
        <v>0</v>
      </c>
      <c r="O62" s="10"/>
      <c r="P62" s="72">
        <f t="shared" ca="1" si="19"/>
        <v>0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4890.49</v>
      </c>
      <c r="BB62" s="72">
        <f t="shared" ca="1" si="30"/>
        <v>10405.989409359127</v>
      </c>
      <c r="BC62" s="72">
        <f t="shared" si="31"/>
        <v>0</v>
      </c>
      <c r="BD62" s="72">
        <f t="shared" ca="1" si="32"/>
        <v>-5515.4994093591267</v>
      </c>
      <c r="BE62" s="72">
        <f t="shared" ca="1" si="33"/>
        <v>-5606.1704685352197</v>
      </c>
    </row>
    <row r="63" spans="1:57" ht="15.75" customHeight="1" x14ac:dyDescent="0.25">
      <c r="A63" s="68" t="s">
        <v>84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7008.2267976423545</v>
      </c>
      <c r="K63" s="11"/>
      <c r="L63" s="70">
        <f t="shared" ca="1" si="18"/>
        <v>-7008.2267976423545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0</v>
      </c>
      <c r="O63" s="10"/>
      <c r="P63" s="70">
        <f t="shared" ca="1" si="19"/>
        <v>0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11700.572199308364</v>
      </c>
      <c r="BC63" s="70">
        <f t="shared" si="31"/>
        <v>0</v>
      </c>
      <c r="BD63" s="70">
        <f t="shared" ca="1" si="32"/>
        <v>299.42780069163564</v>
      </c>
      <c r="BE63" s="70">
        <f t="shared" ca="1" si="33"/>
        <v>17157.486915707745</v>
      </c>
    </row>
    <row r="64" spans="1:57" ht="15.75" customHeight="1" x14ac:dyDescent="0.25">
      <c r="A64" s="52" t="s">
        <v>85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6141.035456916672</v>
      </c>
      <c r="K64" s="11"/>
      <c r="L64" s="72">
        <f t="shared" ca="1" si="18"/>
        <v>-791.03545691667205</v>
      </c>
      <c r="M64" s="72">
        <f ca="1">INDIRECT("'June"&amp;Members!$F$2&amp;"-COLLECTION'!K"&amp;ROW()-1)</f>
        <v>0</v>
      </c>
      <c r="N64" s="72">
        <f ca="1">INDIRECT("'June"&amp;Members!$F$2&amp;"-EXPENSE'!R"&amp;ROW()+3)</f>
        <v>0</v>
      </c>
      <c r="O64" s="10"/>
      <c r="P64" s="72">
        <f t="shared" ca="1" si="19"/>
        <v>0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9827</v>
      </c>
      <c r="BB64" s="72">
        <f t="shared" ca="1" si="30"/>
        <v>11491.728347237669</v>
      </c>
      <c r="BC64" s="72">
        <f t="shared" si="31"/>
        <v>0</v>
      </c>
      <c r="BD64" s="72">
        <f t="shared" ca="1" si="32"/>
        <v>-1664.7283472376694</v>
      </c>
      <c r="BE64" s="72">
        <f t="shared" ca="1" si="33"/>
        <v>-6141.6302080601126</v>
      </c>
    </row>
    <row r="65" spans="1:57" ht="15.75" customHeight="1" x14ac:dyDescent="0.25">
      <c r="A65" s="68" t="s">
        <v>86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5847.2252461978242</v>
      </c>
      <c r="K65" s="11"/>
      <c r="L65" s="70">
        <f t="shared" ca="1" si="18"/>
        <v>-427.22524619782416</v>
      </c>
      <c r="M65" s="70">
        <f ca="1">INDIRECT("'June"&amp;Members!$F$2&amp;"-COLLECTION'!K"&amp;ROW()-1)</f>
        <v>0</v>
      </c>
      <c r="N65" s="70">
        <f ca="1">INDIRECT("'June"&amp;Members!$F$2&amp;"-EXPENSE'!R"&amp;ROW()+3)</f>
        <v>0</v>
      </c>
      <c r="O65" s="10"/>
      <c r="P65" s="70">
        <f t="shared" ca="1" si="19"/>
        <v>0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10840</v>
      </c>
      <c r="BB65" s="70">
        <f t="shared" ca="1" si="30"/>
        <v>11415.969534035125</v>
      </c>
      <c r="BC65" s="70">
        <f t="shared" si="31"/>
        <v>0</v>
      </c>
      <c r="BD65" s="70">
        <f t="shared" ca="1" si="32"/>
        <v>-575.96953403512452</v>
      </c>
      <c r="BE65" s="70">
        <f t="shared" ca="1" si="33"/>
        <v>-32894.795820949919</v>
      </c>
    </row>
    <row r="66" spans="1:57" ht="15.75" customHeight="1" x14ac:dyDescent="0.25">
      <c r="A66" s="52" t="s">
        <v>87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6175.8914916286176</v>
      </c>
      <c r="K66" s="11"/>
      <c r="L66" s="72">
        <f t="shared" ca="1" si="18"/>
        <v>3824.1085083713824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0</v>
      </c>
      <c r="O66" s="10"/>
      <c r="P66" s="72">
        <f t="shared" ca="1" si="19"/>
        <v>0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12024.944619914437</v>
      </c>
      <c r="BC66" s="72">
        <f t="shared" si="31"/>
        <v>0</v>
      </c>
      <c r="BD66" s="72">
        <f t="shared" ca="1" si="32"/>
        <v>3206.0553800855632</v>
      </c>
      <c r="BE66" s="72">
        <f t="shared" ca="1" si="33"/>
        <v>-6144.1517593077369</v>
      </c>
    </row>
    <row r="67" spans="1:57" ht="15.75" customHeight="1" x14ac:dyDescent="0.25">
      <c r="A67" s="9"/>
      <c r="B67" s="8"/>
      <c r="C67" s="9" t="s">
        <v>88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257530.98999999996</v>
      </c>
      <c r="J67" s="11">
        <f t="shared" ca="1" si="34"/>
        <v>385692.96619999997</v>
      </c>
      <c r="K67" s="11">
        <f t="shared" si="34"/>
        <v>0</v>
      </c>
      <c r="L67" s="11">
        <f t="shared" ca="1" si="34"/>
        <v>-128161.97619999999</v>
      </c>
      <c r="M67" s="11">
        <f t="shared" ca="1" si="34"/>
        <v>0</v>
      </c>
      <c r="N67" s="11">
        <f t="shared" ca="1" si="34"/>
        <v>0</v>
      </c>
      <c r="O67" s="11">
        <f t="shared" si="34"/>
        <v>0</v>
      </c>
      <c r="P67" s="11">
        <f t="shared" ca="1" si="34"/>
        <v>0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781907.28999999992</v>
      </c>
      <c r="BB67" s="11">
        <f t="shared" ca="1" si="35"/>
        <v>733526.86379999993</v>
      </c>
      <c r="BC67" s="11">
        <f t="shared" si="35"/>
        <v>1000</v>
      </c>
      <c r="BD67" s="13">
        <f t="shared" ca="1" si="35"/>
        <v>47380.426200000016</v>
      </c>
      <c r="BE67" s="77">
        <f t="shared" ref="BE67" ca="1" si="36">BD67+D67</f>
        <v>-600669.46341299987</v>
      </c>
    </row>
  </sheetData>
  <autoFilter ref="A2:BF67" xr:uid="{00000000-0009-0000-0000-00001A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2026-06-12T07:37:41Z</dcterms:modified>
</cp:coreProperties>
</file>