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mrat.kar/Documents/"/>
    </mc:Choice>
  </mc:AlternateContent>
  <xr:revisionPtr revIDLastSave="0" documentId="13_ncr:1_{D99A7E42-F71C-3640-8CEB-80E28CF40B78}" xr6:coauthVersionLast="47" xr6:coauthVersionMax="47" xr10:uidLastSave="{00000000-0000-0000-0000-000000000000}"/>
  <bookViews>
    <workbookView xWindow="0" yWindow="600" windowWidth="38400" windowHeight="19840" xr2:uid="{245EB555-42D2-9745-BC57-6902534B5B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9" i="1" l="1"/>
  <c r="J38" i="1"/>
  <c r="J21" i="1"/>
</calcChain>
</file>

<file path=xl/sharedStrings.xml><?xml version="1.0" encoding="utf-8"?>
<sst xmlns="http://schemas.openxmlformats.org/spreadsheetml/2006/main" count="167" uniqueCount="144">
  <si>
    <t>MANA PRISTINE FLAT OWNERS WELFARE ASSOCIATION</t>
  </si>
  <si>
    <t>Advance From Flats</t>
  </si>
  <si>
    <t>Group Summary</t>
  </si>
  <si>
    <t>1-Apr-24 to 31-Mar-25</t>
  </si>
  <si>
    <t/>
  </si>
  <si>
    <t>Particulars</t>
  </si>
  <si>
    <t>Closing Balance</t>
  </si>
  <si>
    <t>Debit</t>
  </si>
  <si>
    <t>Credit</t>
  </si>
  <si>
    <t>Flat F Adv 1</t>
  </si>
  <si>
    <t>Flat F Adv 10</t>
  </si>
  <si>
    <t>Flat F Adv 11</t>
  </si>
  <si>
    <t>Flat F Adv 12</t>
  </si>
  <si>
    <t>Flat F Adv 13</t>
  </si>
  <si>
    <t>Flat F Adv 14</t>
  </si>
  <si>
    <t>Flat F Adv 15</t>
  </si>
  <si>
    <t>Flat F Adv 16</t>
  </si>
  <si>
    <t>Flat F Adv 2</t>
  </si>
  <si>
    <t>Flat F Adv 3</t>
  </si>
  <si>
    <t>Flat F Adv 4</t>
  </si>
  <si>
    <t>Flat F Adv 5</t>
  </si>
  <si>
    <t>Flat F Adv 6</t>
  </si>
  <si>
    <t>Flat F Adv 7</t>
  </si>
  <si>
    <t>Flat F Adv 8</t>
  </si>
  <si>
    <t>Flat F Adv 9</t>
  </si>
  <si>
    <t>Flat G Adv 1</t>
  </si>
  <si>
    <t>Flat G Adv 10</t>
  </si>
  <si>
    <t>Flat G Adv 11</t>
  </si>
  <si>
    <t>Flat G Adv 12</t>
  </si>
  <si>
    <t>Flat G Adv 13</t>
  </si>
  <si>
    <t>Flat G Adv 14</t>
  </si>
  <si>
    <t>Flat G Adv 15</t>
  </si>
  <si>
    <t>Flat G Adv 16</t>
  </si>
  <si>
    <t>Flat G Adv 2</t>
  </si>
  <si>
    <t>Flat G Adv 3</t>
  </si>
  <si>
    <t>Flat G Adv 4</t>
  </si>
  <si>
    <t>Flat G Adv 5</t>
  </si>
  <si>
    <t>Flat G Adv 6</t>
  </si>
  <si>
    <t>Flat G Adv 7</t>
  </si>
  <si>
    <t>Flat G Adv 8</t>
  </si>
  <si>
    <t>Flat G Adv 9</t>
  </si>
  <si>
    <t>Flat S Adv 1</t>
  </si>
  <si>
    <t>Flat S Adv 10</t>
  </si>
  <si>
    <t>Flat S Adv 11</t>
  </si>
  <si>
    <t>Flat S Adv 12</t>
  </si>
  <si>
    <t>Flat S Adv 13</t>
  </si>
  <si>
    <t>Flat S Adv 14</t>
  </si>
  <si>
    <t>Flat S Adv 15</t>
  </si>
  <si>
    <t>Flat S Adv 16</t>
  </si>
  <si>
    <t>Flat S Adv 2</t>
  </si>
  <si>
    <t>Flat S Adv 3</t>
  </si>
  <si>
    <t>Flat S Adv 4</t>
  </si>
  <si>
    <t>Flat S Adv 5</t>
  </si>
  <si>
    <t>Flat S Adv 6</t>
  </si>
  <si>
    <t>Flat S Adv 7</t>
  </si>
  <si>
    <t>Flat S Adv 8</t>
  </si>
  <si>
    <t>Flat S Adv 9</t>
  </si>
  <si>
    <t>Flat T Adv 1</t>
  </si>
  <si>
    <t>Flat T Adv 10</t>
  </si>
  <si>
    <t>Flat T Adv 11</t>
  </si>
  <si>
    <t>Flat T Adv 12</t>
  </si>
  <si>
    <t>Flat T Adv 13</t>
  </si>
  <si>
    <t>Flat T Adv 14</t>
  </si>
  <si>
    <t>Flat T Adv 15</t>
  </si>
  <si>
    <t>Flat T Adv 16</t>
  </si>
  <si>
    <t>Flat T Adv 2</t>
  </si>
  <si>
    <t>Flat T Adv 3</t>
  </si>
  <si>
    <t>Flat T Adv 4</t>
  </si>
  <si>
    <t>Flat T Adv 5</t>
  </si>
  <si>
    <t>Flat T Adv 6</t>
  </si>
  <si>
    <t>Flat T Adv 7</t>
  </si>
  <si>
    <t>Flat T Adv 8</t>
  </si>
  <si>
    <t>Flat T Adv 9</t>
  </si>
  <si>
    <t>Grand Total</t>
  </si>
  <si>
    <t>Sundry Debtors</t>
  </si>
  <si>
    <t>Flat F1</t>
  </si>
  <si>
    <t>Flat F10</t>
  </si>
  <si>
    <t>Flat F11</t>
  </si>
  <si>
    <t>Flat F12</t>
  </si>
  <si>
    <t>Flat F13</t>
  </si>
  <si>
    <t>Flat F14</t>
  </si>
  <si>
    <t>Flat F15</t>
  </si>
  <si>
    <t>Flat F16</t>
  </si>
  <si>
    <t>Flat F2</t>
  </si>
  <si>
    <t>Flat F3</t>
  </si>
  <si>
    <t>Flat F4</t>
  </si>
  <si>
    <t>Flat F5</t>
  </si>
  <si>
    <t>Flat F6</t>
  </si>
  <si>
    <t>Flat F7</t>
  </si>
  <si>
    <t>Flat F8</t>
  </si>
  <si>
    <t>Flat F9</t>
  </si>
  <si>
    <t>Flat G1</t>
  </si>
  <si>
    <t>Flat G10</t>
  </si>
  <si>
    <t>Flat G11</t>
  </si>
  <si>
    <t>Flat G12</t>
  </si>
  <si>
    <t>Flat G13</t>
  </si>
  <si>
    <t>Flat G14</t>
  </si>
  <si>
    <t>Flat G15</t>
  </si>
  <si>
    <t>Flat G16</t>
  </si>
  <si>
    <t>Flat G2</t>
  </si>
  <si>
    <t>Flat G3</t>
  </si>
  <si>
    <t>Flat G4</t>
  </si>
  <si>
    <t>Flat G5</t>
  </si>
  <si>
    <t>Flat G6</t>
  </si>
  <si>
    <t>Flat G7</t>
  </si>
  <si>
    <t>Flat G8</t>
  </si>
  <si>
    <t>Flat G9</t>
  </si>
  <si>
    <t>Flat S1</t>
  </si>
  <si>
    <t>Flat S10</t>
  </si>
  <si>
    <t>Flat S11</t>
  </si>
  <si>
    <t>Flat S12</t>
  </si>
  <si>
    <t>Flat S13</t>
  </si>
  <si>
    <t>Flat S14</t>
  </si>
  <si>
    <t>Flat S15</t>
  </si>
  <si>
    <t>Flat S16</t>
  </si>
  <si>
    <t>Flat S2</t>
  </si>
  <si>
    <t>Flat S3</t>
  </si>
  <si>
    <t>Flat S4</t>
  </si>
  <si>
    <t>Flat S5</t>
  </si>
  <si>
    <t>Flat S6</t>
  </si>
  <si>
    <t>Flat S7</t>
  </si>
  <si>
    <t>Flat S8</t>
  </si>
  <si>
    <t>Flat S9</t>
  </si>
  <si>
    <t>Flat T1</t>
  </si>
  <si>
    <t>Flat T10</t>
  </si>
  <si>
    <t>Flat T11</t>
  </si>
  <si>
    <t>Flat T12</t>
  </si>
  <si>
    <t>Flat T13</t>
  </si>
  <si>
    <t>Flat T14</t>
  </si>
  <si>
    <t>Flat T15</t>
  </si>
  <si>
    <t>Flat T16</t>
  </si>
  <si>
    <t>Flat T2</t>
  </si>
  <si>
    <t>Flat T3</t>
  </si>
  <si>
    <t>Flat T4</t>
  </si>
  <si>
    <t>Flat T5</t>
  </si>
  <si>
    <t>Flat T6</t>
  </si>
  <si>
    <t>Flat T7</t>
  </si>
  <si>
    <t>Flat T8</t>
  </si>
  <si>
    <t>Flat T9</t>
  </si>
  <si>
    <t>Unresolved Amount</t>
  </si>
  <si>
    <t>Partially cleared their dues</t>
  </si>
  <si>
    <t>Fully cleared the dues</t>
  </si>
  <si>
    <t>We had identified 10000+4750 as belonging to G-16 from the ledgers and corrected</t>
  </si>
  <si>
    <t>Fully cleared their dues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</si>
</sst>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&quot;0"/>
    <numFmt numFmtId="165" formatCode="&quot;&quot;0.00"/>
    <numFmt numFmtId="166" formatCode="0.000"/>
  </numFmts>
  <fonts count="10" x14ac:knownFonts="1">
    <font>
      <sz val="12"/>
      <color theme="1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25">
    <xf numFmtId="0" fontId="0" fillId="0" borderId="0" xfId="0"/>
    <xf numFmtId="49" fontId="7" fillId="0" borderId="1" xfId="0" applyNumberFormat="1" applyFont="1" applyBorder="1" applyAlignment="1">
      <alignment horizontal="left" vertical="top" indent="2"/>
    </xf>
    <xf numFmtId="49" fontId="7" fillId="0" borderId="0" xfId="0" applyNumberFormat="1" applyFont="1" applyAlignment="1">
      <alignment horizontal="left" vertical="top" indent="2"/>
    </xf>
    <xf numFmtId="49" fontId="7" fillId="0" borderId="2" xfId="0" applyNumberFormat="1" applyFont="1" applyBorder="1" applyAlignment="1">
      <alignment horizontal="left" vertical="top" indent="2"/>
    </xf>
    <xf numFmtId="49" fontId="7" fillId="0" borderId="4" xfId="0" applyNumberFormat="1" applyFont="1" applyBorder="1" applyAlignment="1">
      <alignment horizontal="left" vertical="top" indent="2"/>
    </xf>
    <xf numFmtId="49" fontId="9" fillId="0" borderId="5" xfId="0" applyNumberFormat="1" applyFont="1" applyBorder="1" applyAlignment="1">
      <alignment horizontal="center" vertical="top"/>
    </xf>
    <xf numFmtId="49" fontId="9" fillId="0" borderId="0" xfId="0" applyNumberFormat="1" applyFont="1" applyAlignment="1">
      <alignment vertical="top"/>
    </xf>
    <xf numFmtId="164" fontId="9" fillId="0" borderId="0" xfId="0" applyNumberFormat="1" applyFont="1" applyAlignment="1">
      <alignment horizontal="right" vertical="top"/>
    </xf>
    <xf numFmtId="49" fontId="7" fillId="0" borderId="6" xfId="0" applyNumberFormat="1" applyFont="1" applyBorder="1" applyAlignment="1">
      <alignment horizontal="left" vertical="top" indent="2"/>
    </xf>
    <xf numFmtId="165" fontId="7" fillId="0" borderId="6" xfId="0" applyNumberFormat="1" applyFont="1" applyBorder="1" applyAlignment="1">
      <alignment horizontal="right" vertical="top"/>
    </xf>
    <xf numFmtId="165" fontId="2" fillId="3" borderId="0" xfId="2" applyNumberFormat="1" applyAlignment="1">
      <alignment horizontal="right" vertical="top"/>
    </xf>
    <xf numFmtId="165" fontId="3" fillId="4" borderId="0" xfId="3" applyNumberFormat="1" applyAlignment="1">
      <alignment horizontal="right" vertical="top"/>
    </xf>
    <xf numFmtId="165" fontId="1" fillId="2" borderId="0" xfId="1" applyNumberFormat="1" applyAlignment="1">
      <alignment horizontal="right" vertical="top"/>
    </xf>
    <xf numFmtId="0" fontId="4" fillId="0" borderId="0" xfId="0" applyFont="1"/>
    <xf numFmtId="2" fontId="0" fillId="0" borderId="0" xfId="0" applyNumberFormat="1"/>
    <xf numFmtId="166" fontId="0" fillId="0" borderId="0" xfId="0" applyNumberFormat="1"/>
    <xf numFmtId="49" fontId="9" fillId="0" borderId="2" xfId="0" applyNumberFormat="1" applyFont="1" applyBorder="1" applyAlignment="1">
      <alignment horizontal="center" vertical="top" wrapText="1"/>
    </xf>
    <xf numFmtId="49" fontId="9" fillId="0" borderId="0" xfId="0" applyNumberFormat="1" applyFont="1" applyAlignment="1">
      <alignment horizontal="center" vertical="top" wrapText="1"/>
    </xf>
    <xf numFmtId="49" fontId="7" fillId="0" borderId="3" xfId="0" applyNumberFormat="1" applyFont="1" applyBorder="1" applyAlignment="1">
      <alignment horizontal="center" vertical="top"/>
    </xf>
    <xf numFmtId="49" fontId="7" fillId="0" borderId="1" xfId="0" applyNumberFormat="1" applyFont="1" applyBorder="1" applyAlignment="1">
      <alignment horizontal="center" vertical="top"/>
    </xf>
    <xf numFmtId="49" fontId="5" fillId="0" borderId="0" xfId="0" applyNumberFormat="1" applyFont="1" applyAlignment="1">
      <alignment vertical="top"/>
    </xf>
    <xf numFmtId="49" fontId="6" fillId="0" borderId="0" xfId="0" applyNumberFormat="1" applyFont="1" applyAlignment="1">
      <alignment vertical="top"/>
    </xf>
    <xf numFmtId="49" fontId="8" fillId="0" borderId="1" xfId="0" applyNumberFormat="1" applyFont="1" applyBorder="1" applyAlignment="1">
      <alignment horizontal="center" vertical="top" wrapText="1"/>
    </xf>
    <xf numFmtId="49" fontId="7" fillId="0" borderId="2" xfId="0" applyNumberFormat="1" applyFont="1" applyBorder="1" applyAlignment="1">
      <alignment horizontal="center" vertical="top" wrapText="1"/>
    </xf>
    <xf numFmtId="49" fontId="7" fillId="0" borderId="0" xfId="0" applyNumberFormat="1" applyFont="1" applyAlignment="1">
      <alignment horizontal="center" vertical="top" wrapText="1"/>
    </xf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1B3DF-1317-A641-941F-79612B358BE4}">
  <dimension ref="A1:K74"/>
  <sheetViews>
    <sheetView tabSelected="1" topLeftCell="A38" zoomScale="160" zoomScaleNormal="160" workbookViewId="0">
      <selection activeCell="I57" sqref="I57"/>
    </sheetView>
  </sheetViews>
  <sheetFormatPr baseColWidth="10" defaultRowHeight="16" x14ac:dyDescent="0.2"/>
  <cols>
    <col min="9" max="9" width="17.5" bestFit="1" customWidth="1"/>
    <col min="11" max="11" width="25.5" customWidth="1"/>
  </cols>
  <sheetData>
    <row r="1" spans="1:9" x14ac:dyDescent="0.2">
      <c r="A1" s="20" t="s">
        <v>0</v>
      </c>
      <c r="B1" s="20"/>
      <c r="C1" s="20"/>
      <c r="E1" s="20" t="s">
        <v>0</v>
      </c>
      <c r="F1" s="20"/>
      <c r="G1" s="20"/>
    </row>
    <row r="2" spans="1:9" x14ac:dyDescent="0.2">
      <c r="A2" s="20" t="s">
        <v>1</v>
      </c>
      <c r="B2" s="20"/>
      <c r="C2" s="20"/>
      <c r="E2" s="20" t="s">
        <v>74</v>
      </c>
      <c r="F2" s="20"/>
      <c r="G2" s="20"/>
    </row>
    <row r="3" spans="1:9" x14ac:dyDescent="0.2">
      <c r="A3" s="21" t="s">
        <v>2</v>
      </c>
      <c r="B3" s="21"/>
      <c r="C3" s="21"/>
      <c r="E3" s="21" t="s">
        <v>2</v>
      </c>
      <c r="F3" s="21"/>
      <c r="G3" s="21"/>
    </row>
    <row r="4" spans="1:9" x14ac:dyDescent="0.2">
      <c r="A4" s="21" t="s">
        <v>3</v>
      </c>
      <c r="B4" s="21"/>
      <c r="C4" s="21"/>
      <c r="E4" s="21" t="s">
        <v>3</v>
      </c>
      <c r="F4" s="21"/>
      <c r="G4" s="21"/>
    </row>
    <row r="5" spans="1:9" x14ac:dyDescent="0.2">
      <c r="A5" s="1" t="s">
        <v>4</v>
      </c>
      <c r="B5" s="22" t="s">
        <v>1</v>
      </c>
      <c r="C5" s="22"/>
      <c r="E5" s="1" t="s">
        <v>4</v>
      </c>
      <c r="F5" s="22" t="s">
        <v>74</v>
      </c>
      <c r="G5" s="22"/>
    </row>
    <row r="6" spans="1:9" x14ac:dyDescent="0.2">
      <c r="A6" s="2" t="s">
        <v>4</v>
      </c>
      <c r="B6" s="23" t="s">
        <v>0</v>
      </c>
      <c r="C6" s="24"/>
      <c r="E6" s="2" t="s">
        <v>4</v>
      </c>
      <c r="F6" s="23" t="s">
        <v>0</v>
      </c>
      <c r="G6" s="24"/>
    </row>
    <row r="7" spans="1:9" x14ac:dyDescent="0.2">
      <c r="A7" s="3" t="s">
        <v>5</v>
      </c>
      <c r="B7" s="16" t="s">
        <v>3</v>
      </c>
      <c r="C7" s="17"/>
      <c r="E7" s="3" t="s">
        <v>5</v>
      </c>
      <c r="F7" s="16" t="s">
        <v>3</v>
      </c>
      <c r="G7" s="17"/>
    </row>
    <row r="8" spans="1:9" x14ac:dyDescent="0.2">
      <c r="A8" s="3" t="s">
        <v>4</v>
      </c>
      <c r="B8" s="18" t="s">
        <v>6</v>
      </c>
      <c r="C8" s="19"/>
      <c r="E8" s="3" t="s">
        <v>4</v>
      </c>
      <c r="F8" s="18" t="s">
        <v>6</v>
      </c>
      <c r="G8" s="19"/>
    </row>
    <row r="9" spans="1:9" x14ac:dyDescent="0.2">
      <c r="A9" s="4" t="s">
        <v>4</v>
      </c>
      <c r="B9" s="5" t="s">
        <v>7</v>
      </c>
      <c r="C9" s="5" t="s">
        <v>8</v>
      </c>
      <c r="E9" s="4" t="s">
        <v>4</v>
      </c>
      <c r="F9" s="5" t="s">
        <v>7</v>
      </c>
      <c r="G9" s="5" t="s">
        <v>8</v>
      </c>
      <c r="I9" s="13" t="s">
        <v>139</v>
      </c>
    </row>
    <row r="10" spans="1:9" x14ac:dyDescent="0.2">
      <c r="A10" s="6" t="s">
        <v>9</v>
      </c>
      <c r="B10" s="7"/>
      <c r="C10" s="10">
        <v>10000</v>
      </c>
      <c r="E10" s="6" t="s">
        <v>75</v>
      </c>
      <c r="F10" s="7"/>
      <c r="G10" s="10">
        <v>8307</v>
      </c>
    </row>
    <row r="11" spans="1:9" x14ac:dyDescent="0.2">
      <c r="A11" s="6" t="s">
        <v>10</v>
      </c>
      <c r="B11" s="7"/>
      <c r="C11" s="10">
        <v>10001</v>
      </c>
      <c r="E11" s="6" t="s">
        <v>76</v>
      </c>
      <c r="F11" s="10">
        <v>9917</v>
      </c>
      <c r="G11" s="7"/>
    </row>
    <row r="12" spans="1:9" x14ac:dyDescent="0.2">
      <c r="A12" s="6" t="s">
        <v>11</v>
      </c>
      <c r="B12" s="7"/>
      <c r="C12" s="10">
        <v>0.26</v>
      </c>
      <c r="E12" s="6" t="s">
        <v>77</v>
      </c>
      <c r="F12" s="7"/>
      <c r="G12" s="10">
        <v>8863.39</v>
      </c>
    </row>
    <row r="13" spans="1:9" x14ac:dyDescent="0.2">
      <c r="A13" s="6" t="s">
        <v>12</v>
      </c>
      <c r="B13" s="7"/>
      <c r="C13" s="10">
        <v>19690</v>
      </c>
      <c r="E13" s="6" t="s">
        <v>78</v>
      </c>
      <c r="F13" s="10">
        <v>349</v>
      </c>
      <c r="G13" s="7"/>
    </row>
    <row r="14" spans="1:9" x14ac:dyDescent="0.2">
      <c r="A14" s="6" t="s">
        <v>13</v>
      </c>
      <c r="B14" s="7"/>
      <c r="C14" s="10">
        <v>10310</v>
      </c>
      <c r="E14" s="6" t="s">
        <v>79</v>
      </c>
      <c r="F14" s="10">
        <v>24786.16</v>
      </c>
      <c r="G14" s="7"/>
    </row>
    <row r="15" spans="1:9" x14ac:dyDescent="0.2">
      <c r="A15" s="6" t="s">
        <v>14</v>
      </c>
      <c r="B15" s="7"/>
      <c r="C15" s="10">
        <v>33114</v>
      </c>
      <c r="E15" s="6" t="s">
        <v>80</v>
      </c>
      <c r="F15" s="10">
        <v>29292.03</v>
      </c>
      <c r="G15" s="7"/>
    </row>
    <row r="16" spans="1:9" x14ac:dyDescent="0.2">
      <c r="A16" s="6" t="s">
        <v>15</v>
      </c>
      <c r="B16" s="7"/>
      <c r="C16" s="10">
        <v>10001</v>
      </c>
      <c r="E16" s="6" t="s">
        <v>81</v>
      </c>
      <c r="F16" s="7"/>
      <c r="G16" s="10">
        <v>3023</v>
      </c>
    </row>
    <row r="17" spans="1:11" x14ac:dyDescent="0.2">
      <c r="A17" s="6" t="s">
        <v>16</v>
      </c>
      <c r="B17" s="7"/>
      <c r="C17" s="10">
        <v>0.26</v>
      </c>
      <c r="E17" s="6" t="s">
        <v>82</v>
      </c>
      <c r="F17" s="7"/>
      <c r="G17" s="10">
        <v>52406.22</v>
      </c>
    </row>
    <row r="18" spans="1:11" x14ac:dyDescent="0.2">
      <c r="A18" s="6" t="s">
        <v>17</v>
      </c>
      <c r="B18" s="11">
        <v>8466</v>
      </c>
      <c r="C18" s="7"/>
      <c r="E18" s="6" t="s">
        <v>83</v>
      </c>
      <c r="F18" s="11">
        <v>35466</v>
      </c>
      <c r="G18" s="7"/>
      <c r="I18">
        <v>25006</v>
      </c>
      <c r="K18" t="s">
        <v>140</v>
      </c>
    </row>
    <row r="19" spans="1:11" x14ac:dyDescent="0.2">
      <c r="A19" s="6" t="s">
        <v>18</v>
      </c>
      <c r="B19" s="7"/>
      <c r="C19" s="10">
        <v>28570.26</v>
      </c>
      <c r="E19" s="6" t="s">
        <v>84</v>
      </c>
      <c r="F19" s="10">
        <v>26264.54</v>
      </c>
      <c r="G19" s="7"/>
    </row>
    <row r="20" spans="1:11" x14ac:dyDescent="0.2">
      <c r="A20" s="6" t="s">
        <v>19</v>
      </c>
      <c r="B20" s="7"/>
      <c r="C20" s="10">
        <v>10000.26</v>
      </c>
      <c r="E20" s="6" t="s">
        <v>85</v>
      </c>
      <c r="F20" s="10">
        <v>1182.06</v>
      </c>
      <c r="G20" s="7"/>
    </row>
    <row r="21" spans="1:11" x14ac:dyDescent="0.2">
      <c r="A21" s="6" t="s">
        <v>20</v>
      </c>
      <c r="B21" s="12">
        <v>7566</v>
      </c>
      <c r="C21" s="7"/>
      <c r="E21" s="6" t="s">
        <v>86</v>
      </c>
      <c r="F21" s="12">
        <v>1876.43</v>
      </c>
      <c r="G21" s="7"/>
      <c r="I21">
        <v>0</v>
      </c>
      <c r="J21" s="14">
        <f>F21+B21</f>
        <v>9442.43</v>
      </c>
      <c r="K21" t="s">
        <v>141</v>
      </c>
    </row>
    <row r="22" spans="1:11" x14ac:dyDescent="0.2">
      <c r="A22" s="6" t="s">
        <v>21</v>
      </c>
      <c r="B22" s="7"/>
      <c r="C22" s="10">
        <v>10000.26</v>
      </c>
      <c r="E22" s="6" t="s">
        <v>87</v>
      </c>
      <c r="F22" s="10">
        <v>15637.3</v>
      </c>
      <c r="G22" s="7"/>
    </row>
    <row r="23" spans="1:11" x14ac:dyDescent="0.2">
      <c r="A23" s="6" t="s">
        <v>22</v>
      </c>
      <c r="B23" s="7"/>
      <c r="C23" s="10">
        <v>32400</v>
      </c>
      <c r="E23" s="6" t="s">
        <v>88</v>
      </c>
      <c r="F23" s="10">
        <v>8524.39</v>
      </c>
      <c r="G23" s="7"/>
    </row>
    <row r="24" spans="1:11" x14ac:dyDescent="0.2">
      <c r="A24" s="6" t="s">
        <v>23</v>
      </c>
      <c r="B24" s="7"/>
      <c r="C24" s="10">
        <v>10001</v>
      </c>
      <c r="E24" s="6" t="s">
        <v>89</v>
      </c>
      <c r="F24" s="7"/>
      <c r="G24" s="10">
        <v>15457.48</v>
      </c>
    </row>
    <row r="25" spans="1:11" x14ac:dyDescent="0.2">
      <c r="A25" s="6" t="s">
        <v>24</v>
      </c>
      <c r="B25" s="7"/>
      <c r="C25" s="10">
        <v>10000</v>
      </c>
      <c r="E25" s="6" t="s">
        <v>90</v>
      </c>
      <c r="F25" s="7"/>
      <c r="G25" s="10">
        <v>14757.41</v>
      </c>
    </row>
    <row r="26" spans="1:11" x14ac:dyDescent="0.2">
      <c r="A26" s="6" t="s">
        <v>25</v>
      </c>
      <c r="B26" s="7"/>
      <c r="C26" s="10">
        <v>30000.26</v>
      </c>
      <c r="E26" s="6" t="s">
        <v>91</v>
      </c>
      <c r="F26" s="10">
        <v>34630.67</v>
      </c>
      <c r="G26" s="7"/>
    </row>
    <row r="27" spans="1:11" x14ac:dyDescent="0.2">
      <c r="A27" s="6" t="s">
        <v>26</v>
      </c>
      <c r="B27" s="7"/>
      <c r="C27" s="10">
        <v>12000</v>
      </c>
      <c r="E27" s="6" t="s">
        <v>92</v>
      </c>
      <c r="F27" s="7"/>
      <c r="G27" s="10">
        <v>26372</v>
      </c>
    </row>
    <row r="28" spans="1:11" x14ac:dyDescent="0.2">
      <c r="A28" s="6" t="s">
        <v>27</v>
      </c>
      <c r="B28" s="7"/>
      <c r="C28" s="10">
        <v>1</v>
      </c>
      <c r="E28" s="6" t="s">
        <v>93</v>
      </c>
      <c r="F28" s="7"/>
      <c r="G28" s="10">
        <v>16679.73</v>
      </c>
    </row>
    <row r="29" spans="1:11" x14ac:dyDescent="0.2">
      <c r="A29" s="6" t="s">
        <v>28</v>
      </c>
      <c r="B29" s="7"/>
      <c r="C29" s="10">
        <v>1</v>
      </c>
      <c r="E29" s="6" t="s">
        <v>94</v>
      </c>
      <c r="F29" s="10">
        <v>18500</v>
      </c>
      <c r="G29" s="7"/>
    </row>
    <row r="30" spans="1:11" x14ac:dyDescent="0.2">
      <c r="A30" s="6" t="s">
        <v>29</v>
      </c>
      <c r="B30" s="7"/>
      <c r="C30" s="10">
        <v>10000</v>
      </c>
      <c r="E30" s="6" t="s">
        <v>95</v>
      </c>
      <c r="F30" s="10">
        <v>13389.09</v>
      </c>
      <c r="G30" s="7"/>
    </row>
    <row r="31" spans="1:11" x14ac:dyDescent="0.2">
      <c r="A31" s="6" t="s">
        <v>30</v>
      </c>
      <c r="B31" s="7"/>
      <c r="C31" s="10">
        <v>23695</v>
      </c>
      <c r="E31" s="6" t="s">
        <v>96</v>
      </c>
      <c r="F31" s="10">
        <v>6250</v>
      </c>
      <c r="G31" s="7"/>
    </row>
    <row r="32" spans="1:11" x14ac:dyDescent="0.2">
      <c r="A32" s="6" t="s">
        <v>31</v>
      </c>
      <c r="B32" s="7"/>
      <c r="C32" s="10">
        <v>10000.26</v>
      </c>
      <c r="E32" s="6" t="s">
        <v>97</v>
      </c>
      <c r="F32" s="7"/>
      <c r="G32" s="10">
        <v>12477.74</v>
      </c>
    </row>
    <row r="33" spans="1:11" x14ac:dyDescent="0.2">
      <c r="A33" s="6" t="s">
        <v>32</v>
      </c>
      <c r="B33" s="7"/>
      <c r="C33" s="11">
        <v>0.26</v>
      </c>
      <c r="E33" s="6" t="s">
        <v>98</v>
      </c>
      <c r="F33" s="11">
        <v>24704.07</v>
      </c>
      <c r="G33" s="7"/>
      <c r="I33">
        <v>9953.81</v>
      </c>
      <c r="J33" s="15"/>
      <c r="K33" t="s">
        <v>142</v>
      </c>
    </row>
    <row r="34" spans="1:11" x14ac:dyDescent="0.2">
      <c r="A34" s="6" t="s">
        <v>33</v>
      </c>
      <c r="B34" s="7"/>
      <c r="C34" s="10">
        <v>33674</v>
      </c>
      <c r="E34" s="6" t="s">
        <v>99</v>
      </c>
      <c r="F34" s="10">
        <v>35716.25</v>
      </c>
      <c r="G34" s="7"/>
    </row>
    <row r="35" spans="1:11" x14ac:dyDescent="0.2">
      <c r="A35" s="6" t="s">
        <v>34</v>
      </c>
      <c r="B35" s="7"/>
      <c r="C35" s="10">
        <v>4501</v>
      </c>
      <c r="E35" s="6" t="s">
        <v>100</v>
      </c>
      <c r="F35" s="7"/>
      <c r="G35" s="10">
        <v>5386</v>
      </c>
    </row>
    <row r="36" spans="1:11" x14ac:dyDescent="0.2">
      <c r="A36" s="6" t="s">
        <v>35</v>
      </c>
      <c r="B36" s="7"/>
      <c r="C36" s="10">
        <v>32833</v>
      </c>
      <c r="E36" s="6" t="s">
        <v>101</v>
      </c>
      <c r="F36" s="7"/>
      <c r="G36" s="10">
        <v>3229</v>
      </c>
    </row>
    <row r="37" spans="1:11" x14ac:dyDescent="0.2">
      <c r="A37" s="6" t="s">
        <v>36</v>
      </c>
      <c r="B37" s="7"/>
      <c r="C37" s="10">
        <v>0.26</v>
      </c>
      <c r="E37" s="6" t="s">
        <v>102</v>
      </c>
      <c r="F37" s="7"/>
      <c r="G37" s="10">
        <v>11424.23</v>
      </c>
    </row>
    <row r="38" spans="1:11" x14ac:dyDescent="0.2">
      <c r="A38" s="6" t="s">
        <v>37</v>
      </c>
      <c r="B38" s="7"/>
      <c r="C38" s="12">
        <v>10034</v>
      </c>
      <c r="E38" s="6" t="s">
        <v>103</v>
      </c>
      <c r="F38" s="12">
        <v>87741.03</v>
      </c>
      <c r="G38" s="7"/>
      <c r="J38" s="14">
        <f>F38-C38</f>
        <v>77707.03</v>
      </c>
      <c r="K38" t="s">
        <v>143</v>
      </c>
    </row>
    <row r="39" spans="1:11" x14ac:dyDescent="0.2">
      <c r="A39" s="6" t="s">
        <v>38</v>
      </c>
      <c r="B39" s="7"/>
      <c r="C39" s="10">
        <v>10001</v>
      </c>
      <c r="E39" s="6" t="s">
        <v>104</v>
      </c>
      <c r="F39" s="7"/>
      <c r="G39" s="10">
        <v>24394.49</v>
      </c>
    </row>
    <row r="40" spans="1:11" x14ac:dyDescent="0.2">
      <c r="A40" s="6" t="s">
        <v>39</v>
      </c>
      <c r="B40" s="7"/>
      <c r="C40" s="10">
        <v>10001</v>
      </c>
      <c r="E40" s="6" t="s">
        <v>105</v>
      </c>
      <c r="F40" s="10">
        <v>20403</v>
      </c>
      <c r="G40" s="7"/>
    </row>
    <row r="41" spans="1:11" x14ac:dyDescent="0.2">
      <c r="A41" s="6" t="s">
        <v>40</v>
      </c>
      <c r="B41" s="7"/>
      <c r="C41" s="10">
        <v>7876</v>
      </c>
      <c r="E41" s="6" t="s">
        <v>106</v>
      </c>
      <c r="F41" s="7"/>
      <c r="G41" s="10">
        <v>36639</v>
      </c>
    </row>
    <row r="42" spans="1:11" x14ac:dyDescent="0.2">
      <c r="A42" s="6" t="s">
        <v>41</v>
      </c>
      <c r="B42" s="7"/>
      <c r="C42" s="10">
        <v>22073</v>
      </c>
      <c r="E42" s="6" t="s">
        <v>107</v>
      </c>
      <c r="F42" s="10">
        <v>49045.8</v>
      </c>
      <c r="G42" s="7"/>
    </row>
    <row r="43" spans="1:11" x14ac:dyDescent="0.2">
      <c r="A43" s="6" t="s">
        <v>42</v>
      </c>
      <c r="B43" s="7"/>
      <c r="C43" s="10">
        <v>7900</v>
      </c>
      <c r="E43" s="6" t="s">
        <v>108</v>
      </c>
      <c r="F43" s="10">
        <v>19727.04</v>
      </c>
      <c r="G43" s="7"/>
    </row>
    <row r="44" spans="1:11" x14ac:dyDescent="0.2">
      <c r="A44" s="6" t="s">
        <v>43</v>
      </c>
      <c r="B44" s="7"/>
      <c r="C44" s="10">
        <v>23413</v>
      </c>
      <c r="E44" s="6" t="s">
        <v>109</v>
      </c>
      <c r="F44" s="10">
        <v>58168.95</v>
      </c>
      <c r="G44" s="7"/>
    </row>
    <row r="45" spans="1:11" x14ac:dyDescent="0.2">
      <c r="A45" s="6" t="s">
        <v>44</v>
      </c>
      <c r="B45" s="10">
        <v>15566</v>
      </c>
      <c r="C45" s="7"/>
      <c r="E45" s="6" t="s">
        <v>110</v>
      </c>
      <c r="F45" s="7"/>
      <c r="G45" s="10">
        <v>117478.71</v>
      </c>
    </row>
    <row r="46" spans="1:11" x14ac:dyDescent="0.2">
      <c r="A46" s="6" t="s">
        <v>45</v>
      </c>
      <c r="B46" s="7"/>
      <c r="C46" s="10">
        <v>10310</v>
      </c>
      <c r="E46" s="6" t="s">
        <v>111</v>
      </c>
      <c r="F46" s="10">
        <v>30852.34</v>
      </c>
      <c r="G46" s="7"/>
    </row>
    <row r="47" spans="1:11" x14ac:dyDescent="0.2">
      <c r="A47" s="6" t="s">
        <v>46</v>
      </c>
      <c r="B47" s="7"/>
      <c r="C47" s="10">
        <v>31879.26</v>
      </c>
      <c r="E47" s="6" t="s">
        <v>112</v>
      </c>
      <c r="F47" s="10">
        <v>44136.44</v>
      </c>
      <c r="G47" s="7"/>
    </row>
    <row r="48" spans="1:11" x14ac:dyDescent="0.2">
      <c r="A48" s="6" t="s">
        <v>47</v>
      </c>
      <c r="B48" s="7"/>
      <c r="C48" s="10">
        <v>0.26</v>
      </c>
      <c r="E48" s="6" t="s">
        <v>113</v>
      </c>
      <c r="F48" s="7"/>
      <c r="G48" s="10">
        <v>1318</v>
      </c>
    </row>
    <row r="49" spans="1:11" x14ac:dyDescent="0.2">
      <c r="A49" s="6" t="s">
        <v>48</v>
      </c>
      <c r="B49" s="7"/>
      <c r="C49" s="10">
        <v>20001</v>
      </c>
      <c r="E49" s="6" t="s">
        <v>114</v>
      </c>
      <c r="F49" s="10">
        <v>30321.5</v>
      </c>
      <c r="G49" s="7"/>
    </row>
    <row r="50" spans="1:11" x14ac:dyDescent="0.2">
      <c r="A50" s="6" t="s">
        <v>49</v>
      </c>
      <c r="B50" s="7"/>
      <c r="C50" s="11">
        <v>1224.26</v>
      </c>
      <c r="E50" s="6" t="s">
        <v>115</v>
      </c>
      <c r="F50" s="11">
        <v>97502.89</v>
      </c>
      <c r="G50" s="7"/>
      <c r="I50">
        <v>47620.72</v>
      </c>
      <c r="K50" t="s">
        <v>140</v>
      </c>
    </row>
    <row r="51" spans="1:11" x14ac:dyDescent="0.2">
      <c r="A51" s="6" t="s">
        <v>50</v>
      </c>
      <c r="B51" s="7"/>
      <c r="C51" s="12">
        <v>0.23</v>
      </c>
      <c r="E51" s="6" t="s">
        <v>116</v>
      </c>
      <c r="F51" s="12">
        <v>45044.639999999999</v>
      </c>
      <c r="G51" s="7"/>
    </row>
    <row r="52" spans="1:11" x14ac:dyDescent="0.2">
      <c r="A52" s="6" t="s">
        <v>51</v>
      </c>
      <c r="B52" s="10">
        <v>123.74</v>
      </c>
      <c r="C52" s="7"/>
      <c r="E52" s="6" t="s">
        <v>117</v>
      </c>
      <c r="F52" s="7"/>
      <c r="G52" s="10">
        <v>15103.23</v>
      </c>
    </row>
    <row r="53" spans="1:11" x14ac:dyDescent="0.2">
      <c r="A53" s="6" t="s">
        <v>52</v>
      </c>
      <c r="B53" s="7"/>
      <c r="C53" s="10">
        <v>10000.26</v>
      </c>
      <c r="E53" s="6" t="s">
        <v>118</v>
      </c>
      <c r="F53" s="7"/>
      <c r="G53" s="10">
        <v>8967.9</v>
      </c>
    </row>
    <row r="54" spans="1:11" x14ac:dyDescent="0.2">
      <c r="A54" s="6" t="s">
        <v>53</v>
      </c>
      <c r="B54" s="7"/>
      <c r="C54" s="10">
        <v>1</v>
      </c>
      <c r="E54" s="6" t="s">
        <v>119</v>
      </c>
      <c r="F54" s="7"/>
      <c r="G54" s="10">
        <v>12755.36</v>
      </c>
    </row>
    <row r="55" spans="1:11" x14ac:dyDescent="0.2">
      <c r="A55" s="6" t="s">
        <v>54</v>
      </c>
      <c r="B55" s="7"/>
      <c r="C55" s="10">
        <v>38976</v>
      </c>
      <c r="E55" s="6" t="s">
        <v>120</v>
      </c>
      <c r="F55" s="10">
        <v>14802.92</v>
      </c>
      <c r="G55" s="7"/>
    </row>
    <row r="56" spans="1:11" x14ac:dyDescent="0.2">
      <c r="A56" s="6" t="s">
        <v>55</v>
      </c>
      <c r="B56" s="7"/>
      <c r="C56" s="10">
        <v>10001</v>
      </c>
      <c r="E56" s="6" t="s">
        <v>121</v>
      </c>
      <c r="F56" s="7"/>
      <c r="G56" s="10">
        <v>20785.59</v>
      </c>
    </row>
    <row r="57" spans="1:11" x14ac:dyDescent="0.2">
      <c r="A57" s="6" t="s">
        <v>56</v>
      </c>
      <c r="B57" s="7"/>
      <c r="C57" s="10">
        <v>1</v>
      </c>
      <c r="E57" s="6" t="s">
        <v>122</v>
      </c>
      <c r="F57" s="10">
        <v>11303.42</v>
      </c>
      <c r="G57" s="7"/>
    </row>
    <row r="58" spans="1:11" x14ac:dyDescent="0.2">
      <c r="A58" s="6" t="s">
        <v>57</v>
      </c>
      <c r="B58" s="7"/>
      <c r="C58" s="10">
        <v>10001</v>
      </c>
      <c r="E58" s="6" t="s">
        <v>123</v>
      </c>
      <c r="F58" s="10">
        <v>7445.75</v>
      </c>
      <c r="G58" s="7"/>
    </row>
    <row r="59" spans="1:11" x14ac:dyDescent="0.2">
      <c r="A59" s="6" t="s">
        <v>58</v>
      </c>
      <c r="B59" s="7"/>
      <c r="C59" s="10">
        <v>19142</v>
      </c>
      <c r="E59" s="6" t="s">
        <v>124</v>
      </c>
      <c r="F59" s="10">
        <v>12795</v>
      </c>
      <c r="G59" s="7"/>
      <c r="I59" s="14">
        <f>C59-F59</f>
        <v>6347</v>
      </c>
    </row>
    <row r="60" spans="1:11" x14ac:dyDescent="0.2">
      <c r="A60" s="6" t="s">
        <v>59</v>
      </c>
      <c r="B60" s="7"/>
      <c r="C60" s="10">
        <v>24488</v>
      </c>
      <c r="E60" s="6" t="s">
        <v>125</v>
      </c>
      <c r="F60" s="10">
        <v>43719.41</v>
      </c>
      <c r="G60" s="7"/>
    </row>
    <row r="61" spans="1:11" x14ac:dyDescent="0.2">
      <c r="A61" s="6" t="s">
        <v>60</v>
      </c>
      <c r="B61" s="7"/>
      <c r="C61" s="10">
        <v>2001</v>
      </c>
      <c r="E61" s="6" t="s">
        <v>126</v>
      </c>
      <c r="F61" s="10">
        <v>27682</v>
      </c>
      <c r="G61" s="7"/>
    </row>
    <row r="62" spans="1:11" x14ac:dyDescent="0.2">
      <c r="A62" s="6" t="s">
        <v>61</v>
      </c>
      <c r="B62" s="10">
        <v>9690</v>
      </c>
      <c r="C62" s="7"/>
      <c r="E62" s="6" t="s">
        <v>127</v>
      </c>
      <c r="F62" s="10">
        <v>15087</v>
      </c>
      <c r="G62" s="7"/>
    </row>
    <row r="63" spans="1:11" x14ac:dyDescent="0.2">
      <c r="A63" s="6" t="s">
        <v>62</v>
      </c>
      <c r="B63" s="7"/>
      <c r="C63" s="10">
        <v>7500</v>
      </c>
      <c r="E63" s="6" t="s">
        <v>128</v>
      </c>
      <c r="F63" s="10">
        <v>19625.990000000002</v>
      </c>
      <c r="G63" s="7"/>
    </row>
    <row r="64" spans="1:11" x14ac:dyDescent="0.2">
      <c r="A64" s="6" t="s">
        <v>63</v>
      </c>
      <c r="B64" s="10">
        <v>7999</v>
      </c>
      <c r="C64" s="7"/>
      <c r="E64" s="6" t="s">
        <v>129</v>
      </c>
      <c r="F64" s="7"/>
      <c r="G64" s="10">
        <v>36778.04</v>
      </c>
    </row>
    <row r="65" spans="1:11" x14ac:dyDescent="0.2">
      <c r="A65" s="6" t="s">
        <v>64</v>
      </c>
      <c r="B65" s="7"/>
      <c r="C65" s="10">
        <v>10001</v>
      </c>
      <c r="E65" s="6" t="s">
        <v>130</v>
      </c>
      <c r="F65" s="10">
        <v>9990</v>
      </c>
      <c r="G65" s="7"/>
    </row>
    <row r="66" spans="1:11" x14ac:dyDescent="0.2">
      <c r="A66" s="6" t="s">
        <v>65</v>
      </c>
      <c r="B66" s="7"/>
      <c r="C66" s="12">
        <v>10034</v>
      </c>
      <c r="E66" s="6" t="s">
        <v>131</v>
      </c>
      <c r="F66" s="12">
        <v>77968.56</v>
      </c>
      <c r="G66" s="7"/>
      <c r="K66" t="s">
        <v>143</v>
      </c>
    </row>
    <row r="67" spans="1:11" x14ac:dyDescent="0.2">
      <c r="A67" s="6" t="s">
        <v>66</v>
      </c>
      <c r="B67" s="7"/>
      <c r="C67" s="10">
        <v>16511.259999999998</v>
      </c>
      <c r="E67" s="6" t="s">
        <v>132</v>
      </c>
      <c r="F67" s="10">
        <v>28438.95</v>
      </c>
      <c r="G67" s="7"/>
    </row>
    <row r="68" spans="1:11" x14ac:dyDescent="0.2">
      <c r="A68" s="6" t="s">
        <v>67</v>
      </c>
      <c r="B68" s="7"/>
      <c r="C68" s="10">
        <v>47255.56</v>
      </c>
      <c r="E68" s="6" t="s">
        <v>133</v>
      </c>
      <c r="F68" s="10">
        <v>32469.01</v>
      </c>
      <c r="G68" s="7"/>
    </row>
    <row r="69" spans="1:11" x14ac:dyDescent="0.2">
      <c r="A69" s="6" t="s">
        <v>68</v>
      </c>
      <c r="B69" s="7"/>
      <c r="C69" s="10">
        <v>10001</v>
      </c>
      <c r="E69" s="6" t="s">
        <v>134</v>
      </c>
      <c r="F69" s="7"/>
      <c r="G69" s="10">
        <v>8030</v>
      </c>
    </row>
    <row r="70" spans="1:11" x14ac:dyDescent="0.2">
      <c r="A70" s="6" t="s">
        <v>69</v>
      </c>
      <c r="B70" s="7"/>
      <c r="C70" s="10">
        <v>10000.26</v>
      </c>
      <c r="E70" s="6" t="s">
        <v>135</v>
      </c>
      <c r="F70" s="10">
        <v>8516.85</v>
      </c>
      <c r="G70" s="7"/>
    </row>
    <row r="71" spans="1:11" x14ac:dyDescent="0.2">
      <c r="A71" s="6" t="s">
        <v>70</v>
      </c>
      <c r="B71" s="7"/>
      <c r="C71" s="10">
        <v>8467.26</v>
      </c>
      <c r="E71" s="6" t="s">
        <v>136</v>
      </c>
      <c r="F71" s="7"/>
      <c r="G71" s="10">
        <v>18348.21</v>
      </c>
    </row>
    <row r="72" spans="1:11" x14ac:dyDescent="0.2">
      <c r="A72" s="6" t="s">
        <v>71</v>
      </c>
      <c r="B72" s="7"/>
      <c r="C72" s="10">
        <v>17350.259999999998</v>
      </c>
      <c r="E72" s="6" t="s">
        <v>137</v>
      </c>
      <c r="F72" s="7"/>
      <c r="G72" s="10">
        <v>17587.05</v>
      </c>
    </row>
    <row r="73" spans="1:11" x14ac:dyDescent="0.2">
      <c r="A73" s="6" t="s">
        <v>72</v>
      </c>
      <c r="B73" s="7"/>
      <c r="C73" s="10">
        <v>10000</v>
      </c>
      <c r="E73" s="6" t="s">
        <v>138</v>
      </c>
      <c r="F73" s="7"/>
      <c r="G73" s="10">
        <v>4639.25</v>
      </c>
    </row>
    <row r="74" spans="1:11" x14ac:dyDescent="0.2">
      <c r="A74" s="8" t="s">
        <v>73</v>
      </c>
      <c r="B74" s="9">
        <v>49410.74</v>
      </c>
      <c r="C74" s="9">
        <v>767239.21</v>
      </c>
      <c r="E74" s="8" t="s">
        <v>73</v>
      </c>
      <c r="F74" s="9">
        <v>1079273.48</v>
      </c>
      <c r="G74" s="9">
        <v>501208.03</v>
      </c>
    </row>
  </sheetData>
  <mergeCells count="16">
    <mergeCell ref="B7:C7"/>
    <mergeCell ref="B8:C8"/>
    <mergeCell ref="E1:G1"/>
    <mergeCell ref="E2:G2"/>
    <mergeCell ref="E3:G3"/>
    <mergeCell ref="E4:G4"/>
    <mergeCell ref="F5:G5"/>
    <mergeCell ref="F6:G6"/>
    <mergeCell ref="F7:G7"/>
    <mergeCell ref="F8:G8"/>
    <mergeCell ref="A1:C1"/>
    <mergeCell ref="A2:C2"/>
    <mergeCell ref="A3:C3"/>
    <mergeCell ref="A4:C4"/>
    <mergeCell ref="B5:C5"/>
    <mergeCell ref="B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Samrat Kar</cp:lastModifiedBy>
  <dcterms:created xsi:type="dcterms:W3CDTF">2026-01-20T17:31:35Z</dcterms:created>
  <dcterms:modified xsi:type="dcterms:W3CDTF">2026-04-19T10:46:04Z</dcterms:modified>
</cp:coreProperties>
</file>