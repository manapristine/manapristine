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42E95BAC-5A9C-4718-811B-75461C3FFE0B}" xr6:coauthVersionLast="47" xr6:coauthVersionMax="47" xr10:uidLastSave="{00000000-0000-0000-0000-000000000000}"/>
  <bookViews>
    <workbookView xWindow="-108" yWindow="-108" windowWidth="23256" windowHeight="13896" tabRatio="954" firstSheet="2" activeTab="9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r:id="rId6"/>
    <sheet name="June2026-COLLECTION" sheetId="7" r:id="rId7"/>
    <sheet name="July2026-EXPENSE" sheetId="8" r:id="rId8"/>
    <sheet name="July2026-COLLECTION" sheetId="9" r:id="rId9"/>
    <sheet name="Aug2026-EXPENSE" sheetId="10" r:id="rId10"/>
    <sheet name="Aug2026-COLLECTION" sheetId="11" r:id="rId11"/>
    <sheet name="Sep2026-EXPENSE" sheetId="12" state="hidden" r:id="rId12"/>
    <sheet name="Sep2026-COLLECTION" sheetId="13" state="hidden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r:id="rId26"/>
    <sheet name="INCOME-EXPENSE-CYCLES" sheetId="27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" i="10" l="1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D67" i="27"/>
  <c r="BC66" i="27"/>
  <c r="C66" i="27"/>
  <c r="B66" i="27"/>
  <c r="BC65" i="27"/>
  <c r="C65" i="27"/>
  <c r="B65" i="27"/>
  <c r="BC64" i="27"/>
  <c r="C64" i="27"/>
  <c r="B64" i="27"/>
  <c r="BC63" i="27"/>
  <c r="C63" i="27"/>
  <c r="B63" i="27"/>
  <c r="BC62" i="27"/>
  <c r="C62" i="27"/>
  <c r="B62" i="27"/>
  <c r="BC61" i="27"/>
  <c r="C61" i="27"/>
  <c r="B61" i="27"/>
  <c r="BC60" i="27"/>
  <c r="C60" i="27"/>
  <c r="B60" i="27"/>
  <c r="BC59" i="27"/>
  <c r="C59" i="27"/>
  <c r="B59" i="27"/>
  <c r="BC58" i="27"/>
  <c r="C58" i="27"/>
  <c r="B58" i="27"/>
  <c r="BC57" i="27"/>
  <c r="C57" i="27"/>
  <c r="B57" i="27"/>
  <c r="BC56" i="27"/>
  <c r="C56" i="27"/>
  <c r="B56" i="27"/>
  <c r="BC55" i="27"/>
  <c r="C55" i="27"/>
  <c r="B55" i="27"/>
  <c r="BC54" i="27"/>
  <c r="C54" i="27"/>
  <c r="B54" i="27"/>
  <c r="BC53" i="27"/>
  <c r="C53" i="27"/>
  <c r="B53" i="27"/>
  <c r="BC52" i="27"/>
  <c r="C52" i="27"/>
  <c r="B52" i="27"/>
  <c r="BC51" i="27"/>
  <c r="C51" i="27"/>
  <c r="B51" i="27"/>
  <c r="BC50" i="27"/>
  <c r="C50" i="27"/>
  <c r="B50" i="27"/>
  <c r="BC49" i="27"/>
  <c r="C49" i="27"/>
  <c r="B49" i="27"/>
  <c r="BC48" i="27"/>
  <c r="C48" i="27"/>
  <c r="B48" i="27"/>
  <c r="BC47" i="27"/>
  <c r="C47" i="27"/>
  <c r="B47" i="27"/>
  <c r="BC46" i="27"/>
  <c r="C46" i="27"/>
  <c r="B46" i="27"/>
  <c r="BC45" i="27"/>
  <c r="C45" i="27"/>
  <c r="B45" i="27"/>
  <c r="BC44" i="27"/>
  <c r="C44" i="27"/>
  <c r="B44" i="27"/>
  <c r="BC43" i="27"/>
  <c r="C43" i="27"/>
  <c r="B43" i="27"/>
  <c r="BC42" i="27"/>
  <c r="C42" i="27"/>
  <c r="B42" i="27"/>
  <c r="BC41" i="27"/>
  <c r="C41" i="27"/>
  <c r="B41" i="27"/>
  <c r="BC40" i="27"/>
  <c r="C40" i="27"/>
  <c r="B40" i="27"/>
  <c r="BC39" i="27"/>
  <c r="C39" i="27"/>
  <c r="B39" i="27"/>
  <c r="BC38" i="27"/>
  <c r="C38" i="27"/>
  <c r="B38" i="27"/>
  <c r="BC37" i="27"/>
  <c r="C37" i="27"/>
  <c r="B37" i="27"/>
  <c r="BC36" i="27"/>
  <c r="C36" i="27"/>
  <c r="B36" i="27"/>
  <c r="BC35" i="27"/>
  <c r="C35" i="27"/>
  <c r="B35" i="27"/>
  <c r="BC34" i="27"/>
  <c r="C34" i="27"/>
  <c r="B34" i="27"/>
  <c r="BC33" i="27"/>
  <c r="C33" i="27"/>
  <c r="B33" i="27"/>
  <c r="BC32" i="27"/>
  <c r="C32" i="27"/>
  <c r="B32" i="27"/>
  <c r="BC31" i="27"/>
  <c r="C31" i="27"/>
  <c r="B31" i="27"/>
  <c r="BC30" i="27"/>
  <c r="C30" i="27"/>
  <c r="B30" i="27"/>
  <c r="BC29" i="27"/>
  <c r="C29" i="27"/>
  <c r="B29" i="27"/>
  <c r="BC28" i="27"/>
  <c r="C28" i="27"/>
  <c r="B28" i="27"/>
  <c r="BC27" i="27"/>
  <c r="C27" i="27"/>
  <c r="B27" i="27"/>
  <c r="BC26" i="27"/>
  <c r="C26" i="27"/>
  <c r="B26" i="27"/>
  <c r="BC25" i="27"/>
  <c r="C25" i="27"/>
  <c r="B25" i="27"/>
  <c r="BC24" i="27"/>
  <c r="C24" i="27"/>
  <c r="B24" i="27"/>
  <c r="BC23" i="27"/>
  <c r="C23" i="27"/>
  <c r="B23" i="27"/>
  <c r="BC22" i="27"/>
  <c r="C22" i="27"/>
  <c r="B22" i="27"/>
  <c r="BC21" i="27"/>
  <c r="C21" i="27"/>
  <c r="B21" i="27"/>
  <c r="BC20" i="27"/>
  <c r="C20" i="27"/>
  <c r="B20" i="27"/>
  <c r="BC19" i="27"/>
  <c r="C19" i="27"/>
  <c r="B19" i="27"/>
  <c r="BC18" i="27"/>
  <c r="C18" i="27"/>
  <c r="B18" i="27"/>
  <c r="BC17" i="27"/>
  <c r="C17" i="27"/>
  <c r="B17" i="27"/>
  <c r="BC16" i="27"/>
  <c r="C16" i="27"/>
  <c r="B16" i="27"/>
  <c r="BC15" i="27"/>
  <c r="C15" i="27"/>
  <c r="B15" i="27"/>
  <c r="BC14" i="27"/>
  <c r="C14" i="27"/>
  <c r="B14" i="27"/>
  <c r="BC13" i="27"/>
  <c r="C13" i="27"/>
  <c r="B13" i="27"/>
  <c r="BC12" i="27"/>
  <c r="C12" i="27"/>
  <c r="B12" i="27"/>
  <c r="BC11" i="27"/>
  <c r="C11" i="27"/>
  <c r="B11" i="27"/>
  <c r="BC10" i="27"/>
  <c r="C10" i="27"/>
  <c r="B10" i="27"/>
  <c r="BC9" i="27"/>
  <c r="C9" i="27"/>
  <c r="B9" i="27"/>
  <c r="BC8" i="27"/>
  <c r="C8" i="27"/>
  <c r="B8" i="27"/>
  <c r="BC7" i="27"/>
  <c r="C7" i="27"/>
  <c r="B7" i="27"/>
  <c r="BC6" i="27"/>
  <c r="C6" i="27"/>
  <c r="B6" i="27"/>
  <c r="BC5" i="27"/>
  <c r="C5" i="27"/>
  <c r="B5" i="27"/>
  <c r="BC4" i="27"/>
  <c r="C4" i="27"/>
  <c r="B4" i="27"/>
  <c r="BC3" i="27"/>
  <c r="C3" i="27"/>
  <c r="B3" i="27"/>
  <c r="S15" i="26"/>
  <c r="Q15" i="26"/>
  <c r="P15" i="26"/>
  <c r="O15" i="26"/>
  <c r="N15" i="26"/>
  <c r="M15" i="26"/>
  <c r="L15" i="26"/>
  <c r="I15" i="26"/>
  <c r="H15" i="26"/>
  <c r="G15" i="26"/>
  <c r="F15" i="26"/>
  <c r="E15" i="26"/>
  <c r="D15" i="26"/>
  <c r="C15" i="26"/>
  <c r="B15" i="26"/>
  <c r="X14" i="26"/>
  <c r="V14" i="26"/>
  <c r="U14" i="26"/>
  <c r="T14" i="26"/>
  <c r="U13" i="26"/>
  <c r="T13" i="26"/>
  <c r="V13" i="26" s="1"/>
  <c r="X12" i="26"/>
  <c r="U12" i="26"/>
  <c r="T12" i="26"/>
  <c r="V12" i="26" s="1"/>
  <c r="X11" i="26"/>
  <c r="V11" i="26"/>
  <c r="U11" i="26"/>
  <c r="T11" i="26"/>
  <c r="X10" i="26"/>
  <c r="U10" i="26"/>
  <c r="T10" i="26"/>
  <c r="X9" i="26"/>
  <c r="U9" i="26"/>
  <c r="T9" i="26"/>
  <c r="V9" i="26" s="1"/>
  <c r="X8" i="26"/>
  <c r="V8" i="26"/>
  <c r="U8" i="26"/>
  <c r="T8" i="26"/>
  <c r="U7" i="26"/>
  <c r="T7" i="26"/>
  <c r="X6" i="26"/>
  <c r="U6" i="26"/>
  <c r="T6" i="26"/>
  <c r="V6" i="26" s="1"/>
  <c r="R6" i="26"/>
  <c r="U5" i="26"/>
  <c r="T5" i="26"/>
  <c r="J5" i="26"/>
  <c r="J15" i="26" s="1"/>
  <c r="U4" i="26"/>
  <c r="Q4" i="26"/>
  <c r="K4" i="26"/>
  <c r="T4" i="26" s="1"/>
  <c r="U3" i="26"/>
  <c r="T3" i="26"/>
  <c r="V3" i="26" s="1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K66" i="25" s="1"/>
  <c r="B5" i="25"/>
  <c r="K4" i="25"/>
  <c r="B4" i="25"/>
  <c r="K3" i="25"/>
  <c r="B3" i="25"/>
  <c r="K2" i="25"/>
  <c r="B2" i="25"/>
  <c r="O70" i="24"/>
  <c r="N70" i="24"/>
  <c r="M70" i="24"/>
  <c r="L70" i="24"/>
  <c r="H70" i="24"/>
  <c r="F70" i="24"/>
  <c r="C70" i="24"/>
  <c r="F69" i="24" s="1"/>
  <c r="K69" i="24"/>
  <c r="E69" i="24"/>
  <c r="D69" i="24"/>
  <c r="B69" i="24"/>
  <c r="F68" i="24"/>
  <c r="E68" i="24"/>
  <c r="D68" i="24"/>
  <c r="B68" i="24"/>
  <c r="K67" i="24"/>
  <c r="F67" i="24"/>
  <c r="D67" i="24"/>
  <c r="E67" i="24" s="1"/>
  <c r="B67" i="24"/>
  <c r="F66" i="24"/>
  <c r="G66" i="24" s="1"/>
  <c r="E66" i="24"/>
  <c r="D66" i="24"/>
  <c r="B66" i="24"/>
  <c r="F65" i="24"/>
  <c r="D65" i="24"/>
  <c r="E65" i="24" s="1"/>
  <c r="B65" i="24"/>
  <c r="F64" i="24"/>
  <c r="E64" i="24"/>
  <c r="D64" i="24"/>
  <c r="B64" i="24"/>
  <c r="F63" i="24"/>
  <c r="G63" i="24" s="1"/>
  <c r="D63" i="24"/>
  <c r="E63" i="24" s="1"/>
  <c r="B63" i="24"/>
  <c r="F62" i="24"/>
  <c r="E62" i="24"/>
  <c r="D62" i="24"/>
  <c r="B62" i="24"/>
  <c r="F61" i="24"/>
  <c r="D61" i="24"/>
  <c r="E61" i="24" s="1"/>
  <c r="B61" i="24"/>
  <c r="G60" i="24"/>
  <c r="F60" i="24"/>
  <c r="E60" i="24"/>
  <c r="D60" i="24"/>
  <c r="B60" i="24"/>
  <c r="K59" i="24"/>
  <c r="D59" i="24"/>
  <c r="E59" i="24" s="1"/>
  <c r="B59" i="24"/>
  <c r="F58" i="24"/>
  <c r="G58" i="24" s="1"/>
  <c r="E58" i="24"/>
  <c r="D58" i="24"/>
  <c r="B58" i="24"/>
  <c r="K57" i="24"/>
  <c r="F57" i="24"/>
  <c r="E57" i="24"/>
  <c r="D57" i="24"/>
  <c r="B57" i="24"/>
  <c r="F56" i="24"/>
  <c r="E56" i="24"/>
  <c r="D56" i="24"/>
  <c r="B56" i="24"/>
  <c r="F55" i="24"/>
  <c r="D55" i="24"/>
  <c r="E55" i="24" s="1"/>
  <c r="B55" i="24"/>
  <c r="E54" i="24"/>
  <c r="D54" i="24"/>
  <c r="B54" i="24"/>
  <c r="F53" i="24"/>
  <c r="G53" i="24" s="1"/>
  <c r="D53" i="24"/>
  <c r="E53" i="24" s="1"/>
  <c r="B53" i="24"/>
  <c r="F52" i="24"/>
  <c r="E52" i="24"/>
  <c r="D52" i="24"/>
  <c r="B52" i="24"/>
  <c r="K51" i="24"/>
  <c r="F51" i="24"/>
  <c r="D51" i="24"/>
  <c r="E51" i="24" s="1"/>
  <c r="B51" i="24"/>
  <c r="I50" i="24"/>
  <c r="F50" i="24"/>
  <c r="E50" i="24"/>
  <c r="D50" i="24"/>
  <c r="B50" i="24"/>
  <c r="K49" i="24"/>
  <c r="D49" i="24"/>
  <c r="E49" i="24" s="1"/>
  <c r="B49" i="24"/>
  <c r="F48" i="24"/>
  <c r="G48" i="24" s="1"/>
  <c r="E48" i="24"/>
  <c r="D48" i="24"/>
  <c r="B48" i="24"/>
  <c r="F47" i="24"/>
  <c r="D47" i="24"/>
  <c r="E47" i="24" s="1"/>
  <c r="B47" i="24"/>
  <c r="G46" i="24"/>
  <c r="F46" i="24"/>
  <c r="E46" i="24"/>
  <c r="D46" i="24"/>
  <c r="B46" i="24"/>
  <c r="F45" i="24"/>
  <c r="D45" i="24"/>
  <c r="E45" i="24" s="1"/>
  <c r="B45" i="24"/>
  <c r="E44" i="24"/>
  <c r="D44" i="24"/>
  <c r="B44" i="24"/>
  <c r="F43" i="24"/>
  <c r="D43" i="24"/>
  <c r="E43" i="24" s="1"/>
  <c r="B43" i="24"/>
  <c r="F42" i="24"/>
  <c r="E42" i="24"/>
  <c r="D42" i="24"/>
  <c r="B42" i="24"/>
  <c r="F41" i="24"/>
  <c r="G41" i="24" s="1"/>
  <c r="E41" i="24"/>
  <c r="D41" i="24"/>
  <c r="B41" i="24"/>
  <c r="F40" i="24"/>
  <c r="E40" i="24"/>
  <c r="D40" i="24"/>
  <c r="B40" i="24"/>
  <c r="F39" i="24"/>
  <c r="D39" i="24"/>
  <c r="E39" i="24" s="1"/>
  <c r="B39" i="24"/>
  <c r="I38" i="24"/>
  <c r="F38" i="24"/>
  <c r="G38" i="24" s="1"/>
  <c r="E38" i="24"/>
  <c r="D38" i="24"/>
  <c r="B38" i="24"/>
  <c r="F37" i="24"/>
  <c r="G37" i="24" s="1"/>
  <c r="D37" i="24"/>
  <c r="E37" i="24" s="1"/>
  <c r="B37" i="24"/>
  <c r="F36" i="24"/>
  <c r="G36" i="24" s="1"/>
  <c r="E36" i="24"/>
  <c r="D36" i="24"/>
  <c r="B36" i="24"/>
  <c r="F35" i="24"/>
  <c r="E35" i="24"/>
  <c r="D35" i="24"/>
  <c r="B35" i="24"/>
  <c r="F34" i="24"/>
  <c r="G34" i="24" s="1"/>
  <c r="E34" i="24"/>
  <c r="D34" i="24"/>
  <c r="B34" i="24"/>
  <c r="F33" i="24"/>
  <c r="E33" i="24"/>
  <c r="D33" i="24"/>
  <c r="B33" i="24"/>
  <c r="F32" i="24"/>
  <c r="G32" i="24" s="1"/>
  <c r="E32" i="24"/>
  <c r="D32" i="24"/>
  <c r="B32" i="24"/>
  <c r="K31" i="24"/>
  <c r="F31" i="24"/>
  <c r="D31" i="24"/>
  <c r="E31" i="24" s="1"/>
  <c r="B31" i="24"/>
  <c r="F30" i="24"/>
  <c r="G30" i="24" s="1"/>
  <c r="E30" i="24"/>
  <c r="D30" i="24"/>
  <c r="B30" i="24"/>
  <c r="F29" i="24"/>
  <c r="E29" i="24"/>
  <c r="D29" i="24"/>
  <c r="B29" i="24"/>
  <c r="F28" i="24"/>
  <c r="G28" i="24" s="1"/>
  <c r="E28" i="24"/>
  <c r="D28" i="24"/>
  <c r="B28" i="24"/>
  <c r="F27" i="24"/>
  <c r="E27" i="24"/>
  <c r="D27" i="24"/>
  <c r="B27" i="24"/>
  <c r="G26" i="24"/>
  <c r="F26" i="24"/>
  <c r="E26" i="24"/>
  <c r="D26" i="24"/>
  <c r="B26" i="24"/>
  <c r="F25" i="24"/>
  <c r="D25" i="24"/>
  <c r="E25" i="24" s="1"/>
  <c r="B25" i="24"/>
  <c r="G24" i="24"/>
  <c r="F24" i="24"/>
  <c r="D24" i="24"/>
  <c r="E24" i="24" s="1"/>
  <c r="B24" i="24"/>
  <c r="K23" i="24"/>
  <c r="D23" i="24"/>
  <c r="E23" i="24" s="1"/>
  <c r="B23" i="24"/>
  <c r="F22" i="24"/>
  <c r="G22" i="24" s="1"/>
  <c r="E22" i="24"/>
  <c r="D22" i="24"/>
  <c r="B22" i="24"/>
  <c r="K21" i="24"/>
  <c r="F21" i="24"/>
  <c r="D21" i="24"/>
  <c r="E21" i="24" s="1"/>
  <c r="B21" i="24"/>
  <c r="F20" i="24"/>
  <c r="G20" i="24" s="1"/>
  <c r="E20" i="24"/>
  <c r="D20" i="24"/>
  <c r="B20" i="24"/>
  <c r="F19" i="24"/>
  <c r="E19" i="24"/>
  <c r="D19" i="24"/>
  <c r="B19" i="24"/>
  <c r="K18" i="24"/>
  <c r="F18" i="24"/>
  <c r="E18" i="24"/>
  <c r="D18" i="24"/>
  <c r="B18" i="24"/>
  <c r="F17" i="24"/>
  <c r="D17" i="24"/>
  <c r="E17" i="24" s="1"/>
  <c r="B17" i="24"/>
  <c r="D16" i="24"/>
  <c r="E16" i="24" s="1"/>
  <c r="B16" i="24"/>
  <c r="G15" i="24"/>
  <c r="F15" i="24"/>
  <c r="E15" i="24"/>
  <c r="D15" i="24"/>
  <c r="B15" i="24"/>
  <c r="K14" i="24"/>
  <c r="F14" i="24"/>
  <c r="G14" i="24" s="1"/>
  <c r="D14" i="24"/>
  <c r="E14" i="24" s="1"/>
  <c r="B14" i="24"/>
  <c r="G13" i="24"/>
  <c r="F13" i="24"/>
  <c r="D13" i="24"/>
  <c r="E13" i="24" s="1"/>
  <c r="B13" i="24"/>
  <c r="K12" i="24"/>
  <c r="F12" i="24"/>
  <c r="G12" i="24" s="1"/>
  <c r="D12" i="24"/>
  <c r="E12" i="24" s="1"/>
  <c r="B12" i="24"/>
  <c r="T11" i="24"/>
  <c r="K41" i="24" s="1"/>
  <c r="F11" i="24"/>
  <c r="D11" i="24"/>
  <c r="E11" i="24" s="1"/>
  <c r="B11" i="24"/>
  <c r="F10" i="24"/>
  <c r="G10" i="24" s="1"/>
  <c r="D10" i="24"/>
  <c r="E10" i="24" s="1"/>
  <c r="B10" i="24"/>
  <c r="K9" i="24"/>
  <c r="F9" i="24"/>
  <c r="D9" i="24"/>
  <c r="E9" i="24" s="1"/>
  <c r="B9" i="24"/>
  <c r="F8" i="24"/>
  <c r="D8" i="24"/>
  <c r="E8" i="24" s="1"/>
  <c r="B8" i="24"/>
  <c r="T7" i="24"/>
  <c r="I65" i="24" s="1"/>
  <c r="K7" i="24"/>
  <c r="F7" i="24"/>
  <c r="E7" i="24"/>
  <c r="D7" i="24"/>
  <c r="B7" i="24"/>
  <c r="G6" i="24"/>
  <c r="F6" i="24"/>
  <c r="D6" i="24"/>
  <c r="B6" i="24"/>
  <c r="T5" i="24"/>
  <c r="G17" i="24" s="1"/>
  <c r="T4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K66" i="23" s="1"/>
  <c r="B2" i="23"/>
  <c r="O70" i="22"/>
  <c r="N70" i="22"/>
  <c r="M70" i="22"/>
  <c r="L70" i="22"/>
  <c r="H70" i="22"/>
  <c r="F70" i="22"/>
  <c r="C70" i="22"/>
  <c r="F63" i="22" s="1"/>
  <c r="G63" i="22" s="1"/>
  <c r="E69" i="22"/>
  <c r="D69" i="22"/>
  <c r="B69" i="22"/>
  <c r="G68" i="22"/>
  <c r="F68" i="22"/>
  <c r="E68" i="22"/>
  <c r="D68" i="22"/>
  <c r="B68" i="22"/>
  <c r="I67" i="22"/>
  <c r="F67" i="22"/>
  <c r="G67" i="22" s="1"/>
  <c r="D67" i="22"/>
  <c r="E67" i="22" s="1"/>
  <c r="B67" i="22"/>
  <c r="F66" i="22"/>
  <c r="G66" i="22" s="1"/>
  <c r="D66" i="22"/>
  <c r="E66" i="22" s="1"/>
  <c r="B66" i="22"/>
  <c r="K65" i="22"/>
  <c r="D65" i="22"/>
  <c r="E65" i="22" s="1"/>
  <c r="B65" i="22"/>
  <c r="F64" i="22"/>
  <c r="G64" i="22" s="1"/>
  <c r="E64" i="22"/>
  <c r="D64" i="22"/>
  <c r="B64" i="22"/>
  <c r="K63" i="22"/>
  <c r="I63" i="22"/>
  <c r="D63" i="22"/>
  <c r="E63" i="22" s="1"/>
  <c r="B63" i="22"/>
  <c r="D62" i="22"/>
  <c r="E62" i="22" s="1"/>
  <c r="B62" i="22"/>
  <c r="K61" i="22"/>
  <c r="E61" i="22"/>
  <c r="D61" i="22"/>
  <c r="B61" i="22"/>
  <c r="K60" i="22"/>
  <c r="F60" i="22"/>
  <c r="G60" i="22" s="1"/>
  <c r="E60" i="22"/>
  <c r="D60" i="22"/>
  <c r="B60" i="22"/>
  <c r="K59" i="22"/>
  <c r="F59" i="22"/>
  <c r="G59" i="22" s="1"/>
  <c r="D59" i="22"/>
  <c r="E59" i="22" s="1"/>
  <c r="B59" i="22"/>
  <c r="I58" i="22"/>
  <c r="G58" i="22"/>
  <c r="F58" i="22"/>
  <c r="D58" i="22"/>
  <c r="E58" i="22" s="1"/>
  <c r="B58" i="22"/>
  <c r="K57" i="22"/>
  <c r="I57" i="22"/>
  <c r="D57" i="22"/>
  <c r="E57" i="22" s="1"/>
  <c r="B57" i="22"/>
  <c r="K56" i="22"/>
  <c r="F56" i="22"/>
  <c r="G56" i="22" s="1"/>
  <c r="E56" i="22"/>
  <c r="D56" i="22"/>
  <c r="B56" i="22"/>
  <c r="I55" i="22"/>
  <c r="F55" i="22"/>
  <c r="G55" i="22" s="1"/>
  <c r="D55" i="22"/>
  <c r="E55" i="22" s="1"/>
  <c r="B55" i="22"/>
  <c r="G54" i="22"/>
  <c r="F54" i="22"/>
  <c r="E54" i="22"/>
  <c r="D54" i="22"/>
  <c r="B54" i="22"/>
  <c r="K53" i="22"/>
  <c r="I53" i="22"/>
  <c r="D53" i="22"/>
  <c r="E53" i="22" s="1"/>
  <c r="B53" i="22"/>
  <c r="K52" i="22"/>
  <c r="E52" i="22"/>
  <c r="D52" i="22"/>
  <c r="B52" i="22"/>
  <c r="I51" i="22"/>
  <c r="F51" i="22"/>
  <c r="G51" i="22" s="1"/>
  <c r="D51" i="22"/>
  <c r="E51" i="22" s="1"/>
  <c r="B51" i="22"/>
  <c r="F50" i="22"/>
  <c r="G50" i="22" s="1"/>
  <c r="E50" i="22"/>
  <c r="D50" i="22"/>
  <c r="B50" i="22"/>
  <c r="K49" i="22"/>
  <c r="D49" i="22"/>
  <c r="E49" i="22" s="1"/>
  <c r="B49" i="22"/>
  <c r="K48" i="22"/>
  <c r="G48" i="22"/>
  <c r="F48" i="22"/>
  <c r="E48" i="22"/>
  <c r="D48" i="22"/>
  <c r="B48" i="22"/>
  <c r="F47" i="22"/>
  <c r="G47" i="22" s="1"/>
  <c r="D47" i="22"/>
  <c r="E47" i="22" s="1"/>
  <c r="B47" i="22"/>
  <c r="G46" i="22"/>
  <c r="F46" i="22"/>
  <c r="E46" i="22"/>
  <c r="D46" i="22"/>
  <c r="B46" i="22"/>
  <c r="I45" i="22"/>
  <c r="D45" i="22"/>
  <c r="E45" i="22" s="1"/>
  <c r="B45" i="22"/>
  <c r="K44" i="22"/>
  <c r="G44" i="22"/>
  <c r="F44" i="22"/>
  <c r="E44" i="22"/>
  <c r="D44" i="22"/>
  <c r="B44" i="22"/>
  <c r="K43" i="22"/>
  <c r="F43" i="22"/>
  <c r="G43" i="22" s="1"/>
  <c r="D43" i="22"/>
  <c r="E43" i="22" s="1"/>
  <c r="B43" i="22"/>
  <c r="I42" i="22"/>
  <c r="F42" i="22"/>
  <c r="G42" i="22" s="1"/>
  <c r="D42" i="22"/>
  <c r="E42" i="22" s="1"/>
  <c r="B42" i="22"/>
  <c r="I41" i="22"/>
  <c r="D41" i="22"/>
  <c r="E41" i="22" s="1"/>
  <c r="B41" i="22"/>
  <c r="F40" i="22"/>
  <c r="G40" i="22" s="1"/>
  <c r="E40" i="22"/>
  <c r="D40" i="22"/>
  <c r="B40" i="22"/>
  <c r="G39" i="22"/>
  <c r="F39" i="22"/>
  <c r="D39" i="22"/>
  <c r="E39" i="22" s="1"/>
  <c r="B39" i="22"/>
  <c r="I38" i="22"/>
  <c r="F38" i="22"/>
  <c r="G38" i="22" s="1"/>
  <c r="E38" i="22"/>
  <c r="D38" i="22"/>
  <c r="B38" i="22"/>
  <c r="D37" i="22"/>
  <c r="E37" i="22" s="1"/>
  <c r="B37" i="22"/>
  <c r="G36" i="22"/>
  <c r="F36" i="22"/>
  <c r="E36" i="22"/>
  <c r="D36" i="22"/>
  <c r="B36" i="22"/>
  <c r="I35" i="22"/>
  <c r="G35" i="22"/>
  <c r="F35" i="22"/>
  <c r="D35" i="22"/>
  <c r="E35" i="22" s="1"/>
  <c r="B35" i="22"/>
  <c r="I34" i="22"/>
  <c r="F34" i="22"/>
  <c r="G34" i="22" s="1"/>
  <c r="D34" i="22"/>
  <c r="E34" i="22" s="1"/>
  <c r="B34" i="22"/>
  <c r="K33" i="22"/>
  <c r="D33" i="22"/>
  <c r="E33" i="22" s="1"/>
  <c r="B33" i="22"/>
  <c r="F32" i="22"/>
  <c r="G32" i="22" s="1"/>
  <c r="E32" i="22"/>
  <c r="D32" i="22"/>
  <c r="B32" i="22"/>
  <c r="G31" i="22"/>
  <c r="F31" i="22"/>
  <c r="D31" i="22"/>
  <c r="E31" i="22" s="1"/>
  <c r="B31" i="22"/>
  <c r="I30" i="22"/>
  <c r="G30" i="22"/>
  <c r="F30" i="22"/>
  <c r="D30" i="22"/>
  <c r="E30" i="22" s="1"/>
  <c r="B30" i="22"/>
  <c r="E29" i="22"/>
  <c r="D29" i="22"/>
  <c r="B29" i="22"/>
  <c r="K28" i="22"/>
  <c r="F28" i="22"/>
  <c r="G28" i="22" s="1"/>
  <c r="E28" i="22"/>
  <c r="D28" i="22"/>
  <c r="B28" i="22"/>
  <c r="K27" i="22"/>
  <c r="F27" i="22"/>
  <c r="G27" i="22" s="1"/>
  <c r="D27" i="22"/>
  <c r="E27" i="22" s="1"/>
  <c r="B27" i="22"/>
  <c r="I26" i="22"/>
  <c r="F26" i="22"/>
  <c r="G26" i="22" s="1"/>
  <c r="D26" i="22"/>
  <c r="E26" i="22" s="1"/>
  <c r="B26" i="22"/>
  <c r="K25" i="22"/>
  <c r="I25" i="22"/>
  <c r="E25" i="22"/>
  <c r="D25" i="22"/>
  <c r="B25" i="22"/>
  <c r="F24" i="22"/>
  <c r="G24" i="22" s="1"/>
  <c r="E24" i="22"/>
  <c r="D24" i="22"/>
  <c r="B24" i="22"/>
  <c r="K23" i="22"/>
  <c r="G23" i="22"/>
  <c r="F23" i="22"/>
  <c r="D23" i="22"/>
  <c r="E23" i="22" s="1"/>
  <c r="B23" i="22"/>
  <c r="F22" i="22"/>
  <c r="G22" i="22" s="1"/>
  <c r="D22" i="22"/>
  <c r="E22" i="22" s="1"/>
  <c r="B22" i="22"/>
  <c r="K21" i="22"/>
  <c r="F21" i="22"/>
  <c r="G21" i="22" s="1"/>
  <c r="D21" i="22"/>
  <c r="E21" i="22" s="1"/>
  <c r="B21" i="22"/>
  <c r="I20" i="22"/>
  <c r="D20" i="22"/>
  <c r="E20" i="22" s="1"/>
  <c r="B20" i="22"/>
  <c r="T19" i="22"/>
  <c r="F19" i="22"/>
  <c r="G19" i="22" s="1"/>
  <c r="E19" i="22"/>
  <c r="D19" i="22"/>
  <c r="B19" i="22"/>
  <c r="T18" i="22"/>
  <c r="K18" i="22"/>
  <c r="I18" i="22"/>
  <c r="E18" i="22"/>
  <c r="D18" i="22"/>
  <c r="B18" i="22"/>
  <c r="I17" i="22"/>
  <c r="G17" i="22"/>
  <c r="F17" i="22"/>
  <c r="D17" i="22"/>
  <c r="B17" i="22"/>
  <c r="K16" i="22"/>
  <c r="F16" i="22"/>
  <c r="G16" i="22" s="1"/>
  <c r="D16" i="22"/>
  <c r="E16" i="22" s="1"/>
  <c r="B16" i="22"/>
  <c r="G15" i="22"/>
  <c r="F15" i="22"/>
  <c r="D15" i="22"/>
  <c r="E15" i="22" s="1"/>
  <c r="B15" i="22"/>
  <c r="I14" i="22"/>
  <c r="G14" i="22"/>
  <c r="F14" i="22"/>
  <c r="D14" i="22"/>
  <c r="E14" i="22" s="1"/>
  <c r="B14" i="22"/>
  <c r="G13" i="22"/>
  <c r="F13" i="22"/>
  <c r="D13" i="22"/>
  <c r="E13" i="22" s="1"/>
  <c r="B13" i="22"/>
  <c r="G12" i="22"/>
  <c r="F12" i="22"/>
  <c r="E12" i="22"/>
  <c r="D12" i="22"/>
  <c r="B12" i="22"/>
  <c r="T11" i="22"/>
  <c r="K68" i="22" s="1"/>
  <c r="K11" i="22"/>
  <c r="I11" i="22"/>
  <c r="F11" i="22"/>
  <c r="D11" i="22"/>
  <c r="E11" i="22" s="1"/>
  <c r="B11" i="22"/>
  <c r="K10" i="22"/>
  <c r="F10" i="22"/>
  <c r="G10" i="22" s="1"/>
  <c r="E10" i="22"/>
  <c r="D10" i="22"/>
  <c r="B10" i="22"/>
  <c r="G9" i="22"/>
  <c r="F9" i="22"/>
  <c r="D9" i="22"/>
  <c r="E9" i="22" s="1"/>
  <c r="B9" i="22"/>
  <c r="I8" i="22"/>
  <c r="F8" i="22"/>
  <c r="G8" i="22" s="1"/>
  <c r="D8" i="22"/>
  <c r="E8" i="22" s="1"/>
  <c r="B8" i="22"/>
  <c r="T7" i="22"/>
  <c r="I7" i="22"/>
  <c r="F7" i="22"/>
  <c r="G7" i="22" s="1"/>
  <c r="E7" i="22"/>
  <c r="D7" i="22"/>
  <c r="B7" i="22"/>
  <c r="K6" i="22"/>
  <c r="I6" i="22"/>
  <c r="F6" i="22"/>
  <c r="G6" i="22" s="1"/>
  <c r="D6" i="22"/>
  <c r="E6" i="22" s="1"/>
  <c r="B6" i="22"/>
  <c r="T5" i="22"/>
  <c r="I5" i="22"/>
  <c r="T4" i="22"/>
  <c r="I4" i="22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K66" i="21" s="1"/>
  <c r="B3" i="21"/>
  <c r="K2" i="21"/>
  <c r="B2" i="21"/>
  <c r="O70" i="20"/>
  <c r="N70" i="20"/>
  <c r="M70" i="20"/>
  <c r="L70" i="20"/>
  <c r="H70" i="20"/>
  <c r="C70" i="20"/>
  <c r="F7" i="20" s="1"/>
  <c r="K69" i="20"/>
  <c r="F69" i="20"/>
  <c r="G69" i="20" s="1"/>
  <c r="E69" i="20"/>
  <c r="D69" i="20"/>
  <c r="B69" i="20"/>
  <c r="D68" i="20"/>
  <c r="E68" i="20" s="1"/>
  <c r="B68" i="20"/>
  <c r="F67" i="20"/>
  <c r="G67" i="20" s="1"/>
  <c r="D67" i="20"/>
  <c r="E67" i="20" s="1"/>
  <c r="B67" i="20"/>
  <c r="K66" i="20"/>
  <c r="E66" i="20"/>
  <c r="D66" i="20"/>
  <c r="B66" i="20"/>
  <c r="K65" i="20"/>
  <c r="G65" i="20"/>
  <c r="F65" i="20"/>
  <c r="E65" i="20"/>
  <c r="D65" i="20"/>
  <c r="B65" i="20"/>
  <c r="D64" i="20"/>
  <c r="E64" i="20" s="1"/>
  <c r="B64" i="20"/>
  <c r="F63" i="20"/>
  <c r="G63" i="20" s="1"/>
  <c r="D63" i="20"/>
  <c r="E63" i="20" s="1"/>
  <c r="B63" i="20"/>
  <c r="K62" i="20"/>
  <c r="E62" i="20"/>
  <c r="D62" i="20"/>
  <c r="B62" i="20"/>
  <c r="K61" i="20"/>
  <c r="F61" i="20"/>
  <c r="G61" i="20" s="1"/>
  <c r="E61" i="20"/>
  <c r="D61" i="20"/>
  <c r="B61" i="20"/>
  <c r="D60" i="20"/>
  <c r="E60" i="20" s="1"/>
  <c r="B60" i="20"/>
  <c r="F59" i="20"/>
  <c r="G59" i="20" s="1"/>
  <c r="D59" i="20"/>
  <c r="E59" i="20" s="1"/>
  <c r="B59" i="20"/>
  <c r="K58" i="20"/>
  <c r="E58" i="20"/>
  <c r="D58" i="20"/>
  <c r="B58" i="20"/>
  <c r="K57" i="20"/>
  <c r="F57" i="20"/>
  <c r="G57" i="20" s="1"/>
  <c r="E57" i="20"/>
  <c r="D57" i="20"/>
  <c r="B57" i="20"/>
  <c r="D56" i="20"/>
  <c r="E56" i="20" s="1"/>
  <c r="B56" i="20"/>
  <c r="K55" i="20"/>
  <c r="F55" i="20"/>
  <c r="G55" i="20" s="1"/>
  <c r="D55" i="20"/>
  <c r="E55" i="20" s="1"/>
  <c r="B55" i="20"/>
  <c r="K54" i="20"/>
  <c r="E54" i="20"/>
  <c r="D54" i="20"/>
  <c r="B54" i="20"/>
  <c r="K53" i="20"/>
  <c r="F53" i="20"/>
  <c r="G53" i="20" s="1"/>
  <c r="E53" i="20"/>
  <c r="D53" i="20"/>
  <c r="B53" i="20"/>
  <c r="D52" i="20"/>
  <c r="E52" i="20" s="1"/>
  <c r="B52" i="20"/>
  <c r="K51" i="20"/>
  <c r="I51" i="20"/>
  <c r="F51" i="20"/>
  <c r="G51" i="20" s="1"/>
  <c r="D51" i="20"/>
  <c r="E51" i="20" s="1"/>
  <c r="B51" i="20"/>
  <c r="K50" i="20"/>
  <c r="E50" i="20"/>
  <c r="D50" i="20"/>
  <c r="B50" i="20"/>
  <c r="K49" i="20"/>
  <c r="F49" i="20"/>
  <c r="G49" i="20" s="1"/>
  <c r="E49" i="20"/>
  <c r="D49" i="20"/>
  <c r="B49" i="20"/>
  <c r="D48" i="20"/>
  <c r="E48" i="20" s="1"/>
  <c r="B48" i="20"/>
  <c r="K47" i="20"/>
  <c r="F47" i="20"/>
  <c r="G47" i="20" s="1"/>
  <c r="D47" i="20"/>
  <c r="E47" i="20" s="1"/>
  <c r="B47" i="20"/>
  <c r="K46" i="20"/>
  <c r="E46" i="20"/>
  <c r="D46" i="20"/>
  <c r="B46" i="20"/>
  <c r="K45" i="20"/>
  <c r="F45" i="20"/>
  <c r="G45" i="20" s="1"/>
  <c r="E45" i="20"/>
  <c r="D45" i="20"/>
  <c r="B45" i="20"/>
  <c r="D44" i="20"/>
  <c r="E44" i="20" s="1"/>
  <c r="B44" i="20"/>
  <c r="K43" i="20"/>
  <c r="F43" i="20"/>
  <c r="G43" i="20" s="1"/>
  <c r="D43" i="20"/>
  <c r="E43" i="20" s="1"/>
  <c r="B43" i="20"/>
  <c r="K42" i="20"/>
  <c r="E42" i="20"/>
  <c r="D42" i="20"/>
  <c r="B42" i="20"/>
  <c r="K41" i="20"/>
  <c r="G41" i="20"/>
  <c r="F41" i="20"/>
  <c r="E41" i="20"/>
  <c r="D41" i="20"/>
  <c r="B41" i="20"/>
  <c r="D40" i="20"/>
  <c r="E40" i="20" s="1"/>
  <c r="B40" i="20"/>
  <c r="K39" i="20"/>
  <c r="F39" i="20"/>
  <c r="G39" i="20" s="1"/>
  <c r="D39" i="20"/>
  <c r="E39" i="20" s="1"/>
  <c r="B39" i="20"/>
  <c r="K38" i="20"/>
  <c r="E38" i="20"/>
  <c r="D38" i="20"/>
  <c r="B38" i="20"/>
  <c r="K37" i="20"/>
  <c r="F37" i="20"/>
  <c r="G37" i="20" s="1"/>
  <c r="E37" i="20"/>
  <c r="D37" i="20"/>
  <c r="B37" i="20"/>
  <c r="D36" i="20"/>
  <c r="E36" i="20" s="1"/>
  <c r="B36" i="20"/>
  <c r="K35" i="20"/>
  <c r="F35" i="20"/>
  <c r="G35" i="20" s="1"/>
  <c r="D35" i="20"/>
  <c r="E35" i="20" s="1"/>
  <c r="B35" i="20"/>
  <c r="K34" i="20"/>
  <c r="E34" i="20"/>
  <c r="D34" i="20"/>
  <c r="B34" i="20"/>
  <c r="K33" i="20"/>
  <c r="G33" i="20"/>
  <c r="F33" i="20"/>
  <c r="E33" i="20"/>
  <c r="D33" i="20"/>
  <c r="B33" i="20"/>
  <c r="D32" i="20"/>
  <c r="E32" i="20" s="1"/>
  <c r="B32" i="20"/>
  <c r="K31" i="20"/>
  <c r="F31" i="20"/>
  <c r="G31" i="20" s="1"/>
  <c r="D31" i="20"/>
  <c r="E31" i="20" s="1"/>
  <c r="B31" i="20"/>
  <c r="K30" i="20"/>
  <c r="E30" i="20"/>
  <c r="D30" i="20"/>
  <c r="B30" i="20"/>
  <c r="K29" i="20"/>
  <c r="G29" i="20"/>
  <c r="F29" i="20"/>
  <c r="E29" i="20"/>
  <c r="D29" i="20"/>
  <c r="B29" i="20"/>
  <c r="D28" i="20"/>
  <c r="E28" i="20" s="1"/>
  <c r="B28" i="20"/>
  <c r="K27" i="20"/>
  <c r="F27" i="20"/>
  <c r="G27" i="20" s="1"/>
  <c r="D27" i="20"/>
  <c r="E27" i="20" s="1"/>
  <c r="B27" i="20"/>
  <c r="K26" i="20"/>
  <c r="E26" i="20"/>
  <c r="D26" i="20"/>
  <c r="B26" i="20"/>
  <c r="K25" i="20"/>
  <c r="G25" i="20"/>
  <c r="F25" i="20"/>
  <c r="E25" i="20"/>
  <c r="D25" i="20"/>
  <c r="B25" i="20"/>
  <c r="D24" i="20"/>
  <c r="E24" i="20" s="1"/>
  <c r="B24" i="20"/>
  <c r="K23" i="20"/>
  <c r="F23" i="20"/>
  <c r="G23" i="20" s="1"/>
  <c r="D23" i="20"/>
  <c r="E23" i="20" s="1"/>
  <c r="B23" i="20"/>
  <c r="K22" i="20"/>
  <c r="E22" i="20"/>
  <c r="D22" i="20"/>
  <c r="B22" i="20"/>
  <c r="K21" i="20"/>
  <c r="F21" i="20"/>
  <c r="G21" i="20" s="1"/>
  <c r="E21" i="20"/>
  <c r="D21" i="20"/>
  <c r="B21" i="20"/>
  <c r="T20" i="20"/>
  <c r="K20" i="20"/>
  <c r="E20" i="20"/>
  <c r="D20" i="20"/>
  <c r="B20" i="20"/>
  <c r="K19" i="20"/>
  <c r="F19" i="20"/>
  <c r="G19" i="20" s="1"/>
  <c r="E19" i="20"/>
  <c r="D19" i="20"/>
  <c r="B19" i="20"/>
  <c r="T18" i="20"/>
  <c r="T19" i="20" s="1"/>
  <c r="K18" i="20"/>
  <c r="F18" i="20"/>
  <c r="G18" i="20" s="1"/>
  <c r="D18" i="20"/>
  <c r="E18" i="20" s="1"/>
  <c r="B18" i="20"/>
  <c r="K17" i="20"/>
  <c r="E17" i="20"/>
  <c r="D17" i="20"/>
  <c r="B17" i="20"/>
  <c r="K16" i="20"/>
  <c r="G16" i="20"/>
  <c r="F16" i="20"/>
  <c r="E16" i="20"/>
  <c r="D16" i="20"/>
  <c r="B16" i="20"/>
  <c r="D15" i="20"/>
  <c r="E15" i="20" s="1"/>
  <c r="B15" i="20"/>
  <c r="K14" i="20"/>
  <c r="F14" i="20"/>
  <c r="G14" i="20" s="1"/>
  <c r="D14" i="20"/>
  <c r="E14" i="20" s="1"/>
  <c r="B14" i="20"/>
  <c r="K13" i="20"/>
  <c r="F13" i="20"/>
  <c r="G13" i="20" s="1"/>
  <c r="D13" i="20"/>
  <c r="E13" i="20" s="1"/>
  <c r="B13" i="20"/>
  <c r="K12" i="20"/>
  <c r="G12" i="20"/>
  <c r="F12" i="20"/>
  <c r="D12" i="20"/>
  <c r="E12" i="20" s="1"/>
  <c r="B12" i="20"/>
  <c r="T11" i="20"/>
  <c r="K67" i="20" s="1"/>
  <c r="K11" i="20"/>
  <c r="F11" i="20"/>
  <c r="G11" i="20" s="1"/>
  <c r="E11" i="20"/>
  <c r="D11" i="20"/>
  <c r="B11" i="20"/>
  <c r="K10" i="20"/>
  <c r="F10" i="20"/>
  <c r="G10" i="20" s="1"/>
  <c r="E10" i="20"/>
  <c r="D10" i="20"/>
  <c r="B10" i="20"/>
  <c r="K9" i="20"/>
  <c r="F9" i="20"/>
  <c r="G9" i="20" s="1"/>
  <c r="D9" i="20"/>
  <c r="E9" i="20" s="1"/>
  <c r="B9" i="20"/>
  <c r="K8" i="20"/>
  <c r="F8" i="20"/>
  <c r="G8" i="20" s="1"/>
  <c r="D8" i="20"/>
  <c r="E8" i="20" s="1"/>
  <c r="B8" i="20"/>
  <c r="T7" i="20"/>
  <c r="I58" i="20" s="1"/>
  <c r="K7" i="20"/>
  <c r="G7" i="20"/>
  <c r="D7" i="20"/>
  <c r="E7" i="20" s="1"/>
  <c r="B7" i="20"/>
  <c r="K6" i="20"/>
  <c r="F6" i="20"/>
  <c r="G6" i="20" s="1"/>
  <c r="D6" i="20"/>
  <c r="B6" i="20"/>
  <c r="T5" i="20"/>
  <c r="T4" i="20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K66" i="19" s="1"/>
  <c r="B3" i="19"/>
  <c r="K2" i="19"/>
  <c r="B2" i="19"/>
  <c r="O70" i="18"/>
  <c r="N70" i="18"/>
  <c r="M70" i="18"/>
  <c r="L70" i="18"/>
  <c r="H70" i="18"/>
  <c r="C70" i="18"/>
  <c r="K69" i="18"/>
  <c r="F69" i="18"/>
  <c r="G69" i="18" s="1"/>
  <c r="E69" i="18"/>
  <c r="D69" i="18"/>
  <c r="B69" i="18"/>
  <c r="D68" i="18"/>
  <c r="E68" i="18" s="1"/>
  <c r="B68" i="18"/>
  <c r="K67" i="18"/>
  <c r="F67" i="18"/>
  <c r="G67" i="18" s="1"/>
  <c r="D67" i="18"/>
  <c r="E67" i="18" s="1"/>
  <c r="B67" i="18"/>
  <c r="K66" i="18"/>
  <c r="E66" i="18"/>
  <c r="D66" i="18"/>
  <c r="B66" i="18"/>
  <c r="K65" i="18"/>
  <c r="G65" i="18"/>
  <c r="F65" i="18"/>
  <c r="E65" i="18"/>
  <c r="D65" i="18"/>
  <c r="B65" i="18"/>
  <c r="D64" i="18"/>
  <c r="E64" i="18" s="1"/>
  <c r="B64" i="18"/>
  <c r="K63" i="18"/>
  <c r="F63" i="18"/>
  <c r="G63" i="18" s="1"/>
  <c r="D63" i="18"/>
  <c r="E63" i="18" s="1"/>
  <c r="B63" i="18"/>
  <c r="K62" i="18"/>
  <c r="E62" i="18"/>
  <c r="D62" i="18"/>
  <c r="B62" i="18"/>
  <c r="K61" i="18"/>
  <c r="F61" i="18"/>
  <c r="G61" i="18" s="1"/>
  <c r="E61" i="18"/>
  <c r="D61" i="18"/>
  <c r="B61" i="18"/>
  <c r="D60" i="18"/>
  <c r="E60" i="18" s="1"/>
  <c r="B60" i="18"/>
  <c r="K59" i="18"/>
  <c r="F59" i="18"/>
  <c r="G59" i="18" s="1"/>
  <c r="D59" i="18"/>
  <c r="E59" i="18" s="1"/>
  <c r="B59" i="18"/>
  <c r="K58" i="18"/>
  <c r="E58" i="18"/>
  <c r="D58" i="18"/>
  <c r="B58" i="18"/>
  <c r="K57" i="18"/>
  <c r="F57" i="18"/>
  <c r="G57" i="18" s="1"/>
  <c r="E57" i="18"/>
  <c r="D57" i="18"/>
  <c r="B57" i="18"/>
  <c r="F56" i="18"/>
  <c r="G56" i="18" s="1"/>
  <c r="D56" i="18"/>
  <c r="E56" i="18" s="1"/>
  <c r="B56" i="18"/>
  <c r="K55" i="18"/>
  <c r="D55" i="18"/>
  <c r="E55" i="18" s="1"/>
  <c r="B55" i="18"/>
  <c r="K54" i="18"/>
  <c r="E54" i="18"/>
  <c r="D54" i="18"/>
  <c r="B54" i="18"/>
  <c r="K53" i="18"/>
  <c r="F53" i="18"/>
  <c r="G53" i="18" s="1"/>
  <c r="E53" i="18"/>
  <c r="D53" i="18"/>
  <c r="B53" i="18"/>
  <c r="F52" i="18"/>
  <c r="G52" i="18" s="1"/>
  <c r="D52" i="18"/>
  <c r="E52" i="18" s="1"/>
  <c r="B52" i="18"/>
  <c r="K51" i="18"/>
  <c r="D51" i="18"/>
  <c r="E51" i="18" s="1"/>
  <c r="B51" i="18"/>
  <c r="K50" i="18"/>
  <c r="F50" i="18"/>
  <c r="G50" i="18" s="1"/>
  <c r="E50" i="18"/>
  <c r="D50" i="18"/>
  <c r="B50" i="18"/>
  <c r="K49" i="18"/>
  <c r="E49" i="18"/>
  <c r="D49" i="18"/>
  <c r="B49" i="18"/>
  <c r="F48" i="18"/>
  <c r="G48" i="18" s="1"/>
  <c r="D48" i="18"/>
  <c r="E48" i="18" s="1"/>
  <c r="B48" i="18"/>
  <c r="K47" i="18"/>
  <c r="D47" i="18"/>
  <c r="E47" i="18" s="1"/>
  <c r="B47" i="18"/>
  <c r="K46" i="18"/>
  <c r="E46" i="18"/>
  <c r="D46" i="18"/>
  <c r="B46" i="18"/>
  <c r="K45" i="18"/>
  <c r="F45" i="18"/>
  <c r="G45" i="18" s="1"/>
  <c r="E45" i="18"/>
  <c r="D45" i="18"/>
  <c r="B45" i="18"/>
  <c r="D44" i="18"/>
  <c r="E44" i="18" s="1"/>
  <c r="B44" i="18"/>
  <c r="K43" i="18"/>
  <c r="F43" i="18"/>
  <c r="G43" i="18" s="1"/>
  <c r="D43" i="18"/>
  <c r="E43" i="18" s="1"/>
  <c r="B43" i="18"/>
  <c r="K42" i="18"/>
  <c r="E42" i="18"/>
  <c r="D42" i="18"/>
  <c r="B42" i="18"/>
  <c r="K41" i="18"/>
  <c r="F41" i="18"/>
  <c r="G41" i="18" s="1"/>
  <c r="D41" i="18"/>
  <c r="E41" i="18" s="1"/>
  <c r="B41" i="18"/>
  <c r="D40" i="18"/>
  <c r="E40" i="18" s="1"/>
  <c r="B40" i="18"/>
  <c r="K39" i="18"/>
  <c r="F39" i="18"/>
  <c r="G39" i="18" s="1"/>
  <c r="D39" i="18"/>
  <c r="E39" i="18" s="1"/>
  <c r="B39" i="18"/>
  <c r="K38" i="18"/>
  <c r="F38" i="18"/>
  <c r="G38" i="18" s="1"/>
  <c r="E38" i="18"/>
  <c r="D38" i="18"/>
  <c r="B38" i="18"/>
  <c r="K37" i="18"/>
  <c r="D37" i="18"/>
  <c r="E37" i="18" s="1"/>
  <c r="B37" i="18"/>
  <c r="G36" i="18"/>
  <c r="F36" i="18"/>
  <c r="D36" i="18"/>
  <c r="E36" i="18" s="1"/>
  <c r="B36" i="18"/>
  <c r="K35" i="18"/>
  <c r="F35" i="18"/>
  <c r="G35" i="18" s="1"/>
  <c r="D35" i="18"/>
  <c r="E35" i="18" s="1"/>
  <c r="B35" i="18"/>
  <c r="K34" i="18"/>
  <c r="E34" i="18"/>
  <c r="D34" i="18"/>
  <c r="B34" i="18"/>
  <c r="K33" i="18"/>
  <c r="F33" i="18"/>
  <c r="G33" i="18" s="1"/>
  <c r="D33" i="18"/>
  <c r="E33" i="18" s="1"/>
  <c r="B33" i="18"/>
  <c r="D32" i="18"/>
  <c r="E32" i="18" s="1"/>
  <c r="B32" i="18"/>
  <c r="K31" i="18"/>
  <c r="F31" i="18"/>
  <c r="G31" i="18" s="1"/>
  <c r="D31" i="18"/>
  <c r="E31" i="18" s="1"/>
  <c r="B31" i="18"/>
  <c r="K30" i="18"/>
  <c r="E30" i="18"/>
  <c r="D30" i="18"/>
  <c r="B30" i="18"/>
  <c r="K29" i="18"/>
  <c r="G29" i="18"/>
  <c r="F29" i="18"/>
  <c r="D29" i="18"/>
  <c r="E29" i="18" s="1"/>
  <c r="B29" i="18"/>
  <c r="D28" i="18"/>
  <c r="E28" i="18" s="1"/>
  <c r="B28" i="18"/>
  <c r="K27" i="18"/>
  <c r="F27" i="18"/>
  <c r="G27" i="18" s="1"/>
  <c r="D27" i="18"/>
  <c r="E27" i="18" s="1"/>
  <c r="B27" i="18"/>
  <c r="K26" i="18"/>
  <c r="F26" i="18"/>
  <c r="G26" i="18" s="1"/>
  <c r="E26" i="18"/>
  <c r="D26" i="18"/>
  <c r="B26" i="18"/>
  <c r="K25" i="18"/>
  <c r="D25" i="18"/>
  <c r="E25" i="18" s="1"/>
  <c r="B25" i="18"/>
  <c r="G24" i="18"/>
  <c r="F24" i="18"/>
  <c r="D24" i="18"/>
  <c r="E24" i="18" s="1"/>
  <c r="B24" i="18"/>
  <c r="K23" i="18"/>
  <c r="F23" i="18"/>
  <c r="G23" i="18" s="1"/>
  <c r="D23" i="18"/>
  <c r="E23" i="18" s="1"/>
  <c r="B23" i="18"/>
  <c r="K22" i="18"/>
  <c r="E22" i="18"/>
  <c r="D22" i="18"/>
  <c r="B22" i="18"/>
  <c r="K21" i="18"/>
  <c r="F21" i="18"/>
  <c r="G21" i="18" s="1"/>
  <c r="D21" i="18"/>
  <c r="E21" i="18" s="1"/>
  <c r="B21" i="18"/>
  <c r="T20" i="18"/>
  <c r="K20" i="18"/>
  <c r="E20" i="18"/>
  <c r="D20" i="18"/>
  <c r="B20" i="18"/>
  <c r="T19" i="18"/>
  <c r="K19" i="18"/>
  <c r="F19" i="18"/>
  <c r="G19" i="18" s="1"/>
  <c r="E19" i="18"/>
  <c r="D19" i="18"/>
  <c r="B19" i="18"/>
  <c r="T18" i="18"/>
  <c r="K18" i="18"/>
  <c r="F18" i="18"/>
  <c r="G18" i="18" s="1"/>
  <c r="D18" i="18"/>
  <c r="E18" i="18" s="1"/>
  <c r="B18" i="18"/>
  <c r="K17" i="18"/>
  <c r="E17" i="18"/>
  <c r="D17" i="18"/>
  <c r="B17" i="18"/>
  <c r="K16" i="18"/>
  <c r="G16" i="18"/>
  <c r="F16" i="18"/>
  <c r="D16" i="18"/>
  <c r="E16" i="18" s="1"/>
  <c r="B16" i="18"/>
  <c r="D15" i="18"/>
  <c r="E15" i="18" s="1"/>
  <c r="B15" i="18"/>
  <c r="K14" i="18"/>
  <c r="D14" i="18"/>
  <c r="E14" i="18" s="1"/>
  <c r="B14" i="18"/>
  <c r="K13" i="18"/>
  <c r="F13" i="18"/>
  <c r="G13" i="18" s="1"/>
  <c r="D13" i="18"/>
  <c r="E13" i="18" s="1"/>
  <c r="B13" i="18"/>
  <c r="K12" i="18"/>
  <c r="F12" i="18"/>
  <c r="G12" i="18" s="1"/>
  <c r="E12" i="18"/>
  <c r="D12" i="18"/>
  <c r="B12" i="18"/>
  <c r="T11" i="18"/>
  <c r="K68" i="18" s="1"/>
  <c r="K11" i="18"/>
  <c r="F11" i="18"/>
  <c r="G11" i="18" s="1"/>
  <c r="D11" i="18"/>
  <c r="E11" i="18" s="1"/>
  <c r="B11" i="18"/>
  <c r="K10" i="18"/>
  <c r="E10" i="18"/>
  <c r="D10" i="18"/>
  <c r="B10" i="18"/>
  <c r="K9" i="18"/>
  <c r="F9" i="18"/>
  <c r="G9" i="18" s="1"/>
  <c r="D9" i="18"/>
  <c r="E9" i="18" s="1"/>
  <c r="B9" i="18"/>
  <c r="K8" i="18"/>
  <c r="D8" i="18"/>
  <c r="E8" i="18" s="1"/>
  <c r="B8" i="18"/>
  <c r="T7" i="18"/>
  <c r="K7" i="18"/>
  <c r="D7" i="18"/>
  <c r="E7" i="18" s="1"/>
  <c r="B7" i="18"/>
  <c r="K6" i="18"/>
  <c r="E6" i="18"/>
  <c r="D6" i="18"/>
  <c r="B6" i="18"/>
  <c r="T5" i="18"/>
  <c r="T4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K66" i="17" s="1"/>
  <c r="B4" i="17"/>
  <c r="K3" i="17"/>
  <c r="B3" i="17"/>
  <c r="K2" i="17"/>
  <c r="B2" i="17"/>
  <c r="O70" i="16"/>
  <c r="N70" i="16"/>
  <c r="M70" i="16"/>
  <c r="L70" i="16"/>
  <c r="H70" i="16"/>
  <c r="C70" i="16"/>
  <c r="F67" i="16" s="1"/>
  <c r="F69" i="16"/>
  <c r="G69" i="16" s="1"/>
  <c r="E69" i="16"/>
  <c r="D69" i="16"/>
  <c r="B69" i="16"/>
  <c r="F68" i="16"/>
  <c r="E68" i="16"/>
  <c r="D68" i="16"/>
  <c r="B68" i="16"/>
  <c r="D67" i="16"/>
  <c r="E67" i="16" s="1"/>
  <c r="B67" i="16"/>
  <c r="F66" i="16"/>
  <c r="G66" i="16" s="1"/>
  <c r="E66" i="16"/>
  <c r="D66" i="16"/>
  <c r="B66" i="16"/>
  <c r="F65" i="16"/>
  <c r="G65" i="16" s="1"/>
  <c r="E65" i="16"/>
  <c r="D65" i="16"/>
  <c r="B65" i="16"/>
  <c r="G64" i="16"/>
  <c r="F64" i="16"/>
  <c r="D64" i="16"/>
  <c r="E64" i="16" s="1"/>
  <c r="B64" i="16"/>
  <c r="F63" i="16"/>
  <c r="E63" i="16"/>
  <c r="D63" i="16"/>
  <c r="B63" i="16"/>
  <c r="F62" i="16"/>
  <c r="E62" i="16"/>
  <c r="D62" i="16"/>
  <c r="B62" i="16"/>
  <c r="F61" i="16"/>
  <c r="G61" i="16" s="1"/>
  <c r="E61" i="16"/>
  <c r="D61" i="16"/>
  <c r="B61" i="16"/>
  <c r="I60" i="16"/>
  <c r="G60" i="16"/>
  <c r="F60" i="16"/>
  <c r="E60" i="16"/>
  <c r="D60" i="16"/>
  <c r="B60" i="16"/>
  <c r="F59" i="16"/>
  <c r="D59" i="16"/>
  <c r="E59" i="16" s="1"/>
  <c r="B59" i="16"/>
  <c r="E58" i="16"/>
  <c r="D58" i="16"/>
  <c r="B58" i="16"/>
  <c r="F57" i="16"/>
  <c r="G57" i="16" s="1"/>
  <c r="D57" i="16"/>
  <c r="E57" i="16" s="1"/>
  <c r="B57" i="16"/>
  <c r="F56" i="16"/>
  <c r="D56" i="16"/>
  <c r="E56" i="16" s="1"/>
  <c r="B56" i="16"/>
  <c r="D55" i="16"/>
  <c r="E55" i="16" s="1"/>
  <c r="B55" i="16"/>
  <c r="I54" i="16"/>
  <c r="F54" i="16"/>
  <c r="E54" i="16"/>
  <c r="D54" i="16"/>
  <c r="B54" i="16"/>
  <c r="I53" i="16"/>
  <c r="F53" i="16"/>
  <c r="G53" i="16" s="1"/>
  <c r="E53" i="16"/>
  <c r="D53" i="16"/>
  <c r="B53" i="16"/>
  <c r="F52" i="16"/>
  <c r="D52" i="16"/>
  <c r="E52" i="16" s="1"/>
  <c r="B52" i="16"/>
  <c r="F51" i="16"/>
  <c r="E51" i="16"/>
  <c r="D51" i="16"/>
  <c r="B51" i="16"/>
  <c r="F50" i="16"/>
  <c r="G50" i="16" s="1"/>
  <c r="E50" i="16"/>
  <c r="D50" i="16"/>
  <c r="B50" i="16"/>
  <c r="I49" i="16"/>
  <c r="F49" i="16"/>
  <c r="D49" i="16"/>
  <c r="E49" i="16" s="1"/>
  <c r="B49" i="16"/>
  <c r="F48" i="16"/>
  <c r="D48" i="16"/>
  <c r="E48" i="16" s="1"/>
  <c r="B48" i="16"/>
  <c r="F47" i="16"/>
  <c r="D47" i="16"/>
  <c r="E47" i="16" s="1"/>
  <c r="B47" i="16"/>
  <c r="F46" i="16"/>
  <c r="G46" i="16" s="1"/>
  <c r="D46" i="16"/>
  <c r="E46" i="16" s="1"/>
  <c r="B46" i="16"/>
  <c r="F45" i="16"/>
  <c r="G45" i="16" s="1"/>
  <c r="D45" i="16"/>
  <c r="E45" i="16" s="1"/>
  <c r="B45" i="16"/>
  <c r="F44" i="16"/>
  <c r="D44" i="16"/>
  <c r="E44" i="16" s="1"/>
  <c r="B44" i="16"/>
  <c r="I43" i="16"/>
  <c r="F43" i="16"/>
  <c r="G43" i="16" s="1"/>
  <c r="D43" i="16"/>
  <c r="E43" i="16" s="1"/>
  <c r="B43" i="16"/>
  <c r="F42" i="16"/>
  <c r="G42" i="16" s="1"/>
  <c r="D42" i="16"/>
  <c r="E42" i="16" s="1"/>
  <c r="B42" i="16"/>
  <c r="F41" i="16"/>
  <c r="G41" i="16" s="1"/>
  <c r="D41" i="16"/>
  <c r="E41" i="16" s="1"/>
  <c r="B41" i="16"/>
  <c r="F40" i="16"/>
  <c r="D40" i="16"/>
  <c r="E40" i="16" s="1"/>
  <c r="B40" i="16"/>
  <c r="I39" i="16"/>
  <c r="F39" i="16"/>
  <c r="G39" i="16" s="1"/>
  <c r="D39" i="16"/>
  <c r="E39" i="16" s="1"/>
  <c r="B39" i="16"/>
  <c r="F38" i="16"/>
  <c r="G38" i="16" s="1"/>
  <c r="E38" i="16"/>
  <c r="D38" i="16"/>
  <c r="B38" i="16"/>
  <c r="F37" i="16"/>
  <c r="G37" i="16" s="1"/>
  <c r="D37" i="16"/>
  <c r="E37" i="16" s="1"/>
  <c r="B37" i="16"/>
  <c r="F36" i="16"/>
  <c r="D36" i="16"/>
  <c r="E36" i="16" s="1"/>
  <c r="B36" i="16"/>
  <c r="I35" i="16"/>
  <c r="F35" i="16"/>
  <c r="G35" i="16" s="1"/>
  <c r="D35" i="16"/>
  <c r="E35" i="16" s="1"/>
  <c r="B35" i="16"/>
  <c r="F34" i="16"/>
  <c r="G34" i="16" s="1"/>
  <c r="E34" i="16"/>
  <c r="D34" i="16"/>
  <c r="B34" i="16"/>
  <c r="F33" i="16"/>
  <c r="G33" i="16" s="1"/>
  <c r="D33" i="16"/>
  <c r="E33" i="16" s="1"/>
  <c r="B33" i="16"/>
  <c r="F32" i="16"/>
  <c r="D32" i="16"/>
  <c r="E32" i="16" s="1"/>
  <c r="B32" i="16"/>
  <c r="I31" i="16"/>
  <c r="F31" i="16"/>
  <c r="G31" i="16" s="1"/>
  <c r="D31" i="16"/>
  <c r="E31" i="16" s="1"/>
  <c r="B31" i="16"/>
  <c r="F30" i="16"/>
  <c r="G30" i="16" s="1"/>
  <c r="E30" i="16"/>
  <c r="D30" i="16"/>
  <c r="B30" i="16"/>
  <c r="F29" i="16"/>
  <c r="G29" i="16" s="1"/>
  <c r="D29" i="16"/>
  <c r="E29" i="16" s="1"/>
  <c r="B29" i="16"/>
  <c r="F28" i="16"/>
  <c r="D28" i="16"/>
  <c r="E28" i="16" s="1"/>
  <c r="B28" i="16"/>
  <c r="I27" i="16"/>
  <c r="F27" i="16"/>
  <c r="G27" i="16" s="1"/>
  <c r="D27" i="16"/>
  <c r="E27" i="16" s="1"/>
  <c r="B27" i="16"/>
  <c r="F26" i="16"/>
  <c r="G26" i="16" s="1"/>
  <c r="E26" i="16"/>
  <c r="D26" i="16"/>
  <c r="B26" i="16"/>
  <c r="F25" i="16"/>
  <c r="G25" i="16" s="1"/>
  <c r="D25" i="16"/>
  <c r="E25" i="16" s="1"/>
  <c r="B25" i="16"/>
  <c r="F24" i="16"/>
  <c r="D24" i="16"/>
  <c r="E24" i="16" s="1"/>
  <c r="B24" i="16"/>
  <c r="I23" i="16"/>
  <c r="F23" i="16"/>
  <c r="G23" i="16" s="1"/>
  <c r="D23" i="16"/>
  <c r="E23" i="16" s="1"/>
  <c r="B23" i="16"/>
  <c r="F22" i="16"/>
  <c r="G22" i="16" s="1"/>
  <c r="D22" i="16"/>
  <c r="E22" i="16" s="1"/>
  <c r="B22" i="16"/>
  <c r="T21" i="16"/>
  <c r="F21" i="16"/>
  <c r="E21" i="16"/>
  <c r="D21" i="16"/>
  <c r="B21" i="16"/>
  <c r="T20" i="16"/>
  <c r="F20" i="16"/>
  <c r="G20" i="16" s="1"/>
  <c r="E20" i="16"/>
  <c r="D20" i="16"/>
  <c r="B20" i="16"/>
  <c r="T19" i="16"/>
  <c r="G19" i="16"/>
  <c r="F19" i="16"/>
  <c r="D19" i="16"/>
  <c r="E19" i="16" s="1"/>
  <c r="B19" i="16"/>
  <c r="I18" i="16"/>
  <c r="G18" i="16"/>
  <c r="F18" i="16"/>
  <c r="D18" i="16"/>
  <c r="E18" i="16" s="1"/>
  <c r="B18" i="16"/>
  <c r="G17" i="16"/>
  <c r="F17" i="16"/>
  <c r="D17" i="16"/>
  <c r="E17" i="16" s="1"/>
  <c r="B17" i="16"/>
  <c r="F16" i="16"/>
  <c r="G16" i="16" s="1"/>
  <c r="D16" i="16"/>
  <c r="E16" i="16" s="1"/>
  <c r="B16" i="16"/>
  <c r="G15" i="16"/>
  <c r="F15" i="16"/>
  <c r="D15" i="16"/>
  <c r="E15" i="16" s="1"/>
  <c r="B15" i="16"/>
  <c r="I14" i="16"/>
  <c r="F14" i="16"/>
  <c r="E14" i="16"/>
  <c r="D14" i="16"/>
  <c r="B14" i="16"/>
  <c r="I13" i="16"/>
  <c r="F13" i="16"/>
  <c r="G13" i="16" s="1"/>
  <c r="D13" i="16"/>
  <c r="E13" i="16" s="1"/>
  <c r="B13" i="16"/>
  <c r="G12" i="16"/>
  <c r="F12" i="16"/>
  <c r="D12" i="16"/>
  <c r="E12" i="16" s="1"/>
  <c r="B12" i="16"/>
  <c r="F11" i="16"/>
  <c r="G11" i="16" s="1"/>
  <c r="E11" i="16"/>
  <c r="D11" i="16"/>
  <c r="B11" i="16"/>
  <c r="I10" i="16"/>
  <c r="F10" i="16"/>
  <c r="G10" i="16" s="1"/>
  <c r="E10" i="16"/>
  <c r="D10" i="16"/>
  <c r="B10" i="16"/>
  <c r="F9" i="16"/>
  <c r="G9" i="16" s="1"/>
  <c r="D9" i="16"/>
  <c r="E9" i="16" s="1"/>
  <c r="B9" i="16"/>
  <c r="I8" i="16"/>
  <c r="F8" i="16"/>
  <c r="G8" i="16" s="1"/>
  <c r="D8" i="16"/>
  <c r="E8" i="16" s="1"/>
  <c r="B8" i="16"/>
  <c r="T7" i="16"/>
  <c r="I61" i="16" s="1"/>
  <c r="I7" i="16"/>
  <c r="F7" i="16"/>
  <c r="G7" i="16" s="1"/>
  <c r="D7" i="16"/>
  <c r="E7" i="16" s="1"/>
  <c r="B7" i="16"/>
  <c r="F6" i="16"/>
  <c r="G6" i="16" s="1"/>
  <c r="E6" i="16"/>
  <c r="D6" i="16"/>
  <c r="B6" i="16"/>
  <c r="T5" i="16"/>
  <c r="G48" i="16" s="1"/>
  <c r="I5" i="16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K66" i="15" s="1"/>
  <c r="B2" i="15"/>
  <c r="O70" i="14"/>
  <c r="N70" i="14"/>
  <c r="M70" i="14"/>
  <c r="L70" i="14"/>
  <c r="H70" i="14"/>
  <c r="F70" i="14"/>
  <c r="C70" i="14"/>
  <c r="F66" i="14" s="1"/>
  <c r="D69" i="14"/>
  <c r="E69" i="14" s="1"/>
  <c r="B69" i="14"/>
  <c r="K68" i="14"/>
  <c r="F68" i="14"/>
  <c r="G68" i="14" s="1"/>
  <c r="E68" i="14"/>
  <c r="D68" i="14"/>
  <c r="B68" i="14"/>
  <c r="K67" i="14"/>
  <c r="I67" i="14"/>
  <c r="D67" i="14"/>
  <c r="E67" i="14" s="1"/>
  <c r="B67" i="14"/>
  <c r="E66" i="14"/>
  <c r="D66" i="14"/>
  <c r="B66" i="14"/>
  <c r="D65" i="14"/>
  <c r="E65" i="14" s="1"/>
  <c r="B65" i="14"/>
  <c r="F64" i="14"/>
  <c r="E64" i="14"/>
  <c r="D64" i="14"/>
  <c r="B64" i="14"/>
  <c r="I63" i="14"/>
  <c r="F63" i="14"/>
  <c r="G63" i="14" s="1"/>
  <c r="J63" i="14" s="1"/>
  <c r="D63" i="14"/>
  <c r="E63" i="14" s="1"/>
  <c r="B63" i="14"/>
  <c r="F62" i="14"/>
  <c r="G62" i="14" s="1"/>
  <c r="D62" i="14"/>
  <c r="E62" i="14" s="1"/>
  <c r="B62" i="14"/>
  <c r="I61" i="14"/>
  <c r="F61" i="14"/>
  <c r="D61" i="14"/>
  <c r="E61" i="14" s="1"/>
  <c r="B61" i="14"/>
  <c r="F60" i="14"/>
  <c r="E60" i="14"/>
  <c r="D60" i="14"/>
  <c r="B60" i="14"/>
  <c r="K59" i="14"/>
  <c r="I59" i="14"/>
  <c r="F59" i="14"/>
  <c r="D59" i="14"/>
  <c r="E59" i="14" s="1"/>
  <c r="B59" i="14"/>
  <c r="E58" i="14"/>
  <c r="D58" i="14"/>
  <c r="B58" i="14"/>
  <c r="K57" i="14"/>
  <c r="I57" i="14"/>
  <c r="D57" i="14"/>
  <c r="E57" i="14" s="1"/>
  <c r="B57" i="14"/>
  <c r="G56" i="14"/>
  <c r="F56" i="14"/>
  <c r="E56" i="14"/>
  <c r="D56" i="14"/>
  <c r="B56" i="14"/>
  <c r="I55" i="14"/>
  <c r="F55" i="14"/>
  <c r="D55" i="14"/>
  <c r="E55" i="14" s="1"/>
  <c r="B55" i="14"/>
  <c r="F54" i="14"/>
  <c r="G54" i="14" s="1"/>
  <c r="D54" i="14"/>
  <c r="E54" i="14" s="1"/>
  <c r="B54" i="14"/>
  <c r="K53" i="14"/>
  <c r="I53" i="14"/>
  <c r="D53" i="14"/>
  <c r="E53" i="14" s="1"/>
  <c r="B53" i="14"/>
  <c r="F52" i="14"/>
  <c r="E52" i="14"/>
  <c r="D52" i="14"/>
  <c r="B52" i="14"/>
  <c r="I51" i="14"/>
  <c r="F51" i="14"/>
  <c r="D51" i="14"/>
  <c r="E51" i="14" s="1"/>
  <c r="B51" i="14"/>
  <c r="E50" i="14"/>
  <c r="D50" i="14"/>
  <c r="B50" i="14"/>
  <c r="K49" i="14"/>
  <c r="I49" i="14"/>
  <c r="F49" i="14"/>
  <c r="D49" i="14"/>
  <c r="E49" i="14" s="1"/>
  <c r="B49" i="14"/>
  <c r="I48" i="14"/>
  <c r="F48" i="14"/>
  <c r="G48" i="14" s="1"/>
  <c r="J48" i="14" s="1"/>
  <c r="E48" i="14"/>
  <c r="D48" i="14"/>
  <c r="B48" i="14"/>
  <c r="I47" i="14"/>
  <c r="E47" i="14"/>
  <c r="D47" i="14"/>
  <c r="B47" i="14"/>
  <c r="F46" i="14"/>
  <c r="D46" i="14"/>
  <c r="E46" i="14" s="1"/>
  <c r="B46" i="14"/>
  <c r="I45" i="14"/>
  <c r="D45" i="14"/>
  <c r="E45" i="14" s="1"/>
  <c r="B45" i="14"/>
  <c r="K44" i="14"/>
  <c r="I44" i="14"/>
  <c r="F44" i="14"/>
  <c r="D44" i="14"/>
  <c r="E44" i="14" s="1"/>
  <c r="B44" i="14"/>
  <c r="I43" i="14"/>
  <c r="F43" i="14"/>
  <c r="D43" i="14"/>
  <c r="E43" i="14" s="1"/>
  <c r="B43" i="14"/>
  <c r="E42" i="14"/>
  <c r="D42" i="14"/>
  <c r="B42" i="14"/>
  <c r="I41" i="14"/>
  <c r="D41" i="14"/>
  <c r="E41" i="14" s="1"/>
  <c r="B41" i="14"/>
  <c r="K40" i="14"/>
  <c r="I40" i="14"/>
  <c r="G40" i="14"/>
  <c r="J40" i="14" s="1"/>
  <c r="R40" i="14" s="1"/>
  <c r="F40" i="14"/>
  <c r="E40" i="14"/>
  <c r="D40" i="14"/>
  <c r="B40" i="14"/>
  <c r="I39" i="14"/>
  <c r="F39" i="14"/>
  <c r="G39" i="14" s="1"/>
  <c r="J39" i="14" s="1"/>
  <c r="E39" i="14"/>
  <c r="D39" i="14"/>
  <c r="B39" i="14"/>
  <c r="E38" i="14"/>
  <c r="D38" i="14"/>
  <c r="B38" i="14"/>
  <c r="K37" i="14"/>
  <c r="I37" i="14"/>
  <c r="F37" i="14"/>
  <c r="D37" i="14"/>
  <c r="E37" i="14" s="1"/>
  <c r="B37" i="14"/>
  <c r="K36" i="14"/>
  <c r="I36" i="14"/>
  <c r="F36" i="14"/>
  <c r="G36" i="14" s="1"/>
  <c r="J36" i="14" s="1"/>
  <c r="R36" i="14" s="1"/>
  <c r="D36" i="14"/>
  <c r="E36" i="14" s="1"/>
  <c r="B36" i="14"/>
  <c r="I35" i="14"/>
  <c r="F35" i="14"/>
  <c r="G35" i="14" s="1"/>
  <c r="J35" i="14" s="1"/>
  <c r="D35" i="14"/>
  <c r="E35" i="14" s="1"/>
  <c r="B35" i="14"/>
  <c r="K34" i="14"/>
  <c r="F34" i="14"/>
  <c r="D34" i="14"/>
  <c r="E34" i="14" s="1"/>
  <c r="B34" i="14"/>
  <c r="I33" i="14"/>
  <c r="G33" i="14"/>
  <c r="J33" i="14" s="1"/>
  <c r="F33" i="14"/>
  <c r="D33" i="14"/>
  <c r="E33" i="14" s="1"/>
  <c r="B33" i="14"/>
  <c r="D32" i="14"/>
  <c r="E32" i="14" s="1"/>
  <c r="B32" i="14"/>
  <c r="K31" i="14"/>
  <c r="I31" i="14"/>
  <c r="F31" i="14"/>
  <c r="D31" i="14"/>
  <c r="E31" i="14" s="1"/>
  <c r="B31" i="14"/>
  <c r="K30" i="14"/>
  <c r="I30" i="14"/>
  <c r="F30" i="14"/>
  <c r="E30" i="14"/>
  <c r="D30" i="14"/>
  <c r="B30" i="14"/>
  <c r="K29" i="14"/>
  <c r="I29" i="14"/>
  <c r="F29" i="14"/>
  <c r="G29" i="14" s="1"/>
  <c r="J29" i="14" s="1"/>
  <c r="R29" i="14" s="1"/>
  <c r="D29" i="14"/>
  <c r="E29" i="14" s="1"/>
  <c r="B29" i="14"/>
  <c r="D28" i="14"/>
  <c r="E28" i="14" s="1"/>
  <c r="B28" i="14"/>
  <c r="K27" i="14"/>
  <c r="I27" i="14"/>
  <c r="F27" i="14"/>
  <c r="G27" i="14" s="1"/>
  <c r="J27" i="14" s="1"/>
  <c r="R27" i="14" s="1"/>
  <c r="D27" i="14"/>
  <c r="E27" i="14" s="1"/>
  <c r="B27" i="14"/>
  <c r="K26" i="14"/>
  <c r="I26" i="14"/>
  <c r="G26" i="14"/>
  <c r="J26" i="14" s="1"/>
  <c r="R26" i="14" s="1"/>
  <c r="F26" i="14"/>
  <c r="E26" i="14"/>
  <c r="D26" i="14"/>
  <c r="B26" i="14"/>
  <c r="K25" i="14"/>
  <c r="I25" i="14"/>
  <c r="F25" i="14"/>
  <c r="D25" i="14"/>
  <c r="E25" i="14" s="1"/>
  <c r="B25" i="14"/>
  <c r="D24" i="14"/>
  <c r="E24" i="14" s="1"/>
  <c r="B24" i="14"/>
  <c r="K23" i="14"/>
  <c r="I23" i="14"/>
  <c r="F23" i="14"/>
  <c r="G23" i="14" s="1"/>
  <c r="J23" i="14" s="1"/>
  <c r="R23" i="14" s="1"/>
  <c r="D23" i="14"/>
  <c r="E23" i="14" s="1"/>
  <c r="B23" i="14"/>
  <c r="K22" i="14"/>
  <c r="I22" i="14"/>
  <c r="G22" i="14"/>
  <c r="J22" i="14" s="1"/>
  <c r="R22" i="14" s="1"/>
  <c r="F22" i="14"/>
  <c r="E22" i="14"/>
  <c r="D22" i="14"/>
  <c r="B22" i="14"/>
  <c r="K21" i="14"/>
  <c r="I21" i="14"/>
  <c r="F21" i="14"/>
  <c r="G21" i="14" s="1"/>
  <c r="J21" i="14" s="1"/>
  <c r="R21" i="14" s="1"/>
  <c r="D21" i="14"/>
  <c r="E21" i="14" s="1"/>
  <c r="B21" i="14"/>
  <c r="D20" i="14"/>
  <c r="E20" i="14" s="1"/>
  <c r="B20" i="14"/>
  <c r="K19" i="14"/>
  <c r="I19" i="14"/>
  <c r="F19" i="14"/>
  <c r="D19" i="14"/>
  <c r="E19" i="14" s="1"/>
  <c r="B19" i="14"/>
  <c r="T18" i="14"/>
  <c r="K18" i="14"/>
  <c r="I18" i="14"/>
  <c r="G18" i="14"/>
  <c r="J18" i="14" s="1"/>
  <c r="R18" i="14" s="1"/>
  <c r="F18" i="14"/>
  <c r="D18" i="14"/>
  <c r="E18" i="14" s="1"/>
  <c r="B18" i="14"/>
  <c r="I17" i="14"/>
  <c r="F17" i="14"/>
  <c r="G17" i="14" s="1"/>
  <c r="J17" i="14" s="1"/>
  <c r="E17" i="14"/>
  <c r="D17" i="14"/>
  <c r="B17" i="14"/>
  <c r="T16" i="14"/>
  <c r="T17" i="14" s="1"/>
  <c r="K16" i="14"/>
  <c r="I16" i="14"/>
  <c r="G16" i="14"/>
  <c r="J16" i="14" s="1"/>
  <c r="R16" i="14" s="1"/>
  <c r="F16" i="14"/>
  <c r="D16" i="14"/>
  <c r="E16" i="14" s="1"/>
  <c r="B16" i="14"/>
  <c r="D15" i="14"/>
  <c r="E15" i="14" s="1"/>
  <c r="B15" i="14"/>
  <c r="K14" i="14"/>
  <c r="I14" i="14"/>
  <c r="F14" i="14"/>
  <c r="D14" i="14"/>
  <c r="E14" i="14" s="1"/>
  <c r="B14" i="14"/>
  <c r="K13" i="14"/>
  <c r="I13" i="14"/>
  <c r="F13" i="14"/>
  <c r="G13" i="14" s="1"/>
  <c r="J13" i="14" s="1"/>
  <c r="R13" i="14" s="1"/>
  <c r="E13" i="14"/>
  <c r="D13" i="14"/>
  <c r="B13" i="14"/>
  <c r="K12" i="14"/>
  <c r="I12" i="14"/>
  <c r="F12" i="14"/>
  <c r="G12" i="14" s="1"/>
  <c r="J12" i="14" s="1"/>
  <c r="R12" i="14" s="1"/>
  <c r="D12" i="14"/>
  <c r="E12" i="14" s="1"/>
  <c r="B12" i="14"/>
  <c r="T11" i="14"/>
  <c r="K69" i="14" s="1"/>
  <c r="K11" i="14"/>
  <c r="I11" i="14"/>
  <c r="D11" i="14"/>
  <c r="E11" i="14" s="1"/>
  <c r="B11" i="14"/>
  <c r="K10" i="14"/>
  <c r="I10" i="14"/>
  <c r="E10" i="14"/>
  <c r="D10" i="14"/>
  <c r="B10" i="14"/>
  <c r="T9" i="14"/>
  <c r="R9" i="14"/>
  <c r="K9" i="14"/>
  <c r="J9" i="14"/>
  <c r="I9" i="14"/>
  <c r="F9" i="14"/>
  <c r="E9" i="14"/>
  <c r="D9" i="14"/>
  <c r="B9" i="14"/>
  <c r="T8" i="14"/>
  <c r="K8" i="14"/>
  <c r="I8" i="14"/>
  <c r="G8" i="14"/>
  <c r="J8" i="14" s="1"/>
  <c r="R8" i="14" s="1"/>
  <c r="F8" i="14"/>
  <c r="E8" i="14"/>
  <c r="D8" i="14"/>
  <c r="B8" i="14"/>
  <c r="T7" i="14"/>
  <c r="I7" i="14"/>
  <c r="G7" i="14"/>
  <c r="J7" i="14" s="1"/>
  <c r="F7" i="14"/>
  <c r="E7" i="14"/>
  <c r="D7" i="14"/>
  <c r="B7" i="14"/>
  <c r="K6" i="14"/>
  <c r="I6" i="14"/>
  <c r="E6" i="14"/>
  <c r="E70" i="14" s="1"/>
  <c r="D6" i="14"/>
  <c r="B6" i="14"/>
  <c r="T5" i="14"/>
  <c r="G9" i="14" s="1"/>
  <c r="J5" i="14"/>
  <c r="I5" i="14"/>
  <c r="T4" i="14"/>
  <c r="J4" i="14"/>
  <c r="I4" i="14"/>
  <c r="J3" i="14"/>
  <c r="I3" i="14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B3" i="13"/>
  <c r="K2" i="13"/>
  <c r="K66" i="13" s="1"/>
  <c r="B2" i="13"/>
  <c r="O70" i="12"/>
  <c r="N70" i="12"/>
  <c r="M70" i="12"/>
  <c r="L70" i="12"/>
  <c r="H70" i="12"/>
  <c r="C70" i="12"/>
  <c r="I69" i="12"/>
  <c r="F69" i="12"/>
  <c r="G69" i="12" s="1"/>
  <c r="J69" i="12" s="1"/>
  <c r="E69" i="12"/>
  <c r="D69" i="12"/>
  <c r="B69" i="12"/>
  <c r="F68" i="12"/>
  <c r="E68" i="12"/>
  <c r="D68" i="12"/>
  <c r="B68" i="12"/>
  <c r="I67" i="12"/>
  <c r="F67" i="12"/>
  <c r="G67" i="12" s="1"/>
  <c r="D67" i="12"/>
  <c r="E67" i="12" s="1"/>
  <c r="B67" i="12"/>
  <c r="I66" i="12"/>
  <c r="E66" i="12"/>
  <c r="D66" i="12"/>
  <c r="B66" i="12"/>
  <c r="I65" i="12"/>
  <c r="F65" i="12"/>
  <c r="G65" i="12" s="1"/>
  <c r="J65" i="12" s="1"/>
  <c r="E65" i="12"/>
  <c r="D65" i="12"/>
  <c r="B65" i="12"/>
  <c r="E64" i="12"/>
  <c r="D64" i="12"/>
  <c r="B64" i="12"/>
  <c r="I63" i="12"/>
  <c r="F63" i="12"/>
  <c r="G63" i="12" s="1"/>
  <c r="J63" i="12" s="1"/>
  <c r="D63" i="12"/>
  <c r="E63" i="12" s="1"/>
  <c r="B63" i="12"/>
  <c r="I62" i="12"/>
  <c r="E62" i="12"/>
  <c r="D62" i="12"/>
  <c r="B62" i="12"/>
  <c r="I61" i="12"/>
  <c r="F61" i="12"/>
  <c r="G61" i="12" s="1"/>
  <c r="J61" i="12" s="1"/>
  <c r="E61" i="12"/>
  <c r="D61" i="12"/>
  <c r="B61" i="12"/>
  <c r="F60" i="12"/>
  <c r="E60" i="12"/>
  <c r="D60" i="12"/>
  <c r="B60" i="12"/>
  <c r="K59" i="12"/>
  <c r="I59" i="12"/>
  <c r="F59" i="12"/>
  <c r="G59" i="12" s="1"/>
  <c r="J59" i="12" s="1"/>
  <c r="R59" i="12" s="1"/>
  <c r="D59" i="12"/>
  <c r="E59" i="12" s="1"/>
  <c r="B59" i="12"/>
  <c r="I58" i="12"/>
  <c r="E58" i="12"/>
  <c r="D58" i="12"/>
  <c r="B58" i="12"/>
  <c r="I57" i="12"/>
  <c r="F57" i="12"/>
  <c r="G57" i="12" s="1"/>
  <c r="J57" i="12" s="1"/>
  <c r="E57" i="12"/>
  <c r="D57" i="12"/>
  <c r="B57" i="12"/>
  <c r="E56" i="12"/>
  <c r="D56" i="12"/>
  <c r="B56" i="12"/>
  <c r="K55" i="12"/>
  <c r="I55" i="12"/>
  <c r="F55" i="12"/>
  <c r="G55" i="12" s="1"/>
  <c r="D55" i="12"/>
  <c r="E55" i="12" s="1"/>
  <c r="B55" i="12"/>
  <c r="I54" i="12"/>
  <c r="E54" i="12"/>
  <c r="D54" i="12"/>
  <c r="B54" i="12"/>
  <c r="I53" i="12"/>
  <c r="F53" i="12"/>
  <c r="G53" i="12" s="1"/>
  <c r="E53" i="12"/>
  <c r="D53" i="12"/>
  <c r="B53" i="12"/>
  <c r="F52" i="12"/>
  <c r="E52" i="12"/>
  <c r="D52" i="12"/>
  <c r="B52" i="12"/>
  <c r="K51" i="12"/>
  <c r="I51" i="12"/>
  <c r="F51" i="12"/>
  <c r="G51" i="12" s="1"/>
  <c r="D51" i="12"/>
  <c r="E51" i="12" s="1"/>
  <c r="B51" i="12"/>
  <c r="I50" i="12"/>
  <c r="E50" i="12"/>
  <c r="D50" i="12"/>
  <c r="B50" i="12"/>
  <c r="J49" i="12"/>
  <c r="I49" i="12"/>
  <c r="F49" i="12"/>
  <c r="G49" i="12" s="1"/>
  <c r="E49" i="12"/>
  <c r="D49" i="12"/>
  <c r="B49" i="12"/>
  <c r="E48" i="12"/>
  <c r="D48" i="12"/>
  <c r="B48" i="12"/>
  <c r="K47" i="12"/>
  <c r="I47" i="12"/>
  <c r="D47" i="12"/>
  <c r="E47" i="12" s="1"/>
  <c r="B47" i="12"/>
  <c r="I46" i="12"/>
  <c r="E46" i="12"/>
  <c r="D46" i="12"/>
  <c r="B46" i="12"/>
  <c r="I45" i="12"/>
  <c r="D45" i="12"/>
  <c r="E45" i="12" s="1"/>
  <c r="B45" i="12"/>
  <c r="F44" i="12"/>
  <c r="E44" i="12"/>
  <c r="D44" i="12"/>
  <c r="B44" i="12"/>
  <c r="K43" i="12"/>
  <c r="I43" i="12"/>
  <c r="F43" i="12"/>
  <c r="D43" i="12"/>
  <c r="E43" i="12" s="1"/>
  <c r="B43" i="12"/>
  <c r="I42" i="12"/>
  <c r="F42" i="12"/>
  <c r="G42" i="12" s="1"/>
  <c r="J42" i="12" s="1"/>
  <c r="E42" i="12"/>
  <c r="D42" i="12"/>
  <c r="B42" i="12"/>
  <c r="I41" i="12"/>
  <c r="E41" i="12"/>
  <c r="D41" i="12"/>
  <c r="B41" i="12"/>
  <c r="F40" i="12"/>
  <c r="G40" i="12" s="1"/>
  <c r="E40" i="12"/>
  <c r="D40" i="12"/>
  <c r="B40" i="12"/>
  <c r="K39" i="12"/>
  <c r="I39" i="12"/>
  <c r="D39" i="12"/>
  <c r="E39" i="12" s="1"/>
  <c r="B39" i="12"/>
  <c r="I38" i="12"/>
  <c r="E38" i="12"/>
  <c r="D38" i="12"/>
  <c r="B38" i="12"/>
  <c r="I37" i="12"/>
  <c r="F37" i="12"/>
  <c r="D37" i="12"/>
  <c r="E37" i="12" s="1"/>
  <c r="B37" i="12"/>
  <c r="E36" i="12"/>
  <c r="D36" i="12"/>
  <c r="B36" i="12"/>
  <c r="K35" i="12"/>
  <c r="I35" i="12"/>
  <c r="F35" i="12"/>
  <c r="G35" i="12" s="1"/>
  <c r="J35" i="12" s="1"/>
  <c r="R35" i="12" s="1"/>
  <c r="D35" i="12"/>
  <c r="E35" i="12" s="1"/>
  <c r="B35" i="12"/>
  <c r="I34" i="12"/>
  <c r="E34" i="12"/>
  <c r="D34" i="12"/>
  <c r="B34" i="12"/>
  <c r="I33" i="12"/>
  <c r="F33" i="12"/>
  <c r="G33" i="12" s="1"/>
  <c r="J33" i="12" s="1"/>
  <c r="E33" i="12"/>
  <c r="D33" i="12"/>
  <c r="B33" i="12"/>
  <c r="E32" i="12"/>
  <c r="D32" i="12"/>
  <c r="B32" i="12"/>
  <c r="K31" i="12"/>
  <c r="J31" i="12"/>
  <c r="R31" i="12" s="1"/>
  <c r="I31" i="12"/>
  <c r="F31" i="12"/>
  <c r="G31" i="12" s="1"/>
  <c r="D31" i="12"/>
  <c r="E31" i="12" s="1"/>
  <c r="B31" i="12"/>
  <c r="I30" i="12"/>
  <c r="F30" i="12"/>
  <c r="G30" i="12" s="1"/>
  <c r="J30" i="12" s="1"/>
  <c r="E30" i="12"/>
  <c r="D30" i="12"/>
  <c r="B30" i="12"/>
  <c r="I29" i="12"/>
  <c r="F29" i="12"/>
  <c r="D29" i="12"/>
  <c r="E29" i="12" s="1"/>
  <c r="B29" i="12"/>
  <c r="F28" i="12"/>
  <c r="E28" i="12"/>
  <c r="D28" i="12"/>
  <c r="B28" i="12"/>
  <c r="K27" i="12"/>
  <c r="I27" i="12"/>
  <c r="F27" i="12"/>
  <c r="D27" i="12"/>
  <c r="E27" i="12" s="1"/>
  <c r="B27" i="12"/>
  <c r="I26" i="12"/>
  <c r="F26" i="12"/>
  <c r="G26" i="12" s="1"/>
  <c r="J26" i="12" s="1"/>
  <c r="E26" i="12"/>
  <c r="D26" i="12"/>
  <c r="B26" i="12"/>
  <c r="I25" i="12"/>
  <c r="E25" i="12"/>
  <c r="D25" i="12"/>
  <c r="B25" i="12"/>
  <c r="F24" i="12"/>
  <c r="G24" i="12" s="1"/>
  <c r="E24" i="12"/>
  <c r="D24" i="12"/>
  <c r="B24" i="12"/>
  <c r="K23" i="12"/>
  <c r="I23" i="12"/>
  <c r="D23" i="12"/>
  <c r="E23" i="12" s="1"/>
  <c r="B23" i="12"/>
  <c r="K22" i="12"/>
  <c r="I22" i="12"/>
  <c r="E22" i="12"/>
  <c r="D22" i="12"/>
  <c r="B22" i="12"/>
  <c r="I21" i="12"/>
  <c r="F21" i="12"/>
  <c r="G21" i="12" s="1"/>
  <c r="J21" i="12" s="1"/>
  <c r="E21" i="12"/>
  <c r="D21" i="12"/>
  <c r="B21" i="12"/>
  <c r="T20" i="12"/>
  <c r="K20" i="12"/>
  <c r="I20" i="12"/>
  <c r="E20" i="12"/>
  <c r="D20" i="12"/>
  <c r="B20" i="12"/>
  <c r="T19" i="12"/>
  <c r="K19" i="12"/>
  <c r="I19" i="12"/>
  <c r="E19" i="12"/>
  <c r="D19" i="12"/>
  <c r="B19" i="12"/>
  <c r="T18" i="12"/>
  <c r="K18" i="12"/>
  <c r="I18" i="12"/>
  <c r="G18" i="12"/>
  <c r="F18" i="12"/>
  <c r="D18" i="12"/>
  <c r="E18" i="12" s="1"/>
  <c r="B18" i="12"/>
  <c r="K17" i="12"/>
  <c r="I17" i="12"/>
  <c r="F17" i="12"/>
  <c r="D17" i="12"/>
  <c r="E17" i="12" s="1"/>
  <c r="B17" i="12"/>
  <c r="I16" i="12"/>
  <c r="F16" i="12"/>
  <c r="G16" i="12" s="1"/>
  <c r="J16" i="12" s="1"/>
  <c r="D16" i="12"/>
  <c r="E16" i="12" s="1"/>
  <c r="B16" i="12"/>
  <c r="K15" i="12"/>
  <c r="F15" i="12"/>
  <c r="G15" i="12" s="1"/>
  <c r="E15" i="12"/>
  <c r="D15" i="12"/>
  <c r="B15" i="12"/>
  <c r="K14" i="12"/>
  <c r="I14" i="12"/>
  <c r="F14" i="12"/>
  <c r="G14" i="12" s="1"/>
  <c r="J14" i="12" s="1"/>
  <c r="R14" i="12" s="1"/>
  <c r="D14" i="12"/>
  <c r="E14" i="12" s="1"/>
  <c r="B14" i="12"/>
  <c r="R13" i="12"/>
  <c r="K13" i="12"/>
  <c r="I13" i="12"/>
  <c r="F13" i="12"/>
  <c r="G13" i="12" s="1"/>
  <c r="J13" i="12" s="1"/>
  <c r="D13" i="12"/>
  <c r="E13" i="12" s="1"/>
  <c r="B13" i="12"/>
  <c r="I12" i="12"/>
  <c r="F12" i="12"/>
  <c r="G12" i="12" s="1"/>
  <c r="J12" i="12" s="1"/>
  <c r="E12" i="12"/>
  <c r="D12" i="12"/>
  <c r="B12" i="12"/>
  <c r="T11" i="12"/>
  <c r="K11" i="12"/>
  <c r="I11" i="12"/>
  <c r="F11" i="12"/>
  <c r="G11" i="12" s="1"/>
  <c r="J11" i="12" s="1"/>
  <c r="R11" i="12" s="1"/>
  <c r="D11" i="12"/>
  <c r="E11" i="12" s="1"/>
  <c r="B11" i="12"/>
  <c r="K10" i="12"/>
  <c r="I10" i="12"/>
  <c r="D10" i="12"/>
  <c r="E10" i="12" s="1"/>
  <c r="B10" i="12"/>
  <c r="T9" i="12"/>
  <c r="K9" i="12"/>
  <c r="I9" i="12"/>
  <c r="G9" i="12"/>
  <c r="J9" i="12" s="1"/>
  <c r="R9" i="12" s="1"/>
  <c r="F9" i="12"/>
  <c r="E9" i="12"/>
  <c r="D9" i="12"/>
  <c r="B9" i="12"/>
  <c r="T8" i="12"/>
  <c r="K8" i="12"/>
  <c r="I8" i="12"/>
  <c r="F8" i="12"/>
  <c r="G8" i="12" s="1"/>
  <c r="J8" i="12" s="1"/>
  <c r="R8" i="12" s="1"/>
  <c r="E8" i="12"/>
  <c r="D8" i="12"/>
  <c r="B8" i="12"/>
  <c r="T7" i="12"/>
  <c r="I68" i="12" s="1"/>
  <c r="K7" i="12"/>
  <c r="I7" i="12"/>
  <c r="F7" i="12"/>
  <c r="G7" i="12" s="1"/>
  <c r="J7" i="12" s="1"/>
  <c r="R7" i="12" s="1"/>
  <c r="D7" i="12"/>
  <c r="E7" i="12" s="1"/>
  <c r="B7" i="12"/>
  <c r="K6" i="12"/>
  <c r="I6" i="12"/>
  <c r="F6" i="12"/>
  <c r="G6" i="12" s="1"/>
  <c r="D6" i="12"/>
  <c r="B6" i="12"/>
  <c r="T5" i="12"/>
  <c r="G17" i="12" s="1"/>
  <c r="J17" i="12" s="1"/>
  <c r="R17" i="12" s="1"/>
  <c r="I5" i="12"/>
  <c r="T4" i="12"/>
  <c r="I4" i="12"/>
  <c r="I3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B2" i="11"/>
  <c r="O70" i="10"/>
  <c r="N70" i="10"/>
  <c r="M70" i="10"/>
  <c r="L70" i="10"/>
  <c r="H70" i="10"/>
  <c r="C70" i="10"/>
  <c r="I69" i="10"/>
  <c r="E69" i="10"/>
  <c r="D69" i="10"/>
  <c r="B69" i="10"/>
  <c r="I68" i="10"/>
  <c r="E68" i="10"/>
  <c r="D68" i="10"/>
  <c r="B68" i="10"/>
  <c r="D67" i="10"/>
  <c r="E67" i="10" s="1"/>
  <c r="B67" i="10"/>
  <c r="E66" i="10"/>
  <c r="D66" i="10"/>
  <c r="B66" i="10"/>
  <c r="I65" i="10"/>
  <c r="E65" i="10"/>
  <c r="D65" i="10"/>
  <c r="B65" i="10"/>
  <c r="F64" i="10"/>
  <c r="G64" i="10" s="1"/>
  <c r="D64" i="10"/>
  <c r="E64" i="10" s="1"/>
  <c r="B64" i="10"/>
  <c r="E63" i="10"/>
  <c r="D63" i="10"/>
  <c r="B63" i="10"/>
  <c r="D62" i="10"/>
  <c r="E62" i="10" s="1"/>
  <c r="B62" i="10"/>
  <c r="I61" i="10"/>
  <c r="E61" i="10"/>
  <c r="D61" i="10"/>
  <c r="B61" i="10"/>
  <c r="F60" i="10"/>
  <c r="G60" i="10" s="1"/>
  <c r="D60" i="10"/>
  <c r="E60" i="10" s="1"/>
  <c r="B60" i="10"/>
  <c r="E59" i="10"/>
  <c r="D59" i="10"/>
  <c r="B59" i="10"/>
  <c r="D58" i="10"/>
  <c r="E58" i="10" s="1"/>
  <c r="B58" i="10"/>
  <c r="I57" i="10"/>
  <c r="E57" i="10"/>
  <c r="D57" i="10"/>
  <c r="B57" i="10"/>
  <c r="F56" i="10"/>
  <c r="G56" i="10" s="1"/>
  <c r="E56" i="10"/>
  <c r="D56" i="10"/>
  <c r="B56" i="10"/>
  <c r="E55" i="10"/>
  <c r="D55" i="10"/>
  <c r="B55" i="10"/>
  <c r="D54" i="10"/>
  <c r="E54" i="10" s="1"/>
  <c r="B54" i="10"/>
  <c r="I53" i="10"/>
  <c r="E53" i="10"/>
  <c r="F53" i="10" s="1"/>
  <c r="G53" i="10" s="1"/>
  <c r="J53" i="10" s="1"/>
  <c r="D53" i="10"/>
  <c r="B53" i="10"/>
  <c r="E52" i="10"/>
  <c r="D52" i="10"/>
  <c r="B52" i="10"/>
  <c r="E51" i="10"/>
  <c r="D51" i="10"/>
  <c r="B51" i="10"/>
  <c r="D50" i="10"/>
  <c r="E50" i="10" s="1"/>
  <c r="B50" i="10"/>
  <c r="I49" i="10"/>
  <c r="F49" i="10"/>
  <c r="G49" i="10" s="1"/>
  <c r="J49" i="10" s="1"/>
  <c r="E49" i="10"/>
  <c r="D49" i="10"/>
  <c r="B49" i="10"/>
  <c r="F48" i="10"/>
  <c r="G48" i="10" s="1"/>
  <c r="E48" i="10"/>
  <c r="D48" i="10"/>
  <c r="B48" i="10"/>
  <c r="E47" i="10"/>
  <c r="D47" i="10"/>
  <c r="B47" i="10"/>
  <c r="D46" i="10"/>
  <c r="E46" i="10" s="1"/>
  <c r="B46" i="10"/>
  <c r="I45" i="10"/>
  <c r="F45" i="10"/>
  <c r="G45" i="10" s="1"/>
  <c r="J45" i="10" s="1"/>
  <c r="E45" i="10"/>
  <c r="D45" i="10"/>
  <c r="B45" i="10"/>
  <c r="D44" i="10"/>
  <c r="E44" i="10" s="1"/>
  <c r="F44" i="10" s="1"/>
  <c r="G44" i="10" s="1"/>
  <c r="B44" i="10"/>
  <c r="E43" i="10"/>
  <c r="D43" i="10"/>
  <c r="B43" i="10"/>
  <c r="D42" i="10"/>
  <c r="E42" i="10" s="1"/>
  <c r="B42" i="10"/>
  <c r="I41" i="10"/>
  <c r="E41" i="10"/>
  <c r="F41" i="10" s="1"/>
  <c r="G41" i="10" s="1"/>
  <c r="J41" i="10" s="1"/>
  <c r="D41" i="10"/>
  <c r="B41" i="10"/>
  <c r="D40" i="10"/>
  <c r="E40" i="10" s="1"/>
  <c r="F40" i="10" s="1"/>
  <c r="G40" i="10" s="1"/>
  <c r="B40" i="10"/>
  <c r="E39" i="10"/>
  <c r="D39" i="10"/>
  <c r="B39" i="10"/>
  <c r="D38" i="10"/>
  <c r="E38" i="10" s="1"/>
  <c r="B38" i="10"/>
  <c r="I37" i="10"/>
  <c r="E37" i="10"/>
  <c r="F37" i="10" s="1"/>
  <c r="G37" i="10" s="1"/>
  <c r="J37" i="10" s="1"/>
  <c r="D37" i="10"/>
  <c r="B37" i="10"/>
  <c r="F36" i="10"/>
  <c r="G36" i="10" s="1"/>
  <c r="D36" i="10"/>
  <c r="E36" i="10" s="1"/>
  <c r="B36" i="10"/>
  <c r="E35" i="10"/>
  <c r="D35" i="10"/>
  <c r="B35" i="10"/>
  <c r="D34" i="10"/>
  <c r="E34" i="10" s="1"/>
  <c r="B34" i="10"/>
  <c r="I33" i="10"/>
  <c r="F33" i="10"/>
  <c r="G33" i="10" s="1"/>
  <c r="J33" i="10" s="1"/>
  <c r="E33" i="10"/>
  <c r="D33" i="10"/>
  <c r="B33" i="10"/>
  <c r="F32" i="10"/>
  <c r="G32" i="10" s="1"/>
  <c r="D32" i="10"/>
  <c r="E32" i="10" s="1"/>
  <c r="B32" i="10"/>
  <c r="E31" i="10"/>
  <c r="D31" i="10"/>
  <c r="B31" i="10"/>
  <c r="D30" i="10"/>
  <c r="E30" i="10" s="1"/>
  <c r="B30" i="10"/>
  <c r="I29" i="10"/>
  <c r="E29" i="10"/>
  <c r="F29" i="10" s="1"/>
  <c r="G29" i="10" s="1"/>
  <c r="J29" i="10" s="1"/>
  <c r="D29" i="10"/>
  <c r="B29" i="10"/>
  <c r="D28" i="10"/>
  <c r="E28" i="10" s="1"/>
  <c r="F28" i="10" s="1"/>
  <c r="G28" i="10" s="1"/>
  <c r="B28" i="10"/>
  <c r="E27" i="10"/>
  <c r="D27" i="10"/>
  <c r="B27" i="10"/>
  <c r="D26" i="10"/>
  <c r="E26" i="10" s="1"/>
  <c r="B26" i="10"/>
  <c r="I25" i="10"/>
  <c r="F25" i="10"/>
  <c r="G25" i="10" s="1"/>
  <c r="J25" i="10" s="1"/>
  <c r="E25" i="10"/>
  <c r="D25" i="10"/>
  <c r="B25" i="10"/>
  <c r="E24" i="10"/>
  <c r="F24" i="10" s="1"/>
  <c r="G24" i="10" s="1"/>
  <c r="D24" i="10"/>
  <c r="B24" i="10"/>
  <c r="E23" i="10"/>
  <c r="D23" i="10"/>
  <c r="B23" i="10"/>
  <c r="D22" i="10"/>
  <c r="E22" i="10" s="1"/>
  <c r="B22" i="10"/>
  <c r="I21" i="10"/>
  <c r="F21" i="10"/>
  <c r="G21" i="10" s="1"/>
  <c r="E21" i="10"/>
  <c r="D21" i="10"/>
  <c r="B21" i="10"/>
  <c r="D20" i="10"/>
  <c r="E20" i="10" s="1"/>
  <c r="F20" i="10" s="1"/>
  <c r="G20" i="10" s="1"/>
  <c r="B20" i="10"/>
  <c r="I19" i="10"/>
  <c r="D19" i="10"/>
  <c r="E19" i="10" s="1"/>
  <c r="B19" i="10"/>
  <c r="E18" i="10"/>
  <c r="D18" i="10"/>
  <c r="B18" i="10"/>
  <c r="T17" i="10"/>
  <c r="I17" i="10"/>
  <c r="E17" i="10"/>
  <c r="D17" i="10"/>
  <c r="B17" i="10"/>
  <c r="T16" i="10"/>
  <c r="I16" i="10"/>
  <c r="E16" i="10"/>
  <c r="F16" i="10" s="1"/>
  <c r="G16" i="10" s="1"/>
  <c r="J16" i="10" s="1"/>
  <c r="D16" i="10"/>
  <c r="B16" i="10"/>
  <c r="E15" i="10"/>
  <c r="F15" i="10" s="1"/>
  <c r="G15" i="10" s="1"/>
  <c r="D15" i="10"/>
  <c r="B15" i="10"/>
  <c r="E14" i="10"/>
  <c r="D14" i="10"/>
  <c r="B14" i="10"/>
  <c r="D13" i="10"/>
  <c r="E13" i="10" s="1"/>
  <c r="B13" i="10"/>
  <c r="I12" i="10"/>
  <c r="E12" i="10"/>
  <c r="F12" i="10" s="1"/>
  <c r="G12" i="10" s="1"/>
  <c r="J12" i="10" s="1"/>
  <c r="D12" i="10"/>
  <c r="B12" i="10"/>
  <c r="F11" i="10"/>
  <c r="G11" i="10" s="1"/>
  <c r="D11" i="10"/>
  <c r="E11" i="10" s="1"/>
  <c r="B11" i="10"/>
  <c r="I10" i="10"/>
  <c r="D10" i="10"/>
  <c r="E10" i="10" s="1"/>
  <c r="B10" i="10"/>
  <c r="T9" i="10"/>
  <c r="I9" i="10"/>
  <c r="D9" i="10"/>
  <c r="E9" i="10" s="1"/>
  <c r="B9" i="10"/>
  <c r="T8" i="10"/>
  <c r="D8" i="10"/>
  <c r="E8" i="10" s="1"/>
  <c r="F8" i="10" s="1"/>
  <c r="G8" i="10" s="1"/>
  <c r="B8" i="10"/>
  <c r="T7" i="10"/>
  <c r="I62" i="10" s="1"/>
  <c r="I7" i="10"/>
  <c r="D7" i="10"/>
  <c r="E7" i="10" s="1"/>
  <c r="B7" i="10"/>
  <c r="D6" i="10"/>
  <c r="B6" i="10"/>
  <c r="T5" i="10"/>
  <c r="I5" i="10"/>
  <c r="I4" i="10"/>
  <c r="O70" i="8"/>
  <c r="N70" i="8"/>
  <c r="M70" i="8"/>
  <c r="L70" i="8"/>
  <c r="H70" i="8"/>
  <c r="C70" i="8"/>
  <c r="I69" i="8"/>
  <c r="E69" i="8"/>
  <c r="D69" i="8"/>
  <c r="B69" i="8"/>
  <c r="I68" i="8"/>
  <c r="E68" i="8"/>
  <c r="F68" i="8" s="1"/>
  <c r="G68" i="8" s="1"/>
  <c r="D68" i="8"/>
  <c r="B68" i="8"/>
  <c r="E67" i="8"/>
  <c r="F67" i="8" s="1"/>
  <c r="G67" i="8" s="1"/>
  <c r="D67" i="8"/>
  <c r="B67" i="8"/>
  <c r="I66" i="8"/>
  <c r="D66" i="8"/>
  <c r="E66" i="8" s="1"/>
  <c r="F66" i="8" s="1"/>
  <c r="G66" i="8" s="1"/>
  <c r="B66" i="8"/>
  <c r="I65" i="8"/>
  <c r="E65" i="8"/>
  <c r="D65" i="8"/>
  <c r="B65" i="8"/>
  <c r="I64" i="8"/>
  <c r="G64" i="8"/>
  <c r="F64" i="8"/>
  <c r="E64" i="8"/>
  <c r="D64" i="8"/>
  <c r="B64" i="8"/>
  <c r="D63" i="8"/>
  <c r="E63" i="8" s="1"/>
  <c r="F63" i="8" s="1"/>
  <c r="G63" i="8" s="1"/>
  <c r="B63" i="8"/>
  <c r="I62" i="8"/>
  <c r="D62" i="8"/>
  <c r="E62" i="8" s="1"/>
  <c r="F62" i="8" s="1"/>
  <c r="G62" i="8" s="1"/>
  <c r="B62" i="8"/>
  <c r="I61" i="8"/>
  <c r="E61" i="8"/>
  <c r="D61" i="8"/>
  <c r="B61" i="8"/>
  <c r="I60" i="8"/>
  <c r="E60" i="8"/>
  <c r="F60" i="8" s="1"/>
  <c r="G60" i="8" s="1"/>
  <c r="J60" i="8" s="1"/>
  <c r="D60" i="8"/>
  <c r="B60" i="8"/>
  <c r="D59" i="8"/>
  <c r="E59" i="8" s="1"/>
  <c r="F59" i="8" s="1"/>
  <c r="G59" i="8" s="1"/>
  <c r="B59" i="8"/>
  <c r="I58" i="8"/>
  <c r="F58" i="8"/>
  <c r="G58" i="8" s="1"/>
  <c r="D58" i="8"/>
  <c r="E58" i="8" s="1"/>
  <c r="B58" i="8"/>
  <c r="I57" i="8"/>
  <c r="E57" i="8"/>
  <c r="D57" i="8"/>
  <c r="B57" i="8"/>
  <c r="I56" i="8"/>
  <c r="G56" i="8"/>
  <c r="F56" i="8"/>
  <c r="E56" i="8"/>
  <c r="D56" i="8"/>
  <c r="B56" i="8"/>
  <c r="E55" i="8"/>
  <c r="F55" i="8" s="1"/>
  <c r="G55" i="8" s="1"/>
  <c r="D55" i="8"/>
  <c r="B55" i="8"/>
  <c r="I54" i="8"/>
  <c r="F54" i="8"/>
  <c r="G54" i="8" s="1"/>
  <c r="D54" i="8"/>
  <c r="E54" i="8" s="1"/>
  <c r="B54" i="8"/>
  <c r="K53" i="8"/>
  <c r="I53" i="8"/>
  <c r="E53" i="8"/>
  <c r="D53" i="8"/>
  <c r="B53" i="8"/>
  <c r="I52" i="8"/>
  <c r="F52" i="8"/>
  <c r="G52" i="8" s="1"/>
  <c r="E52" i="8"/>
  <c r="D52" i="8"/>
  <c r="B52" i="8"/>
  <c r="E51" i="8"/>
  <c r="F51" i="8" s="1"/>
  <c r="G51" i="8" s="1"/>
  <c r="D51" i="8"/>
  <c r="B51" i="8"/>
  <c r="I50" i="8"/>
  <c r="D50" i="8"/>
  <c r="E50" i="8" s="1"/>
  <c r="F50" i="8" s="1"/>
  <c r="G50" i="8" s="1"/>
  <c r="J50" i="8" s="1"/>
  <c r="B50" i="8"/>
  <c r="I49" i="8"/>
  <c r="E49" i="8"/>
  <c r="D49" i="8"/>
  <c r="B49" i="8"/>
  <c r="I48" i="8"/>
  <c r="E48" i="8"/>
  <c r="F48" i="8" s="1"/>
  <c r="G48" i="8" s="1"/>
  <c r="D48" i="8"/>
  <c r="B48" i="8"/>
  <c r="E47" i="8"/>
  <c r="F47" i="8" s="1"/>
  <c r="G47" i="8" s="1"/>
  <c r="D47" i="8"/>
  <c r="B47" i="8"/>
  <c r="I46" i="8"/>
  <c r="D46" i="8"/>
  <c r="E46" i="8" s="1"/>
  <c r="F46" i="8" s="1"/>
  <c r="G46" i="8" s="1"/>
  <c r="B46" i="8"/>
  <c r="I45" i="8"/>
  <c r="E45" i="8"/>
  <c r="D45" i="8"/>
  <c r="B45" i="8"/>
  <c r="I44" i="8"/>
  <c r="E44" i="8"/>
  <c r="F44" i="8" s="1"/>
  <c r="G44" i="8" s="1"/>
  <c r="D44" i="8"/>
  <c r="B44" i="8"/>
  <c r="E43" i="8"/>
  <c r="F43" i="8" s="1"/>
  <c r="G43" i="8" s="1"/>
  <c r="D43" i="8"/>
  <c r="B43" i="8"/>
  <c r="I42" i="8"/>
  <c r="D42" i="8"/>
  <c r="E42" i="8" s="1"/>
  <c r="F42" i="8" s="1"/>
  <c r="G42" i="8" s="1"/>
  <c r="B42" i="8"/>
  <c r="I41" i="8"/>
  <c r="E41" i="8"/>
  <c r="D41" i="8"/>
  <c r="B41" i="8"/>
  <c r="I40" i="8"/>
  <c r="E40" i="8"/>
  <c r="F40" i="8" s="1"/>
  <c r="G40" i="8" s="1"/>
  <c r="D40" i="8"/>
  <c r="B40" i="8"/>
  <c r="D39" i="8"/>
  <c r="E39" i="8" s="1"/>
  <c r="F39" i="8" s="1"/>
  <c r="G39" i="8" s="1"/>
  <c r="B39" i="8"/>
  <c r="I38" i="8"/>
  <c r="D38" i="8"/>
  <c r="E38" i="8" s="1"/>
  <c r="F38" i="8" s="1"/>
  <c r="G38" i="8" s="1"/>
  <c r="B38" i="8"/>
  <c r="I37" i="8"/>
  <c r="E37" i="8"/>
  <c r="D37" i="8"/>
  <c r="B37" i="8"/>
  <c r="I36" i="8"/>
  <c r="E36" i="8"/>
  <c r="F36" i="8" s="1"/>
  <c r="G36" i="8" s="1"/>
  <c r="D36" i="8"/>
  <c r="B36" i="8"/>
  <c r="E35" i="8"/>
  <c r="F35" i="8" s="1"/>
  <c r="G35" i="8" s="1"/>
  <c r="D35" i="8"/>
  <c r="B35" i="8"/>
  <c r="I34" i="8"/>
  <c r="F34" i="8"/>
  <c r="G34" i="8" s="1"/>
  <c r="D34" i="8"/>
  <c r="E34" i="8" s="1"/>
  <c r="B34" i="8"/>
  <c r="I33" i="8"/>
  <c r="E33" i="8"/>
  <c r="D33" i="8"/>
  <c r="B33" i="8"/>
  <c r="I32" i="8"/>
  <c r="G32" i="8"/>
  <c r="F32" i="8"/>
  <c r="E32" i="8"/>
  <c r="D32" i="8"/>
  <c r="B32" i="8"/>
  <c r="E31" i="8"/>
  <c r="F31" i="8" s="1"/>
  <c r="G31" i="8" s="1"/>
  <c r="D31" i="8"/>
  <c r="B31" i="8"/>
  <c r="I30" i="8"/>
  <c r="F30" i="8"/>
  <c r="G30" i="8" s="1"/>
  <c r="D30" i="8"/>
  <c r="E30" i="8" s="1"/>
  <c r="B30" i="8"/>
  <c r="I29" i="8"/>
  <c r="E29" i="8"/>
  <c r="D29" i="8"/>
  <c r="B29" i="8"/>
  <c r="I28" i="8"/>
  <c r="F28" i="8"/>
  <c r="G28" i="8" s="1"/>
  <c r="E28" i="8"/>
  <c r="D28" i="8"/>
  <c r="B28" i="8"/>
  <c r="E27" i="8"/>
  <c r="F27" i="8" s="1"/>
  <c r="G27" i="8" s="1"/>
  <c r="D27" i="8"/>
  <c r="B27" i="8"/>
  <c r="I26" i="8"/>
  <c r="D26" i="8"/>
  <c r="E26" i="8" s="1"/>
  <c r="F26" i="8" s="1"/>
  <c r="G26" i="8" s="1"/>
  <c r="B26" i="8"/>
  <c r="I25" i="8"/>
  <c r="E25" i="8"/>
  <c r="D25" i="8"/>
  <c r="B25" i="8"/>
  <c r="I24" i="8"/>
  <c r="F24" i="8"/>
  <c r="G24" i="8" s="1"/>
  <c r="E24" i="8"/>
  <c r="D24" i="8"/>
  <c r="B24" i="8"/>
  <c r="D23" i="8"/>
  <c r="E23" i="8" s="1"/>
  <c r="F23" i="8" s="1"/>
  <c r="G23" i="8" s="1"/>
  <c r="B23" i="8"/>
  <c r="I22" i="8"/>
  <c r="D22" i="8"/>
  <c r="E22" i="8" s="1"/>
  <c r="F22" i="8" s="1"/>
  <c r="G22" i="8" s="1"/>
  <c r="J22" i="8" s="1"/>
  <c r="B22" i="8"/>
  <c r="I21" i="8"/>
  <c r="E21" i="8"/>
  <c r="D21" i="8"/>
  <c r="B21" i="8"/>
  <c r="I20" i="8"/>
  <c r="E20" i="8"/>
  <c r="F20" i="8" s="1"/>
  <c r="G20" i="8" s="1"/>
  <c r="D20" i="8"/>
  <c r="B20" i="8"/>
  <c r="D19" i="8"/>
  <c r="E19" i="8" s="1"/>
  <c r="F19" i="8" s="1"/>
  <c r="G19" i="8" s="1"/>
  <c r="B19" i="8"/>
  <c r="T18" i="8"/>
  <c r="E18" i="8"/>
  <c r="F18" i="8" s="1"/>
  <c r="G18" i="8" s="1"/>
  <c r="D18" i="8"/>
  <c r="B18" i="8"/>
  <c r="T17" i="8"/>
  <c r="E17" i="8"/>
  <c r="D17" i="8"/>
  <c r="B17" i="8"/>
  <c r="I16" i="8"/>
  <c r="D16" i="8"/>
  <c r="E16" i="8" s="1"/>
  <c r="F16" i="8" s="1"/>
  <c r="G16" i="8" s="1"/>
  <c r="B16" i="8"/>
  <c r="D15" i="8"/>
  <c r="E15" i="8" s="1"/>
  <c r="F15" i="8" s="1"/>
  <c r="G15" i="8" s="1"/>
  <c r="B15" i="8"/>
  <c r="I14" i="8"/>
  <c r="D14" i="8"/>
  <c r="E14" i="8" s="1"/>
  <c r="F14" i="8" s="1"/>
  <c r="G14" i="8" s="1"/>
  <c r="B14" i="8"/>
  <c r="E13" i="8"/>
  <c r="D13" i="8"/>
  <c r="B13" i="8"/>
  <c r="K12" i="8"/>
  <c r="I12" i="8"/>
  <c r="D12" i="8"/>
  <c r="E12" i="8" s="1"/>
  <c r="F12" i="8" s="1"/>
  <c r="G12" i="8" s="1"/>
  <c r="J12" i="8" s="1"/>
  <c r="R12" i="8" s="1"/>
  <c r="B12" i="8"/>
  <c r="T11" i="8"/>
  <c r="K37" i="8" s="1"/>
  <c r="I11" i="8"/>
  <c r="E11" i="8"/>
  <c r="F11" i="8" s="1"/>
  <c r="G11" i="8" s="1"/>
  <c r="D11" i="8"/>
  <c r="B11" i="8"/>
  <c r="D10" i="8"/>
  <c r="E10" i="8" s="1"/>
  <c r="F10" i="8" s="1"/>
  <c r="G10" i="8" s="1"/>
  <c r="B10" i="8"/>
  <c r="E9" i="8"/>
  <c r="F9" i="8" s="1"/>
  <c r="G9" i="8" s="1"/>
  <c r="D9" i="8"/>
  <c r="B9" i="8"/>
  <c r="T8" i="8"/>
  <c r="T9" i="8" s="1"/>
  <c r="E8" i="8"/>
  <c r="D8" i="8"/>
  <c r="B8" i="8"/>
  <c r="T7" i="8"/>
  <c r="I17" i="8" s="1"/>
  <c r="I7" i="8"/>
  <c r="E7" i="8"/>
  <c r="D7" i="8"/>
  <c r="B7" i="8"/>
  <c r="I6" i="8"/>
  <c r="G6" i="8"/>
  <c r="F6" i="8"/>
  <c r="E6" i="8"/>
  <c r="D6" i="8"/>
  <c r="B6" i="8"/>
  <c r="T5" i="8"/>
  <c r="T4" i="8"/>
  <c r="I3" i="8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K66" i="7" s="1"/>
  <c r="B2" i="7"/>
  <c r="P70" i="6"/>
  <c r="O70" i="6"/>
  <c r="N70" i="6"/>
  <c r="M70" i="6"/>
  <c r="L70" i="6"/>
  <c r="H70" i="6"/>
  <c r="C70" i="6"/>
  <c r="F53" i="6" s="1"/>
  <c r="G53" i="6" s="1"/>
  <c r="J53" i="6" s="1"/>
  <c r="I69" i="6"/>
  <c r="D69" i="6"/>
  <c r="E69" i="6" s="1"/>
  <c r="B69" i="6"/>
  <c r="J68" i="6"/>
  <c r="I68" i="6"/>
  <c r="G68" i="6"/>
  <c r="F68" i="6"/>
  <c r="E68" i="6"/>
  <c r="D68" i="6"/>
  <c r="B68" i="6"/>
  <c r="I67" i="6"/>
  <c r="F67" i="6"/>
  <c r="G67" i="6" s="1"/>
  <c r="J67" i="6" s="1"/>
  <c r="E67" i="6"/>
  <c r="D67" i="6"/>
  <c r="B67" i="6"/>
  <c r="E66" i="6"/>
  <c r="D66" i="6"/>
  <c r="B66" i="6"/>
  <c r="I65" i="6"/>
  <c r="G65" i="6"/>
  <c r="F65" i="6"/>
  <c r="D65" i="6"/>
  <c r="E65" i="6" s="1"/>
  <c r="B65" i="6"/>
  <c r="G64" i="6"/>
  <c r="E64" i="6"/>
  <c r="F64" i="6" s="1"/>
  <c r="D64" i="6"/>
  <c r="B64" i="6"/>
  <c r="I63" i="6"/>
  <c r="F63" i="6"/>
  <c r="G63" i="6" s="1"/>
  <c r="J63" i="6" s="1"/>
  <c r="E63" i="6"/>
  <c r="D63" i="6"/>
  <c r="B63" i="6"/>
  <c r="E62" i="6"/>
  <c r="D62" i="6"/>
  <c r="B62" i="6"/>
  <c r="D61" i="6"/>
  <c r="E61" i="6" s="1"/>
  <c r="B61" i="6"/>
  <c r="I60" i="6"/>
  <c r="F60" i="6"/>
  <c r="G60" i="6" s="1"/>
  <c r="J60" i="6" s="1"/>
  <c r="E60" i="6"/>
  <c r="D60" i="6"/>
  <c r="B60" i="6"/>
  <c r="D59" i="6"/>
  <c r="E59" i="6" s="1"/>
  <c r="F59" i="6" s="1"/>
  <c r="G59" i="6" s="1"/>
  <c r="B59" i="6"/>
  <c r="E58" i="6"/>
  <c r="D58" i="6"/>
  <c r="B58" i="6"/>
  <c r="I57" i="6"/>
  <c r="D57" i="6"/>
  <c r="E57" i="6" s="1"/>
  <c r="F57" i="6" s="1"/>
  <c r="G57" i="6" s="1"/>
  <c r="B57" i="6"/>
  <c r="E56" i="6"/>
  <c r="D56" i="6"/>
  <c r="B56" i="6"/>
  <c r="I55" i="6"/>
  <c r="D55" i="6"/>
  <c r="E55" i="6" s="1"/>
  <c r="F55" i="6" s="1"/>
  <c r="G55" i="6" s="1"/>
  <c r="J55" i="6" s="1"/>
  <c r="B55" i="6"/>
  <c r="E54" i="6"/>
  <c r="D54" i="6"/>
  <c r="B54" i="6"/>
  <c r="I53" i="6"/>
  <c r="D53" i="6"/>
  <c r="E53" i="6" s="1"/>
  <c r="B53" i="6"/>
  <c r="I52" i="6"/>
  <c r="D52" i="6"/>
  <c r="E52" i="6" s="1"/>
  <c r="F52" i="6" s="1"/>
  <c r="G52" i="6" s="1"/>
  <c r="J52" i="6" s="1"/>
  <c r="B52" i="6"/>
  <c r="D51" i="6"/>
  <c r="E51" i="6" s="1"/>
  <c r="B51" i="6"/>
  <c r="E50" i="6"/>
  <c r="D50" i="6"/>
  <c r="B50" i="6"/>
  <c r="I49" i="6"/>
  <c r="D49" i="6"/>
  <c r="E49" i="6" s="1"/>
  <c r="F49" i="6" s="1"/>
  <c r="G49" i="6" s="1"/>
  <c r="J49" i="6" s="1"/>
  <c r="B49" i="6"/>
  <c r="I48" i="6"/>
  <c r="D48" i="6"/>
  <c r="E48" i="6" s="1"/>
  <c r="B48" i="6"/>
  <c r="I47" i="6"/>
  <c r="F47" i="6"/>
  <c r="G47" i="6" s="1"/>
  <c r="D47" i="6"/>
  <c r="E47" i="6" s="1"/>
  <c r="B47" i="6"/>
  <c r="E46" i="6"/>
  <c r="D46" i="6"/>
  <c r="B46" i="6"/>
  <c r="I45" i="6"/>
  <c r="G45" i="6"/>
  <c r="F45" i="6"/>
  <c r="D45" i="6"/>
  <c r="E45" i="6" s="1"/>
  <c r="B45" i="6"/>
  <c r="I44" i="6"/>
  <c r="F44" i="6"/>
  <c r="G44" i="6" s="1"/>
  <c r="J44" i="6" s="1"/>
  <c r="E44" i="6"/>
  <c r="D44" i="6"/>
  <c r="B44" i="6"/>
  <c r="I43" i="6"/>
  <c r="F43" i="6"/>
  <c r="G43" i="6" s="1"/>
  <c r="E43" i="6"/>
  <c r="D43" i="6"/>
  <c r="B43" i="6"/>
  <c r="E42" i="6"/>
  <c r="D42" i="6"/>
  <c r="B42" i="6"/>
  <c r="F41" i="6"/>
  <c r="G41" i="6" s="1"/>
  <c r="D41" i="6"/>
  <c r="E41" i="6" s="1"/>
  <c r="B41" i="6"/>
  <c r="I40" i="6"/>
  <c r="F40" i="6"/>
  <c r="G40" i="6" s="1"/>
  <c r="J40" i="6" s="1"/>
  <c r="E40" i="6"/>
  <c r="D40" i="6"/>
  <c r="B40" i="6"/>
  <c r="I39" i="6"/>
  <c r="E39" i="6"/>
  <c r="F39" i="6" s="1"/>
  <c r="G39" i="6" s="1"/>
  <c r="J39" i="6" s="1"/>
  <c r="D39" i="6"/>
  <c r="B39" i="6"/>
  <c r="E38" i="6"/>
  <c r="D38" i="6"/>
  <c r="B38" i="6"/>
  <c r="I37" i="6"/>
  <c r="D37" i="6"/>
  <c r="E37" i="6" s="1"/>
  <c r="F37" i="6" s="1"/>
  <c r="G37" i="6" s="1"/>
  <c r="B37" i="6"/>
  <c r="D36" i="6"/>
  <c r="E36" i="6" s="1"/>
  <c r="F36" i="6" s="1"/>
  <c r="G36" i="6" s="1"/>
  <c r="B36" i="6"/>
  <c r="I35" i="6"/>
  <c r="E35" i="6"/>
  <c r="F35" i="6" s="1"/>
  <c r="G35" i="6" s="1"/>
  <c r="D35" i="6"/>
  <c r="B35" i="6"/>
  <c r="E34" i="6"/>
  <c r="D34" i="6"/>
  <c r="B34" i="6"/>
  <c r="I33" i="6"/>
  <c r="D33" i="6"/>
  <c r="E33" i="6" s="1"/>
  <c r="B33" i="6"/>
  <c r="I32" i="6"/>
  <c r="D32" i="6"/>
  <c r="E32" i="6" s="1"/>
  <c r="F32" i="6" s="1"/>
  <c r="G32" i="6" s="1"/>
  <c r="J32" i="6" s="1"/>
  <c r="B32" i="6"/>
  <c r="E31" i="6"/>
  <c r="F31" i="6" s="1"/>
  <c r="G31" i="6" s="1"/>
  <c r="D31" i="6"/>
  <c r="B31" i="6"/>
  <c r="E30" i="6"/>
  <c r="D30" i="6"/>
  <c r="B30" i="6"/>
  <c r="I29" i="6"/>
  <c r="G29" i="6"/>
  <c r="J29" i="6" s="1"/>
  <c r="F29" i="6"/>
  <c r="D29" i="6"/>
  <c r="E29" i="6" s="1"/>
  <c r="B29" i="6"/>
  <c r="I28" i="6"/>
  <c r="D28" i="6"/>
  <c r="E28" i="6" s="1"/>
  <c r="B28" i="6"/>
  <c r="I27" i="6"/>
  <c r="F27" i="6"/>
  <c r="G27" i="6" s="1"/>
  <c r="E27" i="6"/>
  <c r="D27" i="6"/>
  <c r="B27" i="6"/>
  <c r="E26" i="6"/>
  <c r="D26" i="6"/>
  <c r="B26" i="6"/>
  <c r="I25" i="6"/>
  <c r="G25" i="6"/>
  <c r="F25" i="6"/>
  <c r="D25" i="6"/>
  <c r="E25" i="6" s="1"/>
  <c r="B25" i="6"/>
  <c r="I24" i="6"/>
  <c r="E24" i="6"/>
  <c r="F24" i="6" s="1"/>
  <c r="G24" i="6" s="1"/>
  <c r="J24" i="6" s="1"/>
  <c r="D24" i="6"/>
  <c r="B24" i="6"/>
  <c r="I23" i="6"/>
  <c r="D23" i="6"/>
  <c r="E23" i="6" s="1"/>
  <c r="B23" i="6"/>
  <c r="E22" i="6"/>
  <c r="D22" i="6"/>
  <c r="B22" i="6"/>
  <c r="I21" i="6"/>
  <c r="D21" i="6"/>
  <c r="E21" i="6" s="1"/>
  <c r="F21" i="6" s="1"/>
  <c r="G21" i="6" s="1"/>
  <c r="B21" i="6"/>
  <c r="I20" i="6"/>
  <c r="G20" i="6"/>
  <c r="J20" i="6" s="1"/>
  <c r="F20" i="6"/>
  <c r="E20" i="6"/>
  <c r="D20" i="6"/>
  <c r="B20" i="6"/>
  <c r="I19" i="6"/>
  <c r="E19" i="6"/>
  <c r="F19" i="6" s="1"/>
  <c r="G19" i="6" s="1"/>
  <c r="J19" i="6" s="1"/>
  <c r="D19" i="6"/>
  <c r="B19" i="6"/>
  <c r="D18" i="6"/>
  <c r="E18" i="6" s="1"/>
  <c r="B18" i="6"/>
  <c r="T17" i="6"/>
  <c r="T18" i="6" s="1"/>
  <c r="I17" i="6"/>
  <c r="F17" i="6"/>
  <c r="G17" i="6" s="1"/>
  <c r="D17" i="6"/>
  <c r="E17" i="6" s="1"/>
  <c r="B17" i="6"/>
  <c r="I16" i="6"/>
  <c r="G16" i="6"/>
  <c r="J16" i="6" s="1"/>
  <c r="E16" i="6"/>
  <c r="F16" i="6" s="1"/>
  <c r="D16" i="6"/>
  <c r="B16" i="6"/>
  <c r="I15" i="6"/>
  <c r="D15" i="6"/>
  <c r="E15" i="6" s="1"/>
  <c r="B15" i="6"/>
  <c r="G14" i="6"/>
  <c r="E14" i="6"/>
  <c r="F14" i="6" s="1"/>
  <c r="D14" i="6"/>
  <c r="B14" i="6"/>
  <c r="I13" i="6"/>
  <c r="D13" i="6"/>
  <c r="E13" i="6" s="1"/>
  <c r="F13" i="6" s="1"/>
  <c r="G13" i="6" s="1"/>
  <c r="J13" i="6" s="1"/>
  <c r="B13" i="6"/>
  <c r="I12" i="6"/>
  <c r="E12" i="6"/>
  <c r="D12" i="6"/>
  <c r="B12" i="6"/>
  <c r="J11" i="6"/>
  <c r="I11" i="6"/>
  <c r="D11" i="6"/>
  <c r="E11" i="6" s="1"/>
  <c r="F11" i="6" s="1"/>
  <c r="G11" i="6" s="1"/>
  <c r="B11" i="6"/>
  <c r="I10" i="6"/>
  <c r="D10" i="6"/>
  <c r="E10" i="6" s="1"/>
  <c r="F10" i="6" s="1"/>
  <c r="G10" i="6" s="1"/>
  <c r="J10" i="6" s="1"/>
  <c r="B10" i="6"/>
  <c r="T9" i="6"/>
  <c r="I9" i="6"/>
  <c r="D9" i="6"/>
  <c r="E9" i="6" s="1"/>
  <c r="B9" i="6"/>
  <c r="T8" i="6"/>
  <c r="I8" i="6"/>
  <c r="F8" i="6"/>
  <c r="G8" i="6" s="1"/>
  <c r="J8" i="6" s="1"/>
  <c r="D8" i="6"/>
  <c r="E8" i="6" s="1"/>
  <c r="B8" i="6"/>
  <c r="T7" i="6"/>
  <c r="I41" i="6" s="1"/>
  <c r="I7" i="6"/>
  <c r="F7" i="6"/>
  <c r="G7" i="6" s="1"/>
  <c r="J7" i="6" s="1"/>
  <c r="D7" i="6"/>
  <c r="E7" i="6" s="1"/>
  <c r="B7" i="6"/>
  <c r="J6" i="6"/>
  <c r="I6" i="6"/>
  <c r="E6" i="6"/>
  <c r="F6" i="6" s="1"/>
  <c r="G6" i="6" s="1"/>
  <c r="D6" i="6"/>
  <c r="B6" i="6"/>
  <c r="T5" i="6"/>
  <c r="I5" i="6"/>
  <c r="I4" i="6"/>
  <c r="I3" i="6"/>
  <c r="K66" i="5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P70" i="4"/>
  <c r="O70" i="4"/>
  <c r="N70" i="4"/>
  <c r="M70" i="4"/>
  <c r="L70" i="4"/>
  <c r="H70" i="4"/>
  <c r="C70" i="4"/>
  <c r="F57" i="4" s="1"/>
  <c r="G69" i="4"/>
  <c r="F69" i="4"/>
  <c r="E69" i="4"/>
  <c r="D69" i="4"/>
  <c r="B69" i="4"/>
  <c r="E68" i="4"/>
  <c r="D68" i="4"/>
  <c r="B68" i="4"/>
  <c r="F67" i="4"/>
  <c r="G67" i="4" s="1"/>
  <c r="E67" i="4"/>
  <c r="D67" i="4"/>
  <c r="B67" i="4"/>
  <c r="D66" i="4"/>
  <c r="E66" i="4" s="1"/>
  <c r="F66" i="4" s="1"/>
  <c r="G66" i="4" s="1"/>
  <c r="B66" i="4"/>
  <c r="E65" i="4"/>
  <c r="F65" i="4" s="1"/>
  <c r="G65" i="4" s="1"/>
  <c r="D65" i="4"/>
  <c r="B65" i="4"/>
  <c r="E64" i="4"/>
  <c r="F64" i="4" s="1"/>
  <c r="G64" i="4" s="1"/>
  <c r="D64" i="4"/>
  <c r="B64" i="4"/>
  <c r="E63" i="4"/>
  <c r="D63" i="4"/>
  <c r="B63" i="4"/>
  <c r="E62" i="4"/>
  <c r="F62" i="4" s="1"/>
  <c r="G62" i="4" s="1"/>
  <c r="D62" i="4"/>
  <c r="B62" i="4"/>
  <c r="G61" i="4"/>
  <c r="E61" i="4"/>
  <c r="F61" i="4" s="1"/>
  <c r="D61" i="4"/>
  <c r="B61" i="4"/>
  <c r="F60" i="4"/>
  <c r="G60" i="4" s="1"/>
  <c r="D60" i="4"/>
  <c r="E60" i="4" s="1"/>
  <c r="B60" i="4"/>
  <c r="G59" i="4"/>
  <c r="E59" i="4"/>
  <c r="F59" i="4" s="1"/>
  <c r="D59" i="4"/>
  <c r="B59" i="4"/>
  <c r="F58" i="4"/>
  <c r="G58" i="4" s="1"/>
  <c r="D58" i="4"/>
  <c r="E58" i="4" s="1"/>
  <c r="B58" i="4"/>
  <c r="G57" i="4"/>
  <c r="E57" i="4"/>
  <c r="D57" i="4"/>
  <c r="B57" i="4"/>
  <c r="E56" i="4"/>
  <c r="F56" i="4" s="1"/>
  <c r="G56" i="4" s="1"/>
  <c r="D56" i="4"/>
  <c r="B56" i="4"/>
  <c r="G55" i="4"/>
  <c r="D55" i="4"/>
  <c r="E55" i="4" s="1"/>
  <c r="F55" i="4" s="1"/>
  <c r="B55" i="4"/>
  <c r="D54" i="4"/>
  <c r="E54" i="4" s="1"/>
  <c r="F54" i="4" s="1"/>
  <c r="G54" i="4" s="1"/>
  <c r="B54" i="4"/>
  <c r="G53" i="4"/>
  <c r="E53" i="4"/>
  <c r="F53" i="4" s="1"/>
  <c r="D53" i="4"/>
  <c r="B53" i="4"/>
  <c r="E52" i="4"/>
  <c r="F52" i="4" s="1"/>
  <c r="G52" i="4" s="1"/>
  <c r="D52" i="4"/>
  <c r="B52" i="4"/>
  <c r="E51" i="4"/>
  <c r="D51" i="4"/>
  <c r="B51" i="4"/>
  <c r="D50" i="4"/>
  <c r="E50" i="4" s="1"/>
  <c r="F50" i="4" s="1"/>
  <c r="G50" i="4" s="1"/>
  <c r="B50" i="4"/>
  <c r="G49" i="4"/>
  <c r="D49" i="4"/>
  <c r="E49" i="4" s="1"/>
  <c r="F49" i="4" s="1"/>
  <c r="B49" i="4"/>
  <c r="E48" i="4"/>
  <c r="D48" i="4"/>
  <c r="B48" i="4"/>
  <c r="G47" i="4"/>
  <c r="E47" i="4"/>
  <c r="F47" i="4" s="1"/>
  <c r="D47" i="4"/>
  <c r="B47" i="4"/>
  <c r="D46" i="4"/>
  <c r="E46" i="4" s="1"/>
  <c r="F46" i="4" s="1"/>
  <c r="G46" i="4" s="1"/>
  <c r="B46" i="4"/>
  <c r="F45" i="4"/>
  <c r="G45" i="4" s="1"/>
  <c r="D45" i="4"/>
  <c r="E45" i="4" s="1"/>
  <c r="B45" i="4"/>
  <c r="F44" i="4"/>
  <c r="G44" i="4" s="1"/>
  <c r="D44" i="4"/>
  <c r="E44" i="4" s="1"/>
  <c r="B44" i="4"/>
  <c r="D43" i="4"/>
  <c r="E43" i="4" s="1"/>
  <c r="F43" i="4" s="1"/>
  <c r="G43" i="4" s="1"/>
  <c r="B43" i="4"/>
  <c r="G42" i="4"/>
  <c r="D42" i="4"/>
  <c r="E42" i="4" s="1"/>
  <c r="F42" i="4" s="1"/>
  <c r="B42" i="4"/>
  <c r="G41" i="4"/>
  <c r="E41" i="4"/>
  <c r="F41" i="4" s="1"/>
  <c r="D41" i="4"/>
  <c r="B41" i="4"/>
  <c r="E40" i="4"/>
  <c r="F40" i="4" s="1"/>
  <c r="G40" i="4" s="1"/>
  <c r="D40" i="4"/>
  <c r="B40" i="4"/>
  <c r="E39" i="4"/>
  <c r="F39" i="4" s="1"/>
  <c r="G39" i="4" s="1"/>
  <c r="D39" i="4"/>
  <c r="B39" i="4"/>
  <c r="F38" i="4"/>
  <c r="G38" i="4" s="1"/>
  <c r="D38" i="4"/>
  <c r="E38" i="4" s="1"/>
  <c r="B38" i="4"/>
  <c r="D37" i="4"/>
  <c r="E37" i="4" s="1"/>
  <c r="F37" i="4" s="1"/>
  <c r="G37" i="4" s="1"/>
  <c r="B37" i="4"/>
  <c r="D36" i="4"/>
  <c r="E36" i="4" s="1"/>
  <c r="F36" i="4" s="1"/>
  <c r="G36" i="4" s="1"/>
  <c r="B36" i="4"/>
  <c r="D35" i="4"/>
  <c r="E35" i="4" s="1"/>
  <c r="F35" i="4" s="1"/>
  <c r="G35" i="4" s="1"/>
  <c r="B35" i="4"/>
  <c r="G34" i="4"/>
  <c r="D34" i="4"/>
  <c r="E34" i="4" s="1"/>
  <c r="F34" i="4" s="1"/>
  <c r="B34" i="4"/>
  <c r="G33" i="4"/>
  <c r="D33" i="4"/>
  <c r="E33" i="4" s="1"/>
  <c r="F33" i="4" s="1"/>
  <c r="B33" i="4"/>
  <c r="E32" i="4"/>
  <c r="F32" i="4" s="1"/>
  <c r="G32" i="4" s="1"/>
  <c r="D32" i="4"/>
  <c r="B32" i="4"/>
  <c r="E31" i="4"/>
  <c r="F31" i="4" s="1"/>
  <c r="G31" i="4" s="1"/>
  <c r="D31" i="4"/>
  <c r="B31" i="4"/>
  <c r="D30" i="4"/>
  <c r="E30" i="4" s="1"/>
  <c r="F30" i="4" s="1"/>
  <c r="G30" i="4" s="1"/>
  <c r="B30" i="4"/>
  <c r="D29" i="4"/>
  <c r="E29" i="4" s="1"/>
  <c r="F29" i="4" s="1"/>
  <c r="G29" i="4" s="1"/>
  <c r="B29" i="4"/>
  <c r="D28" i="4"/>
  <c r="E28" i="4" s="1"/>
  <c r="F28" i="4" s="1"/>
  <c r="G28" i="4" s="1"/>
  <c r="B28" i="4"/>
  <c r="D27" i="4"/>
  <c r="E27" i="4" s="1"/>
  <c r="F27" i="4" s="1"/>
  <c r="G27" i="4" s="1"/>
  <c r="B27" i="4"/>
  <c r="F26" i="4"/>
  <c r="G26" i="4" s="1"/>
  <c r="D26" i="4"/>
  <c r="E26" i="4" s="1"/>
  <c r="B26" i="4"/>
  <c r="G25" i="4"/>
  <c r="E25" i="4"/>
  <c r="F25" i="4" s="1"/>
  <c r="D25" i="4"/>
  <c r="B25" i="4"/>
  <c r="D24" i="4"/>
  <c r="E24" i="4" s="1"/>
  <c r="F24" i="4" s="1"/>
  <c r="G24" i="4" s="1"/>
  <c r="B24" i="4"/>
  <c r="D23" i="4"/>
  <c r="E23" i="4" s="1"/>
  <c r="F23" i="4" s="1"/>
  <c r="G23" i="4" s="1"/>
  <c r="B23" i="4"/>
  <c r="F22" i="4"/>
  <c r="G22" i="4" s="1"/>
  <c r="D22" i="4"/>
  <c r="E22" i="4" s="1"/>
  <c r="B22" i="4"/>
  <c r="G21" i="4"/>
  <c r="E21" i="4"/>
  <c r="F21" i="4" s="1"/>
  <c r="D21" i="4"/>
  <c r="B21" i="4"/>
  <c r="D20" i="4"/>
  <c r="E20" i="4" s="1"/>
  <c r="F20" i="4" s="1"/>
  <c r="G20" i="4" s="1"/>
  <c r="B20" i="4"/>
  <c r="D19" i="4"/>
  <c r="E19" i="4" s="1"/>
  <c r="F19" i="4" s="1"/>
  <c r="G19" i="4" s="1"/>
  <c r="B19" i="4"/>
  <c r="F18" i="4"/>
  <c r="G18" i="4" s="1"/>
  <c r="D18" i="4"/>
  <c r="E18" i="4" s="1"/>
  <c r="B18" i="4"/>
  <c r="G17" i="4"/>
  <c r="E17" i="4"/>
  <c r="F17" i="4" s="1"/>
  <c r="D17" i="4"/>
  <c r="B17" i="4"/>
  <c r="D16" i="4"/>
  <c r="E16" i="4" s="1"/>
  <c r="F16" i="4" s="1"/>
  <c r="G16" i="4" s="1"/>
  <c r="B16" i="4"/>
  <c r="D15" i="4"/>
  <c r="E15" i="4" s="1"/>
  <c r="F15" i="4" s="1"/>
  <c r="G15" i="4" s="1"/>
  <c r="B15" i="4"/>
  <c r="F14" i="4"/>
  <c r="G14" i="4" s="1"/>
  <c r="D14" i="4"/>
  <c r="E14" i="4" s="1"/>
  <c r="B14" i="4"/>
  <c r="G13" i="4"/>
  <c r="E13" i="4"/>
  <c r="F13" i="4" s="1"/>
  <c r="D13" i="4"/>
  <c r="B13" i="4"/>
  <c r="D12" i="4"/>
  <c r="E12" i="4" s="1"/>
  <c r="F12" i="4" s="1"/>
  <c r="G12" i="4" s="1"/>
  <c r="B12" i="4"/>
  <c r="D11" i="4"/>
  <c r="E11" i="4" s="1"/>
  <c r="F11" i="4" s="1"/>
  <c r="G11" i="4" s="1"/>
  <c r="B11" i="4"/>
  <c r="F10" i="4"/>
  <c r="G10" i="4" s="1"/>
  <c r="D10" i="4"/>
  <c r="E10" i="4" s="1"/>
  <c r="B10" i="4"/>
  <c r="D9" i="4"/>
  <c r="E9" i="4" s="1"/>
  <c r="F9" i="4" s="1"/>
  <c r="G9" i="4" s="1"/>
  <c r="B9" i="4"/>
  <c r="F8" i="4"/>
  <c r="G8" i="4" s="1"/>
  <c r="D8" i="4"/>
  <c r="E8" i="4" s="1"/>
  <c r="B8" i="4"/>
  <c r="T7" i="4"/>
  <c r="F7" i="4"/>
  <c r="G7" i="4" s="1"/>
  <c r="D7" i="4"/>
  <c r="E7" i="4" s="1"/>
  <c r="B7" i="4"/>
  <c r="D6" i="4"/>
  <c r="B6" i="4"/>
  <c r="T5" i="4"/>
  <c r="K66" i="3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B2" i="3"/>
  <c r="Q70" i="2"/>
  <c r="P70" i="2"/>
  <c r="O70" i="2"/>
  <c r="N70" i="2"/>
  <c r="M70" i="2"/>
  <c r="L70" i="2"/>
  <c r="H70" i="2"/>
  <c r="C70" i="2"/>
  <c r="F55" i="2" s="1"/>
  <c r="G55" i="2" s="1"/>
  <c r="D69" i="2"/>
  <c r="E69" i="2" s="1"/>
  <c r="B69" i="2"/>
  <c r="D68" i="2"/>
  <c r="E68" i="2" s="1"/>
  <c r="F68" i="2" s="1"/>
  <c r="G68" i="2" s="1"/>
  <c r="B68" i="2"/>
  <c r="I67" i="2"/>
  <c r="D67" i="2"/>
  <c r="E67" i="2" s="1"/>
  <c r="B67" i="2"/>
  <c r="K66" i="2"/>
  <c r="E66" i="2"/>
  <c r="D66" i="2"/>
  <c r="B66" i="2"/>
  <c r="I65" i="2"/>
  <c r="D65" i="2"/>
  <c r="E65" i="2" s="1"/>
  <c r="B65" i="2"/>
  <c r="E64" i="2"/>
  <c r="D64" i="2"/>
  <c r="B64" i="2"/>
  <c r="K63" i="2"/>
  <c r="D63" i="2"/>
  <c r="E63" i="2" s="1"/>
  <c r="B63" i="2"/>
  <c r="D62" i="2"/>
  <c r="E62" i="2" s="1"/>
  <c r="B62" i="2"/>
  <c r="I61" i="2"/>
  <c r="D61" i="2"/>
  <c r="E61" i="2" s="1"/>
  <c r="B61" i="2"/>
  <c r="F60" i="2"/>
  <c r="G60" i="2" s="1"/>
  <c r="D60" i="2"/>
  <c r="E60" i="2" s="1"/>
  <c r="B60" i="2"/>
  <c r="K59" i="2"/>
  <c r="I59" i="2"/>
  <c r="D59" i="2"/>
  <c r="E59" i="2" s="1"/>
  <c r="B59" i="2"/>
  <c r="K58" i="2"/>
  <c r="E58" i="2"/>
  <c r="D58" i="2"/>
  <c r="B58" i="2"/>
  <c r="I57" i="2"/>
  <c r="D57" i="2"/>
  <c r="E57" i="2" s="1"/>
  <c r="B57" i="2"/>
  <c r="K56" i="2"/>
  <c r="D56" i="2"/>
  <c r="E56" i="2" s="1"/>
  <c r="B56" i="2"/>
  <c r="I55" i="2"/>
  <c r="D55" i="2"/>
  <c r="E55" i="2" s="1"/>
  <c r="B55" i="2"/>
  <c r="K54" i="2"/>
  <c r="D54" i="2"/>
  <c r="E54" i="2" s="1"/>
  <c r="B54" i="2"/>
  <c r="I53" i="2"/>
  <c r="D53" i="2"/>
  <c r="E53" i="2" s="1"/>
  <c r="B53" i="2"/>
  <c r="D52" i="2"/>
  <c r="E52" i="2" s="1"/>
  <c r="F52" i="2" s="1"/>
  <c r="G52" i="2" s="1"/>
  <c r="B52" i="2"/>
  <c r="K51" i="2"/>
  <c r="I51" i="2"/>
  <c r="D51" i="2"/>
  <c r="E51" i="2" s="1"/>
  <c r="B51" i="2"/>
  <c r="K50" i="2"/>
  <c r="E50" i="2"/>
  <c r="D50" i="2"/>
  <c r="B50" i="2"/>
  <c r="I49" i="2"/>
  <c r="D49" i="2"/>
  <c r="E49" i="2" s="1"/>
  <c r="B49" i="2"/>
  <c r="K48" i="2"/>
  <c r="D48" i="2"/>
  <c r="E48" i="2" s="1"/>
  <c r="F48" i="2" s="1"/>
  <c r="G48" i="2" s="1"/>
  <c r="B48" i="2"/>
  <c r="I47" i="2"/>
  <c r="D47" i="2"/>
  <c r="E47" i="2" s="1"/>
  <c r="B47" i="2"/>
  <c r="K46" i="2"/>
  <c r="D46" i="2"/>
  <c r="E46" i="2" s="1"/>
  <c r="B46" i="2"/>
  <c r="I45" i="2"/>
  <c r="D45" i="2"/>
  <c r="E45" i="2" s="1"/>
  <c r="B45" i="2"/>
  <c r="D44" i="2"/>
  <c r="E44" i="2" s="1"/>
  <c r="F44" i="2" s="1"/>
  <c r="G44" i="2" s="1"/>
  <c r="B44" i="2"/>
  <c r="K43" i="2"/>
  <c r="I43" i="2"/>
  <c r="D43" i="2"/>
  <c r="E43" i="2" s="1"/>
  <c r="B43" i="2"/>
  <c r="K42" i="2"/>
  <c r="E42" i="2"/>
  <c r="D42" i="2"/>
  <c r="B42" i="2"/>
  <c r="I41" i="2"/>
  <c r="D41" i="2"/>
  <c r="E41" i="2" s="1"/>
  <c r="B41" i="2"/>
  <c r="K40" i="2"/>
  <c r="F40" i="2"/>
  <c r="G40" i="2" s="1"/>
  <c r="E40" i="2"/>
  <c r="D40" i="2"/>
  <c r="B40" i="2"/>
  <c r="I39" i="2"/>
  <c r="D39" i="2"/>
  <c r="E39" i="2" s="1"/>
  <c r="B39" i="2"/>
  <c r="K38" i="2"/>
  <c r="D38" i="2"/>
  <c r="E38" i="2" s="1"/>
  <c r="B38" i="2"/>
  <c r="I37" i="2"/>
  <c r="D37" i="2"/>
  <c r="E37" i="2" s="1"/>
  <c r="B37" i="2"/>
  <c r="D36" i="2"/>
  <c r="E36" i="2" s="1"/>
  <c r="F36" i="2" s="1"/>
  <c r="G36" i="2" s="1"/>
  <c r="B36" i="2"/>
  <c r="K35" i="2"/>
  <c r="I35" i="2"/>
  <c r="D35" i="2"/>
  <c r="E35" i="2" s="1"/>
  <c r="B35" i="2"/>
  <c r="K34" i="2"/>
  <c r="D34" i="2"/>
  <c r="E34" i="2" s="1"/>
  <c r="F34" i="2" s="1"/>
  <c r="G34" i="2" s="1"/>
  <c r="B34" i="2"/>
  <c r="I33" i="2"/>
  <c r="D33" i="2"/>
  <c r="E33" i="2" s="1"/>
  <c r="B33" i="2"/>
  <c r="K32" i="2"/>
  <c r="D32" i="2"/>
  <c r="E32" i="2" s="1"/>
  <c r="B32" i="2"/>
  <c r="K31" i="2"/>
  <c r="I31" i="2"/>
  <c r="D31" i="2"/>
  <c r="E31" i="2" s="1"/>
  <c r="B31" i="2"/>
  <c r="K30" i="2"/>
  <c r="D30" i="2"/>
  <c r="E30" i="2" s="1"/>
  <c r="F30" i="2" s="1"/>
  <c r="G30" i="2" s="1"/>
  <c r="B30" i="2"/>
  <c r="I29" i="2"/>
  <c r="D29" i="2"/>
  <c r="E29" i="2" s="1"/>
  <c r="B29" i="2"/>
  <c r="K28" i="2"/>
  <c r="D28" i="2"/>
  <c r="E28" i="2" s="1"/>
  <c r="B28" i="2"/>
  <c r="K27" i="2"/>
  <c r="I27" i="2"/>
  <c r="D27" i="2"/>
  <c r="E27" i="2" s="1"/>
  <c r="B27" i="2"/>
  <c r="K26" i="2"/>
  <c r="F26" i="2"/>
  <c r="G26" i="2" s="1"/>
  <c r="D26" i="2"/>
  <c r="E26" i="2" s="1"/>
  <c r="B26" i="2"/>
  <c r="I25" i="2"/>
  <c r="D25" i="2"/>
  <c r="E25" i="2" s="1"/>
  <c r="B25" i="2"/>
  <c r="K24" i="2"/>
  <c r="D24" i="2"/>
  <c r="E24" i="2" s="1"/>
  <c r="B24" i="2"/>
  <c r="K23" i="2"/>
  <c r="I23" i="2"/>
  <c r="D23" i="2"/>
  <c r="E23" i="2" s="1"/>
  <c r="B23" i="2"/>
  <c r="K22" i="2"/>
  <c r="D22" i="2"/>
  <c r="E22" i="2" s="1"/>
  <c r="F22" i="2" s="1"/>
  <c r="G22" i="2" s="1"/>
  <c r="B22" i="2"/>
  <c r="I21" i="2"/>
  <c r="D21" i="2"/>
  <c r="E21" i="2" s="1"/>
  <c r="B21" i="2"/>
  <c r="K20" i="2"/>
  <c r="D20" i="2"/>
  <c r="E20" i="2" s="1"/>
  <c r="B20" i="2"/>
  <c r="K19" i="2"/>
  <c r="I19" i="2"/>
  <c r="D19" i="2"/>
  <c r="E19" i="2" s="1"/>
  <c r="B19" i="2"/>
  <c r="U18" i="2"/>
  <c r="I18" i="2"/>
  <c r="E18" i="2"/>
  <c r="D18" i="2"/>
  <c r="B18" i="2"/>
  <c r="U17" i="2"/>
  <c r="K17" i="2"/>
  <c r="E17" i="2"/>
  <c r="D17" i="2"/>
  <c r="B17" i="2"/>
  <c r="U16" i="2"/>
  <c r="I16" i="2"/>
  <c r="D16" i="2"/>
  <c r="E16" i="2" s="1"/>
  <c r="B16" i="2"/>
  <c r="K15" i="2"/>
  <c r="D15" i="2"/>
  <c r="E15" i="2" s="1"/>
  <c r="B15" i="2"/>
  <c r="U14" i="2"/>
  <c r="K14" i="2"/>
  <c r="I14" i="2"/>
  <c r="E14" i="2"/>
  <c r="D14" i="2"/>
  <c r="B14" i="2"/>
  <c r="I13" i="2"/>
  <c r="E13" i="2"/>
  <c r="D13" i="2"/>
  <c r="B13" i="2"/>
  <c r="I12" i="2"/>
  <c r="D12" i="2"/>
  <c r="E12" i="2" s="1"/>
  <c r="B12" i="2"/>
  <c r="I11" i="2"/>
  <c r="E11" i="2"/>
  <c r="D11" i="2"/>
  <c r="B11" i="2"/>
  <c r="K10" i="2"/>
  <c r="I10" i="2"/>
  <c r="E10" i="2"/>
  <c r="D10" i="2"/>
  <c r="B10" i="2"/>
  <c r="U9" i="2"/>
  <c r="I9" i="2"/>
  <c r="F9" i="2"/>
  <c r="G9" i="2" s="1"/>
  <c r="E9" i="2"/>
  <c r="D9" i="2"/>
  <c r="B9" i="2"/>
  <c r="U8" i="2"/>
  <c r="K8" i="2"/>
  <c r="F8" i="2"/>
  <c r="G8" i="2" s="1"/>
  <c r="D8" i="2"/>
  <c r="E8" i="2" s="1"/>
  <c r="B8" i="2"/>
  <c r="U7" i="2"/>
  <c r="I63" i="2" s="1"/>
  <c r="I7" i="2"/>
  <c r="D7" i="2"/>
  <c r="B7" i="2"/>
  <c r="I6" i="2"/>
  <c r="E6" i="2"/>
  <c r="D6" i="2"/>
  <c r="B6" i="2"/>
  <c r="U5" i="2"/>
  <c r="I5" i="2"/>
  <c r="U4" i="2"/>
  <c r="K69" i="2" s="1"/>
  <c r="I4" i="2"/>
  <c r="I3" i="2"/>
  <c r="H2" i="1"/>
  <c r="G2" i="1"/>
  <c r="K65" i="9"/>
  <c r="B65" i="9"/>
  <c r="K64" i="9"/>
  <c r="B64" i="9"/>
  <c r="K63" i="9"/>
  <c r="B63" i="9"/>
  <c r="K62" i="9"/>
  <c r="B62" i="9"/>
  <c r="K61" i="9"/>
  <c r="B61" i="9"/>
  <c r="K60" i="9"/>
  <c r="B60" i="9"/>
  <c r="K59" i="9"/>
  <c r="B59" i="9"/>
  <c r="K58" i="9"/>
  <c r="B58" i="9"/>
  <c r="K57" i="9"/>
  <c r="B57" i="9"/>
  <c r="K56" i="9"/>
  <c r="B56" i="9"/>
  <c r="K55" i="9"/>
  <c r="B55" i="9"/>
  <c r="K54" i="9"/>
  <c r="B54" i="9"/>
  <c r="K53" i="9"/>
  <c r="B53" i="9"/>
  <c r="K52" i="9"/>
  <c r="B52" i="9"/>
  <c r="K51" i="9"/>
  <c r="B51" i="9"/>
  <c r="K50" i="9"/>
  <c r="B50" i="9"/>
  <c r="K49" i="9"/>
  <c r="B49" i="9"/>
  <c r="K48" i="9"/>
  <c r="B48" i="9"/>
  <c r="K47" i="9"/>
  <c r="B47" i="9"/>
  <c r="K46" i="9"/>
  <c r="B46" i="9"/>
  <c r="K45" i="9"/>
  <c r="B45" i="9"/>
  <c r="K44" i="9"/>
  <c r="B44" i="9"/>
  <c r="K43" i="9"/>
  <c r="B43" i="9"/>
  <c r="K42" i="9"/>
  <c r="B42" i="9"/>
  <c r="K41" i="9"/>
  <c r="B41" i="9"/>
  <c r="K40" i="9"/>
  <c r="B40" i="9"/>
  <c r="K39" i="9"/>
  <c r="B39" i="9"/>
  <c r="K38" i="9"/>
  <c r="B38" i="9"/>
  <c r="K37" i="9"/>
  <c r="B37" i="9"/>
  <c r="K36" i="9"/>
  <c r="B36" i="9"/>
  <c r="K35" i="9"/>
  <c r="B35" i="9"/>
  <c r="K34" i="9"/>
  <c r="B34" i="9"/>
  <c r="K33" i="9"/>
  <c r="B33" i="9"/>
  <c r="K32" i="9"/>
  <c r="B32" i="9"/>
  <c r="K31" i="9"/>
  <c r="B31" i="9"/>
  <c r="K30" i="9"/>
  <c r="B30" i="9"/>
  <c r="K29" i="9"/>
  <c r="B29" i="9"/>
  <c r="K28" i="9"/>
  <c r="B28" i="9"/>
  <c r="K27" i="9"/>
  <c r="B27" i="9"/>
  <c r="K26" i="9"/>
  <c r="B26" i="9"/>
  <c r="K25" i="9"/>
  <c r="B25" i="9"/>
  <c r="K24" i="9"/>
  <c r="B24" i="9"/>
  <c r="K23" i="9"/>
  <c r="B23" i="9"/>
  <c r="K22" i="9"/>
  <c r="B22" i="9"/>
  <c r="K21" i="9"/>
  <c r="B21" i="9"/>
  <c r="K20" i="9"/>
  <c r="B20" i="9"/>
  <c r="K19" i="9"/>
  <c r="B19" i="9"/>
  <c r="K18" i="9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K5" i="9"/>
  <c r="B5" i="9"/>
  <c r="K4" i="9"/>
  <c r="B4" i="9"/>
  <c r="K3" i="9"/>
  <c r="B3" i="9"/>
  <c r="K2" i="9"/>
  <c r="K66" i="9" s="1"/>
  <c r="B2" i="9"/>
  <c r="I65" i="27"/>
  <c r="AK65" i="27"/>
  <c r="E53" i="27"/>
  <c r="AC64" i="27"/>
  <c r="F51" i="27"/>
  <c r="AG65" i="27"/>
  <c r="E61" i="27"/>
  <c r="Q63" i="27"/>
  <c r="U59" i="27"/>
  <c r="AG44" i="27"/>
  <c r="I41" i="27"/>
  <c r="Y27" i="27"/>
  <c r="F44" i="27"/>
  <c r="AK29" i="27"/>
  <c r="Y48" i="27"/>
  <c r="AK34" i="27"/>
  <c r="AK56" i="27"/>
  <c r="AG36" i="27"/>
  <c r="AC54" i="27"/>
  <c r="U63" i="27"/>
  <c r="AC57" i="27"/>
  <c r="E63" i="27"/>
  <c r="I53" i="27"/>
  <c r="I17" i="27"/>
  <c r="F53" i="27"/>
  <c r="Y22" i="27"/>
  <c r="Y46" i="27"/>
  <c r="AK24" i="27"/>
  <c r="AK37" i="27"/>
  <c r="I20" i="27"/>
  <c r="I34" i="27"/>
  <c r="Q19" i="27"/>
  <c r="AG41" i="27"/>
  <c r="Y18" i="27"/>
  <c r="Q35" i="27"/>
  <c r="Y34" i="27"/>
  <c r="U49" i="27"/>
  <c r="AG25" i="27"/>
  <c r="Q13" i="27"/>
  <c r="AK12" i="27"/>
  <c r="F18" i="27"/>
  <c r="AK25" i="27"/>
  <c r="Y6" i="27"/>
  <c r="E11" i="27"/>
  <c r="AG20" i="27"/>
  <c r="U56" i="27"/>
  <c r="U6" i="27"/>
  <c r="M13" i="27"/>
  <c r="AG10" i="27"/>
  <c r="Q22" i="27"/>
  <c r="Y31" i="27"/>
  <c r="Q8" i="27"/>
  <c r="Q12" i="27"/>
  <c r="E25" i="27"/>
  <c r="I5" i="27"/>
  <c r="AD6" i="27"/>
  <c r="M8" i="27"/>
  <c r="Y15" i="27"/>
  <c r="AD10" i="27"/>
  <c r="AK59" i="27"/>
  <c r="AK50" i="27"/>
  <c r="Y17" i="27"/>
  <c r="AG19" i="27"/>
  <c r="AK20" i="27"/>
  <c r="AD24" i="27"/>
  <c r="AK62" i="27"/>
  <c r="U65" i="27"/>
  <c r="AG50" i="27"/>
  <c r="M64" i="27"/>
  <c r="Y49" i="27"/>
  <c r="Q65" i="27"/>
  <c r="AG58" i="27"/>
  <c r="AC60" i="27"/>
  <c r="E59" i="27"/>
  <c r="Q44" i="27"/>
  <c r="I40" i="27"/>
  <c r="I27" i="27"/>
  <c r="Y43" i="27"/>
  <c r="U29" i="27"/>
  <c r="E48" i="27"/>
  <c r="U34" i="27"/>
  <c r="F56" i="27"/>
  <c r="Q36" i="27"/>
  <c r="E49" i="27"/>
  <c r="AC61" i="27"/>
  <c r="AK55" i="27"/>
  <c r="Q61" i="27"/>
  <c r="M41" i="27"/>
  <c r="AK14" i="27"/>
  <c r="I51" i="27"/>
  <c r="I22" i="27"/>
  <c r="AK45" i="27"/>
  <c r="U24" i="27"/>
  <c r="M36" i="27"/>
  <c r="AK17" i="27"/>
  <c r="M31" i="27"/>
  <c r="AC16" i="27"/>
  <c r="U40" i="27"/>
  <c r="I18" i="27"/>
  <c r="Z56" i="27"/>
  <c r="I33" i="27"/>
  <c r="AG42" i="27"/>
  <c r="Q25" i="27"/>
  <c r="U57" i="27"/>
  <c r="M12" i="27"/>
  <c r="Z14" i="27"/>
  <c r="I24" i="27"/>
  <c r="I6" i="27"/>
  <c r="AK9" i="27"/>
  <c r="AK18" i="27"/>
  <c r="U54" i="27"/>
  <c r="E6" i="27"/>
  <c r="Y12" i="27"/>
  <c r="M10" i="27"/>
  <c r="M15" i="27"/>
  <c r="U30" i="27"/>
  <c r="U7" i="27"/>
  <c r="F7" i="27"/>
  <c r="Y3" i="27"/>
  <c r="E35" i="27"/>
  <c r="F5" i="27"/>
  <c r="Y58" i="27"/>
  <c r="M27" i="27"/>
  <c r="AC3" i="27"/>
  <c r="M52" i="27"/>
  <c r="U39" i="27"/>
  <c r="M37" i="27"/>
  <c r="I8" i="27"/>
  <c r="AD26" i="27"/>
  <c r="U62" i="27"/>
  <c r="E65" i="27"/>
  <c r="Q50" i="27"/>
  <c r="F63" i="27"/>
  <c r="I49" i="27"/>
  <c r="AC62" i="27"/>
  <c r="Q58" i="27"/>
  <c r="M60" i="27"/>
  <c r="AG56" i="27"/>
  <c r="AK64" i="27"/>
  <c r="M39" i="27"/>
  <c r="AG64" i="27"/>
  <c r="F43" i="27"/>
  <c r="E29" i="27"/>
  <c r="AG45" i="27"/>
  <c r="E34" i="27"/>
  <c r="E54" i="27"/>
  <c r="AC33" i="27"/>
  <c r="AG46" i="27"/>
  <c r="E60" i="27"/>
  <c r="U52" i="27"/>
  <c r="AC58" i="27"/>
  <c r="AK40" i="27"/>
  <c r="U14" i="27"/>
  <c r="U50" i="27"/>
  <c r="AK19" i="27"/>
  <c r="Q42" i="27"/>
  <c r="E24" i="27"/>
  <c r="U35" i="27"/>
  <c r="U17" i="27"/>
  <c r="M29" i="27"/>
  <c r="M16" i="27"/>
  <c r="E38" i="27"/>
  <c r="AK15" i="27"/>
  <c r="AK54" i="27"/>
  <c r="AC31" i="27"/>
  <c r="AG39" i="27"/>
  <c r="AC22" i="27"/>
  <c r="I55" i="27"/>
  <c r="I11" i="27"/>
  <c r="AG12" i="27"/>
  <c r="I21" i="27"/>
  <c r="AK3" i="27"/>
  <c r="R9" i="27"/>
  <c r="AC12" i="27"/>
  <c r="AG48" i="27"/>
  <c r="AD5" i="27"/>
  <c r="U11" i="27"/>
  <c r="AD9" i="27"/>
  <c r="I14" i="27"/>
  <c r="AC27" i="27"/>
  <c r="AC6" i="27"/>
  <c r="U28" i="27"/>
  <c r="U4" i="27"/>
  <c r="AK11" i="27"/>
  <c r="AK7" i="27"/>
  <c r="AC25" i="27"/>
  <c r="E16" i="27"/>
  <c r="AG27" i="27"/>
  <c r="U61" i="27"/>
  <c r="I32" i="27"/>
  <c r="F55" i="27"/>
  <c r="Y20" i="27"/>
  <c r="M26" i="27"/>
  <c r="Y24" i="27"/>
  <c r="E62" i="27"/>
  <c r="AG62" i="27"/>
  <c r="AC47" i="27"/>
  <c r="Y61" i="27"/>
  <c r="AK46" i="27"/>
  <c r="M62" i="27"/>
  <c r="AC55" i="27"/>
  <c r="F59" i="27"/>
  <c r="Q56" i="27"/>
  <c r="M57" i="27"/>
  <c r="AK36" i="27"/>
  <c r="U60" i="27"/>
  <c r="Y42" i="27"/>
  <c r="AG26" i="27"/>
  <c r="E44" i="27"/>
  <c r="AD33" i="27"/>
  <c r="Q53" i="27"/>
  <c r="M33" i="27"/>
  <c r="F45" i="27"/>
  <c r="AG57" i="27"/>
  <c r="AC50" i="27"/>
  <c r="AG51" i="27"/>
  <c r="Y33" i="27"/>
  <c r="E14" i="27"/>
  <c r="M48" i="27"/>
  <c r="U19" i="27"/>
  <c r="I38" i="27"/>
  <c r="AD23" i="27"/>
  <c r="U33" i="27"/>
  <c r="E17" i="27"/>
  <c r="Y28" i="27"/>
  <c r="F15" i="27"/>
  <c r="E37" i="27"/>
  <c r="U15" i="27"/>
  <c r="AG53" i="27"/>
  <c r="AC29" i="27"/>
  <c r="U37" i="27"/>
  <c r="M22" i="27"/>
  <c r="Y53" i="27"/>
  <c r="Y10" i="27"/>
  <c r="E9" i="27"/>
  <c r="E18" i="27"/>
  <c r="U3" i="27"/>
  <c r="Y8" i="27"/>
  <c r="F12" i="27"/>
  <c r="AK33" i="27"/>
  <c r="AG3" i="27"/>
  <c r="U8" i="27"/>
  <c r="M9" i="27"/>
  <c r="AK13" i="27"/>
  <c r="F25" i="27"/>
  <c r="Y5" i="27"/>
  <c r="AC19" i="27"/>
  <c r="E20" i="27"/>
  <c r="E13" i="27"/>
  <c r="Y29" i="27"/>
  <c r="AG28" i="27"/>
  <c r="Y55" i="27"/>
  <c r="AG9" i="27"/>
  <c r="I63" i="27"/>
  <c r="E64" i="27"/>
  <c r="M42" i="27"/>
  <c r="Y11" i="27"/>
  <c r="AG66" i="27"/>
  <c r="AG59" i="27"/>
  <c r="Q62" i="27"/>
  <c r="M47" i="27"/>
  <c r="I61" i="27"/>
  <c r="U46" i="27"/>
  <c r="F61" i="27"/>
  <c r="M55" i="27"/>
  <c r="Y57" i="27"/>
  <c r="AC53" i="27"/>
  <c r="M56" i="27"/>
  <c r="U36" i="27"/>
  <c r="M58" i="27"/>
  <c r="F42" i="27"/>
  <c r="Q26" i="27"/>
  <c r="E43" i="27"/>
  <c r="AG31" i="27"/>
  <c r="M50" i="27"/>
  <c r="F32" i="27"/>
  <c r="U43" i="27"/>
  <c r="Y54" i="27"/>
  <c r="Q48" i="27"/>
  <c r="E50" i="27"/>
  <c r="I28" i="27"/>
  <c r="AD13" i="27"/>
  <c r="Q37" i="27"/>
  <c r="E19" i="27"/>
  <c r="AG34" i="27"/>
  <c r="AG21" i="27"/>
  <c r="E32" i="27"/>
  <c r="AG14" i="27"/>
  <c r="Q27" i="27"/>
  <c r="Y13" i="27"/>
  <c r="AC34" i="27"/>
  <c r="E15" i="27"/>
  <c r="AK49" i="27"/>
  <c r="AC26" i="27"/>
  <c r="F35" i="27"/>
  <c r="F21" i="27"/>
  <c r="M51" i="27"/>
  <c r="F9" i="27"/>
  <c r="AG7" i="27"/>
  <c r="AC15" i="27"/>
  <c r="E3" i="27"/>
  <c r="AG5" i="27"/>
  <c r="Q10" i="27"/>
  <c r="F26" i="27"/>
  <c r="Q3" i="27"/>
  <c r="AC5" i="27"/>
  <c r="AK8" i="27"/>
  <c r="U12" i="27"/>
  <c r="Q20" i="27"/>
  <c r="I3" i="27"/>
  <c r="E33" i="27"/>
  <c r="E4" i="27"/>
  <c r="M61" i="27"/>
  <c r="AG18" i="27"/>
  <c r="F29" i="27"/>
  <c r="AG15" i="27"/>
  <c r="Q66" i="27"/>
  <c r="Q59" i="27"/>
  <c r="AC59" i="27"/>
  <c r="F46" i="27"/>
  <c r="AK58" i="27"/>
  <c r="E46" i="27"/>
  <c r="Y59" i="27"/>
  <c r="F54" i="27"/>
  <c r="I57" i="27"/>
  <c r="M53" i="27"/>
  <c r="M54" i="27"/>
  <c r="E36" i="27"/>
  <c r="AG54" i="27"/>
  <c r="AC39" i="27"/>
  <c r="AK63" i="27"/>
  <c r="E42" i="27"/>
  <c r="Q31" i="27"/>
  <c r="AC49" i="27"/>
  <c r="Y30" i="27"/>
  <c r="U42" i="27"/>
  <c r="AK51" i="27"/>
  <c r="AC46" i="27"/>
  <c r="AK48" i="27"/>
  <c r="E26" i="27"/>
  <c r="AG11" i="27"/>
  <c r="M34" i="27"/>
  <c r="AD18" i="27"/>
  <c r="AG32" i="27"/>
  <c r="Q21" i="27"/>
  <c r="E30" i="27"/>
  <c r="Q14" i="27"/>
  <c r="AK26" i="27"/>
  <c r="I13" i="27"/>
  <c r="AC32" i="27"/>
  <c r="Q45" i="27"/>
  <c r="AC41" i="27"/>
  <c r="AC24" i="27"/>
  <c r="Q34" i="27"/>
  <c r="Y19" i="27"/>
  <c r="Q49" i="27"/>
  <c r="AK5" i="27"/>
  <c r="Q7" i="27"/>
  <c r="Y14" i="27"/>
  <c r="U23" i="27"/>
  <c r="Q5" i="27"/>
  <c r="Q9" i="27"/>
  <c r="I23" i="27"/>
  <c r="AK32" i="27"/>
  <c r="M5" i="27"/>
  <c r="Y7" i="27"/>
  <c r="AC9" i="27"/>
  <c r="AD19" i="27"/>
  <c r="I43" i="27"/>
  <c r="U21" i="27"/>
  <c r="AC51" i="27"/>
  <c r="Q18" i="27"/>
  <c r="I31" i="27"/>
  <c r="I47" i="27"/>
  <c r="AC21" i="27"/>
  <c r="Q30" i="27"/>
  <c r="F6" i="27"/>
  <c r="F17" i="27"/>
  <c r="I66" i="27"/>
  <c r="E57" i="27"/>
  <c r="F50" i="27"/>
  <c r="Q52" i="27"/>
  <c r="AK21" i="27"/>
  <c r="AC63" i="27"/>
  <c r="AC56" i="27"/>
  <c r="M59" i="27"/>
  <c r="Y44" i="27"/>
  <c r="U58" i="27"/>
  <c r="AG43" i="27"/>
  <c r="I59" i="27"/>
  <c r="Y52" i="27"/>
  <c r="AC65" i="27"/>
  <c r="F52" i="27"/>
  <c r="AG49" i="27"/>
  <c r="AG33" i="27"/>
  <c r="I54" i="27"/>
  <c r="Q38" i="27"/>
  <c r="Q60" i="27"/>
  <c r="Y41" i="27"/>
  <c r="AC28" i="27"/>
  <c r="F49" i="27"/>
  <c r="I30" i="27"/>
  <c r="Y39" i="27"/>
  <c r="Q51" i="27"/>
  <c r="I46" i="27"/>
  <c r="AG47" i="27"/>
  <c r="AG23" i="27"/>
  <c r="Q11" i="27"/>
  <c r="M32" i="27"/>
  <c r="AG16" i="27"/>
  <c r="U31" i="27"/>
  <c r="AC18" i="27"/>
  <c r="Z28" i="27"/>
  <c r="AC11" i="27"/>
  <c r="Y25" i="27"/>
  <c r="AK10" i="27"/>
  <c r="AG29" i="27"/>
  <c r="M44" i="27"/>
  <c r="Y38" i="27"/>
  <c r="M24" i="27"/>
  <c r="F33" i="27"/>
  <c r="I19" i="27"/>
  <c r="AK39" i="27"/>
  <c r="U5" i="27"/>
  <c r="Z6" i="27"/>
  <c r="U13" i="27"/>
  <c r="M19" i="27"/>
  <c r="Z4" i="27"/>
  <c r="F8" i="27"/>
  <c r="AD20" i="27"/>
  <c r="AK31" i="27"/>
  <c r="F4" i="27"/>
  <c r="I7" i="27"/>
  <c r="AG6" i="27"/>
  <c r="U18" i="27"/>
  <c r="U22" i="27"/>
  <c r="F36" i="27"/>
  <c r="I26" i="27"/>
  <c r="I15" i="27"/>
  <c r="AG38" i="27"/>
  <c r="Y35" i="27"/>
  <c r="Q39" i="27"/>
  <c r="AG13" i="27"/>
  <c r="U38" i="27"/>
  <c r="M63" i="27"/>
  <c r="AC66" i="27"/>
  <c r="F58" i="27"/>
  <c r="I44" i="27"/>
  <c r="E58" i="27"/>
  <c r="Q43" i="27"/>
  <c r="F66" i="27"/>
  <c r="I52" i="27"/>
  <c r="M65" i="27"/>
  <c r="Y50" i="27"/>
  <c r="M49" i="27"/>
  <c r="Q33" i="27"/>
  <c r="AG52" i="27"/>
  <c r="AC35" i="27"/>
  <c r="F57" i="27"/>
  <c r="F41" i="27"/>
  <c r="M28" i="27"/>
  <c r="M46" i="27"/>
  <c r="AK27" i="27"/>
  <c r="F39" i="27"/>
  <c r="U48" i="27"/>
  <c r="Y45" i="27"/>
  <c r="U45" i="27"/>
  <c r="Q23" i="27"/>
  <c r="Z10" i="27"/>
  <c r="Q29" i="27"/>
  <c r="Q16" i="27"/>
  <c r="AG30" i="27"/>
  <c r="M18" i="27"/>
  <c r="E28" i="27"/>
  <c r="M11" i="27"/>
  <c r="I25" i="27"/>
  <c r="U10" i="27"/>
  <c r="AG24" i="27"/>
  <c r="I42" i="27"/>
  <c r="AD37" i="27"/>
  <c r="F23" i="27"/>
  <c r="Q32" i="27"/>
  <c r="AK16" i="27"/>
  <c r="F31" i="27"/>
  <c r="E5" i="27"/>
  <c r="AC4" i="27"/>
  <c r="Z11" i="27"/>
  <c r="AC17" i="27"/>
  <c r="AK52" i="27"/>
  <c r="AC7" i="27"/>
  <c r="M14" i="27"/>
  <c r="U25" i="27"/>
  <c r="Q40" i="27"/>
  <c r="AK4" i="27"/>
  <c r="Q6" i="27"/>
  <c r="M17" i="27"/>
  <c r="F16" i="27"/>
  <c r="Q4" i="27"/>
  <c r="E7" i="27"/>
  <c r="M6" i="27"/>
  <c r="AK42" i="27"/>
  <c r="U9" i="27"/>
  <c r="U53" i="27"/>
  <c r="I39" i="27"/>
  <c r="U26" i="27"/>
  <c r="F27" i="27"/>
  <c r="AK6" i="27"/>
  <c r="F62" i="27"/>
  <c r="M66" i="27"/>
  <c r="Y56" i="27"/>
  <c r="AK41" i="27"/>
  <c r="AG55" i="27"/>
  <c r="AC40" i="27"/>
  <c r="Y64" i="27"/>
  <c r="AK66" i="27"/>
  <c r="F64" i="27"/>
  <c r="I50" i="27"/>
  <c r="AC48" i="27"/>
  <c r="Z32" i="27"/>
  <c r="Y51" i="27"/>
  <c r="M35" i="27"/>
  <c r="U55" i="27"/>
  <c r="Y40" i="27"/>
  <c r="U64" i="27"/>
  <c r="AC45" i="27"/>
  <c r="Q64" i="27"/>
  <c r="AC38" i="27"/>
  <c r="Q47" i="27"/>
  <c r="AK43" i="27"/>
  <c r="AK44" i="27"/>
  <c r="AC20" i="27"/>
  <c r="AC8" i="27"/>
  <c r="U27" i="27"/>
  <c r="AC13" i="27"/>
  <c r="F30" i="27"/>
  <c r="I48" i="27"/>
  <c r="AC23" i="27"/>
  <c r="F10" i="27"/>
  <c r="AK22" i="27"/>
  <c r="E10" i="27"/>
  <c r="Q24" i="27"/>
  <c r="E39" i="27"/>
  <c r="AC36" i="27"/>
  <c r="Y21" i="27"/>
  <c r="E31" i="27"/>
  <c r="U16" i="27"/>
  <c r="I29" i="27"/>
  <c r="Y36" i="27"/>
  <c r="M4" i="27"/>
  <c r="F11" i="27"/>
  <c r="Y16" i="27"/>
  <c r="AC37" i="27"/>
  <c r="M7" i="27"/>
  <c r="E12" i="27"/>
  <c r="U20" i="27"/>
  <c r="AK30" i="27"/>
  <c r="AG35" i="27"/>
  <c r="Z5" i="27"/>
  <c r="I16" i="27"/>
  <c r="I10" i="27"/>
  <c r="AK23" i="27"/>
  <c r="AC14" i="27"/>
  <c r="Y9" i="27"/>
  <c r="M43" i="27"/>
  <c r="F3" i="27"/>
  <c r="I9" i="27"/>
  <c r="E47" i="27"/>
  <c r="AC44" i="27"/>
  <c r="E56" i="27"/>
  <c r="F24" i="27"/>
  <c r="I35" i="27"/>
  <c r="I4" i="27"/>
  <c r="AG8" i="27"/>
  <c r="Y60" i="27"/>
  <c r="F65" i="27"/>
  <c r="I56" i="27"/>
  <c r="U41" i="27"/>
  <c r="Q55" i="27"/>
  <c r="M40" i="27"/>
  <c r="I64" i="27"/>
  <c r="U66" i="27"/>
  <c r="Y62" i="27"/>
  <c r="AK47" i="27"/>
  <c r="Y47" i="27"/>
  <c r="AC30" i="27"/>
  <c r="F48" i="27"/>
  <c r="F34" i="27"/>
  <c r="E52" i="27"/>
  <c r="F40" i="27"/>
  <c r="I58" i="27"/>
  <c r="I45" i="27"/>
  <c r="AG61" i="27"/>
  <c r="M38" i="27"/>
  <c r="E45" i="27"/>
  <c r="M20" i="27"/>
  <c r="M23" i="27"/>
  <c r="F47" i="27"/>
  <c r="AK38" i="27"/>
  <c r="Y26" i="27"/>
  <c r="U32" i="27"/>
  <c r="AG63" i="27"/>
  <c r="I37" i="27"/>
  <c r="E55" i="27"/>
  <c r="I36" i="27"/>
  <c r="E21" i="27"/>
  <c r="AK60" i="27"/>
  <c r="I60" i="27"/>
  <c r="Y63" i="27"/>
  <c r="AK53" i="27"/>
  <c r="E41" i="27"/>
  <c r="AC52" i="27"/>
  <c r="Y66" i="27"/>
  <c r="AK61" i="27"/>
  <c r="E66" i="27"/>
  <c r="I62" i="27"/>
  <c r="U47" i="27"/>
  <c r="M45" i="27"/>
  <c r="M30" i="27"/>
  <c r="Q46" i="27"/>
  <c r="Y32" i="27"/>
  <c r="U51" i="27"/>
  <c r="Y37" i="27"/>
  <c r="AK57" i="27"/>
  <c r="E40" i="27"/>
  <c r="F60" i="27"/>
  <c r="F37" i="27"/>
  <c r="U44" i="27"/>
  <c r="Q41" i="27"/>
  <c r="AG60" i="27"/>
  <c r="F19" i="27"/>
  <c r="Q57" i="27"/>
  <c r="M25" i="27"/>
  <c r="E51" i="27"/>
  <c r="F28" i="27"/>
  <c r="AG40" i="27"/>
  <c r="F22" i="27"/>
  <c r="F38" i="27"/>
  <c r="E22" i="27"/>
  <c r="AC43" i="27"/>
  <c r="M21" i="27"/>
  <c r="AG37" i="27"/>
  <c r="AK35" i="27"/>
  <c r="Q54" i="27"/>
  <c r="Q28" i="27"/>
  <c r="AD15" i="27"/>
  <c r="AG17" i="27"/>
  <c r="Y23" i="27"/>
  <c r="E27" i="27"/>
  <c r="Z8" i="27"/>
  <c r="I12" i="27"/>
  <c r="AG22" i="27"/>
  <c r="Y4" i="27"/>
  <c r="E8" i="27"/>
  <c r="Q17" i="27"/>
  <c r="E23" i="27"/>
  <c r="AK28" i="27"/>
  <c r="M3" i="27"/>
  <c r="F14" i="27"/>
  <c r="AG4" i="27"/>
  <c r="F13" i="27"/>
  <c r="AC10" i="27"/>
  <c r="AC42" i="27"/>
  <c r="F20" i="27"/>
  <c r="Q15" i="27"/>
  <c r="Y65" i="27"/>
  <c r="F68" i="10" l="1"/>
  <c r="G68" i="10" s="1"/>
  <c r="J68" i="10" s="1"/>
  <c r="F52" i="10"/>
  <c r="G52" i="10" s="1"/>
  <c r="H13" i="27"/>
  <c r="H35" i="27"/>
  <c r="AF10" i="27"/>
  <c r="H7" i="27"/>
  <c r="H4" i="27"/>
  <c r="H20" i="27"/>
  <c r="Y67" i="27"/>
  <c r="H25" i="27"/>
  <c r="H33" i="27"/>
  <c r="AF19" i="27"/>
  <c r="I67" i="27"/>
  <c r="AB5" i="27"/>
  <c r="AF6" i="27"/>
  <c r="M67" i="27"/>
  <c r="AC67" i="27"/>
  <c r="AF9" i="27"/>
  <c r="H23" i="27"/>
  <c r="AF5" i="27"/>
  <c r="Q67" i="27"/>
  <c r="AG67" i="27"/>
  <c r="H6" i="27"/>
  <c r="H8" i="27"/>
  <c r="H12" i="27"/>
  <c r="AB4" i="27"/>
  <c r="T9" i="27"/>
  <c r="H21" i="27"/>
  <c r="AF37" i="27"/>
  <c r="AB8" i="27"/>
  <c r="H11" i="27"/>
  <c r="AB11" i="27"/>
  <c r="E67" i="27"/>
  <c r="H3" i="27"/>
  <c r="U67" i="27"/>
  <c r="AK67" i="27"/>
  <c r="AB6" i="27"/>
  <c r="AB14" i="27"/>
  <c r="AF15" i="27"/>
  <c r="H18" i="27"/>
  <c r="H27" i="27"/>
  <c r="F67" i="27"/>
  <c r="H9" i="27"/>
  <c r="H5" i="27"/>
  <c r="AB10" i="27"/>
  <c r="H16" i="27"/>
  <c r="H31" i="27"/>
  <c r="AF24" i="27"/>
  <c r="AF26" i="27"/>
  <c r="H39" i="27"/>
  <c r="H15" i="27"/>
  <c r="H37" i="27"/>
  <c r="H38" i="27"/>
  <c r="H10" i="27"/>
  <c r="H22" i="27"/>
  <c r="AB28" i="27"/>
  <c r="H17" i="27"/>
  <c r="AF23" i="27"/>
  <c r="H28" i="27"/>
  <c r="H30" i="27"/>
  <c r="H32" i="27"/>
  <c r="AF18" i="27"/>
  <c r="H24" i="27"/>
  <c r="H51" i="27"/>
  <c r="AF13" i="27"/>
  <c r="H19" i="27"/>
  <c r="H55" i="27"/>
  <c r="H14" i="27"/>
  <c r="AF20" i="27"/>
  <c r="H26" i="27"/>
  <c r="H50" i="27"/>
  <c r="H63" i="27"/>
  <c r="H64" i="27"/>
  <c r="H45" i="27"/>
  <c r="H60" i="27"/>
  <c r="H49" i="27"/>
  <c r="H56" i="27"/>
  <c r="AF33" i="27"/>
  <c r="H40" i="27"/>
  <c r="H54" i="27"/>
  <c r="H57" i="27"/>
  <c r="H34" i="27"/>
  <c r="H42" i="27"/>
  <c r="H43" i="27"/>
  <c r="H44" i="27"/>
  <c r="H48" i="27"/>
  <c r="H52" i="27"/>
  <c r="H29" i="27"/>
  <c r="AB32" i="27"/>
  <c r="H36" i="27"/>
  <c r="H47" i="27"/>
  <c r="H59" i="27"/>
  <c r="H66" i="27"/>
  <c r="H61" i="27"/>
  <c r="H46" i="27"/>
  <c r="H58" i="27"/>
  <c r="H41" i="27"/>
  <c r="H53" i="27"/>
  <c r="AB56" i="27"/>
  <c r="H65" i="27"/>
  <c r="H62" i="27"/>
  <c r="J22" i="2"/>
  <c r="S22" i="2" s="1"/>
  <c r="J19" i="4"/>
  <c r="J52" i="2"/>
  <c r="J15" i="4"/>
  <c r="J55" i="2"/>
  <c r="J55" i="4"/>
  <c r="J9" i="2"/>
  <c r="J30" i="2"/>
  <c r="S30" i="2" s="1"/>
  <c r="J8" i="4"/>
  <c r="J34" i="2"/>
  <c r="S34" i="2" s="1"/>
  <c r="J24" i="4"/>
  <c r="J32" i="4"/>
  <c r="J36" i="4"/>
  <c r="I67" i="4"/>
  <c r="I63" i="4"/>
  <c r="I64" i="4"/>
  <c r="I61" i="4"/>
  <c r="I54" i="4"/>
  <c r="I47" i="4"/>
  <c r="J47" i="4" s="1"/>
  <c r="I43" i="4"/>
  <c r="I39" i="4"/>
  <c r="I35" i="4"/>
  <c r="I31" i="4"/>
  <c r="I42" i="4"/>
  <c r="I69" i="4"/>
  <c r="I58" i="4"/>
  <c r="I55" i="4"/>
  <c r="I49" i="4"/>
  <c r="I33" i="4"/>
  <c r="I40" i="4"/>
  <c r="I27" i="4"/>
  <c r="I23" i="4"/>
  <c r="I19" i="4"/>
  <c r="I15" i="4"/>
  <c r="I11" i="4"/>
  <c r="I6" i="4"/>
  <c r="I37" i="4"/>
  <c r="J37" i="4" s="1"/>
  <c r="T8" i="4"/>
  <c r="T9" i="4" s="1"/>
  <c r="J12" i="4" s="1"/>
  <c r="I65" i="4"/>
  <c r="I41" i="4"/>
  <c r="I68" i="4"/>
  <c r="I57" i="4"/>
  <c r="I51" i="4"/>
  <c r="I48" i="4"/>
  <c r="I32" i="4"/>
  <c r="I25" i="4"/>
  <c r="I21" i="4"/>
  <c r="I17" i="4"/>
  <c r="I13" i="4"/>
  <c r="I3" i="4"/>
  <c r="I59" i="4"/>
  <c r="I52" i="4"/>
  <c r="I28" i="4"/>
  <c r="I26" i="4"/>
  <c r="I24" i="4"/>
  <c r="I22" i="4"/>
  <c r="I20" i="4"/>
  <c r="I18" i="4"/>
  <c r="J18" i="4" s="1"/>
  <c r="I16" i="4"/>
  <c r="J16" i="4" s="1"/>
  <c r="I14" i="4"/>
  <c r="J14" i="4" s="1"/>
  <c r="I12" i="4"/>
  <c r="I10" i="4"/>
  <c r="I44" i="4"/>
  <c r="I30" i="4"/>
  <c r="I8" i="4"/>
  <c r="I46" i="4"/>
  <c r="I66" i="4"/>
  <c r="I56" i="4"/>
  <c r="I53" i="4"/>
  <c r="I29" i="4"/>
  <c r="J29" i="4" s="1"/>
  <c r="I9" i="4"/>
  <c r="J9" i="4" s="1"/>
  <c r="I45" i="4"/>
  <c r="J45" i="4" s="1"/>
  <c r="I5" i="4"/>
  <c r="I50" i="4"/>
  <c r="I38" i="4"/>
  <c r="I4" i="4"/>
  <c r="I60" i="4"/>
  <c r="I36" i="4"/>
  <c r="I7" i="4"/>
  <c r="I62" i="4"/>
  <c r="J41" i="4"/>
  <c r="J20" i="4"/>
  <c r="D70" i="4"/>
  <c r="E6" i="4"/>
  <c r="J33" i="4"/>
  <c r="J49" i="4"/>
  <c r="J28" i="4"/>
  <c r="J68" i="2"/>
  <c r="S68" i="2" s="1"/>
  <c r="J46" i="4"/>
  <c r="I34" i="4"/>
  <c r="J34" i="4" s="1"/>
  <c r="J60" i="2"/>
  <c r="S60" i="2" s="1"/>
  <c r="J54" i="4"/>
  <c r="J65" i="4"/>
  <c r="J26" i="2"/>
  <c r="S26" i="2" s="1"/>
  <c r="D70" i="2"/>
  <c r="E7" i="2"/>
  <c r="E70" i="2" s="1"/>
  <c r="J7" i="4"/>
  <c r="J58" i="4"/>
  <c r="F17" i="2"/>
  <c r="G17" i="2" s="1"/>
  <c r="F50" i="2"/>
  <c r="G50" i="2" s="1"/>
  <c r="J26" i="8"/>
  <c r="F7" i="2"/>
  <c r="G7" i="2" s="1"/>
  <c r="J7" i="2" s="1"/>
  <c r="I8" i="2"/>
  <c r="K9" i="2"/>
  <c r="F12" i="2"/>
  <c r="G12" i="2" s="1"/>
  <c r="J12" i="2" s="1"/>
  <c r="I22" i="2"/>
  <c r="I26" i="2"/>
  <c r="I30" i="2"/>
  <c r="I34" i="2"/>
  <c r="F39" i="2"/>
  <c r="G39" i="2" s="1"/>
  <c r="J39" i="2" s="1"/>
  <c r="F47" i="2"/>
  <c r="G47" i="2" s="1"/>
  <c r="J47" i="2" s="1"/>
  <c r="J21" i="6"/>
  <c r="F66" i="2"/>
  <c r="G66" i="2" s="1"/>
  <c r="J66" i="2" s="1"/>
  <c r="S66" i="2" s="1"/>
  <c r="F62" i="2"/>
  <c r="G62" i="2" s="1"/>
  <c r="J62" i="2" s="1"/>
  <c r="J67" i="4"/>
  <c r="F42" i="2"/>
  <c r="G42" i="2" s="1"/>
  <c r="F58" i="2"/>
  <c r="G58" i="2" s="1"/>
  <c r="J58" i="2" s="1"/>
  <c r="S58" i="2" s="1"/>
  <c r="F63" i="2"/>
  <c r="G63" i="2" s="1"/>
  <c r="J63" i="2" s="1"/>
  <c r="S63" i="2" s="1"/>
  <c r="J60" i="4"/>
  <c r="J16" i="8"/>
  <c r="D70" i="10"/>
  <c r="E6" i="10"/>
  <c r="K13" i="2"/>
  <c r="F16" i="2"/>
  <c r="G16" i="2" s="1"/>
  <c r="J16" i="2" s="1"/>
  <c r="S16" i="2" s="1"/>
  <c r="I17" i="2"/>
  <c r="K18" i="2"/>
  <c r="F21" i="2"/>
  <c r="G21" i="2" s="1"/>
  <c r="J21" i="2" s="1"/>
  <c r="S21" i="2" s="1"/>
  <c r="F25" i="2"/>
  <c r="G25" i="2" s="1"/>
  <c r="J25" i="2" s="1"/>
  <c r="S25" i="2" s="1"/>
  <c r="F29" i="2"/>
  <c r="G29" i="2" s="1"/>
  <c r="J29" i="2" s="1"/>
  <c r="S29" i="2" s="1"/>
  <c r="F33" i="2"/>
  <c r="G33" i="2" s="1"/>
  <c r="J33" i="2" s="1"/>
  <c r="S33" i="2" s="1"/>
  <c r="K37" i="2"/>
  <c r="K45" i="2"/>
  <c r="K53" i="2"/>
  <c r="K61" i="2"/>
  <c r="F65" i="2"/>
  <c r="G65" i="2" s="1"/>
  <c r="J65" i="2" s="1"/>
  <c r="K68" i="2"/>
  <c r="J53" i="4"/>
  <c r="J57" i="6"/>
  <c r="J25" i="6"/>
  <c r="J27" i="6"/>
  <c r="J37" i="6"/>
  <c r="J6" i="8"/>
  <c r="J20" i="8"/>
  <c r="J48" i="8"/>
  <c r="J21" i="10"/>
  <c r="F41" i="2"/>
  <c r="G41" i="2" s="1"/>
  <c r="J41" i="2" s="1"/>
  <c r="F57" i="2"/>
  <c r="G57" i="2" s="1"/>
  <c r="J57" i="2" s="1"/>
  <c r="S57" i="2" s="1"/>
  <c r="K7" i="2"/>
  <c r="K12" i="2"/>
  <c r="F15" i="2"/>
  <c r="G15" i="2" s="1"/>
  <c r="F20" i="2"/>
  <c r="G20" i="2" s="1"/>
  <c r="F24" i="2"/>
  <c r="G24" i="2" s="1"/>
  <c r="F28" i="2"/>
  <c r="G28" i="2" s="1"/>
  <c r="F32" i="2"/>
  <c r="G32" i="2" s="1"/>
  <c r="K39" i="2"/>
  <c r="K47" i="2"/>
  <c r="K55" i="2"/>
  <c r="J66" i="4"/>
  <c r="J24" i="8"/>
  <c r="R24" i="8" s="1"/>
  <c r="J48" i="10"/>
  <c r="F6" i="2"/>
  <c r="F11" i="2"/>
  <c r="G11" i="2" s="1"/>
  <c r="J11" i="2" s="1"/>
  <c r="K16" i="2"/>
  <c r="K21" i="2"/>
  <c r="K25" i="2"/>
  <c r="K29" i="2"/>
  <c r="K33" i="2"/>
  <c r="K36" i="2"/>
  <c r="F38" i="2"/>
  <c r="G38" i="2" s="1"/>
  <c r="J38" i="2" s="1"/>
  <c r="S38" i="2" s="1"/>
  <c r="K44" i="2"/>
  <c r="F46" i="2"/>
  <c r="G46" i="2" s="1"/>
  <c r="J46" i="2" s="1"/>
  <c r="S46" i="2" s="1"/>
  <c r="K52" i="2"/>
  <c r="F54" i="2"/>
  <c r="G54" i="2" s="1"/>
  <c r="K60" i="2"/>
  <c r="K65" i="2"/>
  <c r="F69" i="2"/>
  <c r="G69" i="2" s="1"/>
  <c r="J30" i="4"/>
  <c r="J61" i="4"/>
  <c r="J64" i="8"/>
  <c r="R60" i="8"/>
  <c r="F49" i="2"/>
  <c r="G49" i="2" s="1"/>
  <c r="J49" i="2" s="1"/>
  <c r="S49" i="2" s="1"/>
  <c r="F67" i="2"/>
  <c r="G67" i="2" s="1"/>
  <c r="J67" i="2" s="1"/>
  <c r="I68" i="2"/>
  <c r="I64" i="2"/>
  <c r="I60" i="2"/>
  <c r="I56" i="2"/>
  <c r="I52" i="2"/>
  <c r="I48" i="2"/>
  <c r="J48" i="2" s="1"/>
  <c r="S48" i="2" s="1"/>
  <c r="I44" i="2"/>
  <c r="J44" i="2" s="1"/>
  <c r="S44" i="2" s="1"/>
  <c r="I40" i="2"/>
  <c r="J40" i="2" s="1"/>
  <c r="S40" i="2" s="1"/>
  <c r="I36" i="2"/>
  <c r="J36" i="2" s="1"/>
  <c r="S36" i="2" s="1"/>
  <c r="I66" i="2"/>
  <c r="I62" i="2"/>
  <c r="I58" i="2"/>
  <c r="I54" i="2"/>
  <c r="I50" i="2"/>
  <c r="I46" i="2"/>
  <c r="I42" i="2"/>
  <c r="I38" i="2"/>
  <c r="F10" i="2"/>
  <c r="G10" i="2" s="1"/>
  <c r="J10" i="2" s="1"/>
  <c r="S10" i="2" s="1"/>
  <c r="F14" i="2"/>
  <c r="G14" i="2" s="1"/>
  <c r="J14" i="2" s="1"/>
  <c r="S14" i="2" s="1"/>
  <c r="I15" i="2"/>
  <c r="I20" i="2"/>
  <c r="I24" i="2"/>
  <c r="I28" i="2"/>
  <c r="I32" i="2"/>
  <c r="F35" i="2"/>
  <c r="G35" i="2" s="1"/>
  <c r="J35" i="2" s="1"/>
  <c r="S35" i="2" s="1"/>
  <c r="F43" i="2"/>
  <c r="G43" i="2" s="1"/>
  <c r="J43" i="2" s="1"/>
  <c r="S43" i="2" s="1"/>
  <c r="F51" i="2"/>
  <c r="G51" i="2" s="1"/>
  <c r="J51" i="2" s="1"/>
  <c r="S51" i="2" s="1"/>
  <c r="F59" i="2"/>
  <c r="G59" i="2" s="1"/>
  <c r="J59" i="2" s="1"/>
  <c r="S59" i="2" s="1"/>
  <c r="F64" i="2"/>
  <c r="G64" i="2" s="1"/>
  <c r="J64" i="2" s="1"/>
  <c r="S64" i="2" s="1"/>
  <c r="K67" i="2"/>
  <c r="J17" i="6"/>
  <c r="J65" i="6"/>
  <c r="J14" i="8"/>
  <c r="K6" i="2"/>
  <c r="K11" i="2"/>
  <c r="F19" i="2"/>
  <c r="G19" i="2" s="1"/>
  <c r="J19" i="2" s="1"/>
  <c r="S19" i="2" s="1"/>
  <c r="F23" i="2"/>
  <c r="G23" i="2" s="1"/>
  <c r="J23" i="2" s="1"/>
  <c r="S23" i="2" s="1"/>
  <c r="F27" i="2"/>
  <c r="G27" i="2" s="1"/>
  <c r="J27" i="2" s="1"/>
  <c r="S27" i="2" s="1"/>
  <c r="F31" i="2"/>
  <c r="G31" i="2" s="1"/>
  <c r="J31" i="2" s="1"/>
  <c r="S31" i="2" s="1"/>
  <c r="K41" i="2"/>
  <c r="K49" i="2"/>
  <c r="K57" i="2"/>
  <c r="K62" i="2"/>
  <c r="I69" i="2"/>
  <c r="J10" i="4"/>
  <c r="J22" i="4"/>
  <c r="J26" i="4"/>
  <c r="J52" i="4"/>
  <c r="J59" i="4"/>
  <c r="J14" i="6"/>
  <c r="J35" i="6"/>
  <c r="J11" i="8"/>
  <c r="R11" i="8" s="1"/>
  <c r="J28" i="8"/>
  <c r="R28" i="8" s="1"/>
  <c r="F56" i="2"/>
  <c r="G56" i="2" s="1"/>
  <c r="J56" i="2" s="1"/>
  <c r="S56" i="2" s="1"/>
  <c r="F13" i="2"/>
  <c r="G13" i="2" s="1"/>
  <c r="J13" i="2" s="1"/>
  <c r="S13" i="2" s="1"/>
  <c r="F18" i="2"/>
  <c r="G18" i="2" s="1"/>
  <c r="J18" i="2" s="1"/>
  <c r="S18" i="2" s="1"/>
  <c r="F37" i="2"/>
  <c r="G37" i="2" s="1"/>
  <c r="J37" i="2" s="1"/>
  <c r="S37" i="2" s="1"/>
  <c r="F45" i="2"/>
  <c r="G45" i="2" s="1"/>
  <c r="J45" i="2" s="1"/>
  <c r="S45" i="2" s="1"/>
  <c r="F53" i="2"/>
  <c r="G53" i="2" s="1"/>
  <c r="J53" i="2" s="1"/>
  <c r="S53" i="2" s="1"/>
  <c r="F61" i="2"/>
  <c r="G61" i="2" s="1"/>
  <c r="J61" i="2" s="1"/>
  <c r="S61" i="2" s="1"/>
  <c r="K64" i="2"/>
  <c r="J38" i="4"/>
  <c r="J32" i="8"/>
  <c r="R32" i="8" s="1"/>
  <c r="J44" i="8"/>
  <c r="R44" i="8" s="1"/>
  <c r="D70" i="6"/>
  <c r="K66" i="8"/>
  <c r="K62" i="8"/>
  <c r="K58" i="8"/>
  <c r="K54" i="8"/>
  <c r="K50" i="8"/>
  <c r="R50" i="8" s="1"/>
  <c r="K46" i="8"/>
  <c r="K42" i="8"/>
  <c r="K38" i="8"/>
  <c r="K34" i="8"/>
  <c r="K30" i="8"/>
  <c r="K26" i="8"/>
  <c r="K22" i="8"/>
  <c r="R22" i="8" s="1"/>
  <c r="K18" i="8"/>
  <c r="K9" i="8"/>
  <c r="K67" i="8"/>
  <c r="K63" i="8"/>
  <c r="K59" i="8"/>
  <c r="K55" i="8"/>
  <c r="K51" i="8"/>
  <c r="K47" i="8"/>
  <c r="K43" i="8"/>
  <c r="K39" i="8"/>
  <c r="K35" i="8"/>
  <c r="K31" i="8"/>
  <c r="K27" i="8"/>
  <c r="K23" i="8"/>
  <c r="K19" i="8"/>
  <c r="K10" i="8"/>
  <c r="K15" i="8"/>
  <c r="K68" i="8"/>
  <c r="K64" i="8"/>
  <c r="K60" i="8"/>
  <c r="K56" i="8"/>
  <c r="K52" i="8"/>
  <c r="K48" i="8"/>
  <c r="K44" i="8"/>
  <c r="K40" i="8"/>
  <c r="K36" i="8"/>
  <c r="K32" i="8"/>
  <c r="K28" i="8"/>
  <c r="K24" i="8"/>
  <c r="K20" i="8"/>
  <c r="K11" i="8"/>
  <c r="K6" i="8"/>
  <c r="K61" i="8"/>
  <c r="K13" i="8"/>
  <c r="K21" i="8"/>
  <c r="K25" i="8"/>
  <c r="K17" i="8"/>
  <c r="K7" i="8"/>
  <c r="K65" i="8"/>
  <c r="K29" i="8"/>
  <c r="K33" i="8"/>
  <c r="K69" i="8"/>
  <c r="K41" i="8"/>
  <c r="K45" i="8"/>
  <c r="K16" i="8"/>
  <c r="K14" i="8"/>
  <c r="K8" i="8"/>
  <c r="K49" i="8"/>
  <c r="J30" i="8"/>
  <c r="K57" i="8"/>
  <c r="E70" i="8"/>
  <c r="J38" i="8"/>
  <c r="R38" i="8" s="1"/>
  <c r="J27" i="16"/>
  <c r="E70" i="6"/>
  <c r="F70" i="6" s="1"/>
  <c r="J42" i="8"/>
  <c r="J36" i="8"/>
  <c r="R36" i="8" s="1"/>
  <c r="J56" i="8"/>
  <c r="J68" i="8"/>
  <c r="R68" i="8" s="1"/>
  <c r="J44" i="10"/>
  <c r="J47" i="6"/>
  <c r="J46" i="8"/>
  <c r="J54" i="8"/>
  <c r="R54" i="8" s="1"/>
  <c r="J62" i="8"/>
  <c r="R62" i="8" s="1"/>
  <c r="J56" i="10"/>
  <c r="J10" i="8"/>
  <c r="R10" i="8" s="1"/>
  <c r="J59" i="8"/>
  <c r="R59" i="8" s="1"/>
  <c r="J18" i="12"/>
  <c r="R18" i="12" s="1"/>
  <c r="J41" i="6"/>
  <c r="J45" i="6"/>
  <c r="J40" i="8"/>
  <c r="R40" i="8" s="1"/>
  <c r="J52" i="8"/>
  <c r="J11" i="10"/>
  <c r="R33" i="12"/>
  <c r="F48" i="4"/>
  <c r="G48" i="4" s="1"/>
  <c r="J48" i="4" s="1"/>
  <c r="F51" i="4"/>
  <c r="G51" i="4" s="1"/>
  <c r="J51" i="4" s="1"/>
  <c r="F63" i="4"/>
  <c r="G63" i="4" s="1"/>
  <c r="J63" i="4" s="1"/>
  <c r="F68" i="4"/>
  <c r="G68" i="4" s="1"/>
  <c r="J68" i="4" s="1"/>
  <c r="J31" i="16"/>
  <c r="J61" i="16"/>
  <c r="D70" i="20"/>
  <c r="E6" i="20"/>
  <c r="E70" i="20" s="1"/>
  <c r="J53" i="12"/>
  <c r="J58" i="8"/>
  <c r="R58" i="8" s="1"/>
  <c r="J6" i="12"/>
  <c r="R26" i="12"/>
  <c r="J8" i="16"/>
  <c r="F69" i="8"/>
  <c r="G69" i="8" s="1"/>
  <c r="J69" i="8" s="1"/>
  <c r="R69" i="8" s="1"/>
  <c r="F56" i="6"/>
  <c r="G56" i="6" s="1"/>
  <c r="J56" i="6" s="1"/>
  <c r="I59" i="6"/>
  <c r="J59" i="6" s="1"/>
  <c r="F61" i="6"/>
  <c r="G61" i="6" s="1"/>
  <c r="J61" i="6" s="1"/>
  <c r="I64" i="6"/>
  <c r="J64" i="6" s="1"/>
  <c r="F15" i="6"/>
  <c r="G15" i="6" s="1"/>
  <c r="J15" i="6" s="1"/>
  <c r="F18" i="6"/>
  <c r="G18" i="6" s="1"/>
  <c r="F28" i="6"/>
  <c r="G28" i="6" s="1"/>
  <c r="J28" i="6" s="1"/>
  <c r="I31" i="6"/>
  <c r="J31" i="6" s="1"/>
  <c r="F33" i="6"/>
  <c r="G33" i="6" s="1"/>
  <c r="J33" i="6" s="1"/>
  <c r="I36" i="6"/>
  <c r="I70" i="6" s="1"/>
  <c r="F51" i="6"/>
  <c r="G51" i="6" s="1"/>
  <c r="I66" i="6"/>
  <c r="I62" i="6"/>
  <c r="I58" i="6"/>
  <c r="I54" i="6"/>
  <c r="I50" i="6"/>
  <c r="I46" i="6"/>
  <c r="I42" i="6"/>
  <c r="I38" i="6"/>
  <c r="I34" i="6"/>
  <c r="I30" i="6"/>
  <c r="I26" i="6"/>
  <c r="I22" i="6"/>
  <c r="I14" i="6"/>
  <c r="F9" i="6"/>
  <c r="G9" i="6" s="1"/>
  <c r="J9" i="6" s="1"/>
  <c r="F12" i="6"/>
  <c r="G12" i="6" s="1"/>
  <c r="J12" i="6" s="1"/>
  <c r="I18" i="6"/>
  <c r="F23" i="6"/>
  <c r="G23" i="6" s="1"/>
  <c r="J23" i="6" s="1"/>
  <c r="F48" i="6"/>
  <c r="G48" i="6" s="1"/>
  <c r="J48" i="6" s="1"/>
  <c r="I51" i="6"/>
  <c r="I56" i="6"/>
  <c r="I61" i="6"/>
  <c r="J43" i="6"/>
  <c r="F69" i="6"/>
  <c r="G69" i="6" s="1"/>
  <c r="J69" i="6" s="1"/>
  <c r="F66" i="6"/>
  <c r="G66" i="6" s="1"/>
  <c r="J66" i="6" s="1"/>
  <c r="F62" i="6"/>
  <c r="G62" i="6" s="1"/>
  <c r="J62" i="6" s="1"/>
  <c r="F58" i="6"/>
  <c r="G58" i="6" s="1"/>
  <c r="J58" i="6" s="1"/>
  <c r="F54" i="6"/>
  <c r="G54" i="6" s="1"/>
  <c r="F50" i="6"/>
  <c r="G50" i="6" s="1"/>
  <c r="F46" i="6"/>
  <c r="G46" i="6" s="1"/>
  <c r="F42" i="6"/>
  <c r="G42" i="6" s="1"/>
  <c r="F38" i="6"/>
  <c r="G38" i="6" s="1"/>
  <c r="F34" i="6"/>
  <c r="G34" i="6" s="1"/>
  <c r="J34" i="6" s="1"/>
  <c r="F30" i="6"/>
  <c r="G30" i="6" s="1"/>
  <c r="J30" i="6" s="1"/>
  <c r="F26" i="6"/>
  <c r="G26" i="6" s="1"/>
  <c r="J26" i="6" s="1"/>
  <c r="F22" i="6"/>
  <c r="G22" i="6" s="1"/>
  <c r="J22" i="6" s="1"/>
  <c r="D70" i="8"/>
  <c r="J34" i="8"/>
  <c r="J66" i="8"/>
  <c r="R66" i="8" s="1"/>
  <c r="F57" i="10"/>
  <c r="G57" i="10" s="1"/>
  <c r="J57" i="10" s="1"/>
  <c r="F61" i="10"/>
  <c r="G61" i="10" s="1"/>
  <c r="J61" i="10" s="1"/>
  <c r="F65" i="10"/>
  <c r="G65" i="10" s="1"/>
  <c r="J65" i="10" s="1"/>
  <c r="J51" i="12"/>
  <c r="R51" i="12" s="1"/>
  <c r="R35" i="14"/>
  <c r="J56" i="14"/>
  <c r="I68" i="18"/>
  <c r="I64" i="18"/>
  <c r="I60" i="18"/>
  <c r="I56" i="18"/>
  <c r="I52" i="18"/>
  <c r="I48" i="18"/>
  <c r="I44" i="18"/>
  <c r="I40" i="18"/>
  <c r="I36" i="18"/>
  <c r="I32" i="18"/>
  <c r="I28" i="18"/>
  <c r="I24" i="18"/>
  <c r="I15" i="18"/>
  <c r="I3" i="18"/>
  <c r="I69" i="18"/>
  <c r="I65" i="18"/>
  <c r="I61" i="18"/>
  <c r="I57" i="18"/>
  <c r="I53" i="18"/>
  <c r="I49" i="18"/>
  <c r="I45" i="18"/>
  <c r="J45" i="18" s="1"/>
  <c r="R45" i="18" s="1"/>
  <c r="I41" i="18"/>
  <c r="I37" i="18"/>
  <c r="I33" i="18"/>
  <c r="I29" i="18"/>
  <c r="I25" i="18"/>
  <c r="I21" i="18"/>
  <c r="I39" i="18"/>
  <c r="I27" i="18"/>
  <c r="T8" i="18"/>
  <c r="T9" i="18" s="1"/>
  <c r="J41" i="18" s="1"/>
  <c r="R41" i="18" s="1"/>
  <c r="I20" i="18"/>
  <c r="I17" i="18"/>
  <c r="I14" i="18"/>
  <c r="I7" i="18"/>
  <c r="I51" i="18"/>
  <c r="I42" i="18"/>
  <c r="I30" i="18"/>
  <c r="I62" i="18"/>
  <c r="I58" i="18"/>
  <c r="I11" i="18"/>
  <c r="I66" i="18"/>
  <c r="I35" i="18"/>
  <c r="I23" i="18"/>
  <c r="I8" i="18"/>
  <c r="I38" i="18"/>
  <c r="I26" i="18"/>
  <c r="I18" i="18"/>
  <c r="I4" i="18"/>
  <c r="I50" i="18"/>
  <c r="I43" i="18"/>
  <c r="I54" i="18"/>
  <c r="I59" i="18"/>
  <c r="I13" i="18"/>
  <c r="I9" i="18"/>
  <c r="I46" i="18"/>
  <c r="I67" i="18"/>
  <c r="I19" i="18"/>
  <c r="I6" i="18"/>
  <c r="I12" i="18"/>
  <c r="I10" i="18"/>
  <c r="I22" i="18"/>
  <c r="I16" i="18"/>
  <c r="I5" i="18"/>
  <c r="I31" i="18"/>
  <c r="J57" i="20"/>
  <c r="R57" i="20" s="1"/>
  <c r="J55" i="12"/>
  <c r="R55" i="12" s="1"/>
  <c r="J67" i="12"/>
  <c r="J62" i="14"/>
  <c r="R62" i="14" s="1"/>
  <c r="I47" i="18"/>
  <c r="J56" i="18"/>
  <c r="R56" i="18" s="1"/>
  <c r="J11" i="20"/>
  <c r="R11" i="20" s="1"/>
  <c r="I15" i="8"/>
  <c r="I70" i="8" s="1"/>
  <c r="I6" i="10"/>
  <c r="I11" i="10"/>
  <c r="I20" i="10"/>
  <c r="J20" i="10" s="1"/>
  <c r="F70" i="12"/>
  <c r="F66" i="12"/>
  <c r="G66" i="12" s="1"/>
  <c r="J66" i="12" s="1"/>
  <c r="F62" i="12"/>
  <c r="G62" i="12" s="1"/>
  <c r="J62" i="12" s="1"/>
  <c r="F58" i="12"/>
  <c r="G58" i="12" s="1"/>
  <c r="J58" i="12" s="1"/>
  <c r="F54" i="12"/>
  <c r="G54" i="12" s="1"/>
  <c r="J54" i="12" s="1"/>
  <c r="R54" i="12" s="1"/>
  <c r="F50" i="12"/>
  <c r="G50" i="12" s="1"/>
  <c r="J50" i="12" s="1"/>
  <c r="R50" i="12" s="1"/>
  <c r="F46" i="12"/>
  <c r="G46" i="12" s="1"/>
  <c r="J46" i="12" s="1"/>
  <c r="R46" i="12" s="1"/>
  <c r="F10" i="12"/>
  <c r="G10" i="12" s="1"/>
  <c r="F19" i="12"/>
  <c r="G19" i="12" s="1"/>
  <c r="J19" i="12" s="1"/>
  <c r="R19" i="12" s="1"/>
  <c r="G14" i="14"/>
  <c r="J14" i="14" s="1"/>
  <c r="R14" i="14" s="1"/>
  <c r="G52" i="14"/>
  <c r="G60" i="14"/>
  <c r="F10" i="10"/>
  <c r="G10" i="10" s="1"/>
  <c r="J10" i="10" s="1"/>
  <c r="I15" i="10"/>
  <c r="J15" i="10" s="1"/>
  <c r="F19" i="10"/>
  <c r="G19" i="10" s="1"/>
  <c r="J19" i="10" s="1"/>
  <c r="I24" i="10"/>
  <c r="J24" i="10" s="1"/>
  <c r="I28" i="10"/>
  <c r="J28" i="10" s="1"/>
  <c r="I32" i="10"/>
  <c r="J32" i="10" s="1"/>
  <c r="I36" i="10"/>
  <c r="J36" i="10" s="1"/>
  <c r="I40" i="10"/>
  <c r="J40" i="10" s="1"/>
  <c r="I44" i="10"/>
  <c r="I48" i="10"/>
  <c r="I52" i="10"/>
  <c r="J52" i="10" s="1"/>
  <c r="I56" i="10"/>
  <c r="I60" i="10"/>
  <c r="J60" i="10" s="1"/>
  <c r="I64" i="10"/>
  <c r="J64" i="10" s="1"/>
  <c r="F67" i="10"/>
  <c r="G67" i="10" s="1"/>
  <c r="J67" i="10" s="1"/>
  <c r="G28" i="12"/>
  <c r="J28" i="12" s="1"/>
  <c r="G37" i="12"/>
  <c r="J37" i="12" s="1"/>
  <c r="R37" i="12" s="1"/>
  <c r="G44" i="12"/>
  <c r="J44" i="12" s="1"/>
  <c r="R44" i="12" s="1"/>
  <c r="G31" i="14"/>
  <c r="J31" i="14" s="1"/>
  <c r="R31" i="14" s="1"/>
  <c r="I4" i="8"/>
  <c r="I10" i="8"/>
  <c r="I19" i="8"/>
  <c r="J19" i="8" s="1"/>
  <c r="R19" i="8" s="1"/>
  <c r="I23" i="8"/>
  <c r="J23" i="8" s="1"/>
  <c r="R23" i="8" s="1"/>
  <c r="I27" i="8"/>
  <c r="J27" i="8" s="1"/>
  <c r="R27" i="8" s="1"/>
  <c r="I31" i="8"/>
  <c r="J31" i="8" s="1"/>
  <c r="R31" i="8" s="1"/>
  <c r="I35" i="8"/>
  <c r="J35" i="8" s="1"/>
  <c r="R35" i="8" s="1"/>
  <c r="I39" i="8"/>
  <c r="J39" i="8" s="1"/>
  <c r="R39" i="8" s="1"/>
  <c r="I43" i="8"/>
  <c r="J43" i="8" s="1"/>
  <c r="R43" i="8" s="1"/>
  <c r="I47" i="8"/>
  <c r="J47" i="8" s="1"/>
  <c r="R47" i="8" s="1"/>
  <c r="I51" i="8"/>
  <c r="J51" i="8" s="1"/>
  <c r="R51" i="8" s="1"/>
  <c r="I55" i="8"/>
  <c r="J55" i="8" s="1"/>
  <c r="R55" i="8" s="1"/>
  <c r="I59" i="8"/>
  <c r="I63" i="8"/>
  <c r="J63" i="8" s="1"/>
  <c r="R63" i="8" s="1"/>
  <c r="I67" i="8"/>
  <c r="J67" i="8" s="1"/>
  <c r="R67" i="8" s="1"/>
  <c r="I3" i="10"/>
  <c r="F14" i="10"/>
  <c r="G14" i="10" s="1"/>
  <c r="J14" i="10" s="1"/>
  <c r="F23" i="10"/>
  <c r="G23" i="10" s="1"/>
  <c r="F27" i="10"/>
  <c r="G27" i="10" s="1"/>
  <c r="F31" i="10"/>
  <c r="G31" i="10" s="1"/>
  <c r="J31" i="10" s="1"/>
  <c r="F35" i="10"/>
  <c r="G35" i="10" s="1"/>
  <c r="F39" i="10"/>
  <c r="G39" i="10" s="1"/>
  <c r="F43" i="10"/>
  <c r="G43" i="10" s="1"/>
  <c r="F47" i="10"/>
  <c r="G47" i="10" s="1"/>
  <c r="F51" i="10"/>
  <c r="G51" i="10" s="1"/>
  <c r="F55" i="10"/>
  <c r="G55" i="10" s="1"/>
  <c r="F59" i="10"/>
  <c r="G59" i="10" s="1"/>
  <c r="F63" i="10"/>
  <c r="G63" i="10" s="1"/>
  <c r="K66" i="11"/>
  <c r="F20" i="12"/>
  <c r="G20" i="12" s="1"/>
  <c r="J20" i="12" s="1"/>
  <c r="R20" i="12" s="1"/>
  <c r="F23" i="12"/>
  <c r="G23" i="12" s="1"/>
  <c r="J23" i="12" s="1"/>
  <c r="R23" i="12" s="1"/>
  <c r="F39" i="12"/>
  <c r="G39" i="12" s="1"/>
  <c r="J39" i="12" s="1"/>
  <c r="R39" i="12" s="1"/>
  <c r="F48" i="12"/>
  <c r="G48" i="12" s="1"/>
  <c r="D70" i="14"/>
  <c r="G25" i="14"/>
  <c r="J25" i="14" s="1"/>
  <c r="R25" i="14" s="1"/>
  <c r="G34" i="14"/>
  <c r="G43" i="14"/>
  <c r="J43" i="14" s="1"/>
  <c r="G55" i="14"/>
  <c r="J55" i="14" s="1"/>
  <c r="G66" i="14"/>
  <c r="J42" i="16"/>
  <c r="J69" i="18"/>
  <c r="R69" i="18" s="1"/>
  <c r="F9" i="10"/>
  <c r="G9" i="10" s="1"/>
  <c r="J9" i="10" s="1"/>
  <c r="I67" i="10"/>
  <c r="D70" i="12"/>
  <c r="G52" i="12"/>
  <c r="G68" i="12"/>
  <c r="J68" i="12" s="1"/>
  <c r="J57" i="18"/>
  <c r="R57" i="18" s="1"/>
  <c r="I63" i="18"/>
  <c r="E70" i="22"/>
  <c r="I5" i="8"/>
  <c r="F8" i="8"/>
  <c r="G8" i="8" s="1"/>
  <c r="I9" i="8"/>
  <c r="J9" i="8" s="1"/>
  <c r="R9" i="8" s="1"/>
  <c r="F13" i="8"/>
  <c r="G13" i="8" s="1"/>
  <c r="F17" i="8"/>
  <c r="G17" i="8" s="1"/>
  <c r="J17" i="8" s="1"/>
  <c r="R17" i="8" s="1"/>
  <c r="I18" i="8"/>
  <c r="J18" i="8" s="1"/>
  <c r="R18" i="8" s="1"/>
  <c r="I14" i="10"/>
  <c r="F18" i="10"/>
  <c r="G18" i="10" s="1"/>
  <c r="J18" i="10" s="1"/>
  <c r="I23" i="10"/>
  <c r="I27" i="10"/>
  <c r="I31" i="10"/>
  <c r="I35" i="10"/>
  <c r="I39" i="10"/>
  <c r="I43" i="10"/>
  <c r="I47" i="10"/>
  <c r="I51" i="10"/>
  <c r="I55" i="10"/>
  <c r="I59" i="10"/>
  <c r="I63" i="10"/>
  <c r="F66" i="10"/>
  <c r="G66" i="10" s="1"/>
  <c r="J66" i="10" s="1"/>
  <c r="E6" i="12"/>
  <c r="E70" i="12" s="1"/>
  <c r="F25" i="12"/>
  <c r="G25" i="12" s="1"/>
  <c r="J25" i="12" s="1"/>
  <c r="R25" i="12" s="1"/>
  <c r="F32" i="12"/>
  <c r="G32" i="12" s="1"/>
  <c r="J32" i="12" s="1"/>
  <c r="R32" i="12" s="1"/>
  <c r="F34" i="12"/>
  <c r="G34" i="12" s="1"/>
  <c r="J34" i="12" s="1"/>
  <c r="R34" i="12" s="1"/>
  <c r="F41" i="12"/>
  <c r="G41" i="12" s="1"/>
  <c r="J41" i="12" s="1"/>
  <c r="F56" i="12"/>
  <c r="G56" i="12" s="1"/>
  <c r="F64" i="12"/>
  <c r="G64" i="12" s="1"/>
  <c r="G46" i="14"/>
  <c r="F13" i="10"/>
  <c r="G13" i="10" s="1"/>
  <c r="F22" i="10"/>
  <c r="G22" i="10" s="1"/>
  <c r="J22" i="10" s="1"/>
  <c r="F26" i="10"/>
  <c r="G26" i="10" s="1"/>
  <c r="J26" i="10" s="1"/>
  <c r="F30" i="10"/>
  <c r="G30" i="10" s="1"/>
  <c r="J30" i="10" s="1"/>
  <c r="F34" i="10"/>
  <c r="G34" i="10" s="1"/>
  <c r="J34" i="10" s="1"/>
  <c r="F38" i="10"/>
  <c r="G38" i="10" s="1"/>
  <c r="J38" i="10" s="1"/>
  <c r="F42" i="10"/>
  <c r="G42" i="10" s="1"/>
  <c r="F46" i="10"/>
  <c r="G46" i="10" s="1"/>
  <c r="F50" i="10"/>
  <c r="G50" i="10" s="1"/>
  <c r="F54" i="10"/>
  <c r="G54" i="10" s="1"/>
  <c r="F58" i="10"/>
  <c r="G58" i="10" s="1"/>
  <c r="F62" i="10"/>
  <c r="G62" i="10" s="1"/>
  <c r="J62" i="10" s="1"/>
  <c r="G27" i="12"/>
  <c r="J27" i="12" s="1"/>
  <c r="R27" i="12" s="1"/>
  <c r="G43" i="12"/>
  <c r="J43" i="12" s="1"/>
  <c r="R43" i="12" s="1"/>
  <c r="G60" i="12"/>
  <c r="I13" i="20"/>
  <c r="I8" i="20"/>
  <c r="I68" i="20"/>
  <c r="I64" i="20"/>
  <c r="I60" i="20"/>
  <c r="I56" i="20"/>
  <c r="I52" i="20"/>
  <c r="I48" i="20"/>
  <c r="I44" i="20"/>
  <c r="I40" i="20"/>
  <c r="I36" i="20"/>
  <c r="I32" i="20"/>
  <c r="I28" i="20"/>
  <c r="I24" i="20"/>
  <c r="I15" i="20"/>
  <c r="I3" i="20"/>
  <c r="I20" i="20"/>
  <c r="I11" i="20"/>
  <c r="I6" i="20"/>
  <c r="J6" i="20" s="1"/>
  <c r="I69" i="20"/>
  <c r="I65" i="20"/>
  <c r="I61" i="20"/>
  <c r="I57" i="20"/>
  <c r="I53" i="20"/>
  <c r="I49" i="20"/>
  <c r="I45" i="20"/>
  <c r="I41" i="20"/>
  <c r="I37" i="20"/>
  <c r="I33" i="20"/>
  <c r="J33" i="20" s="1"/>
  <c r="R33" i="20" s="1"/>
  <c r="I29" i="20"/>
  <c r="J29" i="20" s="1"/>
  <c r="R29" i="20" s="1"/>
  <c r="I25" i="20"/>
  <c r="I21" i="20"/>
  <c r="I16" i="20"/>
  <c r="T8" i="20"/>
  <c r="T9" i="20" s="1"/>
  <c r="J39" i="20" s="1"/>
  <c r="R39" i="20" s="1"/>
  <c r="I67" i="20"/>
  <c r="I42" i="20"/>
  <c r="I31" i="20"/>
  <c r="I7" i="20"/>
  <c r="I5" i="20"/>
  <c r="I55" i="20"/>
  <c r="J55" i="20" s="1"/>
  <c r="R55" i="20" s="1"/>
  <c r="I14" i="20"/>
  <c r="J14" i="20" s="1"/>
  <c r="R14" i="20" s="1"/>
  <c r="I12" i="20"/>
  <c r="J12" i="20" s="1"/>
  <c r="R12" i="20" s="1"/>
  <c r="I62" i="20"/>
  <c r="I46" i="20"/>
  <c r="I35" i="20"/>
  <c r="I22" i="20"/>
  <c r="I18" i="20"/>
  <c r="I4" i="20"/>
  <c r="I10" i="20"/>
  <c r="I59" i="20"/>
  <c r="I50" i="20"/>
  <c r="I39" i="20"/>
  <c r="I26" i="20"/>
  <c r="I66" i="20"/>
  <c r="I43" i="20"/>
  <c r="I30" i="20"/>
  <c r="I19" i="20"/>
  <c r="I54" i="20"/>
  <c r="I63" i="20"/>
  <c r="I47" i="20"/>
  <c r="I34" i="20"/>
  <c r="I23" i="20"/>
  <c r="I17" i="20"/>
  <c r="I38" i="20"/>
  <c r="I27" i="20"/>
  <c r="J27" i="20" s="1"/>
  <c r="R27" i="20" s="1"/>
  <c r="I9" i="20"/>
  <c r="J23" i="20"/>
  <c r="R23" i="20" s="1"/>
  <c r="F7" i="8"/>
  <c r="G7" i="8" s="1"/>
  <c r="J7" i="8" s="1"/>
  <c r="R7" i="8" s="1"/>
  <c r="I8" i="8"/>
  <c r="I13" i="8"/>
  <c r="F21" i="8"/>
  <c r="G21" i="8" s="1"/>
  <c r="J21" i="8" s="1"/>
  <c r="F25" i="8"/>
  <c r="G25" i="8" s="1"/>
  <c r="J25" i="8" s="1"/>
  <c r="R25" i="8" s="1"/>
  <c r="F29" i="8"/>
  <c r="G29" i="8" s="1"/>
  <c r="J29" i="8" s="1"/>
  <c r="R29" i="8" s="1"/>
  <c r="F33" i="8"/>
  <c r="G33" i="8" s="1"/>
  <c r="J33" i="8" s="1"/>
  <c r="R33" i="8" s="1"/>
  <c r="F37" i="8"/>
  <c r="G37" i="8" s="1"/>
  <c r="J37" i="8" s="1"/>
  <c r="R37" i="8" s="1"/>
  <c r="F41" i="8"/>
  <c r="G41" i="8" s="1"/>
  <c r="J41" i="8" s="1"/>
  <c r="R41" i="8" s="1"/>
  <c r="F45" i="8"/>
  <c r="G45" i="8" s="1"/>
  <c r="J45" i="8" s="1"/>
  <c r="R45" i="8" s="1"/>
  <c r="F49" i="8"/>
  <c r="G49" i="8" s="1"/>
  <c r="J49" i="8" s="1"/>
  <c r="R49" i="8" s="1"/>
  <c r="F53" i="8"/>
  <c r="G53" i="8" s="1"/>
  <c r="J53" i="8" s="1"/>
  <c r="R53" i="8" s="1"/>
  <c r="F57" i="8"/>
  <c r="G57" i="8" s="1"/>
  <c r="J57" i="8" s="1"/>
  <c r="R57" i="8" s="1"/>
  <c r="F61" i="8"/>
  <c r="G61" i="8" s="1"/>
  <c r="J61" i="8" s="1"/>
  <c r="F65" i="8"/>
  <c r="G65" i="8" s="1"/>
  <c r="J65" i="8" s="1"/>
  <c r="R65" i="8" s="1"/>
  <c r="F17" i="10"/>
  <c r="G17" i="10" s="1"/>
  <c r="J17" i="10" s="1"/>
  <c r="I18" i="10"/>
  <c r="I66" i="10"/>
  <c r="F69" i="10"/>
  <c r="G69" i="10" s="1"/>
  <c r="J69" i="10" s="1"/>
  <c r="K67" i="12"/>
  <c r="K63" i="12"/>
  <c r="R63" i="12" s="1"/>
  <c r="K68" i="12"/>
  <c r="K64" i="12"/>
  <c r="K60" i="12"/>
  <c r="K56" i="12"/>
  <c r="K52" i="12"/>
  <c r="K48" i="12"/>
  <c r="K44" i="12"/>
  <c r="K40" i="12"/>
  <c r="K36" i="12"/>
  <c r="K32" i="12"/>
  <c r="K28" i="12"/>
  <c r="K24" i="12"/>
  <c r="K69" i="12"/>
  <c r="R69" i="12" s="1"/>
  <c r="K65" i="12"/>
  <c r="R65" i="12" s="1"/>
  <c r="K61" i="12"/>
  <c r="R61" i="12" s="1"/>
  <c r="K57" i="12"/>
  <c r="R57" i="12" s="1"/>
  <c r="K53" i="12"/>
  <c r="K49" i="12"/>
  <c r="R49" i="12" s="1"/>
  <c r="K45" i="12"/>
  <c r="K41" i="12"/>
  <c r="K37" i="12"/>
  <c r="K33" i="12"/>
  <c r="K29" i="12"/>
  <c r="K25" i="12"/>
  <c r="K21" i="12"/>
  <c r="R21" i="12" s="1"/>
  <c r="K16" i="12"/>
  <c r="R16" i="12" s="1"/>
  <c r="K12" i="12"/>
  <c r="K66" i="12"/>
  <c r="K62" i="12"/>
  <c r="K58" i="12"/>
  <c r="K54" i="12"/>
  <c r="K50" i="12"/>
  <c r="K46" i="12"/>
  <c r="K42" i="12"/>
  <c r="R42" i="12" s="1"/>
  <c r="K38" i="12"/>
  <c r="K34" i="12"/>
  <c r="K30" i="12"/>
  <c r="R30" i="12" s="1"/>
  <c r="K26" i="12"/>
  <c r="F22" i="12"/>
  <c r="G22" i="12" s="1"/>
  <c r="J22" i="12" s="1"/>
  <c r="R22" i="12" s="1"/>
  <c r="G19" i="14"/>
  <c r="J19" i="14" s="1"/>
  <c r="R19" i="14" s="1"/>
  <c r="G37" i="14"/>
  <c r="J37" i="14" s="1"/>
  <c r="R37" i="14" s="1"/>
  <c r="G59" i="14"/>
  <c r="J59" i="14" s="1"/>
  <c r="R59" i="14" s="1"/>
  <c r="G64" i="14"/>
  <c r="J69" i="16"/>
  <c r="J69" i="20"/>
  <c r="R69" i="20" s="1"/>
  <c r="F7" i="10"/>
  <c r="G7" i="10" s="1"/>
  <c r="J7" i="10" s="1"/>
  <c r="I8" i="10"/>
  <c r="J8" i="10" s="1"/>
  <c r="I13" i="10"/>
  <c r="I22" i="10"/>
  <c r="I26" i="10"/>
  <c r="I30" i="10"/>
  <c r="I34" i="10"/>
  <c r="I38" i="10"/>
  <c r="I42" i="10"/>
  <c r="I46" i="10"/>
  <c r="I54" i="10"/>
  <c r="I58" i="10"/>
  <c r="G29" i="12"/>
  <c r="J29" i="12" s="1"/>
  <c r="R29" i="12" s="1"/>
  <c r="F36" i="12"/>
  <c r="G36" i="12" s="1"/>
  <c r="J36" i="12" s="1"/>
  <c r="R36" i="12" s="1"/>
  <c r="F38" i="12"/>
  <c r="G38" i="12" s="1"/>
  <c r="J38" i="12" s="1"/>
  <c r="F45" i="12"/>
  <c r="G45" i="12" s="1"/>
  <c r="J45" i="12" s="1"/>
  <c r="R45" i="12" s="1"/>
  <c r="F47" i="12"/>
  <c r="G47" i="12" s="1"/>
  <c r="J47" i="12" s="1"/>
  <c r="R47" i="12" s="1"/>
  <c r="G30" i="14"/>
  <c r="J30" i="14" s="1"/>
  <c r="R30" i="14" s="1"/>
  <c r="G44" i="14"/>
  <c r="J44" i="14" s="1"/>
  <c r="R44" i="14" s="1"/>
  <c r="G51" i="14"/>
  <c r="J51" i="14" s="1"/>
  <c r="J7" i="16"/>
  <c r="J46" i="16"/>
  <c r="I34" i="18"/>
  <c r="J52" i="18"/>
  <c r="R52" i="18" s="1"/>
  <c r="I55" i="18"/>
  <c r="J63" i="20"/>
  <c r="K52" i="14"/>
  <c r="G61" i="14"/>
  <c r="J61" i="14" s="1"/>
  <c r="K64" i="14"/>
  <c r="E70" i="16"/>
  <c r="J59" i="20"/>
  <c r="F6" i="14"/>
  <c r="G6" i="14" s="1"/>
  <c r="F11" i="14"/>
  <c r="G11" i="14" s="1"/>
  <c r="J11" i="14" s="1"/>
  <c r="R11" i="14" s="1"/>
  <c r="K17" i="14"/>
  <c r="R17" i="14" s="1"/>
  <c r="F42" i="14"/>
  <c r="G42" i="14" s="1"/>
  <c r="K43" i="14"/>
  <c r="F45" i="14"/>
  <c r="G45" i="14" s="1"/>
  <c r="J45" i="14" s="1"/>
  <c r="F58" i="14"/>
  <c r="G58" i="14" s="1"/>
  <c r="K61" i="14"/>
  <c r="F67" i="14"/>
  <c r="G67" i="14" s="1"/>
  <c r="J67" i="14" s="1"/>
  <c r="R67" i="14" s="1"/>
  <c r="G56" i="16"/>
  <c r="G62" i="16"/>
  <c r="I67" i="16"/>
  <c r="J50" i="18"/>
  <c r="R50" i="18" s="1"/>
  <c r="J13" i="20"/>
  <c r="R13" i="20" s="1"/>
  <c r="I15" i="12"/>
  <c r="I24" i="12"/>
  <c r="J24" i="12" s="1"/>
  <c r="R24" i="12" s="1"/>
  <c r="I28" i="12"/>
  <c r="I32" i="12"/>
  <c r="I36" i="12"/>
  <c r="I40" i="12"/>
  <c r="J40" i="12" s="1"/>
  <c r="R40" i="12" s="1"/>
  <c r="I44" i="12"/>
  <c r="I48" i="12"/>
  <c r="I52" i="12"/>
  <c r="I56" i="12"/>
  <c r="I60" i="12"/>
  <c r="I64" i="12"/>
  <c r="K7" i="14"/>
  <c r="R7" i="14" s="1"/>
  <c r="F15" i="14"/>
  <c r="G15" i="14" s="1"/>
  <c r="F20" i="14"/>
  <c r="G20" i="14" s="1"/>
  <c r="F24" i="14"/>
  <c r="G24" i="14" s="1"/>
  <c r="F28" i="14"/>
  <c r="G28" i="14" s="1"/>
  <c r="F32" i="14"/>
  <c r="G32" i="14" s="1"/>
  <c r="J32" i="14" s="1"/>
  <c r="K33" i="14"/>
  <c r="R33" i="14" s="1"/>
  <c r="F53" i="14"/>
  <c r="G53" i="14" s="1"/>
  <c r="J53" i="14" s="1"/>
  <c r="R53" i="14" s="1"/>
  <c r="K56" i="14"/>
  <c r="F65" i="14"/>
  <c r="G65" i="14" s="1"/>
  <c r="J65" i="14" s="1"/>
  <c r="R65" i="14" s="1"/>
  <c r="G24" i="16"/>
  <c r="J24" i="16" s="1"/>
  <c r="G28" i="16"/>
  <c r="J28" i="16" s="1"/>
  <c r="G32" i="16"/>
  <c r="G36" i="16"/>
  <c r="G40" i="16"/>
  <c r="G44" i="16"/>
  <c r="I48" i="16"/>
  <c r="I50" i="16"/>
  <c r="G52" i="16"/>
  <c r="J52" i="16" s="1"/>
  <c r="G54" i="16"/>
  <c r="J54" i="16" s="1"/>
  <c r="I56" i="16"/>
  <c r="E70" i="18"/>
  <c r="J35" i="18"/>
  <c r="R35" i="18" s="1"/>
  <c r="J61" i="18"/>
  <c r="R61" i="18" s="1"/>
  <c r="K51" i="14"/>
  <c r="K63" i="14"/>
  <c r="R63" i="14" s="1"/>
  <c r="G67" i="16"/>
  <c r="J19" i="18"/>
  <c r="R19" i="18" s="1"/>
  <c r="J23" i="18"/>
  <c r="R23" i="18" s="1"/>
  <c r="J43" i="18"/>
  <c r="R43" i="18" s="1"/>
  <c r="J67" i="18"/>
  <c r="R67" i="18" s="1"/>
  <c r="J21" i="20"/>
  <c r="R21" i="20" s="1"/>
  <c r="E17" i="22"/>
  <c r="D70" i="22"/>
  <c r="I68" i="14"/>
  <c r="J68" i="14" s="1"/>
  <c r="R68" i="14" s="1"/>
  <c r="I64" i="14"/>
  <c r="I60" i="14"/>
  <c r="I56" i="14"/>
  <c r="I52" i="14"/>
  <c r="I70" i="14" s="1"/>
  <c r="I69" i="14"/>
  <c r="I65" i="14"/>
  <c r="I66" i="14"/>
  <c r="I62" i="14"/>
  <c r="I58" i="14"/>
  <c r="I54" i="14"/>
  <c r="J54" i="14" s="1"/>
  <c r="I50" i="14"/>
  <c r="I46" i="14"/>
  <c r="I42" i="14"/>
  <c r="I38" i="14"/>
  <c r="I34" i="14"/>
  <c r="F10" i="14"/>
  <c r="G10" i="14" s="1"/>
  <c r="J10" i="14" s="1"/>
  <c r="R10" i="14" s="1"/>
  <c r="I15" i="14"/>
  <c r="I20" i="14"/>
  <c r="I24" i="14"/>
  <c r="I28" i="14"/>
  <c r="I32" i="14"/>
  <c r="F38" i="14"/>
  <c r="G38" i="14" s="1"/>
  <c r="K39" i="14"/>
  <c r="R39" i="14" s="1"/>
  <c r="F41" i="14"/>
  <c r="G41" i="14" s="1"/>
  <c r="J41" i="14" s="1"/>
  <c r="R41" i="14" s="1"/>
  <c r="K42" i="14"/>
  <c r="K45" i="14"/>
  <c r="F47" i="14"/>
  <c r="G47" i="14" s="1"/>
  <c r="J47" i="14" s="1"/>
  <c r="R47" i="14" s="1"/>
  <c r="K48" i="14"/>
  <c r="R48" i="14" s="1"/>
  <c r="F50" i="14"/>
  <c r="G50" i="14" s="1"/>
  <c r="J50" i="14" s="1"/>
  <c r="R50" i="14" s="1"/>
  <c r="K65" i="14"/>
  <c r="F69" i="14"/>
  <c r="G69" i="14" s="1"/>
  <c r="I4" i="16"/>
  <c r="J61" i="20"/>
  <c r="R61" i="20" s="1"/>
  <c r="K15" i="14"/>
  <c r="K20" i="14"/>
  <c r="K24" i="14"/>
  <c r="K70" i="14" s="1"/>
  <c r="K28" i="14"/>
  <c r="K32" i="14"/>
  <c r="F57" i="14"/>
  <c r="G57" i="14" s="1"/>
  <c r="J57" i="14" s="1"/>
  <c r="R57" i="14" s="1"/>
  <c r="K60" i="14"/>
  <c r="G47" i="16"/>
  <c r="G59" i="16"/>
  <c r="G63" i="16"/>
  <c r="J59" i="18"/>
  <c r="R59" i="18" s="1"/>
  <c r="K66" i="14"/>
  <c r="K62" i="14"/>
  <c r="K58" i="14"/>
  <c r="K54" i="14"/>
  <c r="K50" i="14"/>
  <c r="K46" i="14"/>
  <c r="K35" i="14"/>
  <c r="K38" i="14"/>
  <c r="K55" i="14"/>
  <c r="J48" i="16"/>
  <c r="I68" i="16"/>
  <c r="I64" i="16"/>
  <c r="J64" i="16" s="1"/>
  <c r="I58" i="16"/>
  <c r="I51" i="16"/>
  <c r="I44" i="16"/>
  <c r="I40" i="16"/>
  <c r="I36" i="16"/>
  <c r="I32" i="16"/>
  <c r="I28" i="16"/>
  <c r="I24" i="16"/>
  <c r="I19" i="16"/>
  <c r="I15" i="16"/>
  <c r="J15" i="16" s="1"/>
  <c r="I3" i="16"/>
  <c r="I65" i="16"/>
  <c r="I62" i="16"/>
  <c r="I55" i="16"/>
  <c r="I20" i="16"/>
  <c r="I11" i="16"/>
  <c r="I6" i="16"/>
  <c r="I52" i="16"/>
  <c r="I45" i="16"/>
  <c r="J45" i="16" s="1"/>
  <c r="I41" i="16"/>
  <c r="I37" i="16"/>
  <c r="I33" i="16"/>
  <c r="J33" i="16" s="1"/>
  <c r="I29" i="16"/>
  <c r="J29" i="16" s="1"/>
  <c r="I25" i="16"/>
  <c r="J25" i="16" s="1"/>
  <c r="I16" i="16"/>
  <c r="T8" i="16"/>
  <c r="T9" i="16" s="1"/>
  <c r="J66" i="16" s="1"/>
  <c r="I59" i="16"/>
  <c r="I21" i="16"/>
  <c r="I12" i="16"/>
  <c r="I66" i="16"/>
  <c r="I63" i="16"/>
  <c r="I46" i="16"/>
  <c r="I42" i="16"/>
  <c r="I38" i="16"/>
  <c r="J38" i="16" s="1"/>
  <c r="I34" i="16"/>
  <c r="I30" i="16"/>
  <c r="I26" i="16"/>
  <c r="I22" i="16"/>
  <c r="I17" i="16"/>
  <c r="I69" i="16"/>
  <c r="I9" i="16"/>
  <c r="G14" i="16"/>
  <c r="G21" i="16"/>
  <c r="J21" i="16" s="1"/>
  <c r="I47" i="16"/>
  <c r="G49" i="16"/>
  <c r="J49" i="16" s="1"/>
  <c r="I57" i="16"/>
  <c r="J65" i="18"/>
  <c r="R65" i="18" s="1"/>
  <c r="J25" i="20"/>
  <c r="R25" i="20" s="1"/>
  <c r="J41" i="20"/>
  <c r="R41" i="20" s="1"/>
  <c r="J47" i="20"/>
  <c r="R47" i="20" s="1"/>
  <c r="J65" i="20"/>
  <c r="R65" i="20" s="1"/>
  <c r="K41" i="14"/>
  <c r="K47" i="14"/>
  <c r="G49" i="14"/>
  <c r="J49" i="14" s="1"/>
  <c r="R49" i="14" s="1"/>
  <c r="J37" i="16"/>
  <c r="J41" i="16"/>
  <c r="G68" i="16"/>
  <c r="J53" i="20"/>
  <c r="R53" i="20" s="1"/>
  <c r="F70" i="18"/>
  <c r="F66" i="18"/>
  <c r="G66" i="18" s="1"/>
  <c r="F62" i="18"/>
  <c r="G62" i="18" s="1"/>
  <c r="J62" i="18" s="1"/>
  <c r="R62" i="18" s="1"/>
  <c r="F58" i="18"/>
  <c r="G58" i="18" s="1"/>
  <c r="J58" i="18" s="1"/>
  <c r="R58" i="18" s="1"/>
  <c r="F68" i="18"/>
  <c r="G68" i="18" s="1"/>
  <c r="J68" i="18" s="1"/>
  <c r="R68" i="18" s="1"/>
  <c r="F64" i="18"/>
  <c r="G64" i="18" s="1"/>
  <c r="J64" i="18" s="1"/>
  <c r="R64" i="18" s="1"/>
  <c r="F20" i="18"/>
  <c r="G20" i="18" s="1"/>
  <c r="J20" i="18" s="1"/>
  <c r="R20" i="18" s="1"/>
  <c r="J19" i="20"/>
  <c r="R19" i="20" s="1"/>
  <c r="J43" i="20"/>
  <c r="R43" i="20" s="1"/>
  <c r="D70" i="16"/>
  <c r="F8" i="18"/>
  <c r="G8" i="18" s="1"/>
  <c r="J8" i="18" s="1"/>
  <c r="R8" i="18" s="1"/>
  <c r="F15" i="18"/>
  <c r="G15" i="18" s="1"/>
  <c r="J15" i="18" s="1"/>
  <c r="R15" i="18" s="1"/>
  <c r="F28" i="18"/>
  <c r="G28" i="18" s="1"/>
  <c r="F40" i="18"/>
  <c r="G40" i="18" s="1"/>
  <c r="F47" i="18"/>
  <c r="G47" i="18" s="1"/>
  <c r="F54" i="18"/>
  <c r="G54" i="18" s="1"/>
  <c r="F30" i="18"/>
  <c r="G30" i="18" s="1"/>
  <c r="J30" i="18" s="1"/>
  <c r="R30" i="18" s="1"/>
  <c r="F42" i="18"/>
  <c r="G42" i="18" s="1"/>
  <c r="J42" i="18" s="1"/>
  <c r="R42" i="18" s="1"/>
  <c r="F49" i="18"/>
  <c r="G49" i="18" s="1"/>
  <c r="F60" i="18"/>
  <c r="G60" i="18" s="1"/>
  <c r="J10" i="20"/>
  <c r="R10" i="20" s="1"/>
  <c r="F55" i="16"/>
  <c r="G55" i="16" s="1"/>
  <c r="J55" i="16" s="1"/>
  <c r="F7" i="18"/>
  <c r="G7" i="18" s="1"/>
  <c r="J7" i="18" s="1"/>
  <c r="R7" i="18" s="1"/>
  <c r="F17" i="18"/>
  <c r="G17" i="18" s="1"/>
  <c r="J17" i="18" s="1"/>
  <c r="R17" i="18" s="1"/>
  <c r="F25" i="18"/>
  <c r="G25" i="18" s="1"/>
  <c r="J25" i="18" s="1"/>
  <c r="R25" i="18" s="1"/>
  <c r="F37" i="18"/>
  <c r="G37" i="18" s="1"/>
  <c r="F51" i="18"/>
  <c r="G51" i="18" s="1"/>
  <c r="J18" i="20"/>
  <c r="R18" i="20" s="1"/>
  <c r="J35" i="20"/>
  <c r="R35" i="20" s="1"/>
  <c r="F58" i="16"/>
  <c r="G58" i="16" s="1"/>
  <c r="F70" i="16"/>
  <c r="D70" i="18"/>
  <c r="F14" i="18"/>
  <c r="G14" i="18" s="1"/>
  <c r="F32" i="18"/>
  <c r="G32" i="18" s="1"/>
  <c r="F44" i="18"/>
  <c r="G44" i="18" s="1"/>
  <c r="I68" i="24"/>
  <c r="I64" i="24"/>
  <c r="I60" i="24"/>
  <c r="I56" i="24"/>
  <c r="I52" i="24"/>
  <c r="I48" i="24"/>
  <c r="I44" i="24"/>
  <c r="I62" i="24"/>
  <c r="I23" i="24"/>
  <c r="I12" i="24"/>
  <c r="I67" i="24"/>
  <c r="I57" i="24"/>
  <c r="I42" i="24"/>
  <c r="I36" i="24"/>
  <c r="I30" i="24"/>
  <c r="I20" i="24"/>
  <c r="I7" i="24"/>
  <c r="I47" i="24"/>
  <c r="I39" i="24"/>
  <c r="I33" i="24"/>
  <c r="I27" i="24"/>
  <c r="I55" i="24"/>
  <c r="I45" i="24"/>
  <c r="I58" i="24"/>
  <c r="I40" i="24"/>
  <c r="I34" i="24"/>
  <c r="I28" i="24"/>
  <c r="I21" i="24"/>
  <c r="I14" i="24"/>
  <c r="I9" i="24"/>
  <c r="I5" i="24"/>
  <c r="I63" i="24"/>
  <c r="I53" i="24"/>
  <c r="I37" i="24"/>
  <c r="I31" i="24"/>
  <c r="I18" i="24"/>
  <c r="I61" i="24"/>
  <c r="I46" i="24"/>
  <c r="I22" i="24"/>
  <c r="I15" i="24"/>
  <c r="I3" i="24"/>
  <c r="I19" i="24"/>
  <c r="I17" i="24"/>
  <c r="I11" i="24"/>
  <c r="I29" i="24"/>
  <c r="I69" i="24"/>
  <c r="I25" i="24"/>
  <c r="I4" i="24"/>
  <c r="I35" i="24"/>
  <c r="I66" i="24"/>
  <c r="I54" i="24"/>
  <c r="T8" i="24"/>
  <c r="I59" i="24"/>
  <c r="I49" i="24"/>
  <c r="I8" i="24"/>
  <c r="I51" i="24"/>
  <c r="I16" i="24"/>
  <c r="I10" i="24"/>
  <c r="I41" i="24"/>
  <c r="I32" i="24"/>
  <c r="I26" i="24"/>
  <c r="I24" i="24"/>
  <c r="I6" i="24"/>
  <c r="I43" i="24"/>
  <c r="I13" i="24"/>
  <c r="G51" i="16"/>
  <c r="J51" i="16" s="1"/>
  <c r="J16" i="20"/>
  <c r="R16" i="20" s="1"/>
  <c r="J31" i="20"/>
  <c r="R31" i="20" s="1"/>
  <c r="J67" i="20"/>
  <c r="R67" i="20" s="1"/>
  <c r="F6" i="18"/>
  <c r="G6" i="18" s="1"/>
  <c r="F10" i="18"/>
  <c r="G10" i="18" s="1"/>
  <c r="F22" i="18"/>
  <c r="G22" i="18" s="1"/>
  <c r="F34" i="18"/>
  <c r="G34" i="18" s="1"/>
  <c r="F46" i="18"/>
  <c r="G46" i="18" s="1"/>
  <c r="F55" i="18"/>
  <c r="G55" i="18" s="1"/>
  <c r="J9" i="20"/>
  <c r="R9" i="20" s="1"/>
  <c r="F20" i="20"/>
  <c r="G20" i="20" s="1"/>
  <c r="I21" i="22"/>
  <c r="I16" i="22"/>
  <c r="T8" i="22"/>
  <c r="I68" i="22"/>
  <c r="I64" i="22"/>
  <c r="I60" i="22"/>
  <c r="I56" i="22"/>
  <c r="I52" i="22"/>
  <c r="I48" i="22"/>
  <c r="I44" i="22"/>
  <c r="I40" i="22"/>
  <c r="I36" i="22"/>
  <c r="I32" i="22"/>
  <c r="I28" i="22"/>
  <c r="I24" i="22"/>
  <c r="I19" i="22"/>
  <c r="I27" i="22"/>
  <c r="K35" i="22"/>
  <c r="I50" i="22"/>
  <c r="I65" i="22"/>
  <c r="G51" i="24"/>
  <c r="G56" i="24"/>
  <c r="G68" i="24"/>
  <c r="F15" i="20"/>
  <c r="G15" i="20" s="1"/>
  <c r="F24" i="20"/>
  <c r="G24" i="20" s="1"/>
  <c r="J24" i="20" s="1"/>
  <c r="R24" i="20" s="1"/>
  <c r="F28" i="20"/>
  <c r="G28" i="20" s="1"/>
  <c r="J28" i="20" s="1"/>
  <c r="R28" i="20" s="1"/>
  <c r="F32" i="20"/>
  <c r="G32" i="20" s="1"/>
  <c r="J32" i="20" s="1"/>
  <c r="F36" i="20"/>
  <c r="G36" i="20" s="1"/>
  <c r="J36" i="20" s="1"/>
  <c r="F40" i="20"/>
  <c r="G40" i="20" s="1"/>
  <c r="J40" i="20" s="1"/>
  <c r="F44" i="20"/>
  <c r="G44" i="20" s="1"/>
  <c r="J44" i="20" s="1"/>
  <c r="F48" i="20"/>
  <c r="G48" i="20" s="1"/>
  <c r="J48" i="20" s="1"/>
  <c r="F52" i="20"/>
  <c r="G52" i="20" s="1"/>
  <c r="F56" i="20"/>
  <c r="G56" i="20" s="1"/>
  <c r="F60" i="20"/>
  <c r="G60" i="20" s="1"/>
  <c r="F64" i="20"/>
  <c r="G64" i="20" s="1"/>
  <c r="J64" i="20" s="1"/>
  <c r="R64" i="20" s="1"/>
  <c r="F68" i="20"/>
  <c r="G68" i="20" s="1"/>
  <c r="J68" i="20" s="1"/>
  <c r="R68" i="20" s="1"/>
  <c r="I10" i="22"/>
  <c r="K66" i="22"/>
  <c r="K62" i="22"/>
  <c r="K58" i="22"/>
  <c r="K54" i="22"/>
  <c r="K50" i="22"/>
  <c r="K46" i="22"/>
  <c r="K42" i="22"/>
  <c r="K38" i="22"/>
  <c r="K34" i="22"/>
  <c r="K30" i="22"/>
  <c r="K26" i="22"/>
  <c r="K22" i="22"/>
  <c r="K7" i="22"/>
  <c r="K70" i="22" s="1"/>
  <c r="K17" i="22"/>
  <c r="K20" i="22"/>
  <c r="K14" i="22"/>
  <c r="I22" i="22"/>
  <c r="I37" i="22"/>
  <c r="K40" i="22"/>
  <c r="K45" i="22"/>
  <c r="I47" i="22"/>
  <c r="F52" i="22"/>
  <c r="G52" i="22" s="1"/>
  <c r="K55" i="22"/>
  <c r="F62" i="22"/>
  <c r="G62" i="22" s="1"/>
  <c r="G8" i="24"/>
  <c r="G18" i="24"/>
  <c r="G39" i="24"/>
  <c r="G61" i="24"/>
  <c r="V7" i="26"/>
  <c r="X7" i="26"/>
  <c r="I3" i="22"/>
  <c r="I9" i="22"/>
  <c r="I13" i="22"/>
  <c r="K19" i="22"/>
  <c r="I29" i="22"/>
  <c r="K32" i="22"/>
  <c r="K37" i="22"/>
  <c r="I39" i="22"/>
  <c r="K47" i="22"/>
  <c r="I62" i="22"/>
  <c r="G35" i="24"/>
  <c r="V4" i="26"/>
  <c r="I49" i="22"/>
  <c r="I59" i="22"/>
  <c r="K67" i="22"/>
  <c r="G25" i="24"/>
  <c r="G31" i="24"/>
  <c r="K15" i="18"/>
  <c r="K24" i="18"/>
  <c r="K28" i="18"/>
  <c r="K32" i="18"/>
  <c r="K36" i="18"/>
  <c r="K70" i="18" s="1"/>
  <c r="K40" i="18"/>
  <c r="K44" i="18"/>
  <c r="K48" i="18"/>
  <c r="K52" i="18"/>
  <c r="K56" i="18"/>
  <c r="K60" i="18"/>
  <c r="K64" i="18"/>
  <c r="K15" i="20"/>
  <c r="K24" i="20"/>
  <c r="K28" i="20"/>
  <c r="K32" i="20"/>
  <c r="K36" i="20"/>
  <c r="K40" i="20"/>
  <c r="K44" i="20"/>
  <c r="K48" i="20"/>
  <c r="K52" i="20"/>
  <c r="K56" i="20"/>
  <c r="K60" i="20"/>
  <c r="K64" i="20"/>
  <c r="K68" i="20"/>
  <c r="K9" i="22"/>
  <c r="K13" i="22"/>
  <c r="T21" i="22"/>
  <c r="K24" i="22"/>
  <c r="K29" i="22"/>
  <c r="I31" i="22"/>
  <c r="K39" i="22"/>
  <c r="I54" i="22"/>
  <c r="I69" i="22"/>
  <c r="G29" i="24"/>
  <c r="G33" i="24"/>
  <c r="G64" i="24"/>
  <c r="G7" i="24"/>
  <c r="G9" i="24"/>
  <c r="G11" i="24"/>
  <c r="G21" i="24"/>
  <c r="G27" i="24"/>
  <c r="G40" i="24"/>
  <c r="G42" i="24"/>
  <c r="G47" i="24"/>
  <c r="G52" i="24"/>
  <c r="G62" i="24"/>
  <c r="F17" i="20"/>
  <c r="G17" i="20" s="1"/>
  <c r="F22" i="20"/>
  <c r="G22" i="20" s="1"/>
  <c r="J22" i="20" s="1"/>
  <c r="R22" i="20" s="1"/>
  <c r="F26" i="20"/>
  <c r="G26" i="20" s="1"/>
  <c r="F30" i="20"/>
  <c r="G30" i="20" s="1"/>
  <c r="J30" i="20" s="1"/>
  <c r="R30" i="20" s="1"/>
  <c r="F34" i="20"/>
  <c r="G34" i="20" s="1"/>
  <c r="J34" i="20" s="1"/>
  <c r="R34" i="20" s="1"/>
  <c r="F38" i="20"/>
  <c r="G38" i="20" s="1"/>
  <c r="J38" i="20" s="1"/>
  <c r="R38" i="20" s="1"/>
  <c r="F42" i="20"/>
  <c r="G42" i="20" s="1"/>
  <c r="J42" i="20" s="1"/>
  <c r="R42" i="20" s="1"/>
  <c r="F46" i="20"/>
  <c r="G46" i="20" s="1"/>
  <c r="J46" i="20" s="1"/>
  <c r="R46" i="20" s="1"/>
  <c r="F50" i="20"/>
  <c r="G50" i="20" s="1"/>
  <c r="F54" i="20"/>
  <c r="G54" i="20" s="1"/>
  <c r="J54" i="20" s="1"/>
  <c r="R54" i="20" s="1"/>
  <c r="F58" i="20"/>
  <c r="G58" i="20" s="1"/>
  <c r="J58" i="20" s="1"/>
  <c r="R58" i="20" s="1"/>
  <c r="F62" i="20"/>
  <c r="G62" i="20" s="1"/>
  <c r="F66" i="20"/>
  <c r="G66" i="20" s="1"/>
  <c r="F70" i="20"/>
  <c r="I12" i="22"/>
  <c r="I15" i="22"/>
  <c r="I23" i="22"/>
  <c r="K31" i="22"/>
  <c r="I46" i="22"/>
  <c r="I61" i="22"/>
  <c r="K64" i="22"/>
  <c r="K69" i="22"/>
  <c r="G19" i="24"/>
  <c r="K59" i="20"/>
  <c r="K63" i="20"/>
  <c r="K8" i="22"/>
  <c r="G11" i="22"/>
  <c r="K12" i="22"/>
  <c r="K15" i="22"/>
  <c r="I33" i="22"/>
  <c r="K36" i="22"/>
  <c r="K41" i="22"/>
  <c r="I43" i="22"/>
  <c r="K51" i="22"/>
  <c r="I66" i="22"/>
  <c r="F20" i="22"/>
  <c r="G20" i="22" s="1"/>
  <c r="F69" i="22"/>
  <c r="G69" i="22" s="1"/>
  <c r="F65" i="22"/>
  <c r="G65" i="22" s="1"/>
  <c r="F61" i="22"/>
  <c r="G61" i="22" s="1"/>
  <c r="F57" i="22"/>
  <c r="G57" i="22" s="1"/>
  <c r="F53" i="22"/>
  <c r="G53" i="22" s="1"/>
  <c r="F49" i="22"/>
  <c r="G49" i="22" s="1"/>
  <c r="F45" i="22"/>
  <c r="G45" i="22" s="1"/>
  <c r="F41" i="22"/>
  <c r="G41" i="22" s="1"/>
  <c r="F37" i="22"/>
  <c r="G37" i="22" s="1"/>
  <c r="F33" i="22"/>
  <c r="G33" i="22" s="1"/>
  <c r="F29" i="22"/>
  <c r="G29" i="22" s="1"/>
  <c r="F25" i="22"/>
  <c r="G25" i="22" s="1"/>
  <c r="F18" i="22"/>
  <c r="G18" i="22" s="1"/>
  <c r="G50" i="24"/>
  <c r="K6" i="24"/>
  <c r="K11" i="24"/>
  <c r="K19" i="24"/>
  <c r="K26" i="24"/>
  <c r="K29" i="24"/>
  <c r="K35" i="24"/>
  <c r="G43" i="24"/>
  <c r="G69" i="24"/>
  <c r="K66" i="24"/>
  <c r="K62" i="24"/>
  <c r="K58" i="24"/>
  <c r="K54" i="24"/>
  <c r="K50" i="24"/>
  <c r="K46" i="24"/>
  <c r="K42" i="24"/>
  <c r="K38" i="24"/>
  <c r="K34" i="24"/>
  <c r="K30" i="24"/>
  <c r="K68" i="24"/>
  <c r="K64" i="24"/>
  <c r="K60" i="24"/>
  <c r="K56" i="24"/>
  <c r="K52" i="24"/>
  <c r="K48" i="24"/>
  <c r="K44" i="24"/>
  <c r="K40" i="24"/>
  <c r="K36" i="24"/>
  <c r="K32" i="24"/>
  <c r="K28" i="24"/>
  <c r="K24" i="24"/>
  <c r="K20" i="24"/>
  <c r="K16" i="24"/>
  <c r="K15" i="24"/>
  <c r="K22" i="24"/>
  <c r="K61" i="24"/>
  <c r="K10" i="24"/>
  <c r="K25" i="24"/>
  <c r="K43" i="24"/>
  <c r="G45" i="24"/>
  <c r="G55" i="24"/>
  <c r="K37" i="24"/>
  <c r="K53" i="24"/>
  <c r="K63" i="24"/>
  <c r="G65" i="24"/>
  <c r="X5" i="26"/>
  <c r="V5" i="26"/>
  <c r="D70" i="24"/>
  <c r="K45" i="24"/>
  <c r="K55" i="24"/>
  <c r="G57" i="24"/>
  <c r="G67" i="24"/>
  <c r="E6" i="24"/>
  <c r="E70" i="24" s="1"/>
  <c r="K8" i="24"/>
  <c r="K13" i="24"/>
  <c r="F16" i="24"/>
  <c r="G16" i="24" s="1"/>
  <c r="K17" i="24"/>
  <c r="F23" i="24"/>
  <c r="G23" i="24" s="1"/>
  <c r="K65" i="24"/>
  <c r="K27" i="24"/>
  <c r="K33" i="24"/>
  <c r="K39" i="24"/>
  <c r="F44" i="24"/>
  <c r="G44" i="24" s="1"/>
  <c r="K47" i="24"/>
  <c r="F49" i="24"/>
  <c r="G49" i="24" s="1"/>
  <c r="F54" i="24"/>
  <c r="G54" i="24" s="1"/>
  <c r="F59" i="24"/>
  <c r="G59" i="24" s="1"/>
  <c r="U15" i="26"/>
  <c r="V10" i="26"/>
  <c r="X13" i="26"/>
  <c r="T20" i="22" s="1"/>
  <c r="K15" i="26"/>
  <c r="T15" i="26" s="1"/>
  <c r="BC67" i="27"/>
  <c r="AW50" i="27"/>
  <c r="AP38" i="27"/>
  <c r="R66" i="27"/>
  <c r="AP62" i="27"/>
  <c r="AW5" i="27"/>
  <c r="Z24" i="27"/>
  <c r="AP27" i="27"/>
  <c r="Z44" i="27"/>
  <c r="AO45" i="27"/>
  <c r="AD56" i="27"/>
  <c r="AO41" i="27"/>
  <c r="AD41" i="27"/>
  <c r="AO22" i="27"/>
  <c r="R55" i="27"/>
  <c r="AO62" i="27"/>
  <c r="AW7" i="27"/>
  <c r="AL59" i="27"/>
  <c r="R20" i="27"/>
  <c r="AS24" i="27"/>
  <c r="AL22" i="27"/>
  <c r="AP24" i="27"/>
  <c r="AD7" i="27"/>
  <c r="Z52" i="27"/>
  <c r="R19" i="27"/>
  <c r="R40" i="27"/>
  <c r="AO38" i="27"/>
  <c r="AO66" i="27"/>
  <c r="R15" i="27"/>
  <c r="AD32" i="27"/>
  <c r="AO54" i="27"/>
  <c r="AW10" i="27"/>
  <c r="AL62" i="27"/>
  <c r="AP6" i="27"/>
  <c r="R14" i="27"/>
  <c r="AS16" i="27"/>
  <c r="AO19" i="27"/>
  <c r="AW55" i="27"/>
  <c r="AO31" i="27"/>
  <c r="R50" i="27"/>
  <c r="AW31" i="27"/>
  <c r="AO11" i="27"/>
  <c r="AS66" i="27"/>
  <c r="AO25" i="27"/>
  <c r="AW66" i="27"/>
  <c r="AO17" i="27"/>
  <c r="AD27" i="27"/>
  <c r="AS49" i="27"/>
  <c r="AP61" i="27"/>
  <c r="AW21" i="27"/>
  <c r="R22" i="27"/>
  <c r="AP32" i="27"/>
  <c r="AW30" i="27"/>
  <c r="AW48" i="27"/>
  <c r="Z29" i="27"/>
  <c r="AO10" i="27"/>
  <c r="Z18" i="27"/>
  <c r="AW9" i="27"/>
  <c r="AO56" i="27"/>
  <c r="Z17" i="27"/>
  <c r="R36" i="27"/>
  <c r="Z36" i="27"/>
  <c r="AO18" i="27"/>
  <c r="AW34" i="27"/>
  <c r="Z40" i="27"/>
  <c r="AL53" i="27"/>
  <c r="AP21" i="27"/>
  <c r="Z23" i="27"/>
  <c r="R28" i="27"/>
  <c r="AS62" i="27"/>
  <c r="AS39" i="27"/>
  <c r="R7" i="27"/>
  <c r="AS29" i="27"/>
  <c r="AP64" i="27"/>
  <c r="AW35" i="27"/>
  <c r="Z19" i="27"/>
  <c r="AO42" i="27"/>
  <c r="AP16" i="27"/>
  <c r="AS47" i="27"/>
  <c r="AS46" i="27"/>
  <c r="AO63" i="27"/>
  <c r="AO26" i="27"/>
  <c r="AS57" i="27"/>
  <c r="AS25" i="27"/>
  <c r="AS30" i="27"/>
  <c r="AO20" i="27"/>
  <c r="AD64" i="27"/>
  <c r="AP43" i="27"/>
  <c r="AS32" i="27"/>
  <c r="AO37" i="27"/>
  <c r="Z39" i="27"/>
  <c r="AO24" i="27"/>
  <c r="AL65" i="27"/>
  <c r="AW53" i="27"/>
  <c r="AS55" i="27"/>
  <c r="R42" i="27"/>
  <c r="Z20" i="27"/>
  <c r="Z58" i="27"/>
  <c r="AW29" i="27"/>
  <c r="AD11" i="27"/>
  <c r="AD30" i="27"/>
  <c r="Z43" i="27"/>
  <c r="R47" i="27"/>
  <c r="Z16" i="27"/>
  <c r="Z46" i="27"/>
  <c r="AS36" i="27"/>
  <c r="AO9" i="27"/>
  <c r="AO23" i="27"/>
  <c r="AW63" i="27"/>
  <c r="AO21" i="27"/>
  <c r="AS42" i="27"/>
  <c r="AW45" i="27"/>
  <c r="AO15" i="27"/>
  <c r="AS52" i="27"/>
  <c r="AS4" i="27"/>
  <c r="AO44" i="27"/>
  <c r="AP25" i="27"/>
  <c r="AO35" i="27"/>
  <c r="AS23" i="27"/>
  <c r="AS33" i="27"/>
  <c r="AW19" i="27"/>
  <c r="AD38" i="27"/>
  <c r="AO53" i="27"/>
  <c r="AO7" i="27"/>
  <c r="AW52" i="27"/>
  <c r="AD14" i="27"/>
  <c r="R8" i="27"/>
  <c r="AL12" i="27"/>
  <c r="AL66" i="27"/>
  <c r="AS48" i="27"/>
  <c r="Z27" i="27"/>
  <c r="R6" i="27"/>
  <c r="AL20" i="27"/>
  <c r="AL42" i="27"/>
  <c r="AO61" i="27"/>
  <c r="AL64" i="27"/>
  <c r="AD28" i="27"/>
  <c r="R35" i="27"/>
  <c r="R32" i="27"/>
  <c r="AS21" i="27"/>
  <c r="AW47" i="27"/>
  <c r="AL55" i="27"/>
  <c r="AO32" i="27"/>
  <c r="AO50" i="27"/>
  <c r="AP8" i="27"/>
  <c r="AP44" i="27"/>
  <c r="AW64" i="27"/>
  <c r="AS17" i="27"/>
  <c r="AO59" i="27"/>
  <c r="AO4" i="27"/>
  <c r="AO49" i="27"/>
  <c r="AW22" i="27"/>
  <c r="AW3" i="27"/>
  <c r="AP39" i="27"/>
  <c r="AP10" i="27"/>
  <c r="AW24" i="27"/>
  <c r="AP66" i="27"/>
  <c r="AP35" i="27"/>
  <c r="AS9" i="27"/>
  <c r="AS38" i="27"/>
  <c r="AL58" i="27"/>
  <c r="R41" i="27"/>
  <c r="AP13" i="27"/>
  <c r="R38" i="27"/>
  <c r="AS54" i="27"/>
  <c r="AD45" i="27"/>
  <c r="R46" i="27"/>
  <c r="AL17" i="27"/>
  <c r="Z34" i="27"/>
  <c r="AW56" i="27"/>
  <c r="AL5" i="27"/>
  <c r="R52" i="27"/>
  <c r="Z30" i="27"/>
  <c r="Z66" i="27"/>
  <c r="AP31" i="27"/>
  <c r="AO40" i="27"/>
  <c r="AD4" i="27"/>
  <c r="AD62" i="27"/>
  <c r="AS43" i="27"/>
  <c r="AO8" i="27"/>
  <c r="AS18" i="27"/>
  <c r="AP22" i="27"/>
  <c r="AW20" i="27"/>
  <c r="AS60" i="27"/>
  <c r="AS14" i="27"/>
  <c r="AO57" i="27"/>
  <c r="AW42" i="27"/>
  <c r="Z47" i="27"/>
  <c r="AW37" i="27"/>
  <c r="AS63" i="27"/>
  <c r="AW27" i="27"/>
  <c r="AP51" i="27"/>
  <c r="AS45" i="27"/>
  <c r="AW57" i="27"/>
  <c r="AS11" i="27"/>
  <c r="AL14" i="27"/>
  <c r="R56" i="27"/>
  <c r="AP9" i="27"/>
  <c r="Z60" i="27"/>
  <c r="AP15" i="27"/>
  <c r="AW41" i="27"/>
  <c r="Z62" i="27"/>
  <c r="AL27" i="27"/>
  <c r="R44" i="27"/>
  <c r="AP36" i="27"/>
  <c r="AL54" i="27"/>
  <c r="Z15" i="27"/>
  <c r="AS61" i="27"/>
  <c r="AS19" i="27"/>
  <c r="AW25" i="27"/>
  <c r="AS37" i="27"/>
  <c r="R4" i="27"/>
  <c r="AW40" i="27"/>
  <c r="AS15" i="27"/>
  <c r="AW44" i="27"/>
  <c r="AW12" i="27"/>
  <c r="AD50" i="27"/>
  <c r="AS50" i="27"/>
  <c r="AS65" i="27"/>
  <c r="AW46" i="27"/>
  <c r="AO6" i="27"/>
  <c r="AO34" i="27"/>
  <c r="R33" i="27"/>
  <c r="AO28" i="27"/>
  <c r="AL32" i="27"/>
  <c r="R24" i="27"/>
  <c r="AS59" i="27"/>
  <c r="Z33" i="27"/>
  <c r="AS22" i="27"/>
  <c r="Z22" i="27"/>
  <c r="Z13" i="27"/>
  <c r="AD36" i="27"/>
  <c r="Z54" i="27"/>
  <c r="AW18" i="27"/>
  <c r="AD65" i="27"/>
  <c r="AW54" i="27"/>
  <c r="AL47" i="27"/>
  <c r="AP58" i="27"/>
  <c r="AW43" i="27"/>
  <c r="AD59" i="27"/>
  <c r="AO43" i="27"/>
  <c r="AW15" i="27"/>
  <c r="AW6" i="27"/>
  <c r="AO29" i="27"/>
  <c r="R54" i="27"/>
  <c r="AW26" i="27"/>
  <c r="AO12" i="27"/>
  <c r="AW39" i="27"/>
  <c r="AS5" i="27"/>
  <c r="AP65" i="27"/>
  <c r="AP50" i="27"/>
  <c r="AW61" i="27"/>
  <c r="AS34" i="27"/>
  <c r="AL56" i="27"/>
  <c r="AW11" i="27"/>
  <c r="Z51" i="27"/>
  <c r="AW32" i="27"/>
  <c r="AL4" i="27"/>
  <c r="Z31" i="27"/>
  <c r="AO27" i="27"/>
  <c r="Z21" i="27"/>
  <c r="AP7" i="27"/>
  <c r="AO52" i="27"/>
  <c r="AL16" i="27"/>
  <c r="R64" i="27"/>
  <c r="Z37" i="27"/>
  <c r="AW28" i="27"/>
  <c r="AP55" i="27"/>
  <c r="AD8" i="27"/>
  <c r="AO65" i="27"/>
  <c r="R62" i="27"/>
  <c r="AO36" i="27"/>
  <c r="R48" i="27"/>
  <c r="AO51" i="27"/>
  <c r="AO16" i="27"/>
  <c r="R30" i="27"/>
  <c r="AO33" i="27"/>
  <c r="AD16" i="27"/>
  <c r="AP30" i="27"/>
  <c r="AO5" i="27"/>
  <c r="AS28" i="27"/>
  <c r="AO14" i="27"/>
  <c r="AO64" i="27"/>
  <c r="AP11" i="27"/>
  <c r="AW33" i="27"/>
  <c r="AS7" i="27"/>
  <c r="AO60" i="27"/>
  <c r="AP20" i="27"/>
  <c r="R26" i="27"/>
  <c r="AP28" i="27"/>
  <c r="AW59" i="27"/>
  <c r="R34" i="27"/>
  <c r="AW49" i="27"/>
  <c r="AD60" i="27"/>
  <c r="AS6" i="27"/>
  <c r="AO47" i="27"/>
  <c r="AD47" i="27"/>
  <c r="AS64" i="27"/>
  <c r="AL40" i="27"/>
  <c r="AS3" i="27"/>
  <c r="AS35" i="27"/>
  <c r="R21" i="27"/>
  <c r="AS40" i="27"/>
  <c r="AD34" i="27"/>
  <c r="AL38" i="27"/>
  <c r="AO48" i="27"/>
  <c r="AW4" i="27"/>
  <c r="AS56" i="27"/>
  <c r="AW51" i="27"/>
  <c r="Z42" i="27"/>
  <c r="AS20" i="27"/>
  <c r="R51" i="27"/>
  <c r="AP40" i="27"/>
  <c r="R59" i="27"/>
  <c r="AS51" i="27"/>
  <c r="AP19" i="27"/>
  <c r="AO55" i="27"/>
  <c r="AW17" i="27"/>
  <c r="AW62" i="27"/>
  <c r="AP18" i="27"/>
  <c r="AD46" i="27"/>
  <c r="AW8" i="27"/>
  <c r="AW65" i="27"/>
  <c r="Z26" i="27"/>
  <c r="AO39" i="27"/>
  <c r="AD44" i="27"/>
  <c r="R65" i="27"/>
  <c r="AP52" i="27"/>
  <c r="AL61" i="27"/>
  <c r="AS41" i="27"/>
  <c r="AL39" i="27"/>
  <c r="Z48" i="27"/>
  <c r="AP26" i="27"/>
  <c r="R57" i="27"/>
  <c r="AO58" i="27"/>
  <c r="AW23" i="27"/>
  <c r="R25" i="27"/>
  <c r="AP54" i="27"/>
  <c r="AW13" i="27"/>
  <c r="AS31" i="27"/>
  <c r="AS27" i="27"/>
  <c r="AD22" i="27"/>
  <c r="AS44" i="27"/>
  <c r="R37" i="27"/>
  <c r="AS58" i="27"/>
  <c r="AS12" i="27"/>
  <c r="AW36" i="27"/>
  <c r="AO3" i="27"/>
  <c r="AW38" i="27"/>
  <c r="AS26" i="27"/>
  <c r="AW58" i="27"/>
  <c r="R29" i="27"/>
  <c r="AO46" i="27"/>
  <c r="AL49" i="27"/>
  <c r="AW16" i="27"/>
  <c r="AD54" i="27"/>
  <c r="R63" i="27"/>
  <c r="AS13" i="27"/>
  <c r="R16" i="27"/>
  <c r="AO30" i="27"/>
  <c r="R60" i="27"/>
  <c r="Z41" i="27"/>
  <c r="AS10" i="27"/>
  <c r="AS53" i="27"/>
  <c r="AS8" i="27"/>
  <c r="AW60" i="27"/>
  <c r="AO13" i="27"/>
  <c r="AW14" i="27"/>
  <c r="E70" i="10" l="1"/>
  <c r="F70" i="10" s="1"/>
  <c r="F6" i="10"/>
  <c r="G6" i="10" s="1"/>
  <c r="J6" i="10" s="1"/>
  <c r="T28" i="27"/>
  <c r="AB66" i="27"/>
  <c r="T32" i="27"/>
  <c r="AB16" i="27"/>
  <c r="AB23" i="27"/>
  <c r="AR58" i="27"/>
  <c r="BA58" i="27"/>
  <c r="AR65" i="27"/>
  <c r="BA65" i="27"/>
  <c r="AN47" i="27"/>
  <c r="AN62" i="27"/>
  <c r="AB30" i="27"/>
  <c r="T35" i="27"/>
  <c r="T47" i="27"/>
  <c r="AR54" i="27"/>
  <c r="BA54" i="27"/>
  <c r="AR32" i="27"/>
  <c r="BA32" i="27"/>
  <c r="T57" i="27"/>
  <c r="T21" i="27"/>
  <c r="AF8" i="27"/>
  <c r="AB46" i="27"/>
  <c r="T52" i="27"/>
  <c r="AF28" i="27"/>
  <c r="AB43" i="27"/>
  <c r="AN53" i="27"/>
  <c r="AF32" i="27"/>
  <c r="BA23" i="27"/>
  <c r="AF65" i="27"/>
  <c r="AN54" i="27"/>
  <c r="AN5" i="27"/>
  <c r="AN64" i="27"/>
  <c r="AF30" i="27"/>
  <c r="AB40" i="27"/>
  <c r="T15" i="27"/>
  <c r="T48" i="27"/>
  <c r="AB41" i="27"/>
  <c r="AB48" i="27"/>
  <c r="AS67" i="27"/>
  <c r="AR61" i="27"/>
  <c r="BA61" i="27"/>
  <c r="AF11" i="27"/>
  <c r="AR66" i="27"/>
  <c r="BA66" i="27"/>
  <c r="AF62" i="27"/>
  <c r="T60" i="27"/>
  <c r="AN39" i="27"/>
  <c r="AN40" i="27"/>
  <c r="AB37" i="27"/>
  <c r="AB54" i="27"/>
  <c r="T44" i="27"/>
  <c r="AB34" i="27"/>
  <c r="AN42" i="27"/>
  <c r="AR18" i="27"/>
  <c r="BA18" i="27"/>
  <c r="AR38" i="27"/>
  <c r="BA38" i="27"/>
  <c r="AR30" i="27"/>
  <c r="BA30" i="27"/>
  <c r="T64" i="27"/>
  <c r="AF36" i="27"/>
  <c r="AN27" i="27"/>
  <c r="AN17" i="27"/>
  <c r="AN20" i="27"/>
  <c r="AB58" i="27"/>
  <c r="AB36" i="27"/>
  <c r="T40" i="27"/>
  <c r="AF59" i="27"/>
  <c r="T16" i="27"/>
  <c r="AN61" i="27"/>
  <c r="AF47" i="27"/>
  <c r="AN16" i="27"/>
  <c r="AB13" i="27"/>
  <c r="AB62" i="27"/>
  <c r="T46" i="27"/>
  <c r="T6" i="27"/>
  <c r="AB20" i="27"/>
  <c r="T36" i="27"/>
  <c r="T19" i="27"/>
  <c r="AR19" i="27"/>
  <c r="BA19" i="27"/>
  <c r="BA47" i="27"/>
  <c r="AR52" i="27"/>
  <c r="BA52" i="27"/>
  <c r="AB22" i="27"/>
  <c r="AF45" i="27"/>
  <c r="AB27" i="27"/>
  <c r="T42" i="27"/>
  <c r="AB17" i="27"/>
  <c r="AB52" i="27"/>
  <c r="AN38" i="27"/>
  <c r="T63" i="27"/>
  <c r="T65" i="27"/>
  <c r="BA56" i="27"/>
  <c r="AF7" i="27"/>
  <c r="AN55" i="27"/>
  <c r="AF54" i="27"/>
  <c r="AF44" i="27"/>
  <c r="AF60" i="27"/>
  <c r="AB21" i="27"/>
  <c r="AB33" i="27"/>
  <c r="AB60" i="27"/>
  <c r="T38" i="27"/>
  <c r="AN66" i="27"/>
  <c r="AR13" i="27"/>
  <c r="BA13" i="27"/>
  <c r="AR39" i="27"/>
  <c r="BA39" i="27"/>
  <c r="AR27" i="27"/>
  <c r="BA27" i="27"/>
  <c r="AN12" i="27"/>
  <c r="AN65" i="27"/>
  <c r="AB18" i="27"/>
  <c r="AN22" i="27"/>
  <c r="AF4" i="27"/>
  <c r="AN49" i="27"/>
  <c r="AB26" i="27"/>
  <c r="T34" i="27"/>
  <c r="AB31" i="27"/>
  <c r="T24" i="27"/>
  <c r="T56" i="27"/>
  <c r="T41" i="27"/>
  <c r="T8" i="27"/>
  <c r="AR24" i="27"/>
  <c r="BA24" i="27"/>
  <c r="AR10" i="27"/>
  <c r="BA10" i="27"/>
  <c r="AR36" i="27"/>
  <c r="BA36" i="27"/>
  <c r="BA46" i="27"/>
  <c r="AN4" i="27"/>
  <c r="AN32" i="27"/>
  <c r="AN14" i="27"/>
  <c r="AN58" i="27"/>
  <c r="AF14" i="27"/>
  <c r="AB39" i="27"/>
  <c r="AB29" i="27"/>
  <c r="T20" i="27"/>
  <c r="T7" i="27"/>
  <c r="T29" i="27"/>
  <c r="AR28" i="27"/>
  <c r="BA28" i="27"/>
  <c r="BA37" i="27"/>
  <c r="AN59" i="27"/>
  <c r="AF46" i="27"/>
  <c r="T26" i="27"/>
  <c r="AB51" i="27"/>
  <c r="T33" i="27"/>
  <c r="AR7" i="27"/>
  <c r="BA7" i="27"/>
  <c r="AR9" i="27"/>
  <c r="BA9" i="27"/>
  <c r="BA34" i="27"/>
  <c r="BA53" i="27"/>
  <c r="AR62" i="27"/>
  <c r="BA62" i="27"/>
  <c r="BA60" i="27"/>
  <c r="AN56" i="27"/>
  <c r="AR6" i="27"/>
  <c r="BA6" i="27"/>
  <c r="AF38" i="27"/>
  <c r="AF64" i="27"/>
  <c r="T22" i="27"/>
  <c r="T55" i="27"/>
  <c r="AO67" i="27"/>
  <c r="BA3" i="27"/>
  <c r="AR20" i="27"/>
  <c r="BA20" i="27"/>
  <c r="AR22" i="27"/>
  <c r="BA22" i="27"/>
  <c r="AR40" i="27"/>
  <c r="BA40" i="27"/>
  <c r="AR55" i="27"/>
  <c r="BA55" i="27"/>
  <c r="AF41" i="27"/>
  <c r="T14" i="27"/>
  <c r="BA41" i="27"/>
  <c r="AR64" i="27"/>
  <c r="BA64" i="27"/>
  <c r="AF50" i="27"/>
  <c r="AB47" i="27"/>
  <c r="AW67" i="27"/>
  <c r="AR35" i="27"/>
  <c r="BA35" i="27"/>
  <c r="AF27" i="27"/>
  <c r="AF56" i="27"/>
  <c r="T62" i="27"/>
  <c r="T37" i="27"/>
  <c r="T59" i="27"/>
  <c r="BA14" i="27"/>
  <c r="AR26" i="27"/>
  <c r="BA26" i="27"/>
  <c r="BA17" i="27"/>
  <c r="BA45" i="27"/>
  <c r="BA57" i="27"/>
  <c r="BA49" i="27"/>
  <c r="AR44" i="27"/>
  <c r="BA44" i="27"/>
  <c r="BA63" i="27"/>
  <c r="AB44" i="27"/>
  <c r="AF34" i="27"/>
  <c r="AF22" i="27"/>
  <c r="T51" i="27"/>
  <c r="BA5" i="27"/>
  <c r="BA12" i="27"/>
  <c r="BA4" i="27"/>
  <c r="AR25" i="27"/>
  <c r="BA25" i="27"/>
  <c r="BA59" i="27"/>
  <c r="AB24" i="27"/>
  <c r="AB42" i="27"/>
  <c r="AF16" i="27"/>
  <c r="T54" i="27"/>
  <c r="T4" i="27"/>
  <c r="AR15" i="27"/>
  <c r="BA15" i="27"/>
  <c r="AR11" i="27"/>
  <c r="BA11" i="27"/>
  <c r="BA33" i="27"/>
  <c r="BA29" i="27"/>
  <c r="BA42" i="27"/>
  <c r="T30" i="27"/>
  <c r="AB19" i="27"/>
  <c r="T50" i="27"/>
  <c r="T66" i="27"/>
  <c r="AB15" i="27"/>
  <c r="T25" i="27"/>
  <c r="AR16" i="27"/>
  <c r="BA16" i="27"/>
  <c r="AR8" i="27"/>
  <c r="BA8" i="27"/>
  <c r="AR21" i="27"/>
  <c r="BA21" i="27"/>
  <c r="AR31" i="27"/>
  <c r="BA31" i="27"/>
  <c r="BA48" i="27"/>
  <c r="AR51" i="27"/>
  <c r="BA51" i="27"/>
  <c r="AR43" i="27"/>
  <c r="BA43" i="27"/>
  <c r="AR50" i="27"/>
  <c r="BA50" i="27"/>
  <c r="S12" i="2"/>
  <c r="E70" i="4"/>
  <c r="F6" i="4"/>
  <c r="J10" i="12"/>
  <c r="R10" i="12" s="1"/>
  <c r="G70" i="12"/>
  <c r="R56" i="14"/>
  <c r="R6" i="12"/>
  <c r="S52" i="2"/>
  <c r="J58" i="16"/>
  <c r="J60" i="12"/>
  <c r="R60" i="12" s="1"/>
  <c r="J15" i="8"/>
  <c r="R15" i="8" s="1"/>
  <c r="S62" i="2"/>
  <c r="I70" i="2"/>
  <c r="W3" i="26" s="1"/>
  <c r="J36" i="6"/>
  <c r="K70" i="20"/>
  <c r="S7" i="2"/>
  <c r="I70" i="16"/>
  <c r="T14" i="16" s="1"/>
  <c r="T9" i="22"/>
  <c r="J18" i="22" s="1"/>
  <c r="R18" i="22" s="1"/>
  <c r="J6" i="14"/>
  <c r="G70" i="14"/>
  <c r="K70" i="12"/>
  <c r="R6" i="20"/>
  <c r="J35" i="10"/>
  <c r="R28" i="12"/>
  <c r="J8" i="2"/>
  <c r="S8" i="2" s="1"/>
  <c r="G70" i="16"/>
  <c r="R67" i="12"/>
  <c r="J27" i="10"/>
  <c r="J55" i="24"/>
  <c r="R55" i="24" s="1"/>
  <c r="I70" i="20"/>
  <c r="T13" i="20" s="1"/>
  <c r="J23" i="10"/>
  <c r="R34" i="8"/>
  <c r="R56" i="8"/>
  <c r="G70" i="10"/>
  <c r="I70" i="12"/>
  <c r="S9" i="2"/>
  <c r="J15" i="20"/>
  <c r="R15" i="20" s="1"/>
  <c r="G70" i="20"/>
  <c r="V15" i="26"/>
  <c r="T4" i="4"/>
  <c r="I70" i="22"/>
  <c r="T13" i="22" s="1"/>
  <c r="J51" i="6"/>
  <c r="K70" i="8"/>
  <c r="J67" i="16"/>
  <c r="J56" i="20"/>
  <c r="R56" i="20" s="1"/>
  <c r="J20" i="20"/>
  <c r="R20" i="20" s="1"/>
  <c r="J46" i="18"/>
  <c r="R46" i="18" s="1"/>
  <c r="J66" i="18"/>
  <c r="R66" i="18" s="1"/>
  <c r="J11" i="18"/>
  <c r="R11" i="18" s="1"/>
  <c r="J56" i="16"/>
  <c r="R59" i="20"/>
  <c r="J26" i="16"/>
  <c r="J65" i="16"/>
  <c r="J66" i="14"/>
  <c r="R66" i="14" s="1"/>
  <c r="J63" i="10"/>
  <c r="I70" i="10"/>
  <c r="T20" i="10" s="1"/>
  <c r="J18" i="6"/>
  <c r="J39" i="16"/>
  <c r="J60" i="20"/>
  <c r="R60" i="20" s="1"/>
  <c r="J36" i="18"/>
  <c r="R36" i="18" s="1"/>
  <c r="J29" i="18"/>
  <c r="R29" i="18" s="1"/>
  <c r="J53" i="18"/>
  <c r="R53" i="18" s="1"/>
  <c r="J33" i="18"/>
  <c r="R33" i="18" s="1"/>
  <c r="J27" i="18"/>
  <c r="R27" i="18" s="1"/>
  <c r="J18" i="18"/>
  <c r="R18" i="18" s="1"/>
  <c r="J39" i="18"/>
  <c r="R39" i="18" s="1"/>
  <c r="J24" i="18"/>
  <c r="R24" i="18" s="1"/>
  <c r="J26" i="18"/>
  <c r="R26" i="18" s="1"/>
  <c r="J16" i="18"/>
  <c r="R16" i="18" s="1"/>
  <c r="F70" i="8"/>
  <c r="J26" i="20"/>
  <c r="R26" i="20" s="1"/>
  <c r="J7" i="24"/>
  <c r="R7" i="24" s="1"/>
  <c r="J52" i="20"/>
  <c r="R52" i="20" s="1"/>
  <c r="J34" i="18"/>
  <c r="R34" i="18" s="1"/>
  <c r="J9" i="18"/>
  <c r="R9" i="18" s="1"/>
  <c r="R32" i="14"/>
  <c r="J63" i="18"/>
  <c r="R63" i="18" s="1"/>
  <c r="R51" i="14"/>
  <c r="J16" i="16"/>
  <c r="J58" i="10"/>
  <c r="J34" i="16"/>
  <c r="R68" i="12"/>
  <c r="R55" i="14"/>
  <c r="J59" i="10"/>
  <c r="R58" i="12"/>
  <c r="J38" i="18"/>
  <c r="R38" i="18" s="1"/>
  <c r="J45" i="20"/>
  <c r="R45" i="20" s="1"/>
  <c r="J23" i="16"/>
  <c r="R52" i="8"/>
  <c r="J13" i="16"/>
  <c r="J42" i="2"/>
  <c r="S42" i="2" s="1"/>
  <c r="S47" i="2"/>
  <c r="S55" i="2"/>
  <c r="T11" i="10"/>
  <c r="T4" i="10"/>
  <c r="R64" i="8"/>
  <c r="K70" i="24"/>
  <c r="J66" i="20"/>
  <c r="R66" i="20" s="1"/>
  <c r="J17" i="20"/>
  <c r="R17" i="20" s="1"/>
  <c r="R48" i="20"/>
  <c r="J22" i="18"/>
  <c r="R22" i="18" s="1"/>
  <c r="J14" i="16"/>
  <c r="J63" i="16"/>
  <c r="J28" i="14"/>
  <c r="R28" i="14" s="1"/>
  <c r="J64" i="14"/>
  <c r="R64" i="14" s="1"/>
  <c r="R21" i="8"/>
  <c r="J12" i="18"/>
  <c r="R12" i="18" s="1"/>
  <c r="J54" i="10"/>
  <c r="J6" i="16"/>
  <c r="J52" i="12"/>
  <c r="R52" i="12" s="1"/>
  <c r="R43" i="14"/>
  <c r="J55" i="10"/>
  <c r="R62" i="12"/>
  <c r="J21" i="18"/>
  <c r="R21" i="18" s="1"/>
  <c r="J38" i="6"/>
  <c r="J50" i="16"/>
  <c r="J17" i="16"/>
  <c r="R12" i="12"/>
  <c r="J10" i="16"/>
  <c r="J32" i="2"/>
  <c r="S32" i="2" s="1"/>
  <c r="S65" i="2"/>
  <c r="S39" i="2"/>
  <c r="J50" i="2"/>
  <c r="S50" i="2" s="1"/>
  <c r="J56" i="4"/>
  <c r="J43" i="4"/>
  <c r="J57" i="24"/>
  <c r="R57" i="24" s="1"/>
  <c r="T11" i="6"/>
  <c r="T4" i="6"/>
  <c r="J62" i="20"/>
  <c r="R62" i="20" s="1"/>
  <c r="J33" i="24"/>
  <c r="R33" i="24" s="1"/>
  <c r="J61" i="24"/>
  <c r="R61" i="24" s="1"/>
  <c r="R44" i="20"/>
  <c r="G70" i="22"/>
  <c r="J10" i="18"/>
  <c r="R10" i="18" s="1"/>
  <c r="I70" i="24"/>
  <c r="J44" i="18"/>
  <c r="R44" i="18" s="1"/>
  <c r="J54" i="18"/>
  <c r="R54" i="18" s="1"/>
  <c r="J59" i="16"/>
  <c r="J38" i="14"/>
  <c r="R38" i="14" s="1"/>
  <c r="R54" i="14"/>
  <c r="J44" i="16"/>
  <c r="J24" i="14"/>
  <c r="R24" i="14" s="1"/>
  <c r="J58" i="14"/>
  <c r="R58" i="14" s="1"/>
  <c r="J60" i="16"/>
  <c r="J50" i="10"/>
  <c r="J46" i="14"/>
  <c r="R46" i="14" s="1"/>
  <c r="J13" i="8"/>
  <c r="R13" i="8" s="1"/>
  <c r="J34" i="14"/>
  <c r="R34" i="14" s="1"/>
  <c r="J51" i="10"/>
  <c r="R66" i="12"/>
  <c r="J53" i="16"/>
  <c r="I70" i="18"/>
  <c r="T13" i="18" s="1"/>
  <c r="J42" i="6"/>
  <c r="J43" i="16"/>
  <c r="R53" i="12"/>
  <c r="J69" i="2"/>
  <c r="S69" i="2" s="1"/>
  <c r="J28" i="2"/>
  <c r="S28" i="2" s="1"/>
  <c r="R48" i="8"/>
  <c r="J48" i="18"/>
  <c r="R48" i="18" s="1"/>
  <c r="J17" i="2"/>
  <c r="S17" i="2" s="1"/>
  <c r="J44" i="4"/>
  <c r="J35" i="4"/>
  <c r="J35" i="24"/>
  <c r="R35" i="24" s="1"/>
  <c r="J13" i="10"/>
  <c r="J39" i="24"/>
  <c r="R39" i="24" s="1"/>
  <c r="R40" i="20"/>
  <c r="G70" i="24"/>
  <c r="G70" i="18"/>
  <c r="J6" i="18"/>
  <c r="T9" i="24"/>
  <c r="J42" i="24" s="1"/>
  <c r="R42" i="24" s="1"/>
  <c r="T13" i="24"/>
  <c r="J32" i="18"/>
  <c r="R32" i="18" s="1"/>
  <c r="J47" i="18"/>
  <c r="R47" i="18" s="1"/>
  <c r="J47" i="16"/>
  <c r="J31" i="18"/>
  <c r="R31" i="18" s="1"/>
  <c r="J40" i="16"/>
  <c r="J20" i="14"/>
  <c r="R20" i="14" s="1"/>
  <c r="R45" i="14"/>
  <c r="R61" i="14"/>
  <c r="R61" i="8"/>
  <c r="J7" i="20"/>
  <c r="R7" i="20" s="1"/>
  <c r="J8" i="20"/>
  <c r="R8" i="20" s="1"/>
  <c r="J57" i="16"/>
  <c r="J46" i="10"/>
  <c r="J64" i="12"/>
  <c r="R64" i="12" s="1"/>
  <c r="J47" i="10"/>
  <c r="J49" i="20"/>
  <c r="R49" i="20" s="1"/>
  <c r="J30" i="16"/>
  <c r="J15" i="12"/>
  <c r="R15" i="12" s="1"/>
  <c r="J46" i="6"/>
  <c r="R30" i="8"/>
  <c r="G70" i="6"/>
  <c r="K70" i="2"/>
  <c r="J24" i="2"/>
  <c r="S24" i="2" s="1"/>
  <c r="R20" i="8"/>
  <c r="J39" i="4"/>
  <c r="J31" i="4"/>
  <c r="J62" i="24"/>
  <c r="R62" i="24" s="1"/>
  <c r="J29" i="24"/>
  <c r="R29" i="24" s="1"/>
  <c r="T11" i="16"/>
  <c r="T4" i="16"/>
  <c r="J65" i="24"/>
  <c r="R65" i="24" s="1"/>
  <c r="J52" i="24"/>
  <c r="R52" i="24" s="1"/>
  <c r="J18" i="24"/>
  <c r="R18" i="24" s="1"/>
  <c r="R36" i="20"/>
  <c r="J14" i="18"/>
  <c r="R14" i="18" s="1"/>
  <c r="J51" i="18"/>
  <c r="R51" i="18" s="1"/>
  <c r="J60" i="18"/>
  <c r="R60" i="18" s="1"/>
  <c r="J40" i="18"/>
  <c r="R40" i="18" s="1"/>
  <c r="J68" i="16"/>
  <c r="J12" i="16"/>
  <c r="J36" i="16"/>
  <c r="J15" i="14"/>
  <c r="R15" i="14" s="1"/>
  <c r="J9" i="16"/>
  <c r="J42" i="10"/>
  <c r="J56" i="12"/>
  <c r="R56" i="12" s="1"/>
  <c r="J8" i="8"/>
  <c r="R8" i="8" s="1"/>
  <c r="J43" i="10"/>
  <c r="J37" i="20"/>
  <c r="R37" i="20" s="1"/>
  <c r="J60" i="14"/>
  <c r="R60" i="14" s="1"/>
  <c r="J51" i="20"/>
  <c r="R51" i="20" s="1"/>
  <c r="J50" i="6"/>
  <c r="R46" i="8"/>
  <c r="R42" i="8"/>
  <c r="S11" i="2"/>
  <c r="J20" i="2"/>
  <c r="S20" i="2" s="1"/>
  <c r="J70" i="8"/>
  <c r="R6" i="8"/>
  <c r="R16" i="8"/>
  <c r="H67" i="27"/>
  <c r="J44" i="24"/>
  <c r="R44" i="24" s="1"/>
  <c r="J55" i="18"/>
  <c r="R55" i="18" s="1"/>
  <c r="J62" i="16"/>
  <c r="S41" i="2"/>
  <c r="R26" i="8"/>
  <c r="J29" i="22"/>
  <c r="R29" i="22" s="1"/>
  <c r="J16" i="24"/>
  <c r="R16" i="24" s="1"/>
  <c r="J43" i="24"/>
  <c r="R43" i="24" s="1"/>
  <c r="J50" i="20"/>
  <c r="R50" i="20" s="1"/>
  <c r="J47" i="24"/>
  <c r="R47" i="24" s="1"/>
  <c r="J8" i="24"/>
  <c r="R8" i="24" s="1"/>
  <c r="R32" i="20"/>
  <c r="J37" i="18"/>
  <c r="R37" i="18" s="1"/>
  <c r="J49" i="18"/>
  <c r="R49" i="18" s="1"/>
  <c r="J28" i="18"/>
  <c r="R28" i="18" s="1"/>
  <c r="J18" i="16"/>
  <c r="J11" i="16"/>
  <c r="J20" i="16"/>
  <c r="J35" i="16"/>
  <c r="J69" i="14"/>
  <c r="R69" i="14" s="1"/>
  <c r="J32" i="16"/>
  <c r="J42" i="14"/>
  <c r="R42" i="14" s="1"/>
  <c r="R63" i="20"/>
  <c r="R38" i="12"/>
  <c r="R41" i="12"/>
  <c r="J48" i="12"/>
  <c r="R48" i="12" s="1"/>
  <c r="J39" i="10"/>
  <c r="J22" i="16"/>
  <c r="J52" i="14"/>
  <c r="R52" i="14" s="1"/>
  <c r="J13" i="18"/>
  <c r="R13" i="18" s="1"/>
  <c r="J19" i="16"/>
  <c r="J54" i="6"/>
  <c r="R14" i="8"/>
  <c r="S67" i="2"/>
  <c r="J54" i="2"/>
  <c r="S54" i="2" s="1"/>
  <c r="F70" i="2"/>
  <c r="G6" i="2"/>
  <c r="J15" i="2"/>
  <c r="S15" i="2" s="1"/>
  <c r="G70" i="8"/>
  <c r="I70" i="4"/>
  <c r="W4" i="26" s="1"/>
  <c r="X4" i="26" s="1"/>
  <c r="J69" i="4"/>
  <c r="J64" i="4"/>
  <c r="J42" i="4"/>
  <c r="J62" i="4"/>
  <c r="J50" i="4"/>
  <c r="J57" i="4"/>
  <c r="J25" i="4"/>
  <c r="J21" i="4"/>
  <c r="J11" i="4"/>
  <c r="J17" i="4"/>
  <c r="J13" i="4"/>
  <c r="J27" i="4"/>
  <c r="J23" i="4"/>
  <c r="J40" i="4"/>
  <c r="AL8" i="27"/>
  <c r="Z38" i="27"/>
  <c r="R3" i="27"/>
  <c r="AL15" i="27"/>
  <c r="AL10" i="27"/>
  <c r="R45" i="27"/>
  <c r="AX36" i="27"/>
  <c r="AP37" i="27"/>
  <c r="AL51" i="27"/>
  <c r="R23" i="27"/>
  <c r="AL18" i="27"/>
  <c r="AL11" i="27"/>
  <c r="AL46" i="27"/>
  <c r="AL50" i="27"/>
  <c r="Z25" i="27"/>
  <c r="R18" i="27"/>
  <c r="Z55" i="27"/>
  <c r="AP12" i="27"/>
  <c r="AD12" i="27"/>
  <c r="AD17" i="27"/>
  <c r="AD42" i="27"/>
  <c r="AD58" i="27"/>
  <c r="AD53" i="27"/>
  <c r="AX32" i="27"/>
  <c r="AX26" i="27"/>
  <c r="AL45" i="27"/>
  <c r="AP49" i="27"/>
  <c r="AL30" i="27"/>
  <c r="Z9" i="27"/>
  <c r="AL36" i="27"/>
  <c r="AL21" i="27"/>
  <c r="AD66" i="27"/>
  <c r="R43" i="27"/>
  <c r="AX49" i="27"/>
  <c r="AX15" i="27"/>
  <c r="AL43" i="27"/>
  <c r="AL34" i="27"/>
  <c r="AX39" i="27"/>
  <c r="AX54" i="27"/>
  <c r="AD52" i="27"/>
  <c r="AP34" i="27"/>
  <c r="AX58" i="27"/>
  <c r="AL6" i="27"/>
  <c r="AD29" i="27"/>
  <c r="Z12" i="27"/>
  <c r="AX44" i="27"/>
  <c r="R39" i="27"/>
  <c r="Z53" i="27"/>
  <c r="AL33" i="27"/>
  <c r="AL57" i="27"/>
  <c r="AT15" i="27"/>
  <c r="AX5" i="27"/>
  <c r="AD31" i="27"/>
  <c r="R61" i="27"/>
  <c r="AL25" i="27"/>
  <c r="AD55" i="27"/>
  <c r="AL35" i="27"/>
  <c r="AP42" i="27"/>
  <c r="AX41" i="27"/>
  <c r="AX30" i="27"/>
  <c r="AD39" i="27"/>
  <c r="AL52" i="27"/>
  <c r="Z59" i="27"/>
  <c r="Z45" i="27"/>
  <c r="Z63" i="27"/>
  <c r="AD57" i="27"/>
  <c r="Z35" i="27"/>
  <c r="AD25" i="27"/>
  <c r="Z3" i="27"/>
  <c r="Z50" i="27"/>
  <c r="AL9" i="27"/>
  <c r="AP63" i="27"/>
  <c r="AP47" i="27"/>
  <c r="Z7" i="27"/>
  <c r="AD61" i="27"/>
  <c r="AP3" i="27"/>
  <c r="Z64" i="27"/>
  <c r="AP59" i="27"/>
  <c r="AL24" i="27"/>
  <c r="AL44" i="27"/>
  <c r="AP41" i="27"/>
  <c r="AL28" i="27"/>
  <c r="AP53" i="27"/>
  <c r="R31" i="27"/>
  <c r="Z57" i="27"/>
  <c r="AP60" i="27"/>
  <c r="R58" i="27"/>
  <c r="R53" i="27"/>
  <c r="AD51" i="27"/>
  <c r="AD21" i="27"/>
  <c r="Z61" i="27"/>
  <c r="AX13" i="27"/>
  <c r="AL23" i="27"/>
  <c r="AL13" i="27"/>
  <c r="AD63" i="27"/>
  <c r="AP17" i="27"/>
  <c r="R11" i="27"/>
  <c r="R27" i="27"/>
  <c r="AL63" i="27"/>
  <c r="AD43" i="27"/>
  <c r="AP5" i="27"/>
  <c r="AL29" i="27"/>
  <c r="AP48" i="27"/>
  <c r="AD49" i="27"/>
  <c r="AL60" i="27"/>
  <c r="AD48" i="27"/>
  <c r="AP45" i="27"/>
  <c r="AP57" i="27"/>
  <c r="AD35" i="27"/>
  <c r="AP33" i="27"/>
  <c r="AL26" i="27"/>
  <c r="AP56" i="27"/>
  <c r="AP4" i="27"/>
  <c r="AX59" i="27"/>
  <c r="R17" i="27"/>
  <c r="R13" i="27"/>
  <c r="AP46" i="27"/>
  <c r="AP14" i="27"/>
  <c r="Z49" i="27"/>
  <c r="AD40" i="27"/>
  <c r="AP23" i="27"/>
  <c r="AX52" i="27"/>
  <c r="R5" i="27"/>
  <c r="AX4" i="27"/>
  <c r="AP29" i="27"/>
  <c r="AL19" i="27"/>
  <c r="R12" i="27"/>
  <c r="AL48" i="27"/>
  <c r="AL37" i="27"/>
  <c r="AT26" i="27"/>
  <c r="AX62" i="27"/>
  <c r="AL7" i="27"/>
  <c r="R10" i="27"/>
  <c r="AL41" i="27"/>
  <c r="R49" i="27"/>
  <c r="AL31" i="27"/>
  <c r="Z65" i="27"/>
  <c r="AX40" i="27"/>
  <c r="J70" i="10" l="1"/>
  <c r="AV15" i="27"/>
  <c r="AZ39" i="27"/>
  <c r="AZ26" i="27"/>
  <c r="AN11" i="27"/>
  <c r="AR4" i="27"/>
  <c r="AB65" i="27"/>
  <c r="AZ4" i="27"/>
  <c r="AN26" i="27"/>
  <c r="AN63" i="27"/>
  <c r="T53" i="27"/>
  <c r="AP67" i="27"/>
  <c r="AR3" i="27"/>
  <c r="AB45" i="27"/>
  <c r="AN57" i="27"/>
  <c r="AN34" i="27"/>
  <c r="AZ32" i="27"/>
  <c r="AN18" i="27"/>
  <c r="AB35" i="27"/>
  <c r="AR29" i="27"/>
  <c r="T5" i="27"/>
  <c r="AR33" i="27"/>
  <c r="T27" i="27"/>
  <c r="T58" i="27"/>
  <c r="AB63" i="27"/>
  <c r="AB59" i="27"/>
  <c r="AN33" i="27"/>
  <c r="AN43" i="27"/>
  <c r="AF53" i="27"/>
  <c r="T23" i="27"/>
  <c r="AZ54" i="27"/>
  <c r="AN31" i="27"/>
  <c r="AZ52" i="27"/>
  <c r="AF35" i="27"/>
  <c r="T11" i="27"/>
  <c r="AR60" i="27"/>
  <c r="AZ5" i="27"/>
  <c r="AN52" i="27"/>
  <c r="AB53" i="27"/>
  <c r="AZ15" i="27"/>
  <c r="AF58" i="27"/>
  <c r="AN51" i="27"/>
  <c r="AN19" i="27"/>
  <c r="T49" i="27"/>
  <c r="AR23" i="27"/>
  <c r="AR57" i="27"/>
  <c r="AR17" i="27"/>
  <c r="AB57" i="27"/>
  <c r="AF61" i="27"/>
  <c r="AF39" i="27"/>
  <c r="T39" i="27"/>
  <c r="AZ49" i="27"/>
  <c r="AF42" i="27"/>
  <c r="AR37" i="27"/>
  <c r="AF31" i="27"/>
  <c r="AN41" i="27"/>
  <c r="AF40" i="27"/>
  <c r="AR45" i="27"/>
  <c r="AF63" i="27"/>
  <c r="T31" i="27"/>
  <c r="AB7" i="27"/>
  <c r="AZ30" i="27"/>
  <c r="AZ44" i="27"/>
  <c r="T43" i="27"/>
  <c r="AF17" i="27"/>
  <c r="AZ36" i="27"/>
  <c r="AN45" i="27"/>
  <c r="T10" i="27"/>
  <c r="AB49" i="27"/>
  <c r="AF48" i="27"/>
  <c r="AN13" i="27"/>
  <c r="AR53" i="27"/>
  <c r="AR47" i="27"/>
  <c r="AZ41" i="27"/>
  <c r="AB12" i="27"/>
  <c r="AF66" i="27"/>
  <c r="AF12" i="27"/>
  <c r="T45" i="27"/>
  <c r="AF43" i="27"/>
  <c r="AN7" i="27"/>
  <c r="AR14" i="27"/>
  <c r="AN60" i="27"/>
  <c r="AN23" i="27"/>
  <c r="AN28" i="27"/>
  <c r="AR63" i="27"/>
  <c r="AR42" i="27"/>
  <c r="AF29" i="27"/>
  <c r="AN21" i="27"/>
  <c r="AR12" i="27"/>
  <c r="AN10" i="27"/>
  <c r="AZ40" i="27"/>
  <c r="AZ62" i="27"/>
  <c r="AR46" i="27"/>
  <c r="AF49" i="27"/>
  <c r="AZ13" i="27"/>
  <c r="AR41" i="27"/>
  <c r="AN9" i="27"/>
  <c r="AN35" i="27"/>
  <c r="AN6" i="27"/>
  <c r="AN36" i="27"/>
  <c r="AB55" i="27"/>
  <c r="AN15" i="27"/>
  <c r="AR56" i="27"/>
  <c r="AV26" i="27"/>
  <c r="T13" i="27"/>
  <c r="AR48" i="27"/>
  <c r="AB61" i="27"/>
  <c r="AN44" i="27"/>
  <c r="AB50" i="27"/>
  <c r="AF55" i="27"/>
  <c r="AZ58" i="27"/>
  <c r="AB9" i="27"/>
  <c r="T18" i="27"/>
  <c r="R67" i="27"/>
  <c r="T3" i="27"/>
  <c r="AF57" i="27"/>
  <c r="AN37" i="27"/>
  <c r="T17" i="27"/>
  <c r="AN29" i="27"/>
  <c r="AF21" i="27"/>
  <c r="AN24" i="27"/>
  <c r="Z67" i="27"/>
  <c r="AB3" i="27"/>
  <c r="AN25" i="27"/>
  <c r="AR34" i="27"/>
  <c r="AN30" i="27"/>
  <c r="AB25" i="27"/>
  <c r="AB38" i="27"/>
  <c r="AN46" i="27"/>
  <c r="AN48" i="27"/>
  <c r="AZ59" i="27"/>
  <c r="AR5" i="27"/>
  <c r="AF51" i="27"/>
  <c r="AR59" i="27"/>
  <c r="AF25" i="27"/>
  <c r="T61" i="27"/>
  <c r="AF52" i="27"/>
  <c r="AR49" i="27"/>
  <c r="AN50" i="27"/>
  <c r="AN8" i="27"/>
  <c r="AB64" i="27"/>
  <c r="T12" i="27"/>
  <c r="J6" i="2"/>
  <c r="G70" i="2"/>
  <c r="K67" i="4"/>
  <c r="R67" i="4" s="1"/>
  <c r="K63" i="4"/>
  <c r="R63" i="4" s="1"/>
  <c r="K59" i="4"/>
  <c r="R59" i="4" s="1"/>
  <c r="K55" i="4"/>
  <c r="R55" i="4" s="1"/>
  <c r="K51" i="4"/>
  <c r="R51" i="4" s="1"/>
  <c r="K58" i="4"/>
  <c r="R58" i="4" s="1"/>
  <c r="K69" i="4"/>
  <c r="K49" i="4"/>
  <c r="R49" i="4" s="1"/>
  <c r="K33" i="4"/>
  <c r="R33" i="4" s="1"/>
  <c r="K64" i="4"/>
  <c r="K43" i="4"/>
  <c r="K40" i="4"/>
  <c r="K27" i="4"/>
  <c r="R27" i="4" s="1"/>
  <c r="K23" i="4"/>
  <c r="K19" i="4"/>
  <c r="R19" i="4" s="1"/>
  <c r="K15" i="4"/>
  <c r="R15" i="4" s="1"/>
  <c r="K11" i="4"/>
  <c r="K56" i="4"/>
  <c r="K53" i="4"/>
  <c r="R53" i="4" s="1"/>
  <c r="K34" i="4"/>
  <c r="R34" i="4" s="1"/>
  <c r="K62" i="4"/>
  <c r="R62" i="4" s="1"/>
  <c r="K50" i="4"/>
  <c r="K47" i="4"/>
  <c r="R47" i="4" s="1"/>
  <c r="K44" i="4"/>
  <c r="R44" i="4" s="1"/>
  <c r="K31" i="4"/>
  <c r="R31" i="4" s="1"/>
  <c r="K28" i="4"/>
  <c r="R28" i="4" s="1"/>
  <c r="K24" i="4"/>
  <c r="R24" i="4" s="1"/>
  <c r="K20" i="4"/>
  <c r="R20" i="4" s="1"/>
  <c r="K16" i="4"/>
  <c r="R16" i="4" s="1"/>
  <c r="K12" i="4"/>
  <c r="R12" i="4" s="1"/>
  <c r="K7" i="4"/>
  <c r="R7" i="4" s="1"/>
  <c r="K68" i="4"/>
  <c r="R68" i="4" s="1"/>
  <c r="K57" i="4"/>
  <c r="R57" i="4" s="1"/>
  <c r="K48" i="4"/>
  <c r="R48" i="4" s="1"/>
  <c r="K35" i="4"/>
  <c r="K32" i="4"/>
  <c r="R32" i="4" s="1"/>
  <c r="K42" i="4"/>
  <c r="R42" i="4" s="1"/>
  <c r="K52" i="4"/>
  <c r="R52" i="4" s="1"/>
  <c r="K26" i="4"/>
  <c r="R26" i="4" s="1"/>
  <c r="K22" i="4"/>
  <c r="R22" i="4" s="1"/>
  <c r="K18" i="4"/>
  <c r="R18" i="4" s="1"/>
  <c r="K14" i="4"/>
  <c r="R14" i="4" s="1"/>
  <c r="K10" i="4"/>
  <c r="R10" i="4" s="1"/>
  <c r="K8" i="4"/>
  <c r="R8" i="4" s="1"/>
  <c r="K54" i="4"/>
  <c r="R54" i="4" s="1"/>
  <c r="K30" i="4"/>
  <c r="R30" i="4" s="1"/>
  <c r="K66" i="4"/>
  <c r="R66" i="4" s="1"/>
  <c r="K61" i="4"/>
  <c r="R61" i="4" s="1"/>
  <c r="K37" i="4"/>
  <c r="R37" i="4" s="1"/>
  <c r="K6" i="4"/>
  <c r="K25" i="4"/>
  <c r="K17" i="4"/>
  <c r="K13" i="4"/>
  <c r="K65" i="4"/>
  <c r="R65" i="4" s="1"/>
  <c r="K39" i="4"/>
  <c r="K46" i="4"/>
  <c r="R46" i="4" s="1"/>
  <c r="K41" i="4"/>
  <c r="R41" i="4" s="1"/>
  <c r="K21" i="4"/>
  <c r="R21" i="4" s="1"/>
  <c r="K60" i="4"/>
  <c r="R60" i="4" s="1"/>
  <c r="K36" i="4"/>
  <c r="R36" i="4" s="1"/>
  <c r="K45" i="4"/>
  <c r="R45" i="4" s="1"/>
  <c r="K38" i="4"/>
  <c r="R38" i="4" s="1"/>
  <c r="K29" i="4"/>
  <c r="R29" i="4" s="1"/>
  <c r="K9" i="4"/>
  <c r="R9" i="4" s="1"/>
  <c r="R56" i="4"/>
  <c r="J27" i="24"/>
  <c r="R27" i="24" s="1"/>
  <c r="R70" i="20"/>
  <c r="J61" i="22"/>
  <c r="R61" i="22" s="1"/>
  <c r="J70" i="18"/>
  <c r="R6" i="18"/>
  <c r="J20" i="22"/>
  <c r="R20" i="22" s="1"/>
  <c r="R50" i="4"/>
  <c r="R35" i="4"/>
  <c r="J25" i="22"/>
  <c r="R25" i="22" s="1"/>
  <c r="R14" i="16"/>
  <c r="R13" i="16"/>
  <c r="J65" i="22"/>
  <c r="R65" i="22" s="1"/>
  <c r="J45" i="22"/>
  <c r="R45" i="22" s="1"/>
  <c r="J70" i="20"/>
  <c r="BA67" i="27"/>
  <c r="R63" i="10"/>
  <c r="J54" i="24"/>
  <c r="R54" i="24" s="1"/>
  <c r="J53" i="22"/>
  <c r="R53" i="22" s="1"/>
  <c r="J21" i="24"/>
  <c r="R21" i="24" s="1"/>
  <c r="J57" i="22"/>
  <c r="R57" i="22" s="1"/>
  <c r="K14" i="6"/>
  <c r="R14" i="6" s="1"/>
  <c r="K68" i="6"/>
  <c r="R68" i="6" s="1"/>
  <c r="K64" i="6"/>
  <c r="R64" i="6" s="1"/>
  <c r="K60" i="6"/>
  <c r="R60" i="6" s="1"/>
  <c r="K56" i="6"/>
  <c r="R56" i="6" s="1"/>
  <c r="K52" i="6"/>
  <c r="R52" i="6" s="1"/>
  <c r="K48" i="6"/>
  <c r="R48" i="6" s="1"/>
  <c r="K44" i="6"/>
  <c r="R44" i="6" s="1"/>
  <c r="K40" i="6"/>
  <c r="R40" i="6" s="1"/>
  <c r="K36" i="6"/>
  <c r="R36" i="6" s="1"/>
  <c r="K32" i="6"/>
  <c r="R32" i="6" s="1"/>
  <c r="K28" i="6"/>
  <c r="R28" i="6" s="1"/>
  <c r="K24" i="6"/>
  <c r="R24" i="6" s="1"/>
  <c r="K20" i="6"/>
  <c r="R20" i="6" s="1"/>
  <c r="K51" i="6"/>
  <c r="K46" i="6"/>
  <c r="R46" i="6" s="1"/>
  <c r="K41" i="6"/>
  <c r="R41" i="6" s="1"/>
  <c r="K18" i="6"/>
  <c r="K31" i="6"/>
  <c r="R31" i="6" s="1"/>
  <c r="K26" i="6"/>
  <c r="R26" i="6" s="1"/>
  <c r="K21" i="6"/>
  <c r="R21" i="6" s="1"/>
  <c r="K69" i="6"/>
  <c r="R69" i="6" s="1"/>
  <c r="K59" i="6"/>
  <c r="R59" i="6" s="1"/>
  <c r="K54" i="6"/>
  <c r="R54" i="6" s="1"/>
  <c r="K49" i="6"/>
  <c r="R49" i="6" s="1"/>
  <c r="K16" i="6"/>
  <c r="R16" i="6" s="1"/>
  <c r="K13" i="6"/>
  <c r="R13" i="6" s="1"/>
  <c r="K10" i="6"/>
  <c r="R10" i="6" s="1"/>
  <c r="K39" i="6"/>
  <c r="R39" i="6" s="1"/>
  <c r="K34" i="6"/>
  <c r="R34" i="6" s="1"/>
  <c r="K29" i="6"/>
  <c r="R29" i="6" s="1"/>
  <c r="K7" i="6"/>
  <c r="R7" i="6" s="1"/>
  <c r="K67" i="6"/>
  <c r="R67" i="6" s="1"/>
  <c r="K55" i="6"/>
  <c r="R55" i="6" s="1"/>
  <c r="K35" i="6"/>
  <c r="R35" i="6" s="1"/>
  <c r="K30" i="6"/>
  <c r="R30" i="6" s="1"/>
  <c r="K66" i="6"/>
  <c r="R66" i="6" s="1"/>
  <c r="K57" i="6"/>
  <c r="R57" i="6" s="1"/>
  <c r="K47" i="6"/>
  <c r="R47" i="6" s="1"/>
  <c r="K25" i="6"/>
  <c r="R25" i="6" s="1"/>
  <c r="K8" i="6"/>
  <c r="R8" i="6" s="1"/>
  <c r="K63" i="6"/>
  <c r="R63" i="6" s="1"/>
  <c r="K27" i="6"/>
  <c r="R27" i="6" s="1"/>
  <c r="K23" i="6"/>
  <c r="R23" i="6" s="1"/>
  <c r="K19" i="6"/>
  <c r="R19" i="6" s="1"/>
  <c r="K17" i="6"/>
  <c r="R17" i="6" s="1"/>
  <c r="K15" i="6"/>
  <c r="R15" i="6" s="1"/>
  <c r="K65" i="6"/>
  <c r="R65" i="6" s="1"/>
  <c r="K61" i="6"/>
  <c r="R61" i="6" s="1"/>
  <c r="K38" i="6"/>
  <c r="R38" i="6" s="1"/>
  <c r="K11" i="6"/>
  <c r="R11" i="6" s="1"/>
  <c r="K6" i="6"/>
  <c r="K33" i="6"/>
  <c r="R33" i="6" s="1"/>
  <c r="K22" i="6"/>
  <c r="R22" i="6" s="1"/>
  <c r="K12" i="6"/>
  <c r="R12" i="6" s="1"/>
  <c r="K9" i="6"/>
  <c r="R9" i="6" s="1"/>
  <c r="K62" i="6"/>
  <c r="R62" i="6" s="1"/>
  <c r="K50" i="6"/>
  <c r="R50" i="6" s="1"/>
  <c r="K45" i="6"/>
  <c r="R45" i="6" s="1"/>
  <c r="K43" i="6"/>
  <c r="R43" i="6" s="1"/>
  <c r="K58" i="6"/>
  <c r="R58" i="6" s="1"/>
  <c r="K37" i="6"/>
  <c r="R37" i="6" s="1"/>
  <c r="K42" i="6"/>
  <c r="R42" i="6" s="1"/>
  <c r="K53" i="6"/>
  <c r="R53" i="6" s="1"/>
  <c r="J51" i="24"/>
  <c r="R51" i="24" s="1"/>
  <c r="R51" i="6"/>
  <c r="J41" i="22"/>
  <c r="R41" i="22" s="1"/>
  <c r="R40" i="4"/>
  <c r="R64" i="4"/>
  <c r="J9" i="24"/>
  <c r="R9" i="24" s="1"/>
  <c r="J64" i="24"/>
  <c r="R64" i="24" s="1"/>
  <c r="J59" i="24"/>
  <c r="R59" i="24" s="1"/>
  <c r="J33" i="22"/>
  <c r="R33" i="22" s="1"/>
  <c r="R23" i="4"/>
  <c r="R69" i="4"/>
  <c r="R19" i="16"/>
  <c r="J37" i="22"/>
  <c r="R37" i="22" s="1"/>
  <c r="J69" i="24"/>
  <c r="R69" i="24" s="1"/>
  <c r="J56" i="24"/>
  <c r="R56" i="24" s="1"/>
  <c r="R30" i="16"/>
  <c r="J19" i="24"/>
  <c r="R19" i="24" s="1"/>
  <c r="J70" i="16"/>
  <c r="K9" i="10"/>
  <c r="R9" i="10" s="1"/>
  <c r="K63" i="10"/>
  <c r="K59" i="10"/>
  <c r="K55" i="10"/>
  <c r="R55" i="10" s="1"/>
  <c r="K51" i="10"/>
  <c r="R51" i="10" s="1"/>
  <c r="K47" i="10"/>
  <c r="R47" i="10" s="1"/>
  <c r="K43" i="10"/>
  <c r="R43" i="10" s="1"/>
  <c r="K39" i="10"/>
  <c r="K35" i="10"/>
  <c r="K31" i="10"/>
  <c r="R31" i="10" s="1"/>
  <c r="K27" i="10"/>
  <c r="K23" i="10"/>
  <c r="K14" i="10"/>
  <c r="R14" i="10" s="1"/>
  <c r="K67" i="10"/>
  <c r="R67" i="10" s="1"/>
  <c r="K19" i="10"/>
  <c r="R19" i="10" s="1"/>
  <c r="K10" i="10"/>
  <c r="R10" i="10" s="1"/>
  <c r="K64" i="10"/>
  <c r="R64" i="10" s="1"/>
  <c r="K60" i="10"/>
  <c r="R60" i="10" s="1"/>
  <c r="K56" i="10"/>
  <c r="R56" i="10" s="1"/>
  <c r="K52" i="10"/>
  <c r="R52" i="10" s="1"/>
  <c r="K48" i="10"/>
  <c r="R48" i="10" s="1"/>
  <c r="K44" i="10"/>
  <c r="R44" i="10" s="1"/>
  <c r="K40" i="10"/>
  <c r="R40" i="10" s="1"/>
  <c r="K36" i="10"/>
  <c r="R36" i="10" s="1"/>
  <c r="K32" i="10"/>
  <c r="R32" i="10" s="1"/>
  <c r="K28" i="10"/>
  <c r="R28" i="10" s="1"/>
  <c r="K24" i="10"/>
  <c r="R24" i="10" s="1"/>
  <c r="K15" i="10"/>
  <c r="R15" i="10" s="1"/>
  <c r="K20" i="10"/>
  <c r="R20" i="10" s="1"/>
  <c r="K11" i="10"/>
  <c r="R11" i="10" s="1"/>
  <c r="K6" i="10"/>
  <c r="K68" i="10"/>
  <c r="R68" i="10" s="1"/>
  <c r="K61" i="10"/>
  <c r="R61" i="10" s="1"/>
  <c r="K57" i="10"/>
  <c r="R57" i="10" s="1"/>
  <c r="K53" i="10"/>
  <c r="R53" i="10" s="1"/>
  <c r="K49" i="10"/>
  <c r="R49" i="10" s="1"/>
  <c r="K45" i="10"/>
  <c r="R45" i="10" s="1"/>
  <c r="K41" i="10"/>
  <c r="R41" i="10" s="1"/>
  <c r="K37" i="10"/>
  <c r="R37" i="10" s="1"/>
  <c r="K33" i="10"/>
  <c r="R33" i="10" s="1"/>
  <c r="K29" i="10"/>
  <c r="R29" i="10" s="1"/>
  <c r="K25" i="10"/>
  <c r="R25" i="10" s="1"/>
  <c r="K21" i="10"/>
  <c r="R21" i="10" s="1"/>
  <c r="K16" i="10"/>
  <c r="R16" i="10" s="1"/>
  <c r="K12" i="10"/>
  <c r="R12" i="10" s="1"/>
  <c r="K65" i="10"/>
  <c r="R65" i="10" s="1"/>
  <c r="K66" i="10"/>
  <c r="R66" i="10" s="1"/>
  <c r="K50" i="10"/>
  <c r="K22" i="10"/>
  <c r="R22" i="10" s="1"/>
  <c r="K13" i="10"/>
  <c r="K58" i="10"/>
  <c r="R58" i="10" s="1"/>
  <c r="K42" i="10"/>
  <c r="R42" i="10" s="1"/>
  <c r="K17" i="10"/>
  <c r="R17" i="10" s="1"/>
  <c r="K8" i="10"/>
  <c r="R8" i="10" s="1"/>
  <c r="K34" i="10"/>
  <c r="R34" i="10" s="1"/>
  <c r="K69" i="10"/>
  <c r="R69" i="10" s="1"/>
  <c r="K54" i="10"/>
  <c r="K46" i="10"/>
  <c r="K38" i="10"/>
  <c r="R38" i="10" s="1"/>
  <c r="K18" i="10"/>
  <c r="R18" i="10" s="1"/>
  <c r="K7" i="10"/>
  <c r="R7" i="10" s="1"/>
  <c r="K62" i="10"/>
  <c r="R62" i="10" s="1"/>
  <c r="K26" i="10"/>
  <c r="R26" i="10" s="1"/>
  <c r="K30" i="10"/>
  <c r="R30" i="10" s="1"/>
  <c r="J11" i="22"/>
  <c r="R11" i="22" s="1"/>
  <c r="R23" i="10"/>
  <c r="R27" i="10"/>
  <c r="J49" i="22"/>
  <c r="R49" i="22" s="1"/>
  <c r="R6" i="14"/>
  <c r="J70" i="14"/>
  <c r="J45" i="24"/>
  <c r="R45" i="24" s="1"/>
  <c r="R50" i="10"/>
  <c r="R54" i="10"/>
  <c r="R26" i="16"/>
  <c r="R59" i="10"/>
  <c r="R35" i="16"/>
  <c r="R13" i="4"/>
  <c r="R20" i="16"/>
  <c r="R12" i="16"/>
  <c r="R39" i="4"/>
  <c r="R60" i="16"/>
  <c r="J69" i="22"/>
  <c r="R69" i="22" s="1"/>
  <c r="J70" i="6"/>
  <c r="R39" i="16"/>
  <c r="J62" i="22"/>
  <c r="R62" i="22" s="1"/>
  <c r="J40" i="24"/>
  <c r="R40" i="24" s="1"/>
  <c r="J68" i="24"/>
  <c r="R68" i="24" s="1"/>
  <c r="X3" i="26"/>
  <c r="X15" i="26" s="1"/>
  <c r="W15" i="26"/>
  <c r="R18" i="6"/>
  <c r="J67" i="24"/>
  <c r="R67" i="24" s="1"/>
  <c r="J52" i="22"/>
  <c r="R52" i="22" s="1"/>
  <c r="G6" i="4"/>
  <c r="F70" i="4"/>
  <c r="R17" i="4"/>
  <c r="R68" i="16"/>
  <c r="K68" i="16"/>
  <c r="K64" i="16"/>
  <c r="R64" i="16" s="1"/>
  <c r="K60" i="16"/>
  <c r="K56" i="16"/>
  <c r="K52" i="16"/>
  <c r="R52" i="16" s="1"/>
  <c r="K48" i="16"/>
  <c r="R48" i="16" s="1"/>
  <c r="K65" i="16"/>
  <c r="R65" i="16" s="1"/>
  <c r="K62" i="16"/>
  <c r="R62" i="16" s="1"/>
  <c r="K55" i="16"/>
  <c r="R55" i="16" s="1"/>
  <c r="K20" i="16"/>
  <c r="K11" i="16"/>
  <c r="R11" i="16" s="1"/>
  <c r="K6" i="16"/>
  <c r="K59" i="16"/>
  <c r="R59" i="16" s="1"/>
  <c r="K21" i="16"/>
  <c r="R21" i="16" s="1"/>
  <c r="K12" i="16"/>
  <c r="K49" i="16"/>
  <c r="R49" i="16" s="1"/>
  <c r="K7" i="16"/>
  <c r="R7" i="16" s="1"/>
  <c r="K66" i="16"/>
  <c r="R66" i="16" s="1"/>
  <c r="K63" i="16"/>
  <c r="R63" i="16" s="1"/>
  <c r="K46" i="16"/>
  <c r="R46" i="16" s="1"/>
  <c r="K42" i="16"/>
  <c r="R42" i="16" s="1"/>
  <c r="K38" i="16"/>
  <c r="R38" i="16" s="1"/>
  <c r="K34" i="16"/>
  <c r="R34" i="16" s="1"/>
  <c r="K30" i="16"/>
  <c r="K26" i="16"/>
  <c r="K22" i="16"/>
  <c r="R22" i="16" s="1"/>
  <c r="K17" i="16"/>
  <c r="K50" i="16"/>
  <c r="R50" i="16" s="1"/>
  <c r="K61" i="16"/>
  <c r="R61" i="16" s="1"/>
  <c r="K44" i="16"/>
  <c r="R44" i="16" s="1"/>
  <c r="K40" i="16"/>
  <c r="R40" i="16" s="1"/>
  <c r="K36" i="16"/>
  <c r="R36" i="16" s="1"/>
  <c r="K32" i="16"/>
  <c r="R32" i="16" s="1"/>
  <c r="K28" i="16"/>
  <c r="R28" i="16" s="1"/>
  <c r="K24" i="16"/>
  <c r="R24" i="16" s="1"/>
  <c r="K67" i="16"/>
  <c r="K69" i="16"/>
  <c r="R69" i="16" s="1"/>
  <c r="K58" i="16"/>
  <c r="R58" i="16" s="1"/>
  <c r="K13" i="16"/>
  <c r="K8" i="16"/>
  <c r="R8" i="16" s="1"/>
  <c r="K51" i="16"/>
  <c r="R51" i="16" s="1"/>
  <c r="K43" i="16"/>
  <c r="R43" i="16" s="1"/>
  <c r="K39" i="16"/>
  <c r="K35" i="16"/>
  <c r="K31" i="16"/>
  <c r="R31" i="16" s="1"/>
  <c r="K27" i="16"/>
  <c r="R27" i="16" s="1"/>
  <c r="K23" i="16"/>
  <c r="R23" i="16" s="1"/>
  <c r="K16" i="16"/>
  <c r="R16" i="16" s="1"/>
  <c r="K14" i="16"/>
  <c r="K54" i="16"/>
  <c r="R54" i="16" s="1"/>
  <c r="K29" i="16"/>
  <c r="R29" i="16" s="1"/>
  <c r="K57" i="16"/>
  <c r="R57" i="16" s="1"/>
  <c r="K9" i="16"/>
  <c r="R9" i="16" s="1"/>
  <c r="K37" i="16"/>
  <c r="R37" i="16" s="1"/>
  <c r="K18" i="16"/>
  <c r="K45" i="16"/>
  <c r="R45" i="16" s="1"/>
  <c r="K15" i="16"/>
  <c r="R15" i="16" s="1"/>
  <c r="K25" i="16"/>
  <c r="R25" i="16" s="1"/>
  <c r="K53" i="16"/>
  <c r="R53" i="16" s="1"/>
  <c r="K33" i="16"/>
  <c r="R33" i="16" s="1"/>
  <c r="K10" i="16"/>
  <c r="R10" i="16" s="1"/>
  <c r="K47" i="16"/>
  <c r="R47" i="16" s="1"/>
  <c r="K19" i="16"/>
  <c r="K41" i="16"/>
  <c r="R41" i="16" s="1"/>
  <c r="R11" i="4"/>
  <c r="R39" i="10"/>
  <c r="R18" i="16"/>
  <c r="J23" i="24"/>
  <c r="R23" i="24" s="1"/>
  <c r="R70" i="8"/>
  <c r="J25" i="24"/>
  <c r="R25" i="24" s="1"/>
  <c r="R46" i="10"/>
  <c r="R13" i="10"/>
  <c r="J31" i="24"/>
  <c r="R31" i="24" s="1"/>
  <c r="J11" i="24"/>
  <c r="R11" i="24" s="1"/>
  <c r="R17" i="16"/>
  <c r="J50" i="24"/>
  <c r="R50" i="24" s="1"/>
  <c r="R56" i="16"/>
  <c r="J49" i="24"/>
  <c r="R49" i="24" s="1"/>
  <c r="R70" i="12"/>
  <c r="R67" i="16"/>
  <c r="J16" i="22"/>
  <c r="R16" i="22" s="1"/>
  <c r="J43" i="22"/>
  <c r="R43" i="22" s="1"/>
  <c r="J31" i="22"/>
  <c r="R31" i="22" s="1"/>
  <c r="J63" i="22"/>
  <c r="R63" i="22" s="1"/>
  <c r="J13" i="22"/>
  <c r="R13" i="22" s="1"/>
  <c r="J24" i="22"/>
  <c r="R24" i="22" s="1"/>
  <c r="J9" i="22"/>
  <c r="R9" i="22" s="1"/>
  <c r="J38" i="22"/>
  <c r="R38" i="22" s="1"/>
  <c r="J44" i="22"/>
  <c r="R44" i="22" s="1"/>
  <c r="J21" i="22"/>
  <c r="R21" i="22" s="1"/>
  <c r="J68" i="22"/>
  <c r="R68" i="22" s="1"/>
  <c r="J40" i="22"/>
  <c r="R40" i="22" s="1"/>
  <c r="J47" i="22"/>
  <c r="R47" i="22" s="1"/>
  <c r="J14" i="22"/>
  <c r="R14" i="22" s="1"/>
  <c r="J34" i="22"/>
  <c r="R34" i="22" s="1"/>
  <c r="J26" i="22"/>
  <c r="R26" i="22" s="1"/>
  <c r="J67" i="22"/>
  <c r="R67" i="22" s="1"/>
  <c r="J28" i="22"/>
  <c r="R28" i="22" s="1"/>
  <c r="J64" i="22"/>
  <c r="R64" i="22" s="1"/>
  <c r="J48" i="22"/>
  <c r="R48" i="22" s="1"/>
  <c r="J23" i="22"/>
  <c r="R23" i="22" s="1"/>
  <c r="J50" i="22"/>
  <c r="R50" i="22" s="1"/>
  <c r="J19" i="22"/>
  <c r="R19" i="22" s="1"/>
  <c r="J7" i="22"/>
  <c r="R7" i="22" s="1"/>
  <c r="J66" i="22"/>
  <c r="R66" i="22" s="1"/>
  <c r="J60" i="22"/>
  <c r="R60" i="22" s="1"/>
  <c r="J27" i="22"/>
  <c r="R27" i="22" s="1"/>
  <c r="J10" i="22"/>
  <c r="R10" i="22" s="1"/>
  <c r="J42" i="22"/>
  <c r="R42" i="22" s="1"/>
  <c r="J51" i="22"/>
  <c r="R51" i="22" s="1"/>
  <c r="J32" i="22"/>
  <c r="R32" i="22" s="1"/>
  <c r="J17" i="22"/>
  <c r="R17" i="22" s="1"/>
  <c r="J6" i="22"/>
  <c r="J58" i="22"/>
  <c r="R58" i="22" s="1"/>
  <c r="J35" i="22"/>
  <c r="R35" i="22" s="1"/>
  <c r="J22" i="22"/>
  <c r="R22" i="22" s="1"/>
  <c r="J15" i="22"/>
  <c r="R15" i="22" s="1"/>
  <c r="J8" i="22"/>
  <c r="R8" i="22" s="1"/>
  <c r="J54" i="22"/>
  <c r="R54" i="22" s="1"/>
  <c r="J12" i="22"/>
  <c r="R12" i="22" s="1"/>
  <c r="J55" i="22"/>
  <c r="R55" i="22" s="1"/>
  <c r="J46" i="22"/>
  <c r="R46" i="22" s="1"/>
  <c r="J30" i="22"/>
  <c r="R30" i="22" s="1"/>
  <c r="J59" i="22"/>
  <c r="R59" i="22" s="1"/>
  <c r="J56" i="22"/>
  <c r="R56" i="22" s="1"/>
  <c r="J36" i="22"/>
  <c r="R36" i="22" s="1"/>
  <c r="J39" i="22"/>
  <c r="R39" i="22" s="1"/>
  <c r="R25" i="4"/>
  <c r="J32" i="24"/>
  <c r="R32" i="24" s="1"/>
  <c r="J28" i="24"/>
  <c r="R28" i="24" s="1"/>
  <c r="J22" i="24"/>
  <c r="R22" i="24" s="1"/>
  <c r="J34" i="24"/>
  <c r="R34" i="24" s="1"/>
  <c r="J53" i="24"/>
  <c r="R53" i="24" s="1"/>
  <c r="J24" i="24"/>
  <c r="R24" i="24" s="1"/>
  <c r="J60" i="24"/>
  <c r="R60" i="24" s="1"/>
  <c r="J46" i="24"/>
  <c r="R46" i="24" s="1"/>
  <c r="J48" i="24"/>
  <c r="R48" i="24" s="1"/>
  <c r="J10" i="24"/>
  <c r="R10" i="24" s="1"/>
  <c r="J20" i="24"/>
  <c r="R20" i="24" s="1"/>
  <c r="J38" i="24"/>
  <c r="R38" i="24" s="1"/>
  <c r="J12" i="24"/>
  <c r="R12" i="24" s="1"/>
  <c r="J63" i="24"/>
  <c r="R63" i="24" s="1"/>
  <c r="J30" i="24"/>
  <c r="R30" i="24" s="1"/>
  <c r="J37" i="24"/>
  <c r="R37" i="24" s="1"/>
  <c r="J66" i="24"/>
  <c r="R66" i="24" s="1"/>
  <c r="J15" i="24"/>
  <c r="R15" i="24" s="1"/>
  <c r="J14" i="24"/>
  <c r="R14" i="24" s="1"/>
  <c r="J17" i="24"/>
  <c r="R17" i="24" s="1"/>
  <c r="J36" i="24"/>
  <c r="R36" i="24" s="1"/>
  <c r="J26" i="24"/>
  <c r="R26" i="24" s="1"/>
  <c r="J58" i="24"/>
  <c r="R58" i="24" s="1"/>
  <c r="J6" i="24"/>
  <c r="J13" i="24"/>
  <c r="R13" i="24" s="1"/>
  <c r="J41" i="24"/>
  <c r="R41" i="24" s="1"/>
  <c r="R43" i="4"/>
  <c r="R35" i="10"/>
  <c r="J70" i="12"/>
  <c r="J25" i="27"/>
  <c r="AH15" i="27"/>
  <c r="AX14" i="27"/>
  <c r="AT48" i="27"/>
  <c r="AT58" i="27"/>
  <c r="AH43" i="27"/>
  <c r="J12" i="27"/>
  <c r="V50" i="27"/>
  <c r="AT55" i="27"/>
  <c r="AH53" i="27"/>
  <c r="V46" i="27"/>
  <c r="AX23" i="27"/>
  <c r="AT6" i="27"/>
  <c r="N48" i="27"/>
  <c r="AX55" i="27"/>
  <c r="AX21" i="27"/>
  <c r="J20" i="27"/>
  <c r="AT63" i="27"/>
  <c r="V65" i="27"/>
  <c r="N16" i="27"/>
  <c r="AT5" i="27"/>
  <c r="AX18" i="27"/>
  <c r="V61" i="27"/>
  <c r="AT9" i="27"/>
  <c r="V49" i="27"/>
  <c r="V57" i="27"/>
  <c r="AT52" i="27"/>
  <c r="AH6" i="27"/>
  <c r="AH37" i="27"/>
  <c r="AH29" i="27"/>
  <c r="AX27" i="27"/>
  <c r="J29" i="27"/>
  <c r="J39" i="27"/>
  <c r="V44" i="27"/>
  <c r="AH20" i="27"/>
  <c r="V54" i="27"/>
  <c r="N42" i="27"/>
  <c r="AH56" i="27"/>
  <c r="AX65" i="27"/>
  <c r="V37" i="27"/>
  <c r="AT46" i="27"/>
  <c r="AT34" i="27"/>
  <c r="AH54" i="27"/>
  <c r="J49" i="27"/>
  <c r="AX46" i="27"/>
  <c r="AX33" i="27"/>
  <c r="N65" i="27"/>
  <c r="AT62" i="27"/>
  <c r="AH42" i="27"/>
  <c r="J17" i="27"/>
  <c r="V63" i="27"/>
  <c r="AT33" i="27"/>
  <c r="AT61" i="27"/>
  <c r="V15" i="27"/>
  <c r="AT37" i="27"/>
  <c r="J55" i="27"/>
  <c r="AT30" i="27"/>
  <c r="N66" i="27"/>
  <c r="J50" i="27"/>
  <c r="V64" i="27"/>
  <c r="AT12" i="27"/>
  <c r="AH63" i="27"/>
  <c r="N59" i="27"/>
  <c r="AX29" i="27"/>
  <c r="N55" i="27"/>
  <c r="V17" i="27"/>
  <c r="AX19" i="27"/>
  <c r="AH34" i="27"/>
  <c r="V8" i="27"/>
  <c r="AX34" i="27"/>
  <c r="AH41" i="27"/>
  <c r="J28" i="27"/>
  <c r="J59" i="27"/>
  <c r="J44" i="27"/>
  <c r="AH60" i="27"/>
  <c r="AH33" i="27"/>
  <c r="V48" i="27"/>
  <c r="AX61" i="27"/>
  <c r="AH47" i="27"/>
  <c r="J26" i="27"/>
  <c r="AH27" i="27"/>
  <c r="N64" i="27"/>
  <c r="AT64" i="27"/>
  <c r="J35" i="27"/>
  <c r="AT35" i="27"/>
  <c r="J30" i="27"/>
  <c r="N34" i="27"/>
  <c r="N57" i="27"/>
  <c r="AT20" i="27"/>
  <c r="J19" i="27"/>
  <c r="V35" i="27"/>
  <c r="AX45" i="27"/>
  <c r="J48" i="27"/>
  <c r="AH35" i="27"/>
  <c r="AT4" i="27"/>
  <c r="J9" i="27"/>
  <c r="V6" i="27"/>
  <c r="V7" i="27"/>
  <c r="J4" i="27"/>
  <c r="V25" i="27"/>
  <c r="AX35" i="27"/>
  <c r="AT29" i="27"/>
  <c r="J66" i="27"/>
  <c r="AX9" i="27"/>
  <c r="AX37" i="27"/>
  <c r="V26" i="27"/>
  <c r="V22" i="27"/>
  <c r="N43" i="27"/>
  <c r="AH13" i="27"/>
  <c r="J23" i="27"/>
  <c r="J42" i="27"/>
  <c r="N21" i="27"/>
  <c r="AH10" i="27"/>
  <c r="AH55" i="27"/>
  <c r="J8" i="27"/>
  <c r="AT47" i="27"/>
  <c r="J22" i="27"/>
  <c r="AT57" i="27"/>
  <c r="AX66" i="27"/>
  <c r="N61" i="27"/>
  <c r="AT45" i="27"/>
  <c r="N14" i="27"/>
  <c r="V13" i="27"/>
  <c r="N7" i="27"/>
  <c r="AX43" i="27"/>
  <c r="J6" i="27"/>
  <c r="AX42" i="27"/>
  <c r="V12" i="27"/>
  <c r="J13" i="27"/>
  <c r="AH25" i="27"/>
  <c r="AT19" i="27"/>
  <c r="J11" i="27"/>
  <c r="V11" i="27"/>
  <c r="AX64" i="27"/>
  <c r="J7" i="27"/>
  <c r="V38" i="27"/>
  <c r="J32" i="27"/>
  <c r="J46" i="27"/>
  <c r="V16" i="27"/>
  <c r="AX10" i="27"/>
  <c r="J45" i="27"/>
  <c r="V14" i="27"/>
  <c r="J40" i="27"/>
  <c r="J63" i="27"/>
  <c r="V5" i="27"/>
  <c r="J33" i="27"/>
  <c r="AH19" i="27"/>
  <c r="AH50" i="27"/>
  <c r="AT41" i="27"/>
  <c r="AT18" i="27"/>
  <c r="N24" i="27"/>
  <c r="N18" i="27"/>
  <c r="N40" i="27"/>
  <c r="N33" i="27"/>
  <c r="J52" i="27"/>
  <c r="N9" i="27"/>
  <c r="AX25" i="27"/>
  <c r="N10" i="27"/>
  <c r="AT14" i="27"/>
  <c r="AH18" i="27"/>
  <c r="AH17" i="27"/>
  <c r="N22" i="27"/>
  <c r="AT51" i="27"/>
  <c r="AT42" i="27"/>
  <c r="J36" i="27"/>
  <c r="AH61" i="27"/>
  <c r="J15" i="27"/>
  <c r="AH24" i="27"/>
  <c r="AX17" i="27"/>
  <c r="J62" i="27"/>
  <c r="V29" i="27"/>
  <c r="AT28" i="27"/>
  <c r="J47" i="27"/>
  <c r="V59" i="27"/>
  <c r="AT54" i="27"/>
  <c r="J31" i="27"/>
  <c r="V21" i="27"/>
  <c r="J51" i="27"/>
  <c r="J27" i="27"/>
  <c r="AT8" i="27"/>
  <c r="AH5" i="27"/>
  <c r="J57" i="27"/>
  <c r="V20" i="27"/>
  <c r="AH11" i="27"/>
  <c r="J54" i="27"/>
  <c r="AH7" i="27"/>
  <c r="J18" i="27"/>
  <c r="V51" i="27"/>
  <c r="N51" i="27"/>
  <c r="V40" i="27"/>
  <c r="N25" i="27"/>
  <c r="AH45" i="27"/>
  <c r="AH44" i="27"/>
  <c r="N44" i="27"/>
  <c r="AT56" i="27"/>
  <c r="AT24" i="27"/>
  <c r="V36" i="27"/>
  <c r="N50" i="27"/>
  <c r="AX53" i="27"/>
  <c r="N53" i="27"/>
  <c r="J14" i="27"/>
  <c r="AX60" i="27"/>
  <c r="AL3" i="27"/>
  <c r="AH22" i="27"/>
  <c r="J38" i="27"/>
  <c r="J53" i="27"/>
  <c r="V42" i="27"/>
  <c r="N46" i="27"/>
  <c r="N41" i="27"/>
  <c r="V56" i="27"/>
  <c r="V27" i="27"/>
  <c r="J65" i="27"/>
  <c r="V34" i="27"/>
  <c r="V60" i="27"/>
  <c r="AX51" i="27"/>
  <c r="V47" i="27"/>
  <c r="AT39" i="27"/>
  <c r="AT22" i="27"/>
  <c r="N58" i="27"/>
  <c r="AH8" i="27"/>
  <c r="J24" i="27"/>
  <c r="AX48" i="27"/>
  <c r="AT53" i="27"/>
  <c r="V33" i="27"/>
  <c r="AX56" i="27"/>
  <c r="AT7" i="27"/>
  <c r="N8" i="27"/>
  <c r="AX57" i="27"/>
  <c r="N11" i="27"/>
  <c r="AT27" i="27"/>
  <c r="AX6" i="27"/>
  <c r="AX47" i="27"/>
  <c r="N38" i="27"/>
  <c r="AH52" i="27"/>
  <c r="N63" i="27"/>
  <c r="N49" i="27"/>
  <c r="AX22" i="27"/>
  <c r="V18" i="27"/>
  <c r="AT17" i="27"/>
  <c r="V19" i="27"/>
  <c r="V24" i="27"/>
  <c r="N23" i="27"/>
  <c r="AH57" i="27"/>
  <c r="AH32" i="27"/>
  <c r="J5" i="27"/>
  <c r="V23" i="27"/>
  <c r="N52" i="27"/>
  <c r="N29" i="27"/>
  <c r="AT49" i="27"/>
  <c r="AX31" i="27"/>
  <c r="AT50" i="27"/>
  <c r="AH36" i="27"/>
  <c r="AH23" i="27"/>
  <c r="N35" i="27"/>
  <c r="AH62" i="27"/>
  <c r="AH31" i="27"/>
  <c r="N15" i="27"/>
  <c r="AH26" i="27"/>
  <c r="J58" i="27"/>
  <c r="V55" i="27"/>
  <c r="AD3" i="27"/>
  <c r="N17" i="27"/>
  <c r="J61" i="27"/>
  <c r="AT11" i="27"/>
  <c r="AT10" i="27"/>
  <c r="V45" i="27"/>
  <c r="AX11" i="27"/>
  <c r="J37" i="27"/>
  <c r="J56" i="27"/>
  <c r="AX16" i="27"/>
  <c r="AX63" i="27"/>
  <c r="N36" i="27"/>
  <c r="AH39" i="27"/>
  <c r="V31" i="27"/>
  <c r="N31" i="27"/>
  <c r="AT65" i="27"/>
  <c r="AT59" i="27"/>
  <c r="N45" i="27"/>
  <c r="V4" i="27"/>
  <c r="AH58" i="27"/>
  <c r="N4" i="27"/>
  <c r="AH65" i="27"/>
  <c r="AH51" i="27"/>
  <c r="J43" i="27"/>
  <c r="AH16" i="27"/>
  <c r="N56" i="27"/>
  <c r="AH46" i="27"/>
  <c r="AT38" i="27"/>
  <c r="V62" i="27"/>
  <c r="AT44" i="27"/>
  <c r="N39" i="27"/>
  <c r="V58" i="27"/>
  <c r="AH9" i="27"/>
  <c r="V53" i="27"/>
  <c r="J16" i="27"/>
  <c r="V28" i="27"/>
  <c r="N54" i="27"/>
  <c r="N5" i="27"/>
  <c r="AH28" i="27"/>
  <c r="AH48" i="27"/>
  <c r="N60" i="27"/>
  <c r="AT16" i="27"/>
  <c r="AX50" i="27"/>
  <c r="N28" i="27"/>
  <c r="AH21" i="27"/>
  <c r="AT43" i="27"/>
  <c r="N20" i="27"/>
  <c r="AH30" i="27"/>
  <c r="AT31" i="27"/>
  <c r="AX24" i="27"/>
  <c r="AH66" i="27"/>
  <c r="V30" i="27"/>
  <c r="N32" i="27"/>
  <c r="AX8" i="27"/>
  <c r="AH49" i="27"/>
  <c r="N27" i="27"/>
  <c r="AH38" i="27"/>
  <c r="V52" i="27"/>
  <c r="AH40" i="27"/>
  <c r="AH59" i="27"/>
  <c r="AH4" i="27"/>
  <c r="AH64" i="27"/>
  <c r="AX28" i="27"/>
  <c r="V9" i="27"/>
  <c r="AX20" i="27"/>
  <c r="J10" i="27"/>
  <c r="J21" i="27"/>
  <c r="V41" i="27"/>
  <c r="V66" i="27"/>
  <c r="N30" i="27"/>
  <c r="AH12" i="27"/>
  <c r="V32" i="27"/>
  <c r="N19" i="27"/>
  <c r="AT32" i="27"/>
  <c r="J64" i="27"/>
  <c r="N26" i="27"/>
  <c r="V43" i="27"/>
  <c r="J34" i="27"/>
  <c r="N6" i="27"/>
  <c r="V10" i="27"/>
  <c r="AX38" i="27"/>
  <c r="N37" i="27"/>
  <c r="AT40" i="27"/>
  <c r="AT66" i="27"/>
  <c r="N12" i="27"/>
  <c r="AT60" i="27"/>
  <c r="AT25" i="27"/>
  <c r="N62" i="27"/>
  <c r="AH14" i="27"/>
  <c r="V39" i="27"/>
  <c r="J41" i="27"/>
  <c r="N47" i="27"/>
  <c r="AX12" i="27"/>
  <c r="AT36" i="27"/>
  <c r="AT13" i="27"/>
  <c r="AT23" i="27"/>
  <c r="J60" i="27"/>
  <c r="AX7" i="27"/>
  <c r="AT21" i="27"/>
  <c r="N13" i="27"/>
  <c r="AR67" i="27" l="1"/>
  <c r="P33" i="27"/>
  <c r="BB24" i="27"/>
  <c r="BD24" i="27" s="1"/>
  <c r="BE24" i="27" s="1"/>
  <c r="L24" i="27"/>
  <c r="AJ50" i="27"/>
  <c r="AJ20" i="27"/>
  <c r="AJ31" i="27"/>
  <c r="AJ8" i="27"/>
  <c r="BB18" i="27"/>
  <c r="BD18" i="27" s="1"/>
  <c r="BE18" i="27" s="1"/>
  <c r="L18" i="27"/>
  <c r="AJ19" i="27"/>
  <c r="L39" i="27"/>
  <c r="BB39" i="27"/>
  <c r="BD39" i="27" s="1"/>
  <c r="BE39" i="27" s="1"/>
  <c r="L59" i="27"/>
  <c r="BB59" i="27"/>
  <c r="BD59" i="27" s="1"/>
  <c r="BE59" i="27" s="1"/>
  <c r="AJ29" i="27"/>
  <c r="AJ44" i="27"/>
  <c r="AJ56" i="27"/>
  <c r="P47" i="27"/>
  <c r="AJ59" i="27"/>
  <c r="AJ13" i="27"/>
  <c r="AJ62" i="27"/>
  <c r="X40" i="27"/>
  <c r="AJ7" i="27"/>
  <c r="X44" i="27"/>
  <c r="P43" i="27"/>
  <c r="L28" i="27"/>
  <c r="BB28" i="27"/>
  <c r="BD28" i="27" s="1"/>
  <c r="BE28" i="27" s="1"/>
  <c r="AJ37" i="27"/>
  <c r="P39" i="27"/>
  <c r="AJ55" i="27"/>
  <c r="L41" i="27"/>
  <c r="BB41" i="27"/>
  <c r="BD41" i="27" s="1"/>
  <c r="BE41" i="27" s="1"/>
  <c r="AJ40" i="27"/>
  <c r="X48" i="27"/>
  <c r="P35" i="27"/>
  <c r="P51" i="27"/>
  <c r="L54" i="27"/>
  <c r="BB54" i="27"/>
  <c r="BD54" i="27" s="1"/>
  <c r="BE54" i="27" s="1"/>
  <c r="AJ33" i="27"/>
  <c r="AJ60" i="27"/>
  <c r="AJ41" i="27"/>
  <c r="AJ6" i="27"/>
  <c r="AJ54" i="27"/>
  <c r="AJ47" i="27"/>
  <c r="X39" i="27"/>
  <c r="X52" i="27"/>
  <c r="X55" i="27"/>
  <c r="AJ23" i="27"/>
  <c r="P58" i="27"/>
  <c r="AJ11" i="27"/>
  <c r="BB33" i="27"/>
  <c r="BD33" i="27" s="1"/>
  <c r="BE33" i="27" s="1"/>
  <c r="L33" i="27"/>
  <c r="BB29" i="27"/>
  <c r="BD29" i="27" s="1"/>
  <c r="BE29" i="27" s="1"/>
  <c r="L29" i="27"/>
  <c r="AZ34" i="27"/>
  <c r="AV52" i="27"/>
  <c r="AV64" i="27"/>
  <c r="AV10" i="27"/>
  <c r="AJ14" i="27"/>
  <c r="AJ38" i="27"/>
  <c r="AJ46" i="27"/>
  <c r="AJ36" i="27"/>
  <c r="X51" i="27"/>
  <c r="X20" i="27"/>
  <c r="X5" i="27"/>
  <c r="X22" i="27"/>
  <c r="X8" i="27"/>
  <c r="X57" i="27"/>
  <c r="AZ66" i="27"/>
  <c r="P40" i="27"/>
  <c r="P62" i="27"/>
  <c r="P27" i="27"/>
  <c r="P25" i="27"/>
  <c r="AV50" i="27"/>
  <c r="AV22" i="27"/>
  <c r="BB57" i="27"/>
  <c r="BD57" i="27" s="1"/>
  <c r="BE57" i="27" s="1"/>
  <c r="L57" i="27"/>
  <c r="BB63" i="27"/>
  <c r="BD63" i="27" s="1"/>
  <c r="BE63" i="27" s="1"/>
  <c r="L63" i="27"/>
  <c r="L44" i="27"/>
  <c r="BB44" i="27"/>
  <c r="BD44" i="27" s="1"/>
  <c r="BE44" i="27" s="1"/>
  <c r="AJ34" i="27"/>
  <c r="X49" i="27"/>
  <c r="P13" i="27"/>
  <c r="AJ10" i="27"/>
  <c r="AV25" i="27"/>
  <c r="AJ49" i="27"/>
  <c r="BB58" i="27"/>
  <c r="BD58" i="27" s="1"/>
  <c r="BE58" i="27" s="1"/>
  <c r="L58" i="27"/>
  <c r="AZ31" i="27"/>
  <c r="AV39" i="27"/>
  <c r="AJ5" i="27"/>
  <c r="L40" i="27"/>
  <c r="BB40" i="27"/>
  <c r="BD40" i="27" s="1"/>
  <c r="BE40" i="27" s="1"/>
  <c r="AZ27" i="27"/>
  <c r="AZ19" i="27"/>
  <c r="AV9" i="27"/>
  <c r="AV7" i="27"/>
  <c r="AV23" i="27"/>
  <c r="AV60" i="27"/>
  <c r="AZ8" i="27"/>
  <c r="AJ26" i="27"/>
  <c r="AV49" i="27"/>
  <c r="X47" i="27"/>
  <c r="AV8" i="27"/>
  <c r="X14" i="27"/>
  <c r="X26" i="27"/>
  <c r="X17" i="27"/>
  <c r="X61" i="27"/>
  <c r="AV34" i="27"/>
  <c r="P42" i="27"/>
  <c r="P12" i="27"/>
  <c r="P32" i="27"/>
  <c r="P56" i="27"/>
  <c r="P29" i="27"/>
  <c r="AZ51" i="27"/>
  <c r="BB27" i="27"/>
  <c r="BD27" i="27" s="1"/>
  <c r="BE27" i="27" s="1"/>
  <c r="L27" i="27"/>
  <c r="L45" i="27"/>
  <c r="BB45" i="27"/>
  <c r="BD45" i="27" s="1"/>
  <c r="BE45" i="27" s="1"/>
  <c r="AZ37" i="27"/>
  <c r="P55" i="27"/>
  <c r="AZ18" i="27"/>
  <c r="AZ25" i="27"/>
  <c r="AZ28" i="27"/>
  <c r="AV66" i="27"/>
  <c r="X30" i="27"/>
  <c r="AJ16" i="27"/>
  <c r="P52" i="27"/>
  <c r="X60" i="27"/>
  <c r="BB51" i="27"/>
  <c r="BD51" i="27" s="1"/>
  <c r="BE51" i="27" s="1"/>
  <c r="L51" i="27"/>
  <c r="AZ10" i="27"/>
  <c r="AZ9" i="27"/>
  <c r="AZ29" i="27"/>
  <c r="AV5" i="27"/>
  <c r="AV57" i="27"/>
  <c r="AV11" i="27"/>
  <c r="AV40" i="27"/>
  <c r="AJ66" i="27"/>
  <c r="P15" i="27"/>
  <c r="X23" i="27"/>
  <c r="X34" i="27"/>
  <c r="X21" i="27"/>
  <c r="X16" i="27"/>
  <c r="L66" i="27"/>
  <c r="BB66" i="27"/>
  <c r="BD66" i="27" s="1"/>
  <c r="BE66" i="27" s="1"/>
  <c r="P59" i="27"/>
  <c r="P16" i="27"/>
  <c r="P64" i="27"/>
  <c r="P18" i="27"/>
  <c r="P37" i="27"/>
  <c r="AZ24" i="27"/>
  <c r="L43" i="27"/>
  <c r="BB43" i="27"/>
  <c r="BD43" i="27" s="1"/>
  <c r="BE43" i="27" s="1"/>
  <c r="BB5" i="27"/>
  <c r="BD5" i="27" s="1"/>
  <c r="BE5" i="27" s="1"/>
  <c r="L5" i="27"/>
  <c r="BB65" i="27"/>
  <c r="BD65" i="27" s="1"/>
  <c r="BE65" i="27" s="1"/>
  <c r="L65" i="27"/>
  <c r="L31" i="27"/>
  <c r="BB31" i="27"/>
  <c r="BD31" i="27" s="1"/>
  <c r="BE31" i="27" s="1"/>
  <c r="BB46" i="27"/>
  <c r="BD46" i="27" s="1"/>
  <c r="BE46" i="27" s="1"/>
  <c r="L46" i="27"/>
  <c r="AV29" i="27"/>
  <c r="AJ63" i="27"/>
  <c r="X65" i="27"/>
  <c r="AV21" i="27"/>
  <c r="P21" i="27"/>
  <c r="AZ38" i="27"/>
  <c r="AV31" i="27"/>
  <c r="AJ51" i="27"/>
  <c r="AJ32" i="27"/>
  <c r="X27" i="27"/>
  <c r="AV54" i="27"/>
  <c r="L32" i="27"/>
  <c r="BB32" i="27"/>
  <c r="BD32" i="27" s="1"/>
  <c r="BE32" i="27" s="1"/>
  <c r="AZ35" i="27"/>
  <c r="AV12" i="27"/>
  <c r="AV63" i="27"/>
  <c r="AV44" i="27"/>
  <c r="AV13" i="27"/>
  <c r="X10" i="27"/>
  <c r="AJ30" i="27"/>
  <c r="AJ65" i="27"/>
  <c r="AJ57" i="27"/>
  <c r="X56" i="27"/>
  <c r="X59" i="27"/>
  <c r="X38" i="27"/>
  <c r="X25" i="27"/>
  <c r="X64" i="27"/>
  <c r="L20" i="27"/>
  <c r="BB20" i="27"/>
  <c r="BD20" i="27" s="1"/>
  <c r="BE20" i="27" s="1"/>
  <c r="AZ56" i="27"/>
  <c r="AV38" i="27"/>
  <c r="P6" i="27"/>
  <c r="P20" i="27"/>
  <c r="P4" i="27"/>
  <c r="P23" i="27"/>
  <c r="P41" i="27"/>
  <c r="BB47" i="27"/>
  <c r="BD47" i="27" s="1"/>
  <c r="BE47" i="27" s="1"/>
  <c r="L47" i="27"/>
  <c r="BB7" i="27"/>
  <c r="BD7" i="27" s="1"/>
  <c r="BE7" i="27" s="1"/>
  <c r="L7" i="27"/>
  <c r="BB4" i="27"/>
  <c r="BD4" i="27" s="1"/>
  <c r="BE4" i="27" s="1"/>
  <c r="L4" i="27"/>
  <c r="L50" i="27"/>
  <c r="BB50" i="27"/>
  <c r="BD50" i="27" s="1"/>
  <c r="BE50" i="27" s="1"/>
  <c r="AZ21" i="27"/>
  <c r="AV46" i="27"/>
  <c r="L61" i="27"/>
  <c r="BB61" i="27"/>
  <c r="BD61" i="27" s="1"/>
  <c r="BE61" i="27" s="1"/>
  <c r="L34" i="27"/>
  <c r="BB34" i="27"/>
  <c r="BD34" i="27" s="1"/>
  <c r="BE34" i="27" s="1"/>
  <c r="AV43" i="27"/>
  <c r="AJ58" i="27"/>
  <c r="X24" i="27"/>
  <c r="P46" i="27"/>
  <c r="AV28" i="27"/>
  <c r="AZ64" i="27"/>
  <c r="X7" i="27"/>
  <c r="P66" i="27"/>
  <c r="AZ55" i="27"/>
  <c r="BB22" i="27"/>
  <c r="BD22" i="27" s="1"/>
  <c r="BE22" i="27" s="1"/>
  <c r="L22" i="27"/>
  <c r="AJ64" i="27"/>
  <c r="X43" i="27"/>
  <c r="AJ21" i="27"/>
  <c r="X4" i="27"/>
  <c r="X19" i="27"/>
  <c r="X42" i="27"/>
  <c r="X29" i="27"/>
  <c r="X11" i="27"/>
  <c r="X6" i="27"/>
  <c r="AV30" i="27"/>
  <c r="P48" i="27"/>
  <c r="P9" i="27"/>
  <c r="P24" i="27"/>
  <c r="P26" i="27"/>
  <c r="P28" i="27"/>
  <c r="P45" i="27"/>
  <c r="AV17" i="27"/>
  <c r="L53" i="27"/>
  <c r="BB53" i="27"/>
  <c r="BD53" i="27" s="1"/>
  <c r="BE53" i="27" s="1"/>
  <c r="BB62" i="27"/>
  <c r="BD62" i="27" s="1"/>
  <c r="BE62" i="27" s="1"/>
  <c r="L62" i="27"/>
  <c r="L11" i="27"/>
  <c r="BB11" i="27"/>
  <c r="BD11" i="27" s="1"/>
  <c r="BE11" i="27" s="1"/>
  <c r="L9" i="27"/>
  <c r="BB9" i="27"/>
  <c r="BD9" i="27" s="1"/>
  <c r="BE9" i="27" s="1"/>
  <c r="L55" i="27"/>
  <c r="BB55" i="27"/>
  <c r="BD55" i="27" s="1"/>
  <c r="BE55" i="27" s="1"/>
  <c r="AV6" i="27"/>
  <c r="AJ27" i="27"/>
  <c r="L42" i="27"/>
  <c r="BB42" i="27"/>
  <c r="BD42" i="27" s="1"/>
  <c r="BE42" i="27" s="1"/>
  <c r="BB64" i="27"/>
  <c r="BD64" i="27" s="1"/>
  <c r="BE64" i="27" s="1"/>
  <c r="L64" i="27"/>
  <c r="AZ50" i="27"/>
  <c r="AV59" i="27"/>
  <c r="X18" i="27"/>
  <c r="L38" i="27"/>
  <c r="BB38" i="27"/>
  <c r="BD38" i="27" s="1"/>
  <c r="BE38" i="27" s="1"/>
  <c r="AZ17" i="27"/>
  <c r="AV19" i="27"/>
  <c r="AV4" i="27"/>
  <c r="AV37" i="27"/>
  <c r="AZ23" i="27"/>
  <c r="AZ7" i="27"/>
  <c r="AV36" i="27"/>
  <c r="AV32" i="27"/>
  <c r="AV16" i="27"/>
  <c r="AV65" i="27"/>
  <c r="AZ22" i="27"/>
  <c r="AJ22" i="27"/>
  <c r="AJ24" i="27"/>
  <c r="AJ25" i="27"/>
  <c r="AJ35" i="27"/>
  <c r="X15" i="27"/>
  <c r="X46" i="27"/>
  <c r="X33" i="27"/>
  <c r="AZ48" i="27"/>
  <c r="P19" i="27"/>
  <c r="P60" i="27"/>
  <c r="P31" i="27"/>
  <c r="P49" i="27"/>
  <c r="AL67" i="27"/>
  <c r="AN3" i="27"/>
  <c r="AN67" i="27" s="1"/>
  <c r="L15" i="27"/>
  <c r="BB15" i="27"/>
  <c r="BD15" i="27" s="1"/>
  <c r="BE15" i="27" s="1"/>
  <c r="BB13" i="27"/>
  <c r="BD13" i="27" s="1"/>
  <c r="BE13" i="27" s="1"/>
  <c r="L13" i="27"/>
  <c r="BB48" i="27"/>
  <c r="BD48" i="27" s="1"/>
  <c r="BE48" i="27" s="1"/>
  <c r="L48" i="27"/>
  <c r="AV61" i="27"/>
  <c r="AJ53" i="27"/>
  <c r="AJ45" i="27"/>
  <c r="P17" i="27"/>
  <c r="X32" i="27"/>
  <c r="AJ48" i="27"/>
  <c r="X31" i="27"/>
  <c r="P63" i="27"/>
  <c r="AZ60" i="27"/>
  <c r="AJ61" i="27"/>
  <c r="X12" i="27"/>
  <c r="AZ45" i="27"/>
  <c r="AV33" i="27"/>
  <c r="AV55" i="27"/>
  <c r="AV47" i="27"/>
  <c r="AV18" i="27"/>
  <c r="AJ12" i="27"/>
  <c r="AJ28" i="27"/>
  <c r="AJ39" i="27"/>
  <c r="AJ52" i="27"/>
  <c r="L14" i="27"/>
  <c r="BB14" i="27"/>
  <c r="BD14" i="27" s="1"/>
  <c r="BE14" i="27" s="1"/>
  <c r="BB36" i="27"/>
  <c r="BD36" i="27" s="1"/>
  <c r="BE36" i="27" s="1"/>
  <c r="L36" i="27"/>
  <c r="AZ42" i="27"/>
  <c r="X35" i="27"/>
  <c r="X63" i="27"/>
  <c r="X50" i="27"/>
  <c r="X37" i="27"/>
  <c r="AZ61" i="27"/>
  <c r="P30" i="27"/>
  <c r="P5" i="27"/>
  <c r="P36" i="27"/>
  <c r="P38" i="27"/>
  <c r="P53" i="27"/>
  <c r="AV42" i="27"/>
  <c r="BB6" i="27"/>
  <c r="BD6" i="27" s="1"/>
  <c r="BE6" i="27" s="1"/>
  <c r="L6" i="27"/>
  <c r="BB19" i="27"/>
  <c r="BD19" i="27" s="1"/>
  <c r="BE19" i="27" s="1"/>
  <c r="L19" i="27"/>
  <c r="BB17" i="27"/>
  <c r="BD17" i="27" s="1"/>
  <c r="BE17" i="27" s="1"/>
  <c r="L17" i="27"/>
  <c r="BB12" i="27"/>
  <c r="BD12" i="27" s="1"/>
  <c r="BE12" i="27" s="1"/>
  <c r="L12" i="27"/>
  <c r="L52" i="27"/>
  <c r="BB52" i="27"/>
  <c r="BD52" i="27" s="1"/>
  <c r="BE52" i="27" s="1"/>
  <c r="AZ12" i="27"/>
  <c r="X66" i="27"/>
  <c r="P54" i="27"/>
  <c r="AZ63" i="27"/>
  <c r="AZ47" i="27"/>
  <c r="AZ53" i="27"/>
  <c r="AV51" i="27"/>
  <c r="AZ43" i="27"/>
  <c r="AV20" i="27"/>
  <c r="AJ42" i="27"/>
  <c r="AJ43" i="27"/>
  <c r="X62" i="27"/>
  <c r="X54" i="27"/>
  <c r="X41" i="27"/>
  <c r="X28" i="27"/>
  <c r="AZ16" i="27"/>
  <c r="AZ6" i="27"/>
  <c r="P50" i="27"/>
  <c r="P22" i="27"/>
  <c r="P7" i="27"/>
  <c r="P57" i="27"/>
  <c r="AV62" i="27"/>
  <c r="AV58" i="27"/>
  <c r="BB26" i="27"/>
  <c r="BD26" i="27" s="1"/>
  <c r="BE26" i="27" s="1"/>
  <c r="L26" i="27"/>
  <c r="BB23" i="27"/>
  <c r="BD23" i="27" s="1"/>
  <c r="BE23" i="27" s="1"/>
  <c r="L23" i="27"/>
  <c r="L21" i="27"/>
  <c r="BB21" i="27"/>
  <c r="BD21" i="27" s="1"/>
  <c r="BE21" i="27" s="1"/>
  <c r="BB16" i="27"/>
  <c r="BD16" i="27" s="1"/>
  <c r="BE16" i="27" s="1"/>
  <c r="L16" i="27"/>
  <c r="BB56" i="27"/>
  <c r="BD56" i="27" s="1"/>
  <c r="BE56" i="27" s="1"/>
  <c r="L56" i="27"/>
  <c r="AV27" i="27"/>
  <c r="X36" i="27"/>
  <c r="AJ17" i="27"/>
  <c r="X13" i="27"/>
  <c r="P34" i="27"/>
  <c r="P65" i="27"/>
  <c r="AV48" i="27"/>
  <c r="BB8" i="27"/>
  <c r="BD8" i="27" s="1"/>
  <c r="BE8" i="27" s="1"/>
  <c r="L8" i="27"/>
  <c r="AJ4" i="27"/>
  <c r="L10" i="27"/>
  <c r="BB10" i="27"/>
  <c r="BD10" i="27" s="1"/>
  <c r="BE10" i="27" s="1"/>
  <c r="X53" i="27"/>
  <c r="BB37" i="27"/>
  <c r="BD37" i="27" s="1"/>
  <c r="BE37" i="27" s="1"/>
  <c r="L37" i="27"/>
  <c r="P11" i="27"/>
  <c r="AV24" i="27"/>
  <c r="AJ18" i="27"/>
  <c r="P14" i="27"/>
  <c r="L30" i="27"/>
  <c r="BB30" i="27"/>
  <c r="BD30" i="27" s="1"/>
  <c r="BE30" i="27" s="1"/>
  <c r="AZ33" i="27"/>
  <c r="AZ14" i="27"/>
  <c r="AV53" i="27"/>
  <c r="AV41" i="27"/>
  <c r="AZ20" i="27"/>
  <c r="AJ9" i="27"/>
  <c r="AZ11" i="27"/>
  <c r="AZ57" i="27"/>
  <c r="AV56" i="27"/>
  <c r="AV14" i="27"/>
  <c r="AV45" i="27"/>
  <c r="AV35" i="27"/>
  <c r="AZ46" i="27"/>
  <c r="AJ15" i="27"/>
  <c r="AZ65" i="27"/>
  <c r="AD67" i="27"/>
  <c r="AF3" i="27"/>
  <c r="AF67" i="27" s="1"/>
  <c r="X9" i="27"/>
  <c r="X58" i="27"/>
  <c r="X45" i="27"/>
  <c r="P8" i="27"/>
  <c r="P44" i="27"/>
  <c r="P10" i="27"/>
  <c r="P61" i="27"/>
  <c r="BB35" i="27"/>
  <c r="BD35" i="27" s="1"/>
  <c r="BE35" i="27" s="1"/>
  <c r="L35" i="27"/>
  <c r="L49" i="27"/>
  <c r="BB49" i="27"/>
  <c r="BD49" i="27" s="1"/>
  <c r="BE49" i="27" s="1"/>
  <c r="L25" i="27"/>
  <c r="BB25" i="27"/>
  <c r="BD25" i="27" s="1"/>
  <c r="BE25" i="27" s="1"/>
  <c r="BB60" i="27"/>
  <c r="BD60" i="27" s="1"/>
  <c r="BE60" i="27" s="1"/>
  <c r="L60" i="27"/>
  <c r="G70" i="4"/>
  <c r="J6" i="4"/>
  <c r="J70" i="2"/>
  <c r="S6" i="2"/>
  <c r="S70" i="2" s="1"/>
  <c r="K70" i="10"/>
  <c r="R6" i="10"/>
  <c r="J70" i="24"/>
  <c r="R6" i="24"/>
  <c r="K70" i="16"/>
  <c r="T67" i="27"/>
  <c r="R6" i="16"/>
  <c r="R70" i="18"/>
  <c r="K70" i="6"/>
  <c r="R6" i="6"/>
  <c r="AB67" i="27"/>
  <c r="J70" i="22"/>
  <c r="R6" i="22"/>
  <c r="R70" i="14"/>
  <c r="K70" i="4"/>
  <c r="AH3" i="27"/>
  <c r="AX3" i="27"/>
  <c r="AT3" i="27"/>
  <c r="N3" i="27"/>
  <c r="V3" i="27"/>
  <c r="V67" i="27" l="1"/>
  <c r="X3" i="27"/>
  <c r="X67" i="27" s="1"/>
  <c r="N67" i="27"/>
  <c r="P3" i="27"/>
  <c r="P67" i="27" s="1"/>
  <c r="AH67" i="27"/>
  <c r="AJ3" i="27"/>
  <c r="AJ67" i="27" s="1"/>
  <c r="AT67" i="27"/>
  <c r="AV3" i="27"/>
  <c r="AV67" i="27" s="1"/>
  <c r="AX67" i="27"/>
  <c r="AZ3" i="27"/>
  <c r="AZ67" i="27" s="1"/>
  <c r="R70" i="10"/>
  <c r="J70" i="4"/>
  <c r="R6" i="4"/>
  <c r="R70" i="6"/>
  <c r="R70" i="16"/>
  <c r="R70" i="22"/>
  <c r="R70" i="24"/>
  <c r="J3" i="27"/>
  <c r="J67" i="27" l="1"/>
  <c r="BB3" i="27"/>
  <c r="L3" i="27"/>
  <c r="L67" i="27" s="1"/>
  <c r="R70" i="4"/>
  <c r="BB67" i="27" l="1"/>
  <c r="BD3" i="27"/>
  <c r="BD67" i="27" l="1"/>
  <c r="BE67" i="27" s="1"/>
  <c r="BE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Samrat Kar</author>
  </authors>
  <commentList>
    <comment ref="J5" authorId="0" shapeId="0" xr:uid="{00000000-0006-0000-1900-000001000000}">
      <text>
        <r>
          <rPr>
            <sz val="11"/>
            <color rgb="FF000000"/>
            <rFont val="Calibri"/>
            <scheme val="minor"/>
          </rPr>
          <t>Samrat Kar:
Motor new - INR 49500
Motor borewell connection pipeline - 1,130 
motor fix material and labor -12,800</t>
        </r>
      </text>
    </comment>
    <comment ref="J6" authorId="0" shapeId="0" xr:uid="{00000000-0006-0000-1900-000002000000}">
      <text>
        <r>
          <rPr>
            <sz val="11"/>
            <color rgb="FF000000"/>
            <rFont val="Calibri"/>
            <scheme val="minor"/>
          </rPr>
          <t>Samrat Kar:
tiling and plumbing work to fix the leakage in bathroom of culture room on terrace</t>
        </r>
      </text>
    </comment>
  </commentList>
</comments>
</file>

<file path=xl/sharedStrings.xml><?xml version="1.0" encoding="utf-8"?>
<sst xmlns="http://schemas.openxmlformats.org/spreadsheetml/2006/main" count="2703" uniqueCount="432">
  <si>
    <t>FLAT #</t>
  </si>
  <si>
    <t>Amount</t>
  </si>
  <si>
    <t>Date</t>
  </si>
  <si>
    <t>Total</t>
  </si>
  <si>
    <t>F1</t>
  </si>
  <si>
    <t>15-Jul-26</t>
  </si>
  <si>
    <t>F2</t>
  </si>
  <si>
    <t>F3</t>
  </si>
  <si>
    <t>1-Jul-26</t>
  </si>
  <si>
    <t>F4</t>
  </si>
  <si>
    <t>9-Jul-26</t>
  </si>
  <si>
    <t>10-Jul-26</t>
  </si>
  <si>
    <t>F5</t>
  </si>
  <si>
    <t>6-Jul-26</t>
  </si>
  <si>
    <t>F6</t>
  </si>
  <si>
    <t>31-Jul-26</t>
  </si>
  <si>
    <t>F7</t>
  </si>
  <si>
    <t>8-Jul-26</t>
  </si>
  <si>
    <t>F8</t>
  </si>
  <si>
    <t>F9</t>
  </si>
  <si>
    <t>F10</t>
  </si>
  <si>
    <t>F11</t>
  </si>
  <si>
    <t>F12</t>
  </si>
  <si>
    <t>F13</t>
  </si>
  <si>
    <t>5-Jul-26</t>
  </si>
  <si>
    <t>F14</t>
  </si>
  <si>
    <t>F15</t>
  </si>
  <si>
    <t>3-Jul-26</t>
  </si>
  <si>
    <t>F16</t>
  </si>
  <si>
    <t>G1</t>
  </si>
  <si>
    <t>G2</t>
  </si>
  <si>
    <t>G3</t>
  </si>
  <si>
    <t>24-Jul-26</t>
  </si>
  <si>
    <t>G4</t>
  </si>
  <si>
    <t>G5</t>
  </si>
  <si>
    <t>G6</t>
  </si>
  <si>
    <t>G7</t>
  </si>
  <si>
    <t>20-Jul-26</t>
  </si>
  <si>
    <t>G8</t>
  </si>
  <si>
    <t>G9</t>
  </si>
  <si>
    <t>19-Jul-26</t>
  </si>
  <si>
    <t>G10</t>
  </si>
  <si>
    <t>G11</t>
  </si>
  <si>
    <t>7-Jul-26</t>
  </si>
  <si>
    <t>G12</t>
  </si>
  <si>
    <t>G13</t>
  </si>
  <si>
    <t>G14</t>
  </si>
  <si>
    <t>G15</t>
  </si>
  <si>
    <t>G16</t>
  </si>
  <si>
    <t>12-Jul-26</t>
  </si>
  <si>
    <t>S1</t>
  </si>
  <si>
    <t>11-Jul-26</t>
  </si>
  <si>
    <t>S2</t>
  </si>
  <si>
    <t>S3</t>
  </si>
  <si>
    <t>S4</t>
  </si>
  <si>
    <t>21-Jul-26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</si>
  <si>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</si>
  <si>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</si>
  <si>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</si>
  <si>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</si>
  <si>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</si>
  <si>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</si>
  <si>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</si>
  <si>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</si>
  <si>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</si>
  <si>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</si>
  <si>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</si>
  <si>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</si>
  <si>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T1</t>
  </si>
  <si>
    <t>T2</t>
  </si>
  <si>
    <t>T3</t>
  </si>
  <si>
    <t>T4</t>
  </si>
  <si>
    <t>16-Jul-26</t>
  </si>
  <si>
    <t>T5</t>
  </si>
  <si>
    <t>T6</t>
  </si>
  <si>
    <t>T7</t>
  </si>
  <si>
    <t>T8</t>
  </si>
  <si>
    <t>T9</t>
  </si>
  <si>
    <t>4-Jul-26</t>
  </si>
  <si>
    <t>T10</t>
  </si>
  <si>
    <t>T11</t>
  </si>
  <si>
    <t>T12</t>
  </si>
  <si>
    <t>T13</t>
  </si>
  <si>
    <t>2-Jul-26</t>
  </si>
  <si>
    <t>T14</t>
  </si>
  <si>
    <t>T15</t>
  </si>
  <si>
    <t>T16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</si>
  <si>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</si>
  <si>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</si>
  <si>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</si>
  <si>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</si>
  <si>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</si>
  <si>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</si>
  <si>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</si>
  <si>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</si>
  <si>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Shailesh Srivastava</t>
  </si>
  <si>
    <t>shailesh.srivastav@gmail.com</t>
  </si>
  <si>
    <t>Rama P</t>
  </si>
  <si>
    <t>ramazen1@gmail.com</t>
  </si>
  <si>
    <t>Samrat Kar</t>
  </si>
  <si>
    <t>samratk@gmail.com</t>
  </si>
  <si>
    <t>919342554680</t>
  </si>
  <si>
    <t>Renu R</t>
  </si>
  <si>
    <t>renu.sabapathy@gmail.com</t>
  </si>
  <si>
    <t>Vamsidhar Bethanabatla</t>
  </si>
  <si>
    <t>Viral Shah</t>
  </si>
  <si>
    <t>viralshah79@gmail.com</t>
  </si>
  <si>
    <t>Vimal NK</t>
  </si>
  <si>
    <t>nkvimal@gmail.com</t>
  </si>
  <si>
    <t>Ruhi Agrawal</t>
  </si>
  <si>
    <t>ruhi.agrawal321@gmail.com</t>
  </si>
  <si>
    <t>Vijay Suswaram</t>
  </si>
  <si>
    <t>vijay.suswaram@gmail.com</t>
  </si>
  <si>
    <t>9066901046</t>
  </si>
  <si>
    <t>Aby Thomas</t>
  </si>
  <si>
    <t>abythomas99@gmail.com</t>
  </si>
  <si>
    <t>9900502987</t>
  </si>
  <si>
    <t>Kavitha T</t>
  </si>
  <si>
    <t>kaveeonline@gmail.com</t>
  </si>
  <si>
    <t>9945796695</t>
  </si>
  <si>
    <t>Srinivasa Rao</t>
  </si>
  <si>
    <t>Hemant Patel</t>
  </si>
  <si>
    <t>hemant.patel.ec@gmail.com</t>
  </si>
  <si>
    <t>9880934229</t>
  </si>
  <si>
    <t>Senthil.Vijayaragavan</t>
  </si>
  <si>
    <t>senthil.web@gmail.com</t>
  </si>
  <si>
    <t>919035031349</t>
  </si>
  <si>
    <t>Sreeja Sudharma</t>
  </si>
  <si>
    <t>sudharma.sreeja@gmail.com</t>
  </si>
  <si>
    <t>Digvijay Verma</t>
  </si>
  <si>
    <t>jyothij1979@gmail.com</t>
  </si>
  <si>
    <t>9686438624</t>
  </si>
  <si>
    <t>Kaushik Kasibhatla</t>
  </si>
  <si>
    <t>Balakrishnan</t>
  </si>
  <si>
    <t>balakrishnan.k@gmail.com</t>
  </si>
  <si>
    <t>Ashwin Pandith</t>
  </si>
  <si>
    <t>ashwinpandith@gmail.com</t>
  </si>
  <si>
    <t>Mayank Phophaliya</t>
  </si>
  <si>
    <t>Srinath</t>
  </si>
  <si>
    <t>09910099526</t>
  </si>
  <si>
    <t>Prince Richfield</t>
  </si>
  <si>
    <t>princerichfield@gmail.com</t>
  </si>
  <si>
    <t>7760487323</t>
  </si>
  <si>
    <t>Arun M</t>
  </si>
  <si>
    <t>arun.pharmaplus@gmail.com</t>
  </si>
  <si>
    <t>chandra.gumma@gmail.com</t>
  </si>
  <si>
    <t>Richa Singh</t>
  </si>
  <si>
    <t>richasingh.kaharwar@gmail.com</t>
  </si>
  <si>
    <t>9986432045</t>
  </si>
  <si>
    <t>Prashant Jaitley</t>
  </si>
  <si>
    <t>prashantjaitly656@gmail.com</t>
  </si>
  <si>
    <t>9654889504</t>
  </si>
  <si>
    <t>Shyam Nair</t>
  </si>
  <si>
    <t>g12.shyam@gmail.com</t>
  </si>
  <si>
    <t>7709047957</t>
  </si>
  <si>
    <t>Ajai.B</t>
  </si>
  <si>
    <t>ajai.abc@gmail.com</t>
  </si>
  <si>
    <t>Surajit Borah</t>
  </si>
  <si>
    <t>surajit.borah@gmail.com</t>
  </si>
  <si>
    <t>7829872270</t>
  </si>
  <si>
    <t>Suresh Nallusamy</t>
  </si>
  <si>
    <t>suresh.nallusamy@gmail.com</t>
  </si>
  <si>
    <t>Praveen Ganesan</t>
  </si>
  <si>
    <t>praveengb@gmail.com</t>
  </si>
  <si>
    <t>8050164658</t>
  </si>
  <si>
    <t>S.N.Behera</t>
  </si>
  <si>
    <t>snbeheras1@gmail.com</t>
  </si>
  <si>
    <t>919980008526</t>
  </si>
  <si>
    <t>Sonal Singh</t>
  </si>
  <si>
    <t>sonal.singhal86@gmail.com</t>
  </si>
  <si>
    <t>Manikandan N</t>
  </si>
  <si>
    <t>Swami</t>
  </si>
  <si>
    <t>swami2007@gmail.com</t>
  </si>
  <si>
    <t>Abhishek Gopalakrishnan</t>
  </si>
  <si>
    <t>abhishek.harekrishna@gmail.com</t>
  </si>
  <si>
    <t>7042447356</t>
  </si>
  <si>
    <t>Vivek Dhingra</t>
  </si>
  <si>
    <t>vivek.dhingra@gmail.com</t>
  </si>
  <si>
    <t>Harish B</t>
  </si>
  <si>
    <t>harishb80@gmail.com</t>
  </si>
  <si>
    <t>9980848757</t>
  </si>
  <si>
    <t>Irudayaraj Alwin</t>
  </si>
  <si>
    <t>a.alwin@gmail.com</t>
  </si>
  <si>
    <t>Pawan GS</t>
  </si>
  <si>
    <t>pawangs@gmail.com</t>
  </si>
  <si>
    <t>8106966338</t>
  </si>
  <si>
    <t>Mayfy</t>
  </si>
  <si>
    <t>Gowrish Patnaik</t>
  </si>
  <si>
    <t>gourish.patnaik@gmail.com</t>
  </si>
  <si>
    <t>Saovik Mondal</t>
  </si>
  <si>
    <t>saovikmondal@gmail.com</t>
  </si>
  <si>
    <t>srinivasa.sambana@gmail.com</t>
  </si>
  <si>
    <t>Nishant Upadhyay</t>
  </si>
  <si>
    <t>nishantupadhyayster@gmail.com</t>
  </si>
  <si>
    <t>08066784591</t>
  </si>
  <si>
    <t>Manas Dasgupta</t>
  </si>
  <si>
    <t>918105654642</t>
  </si>
  <si>
    <t>Devendra Singh Rawat</t>
  </si>
  <si>
    <t>devendrasinghrawat@gmail.com</t>
  </si>
  <si>
    <t>7899740830</t>
  </si>
  <si>
    <t>Prashant Sikdar</t>
  </si>
  <si>
    <t>fossil.rvce@gmail.com</t>
  </si>
  <si>
    <t>902833360</t>
  </si>
  <si>
    <t>Kunal Raj Mehta</t>
  </si>
  <si>
    <t>ryanmcbeal@gmail.com</t>
  </si>
  <si>
    <t>9731727374</t>
  </si>
  <si>
    <t>Kapil Garg</t>
  </si>
  <si>
    <t>kapil.garg82@gmail.com</t>
  </si>
  <si>
    <t>9886279722</t>
  </si>
  <si>
    <t>Vijet Alva</t>
  </si>
  <si>
    <t>vijetalva@gmail.com</t>
  </si>
  <si>
    <t>Ganesh Iyer</t>
  </si>
  <si>
    <t>giyer.ops@gmail.com</t>
  </si>
  <si>
    <t>402691638</t>
  </si>
  <si>
    <t>Mythili Ramesh</t>
  </si>
  <si>
    <t>myth.rmsh@gmail.com</t>
  </si>
  <si>
    <t>9845756755</t>
  </si>
  <si>
    <t>Vinyas Ramachandra</t>
  </si>
  <si>
    <t>vinyasr@gmail.com</t>
  </si>
  <si>
    <t>Lalit Kumar Sharma</t>
  </si>
  <si>
    <t>lalitsharma21@gmail.com</t>
  </si>
  <si>
    <t>9900159881</t>
  </si>
  <si>
    <t>Nishith Sahu</t>
  </si>
  <si>
    <t>nishsahu@gmail.com</t>
  </si>
  <si>
    <t>b.vamsidhar@gmail.com</t>
  </si>
  <si>
    <t>9900181705</t>
  </si>
  <si>
    <t>Vaishnavi Suthapalli</t>
  </si>
  <si>
    <t>suthapallivaishnavi@gmail.com</t>
  </si>
  <si>
    <t>9500130636</t>
  </si>
  <si>
    <t>Prasenjit</t>
  </si>
  <si>
    <t>shumonchaks@gmail.com</t>
  </si>
  <si>
    <t>Sonali Deokhule</t>
  </si>
  <si>
    <t>Jeya</t>
  </si>
  <si>
    <t>jayajeganathan@gmail.com</t>
  </si>
  <si>
    <t>9620007862</t>
  </si>
  <si>
    <t>Trevor</t>
  </si>
  <si>
    <t>9900237201</t>
  </si>
  <si>
    <t>Madhusoodanan P.R.</t>
  </si>
  <si>
    <t>madhusoodan.pr@gmail.com</t>
  </si>
  <si>
    <t>APR 2026 EXPENSES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</si>
  <si>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</si>
  <si>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</si>
  <si>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</si>
  <si>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</si>
  <si>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</si>
  <si>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</si>
  <si>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</si>
  <si>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</si>
  <si>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</si>
  <si>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</si>
  <si>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</si>
  <si>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</si>
  <si>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</si>
  <si>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</si>
  <si>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(Rs)</t>
  </si>
  <si>
    <t>LATE PAYMENT FINE</t>
  </si>
  <si>
    <t>TOTAL EXPENSE TO BE PAID (Rs)</t>
  </si>
  <si>
    <t>LATE PAYMENT FINE REASON</t>
  </si>
  <si>
    <t>CH</t>
  </si>
  <si>
    <t>MPFOWA</t>
  </si>
  <si>
    <t>GYM</t>
  </si>
  <si>
    <t>TOTAL FIXED EXPENSE</t>
  </si>
  <si>
    <t>BSMT</t>
  </si>
  <si>
    <t>TOTAL WATER EXPENSE</t>
  </si>
  <si>
    <t>RENT PER METER (Rs)</t>
  </si>
  <si>
    <t>COMMON AREA METER RENT(Rs)</t>
  </si>
  <si>
    <t>COMMON AREA METER RENT/FLAT (Rs)</t>
  </si>
  <si>
    <t>BALANCE IN ACCOUNT ON 30-Apr-2023</t>
  </si>
  <si>
    <t>TOTAL NON MAINTENANCE CORPUS COLLECTION</t>
  </si>
  <si>
    <t>TOTAL FD DONE</t>
  </si>
  <si>
    <t>AMOUNT AVAILABLE FOR NON MAINTENANCE CORPUS IN CURRENT AC</t>
  </si>
  <si>
    <t>Pending vendor payments</t>
  </si>
  <si>
    <t>AMOUNT AVAILABLE FOR MAINTENANCE</t>
  </si>
  <si>
    <t>TOTAL EXPENSE FOR THE MONTH</t>
  </si>
  <si>
    <t>Maintenance deficit</t>
  </si>
  <si>
    <t xml:space="preserve">13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</si>
  <si>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</si>
  <si>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</si>
  <si>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</si>
  <si>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</si>
  <si>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19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</si>
  <si>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</si>
  <si>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</si>
  <si>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</si>
  <si>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</si>
  <si>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</si>
  <si>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</si>
  <si>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</si>
  <si>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</si>
  <si>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</si>
  <si>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</si>
  <si>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</si>
  <si>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</si>
  <si>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</si>
  <si>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</si>
  <si>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</si>
  <si>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</si>
  <si>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</si>
  <si>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</si>
  <si>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</si>
  <si>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</si>
  <si>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</si>
  <si>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</si>
  <si>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</si>
  <si>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</si>
  <si>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ANNUAL MEMBERSHIP FEE</t>
  </si>
  <si>
    <t>TOTAL EXPENSE TO BE PAID</t>
  </si>
  <si>
    <t>RENT PER METER</t>
  </si>
  <si>
    <t>COMMON AREA METER RENT</t>
  </si>
  <si>
    <t>COMMON AREA METER RENT/FLAT</t>
  </si>
  <si>
    <t>1-May-26</t>
  </si>
  <si>
    <t>10-May-26</t>
  </si>
  <si>
    <t>15-May-26</t>
  </si>
  <si>
    <t>2-May-26</t>
  </si>
  <si>
    <t>24-May-26</t>
  </si>
  <si>
    <t>16-May-26</t>
  </si>
  <si>
    <t>25-May-26</t>
  </si>
  <si>
    <t>11-May-26</t>
  </si>
  <si>
    <t>26-May-26</t>
  </si>
  <si>
    <t>5-May-26</t>
  </si>
  <si>
    <t>13-May-26</t>
  </si>
  <si>
    <t>23-May-26</t>
  </si>
  <si>
    <t>12-May-26</t>
  </si>
  <si>
    <t>21-May-26</t>
  </si>
  <si>
    <t>17-May-26</t>
  </si>
  <si>
    <t>30-May-26</t>
  </si>
  <si>
    <t>6-May-26</t>
  </si>
  <si>
    <t>20-May-26</t>
  </si>
  <si>
    <t>19-May-26</t>
  </si>
  <si>
    <t>27-May-26</t>
  </si>
  <si>
    <t>JUN 2026 EXPENSES</t>
  </si>
  <si>
    <t>CLUB BOOKING FEE</t>
  </si>
  <si>
    <t>POLYCARBONATE PROJECT CANCELLATION CREDIT AMOUNT</t>
  </si>
  <si>
    <t>Missed</t>
  </si>
  <si>
    <t>BALANCE IN ACCOUNT ON 30-JUN-2023</t>
  </si>
  <si>
    <t>AMOUNT AVAILABLE FOR NON MAINTENANCE CORPUS</t>
  </si>
  <si>
    <t>16-Jun-26</t>
  </si>
  <si>
    <t>17-Jun-26</t>
  </si>
  <si>
    <t>1-Jun-26</t>
  </si>
  <si>
    <t>13-Jun-26</t>
  </si>
  <si>
    <t>30-Jun-26</t>
  </si>
  <si>
    <t>15-Jun-26</t>
  </si>
  <si>
    <t>29-Jun-26</t>
  </si>
  <si>
    <t>11-Jun-26</t>
  </si>
  <si>
    <t>2-Jun-26</t>
  </si>
  <si>
    <t>12-Jun-26</t>
  </si>
  <si>
    <t>24-Jun-26</t>
  </si>
  <si>
    <t>6-Jun-26</t>
  </si>
  <si>
    <t>23-Jun-26</t>
  </si>
  <si>
    <t>18-Jun-26</t>
  </si>
  <si>
    <t>14-Jun-26</t>
  </si>
  <si>
    <t>20-Jun-26</t>
  </si>
  <si>
    <t>28-Jun-26</t>
  </si>
  <si>
    <t>21-Jun-26</t>
  </si>
  <si>
    <t>JUL 2026 EXPENSES</t>
  </si>
  <si>
    <t>BALANCE IN ACCOUNT ON 31-JULY-2023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</si>
  <si>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</si>
  <si>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</si>
  <si>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</si>
  <si>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</si>
  <si>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</si>
  <si>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</si>
  <si>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</si>
  <si>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</si>
  <si>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</si>
  <si>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</si>
  <si>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</si>
  <si>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</si>
  <si>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</si>
  <si>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</si>
  <si>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</si>
  <si>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</si>
  <si>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</si>
  <si>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</si>
  <si>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</si>
  <si>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</si>
  <si>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</si>
  <si>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</si>
  <si>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</si>
  <si>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</si>
  <si>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</si>
  <si>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</si>
  <si>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</si>
  <si>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gross expense</t>
  </si>
  <si>
    <t>gross var expense</t>
  </si>
  <si>
    <t>gross fixed expense</t>
  </si>
  <si>
    <t>water meter rent</t>
  </si>
  <si>
    <t>total expense</t>
  </si>
  <si>
    <t>water</t>
  </si>
  <si>
    <t>stp sludge</t>
  </si>
  <si>
    <t>stp maintenance</t>
  </si>
  <si>
    <t>bescom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</si>
  <si>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</si>
  <si>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</si>
  <si>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</si>
  <si>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</si>
  <si>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</si>
  <si>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</si>
  <si>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</si>
  <si>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</si>
  <si>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</si>
  <si>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</si>
  <si>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</si>
  <si>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</si>
  <si>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</si>
  <si>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</si>
  <si>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</si>
  <si>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</si>
  <si>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</si>
  <si>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</si>
  <si>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</si>
  <si>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</si>
  <si>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</si>
  <si>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</si>
  <si>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</si>
  <si>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</si>
  <si>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</si>
  <si>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</si>
  <si>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</si>
  <si>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</si>
  <si>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</si>
  <si>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</si>
  <si>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</si>
  <si>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</si>
  <si>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</si>
  <si>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</si>
  <si>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</si>
  <si>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</si>
  <si>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</si>
  <si>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</si>
  <si>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</si>
  <si>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Ankur 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</si>
</sst>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0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b/>
      <sz val="14"/>
      <color rgb="FFFFFFFF"/>
      <name val="Calibri"/>
      <family val="2"/>
    </font>
    <font>
      <b/>
      <sz val="10"/>
      <color rgb="FF1B3A5C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3"/>
    <xf numFmtId="0" fontId="7" fillId="0" borderId="13"/>
  </cellStyleXfs>
  <cellXfs count="110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3" fontId="15" fillId="2" borderId="22" xfId="0" applyNumberFormat="1" applyFont="1" applyFill="1" applyBorder="1" applyAlignment="1">
      <alignment horizontal="center" vertical="center"/>
    </xf>
    <xf numFmtId="169" fontId="10" fillId="2" borderId="22" xfId="0" applyNumberFormat="1" applyFont="1" applyFill="1" applyBorder="1" applyAlignment="1">
      <alignment horizontal="right" vertical="center"/>
    </xf>
    <xf numFmtId="3" fontId="16" fillId="7" borderId="23" xfId="0" applyNumberFormat="1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3" fontId="15" fillId="5" borderId="22" xfId="0" applyNumberFormat="1" applyFont="1" applyFill="1" applyBorder="1" applyAlignment="1">
      <alignment horizontal="center" vertical="center"/>
    </xf>
    <xf numFmtId="0" fontId="0" fillId="0" borderId="13" xfId="0"/>
    <xf numFmtId="4" fontId="11" fillId="6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1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3" fontId="19" fillId="6" borderId="18" xfId="0" applyNumberFormat="1" applyFont="1" applyFill="1" applyBorder="1" applyAlignment="1">
      <alignment horizontal="center" vertical="center" wrapText="1"/>
    </xf>
    <xf numFmtId="4" fontId="19" fillId="6" borderId="18" xfId="0" applyNumberFormat="1" applyFont="1" applyFill="1" applyBorder="1" applyAlignment="1">
      <alignment horizontal="center" vertical="center" wrapText="1"/>
    </xf>
    <xf numFmtId="4" fontId="14" fillId="6" borderId="18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170" fontId="13" fillId="6" borderId="3" xfId="0" applyNumberFormat="1" applyFont="1" applyFill="1" applyBorder="1" applyAlignment="1">
      <alignment horizontal="center" vertical="center" wrapText="1"/>
    </xf>
    <xf numFmtId="170" fontId="13" fillId="6" borderId="1" xfId="0" applyNumberFormat="1" applyFont="1" applyFill="1" applyBorder="1" applyAlignment="1">
      <alignment horizontal="center" vertical="center" wrapText="1"/>
    </xf>
    <xf numFmtId="171" fontId="13" fillId="6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'ANNUAL-EXPENSE-DETAILS'!$X$1:$X$2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'ANNUAL-EXPENSE-DETAILS'!$X$3:$X$14</c:f>
              <c:numCache>
                <c:formatCode>#,##0</c:formatCode>
                <c:ptCount val="12"/>
                <c:pt idx="0">
                  <c:v>344833.89760000003</c:v>
                </c:pt>
                <c:pt idx="1">
                  <c:v>350692.96620000002</c:v>
                </c:pt>
                <c:pt idx="2">
                  <c:v>401806</c:v>
                </c:pt>
                <c:pt idx="3">
                  <c:v>393925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0-4540-A68A-62743047C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singh.kaharwar@gmail.com" TargetMode="External"/><Relationship Id="rId2" Type="http://schemas.openxmlformats.org/officeDocument/2006/relationships/hyperlink" Target="mailto:arun.pharmaplus@gmail.com" TargetMode="External"/><Relationship Id="rId1" Type="http://schemas.openxmlformats.org/officeDocument/2006/relationships/hyperlink" Target="mailto:ruhi.agrawal321@gmail.com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B27" sqref="B27"/>
    </sheetView>
  </sheetViews>
  <sheetFormatPr defaultColWidth="8.6640625" defaultRowHeight="14.4" x14ac:dyDescent="0.3"/>
  <cols>
    <col min="2" max="2" width="20.33203125" bestFit="1" customWidth="1"/>
    <col min="3" max="3" width="34.33203125" customWidth="1"/>
    <col min="4" max="4" width="24.44140625" customWidth="1"/>
    <col min="6" max="6" width="18.6640625" customWidth="1"/>
    <col min="7" max="7" width="21" customWidth="1"/>
    <col min="8" max="8" width="15.6640625" customWidth="1"/>
  </cols>
  <sheetData>
    <row r="1" spans="1:8" x14ac:dyDescent="0.3">
      <c r="A1" s="14" t="s">
        <v>88</v>
      </c>
      <c r="B1" s="14" t="s">
        <v>89</v>
      </c>
      <c r="C1" s="14" t="s">
        <v>90</v>
      </c>
      <c r="D1" s="14" t="s">
        <v>91</v>
      </c>
      <c r="E1" s="14"/>
      <c r="F1" s="14" t="s">
        <v>92</v>
      </c>
      <c r="G1" s="14" t="s">
        <v>93</v>
      </c>
      <c r="H1" s="14" t="s">
        <v>94</v>
      </c>
    </row>
    <row r="2" spans="1:8" x14ac:dyDescent="0.3">
      <c r="A2" s="15" t="s">
        <v>4</v>
      </c>
      <c r="B2" s="15" t="s">
        <v>95</v>
      </c>
      <c r="C2" s="15" t="s">
        <v>96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3">
      <c r="A3" s="16" t="s">
        <v>6</v>
      </c>
      <c r="B3" s="16" t="s">
        <v>97</v>
      </c>
      <c r="C3" s="16" t="s">
        <v>98</v>
      </c>
      <c r="D3" s="16"/>
      <c r="E3" s="16"/>
      <c r="F3" s="16"/>
      <c r="G3" s="16"/>
      <c r="H3" s="16"/>
    </row>
    <row r="4" spans="1:8" x14ac:dyDescent="0.3">
      <c r="A4" s="15" t="s">
        <v>7</v>
      </c>
      <c r="B4" s="15" t="s">
        <v>99</v>
      </c>
      <c r="C4" s="15" t="s">
        <v>100</v>
      </c>
      <c r="D4" s="15" t="s">
        <v>101</v>
      </c>
      <c r="E4" s="15"/>
      <c r="F4" s="15"/>
      <c r="G4" s="15"/>
      <c r="H4" s="15"/>
    </row>
    <row r="5" spans="1:8" x14ac:dyDescent="0.3">
      <c r="A5" s="16" t="s">
        <v>9</v>
      </c>
      <c r="B5" s="16" t="s">
        <v>102</v>
      </c>
      <c r="C5" s="16" t="s">
        <v>103</v>
      </c>
      <c r="D5" s="16"/>
      <c r="E5" s="16"/>
      <c r="F5" s="16"/>
      <c r="G5" s="16"/>
      <c r="H5" s="16"/>
    </row>
    <row r="6" spans="1:8" ht="25.5" customHeight="1" x14ac:dyDescent="0.3">
      <c r="A6" s="15" t="s">
        <v>12</v>
      </c>
      <c r="B6" s="15" t="s">
        <v>104</v>
      </c>
      <c r="C6" s="15"/>
      <c r="D6" s="15"/>
      <c r="E6" s="15"/>
      <c r="F6" s="15"/>
      <c r="G6" s="15"/>
      <c r="H6" s="15"/>
    </row>
    <row r="7" spans="1:8" x14ac:dyDescent="0.3">
      <c r="A7" s="16" t="s">
        <v>14</v>
      </c>
      <c r="B7" s="16" t="s">
        <v>105</v>
      </c>
      <c r="C7" s="16" t="s">
        <v>106</v>
      </c>
      <c r="D7" s="16"/>
      <c r="E7" s="16"/>
      <c r="F7" s="16"/>
      <c r="G7" s="16"/>
      <c r="H7" s="16"/>
    </row>
    <row r="8" spans="1:8" x14ac:dyDescent="0.3">
      <c r="A8" s="15" t="s">
        <v>16</v>
      </c>
      <c r="B8" s="15" t="s">
        <v>107</v>
      </c>
      <c r="C8" s="15" t="s">
        <v>108</v>
      </c>
      <c r="D8" s="15"/>
      <c r="E8" s="15"/>
      <c r="F8" s="15"/>
      <c r="G8" s="15"/>
      <c r="H8" s="15"/>
    </row>
    <row r="9" spans="1:8" x14ac:dyDescent="0.3">
      <c r="A9" s="16" t="s">
        <v>18</v>
      </c>
      <c r="B9" s="16" t="s">
        <v>109</v>
      </c>
      <c r="C9" s="15" t="s">
        <v>110</v>
      </c>
      <c r="D9" s="16"/>
      <c r="E9" s="16"/>
      <c r="F9" s="16"/>
      <c r="G9" s="16"/>
      <c r="H9" s="16"/>
    </row>
    <row r="10" spans="1:8" x14ac:dyDescent="0.3">
      <c r="A10" s="15" t="s">
        <v>19</v>
      </c>
      <c r="B10" s="15" t="s">
        <v>111</v>
      </c>
      <c r="C10" s="15" t="s">
        <v>112</v>
      </c>
      <c r="D10" s="15" t="s">
        <v>113</v>
      </c>
      <c r="E10" s="15"/>
      <c r="F10" s="15"/>
      <c r="G10" s="15"/>
      <c r="H10" s="15"/>
    </row>
    <row r="11" spans="1:8" x14ac:dyDescent="0.3">
      <c r="A11" s="16" t="s">
        <v>20</v>
      </c>
      <c r="B11" s="16" t="s">
        <v>114</v>
      </c>
      <c r="C11" s="16" t="s">
        <v>115</v>
      </c>
      <c r="D11" s="16" t="s">
        <v>116</v>
      </c>
      <c r="E11" s="16"/>
      <c r="F11" s="16"/>
      <c r="G11" s="16"/>
      <c r="H11" s="16"/>
    </row>
    <row r="12" spans="1:8" x14ac:dyDescent="0.3">
      <c r="A12" s="15" t="s">
        <v>21</v>
      </c>
      <c r="B12" s="15" t="s">
        <v>102</v>
      </c>
      <c r="C12" s="15"/>
      <c r="D12" s="15"/>
      <c r="E12" s="15"/>
      <c r="F12" s="15"/>
      <c r="G12" s="15"/>
      <c r="H12" s="15"/>
    </row>
    <row r="13" spans="1:8" x14ac:dyDescent="0.3">
      <c r="A13" s="16" t="s">
        <v>22</v>
      </c>
      <c r="B13" s="16" t="s">
        <v>117</v>
      </c>
      <c r="C13" s="16" t="s">
        <v>118</v>
      </c>
      <c r="D13" s="16" t="s">
        <v>119</v>
      </c>
      <c r="E13" s="16"/>
      <c r="F13" s="16"/>
      <c r="G13" s="16"/>
      <c r="H13" s="16"/>
    </row>
    <row r="14" spans="1:8" x14ac:dyDescent="0.3">
      <c r="A14" s="15" t="s">
        <v>23</v>
      </c>
      <c r="B14" s="15" t="s">
        <v>120</v>
      </c>
      <c r="C14" s="15"/>
      <c r="D14" s="15"/>
      <c r="E14" s="15"/>
      <c r="F14" s="15"/>
      <c r="G14" s="15"/>
      <c r="H14" s="15"/>
    </row>
    <row r="15" spans="1:8" x14ac:dyDescent="0.3">
      <c r="A15" s="16" t="s">
        <v>25</v>
      </c>
      <c r="B15" s="16" t="s">
        <v>121</v>
      </c>
      <c r="C15" s="16" t="s">
        <v>122</v>
      </c>
      <c r="D15" s="16" t="s">
        <v>123</v>
      </c>
      <c r="E15" s="16"/>
      <c r="F15" s="16"/>
      <c r="G15" s="16"/>
      <c r="H15" s="16"/>
    </row>
    <row r="16" spans="1:8" x14ac:dyDescent="0.3">
      <c r="A16" s="15" t="s">
        <v>26</v>
      </c>
      <c r="B16" s="15" t="s">
        <v>124</v>
      </c>
      <c r="C16" s="15" t="s">
        <v>125</v>
      </c>
      <c r="D16" s="15" t="s">
        <v>126</v>
      </c>
      <c r="E16" s="15"/>
      <c r="F16" s="15"/>
      <c r="G16" s="15"/>
      <c r="H16" s="15"/>
    </row>
    <row r="17" spans="1:8" x14ac:dyDescent="0.3">
      <c r="A17" s="16" t="s">
        <v>28</v>
      </c>
      <c r="B17" s="16" t="s">
        <v>127</v>
      </c>
      <c r="C17" s="16" t="s">
        <v>128</v>
      </c>
      <c r="D17" s="16"/>
      <c r="E17" s="16"/>
      <c r="F17" s="16"/>
      <c r="G17" s="16"/>
      <c r="H17" s="16"/>
    </row>
    <row r="18" spans="1:8" x14ac:dyDescent="0.3">
      <c r="A18" s="15" t="s">
        <v>29</v>
      </c>
      <c r="B18" s="15" t="s">
        <v>129</v>
      </c>
      <c r="C18" s="15" t="s">
        <v>130</v>
      </c>
      <c r="D18" s="15" t="s">
        <v>131</v>
      </c>
      <c r="E18" s="15"/>
      <c r="F18" s="15"/>
      <c r="G18" s="15"/>
      <c r="H18" s="15"/>
    </row>
    <row r="19" spans="1:8" x14ac:dyDescent="0.3">
      <c r="A19" s="16" t="s">
        <v>30</v>
      </c>
      <c r="B19" s="16" t="s">
        <v>132</v>
      </c>
      <c r="C19" s="16"/>
      <c r="D19" s="16"/>
      <c r="E19" s="16"/>
      <c r="F19" s="16"/>
      <c r="G19" s="16"/>
      <c r="H19" s="16"/>
    </row>
    <row r="20" spans="1:8" x14ac:dyDescent="0.3">
      <c r="A20" s="15" t="s">
        <v>31</v>
      </c>
      <c r="B20" s="15" t="s">
        <v>133</v>
      </c>
      <c r="C20" s="15" t="s">
        <v>134</v>
      </c>
      <c r="D20" s="15"/>
      <c r="E20" s="15"/>
      <c r="F20" s="15"/>
      <c r="G20" s="15"/>
      <c r="H20" s="15"/>
    </row>
    <row r="21" spans="1:8" x14ac:dyDescent="0.3">
      <c r="A21" s="16" t="s">
        <v>33</v>
      </c>
      <c r="B21" s="16" t="s">
        <v>135</v>
      </c>
      <c r="C21" s="16" t="s">
        <v>136</v>
      </c>
      <c r="D21" s="16"/>
      <c r="E21" s="16"/>
      <c r="F21" s="16"/>
      <c r="G21" s="16"/>
      <c r="H21" s="16"/>
    </row>
    <row r="22" spans="1:8" x14ac:dyDescent="0.3">
      <c r="A22" s="15" t="s">
        <v>34</v>
      </c>
      <c r="B22" s="15" t="s">
        <v>137</v>
      </c>
      <c r="C22" s="15"/>
      <c r="D22" s="15"/>
      <c r="E22" s="15"/>
      <c r="F22" s="15"/>
      <c r="G22" s="15"/>
      <c r="H22" s="15"/>
    </row>
    <row r="23" spans="1:8" x14ac:dyDescent="0.3">
      <c r="A23" s="16" t="s">
        <v>35</v>
      </c>
      <c r="B23" s="16" t="s">
        <v>138</v>
      </c>
      <c r="C23" s="16"/>
      <c r="D23" s="16" t="s">
        <v>139</v>
      </c>
      <c r="E23" s="16"/>
      <c r="F23" s="16"/>
      <c r="G23" s="16"/>
      <c r="H23" s="16"/>
    </row>
    <row r="24" spans="1:8" x14ac:dyDescent="0.3">
      <c r="A24" s="15" t="s">
        <v>36</v>
      </c>
      <c r="B24" s="15" t="s">
        <v>140</v>
      </c>
      <c r="C24" s="15" t="s">
        <v>141</v>
      </c>
      <c r="D24" s="15" t="s">
        <v>142</v>
      </c>
      <c r="E24" s="15"/>
      <c r="F24" s="15"/>
      <c r="G24" s="15"/>
      <c r="H24" s="15"/>
    </row>
    <row r="25" spans="1:8" x14ac:dyDescent="0.3">
      <c r="A25" s="16" t="s">
        <v>38</v>
      </c>
      <c r="B25" s="16" t="s">
        <v>143</v>
      </c>
      <c r="C25" s="15" t="s">
        <v>144</v>
      </c>
      <c r="D25" s="16"/>
      <c r="E25" s="16"/>
      <c r="F25" s="16"/>
      <c r="G25" s="16"/>
      <c r="H25" s="16"/>
    </row>
    <row r="26" spans="1:8" x14ac:dyDescent="0.3">
      <c r="A26" s="15" t="s">
        <v>39</v>
      </c>
      <c r="B26" s="15" t="s">
        <v>431</v>
      </c>
      <c r="C26" s="15" t="s">
        <v>145</v>
      </c>
      <c r="D26" s="15"/>
      <c r="E26" s="15"/>
      <c r="F26" s="15"/>
      <c r="G26" s="15"/>
      <c r="H26" s="15"/>
    </row>
    <row r="27" spans="1:8" x14ac:dyDescent="0.3">
      <c r="A27" s="16" t="s">
        <v>41</v>
      </c>
      <c r="B27" s="16" t="s">
        <v>146</v>
      </c>
      <c r="C27" s="15" t="s">
        <v>147</v>
      </c>
      <c r="D27" s="16" t="s">
        <v>148</v>
      </c>
      <c r="E27" s="16"/>
      <c r="F27" s="16"/>
      <c r="G27" s="16"/>
      <c r="H27" s="16"/>
    </row>
    <row r="28" spans="1:8" x14ac:dyDescent="0.3">
      <c r="A28" s="15" t="s">
        <v>42</v>
      </c>
      <c r="B28" s="15" t="s">
        <v>149</v>
      </c>
      <c r="C28" s="15" t="s">
        <v>150</v>
      </c>
      <c r="D28" s="15" t="s">
        <v>151</v>
      </c>
      <c r="E28" s="15"/>
      <c r="F28" s="15"/>
      <c r="G28" s="15"/>
      <c r="H28" s="15"/>
    </row>
    <row r="29" spans="1:8" x14ac:dyDescent="0.3">
      <c r="A29" s="16" t="s">
        <v>44</v>
      </c>
      <c r="B29" s="16" t="s">
        <v>152</v>
      </c>
      <c r="C29" s="16" t="s">
        <v>153</v>
      </c>
      <c r="D29" s="16" t="s">
        <v>154</v>
      </c>
      <c r="E29" s="16"/>
      <c r="F29" s="16"/>
      <c r="G29" s="16"/>
      <c r="H29" s="16"/>
    </row>
    <row r="30" spans="1:8" x14ac:dyDescent="0.3">
      <c r="A30" s="15" t="s">
        <v>45</v>
      </c>
      <c r="B30" s="15" t="s">
        <v>155</v>
      </c>
      <c r="C30" s="15" t="s">
        <v>156</v>
      </c>
      <c r="D30" s="15"/>
      <c r="E30" s="15"/>
      <c r="F30" s="15"/>
      <c r="G30" s="15"/>
      <c r="H30" s="15"/>
    </row>
    <row r="31" spans="1:8" x14ac:dyDescent="0.3">
      <c r="A31" s="16" t="s">
        <v>46</v>
      </c>
      <c r="B31" s="16" t="s">
        <v>157</v>
      </c>
      <c r="C31" s="16" t="s">
        <v>158</v>
      </c>
      <c r="D31" s="16" t="s">
        <v>159</v>
      </c>
      <c r="E31" s="16"/>
      <c r="F31" s="16"/>
      <c r="G31" s="16"/>
      <c r="H31" s="16"/>
    </row>
    <row r="32" spans="1:8" x14ac:dyDescent="0.3">
      <c r="A32" s="15" t="s">
        <v>47</v>
      </c>
      <c r="B32" s="15" t="s">
        <v>160</v>
      </c>
      <c r="C32" s="15" t="s">
        <v>161</v>
      </c>
      <c r="D32" s="15"/>
      <c r="E32" s="15"/>
      <c r="F32" s="15"/>
      <c r="G32" s="15"/>
      <c r="H32" s="15"/>
    </row>
    <row r="33" spans="1:8" x14ac:dyDescent="0.3">
      <c r="A33" s="16" t="s">
        <v>48</v>
      </c>
      <c r="B33" s="16" t="s">
        <v>162</v>
      </c>
      <c r="C33" s="16" t="s">
        <v>163</v>
      </c>
      <c r="D33" s="16" t="s">
        <v>164</v>
      </c>
      <c r="E33" s="16"/>
      <c r="F33" s="16"/>
      <c r="G33" s="16"/>
      <c r="H33" s="16"/>
    </row>
    <row r="34" spans="1:8" x14ac:dyDescent="0.3">
      <c r="A34" s="15" t="s">
        <v>50</v>
      </c>
      <c r="B34" s="15" t="s">
        <v>165</v>
      </c>
      <c r="C34" s="15" t="s">
        <v>166</v>
      </c>
      <c r="D34" s="15" t="s">
        <v>167</v>
      </c>
      <c r="E34" s="15"/>
      <c r="F34" s="15"/>
      <c r="G34" s="15"/>
      <c r="H34" s="15"/>
    </row>
    <row r="35" spans="1:8" x14ac:dyDescent="0.3">
      <c r="A35" s="16" t="s">
        <v>52</v>
      </c>
      <c r="B35" s="16" t="s">
        <v>168</v>
      </c>
      <c r="C35" s="16" t="s">
        <v>169</v>
      </c>
      <c r="D35" s="16"/>
      <c r="E35" s="16"/>
      <c r="F35" s="16"/>
      <c r="G35" s="16"/>
      <c r="H35" s="16"/>
    </row>
    <row r="36" spans="1:8" x14ac:dyDescent="0.3">
      <c r="A36" s="15" t="s">
        <v>53</v>
      </c>
      <c r="B36" s="15" t="s">
        <v>170</v>
      </c>
      <c r="C36" s="15"/>
      <c r="D36" s="15"/>
      <c r="E36" s="15"/>
      <c r="F36" s="15"/>
      <c r="G36" s="15"/>
      <c r="H36" s="15"/>
    </row>
    <row r="37" spans="1:8" x14ac:dyDescent="0.3">
      <c r="A37" s="16" t="s">
        <v>54</v>
      </c>
      <c r="B37" s="16" t="s">
        <v>171</v>
      </c>
      <c r="C37" s="16" t="s">
        <v>172</v>
      </c>
      <c r="D37" s="16"/>
      <c r="E37" s="16"/>
      <c r="F37" s="16"/>
      <c r="G37" s="16"/>
      <c r="H37" s="16"/>
    </row>
    <row r="38" spans="1:8" ht="25.5" customHeight="1" x14ac:dyDescent="0.3">
      <c r="A38" s="15" t="s">
        <v>56</v>
      </c>
      <c r="B38" s="15" t="s">
        <v>173</v>
      </c>
      <c r="C38" s="15" t="s">
        <v>174</v>
      </c>
      <c r="D38" s="15" t="s">
        <v>175</v>
      </c>
      <c r="E38" s="15"/>
      <c r="F38" s="15"/>
      <c r="G38" s="15"/>
      <c r="H38" s="15"/>
    </row>
    <row r="39" spans="1:8" x14ac:dyDescent="0.3">
      <c r="A39" s="16" t="s">
        <v>57</v>
      </c>
      <c r="B39" s="16" t="s">
        <v>176</v>
      </c>
      <c r="C39" s="16" t="s">
        <v>177</v>
      </c>
      <c r="D39" s="16"/>
      <c r="E39" s="16"/>
      <c r="F39" s="16"/>
      <c r="G39" s="16"/>
      <c r="H39" s="16"/>
    </row>
    <row r="40" spans="1:8" x14ac:dyDescent="0.3">
      <c r="A40" s="15" t="s">
        <v>58</v>
      </c>
      <c r="B40" s="15" t="s">
        <v>178</v>
      </c>
      <c r="C40" s="15" t="s">
        <v>179</v>
      </c>
      <c r="D40" s="15" t="s">
        <v>180</v>
      </c>
      <c r="E40" s="15"/>
      <c r="F40" s="15"/>
      <c r="G40" s="15"/>
      <c r="H40" s="15"/>
    </row>
    <row r="41" spans="1:8" x14ac:dyDescent="0.3">
      <c r="A41" s="16" t="s">
        <v>59</v>
      </c>
      <c r="B41" s="16" t="s">
        <v>181</v>
      </c>
      <c r="C41" s="16" t="s">
        <v>182</v>
      </c>
      <c r="D41" s="16"/>
      <c r="E41" s="16"/>
      <c r="F41" s="16"/>
      <c r="G41" s="16"/>
      <c r="H41" s="16"/>
    </row>
    <row r="42" spans="1:8" x14ac:dyDescent="0.3">
      <c r="A42" s="15" t="s">
        <v>60</v>
      </c>
      <c r="B42" s="15" t="s">
        <v>183</v>
      </c>
      <c r="C42" s="15" t="s">
        <v>184</v>
      </c>
      <c r="D42" s="15" t="s">
        <v>185</v>
      </c>
      <c r="E42" s="15"/>
      <c r="F42" s="15"/>
      <c r="G42" s="15"/>
      <c r="H42" s="15"/>
    </row>
    <row r="43" spans="1:8" x14ac:dyDescent="0.3">
      <c r="A43" s="16" t="s">
        <v>61</v>
      </c>
      <c r="B43" s="16" t="s">
        <v>186</v>
      </c>
      <c r="C43" s="16"/>
      <c r="D43" s="16"/>
      <c r="E43" s="16"/>
      <c r="F43" s="16"/>
      <c r="G43" s="16"/>
      <c r="H43" s="16"/>
    </row>
    <row r="44" spans="1:8" x14ac:dyDescent="0.3">
      <c r="A44" s="15" t="s">
        <v>62</v>
      </c>
      <c r="B44" s="15" t="s">
        <v>187</v>
      </c>
      <c r="C44" s="15" t="s">
        <v>188</v>
      </c>
      <c r="D44" s="15"/>
      <c r="E44" s="15"/>
      <c r="F44" s="15"/>
      <c r="G44" s="15"/>
      <c r="H44" s="15"/>
    </row>
    <row r="45" spans="1:8" x14ac:dyDescent="0.3">
      <c r="A45" s="16" t="s">
        <v>63</v>
      </c>
      <c r="B45" s="16" t="s">
        <v>189</v>
      </c>
      <c r="C45" s="16" t="s">
        <v>190</v>
      </c>
      <c r="D45" s="16"/>
      <c r="E45" s="16"/>
      <c r="F45" s="16"/>
      <c r="G45" s="16"/>
      <c r="H45" s="16"/>
    </row>
    <row r="46" spans="1:8" x14ac:dyDescent="0.3">
      <c r="A46" s="15" t="s">
        <v>64</v>
      </c>
      <c r="B46" s="15" t="s">
        <v>120</v>
      </c>
      <c r="C46" s="15" t="s">
        <v>191</v>
      </c>
      <c r="D46" s="15"/>
      <c r="E46" s="15"/>
      <c r="F46" s="15"/>
      <c r="G46" s="15"/>
      <c r="H46" s="15"/>
    </row>
    <row r="47" spans="1:8" x14ac:dyDescent="0.3">
      <c r="A47" s="16" t="s">
        <v>65</v>
      </c>
      <c r="B47" s="16" t="s">
        <v>192</v>
      </c>
      <c r="C47" s="16" t="s">
        <v>193</v>
      </c>
      <c r="D47" s="16" t="s">
        <v>194</v>
      </c>
      <c r="E47" s="16"/>
      <c r="F47" s="16"/>
      <c r="G47" s="16"/>
      <c r="H47" s="16"/>
    </row>
    <row r="48" spans="1:8" x14ac:dyDescent="0.3">
      <c r="A48" s="15" t="s">
        <v>66</v>
      </c>
      <c r="B48" s="15" t="s">
        <v>195</v>
      </c>
      <c r="C48" s="15"/>
      <c r="D48" s="15" t="s">
        <v>196</v>
      </c>
      <c r="E48" s="15"/>
      <c r="F48" s="15"/>
      <c r="G48" s="15"/>
      <c r="H48" s="15"/>
    </row>
    <row r="49" spans="1:8" x14ac:dyDescent="0.3">
      <c r="A49" s="16" t="s">
        <v>67</v>
      </c>
      <c r="B49" s="16" t="s">
        <v>197</v>
      </c>
      <c r="C49" s="16" t="s">
        <v>198</v>
      </c>
      <c r="D49" s="16" t="s">
        <v>199</v>
      </c>
      <c r="E49" s="16"/>
      <c r="F49" s="16"/>
      <c r="G49" s="16"/>
      <c r="H49" s="16"/>
    </row>
    <row r="50" spans="1:8" x14ac:dyDescent="0.3">
      <c r="A50" s="15" t="s">
        <v>68</v>
      </c>
      <c r="B50" s="15" t="s">
        <v>200</v>
      </c>
      <c r="C50" s="15" t="s">
        <v>201</v>
      </c>
      <c r="D50" s="15" t="s">
        <v>202</v>
      </c>
      <c r="E50" s="15"/>
      <c r="F50" s="15"/>
      <c r="G50" s="15"/>
      <c r="H50" s="15"/>
    </row>
    <row r="51" spans="1:8" x14ac:dyDescent="0.3">
      <c r="A51" s="16" t="s">
        <v>69</v>
      </c>
      <c r="B51" s="16" t="s">
        <v>203</v>
      </c>
      <c r="C51" s="16" t="s">
        <v>204</v>
      </c>
      <c r="D51" s="16" t="s">
        <v>205</v>
      </c>
      <c r="E51" s="16"/>
      <c r="F51" s="16"/>
      <c r="G51" s="16"/>
      <c r="H51" s="16"/>
    </row>
    <row r="52" spans="1:8" x14ac:dyDescent="0.3">
      <c r="A52" s="15" t="s">
        <v>70</v>
      </c>
      <c r="B52" s="15" t="s">
        <v>206</v>
      </c>
      <c r="C52" s="15" t="s">
        <v>207</v>
      </c>
      <c r="D52" s="15" t="s">
        <v>208</v>
      </c>
      <c r="E52" s="15"/>
      <c r="F52" s="15"/>
      <c r="G52" s="15"/>
      <c r="H52" s="15"/>
    </row>
    <row r="53" spans="1:8" x14ac:dyDescent="0.3">
      <c r="A53" s="16" t="s">
        <v>71</v>
      </c>
      <c r="B53" s="16" t="s">
        <v>209</v>
      </c>
      <c r="C53" s="16" t="s">
        <v>210</v>
      </c>
      <c r="D53" s="16"/>
      <c r="E53" s="16"/>
      <c r="F53" s="16"/>
      <c r="G53" s="16"/>
      <c r="H53" s="16"/>
    </row>
    <row r="54" spans="1:8" x14ac:dyDescent="0.3">
      <c r="A54" s="15" t="s">
        <v>73</v>
      </c>
      <c r="B54" s="15" t="s">
        <v>211</v>
      </c>
      <c r="C54" s="15" t="s">
        <v>212</v>
      </c>
      <c r="D54" s="15" t="s">
        <v>213</v>
      </c>
      <c r="E54" s="15"/>
      <c r="F54" s="15"/>
      <c r="G54" s="15"/>
      <c r="H54" s="15"/>
    </row>
    <row r="55" spans="1:8" x14ac:dyDescent="0.3">
      <c r="A55" s="16" t="s">
        <v>74</v>
      </c>
      <c r="B55" s="16" t="s">
        <v>214</v>
      </c>
      <c r="C55" s="16" t="s">
        <v>215</v>
      </c>
      <c r="D55" s="16" t="s">
        <v>216</v>
      </c>
      <c r="E55" s="16"/>
      <c r="F55" s="16"/>
      <c r="G55" s="16"/>
      <c r="H55" s="16"/>
    </row>
    <row r="56" spans="1:8" x14ac:dyDescent="0.3">
      <c r="A56" s="15" t="s">
        <v>75</v>
      </c>
      <c r="B56" s="15" t="s">
        <v>217</v>
      </c>
      <c r="C56" s="15" t="s">
        <v>218</v>
      </c>
      <c r="D56" s="15"/>
      <c r="E56" s="15"/>
      <c r="F56" s="15"/>
      <c r="G56" s="15"/>
      <c r="H56" s="15"/>
    </row>
    <row r="57" spans="1:8" x14ac:dyDescent="0.3">
      <c r="A57" s="16" t="s">
        <v>76</v>
      </c>
      <c r="B57" s="16" t="s">
        <v>219</v>
      </c>
      <c r="C57" s="16" t="s">
        <v>220</v>
      </c>
      <c r="D57" s="16" t="s">
        <v>221</v>
      </c>
      <c r="E57" s="16"/>
      <c r="F57" s="16"/>
      <c r="G57" s="16"/>
      <c r="H57" s="16"/>
    </row>
    <row r="58" spans="1:8" x14ac:dyDescent="0.3">
      <c r="A58" s="15" t="s">
        <v>77</v>
      </c>
      <c r="B58" s="15" t="s">
        <v>222</v>
      </c>
      <c r="C58" s="15" t="s">
        <v>223</v>
      </c>
      <c r="D58" s="15"/>
      <c r="E58" s="15"/>
      <c r="F58" s="15"/>
      <c r="G58" s="15"/>
      <c r="H58" s="15"/>
    </row>
    <row r="59" spans="1:8" ht="25.5" customHeight="1" x14ac:dyDescent="0.3">
      <c r="A59" s="16" t="s">
        <v>79</v>
      </c>
      <c r="B59" s="16" t="s">
        <v>104</v>
      </c>
      <c r="C59" s="16" t="s">
        <v>224</v>
      </c>
      <c r="D59" s="16" t="s">
        <v>225</v>
      </c>
      <c r="E59" s="16"/>
      <c r="F59" s="16"/>
      <c r="G59" s="16"/>
      <c r="H59" s="16"/>
    </row>
    <row r="60" spans="1:8" x14ac:dyDescent="0.3">
      <c r="A60" s="15" t="s">
        <v>80</v>
      </c>
      <c r="B60" s="15" t="s">
        <v>226</v>
      </c>
      <c r="C60" s="15" t="s">
        <v>227</v>
      </c>
      <c r="D60" s="15" t="s">
        <v>228</v>
      </c>
      <c r="E60" s="15"/>
      <c r="F60" s="15"/>
      <c r="G60" s="15"/>
      <c r="H60" s="15"/>
    </row>
    <row r="61" spans="1:8" x14ac:dyDescent="0.3">
      <c r="A61" s="16" t="s">
        <v>81</v>
      </c>
      <c r="B61" s="16" t="s">
        <v>229</v>
      </c>
      <c r="C61" s="16" t="s">
        <v>230</v>
      </c>
      <c r="D61" s="16"/>
      <c r="E61" s="16"/>
      <c r="F61" s="16"/>
      <c r="G61" s="16"/>
      <c r="H61" s="16"/>
    </row>
    <row r="62" spans="1:8" x14ac:dyDescent="0.3">
      <c r="A62" s="15" t="s">
        <v>82</v>
      </c>
      <c r="B62" s="15" t="s">
        <v>231</v>
      </c>
      <c r="C62" s="15"/>
      <c r="D62" s="15"/>
      <c r="E62" s="15"/>
      <c r="F62" s="15"/>
      <c r="G62" s="15"/>
      <c r="H62" s="15"/>
    </row>
    <row r="63" spans="1:8" x14ac:dyDescent="0.3">
      <c r="A63" s="16" t="s">
        <v>84</v>
      </c>
      <c r="B63" s="16" t="s">
        <v>232</v>
      </c>
      <c r="C63" s="16" t="s">
        <v>233</v>
      </c>
      <c r="D63" s="16" t="s">
        <v>234</v>
      </c>
      <c r="E63" s="16"/>
      <c r="F63" s="16"/>
      <c r="G63" s="16"/>
      <c r="H63" s="16"/>
    </row>
    <row r="64" spans="1:8" x14ac:dyDescent="0.3">
      <c r="A64" s="15" t="s">
        <v>85</v>
      </c>
      <c r="B64" s="15" t="s">
        <v>235</v>
      </c>
      <c r="C64" s="15"/>
      <c r="D64" s="15" t="s">
        <v>236</v>
      </c>
      <c r="E64" s="15"/>
      <c r="F64" s="15"/>
      <c r="G64" s="15"/>
      <c r="H64" s="15"/>
    </row>
    <row r="65" spans="1:8" x14ac:dyDescent="0.3">
      <c r="A65" s="16" t="s">
        <v>86</v>
      </c>
      <c r="B65" s="16" t="s">
        <v>237</v>
      </c>
      <c r="C65" s="16" t="s">
        <v>238</v>
      </c>
      <c r="D65" s="16"/>
      <c r="E65" s="16"/>
      <c r="F65" s="16"/>
      <c r="G65" s="16"/>
      <c r="H65" s="16"/>
    </row>
  </sheetData>
  <hyperlinks>
    <hyperlink ref="C9" r:id="rId1" xr:uid="{00000000-0004-0000-0000-000000000000}"/>
    <hyperlink ref="C25" r:id="rId2" xr:uid="{00000000-0004-0000-0000-000001000000}"/>
    <hyperlink ref="C27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73"/>
  <sheetViews>
    <sheetView topLeftCell="G1" workbookViewId="0">
      <pane ySplit="2" topLeftCell="A3" activePane="bottomLeft" state="frozen"/>
      <selection pane="bottomLeft" activeCell="R3" sqref="R3"/>
    </sheetView>
  </sheetViews>
  <sheetFormatPr defaultColWidth="14.44140625" defaultRowHeight="15" customHeight="1" x14ac:dyDescent="0.3"/>
  <cols>
    <col min="1" max="1" width="7.6640625" customWidth="1"/>
    <col min="2" max="2" width="32" customWidth="1"/>
    <col min="3" max="3" width="15.6640625" customWidth="1"/>
    <col min="4" max="4" width="20.109375" customWidth="1"/>
    <col min="5" max="5" width="19.44140625" customWidth="1"/>
    <col min="6" max="6" width="15" customWidth="1"/>
    <col min="7" max="7" width="16.33203125" customWidth="1"/>
    <col min="8" max="8" width="13.6640625" customWidth="1"/>
    <col min="9" max="9" width="14.33203125" customWidth="1"/>
    <col min="10" max="10" width="28.44140625" customWidth="1"/>
    <col min="11" max="11" width="16.6640625" customWidth="1"/>
    <col min="12" max="12" width="17.6640625" customWidth="1"/>
    <col min="13" max="13" width="17.33203125" customWidth="1"/>
    <col min="14" max="14" width="15.6640625" customWidth="1"/>
    <col min="15" max="15" width="16.6640625" customWidth="1"/>
    <col min="16" max="16" width="17.6640625" customWidth="1"/>
    <col min="17" max="17" width="27.44140625" customWidth="1"/>
    <col min="18" max="18" width="27.44140625" style="85" customWidth="1"/>
    <col min="19" max="19" width="12.33203125" customWidth="1"/>
    <col min="20" max="20" width="44.109375" customWidth="1"/>
    <col min="21" max="21" width="16.33203125" bestFit="1" customWidth="1"/>
  </cols>
  <sheetData>
    <row r="1" spans="1:22" ht="18.75" customHeight="1" x14ac:dyDescent="0.3">
      <c r="A1" s="17"/>
      <c r="B1" s="86" t="s">
        <v>239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8"/>
    </row>
    <row r="2" spans="1:22" ht="58.5" customHeight="1" x14ac:dyDescent="0.3">
      <c r="A2" s="18" t="s">
        <v>0</v>
      </c>
      <c r="B2" s="14">
        <v>1</v>
      </c>
      <c r="C2" s="18" t="s">
        <v>240</v>
      </c>
      <c r="D2" s="18" t="s">
        <v>241</v>
      </c>
      <c r="E2" s="18" t="s">
        <v>242</v>
      </c>
      <c r="F2" s="18" t="s">
        <v>243</v>
      </c>
      <c r="G2" s="18" t="s">
        <v>244</v>
      </c>
      <c r="H2" s="18" t="s">
        <v>245</v>
      </c>
      <c r="I2" s="18" t="s">
        <v>246</v>
      </c>
      <c r="J2" s="18" t="s">
        <v>247</v>
      </c>
      <c r="K2" s="18" t="s">
        <v>248</v>
      </c>
      <c r="L2" s="18" t="s">
        <v>249</v>
      </c>
      <c r="M2" s="18" t="s">
        <v>250</v>
      </c>
      <c r="N2" s="18" t="s">
        <v>251</v>
      </c>
      <c r="O2" s="18" t="s">
        <v>252</v>
      </c>
      <c r="P2" s="18" t="s">
        <v>253</v>
      </c>
      <c r="Q2" s="18" t="s">
        <v>254</v>
      </c>
      <c r="R2" s="18" t="s">
        <v>255</v>
      </c>
      <c r="S2" s="18" t="s">
        <v>256</v>
      </c>
      <c r="T2" s="18"/>
      <c r="U2" s="18"/>
      <c r="V2" t="s">
        <v>257</v>
      </c>
    </row>
    <row r="3" spans="1:22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U7</f>
        <v>117.8112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2" ht="12.75" customHeight="1" x14ac:dyDescent="0.3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U7</f>
        <v>117.8112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 t="s">
        <v>261</v>
      </c>
      <c r="U4" s="22">
        <f>'ANNUAL-EXPENSE-DETAILS'!V3</f>
        <v>269762</v>
      </c>
    </row>
    <row r="5" spans="1:22" ht="12.75" customHeight="1" x14ac:dyDescent="0.3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U7</f>
        <v>117.8112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 t="s">
        <v>263</v>
      </c>
      <c r="U5" s="20">
        <f>'ANNUAL-EXPENSE-DETAILS'!U3</f>
        <v>48800</v>
      </c>
    </row>
    <row r="6" spans="1:22" ht="12.75" customHeight="1" x14ac:dyDescent="0.3">
      <c r="A6" s="21" t="s">
        <v>4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22">
        <f t="shared" ref="F6:F37" si="2">IF($C$70=0, 0, E6/$C$70)</f>
        <v>1.085061444888891E-2</v>
      </c>
      <c r="G6" s="22">
        <f t="shared" ref="G6:G37" si="3">F6*$U$5</f>
        <v>529.50998510577881</v>
      </c>
      <c r="H6" s="22">
        <v>3</v>
      </c>
      <c r="I6" s="22">
        <f t="shared" ref="I6:I37" si="4">$U$7*H6</f>
        <v>353.43360000000001</v>
      </c>
      <c r="J6" s="22">
        <f t="shared" ref="J6:J37" si="5">G6+$U$9+I6</f>
        <v>888.46598510577883</v>
      </c>
      <c r="K6" s="22">
        <f t="shared" ref="K6:K37" si="6">$U$4/64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f t="shared" ref="S6:S37" si="7">SUM(J6:R6)*$B$2</f>
        <v>5103.4972351057786</v>
      </c>
      <c r="T6" s="22"/>
      <c r="U6" s="22"/>
    </row>
    <row r="7" spans="1:22" ht="12.75" customHeight="1" x14ac:dyDescent="0.3">
      <c r="A7" s="19" t="s">
        <v>6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20">
        <f t="shared" si="2"/>
        <v>2.6112209774394893E-2</v>
      </c>
      <c r="G7" s="20">
        <f t="shared" si="3"/>
        <v>1274.2758369904707</v>
      </c>
      <c r="H7" s="20">
        <v>4</v>
      </c>
      <c r="I7" s="20">
        <f t="shared" si="4"/>
        <v>471.2448</v>
      </c>
      <c r="J7" s="20">
        <f t="shared" si="5"/>
        <v>1751.0430369904707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/>
      <c r="S7" s="20">
        <f t="shared" si="7"/>
        <v>5966.0742869904707</v>
      </c>
      <c r="T7" s="20" t="s">
        <v>264</v>
      </c>
      <c r="U7" s="80">
        <f>(99.84+0.18*99.84)</f>
        <v>117.8112</v>
      </c>
    </row>
    <row r="8" spans="1:22" ht="12.75" customHeight="1" x14ac:dyDescent="0.3">
      <c r="A8" s="21" t="s">
        <v>7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22">
        <f t="shared" si="2"/>
        <v>2.7073609333047737E-2</v>
      </c>
      <c r="G8" s="22">
        <f t="shared" si="3"/>
        <v>1321.1921354527296</v>
      </c>
      <c r="H8" s="22">
        <v>4</v>
      </c>
      <c r="I8" s="22">
        <f t="shared" si="4"/>
        <v>471.2448</v>
      </c>
      <c r="J8" s="22">
        <f t="shared" si="5"/>
        <v>1797.9593354527296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f t="shared" si="7"/>
        <v>6762.9905854527296</v>
      </c>
      <c r="T8" s="22" t="s">
        <v>265</v>
      </c>
      <c r="U8" s="22">
        <f>$U$7*3</f>
        <v>353.43360000000001</v>
      </c>
    </row>
    <row r="9" spans="1:22" ht="12.75" customHeight="1" x14ac:dyDescent="0.3">
      <c r="A9" s="19" t="s">
        <v>9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20">
        <f t="shared" si="2"/>
        <v>1.1536794703834142E-2</v>
      </c>
      <c r="G9" s="20">
        <f t="shared" si="3"/>
        <v>562.9955815471061</v>
      </c>
      <c r="H9" s="20">
        <v>4</v>
      </c>
      <c r="I9" s="20">
        <f t="shared" si="4"/>
        <v>471.2448</v>
      </c>
      <c r="J9" s="20">
        <f t="shared" si="5"/>
        <v>1039.762781547106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f t="shared" si="7"/>
        <v>5254.794031547106</v>
      </c>
      <c r="T9" s="20" t="s">
        <v>266</v>
      </c>
      <c r="U9" s="20">
        <f>U8/64</f>
        <v>5.5224000000000002</v>
      </c>
    </row>
    <row r="10" spans="1:22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22">
        <f t="shared" si="2"/>
        <v>9.3923257401033137E-3</v>
      </c>
      <c r="G10" s="22">
        <f t="shared" si="3"/>
        <v>458.34549611704171</v>
      </c>
      <c r="H10" s="22">
        <v>3</v>
      </c>
      <c r="I10" s="22">
        <f t="shared" si="4"/>
        <v>353.43360000000001</v>
      </c>
      <c r="J10" s="22">
        <f t="shared" si="5"/>
        <v>817.30149611704178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f t="shared" si="7"/>
        <v>5032.332746117042</v>
      </c>
      <c r="T10" s="22"/>
      <c r="U10" s="22"/>
    </row>
    <row r="11" spans="1:22" ht="12.75" customHeight="1" x14ac:dyDescent="0.3">
      <c r="A11" s="19" t="s">
        <v>14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20">
        <f t="shared" si="2"/>
        <v>1.6910420475319928E-2</v>
      </c>
      <c r="G11" s="20">
        <f t="shared" si="3"/>
        <v>825.22851919561253</v>
      </c>
      <c r="H11" s="20">
        <v>3</v>
      </c>
      <c r="I11" s="20">
        <f t="shared" si="4"/>
        <v>353.43360000000001</v>
      </c>
      <c r="J11" s="20">
        <f t="shared" si="5"/>
        <v>1184.1845191956124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7"/>
        <v>5399.2157691956127</v>
      </c>
      <c r="T11" s="20" t="s">
        <v>267</v>
      </c>
      <c r="U11" s="20"/>
    </row>
    <row r="12" spans="1:22" ht="12.75" customHeight="1" x14ac:dyDescent="0.3">
      <c r="A12" s="21" t="s">
        <v>16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22">
        <f t="shared" si="2"/>
        <v>1.469496734728442E-4</v>
      </c>
      <c r="G12" s="22">
        <f t="shared" si="3"/>
        <v>7.1711440654747971</v>
      </c>
      <c r="H12" s="22">
        <v>3</v>
      </c>
      <c r="I12" s="22">
        <f t="shared" si="4"/>
        <v>353.43360000000001</v>
      </c>
      <c r="J12" s="22">
        <f t="shared" si="5"/>
        <v>366.12714406547479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f t="shared" si="7"/>
        <v>5331.1583940654746</v>
      </c>
      <c r="T12" s="22" t="s">
        <v>268</v>
      </c>
      <c r="U12" s="22"/>
    </row>
    <row r="13" spans="1:22" ht="12.75" customHeight="1" x14ac:dyDescent="0.3">
      <c r="A13" s="19" t="s">
        <v>18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20">
        <f t="shared" si="2"/>
        <v>9.2503574114939559E-3</v>
      </c>
      <c r="G13" s="20">
        <f t="shared" si="3"/>
        <v>451.41744168090503</v>
      </c>
      <c r="H13" s="20">
        <v>3</v>
      </c>
      <c r="I13" s="20">
        <f t="shared" si="4"/>
        <v>353.43360000000001</v>
      </c>
      <c r="J13" s="20">
        <f t="shared" si="5"/>
        <v>810.37344168090499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7"/>
        <v>5025.4046916809048</v>
      </c>
      <c r="T13" s="20" t="s">
        <v>269</v>
      </c>
      <c r="U13" s="20"/>
    </row>
    <row r="14" spans="1:22" ht="12.75" customHeight="1" x14ac:dyDescent="0.3">
      <c r="A14" s="21" t="s">
        <v>19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22">
        <f t="shared" si="2"/>
        <v>5.1083691575051432E-3</v>
      </c>
      <c r="G14" s="22">
        <f t="shared" si="3"/>
        <v>249.28841488625099</v>
      </c>
      <c r="H14" s="22">
        <v>4</v>
      </c>
      <c r="I14" s="22">
        <f t="shared" si="4"/>
        <v>471.2448</v>
      </c>
      <c r="J14" s="22">
        <f t="shared" si="5"/>
        <v>726.05561488625096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f t="shared" si="7"/>
        <v>4941.0868648862506</v>
      </c>
      <c r="T14" s="22" t="s">
        <v>270</v>
      </c>
      <c r="U14" s="22">
        <f>U12-U13</f>
        <v>0</v>
      </c>
    </row>
    <row r="15" spans="1:22" ht="12.75" customHeight="1" x14ac:dyDescent="0.3">
      <c r="A15" s="19" t="s">
        <v>20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20">
        <f t="shared" si="2"/>
        <v>2.3748561636670669E-2</v>
      </c>
      <c r="G15" s="20">
        <f t="shared" si="3"/>
        <v>1158.9298078695285</v>
      </c>
      <c r="H15" s="20">
        <v>3</v>
      </c>
      <c r="I15" s="20">
        <f t="shared" si="4"/>
        <v>353.43360000000001</v>
      </c>
      <c r="J15" s="20">
        <f t="shared" si="5"/>
        <v>1517.8858078695287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f t="shared" si="7"/>
        <v>5732.9170578695284</v>
      </c>
      <c r="T15" s="20" t="s">
        <v>271</v>
      </c>
      <c r="U15" s="20"/>
    </row>
    <row r="16" spans="1:22" ht="12.75" customHeight="1" x14ac:dyDescent="0.3">
      <c r="A16" s="21" t="s">
        <v>21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22">
        <f t="shared" si="2"/>
        <v>2.1768477053434885E-3</v>
      </c>
      <c r="G16" s="22">
        <f t="shared" si="3"/>
        <v>106.23016802076224</v>
      </c>
      <c r="H16" s="22">
        <v>3</v>
      </c>
      <c r="I16" s="22">
        <f t="shared" si="4"/>
        <v>353.43360000000001</v>
      </c>
      <c r="J16" s="22">
        <f t="shared" si="5"/>
        <v>465.18616802076224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f t="shared" si="7"/>
        <v>4680.2174180207621</v>
      </c>
      <c r="T16" s="22" t="s">
        <v>272</v>
      </c>
      <c r="U16" s="22">
        <f>U11-U14-U15</f>
        <v>0</v>
      </c>
    </row>
    <row r="17" spans="1:21" ht="12.75" customHeight="1" x14ac:dyDescent="0.3">
      <c r="A17" s="19" t="s">
        <v>22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20">
        <f t="shared" si="2"/>
        <v>7.5965509168165226E-5</v>
      </c>
      <c r="G17" s="20">
        <f t="shared" si="3"/>
        <v>3.7071168474064629</v>
      </c>
      <c r="H17" s="20">
        <v>3</v>
      </c>
      <c r="I17" s="20">
        <f t="shared" si="4"/>
        <v>353.43360000000001</v>
      </c>
      <c r="J17" s="20">
        <f t="shared" si="5"/>
        <v>362.66311684740646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f t="shared" si="7"/>
        <v>4577.6943668474069</v>
      </c>
      <c r="T17" s="20" t="s">
        <v>273</v>
      </c>
      <c r="U17" s="20">
        <f>'ANNUAL-EXPENSE-DETAILS'!Y9</f>
        <v>0</v>
      </c>
    </row>
    <row r="18" spans="1:21" ht="12.75" customHeight="1" x14ac:dyDescent="0.3">
      <c r="A18" s="21" t="s">
        <v>23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22">
        <f t="shared" si="2"/>
        <v>6.1395075442467958E-3</v>
      </c>
      <c r="G18" s="22">
        <f t="shared" si="3"/>
        <v>299.60796815924363</v>
      </c>
      <c r="H18" s="22">
        <v>4</v>
      </c>
      <c r="I18" s="22">
        <f t="shared" si="4"/>
        <v>471.2448</v>
      </c>
      <c r="J18" s="22">
        <f t="shared" si="5"/>
        <v>776.37516815924369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f t="shared" si="7"/>
        <v>4991.4064181592439</v>
      </c>
      <c r="T18" s="22" t="s">
        <v>274</v>
      </c>
      <c r="U18" s="22">
        <f>U16-U17</f>
        <v>0</v>
      </c>
    </row>
    <row r="19" spans="1:21" ht="12.75" customHeight="1" x14ac:dyDescent="0.3">
      <c r="A19" s="19" t="s">
        <v>25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20">
        <f t="shared" si="2"/>
        <v>1.2266561726334876E-3</v>
      </c>
      <c r="G19" s="20">
        <f t="shared" si="3"/>
        <v>59.860821224514197</v>
      </c>
      <c r="H19" s="20">
        <v>4</v>
      </c>
      <c r="I19" s="20">
        <f t="shared" si="4"/>
        <v>471.2448</v>
      </c>
      <c r="J19" s="20">
        <f t="shared" si="5"/>
        <v>536.62802122451421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f t="shared" si="7"/>
        <v>4751.6592712245147</v>
      </c>
      <c r="T19" s="20"/>
      <c r="U19" s="20"/>
    </row>
    <row r="20" spans="1:21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22">
        <f t="shared" si="2"/>
        <v>9.5318033962809284E-3</v>
      </c>
      <c r="G20" s="22">
        <f t="shared" si="3"/>
        <v>465.15200573850933</v>
      </c>
      <c r="H20" s="22">
        <v>4</v>
      </c>
      <c r="I20" s="22">
        <f t="shared" si="4"/>
        <v>471.2448</v>
      </c>
      <c r="J20" s="22">
        <f t="shared" si="5"/>
        <v>941.91920573850939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f t="shared" si="7"/>
        <v>5906.9504557385098</v>
      </c>
      <c r="T20" s="22"/>
      <c r="U20" s="22"/>
    </row>
    <row r="21" spans="1:21" ht="12.75" customHeight="1" x14ac:dyDescent="0.3">
      <c r="A21" s="19" t="s">
        <v>28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20">
        <f t="shared" si="2"/>
        <v>3.5526951566383892E-2</v>
      </c>
      <c r="G21" s="20">
        <f t="shared" si="3"/>
        <v>1733.715236439534</v>
      </c>
      <c r="H21" s="20">
        <v>3</v>
      </c>
      <c r="I21" s="20">
        <f t="shared" si="4"/>
        <v>353.43360000000001</v>
      </c>
      <c r="J21" s="20">
        <f t="shared" si="5"/>
        <v>2092.6712364395339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f t="shared" si="7"/>
        <v>6307.7024864395335</v>
      </c>
      <c r="T21" s="20"/>
      <c r="U21" s="20"/>
    </row>
    <row r="22" spans="1:21" ht="12.75" customHeight="1" x14ac:dyDescent="0.3">
      <c r="A22" s="21" t="s">
        <v>29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22">
        <f t="shared" si="2"/>
        <v>2.953439369560994E-2</v>
      </c>
      <c r="G22" s="22">
        <f t="shared" si="3"/>
        <v>1441.278412345765</v>
      </c>
      <c r="H22" s="22">
        <v>3</v>
      </c>
      <c r="I22" s="22">
        <f t="shared" si="4"/>
        <v>353.43360000000001</v>
      </c>
      <c r="J22" s="22">
        <f t="shared" si="5"/>
        <v>1800.2344123457651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f t="shared" si="7"/>
        <v>6015.2656623457651</v>
      </c>
      <c r="T22" s="22"/>
      <c r="U22" s="22"/>
    </row>
    <row r="23" spans="1:21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20">
        <f t="shared" si="2"/>
        <v>4.0287871919660871E-2</v>
      </c>
      <c r="G23" s="20">
        <f t="shared" si="3"/>
        <v>1966.0481496794505</v>
      </c>
      <c r="H23" s="20">
        <v>4</v>
      </c>
      <c r="I23" s="20">
        <f t="shared" si="4"/>
        <v>471.2448</v>
      </c>
      <c r="J23" s="20">
        <f t="shared" si="5"/>
        <v>2442.8153496794507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f t="shared" si="7"/>
        <v>6657.8465996794512</v>
      </c>
      <c r="T23" s="20"/>
      <c r="U23" s="20"/>
    </row>
    <row r="24" spans="1:21" ht="12.75" customHeight="1" x14ac:dyDescent="0.3">
      <c r="A24" s="21" t="s">
        <v>31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22">
        <f t="shared" si="2"/>
        <v>2.7513213017250397E-2</v>
      </c>
      <c r="G24" s="22">
        <f t="shared" si="3"/>
        <v>1342.6447952418193</v>
      </c>
      <c r="H24" s="22">
        <v>4</v>
      </c>
      <c r="I24" s="22">
        <f t="shared" si="4"/>
        <v>471.2448</v>
      </c>
      <c r="J24" s="22">
        <f t="shared" si="5"/>
        <v>1819.4119952418193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f t="shared" si="7"/>
        <v>6034.4432452418196</v>
      </c>
      <c r="T24" s="22"/>
      <c r="U24" s="22"/>
    </row>
    <row r="25" spans="1:21" ht="12.75" customHeight="1" x14ac:dyDescent="0.3">
      <c r="A25" s="19" t="s">
        <v>33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20">
        <f t="shared" si="2"/>
        <v>4.750708596306831E-2</v>
      </c>
      <c r="G25" s="20">
        <f t="shared" si="3"/>
        <v>2318.3457949977337</v>
      </c>
      <c r="H25" s="20">
        <v>4</v>
      </c>
      <c r="I25" s="20">
        <f t="shared" si="4"/>
        <v>471.2448</v>
      </c>
      <c r="J25" s="20">
        <f t="shared" si="5"/>
        <v>2795.1129949977335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f t="shared" si="7"/>
        <v>7010.144244997733</v>
      </c>
      <c r="T25" s="20"/>
      <c r="U25" s="20"/>
    </row>
    <row r="26" spans="1:21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22">
        <f t="shared" si="2"/>
        <v>2.4191901329520944E-2</v>
      </c>
      <c r="G26" s="22">
        <f t="shared" si="3"/>
        <v>1180.564784880622</v>
      </c>
      <c r="H26" s="22">
        <v>3</v>
      </c>
      <c r="I26" s="22">
        <f t="shared" si="4"/>
        <v>353.43360000000001</v>
      </c>
      <c r="J26" s="22">
        <f t="shared" si="5"/>
        <v>1539.5207848806222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f t="shared" si="7"/>
        <v>5754.5520348806222</v>
      </c>
      <c r="T26" s="22"/>
      <c r="U26" s="22"/>
    </row>
    <row r="27" spans="1:21" ht="12.75" customHeight="1" x14ac:dyDescent="0.3">
      <c r="A27" s="19" t="s">
        <v>35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20">
        <f t="shared" si="2"/>
        <v>1.6208050849568365E-2</v>
      </c>
      <c r="G27" s="20">
        <f t="shared" si="3"/>
        <v>790.95288145893619</v>
      </c>
      <c r="H27" s="20">
        <v>3</v>
      </c>
      <c r="I27" s="20">
        <f t="shared" si="4"/>
        <v>353.43360000000001</v>
      </c>
      <c r="J27" s="20">
        <f t="shared" si="5"/>
        <v>1149.9088814589361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f t="shared" si="7"/>
        <v>5364.9401314589359</v>
      </c>
      <c r="T27" s="20"/>
      <c r="U27" s="20"/>
    </row>
    <row r="28" spans="1:21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22">
        <f t="shared" si="2"/>
        <v>4.3175806604267017E-3</v>
      </c>
      <c r="G28" s="22">
        <f t="shared" si="3"/>
        <v>210.69793622882304</v>
      </c>
      <c r="H28" s="22">
        <v>3</v>
      </c>
      <c r="I28" s="22">
        <f t="shared" si="4"/>
        <v>353.43360000000001</v>
      </c>
      <c r="J28" s="22">
        <f t="shared" si="5"/>
        <v>569.65393622882311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f t="shared" si="7"/>
        <v>4784.6851862288231</v>
      </c>
      <c r="T28" s="22"/>
      <c r="U28" s="22"/>
    </row>
    <row r="29" spans="1:21" ht="12.75" customHeight="1" x14ac:dyDescent="0.3">
      <c r="A29" s="19" t="s">
        <v>38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20">
        <f t="shared" si="2"/>
        <v>8.6289346397740458E-3</v>
      </c>
      <c r="G29" s="20">
        <f t="shared" si="3"/>
        <v>421.09201042097345</v>
      </c>
      <c r="H29" s="20">
        <v>3</v>
      </c>
      <c r="I29" s="20">
        <f t="shared" si="4"/>
        <v>353.43360000000001</v>
      </c>
      <c r="J29" s="20">
        <f t="shared" si="5"/>
        <v>780.04801042097347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/>
      <c r="S29" s="20">
        <f t="shared" si="7"/>
        <v>4995.0792604209737</v>
      </c>
      <c r="T29" s="20"/>
      <c r="U29" s="20"/>
    </row>
    <row r="30" spans="1:21" ht="12.75" customHeight="1" x14ac:dyDescent="0.3">
      <c r="A30" s="21" t="s">
        <v>39</v>
      </c>
      <c r="B30" s="21" t="str">
        <f>VLOOKUP(A30,Members!$A$2:$B$65,2,FALSE)</f>
        <v>Ankur Agarwal</v>
      </c>
      <c r="C30" s="22">
        <v>8075.5</v>
      </c>
      <c r="D30" s="22">
        <f t="shared" si="0"/>
        <v>0</v>
      </c>
      <c r="E30" s="22">
        <f t="shared" si="1"/>
        <v>8075.5</v>
      </c>
      <c r="F30" s="22">
        <f t="shared" si="2"/>
        <v>2.0113425222541583E-2</v>
      </c>
      <c r="G30" s="22">
        <f t="shared" si="3"/>
        <v>981.53515086002926</v>
      </c>
      <c r="H30" s="22">
        <v>5</v>
      </c>
      <c r="I30" s="22">
        <f t="shared" si="4"/>
        <v>589.05600000000004</v>
      </c>
      <c r="J30" s="22">
        <f t="shared" si="5"/>
        <v>1576.1135508600291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f t="shared" si="7"/>
        <v>5791.1448008600291</v>
      </c>
      <c r="T30" s="22"/>
      <c r="U30" s="22"/>
    </row>
    <row r="31" spans="1:21" ht="12.75" customHeight="1" x14ac:dyDescent="0.3">
      <c r="A31" s="19" t="s">
        <v>41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20">
        <f t="shared" si="2"/>
        <v>6.5218257625193647E-3</v>
      </c>
      <c r="G31" s="20">
        <f t="shared" si="3"/>
        <v>318.26509721094499</v>
      </c>
      <c r="H31" s="20">
        <v>3</v>
      </c>
      <c r="I31" s="20">
        <f t="shared" si="4"/>
        <v>353.43360000000001</v>
      </c>
      <c r="J31" s="20">
        <f t="shared" si="5"/>
        <v>677.221097210945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/>
      <c r="S31" s="20">
        <f t="shared" si="7"/>
        <v>4892.2523472109451</v>
      </c>
      <c r="T31" s="20"/>
      <c r="U31" s="20"/>
    </row>
    <row r="32" spans="1:21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22">
        <f t="shared" si="2"/>
        <v>2.9252947710822967E-3</v>
      </c>
      <c r="G32" s="22">
        <f t="shared" si="3"/>
        <v>142.75438482881609</v>
      </c>
      <c r="H32" s="22">
        <v>3</v>
      </c>
      <c r="I32" s="22">
        <f t="shared" si="4"/>
        <v>353.43360000000001</v>
      </c>
      <c r="J32" s="22">
        <f t="shared" si="5"/>
        <v>501.71038482881613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f t="shared" si="7"/>
        <v>4716.7416348288161</v>
      </c>
      <c r="T32" s="22"/>
      <c r="U32" s="22"/>
    </row>
    <row r="33" spans="1:21" ht="12.75" customHeight="1" x14ac:dyDescent="0.3">
      <c r="A33" s="19" t="s">
        <v>44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20">
        <f t="shared" si="2"/>
        <v>2.7820811062570672E-2</v>
      </c>
      <c r="G33" s="20">
        <f t="shared" si="3"/>
        <v>1357.6555798534487</v>
      </c>
      <c r="H33" s="20">
        <v>3</v>
      </c>
      <c r="I33" s="20">
        <f t="shared" si="4"/>
        <v>353.43360000000001</v>
      </c>
      <c r="J33" s="20">
        <f t="shared" si="5"/>
        <v>1716.6115798534488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f t="shared" si="7"/>
        <v>5931.6428298534483</v>
      </c>
      <c r="T33" s="20"/>
      <c r="U33" s="20"/>
    </row>
    <row r="34" spans="1:21" ht="12.75" customHeight="1" x14ac:dyDescent="0.3">
      <c r="A34" s="21" t="s">
        <v>45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22">
        <f t="shared" si="2"/>
        <v>1.0038655236140653E-2</v>
      </c>
      <c r="G34" s="22">
        <f t="shared" si="3"/>
        <v>489.88637552366384</v>
      </c>
      <c r="H34" s="22">
        <v>4</v>
      </c>
      <c r="I34" s="22">
        <f t="shared" si="4"/>
        <v>471.2448</v>
      </c>
      <c r="J34" s="22">
        <f t="shared" si="5"/>
        <v>966.6535755236639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f t="shared" si="7"/>
        <v>5181.6848255236637</v>
      </c>
      <c r="T34" s="22"/>
      <c r="U34" s="22"/>
    </row>
    <row r="35" spans="1:21" ht="12.75" customHeight="1" x14ac:dyDescent="0.3">
      <c r="A35" s="19" t="s">
        <v>46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20">
        <f t="shared" si="2"/>
        <v>2.9195662244892878E-2</v>
      </c>
      <c r="G35" s="20">
        <f t="shared" si="3"/>
        <v>1424.7483175507725</v>
      </c>
      <c r="H35" s="20">
        <v>4</v>
      </c>
      <c r="I35" s="20">
        <f t="shared" si="4"/>
        <v>471.2448</v>
      </c>
      <c r="J35" s="20">
        <f t="shared" si="5"/>
        <v>1901.5155175507725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f t="shared" si="7"/>
        <v>6116.5467675507725</v>
      </c>
      <c r="T35" s="20"/>
      <c r="U35" s="20"/>
    </row>
    <row r="36" spans="1:21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22">
        <f t="shared" si="2"/>
        <v>6.102147457770649E-5</v>
      </c>
      <c r="G36" s="22">
        <f t="shared" si="3"/>
        <v>2.9778479593920766</v>
      </c>
      <c r="H36" s="22">
        <v>4</v>
      </c>
      <c r="I36" s="22">
        <f t="shared" si="4"/>
        <v>471.2448</v>
      </c>
      <c r="J36" s="22">
        <f t="shared" si="5"/>
        <v>479.74504795939208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f t="shared" si="7"/>
        <v>4694.7762979593917</v>
      </c>
      <c r="T36" s="22"/>
      <c r="U36" s="22"/>
    </row>
    <row r="37" spans="1:21" ht="12.75" customHeight="1" x14ac:dyDescent="0.3">
      <c r="A37" s="19" t="s">
        <v>48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20">
        <f t="shared" si="2"/>
        <v>8.8045270462119365E-3</v>
      </c>
      <c r="G37" s="20">
        <f t="shared" si="3"/>
        <v>429.66091985514248</v>
      </c>
      <c r="H37" s="20">
        <v>3</v>
      </c>
      <c r="I37" s="20">
        <f t="shared" si="4"/>
        <v>353.43360000000001</v>
      </c>
      <c r="J37" s="20">
        <f t="shared" si="5"/>
        <v>788.61691985514244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f t="shared" si="7"/>
        <v>5003.6481698551424</v>
      </c>
      <c r="T37" s="20"/>
      <c r="U37" s="20"/>
    </row>
    <row r="38" spans="1:21" ht="12.75" customHeight="1" x14ac:dyDescent="0.3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F38*$U$5</f>
        <v>0</v>
      </c>
      <c r="H38" s="22">
        <v>3</v>
      </c>
      <c r="I38" s="22">
        <f t="shared" ref="I38:I69" si="12">$U$7*H38</f>
        <v>353.43360000000001</v>
      </c>
      <c r="J38" s="22">
        <f t="shared" ref="J38:J69" si="13">G38+$U$9+I38</f>
        <v>358.95600000000002</v>
      </c>
      <c r="K38" s="22">
        <f t="shared" ref="K38:K69" si="14">$U$4/64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f t="shared" ref="S38:S69" si="15">SUM(J38:R38)*$B$2</f>
        <v>4573.9872500000001</v>
      </c>
      <c r="T38" s="22"/>
      <c r="U38" s="22"/>
    </row>
    <row r="39" spans="1:21" ht="12.75" customHeight="1" x14ac:dyDescent="0.3">
      <c r="A39" s="19" t="s">
        <v>52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20">
        <f t="shared" si="10"/>
        <v>5.8013987616376668E-2</v>
      </c>
      <c r="G39" s="20">
        <f t="shared" si="11"/>
        <v>2831.0825956791814</v>
      </c>
      <c r="H39" s="20">
        <v>4</v>
      </c>
      <c r="I39" s="20">
        <f t="shared" si="12"/>
        <v>471.2448</v>
      </c>
      <c r="J39" s="20">
        <f t="shared" si="13"/>
        <v>3307.8497956791812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f t="shared" si="15"/>
        <v>7522.8810456791816</v>
      </c>
      <c r="T39" s="20"/>
      <c r="U39" s="20"/>
    </row>
    <row r="40" spans="1:21" ht="12.75" customHeight="1" x14ac:dyDescent="0.3">
      <c r="A40" s="21" t="s">
        <v>53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22">
        <f t="shared" si="10"/>
        <v>1.1387354357929555E-2</v>
      </c>
      <c r="G40" s="22">
        <f t="shared" si="11"/>
        <v>555.70289266696227</v>
      </c>
      <c r="H40" s="22">
        <v>4</v>
      </c>
      <c r="I40" s="22">
        <f t="shared" si="12"/>
        <v>471.2448</v>
      </c>
      <c r="J40" s="22">
        <f t="shared" si="13"/>
        <v>1032.4700926669623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f t="shared" si="15"/>
        <v>5247.501342666962</v>
      </c>
      <c r="T40" s="22"/>
      <c r="U40" s="22"/>
    </row>
    <row r="41" spans="1:21" ht="12.75" customHeight="1" x14ac:dyDescent="0.3">
      <c r="A41" s="19" t="s">
        <v>54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20">
        <f t="shared" si="10"/>
        <v>2.9883087836053979E-2</v>
      </c>
      <c r="G41" s="20">
        <f t="shared" si="11"/>
        <v>1458.2946863994341</v>
      </c>
      <c r="H41" s="20">
        <v>3</v>
      </c>
      <c r="I41" s="20">
        <f t="shared" si="12"/>
        <v>353.43360000000001</v>
      </c>
      <c r="J41" s="20">
        <f t="shared" si="13"/>
        <v>1817.2506863994342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f t="shared" si="15"/>
        <v>6032.281936399434</v>
      </c>
      <c r="T41" s="20"/>
      <c r="U41" s="20"/>
    </row>
    <row r="42" spans="1:21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22">
        <f t="shared" si="10"/>
        <v>5.6164663335807399E-3</v>
      </c>
      <c r="G42" s="22">
        <f t="shared" si="11"/>
        <v>274.08355707874011</v>
      </c>
      <c r="H42" s="22">
        <v>3</v>
      </c>
      <c r="I42" s="22">
        <f t="shared" si="12"/>
        <v>353.43360000000001</v>
      </c>
      <c r="J42" s="22">
        <f t="shared" si="13"/>
        <v>633.03955707874013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f t="shared" si="15"/>
        <v>4848.0708070787405</v>
      </c>
      <c r="T42" s="22"/>
      <c r="U42" s="22"/>
    </row>
    <row r="43" spans="1:21" ht="12.75" customHeight="1" x14ac:dyDescent="0.3">
      <c r="A43" s="19" t="s">
        <v>57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20">
        <f t="shared" si="10"/>
        <v>3.7360086476146829E-6</v>
      </c>
      <c r="G43" s="20">
        <f t="shared" si="11"/>
        <v>0.18231722200359654</v>
      </c>
      <c r="H43" s="20">
        <v>3</v>
      </c>
      <c r="I43" s="20">
        <f t="shared" si="12"/>
        <v>353.43360000000001</v>
      </c>
      <c r="J43" s="20">
        <f t="shared" si="13"/>
        <v>359.13831722200359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f t="shared" si="15"/>
        <v>4574.1695672220039</v>
      </c>
      <c r="T43" s="20"/>
      <c r="U43" s="20"/>
    </row>
    <row r="44" spans="1:21" ht="12.75" customHeight="1" x14ac:dyDescent="0.3">
      <c r="A44" s="21" t="s">
        <v>58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22">
        <f t="shared" si="10"/>
        <v>1.0117111417740562E-2</v>
      </c>
      <c r="G44" s="22">
        <f t="shared" si="11"/>
        <v>493.71503718573945</v>
      </c>
      <c r="H44" s="22">
        <v>3</v>
      </c>
      <c r="I44" s="22">
        <f t="shared" si="12"/>
        <v>353.43360000000001</v>
      </c>
      <c r="J44" s="22">
        <f t="shared" si="13"/>
        <v>852.67103718573946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f t="shared" si="15"/>
        <v>5067.7022871857398</v>
      </c>
      <c r="T44" s="22"/>
      <c r="U44" s="22"/>
    </row>
    <row r="45" spans="1:21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20">
        <f t="shared" si="10"/>
        <v>2.1952786813383876E-2</v>
      </c>
      <c r="G45" s="20">
        <f t="shared" si="11"/>
        <v>1071.2959964931331</v>
      </c>
      <c r="H45" s="20">
        <v>3</v>
      </c>
      <c r="I45" s="20">
        <f t="shared" si="12"/>
        <v>353.43360000000001</v>
      </c>
      <c r="J45" s="20">
        <f t="shared" si="13"/>
        <v>1430.2519964931332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f t="shared" si="15"/>
        <v>5645.2832464931334</v>
      </c>
      <c r="T45" s="20"/>
      <c r="U45" s="20"/>
    </row>
    <row r="46" spans="1:21" ht="12.75" customHeight="1" x14ac:dyDescent="0.3">
      <c r="A46" s="21" t="s">
        <v>60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22">
        <f t="shared" si="10"/>
        <v>3.3353839869688019E-2</v>
      </c>
      <c r="G46" s="22">
        <f t="shared" si="11"/>
        <v>1627.6673856407754</v>
      </c>
      <c r="H46" s="22">
        <v>4</v>
      </c>
      <c r="I46" s="22">
        <f t="shared" si="12"/>
        <v>471.2448</v>
      </c>
      <c r="J46" s="22">
        <f t="shared" si="13"/>
        <v>2104.4345856407754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/>
      <c r="S46" s="22">
        <f t="shared" si="15"/>
        <v>6319.4658356407754</v>
      </c>
      <c r="T46" s="22"/>
      <c r="U46" s="22"/>
    </row>
    <row r="47" spans="1:21" ht="12.75" customHeight="1" x14ac:dyDescent="0.3">
      <c r="A47" s="19" t="s">
        <v>61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20">
        <f t="shared" si="10"/>
        <v>1.0236663694464232E-3</v>
      </c>
      <c r="G47" s="20">
        <f t="shared" si="11"/>
        <v>49.954918828985456</v>
      </c>
      <c r="H47" s="20">
        <v>3</v>
      </c>
      <c r="I47" s="20">
        <f t="shared" si="12"/>
        <v>353.43360000000001</v>
      </c>
      <c r="J47" s="20">
        <f t="shared" si="13"/>
        <v>408.91091882898547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f t="shared" si="15"/>
        <v>4623.9421688289858</v>
      </c>
      <c r="T47" s="20"/>
      <c r="U47" s="20"/>
    </row>
    <row r="48" spans="1:21" ht="12.75" customHeight="1" x14ac:dyDescent="0.3">
      <c r="A48" s="21" t="s">
        <v>62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22">
        <f t="shared" si="10"/>
        <v>5.1071238212892717E-3</v>
      </c>
      <c r="G48" s="22">
        <f t="shared" si="11"/>
        <v>249.22764247891647</v>
      </c>
      <c r="H48" s="22">
        <v>3</v>
      </c>
      <c r="I48" s="22">
        <f t="shared" si="12"/>
        <v>353.43360000000001</v>
      </c>
      <c r="J48" s="22">
        <f t="shared" si="13"/>
        <v>608.18364247891645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f t="shared" si="15"/>
        <v>4823.2148924789162</v>
      </c>
      <c r="T48" s="22"/>
      <c r="U48" s="22"/>
    </row>
    <row r="49" spans="1:21" ht="12.75" customHeight="1" x14ac:dyDescent="0.3">
      <c r="A49" s="19" t="s">
        <v>63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20">
        <f t="shared" si="10"/>
        <v>5.3947964871556026E-3</v>
      </c>
      <c r="G49" s="20">
        <f t="shared" si="11"/>
        <v>263.26606857319342</v>
      </c>
      <c r="H49" s="20">
        <v>3</v>
      </c>
      <c r="I49" s="20">
        <f t="shared" si="12"/>
        <v>353.43360000000001</v>
      </c>
      <c r="J49" s="20">
        <f t="shared" si="13"/>
        <v>622.22206857319338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f t="shared" si="15"/>
        <v>4837.2533185731936</v>
      </c>
      <c r="T49" s="20"/>
      <c r="U49" s="20"/>
    </row>
    <row r="50" spans="1:21" ht="12.75" customHeight="1" x14ac:dyDescent="0.3">
      <c r="A50" s="21" t="s">
        <v>64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22">
        <f t="shared" si="10"/>
        <v>4.4832103771376197E-5</v>
      </c>
      <c r="G50" s="22">
        <f t="shared" si="11"/>
        <v>2.1878066640431584</v>
      </c>
      <c r="H50" s="22">
        <v>4</v>
      </c>
      <c r="I50" s="22">
        <f t="shared" si="12"/>
        <v>471.2448</v>
      </c>
      <c r="J50" s="22">
        <f t="shared" si="13"/>
        <v>478.95500666404314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f t="shared" si="15"/>
        <v>4693.9862566640431</v>
      </c>
      <c r="T50" s="22"/>
      <c r="U50" s="22"/>
    </row>
    <row r="51" spans="1:21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20">
        <f t="shared" si="10"/>
        <v>1.2504420943566344E-2</v>
      </c>
      <c r="G51" s="20">
        <f t="shared" si="11"/>
        <v>610.21574204603758</v>
      </c>
      <c r="H51" s="20">
        <v>4</v>
      </c>
      <c r="I51" s="20">
        <f t="shared" si="12"/>
        <v>471.2448</v>
      </c>
      <c r="J51" s="20">
        <f t="shared" si="13"/>
        <v>1086.9829420460376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f t="shared" si="15"/>
        <v>5302.0141920460374</v>
      </c>
      <c r="T51" s="20"/>
      <c r="U51" s="20"/>
    </row>
    <row r="52" spans="1:21" ht="12.75" customHeight="1" x14ac:dyDescent="0.3">
      <c r="A52" s="21" t="s">
        <v>66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22">
        <f t="shared" si="10"/>
        <v>3.6340156115348021E-2</v>
      </c>
      <c r="G52" s="22">
        <f t="shared" si="11"/>
        <v>1773.3996184289833</v>
      </c>
      <c r="H52" s="22">
        <v>4</v>
      </c>
      <c r="I52" s="22">
        <f t="shared" si="12"/>
        <v>471.2448</v>
      </c>
      <c r="J52" s="22">
        <f t="shared" si="13"/>
        <v>2250.1668184289833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f t="shared" si="15"/>
        <v>6465.1980684289829</v>
      </c>
      <c r="T52" s="22"/>
      <c r="U52" s="22"/>
    </row>
    <row r="53" spans="1:21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20">
        <f t="shared" si="10"/>
        <v>7.3848437601183566E-3</v>
      </c>
      <c r="G53" s="20">
        <f t="shared" si="11"/>
        <v>360.38037549377583</v>
      </c>
      <c r="H53" s="20">
        <v>3</v>
      </c>
      <c r="I53" s="20">
        <f t="shared" si="12"/>
        <v>353.43360000000001</v>
      </c>
      <c r="J53" s="20">
        <f t="shared" si="13"/>
        <v>719.3363754937759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/>
      <c r="S53" s="20">
        <f t="shared" si="15"/>
        <v>4934.3676254937764</v>
      </c>
      <c r="T53" s="20"/>
      <c r="U53" s="20"/>
    </row>
    <row r="54" spans="1:21" ht="12.75" customHeight="1" x14ac:dyDescent="0.3">
      <c r="A54" s="21" t="s">
        <v>68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22">
        <f t="shared" si="10"/>
        <v>4.1358861065310414E-2</v>
      </c>
      <c r="G54" s="22">
        <f t="shared" si="11"/>
        <v>2018.3124199871481</v>
      </c>
      <c r="H54" s="22">
        <v>3</v>
      </c>
      <c r="I54" s="22">
        <f t="shared" si="12"/>
        <v>353.43360000000001</v>
      </c>
      <c r="J54" s="22">
        <f t="shared" si="13"/>
        <v>2377.2684199871483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f t="shared" si="15"/>
        <v>6592.2996699871483</v>
      </c>
      <c r="T54" s="22"/>
      <c r="U54" s="22"/>
    </row>
    <row r="55" spans="1:21" ht="12.75" customHeight="1" x14ac:dyDescent="0.3">
      <c r="A55" s="19" t="s">
        <v>69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20">
        <f t="shared" si="10"/>
        <v>3.1386208648610955E-2</v>
      </c>
      <c r="G55" s="20">
        <f t="shared" si="11"/>
        <v>1531.6469820522145</v>
      </c>
      <c r="H55" s="20">
        <v>4</v>
      </c>
      <c r="I55" s="20">
        <f t="shared" si="12"/>
        <v>471.2448</v>
      </c>
      <c r="J55" s="20">
        <f t="shared" si="13"/>
        <v>2008.4141820522145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f t="shared" si="15"/>
        <v>6223.4454320522145</v>
      </c>
      <c r="T55" s="20"/>
      <c r="U55" s="20"/>
    </row>
    <row r="56" spans="1:21" ht="12.75" customHeight="1" x14ac:dyDescent="0.3">
      <c r="A56" s="21" t="s">
        <v>70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22">
        <f t="shared" si="10"/>
        <v>1.8051148449058276E-2</v>
      </c>
      <c r="G56" s="22">
        <f t="shared" si="11"/>
        <v>880.89604431404393</v>
      </c>
      <c r="H56" s="22">
        <v>4</v>
      </c>
      <c r="I56" s="22">
        <f t="shared" si="12"/>
        <v>471.2448</v>
      </c>
      <c r="J56" s="22">
        <f t="shared" si="13"/>
        <v>1357.6632443140438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/>
      <c r="S56" s="22">
        <f t="shared" si="15"/>
        <v>5572.6944943140443</v>
      </c>
      <c r="T56" s="22"/>
      <c r="U56" s="22"/>
    </row>
    <row r="57" spans="1:21" ht="12.75" customHeight="1" x14ac:dyDescent="0.3">
      <c r="A57" s="19" t="s">
        <v>71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20">
        <f t="shared" si="10"/>
        <v>8.5679131651963394E-4</v>
      </c>
      <c r="G57" s="20">
        <f t="shared" si="11"/>
        <v>41.811416246158139</v>
      </c>
      <c r="H57" s="20">
        <v>4</v>
      </c>
      <c r="I57" s="20">
        <f t="shared" si="12"/>
        <v>471.2448</v>
      </c>
      <c r="J57" s="20">
        <f t="shared" si="13"/>
        <v>518.57861624615816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f t="shared" si="15"/>
        <v>4733.6098662461582</v>
      </c>
      <c r="T57" s="20"/>
      <c r="U57" s="20"/>
    </row>
    <row r="58" spans="1:21" ht="12.75" customHeight="1" x14ac:dyDescent="0.3">
      <c r="A58" s="21" t="s">
        <v>73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22">
        <f t="shared" si="10"/>
        <v>8.8767565467324869E-3</v>
      </c>
      <c r="G58" s="22">
        <f t="shared" si="11"/>
        <v>433.18571948054534</v>
      </c>
      <c r="H58" s="22">
        <v>3</v>
      </c>
      <c r="I58" s="22">
        <f t="shared" si="12"/>
        <v>353.43360000000001</v>
      </c>
      <c r="J58" s="22">
        <f t="shared" si="13"/>
        <v>792.14171948054536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f t="shared" si="15"/>
        <v>5007.1729694805454</v>
      </c>
      <c r="T58" s="22"/>
      <c r="U58" s="22"/>
    </row>
    <row r="59" spans="1:21" ht="12.75" customHeight="1" x14ac:dyDescent="0.3">
      <c r="A59" s="19" t="s">
        <v>74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20">
        <f t="shared" si="10"/>
        <v>3.9348888412893711E-2</v>
      </c>
      <c r="G59" s="20">
        <f t="shared" si="11"/>
        <v>1920.225754549213</v>
      </c>
      <c r="H59" s="20">
        <v>3</v>
      </c>
      <c r="I59" s="20">
        <f t="shared" si="12"/>
        <v>353.43360000000001</v>
      </c>
      <c r="J59" s="20">
        <f t="shared" si="13"/>
        <v>2279.1817545492131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f t="shared" si="15"/>
        <v>6494.2130045492131</v>
      </c>
      <c r="T59" s="20"/>
      <c r="U59" s="20"/>
    </row>
    <row r="60" spans="1:21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22">
        <f t="shared" si="10"/>
        <v>3.4419847670474076E-2</v>
      </c>
      <c r="G60" s="22">
        <f t="shared" si="11"/>
        <v>1679.6885663191349</v>
      </c>
      <c r="H60" s="22">
        <v>3</v>
      </c>
      <c r="I60" s="22">
        <f t="shared" si="12"/>
        <v>353.43360000000001</v>
      </c>
      <c r="J60" s="22">
        <f t="shared" si="13"/>
        <v>2038.644566319135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f t="shared" si="15"/>
        <v>6253.6758163191353</v>
      </c>
      <c r="T60" s="22"/>
      <c r="U60" s="22"/>
    </row>
    <row r="61" spans="1:21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20">
        <f t="shared" si="10"/>
        <v>1.2572914435439279E-2</v>
      </c>
      <c r="G61" s="20">
        <f t="shared" si="11"/>
        <v>613.55822444943681</v>
      </c>
      <c r="H61" s="20">
        <v>3</v>
      </c>
      <c r="I61" s="20">
        <f t="shared" si="12"/>
        <v>353.43360000000001</v>
      </c>
      <c r="J61" s="20">
        <f t="shared" si="13"/>
        <v>972.51422444943682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f t="shared" si="15"/>
        <v>5187.5454744494364</v>
      </c>
      <c r="T61" s="20"/>
      <c r="U61" s="20"/>
    </row>
    <row r="62" spans="1:21" ht="12.75" customHeight="1" x14ac:dyDescent="0.3">
      <c r="A62" s="21" t="s">
        <v>77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22">
        <f t="shared" si="10"/>
        <v>1.5317635455220201E-3</v>
      </c>
      <c r="G62" s="22">
        <f t="shared" si="11"/>
        <v>74.750061021474579</v>
      </c>
      <c r="H62" s="22">
        <v>4</v>
      </c>
      <c r="I62" s="22">
        <f t="shared" si="12"/>
        <v>471.2448</v>
      </c>
      <c r="J62" s="22">
        <f t="shared" si="13"/>
        <v>551.51726102147461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f t="shared" si="15"/>
        <v>4766.548511021475</v>
      </c>
      <c r="T62" s="22"/>
      <c r="U62" s="22"/>
    </row>
    <row r="63" spans="1:21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20">
        <f t="shared" si="10"/>
        <v>2.1170715669816537E-4</v>
      </c>
      <c r="G63" s="20">
        <f t="shared" si="11"/>
        <v>10.33130924687047</v>
      </c>
      <c r="H63" s="20">
        <v>3</v>
      </c>
      <c r="I63" s="20">
        <f t="shared" si="12"/>
        <v>353.43360000000001</v>
      </c>
      <c r="J63" s="20">
        <f t="shared" si="13"/>
        <v>369.28730924687051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f t="shared" si="15"/>
        <v>5334.3185592468708</v>
      </c>
      <c r="T63" s="20"/>
      <c r="U63" s="20"/>
    </row>
    <row r="64" spans="1:21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22">
        <f t="shared" si="10"/>
        <v>1.2539290357610748E-2</v>
      </c>
      <c r="G64" s="22">
        <f t="shared" si="11"/>
        <v>611.91736945140451</v>
      </c>
      <c r="H64" s="22">
        <v>3</v>
      </c>
      <c r="I64" s="22">
        <f t="shared" si="12"/>
        <v>353.43360000000001</v>
      </c>
      <c r="J64" s="22">
        <f t="shared" si="13"/>
        <v>970.87336945140441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f t="shared" si="15"/>
        <v>5185.9046194514049</v>
      </c>
      <c r="T64" s="22"/>
      <c r="U64" s="22"/>
    </row>
    <row r="65" spans="1:21" ht="12.75" customHeight="1" x14ac:dyDescent="0.3">
      <c r="A65" s="19" t="s">
        <v>81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20">
        <f t="shared" si="10"/>
        <v>4.627669378178721E-3</v>
      </c>
      <c r="G65" s="20">
        <f t="shared" si="11"/>
        <v>225.83026565512159</v>
      </c>
      <c r="H65" s="20">
        <v>3</v>
      </c>
      <c r="I65" s="20">
        <f t="shared" si="12"/>
        <v>353.43360000000001</v>
      </c>
      <c r="J65" s="20">
        <f t="shared" si="13"/>
        <v>584.78626565512161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f t="shared" si="15"/>
        <v>4799.8175156551215</v>
      </c>
      <c r="T65" s="20"/>
      <c r="U65" s="20"/>
    </row>
    <row r="66" spans="1:21" ht="12.75" customHeight="1" x14ac:dyDescent="0.3">
      <c r="A66" s="21" t="s">
        <v>82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22">
        <f t="shared" si="10"/>
        <v>1.1208025942844049E-5</v>
      </c>
      <c r="G66" s="22">
        <f t="shared" si="11"/>
        <v>0.54695166601078959</v>
      </c>
      <c r="H66" s="22">
        <v>4</v>
      </c>
      <c r="I66" s="22">
        <f t="shared" si="12"/>
        <v>471.2448</v>
      </c>
      <c r="J66" s="22">
        <f t="shared" si="13"/>
        <v>477.31415166601079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/>
      <c r="S66" s="22">
        <f t="shared" si="15"/>
        <v>4692.3454016660107</v>
      </c>
      <c r="T66" s="22"/>
      <c r="U66" s="22"/>
    </row>
    <row r="67" spans="1:21" ht="12.75" customHeight="1" x14ac:dyDescent="0.3">
      <c r="A67" s="19" t="s">
        <v>84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20">
        <f t="shared" si="10"/>
        <v>1.3501935252479464E-2</v>
      </c>
      <c r="G67" s="20">
        <f t="shared" si="11"/>
        <v>658.89444032099789</v>
      </c>
      <c r="H67" s="20">
        <v>4</v>
      </c>
      <c r="I67" s="20">
        <f t="shared" si="12"/>
        <v>471.2448</v>
      </c>
      <c r="J67" s="20">
        <f t="shared" si="13"/>
        <v>1135.6616403209978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f t="shared" si="15"/>
        <v>5350.6928903209973</v>
      </c>
      <c r="T67" s="20"/>
      <c r="U67" s="20"/>
    </row>
    <row r="68" spans="1:21" ht="12.75" customHeight="1" x14ac:dyDescent="0.3">
      <c r="A68" s="21" t="s">
        <v>85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22">
        <f t="shared" si="10"/>
        <v>1.7970201595026627E-2</v>
      </c>
      <c r="G68" s="22">
        <f t="shared" si="11"/>
        <v>876.94583783729934</v>
      </c>
      <c r="H68" s="22">
        <v>4</v>
      </c>
      <c r="I68" s="22">
        <f t="shared" si="12"/>
        <v>471.2448</v>
      </c>
      <c r="J68" s="22">
        <f t="shared" si="13"/>
        <v>1353.7130378372992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f t="shared" si="15"/>
        <v>5568.7442878372995</v>
      </c>
      <c r="T68" s="22"/>
      <c r="U68" s="22"/>
    </row>
    <row r="69" spans="1:21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20">
        <f t="shared" si="10"/>
        <v>2.6128399145201223E-2</v>
      </c>
      <c r="G69" s="20">
        <f t="shared" si="11"/>
        <v>1275.0658782858197</v>
      </c>
      <c r="H69" s="20">
        <v>3</v>
      </c>
      <c r="I69" s="20">
        <f t="shared" si="12"/>
        <v>353.43360000000001</v>
      </c>
      <c r="J69" s="20">
        <f t="shared" si="13"/>
        <v>1634.0218782858199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f t="shared" si="15"/>
        <v>5849.0531282858201</v>
      </c>
      <c r="T69" s="20"/>
      <c r="U69" s="20"/>
    </row>
    <row r="70" spans="1:21" ht="12.75" customHeight="1" thickBot="1" x14ac:dyDescent="0.35">
      <c r="A70" s="23" t="s">
        <v>87</v>
      </c>
      <c r="B70" s="23"/>
      <c r="C70" s="24">
        <f>SUM(C3:C69)</f>
        <v>401498</v>
      </c>
      <c r="D70" s="24">
        <f>SUM(D3:D69)</f>
        <v>0</v>
      </c>
      <c r="E70" s="24">
        <f>SUM(E5:E69)</f>
        <v>401498</v>
      </c>
      <c r="F70" s="24">
        <f>SUM(F6:F69)</f>
        <v>1</v>
      </c>
      <c r="G70" s="24">
        <f>SUM(G6:G69)</f>
        <v>48799.999999999993</v>
      </c>
      <c r="H70" s="24">
        <f>SUM(H3:H69)</f>
        <v>223</v>
      </c>
      <c r="I70" s="24">
        <f>SUM(I3:I69)</f>
        <v>26271.897600000015</v>
      </c>
      <c r="J70" s="24">
        <f t="shared" ref="J70:Q70" si="16">SUM(J6:J69)</f>
        <v>75071.897599999982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/>
      <c r="S70" s="24">
        <f>SUM(S6:S69)</f>
        <v>347833.89760000014</v>
      </c>
      <c r="T70" s="24"/>
      <c r="U70" s="24"/>
    </row>
    <row r="71" spans="1:21" ht="12.75" customHeight="1" x14ac:dyDescent="0.3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0"/>
      <c r="U71" s="20"/>
    </row>
    <row r="72" spans="1:21" ht="12.75" customHeight="1" x14ac:dyDescent="0.3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2"/>
      <c r="U72" s="22"/>
    </row>
    <row r="73" spans="1:21" ht="12.75" customHeight="1" x14ac:dyDescent="0.3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0"/>
      <c r="U73" s="20"/>
    </row>
  </sheetData>
  <mergeCells count="1">
    <mergeCell ref="B1:U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28" activePane="bottomLeft" state="frozen"/>
      <selection pane="bottomLeft" activeCell="E47" sqref="E47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27" t="s">
        <v>2</v>
      </c>
      <c r="E1" s="18" t="s">
        <v>1</v>
      </c>
      <c r="F1" s="14" t="s">
        <v>2</v>
      </c>
      <c r="G1" s="18" t="s">
        <v>1</v>
      </c>
      <c r="H1" s="14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>
        <v>9230</v>
      </c>
      <c r="D2" s="28" t="s">
        <v>275</v>
      </c>
      <c r="E2" s="26"/>
      <c r="F2" s="26"/>
      <c r="G2" s="26"/>
      <c r="H2" s="26"/>
      <c r="I2" s="26"/>
      <c r="J2" s="26"/>
      <c r="K2" s="26">
        <f t="shared" ref="K2:K33" si="0">SUM(C2,E2,G2,I2)</f>
        <v>9230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2">
        <v>6000</v>
      </c>
      <c r="D4" s="29" t="s">
        <v>276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5">
        <v>5549</v>
      </c>
      <c r="D5" s="31" t="s">
        <v>277</v>
      </c>
      <c r="E5" s="25">
        <v>440</v>
      </c>
      <c r="F5" s="25" t="s">
        <v>277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>
        <v>4867.34</v>
      </c>
      <c r="D7" s="32" t="s">
        <v>278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>
        <v>5384</v>
      </c>
      <c r="D8" s="28" t="s">
        <v>279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5">
        <v>6070</v>
      </c>
      <c r="D9" s="33" t="s">
        <v>280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5">
        <v>27822</v>
      </c>
      <c r="D11" s="32" t="s">
        <v>280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6">
        <v>5549</v>
      </c>
      <c r="D12" s="28" t="s">
        <v>277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5"/>
      <c r="D13" s="33"/>
      <c r="E13" s="25">
        <v>5959</v>
      </c>
      <c r="F13" s="25" t="s">
        <v>280</v>
      </c>
      <c r="G13" s="25"/>
      <c r="H13" s="25"/>
      <c r="I13" s="25"/>
      <c r="J13" s="25"/>
      <c r="K13" s="25">
        <f t="shared" si="0"/>
        <v>5959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>
        <v>4934</v>
      </c>
      <c r="D14" s="30" t="s">
        <v>281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5">
        <v>7000</v>
      </c>
      <c r="D15" s="31" t="s">
        <v>282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>
        <v>5764</v>
      </c>
      <c r="D16" s="28" t="s">
        <v>283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>
        <v>5903.12</v>
      </c>
      <c r="D17" s="25" t="s">
        <v>282</v>
      </c>
      <c r="E17" s="25">
        <v>20000</v>
      </c>
      <c r="F17" s="25" t="s">
        <v>284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5">
        <v>6121</v>
      </c>
      <c r="D19" s="33" t="s">
        <v>281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6">
        <v>5796</v>
      </c>
      <c r="D20" s="30" t="s">
        <v>285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5">
        <v>5604</v>
      </c>
      <c r="D21" s="33" t="s">
        <v>286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>
        <v>5260</v>
      </c>
      <c r="D23" s="25" t="s">
        <v>287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6">
        <v>10621</v>
      </c>
      <c r="D24" s="30" t="s">
        <v>288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>
        <v>495.94</v>
      </c>
      <c r="D25" s="32" t="s">
        <v>289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6">
        <v>5590</v>
      </c>
      <c r="D26" s="30" t="s">
        <v>290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6">
        <v>16648</v>
      </c>
      <c r="D28" s="28" t="s">
        <v>291</v>
      </c>
      <c r="E28" s="26">
        <v>4928</v>
      </c>
      <c r="F28" s="26" t="s">
        <v>280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5">
        <v>4487</v>
      </c>
      <c r="D29" s="32" t="s">
        <v>280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>
        <v>10677</v>
      </c>
      <c r="D30" s="30" t="s">
        <v>282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>
        <v>5970</v>
      </c>
      <c r="D31" s="31" t="s">
        <v>280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>
        <v>4819</v>
      </c>
      <c r="D33" s="33" t="s">
        <v>290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6">
        <v>4890</v>
      </c>
      <c r="D34" s="28" t="s">
        <v>285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5">
        <v>5635</v>
      </c>
      <c r="D35" s="31" t="s">
        <v>276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>
        <v>5092</v>
      </c>
      <c r="D36" s="30" t="s">
        <v>283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>
        <v>28414.74</v>
      </c>
      <c r="D38" s="26" t="s">
        <v>282</v>
      </c>
      <c r="E38" s="26">
        <v>4935</v>
      </c>
      <c r="F38" s="26" t="s">
        <v>280</v>
      </c>
      <c r="G38" s="26">
        <v>1000</v>
      </c>
      <c r="H38" s="26" t="s">
        <v>279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>
        <v>35878</v>
      </c>
      <c r="D39" s="33" t="s">
        <v>291</v>
      </c>
      <c r="E39" s="25">
        <v>4903</v>
      </c>
      <c r="F39" s="25" t="s">
        <v>281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6">
        <v>4936</v>
      </c>
      <c r="D40" s="30" t="s">
        <v>292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5">
        <v>2028.67</v>
      </c>
      <c r="D41" s="31" t="s">
        <v>292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>
        <v>5150</v>
      </c>
      <c r="D44" s="30" t="s">
        <v>280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>
        <v>4739</v>
      </c>
      <c r="D46" s="30" t="s">
        <v>281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6">
        <v>16641</v>
      </c>
      <c r="D48" s="30" t="s">
        <v>282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>
        <v>4839</v>
      </c>
      <c r="D49" s="31" t="s">
        <v>280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>
        <v>5879</v>
      </c>
      <c r="D50" s="30" t="s">
        <v>281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5">
        <v>39847.339999999997</v>
      </c>
      <c r="D51" s="31" t="s">
        <v>283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6">
        <v>5431</v>
      </c>
      <c r="D52" s="28" t="s">
        <v>280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5">
        <v>30484.97</v>
      </c>
      <c r="D53" s="33" t="s">
        <v>293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>
        <v>25990</v>
      </c>
      <c r="D54" s="28" t="s">
        <v>280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5">
        <v>13753.45</v>
      </c>
      <c r="D55" s="32" t="s">
        <v>282</v>
      </c>
      <c r="E55" s="25">
        <v>6246</v>
      </c>
      <c r="F55" s="31" t="s">
        <v>280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>
        <v>4712</v>
      </c>
      <c r="D56" s="28" t="s">
        <v>288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5">
        <v>1536.73</v>
      </c>
      <c r="D57" s="31" t="s">
        <v>290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>
        <v>4785</v>
      </c>
      <c r="D58" s="28" t="s">
        <v>281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5">
        <v>5920</v>
      </c>
      <c r="D59" s="33" t="s">
        <v>280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6">
        <v>4939</v>
      </c>
      <c r="D60" s="30" t="s">
        <v>280</v>
      </c>
      <c r="E60" s="26">
        <v>6348</v>
      </c>
      <c r="F60" s="26" t="s">
        <v>280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5">
        <v>4806</v>
      </c>
      <c r="D61" s="33" t="s">
        <v>280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6">
        <v>12000</v>
      </c>
      <c r="D62" s="26" t="s">
        <v>289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5">
        <v>4477</v>
      </c>
      <c r="D63" s="32" t="s">
        <v>281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6">
        <v>5420</v>
      </c>
      <c r="D64" s="30" t="s">
        <v>280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5">
        <v>5231</v>
      </c>
      <c r="D65" s="31" t="s">
        <v>280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3">
      <c r="A70" s="1"/>
    </row>
    <row r="71" spans="1:27" x14ac:dyDescent="0.3">
      <c r="A71" s="1"/>
    </row>
    <row r="72" spans="1:27" x14ac:dyDescent="0.3">
      <c r="A72" s="2"/>
    </row>
    <row r="73" spans="1:27" x14ac:dyDescent="0.3">
      <c r="A73" s="2"/>
    </row>
    <row r="74" spans="1:27" x14ac:dyDescent="0.3">
      <c r="A74" s="2"/>
    </row>
    <row r="75" spans="1:27" x14ac:dyDescent="0.3">
      <c r="A75" s="2"/>
    </row>
    <row r="76" spans="1:27" x14ac:dyDescent="0.3">
      <c r="A76" s="2"/>
    </row>
    <row r="77" spans="1:27" x14ac:dyDescent="0.3">
      <c r="A77" s="2"/>
    </row>
    <row r="78" spans="1:27" x14ac:dyDescent="0.3">
      <c r="A78" s="2"/>
    </row>
    <row r="79" spans="1:27" x14ac:dyDescent="0.3">
      <c r="A79" s="2"/>
    </row>
    <row r="80" spans="1:27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3"/>
    </row>
    <row r="143" spans="1:1" x14ac:dyDescent="0.3">
      <c r="A143" s="1"/>
    </row>
    <row r="144" spans="1:1" x14ac:dyDescent="0.3">
      <c r="A144" s="1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3"/>
    </row>
    <row r="216" spans="1:1" x14ac:dyDescent="0.3">
      <c r="A216" s="1"/>
    </row>
    <row r="217" spans="1:1" x14ac:dyDescent="0.3">
      <c r="A217" s="1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3"/>
    </row>
    <row r="289" spans="1:1" x14ac:dyDescent="0.3">
      <c r="A289" s="1"/>
    </row>
    <row r="290" spans="1:1" x14ac:dyDescent="0.3">
      <c r="A290" s="1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3"/>
    </row>
    <row r="362" spans="1:1" x14ac:dyDescent="0.3">
      <c r="A362" s="1"/>
    </row>
    <row r="363" spans="1:1" x14ac:dyDescent="0.3">
      <c r="A363" s="1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3"/>
    </row>
    <row r="435" spans="1:1" x14ac:dyDescent="0.3">
      <c r="A435" s="1"/>
    </row>
    <row r="436" spans="1:1" x14ac:dyDescent="0.3">
      <c r="A436" s="1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3"/>
    </row>
    <row r="508" spans="1:1" x14ac:dyDescent="0.3">
      <c r="A508" s="1"/>
    </row>
    <row r="509" spans="1:1" x14ac:dyDescent="0.3">
      <c r="A509" s="1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3"/>
    </row>
    <row r="581" spans="1:1" x14ac:dyDescent="0.3">
      <c r="A581" s="1"/>
    </row>
    <row r="582" spans="1:1" x14ac:dyDescent="0.3">
      <c r="A582" s="1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3"/>
    </row>
    <row r="654" spans="1:1" x14ac:dyDescent="0.3">
      <c r="A654" s="1"/>
    </row>
    <row r="655" spans="1:1" x14ac:dyDescent="0.3">
      <c r="A655" s="1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3"/>
    </row>
    <row r="727" spans="1:1" x14ac:dyDescent="0.3">
      <c r="A727" s="1"/>
    </row>
    <row r="728" spans="1:1" x14ac:dyDescent="0.3">
      <c r="A728" s="1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3"/>
    </row>
    <row r="800" spans="1:1" x14ac:dyDescent="0.3">
      <c r="A800" s="1"/>
    </row>
    <row r="801" spans="1:1" x14ac:dyDescent="0.3">
      <c r="A801" s="1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3"/>
    </row>
    <row r="873" spans="1:1" x14ac:dyDescent="0.3">
      <c r="A873" s="1"/>
    </row>
    <row r="874" spans="1:1" x14ac:dyDescent="0.3">
      <c r="A874" s="1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3"/>
  <sheetViews>
    <sheetView workbookViewId="0">
      <pane xSplit="2" ySplit="2" topLeftCell="G39" activePane="bottomRight" state="frozen"/>
      <selection pane="topRight" activeCell="C1" sqref="C1"/>
      <selection pane="bottomLeft" activeCell="A3" sqref="A3"/>
      <selection pane="bottomRight" activeCell="Q51" sqref="Q51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8.6640625" customWidth="1"/>
    <col min="10" max="10" width="25" customWidth="1"/>
    <col min="11" max="18" width="18.6640625" customWidth="1"/>
    <col min="19" max="19" width="44.6640625" customWidth="1"/>
    <col min="20" max="20" width="13.44140625" customWidth="1"/>
  </cols>
  <sheetData>
    <row r="1" spans="1:21" ht="18.75" customHeight="1" x14ac:dyDescent="0.3">
      <c r="A1" s="17">
        <v>1</v>
      </c>
      <c r="B1" s="89" t="s">
        <v>294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3">
      <c r="A2" s="18" t="s">
        <v>0</v>
      </c>
      <c r="B2" s="18">
        <v>1</v>
      </c>
      <c r="C2" s="18" t="s">
        <v>240</v>
      </c>
      <c r="D2" s="18" t="s">
        <v>295</v>
      </c>
      <c r="E2" s="18" t="s">
        <v>296</v>
      </c>
      <c r="F2" s="18" t="s">
        <v>297</v>
      </c>
      <c r="G2" s="18" t="s">
        <v>244</v>
      </c>
      <c r="H2" s="18" t="s">
        <v>245</v>
      </c>
      <c r="I2" s="18" t="s">
        <v>298</v>
      </c>
      <c r="J2" s="18" t="s">
        <v>299</v>
      </c>
      <c r="K2" s="18" t="s">
        <v>300</v>
      </c>
      <c r="L2" s="18" t="s">
        <v>301</v>
      </c>
      <c r="M2" s="18" t="s">
        <v>302</v>
      </c>
      <c r="N2" s="18" t="s">
        <v>303</v>
      </c>
      <c r="O2" s="18" t="s">
        <v>304</v>
      </c>
      <c r="P2" s="18" t="s">
        <v>305</v>
      </c>
      <c r="Q2" s="18" t="s">
        <v>255</v>
      </c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261</v>
      </c>
      <c r="T4" s="22">
        <f>'ANNUAL-EXPENSE-DETAILS'!V4</f>
        <v>281008</v>
      </c>
    </row>
    <row r="5" spans="1:21" ht="12.75" customHeight="1" x14ac:dyDescent="0.3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263</v>
      </c>
      <c r="T5" s="20">
        <f>'ANNUAL-EXPENSE-DETAILS'!U4</f>
        <v>42100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3678</v>
      </c>
      <c r="D6" s="22">
        <f t="shared" ref="D6:D37" si="0">SUM($C$3:$C$5)/64</f>
        <v>0</v>
      </c>
      <c r="E6" s="22">
        <f t="shared" ref="E6:E37" si="1">C6+D6</f>
        <v>3678</v>
      </c>
      <c r="F6" s="22">
        <f t="shared" ref="F6:F37" si="2">IF($C$70=0, 0, E6/$C$70)</f>
        <v>7.0825702913328058E-3</v>
      </c>
      <c r="G6" s="22">
        <f t="shared" ref="G6:G37" si="3">F6*$T$5</f>
        <v>298.17620926511114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675.07281864011111</v>
      </c>
      <c r="K6" s="22">
        <f t="shared" ref="K6:K37" si="6">$T$4/64</f>
        <v>4390.75</v>
      </c>
      <c r="L6" s="22">
        <v>0</v>
      </c>
      <c r="M6" s="22">
        <v>0</v>
      </c>
      <c r="N6" s="22">
        <v>0</v>
      </c>
      <c r="O6" s="22">
        <v>0</v>
      </c>
      <c r="P6" s="22">
        <v>500</v>
      </c>
      <c r="Q6" s="22">
        <v>0</v>
      </c>
      <c r="R6" s="22">
        <f t="shared" ref="R6:R37" si="7">SUM(J6:Q6)*$B$2</f>
        <v>5565.8228186401111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9240</v>
      </c>
      <c r="D7" s="20">
        <f t="shared" si="0"/>
        <v>0</v>
      </c>
      <c r="E7" s="20">
        <f t="shared" si="1"/>
        <v>9240</v>
      </c>
      <c r="F7" s="20">
        <f t="shared" si="2"/>
        <v>1.7793080340379318E-2</v>
      </c>
      <c r="G7" s="20">
        <f t="shared" si="3"/>
        <v>749.08868232996929</v>
      </c>
      <c r="H7" s="20">
        <v>4</v>
      </c>
      <c r="I7" s="20">
        <f t="shared" si="4"/>
        <v>494.79759999999999</v>
      </c>
      <c r="J7" s="20">
        <f t="shared" si="5"/>
        <v>1249.6846917049693</v>
      </c>
      <c r="K7" s="20">
        <f t="shared" si="6"/>
        <v>4390.75</v>
      </c>
      <c r="L7" s="20">
        <v>0</v>
      </c>
      <c r="M7" s="20">
        <v>0</v>
      </c>
      <c r="N7" s="20">
        <v>0</v>
      </c>
      <c r="O7" s="20">
        <v>0</v>
      </c>
      <c r="P7" s="20">
        <v>500</v>
      </c>
      <c r="Q7" s="20">
        <v>0</v>
      </c>
      <c r="R7" s="20">
        <f t="shared" si="7"/>
        <v>6140.4346917049697</v>
      </c>
      <c r="S7" s="20" t="s">
        <v>307</v>
      </c>
      <c r="T7" s="80">
        <f>(104.83+0.18*104.83)</f>
        <v>123.6994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8604</v>
      </c>
      <c r="D8" s="22">
        <f t="shared" si="0"/>
        <v>0</v>
      </c>
      <c r="E8" s="22">
        <f t="shared" si="1"/>
        <v>8604</v>
      </c>
      <c r="F8" s="22">
        <f t="shared" si="2"/>
        <v>1.6568361823444115E-2</v>
      </c>
      <c r="G8" s="22">
        <f t="shared" si="3"/>
        <v>697.52803276699728</v>
      </c>
      <c r="H8" s="22">
        <v>4</v>
      </c>
      <c r="I8" s="22">
        <f t="shared" si="4"/>
        <v>494.79759999999999</v>
      </c>
      <c r="J8" s="22">
        <f t="shared" si="5"/>
        <v>1198.1240421419973</v>
      </c>
      <c r="K8" s="22">
        <f t="shared" si="6"/>
        <v>4390.75</v>
      </c>
      <c r="L8" s="22">
        <v>750</v>
      </c>
      <c r="M8" s="22">
        <v>0</v>
      </c>
      <c r="N8" s="22">
        <v>0</v>
      </c>
      <c r="O8" s="22">
        <v>0</v>
      </c>
      <c r="P8" s="22">
        <v>500</v>
      </c>
      <c r="Q8" s="22">
        <v>0</v>
      </c>
      <c r="R8" s="22">
        <f t="shared" si="7"/>
        <v>6838.8740421419971</v>
      </c>
      <c r="S8" s="22" t="s">
        <v>308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4846.5</v>
      </c>
      <c r="D9" s="20">
        <f t="shared" si="0"/>
        <v>0</v>
      </c>
      <c r="E9" s="20">
        <f t="shared" si="1"/>
        <v>4846.5</v>
      </c>
      <c r="F9" s="20">
        <f t="shared" si="2"/>
        <v>9.3327017174944099E-3</v>
      </c>
      <c r="G9" s="20">
        <f t="shared" si="3"/>
        <v>392.90674230651467</v>
      </c>
      <c r="H9" s="20">
        <v>4</v>
      </c>
      <c r="I9" s="20">
        <f t="shared" si="4"/>
        <v>494.79759999999999</v>
      </c>
      <c r="J9" s="20">
        <f t="shared" si="5"/>
        <v>893.50275168151461</v>
      </c>
      <c r="K9" s="20">
        <f t="shared" si="6"/>
        <v>4390.75</v>
      </c>
      <c r="L9" s="20">
        <v>0</v>
      </c>
      <c r="M9" s="20">
        <v>0</v>
      </c>
      <c r="N9" s="20">
        <v>0</v>
      </c>
      <c r="O9" s="20">
        <v>0</v>
      </c>
      <c r="P9" s="20">
        <v>500</v>
      </c>
      <c r="Q9" s="20">
        <v>0</v>
      </c>
      <c r="R9" s="20">
        <f t="shared" si="7"/>
        <v>5784.2527516815144</v>
      </c>
      <c r="S9" s="20" t="s">
        <v>309</v>
      </c>
      <c r="T9" s="20">
        <f>T8/64</f>
        <v>5.7984093750000003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3884.5</v>
      </c>
      <c r="D10" s="22">
        <f t="shared" si="0"/>
        <v>0</v>
      </c>
      <c r="E10" s="22">
        <f t="shared" si="1"/>
        <v>3884.5</v>
      </c>
      <c r="F10" s="22">
        <f t="shared" si="2"/>
        <v>7.4802186777276469E-3</v>
      </c>
      <c r="G10" s="22">
        <f t="shared" si="3"/>
        <v>314.91720633233393</v>
      </c>
      <c r="H10" s="22">
        <v>3</v>
      </c>
      <c r="I10" s="22">
        <f t="shared" si="4"/>
        <v>371.09820000000002</v>
      </c>
      <c r="J10" s="22">
        <f t="shared" si="5"/>
        <v>691.81381570733402</v>
      </c>
      <c r="K10" s="22">
        <f t="shared" si="6"/>
        <v>4390.75</v>
      </c>
      <c r="L10" s="22">
        <v>0</v>
      </c>
      <c r="M10" s="22">
        <v>0</v>
      </c>
      <c r="N10" s="22">
        <v>0</v>
      </c>
      <c r="O10" s="22">
        <v>0</v>
      </c>
      <c r="P10" s="22">
        <v>500</v>
      </c>
      <c r="Q10" s="22">
        <v>0</v>
      </c>
      <c r="R10" s="22">
        <f t="shared" si="7"/>
        <v>5582.5638157073336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7004.5</v>
      </c>
      <c r="D11" s="20">
        <f t="shared" si="0"/>
        <v>0</v>
      </c>
      <c r="E11" s="20">
        <f t="shared" si="1"/>
        <v>7004.5</v>
      </c>
      <c r="F11" s="20">
        <f t="shared" si="2"/>
        <v>1.3488271779673908E-2</v>
      </c>
      <c r="G11" s="20">
        <f t="shared" si="3"/>
        <v>567.85624192427156</v>
      </c>
      <c r="H11" s="20">
        <v>3</v>
      </c>
      <c r="I11" s="20">
        <f t="shared" si="4"/>
        <v>371.09820000000002</v>
      </c>
      <c r="J11" s="20">
        <f t="shared" si="5"/>
        <v>944.75285129927158</v>
      </c>
      <c r="K11" s="20">
        <f t="shared" si="6"/>
        <v>4390.75</v>
      </c>
      <c r="L11" s="20">
        <v>0</v>
      </c>
      <c r="M11" s="20">
        <v>0</v>
      </c>
      <c r="N11" s="20">
        <v>0</v>
      </c>
      <c r="O11" s="20">
        <v>0</v>
      </c>
      <c r="P11" s="20">
        <v>500</v>
      </c>
      <c r="Q11" s="20">
        <v>0</v>
      </c>
      <c r="R11" s="20">
        <f t="shared" si="7"/>
        <v>5835.5028512992712</v>
      </c>
      <c r="S11" s="20"/>
      <c r="T11" s="20"/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4</v>
      </c>
      <c r="D12" s="22">
        <f t="shared" si="0"/>
        <v>0</v>
      </c>
      <c r="E12" s="22">
        <f t="shared" si="1"/>
        <v>4</v>
      </c>
      <c r="F12" s="22">
        <f t="shared" si="2"/>
        <v>7.7026321819823883E-6</v>
      </c>
      <c r="G12" s="22">
        <f t="shared" si="3"/>
        <v>0.32428081486145854</v>
      </c>
      <c r="H12" s="22">
        <v>3</v>
      </c>
      <c r="I12" s="22">
        <f t="shared" si="4"/>
        <v>371.09820000000002</v>
      </c>
      <c r="J12" s="22">
        <f t="shared" si="5"/>
        <v>377.22089018986151</v>
      </c>
      <c r="K12" s="22">
        <f t="shared" si="6"/>
        <v>4390.75</v>
      </c>
      <c r="L12" s="22">
        <v>750</v>
      </c>
      <c r="M12" s="22">
        <v>0</v>
      </c>
      <c r="N12" s="22">
        <v>0</v>
      </c>
      <c r="O12" s="22">
        <v>0</v>
      </c>
      <c r="P12" s="22">
        <v>500</v>
      </c>
      <c r="Q12" s="22">
        <v>0</v>
      </c>
      <c r="R12" s="22">
        <f t="shared" si="7"/>
        <v>6017.9708901898612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886.5</v>
      </c>
      <c r="D13" s="20">
        <f t="shared" si="0"/>
        <v>0</v>
      </c>
      <c r="E13" s="20">
        <f t="shared" si="1"/>
        <v>886.5</v>
      </c>
      <c r="F13" s="20">
        <f t="shared" si="2"/>
        <v>1.7070958573318466E-3</v>
      </c>
      <c r="G13" s="20">
        <f t="shared" si="3"/>
        <v>71.868735593670749</v>
      </c>
      <c r="H13" s="20">
        <v>3</v>
      </c>
      <c r="I13" s="20">
        <f t="shared" si="4"/>
        <v>371.09820000000002</v>
      </c>
      <c r="J13" s="20">
        <f t="shared" si="5"/>
        <v>448.76534496867077</v>
      </c>
      <c r="K13" s="20">
        <f t="shared" si="6"/>
        <v>4390.75</v>
      </c>
      <c r="L13" s="20">
        <v>0</v>
      </c>
      <c r="M13" s="20">
        <v>0</v>
      </c>
      <c r="N13" s="20">
        <v>0</v>
      </c>
      <c r="O13" s="20">
        <v>0</v>
      </c>
      <c r="P13" s="20">
        <v>500</v>
      </c>
      <c r="Q13" s="20">
        <v>0</v>
      </c>
      <c r="R13" s="20">
        <f t="shared" si="7"/>
        <v>5339.5153449686704</v>
      </c>
      <c r="S13" s="20"/>
      <c r="T13" s="20"/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1981</v>
      </c>
      <c r="D14" s="22">
        <f t="shared" si="0"/>
        <v>0</v>
      </c>
      <c r="E14" s="22">
        <f t="shared" si="1"/>
        <v>1981</v>
      </c>
      <c r="F14" s="22">
        <f t="shared" si="2"/>
        <v>3.8147285881267776E-3</v>
      </c>
      <c r="G14" s="22">
        <f t="shared" si="3"/>
        <v>160.60007356013733</v>
      </c>
      <c r="H14" s="22">
        <v>4</v>
      </c>
      <c r="I14" s="22">
        <f t="shared" si="4"/>
        <v>494.79759999999999</v>
      </c>
      <c r="J14" s="22">
        <f t="shared" si="5"/>
        <v>661.19608293513738</v>
      </c>
      <c r="K14" s="22">
        <f t="shared" si="6"/>
        <v>4390.75</v>
      </c>
      <c r="L14" s="22">
        <v>0</v>
      </c>
      <c r="M14" s="22">
        <v>0</v>
      </c>
      <c r="N14" s="22">
        <v>0</v>
      </c>
      <c r="O14" s="22">
        <v>0</v>
      </c>
      <c r="P14" s="22">
        <v>500</v>
      </c>
      <c r="Q14" s="22">
        <v>0</v>
      </c>
      <c r="R14" s="22">
        <f t="shared" si="7"/>
        <v>5551.9460829351374</v>
      </c>
      <c r="S14" s="22"/>
      <c r="T14" s="22"/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11864.5</v>
      </c>
      <c r="D15" s="20">
        <f t="shared" si="0"/>
        <v>0</v>
      </c>
      <c r="E15" s="20">
        <f t="shared" si="1"/>
        <v>11864.5</v>
      </c>
      <c r="F15" s="20">
        <f t="shared" si="2"/>
        <v>2.2846969880782511E-2</v>
      </c>
      <c r="G15" s="20">
        <f t="shared" si="3"/>
        <v>961.85743198094372</v>
      </c>
      <c r="H15" s="20">
        <v>3</v>
      </c>
      <c r="I15" s="20">
        <f t="shared" si="4"/>
        <v>371.09820000000002</v>
      </c>
      <c r="J15" s="20">
        <f t="shared" si="5"/>
        <v>1338.7540413559436</v>
      </c>
      <c r="K15" s="20">
        <f t="shared" si="6"/>
        <v>4390.75</v>
      </c>
      <c r="L15" s="20">
        <v>0</v>
      </c>
      <c r="M15" s="20">
        <v>0</v>
      </c>
      <c r="N15" s="20">
        <v>0</v>
      </c>
      <c r="O15" s="20">
        <v>0</v>
      </c>
      <c r="P15" s="20">
        <v>500</v>
      </c>
      <c r="Q15" s="20">
        <v>0</v>
      </c>
      <c r="R15" s="20">
        <f t="shared" si="7"/>
        <v>6229.5040413559436</v>
      </c>
      <c r="S15" s="25"/>
      <c r="T15" s="25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925.5</v>
      </c>
      <c r="D16" s="22">
        <f t="shared" si="0"/>
        <v>0</v>
      </c>
      <c r="E16" s="22">
        <f t="shared" si="1"/>
        <v>925.5</v>
      </c>
      <c r="F16" s="22">
        <f t="shared" si="2"/>
        <v>1.7821965211061749E-3</v>
      </c>
      <c r="G16" s="22">
        <f t="shared" si="3"/>
        <v>75.030473538569964</v>
      </c>
      <c r="H16" s="22">
        <v>3</v>
      </c>
      <c r="I16" s="22">
        <f t="shared" si="4"/>
        <v>371.09820000000002</v>
      </c>
      <c r="J16" s="22">
        <f t="shared" si="5"/>
        <v>451.92708291356996</v>
      </c>
      <c r="K16" s="22">
        <f t="shared" si="6"/>
        <v>4390.75</v>
      </c>
      <c r="L16" s="22">
        <v>0</v>
      </c>
      <c r="M16" s="22">
        <v>0</v>
      </c>
      <c r="N16" s="22">
        <v>0</v>
      </c>
      <c r="O16" s="22">
        <v>0</v>
      </c>
      <c r="P16" s="22">
        <v>500</v>
      </c>
      <c r="Q16" s="22">
        <v>0</v>
      </c>
      <c r="R16" s="22">
        <f t="shared" si="7"/>
        <v>5342.6770829135703</v>
      </c>
      <c r="S16" s="22"/>
      <c r="T16" s="22"/>
    </row>
    <row r="17" spans="1:20" ht="12.75" customHeight="1" x14ac:dyDescent="0.3">
      <c r="A17" s="19" t="s">
        <v>22</v>
      </c>
      <c r="B17" s="19" t="str">
        <f>VLOOKUP(A17,Members!$A$2:$B$65,2,FALSE)</f>
        <v>Kavitha T</v>
      </c>
      <c r="C17" s="20">
        <v>7188.5</v>
      </c>
      <c r="D17" s="20">
        <f t="shared" si="0"/>
        <v>0</v>
      </c>
      <c r="E17" s="20">
        <f t="shared" si="1"/>
        <v>7188.5</v>
      </c>
      <c r="F17" s="20">
        <f t="shared" si="2"/>
        <v>1.3842592860045098E-2</v>
      </c>
      <c r="G17" s="20">
        <f t="shared" si="3"/>
        <v>582.77315940789867</v>
      </c>
      <c r="H17" s="20">
        <v>3</v>
      </c>
      <c r="I17" s="20">
        <f t="shared" si="4"/>
        <v>371.09820000000002</v>
      </c>
      <c r="J17" s="20">
        <f t="shared" si="5"/>
        <v>959.6697687828987</v>
      </c>
      <c r="K17" s="20">
        <f t="shared" si="6"/>
        <v>4390.75</v>
      </c>
      <c r="L17" s="20">
        <v>0</v>
      </c>
      <c r="M17" s="20">
        <v>0</v>
      </c>
      <c r="N17" s="20">
        <v>0</v>
      </c>
      <c r="O17" s="20">
        <v>0</v>
      </c>
      <c r="P17" s="20">
        <v>500</v>
      </c>
      <c r="Q17" s="20">
        <v>0</v>
      </c>
      <c r="R17" s="20">
        <f t="shared" si="7"/>
        <v>5850.4197687828982</v>
      </c>
      <c r="S17" s="20"/>
      <c r="T17" s="20"/>
    </row>
    <row r="18" spans="1:20" ht="12.75" customHeight="1" x14ac:dyDescent="0.3">
      <c r="A18" s="21" t="s">
        <v>23</v>
      </c>
      <c r="B18" s="21" t="str">
        <f>VLOOKUP(A18,Members!$A$2:$B$65,2,FALSE)</f>
        <v>Srinivasa Rao</v>
      </c>
      <c r="C18" s="22">
        <v>1784.5</v>
      </c>
      <c r="D18" s="22">
        <f t="shared" si="0"/>
        <v>0</v>
      </c>
      <c r="E18" s="22">
        <f t="shared" si="1"/>
        <v>1784.5</v>
      </c>
      <c r="F18" s="22">
        <f t="shared" si="2"/>
        <v>3.4363367821868929E-3</v>
      </c>
      <c r="G18" s="22">
        <f t="shared" si="3"/>
        <v>144.66977853006819</v>
      </c>
      <c r="H18" s="22">
        <v>4</v>
      </c>
      <c r="I18" s="22">
        <f t="shared" si="4"/>
        <v>494.79759999999999</v>
      </c>
      <c r="J18" s="22">
        <f t="shared" si="5"/>
        <v>645.26578790506824</v>
      </c>
      <c r="K18" s="22">
        <f t="shared" si="6"/>
        <v>4390.75</v>
      </c>
      <c r="L18" s="22">
        <v>0</v>
      </c>
      <c r="M18" s="22">
        <v>0</v>
      </c>
      <c r="N18" s="22">
        <v>0</v>
      </c>
      <c r="O18" s="22">
        <v>0</v>
      </c>
      <c r="P18" s="22">
        <v>500</v>
      </c>
      <c r="Q18" s="22">
        <v>0</v>
      </c>
      <c r="R18" s="22">
        <f t="shared" si="7"/>
        <v>5536.0157879050685</v>
      </c>
      <c r="S18" s="22"/>
      <c r="T18" s="22"/>
    </row>
    <row r="19" spans="1:20" ht="12.75" customHeight="1" x14ac:dyDescent="0.3">
      <c r="A19" s="19" t="s">
        <v>25</v>
      </c>
      <c r="B19" s="19" t="str">
        <f>VLOOKUP(A19,Members!$A$2:$B$65,2,FALSE)</f>
        <v>Hemant Patel</v>
      </c>
      <c r="C19" s="20">
        <v>5166.5</v>
      </c>
      <c r="D19" s="20">
        <f t="shared" si="0"/>
        <v>0</v>
      </c>
      <c r="E19" s="20">
        <f t="shared" si="1"/>
        <v>5166.5</v>
      </c>
      <c r="F19" s="20">
        <f t="shared" si="2"/>
        <v>9.9489122920530023E-3</v>
      </c>
      <c r="G19" s="20">
        <f t="shared" si="3"/>
        <v>418.84920749543141</v>
      </c>
      <c r="H19" s="20">
        <v>4</v>
      </c>
      <c r="I19" s="20">
        <f t="shared" si="4"/>
        <v>494.79759999999999</v>
      </c>
      <c r="J19" s="20">
        <f t="shared" si="5"/>
        <v>919.44521687043141</v>
      </c>
      <c r="K19" s="20">
        <f t="shared" si="6"/>
        <v>4390.75</v>
      </c>
      <c r="L19" s="20">
        <v>0</v>
      </c>
      <c r="M19" s="20">
        <v>0</v>
      </c>
      <c r="N19" s="20">
        <v>0</v>
      </c>
      <c r="O19" s="20">
        <v>0</v>
      </c>
      <c r="P19" s="20">
        <v>500</v>
      </c>
      <c r="Q19" s="20">
        <v>0</v>
      </c>
      <c r="R19" s="20">
        <f t="shared" si="7"/>
        <v>5810.1952168704311</v>
      </c>
      <c r="S19" s="20"/>
      <c r="T19" s="20"/>
    </row>
    <row r="20" spans="1:20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4994.5</v>
      </c>
      <c r="D20" s="22">
        <f t="shared" si="0"/>
        <v>0</v>
      </c>
      <c r="E20" s="22">
        <f t="shared" si="1"/>
        <v>4994.5</v>
      </c>
      <c r="F20" s="22">
        <f t="shared" si="2"/>
        <v>9.6176991082277587E-3</v>
      </c>
      <c r="G20" s="22">
        <f t="shared" si="3"/>
        <v>404.90513245638863</v>
      </c>
      <c r="H20" s="22">
        <v>4</v>
      </c>
      <c r="I20" s="22">
        <f t="shared" si="4"/>
        <v>494.79759999999999</v>
      </c>
      <c r="J20" s="22">
        <f t="shared" si="5"/>
        <v>905.50114183138862</v>
      </c>
      <c r="K20" s="22">
        <f t="shared" si="6"/>
        <v>4390.75</v>
      </c>
      <c r="L20" s="22">
        <v>750</v>
      </c>
      <c r="M20" s="22">
        <v>0</v>
      </c>
      <c r="N20" s="22">
        <v>0</v>
      </c>
      <c r="O20" s="22">
        <v>0</v>
      </c>
      <c r="P20" s="22">
        <v>500</v>
      </c>
      <c r="Q20" s="22">
        <v>0</v>
      </c>
      <c r="R20" s="22">
        <f t="shared" si="7"/>
        <v>6546.2511418313888</v>
      </c>
      <c r="S20" s="22"/>
      <c r="T20" s="22"/>
    </row>
    <row r="21" spans="1:20" ht="12.75" customHeight="1" x14ac:dyDescent="0.3">
      <c r="A21" s="19" t="s">
        <v>28</v>
      </c>
      <c r="B21" s="19" t="str">
        <f>VLOOKUP(A21,Members!$A$2:$B$65,2,FALSE)</f>
        <v>Sreeja Sudharma</v>
      </c>
      <c r="C21" s="20">
        <v>15096.5</v>
      </c>
      <c r="D21" s="20">
        <f t="shared" si="0"/>
        <v>0</v>
      </c>
      <c r="E21" s="20">
        <f t="shared" si="1"/>
        <v>15096.5</v>
      </c>
      <c r="F21" s="20">
        <f t="shared" si="2"/>
        <v>2.9070696683824278E-2</v>
      </c>
      <c r="G21" s="20">
        <f t="shared" si="3"/>
        <v>1223.8763303890021</v>
      </c>
      <c r="H21" s="20">
        <v>3</v>
      </c>
      <c r="I21" s="20">
        <f t="shared" si="4"/>
        <v>371.09820000000002</v>
      </c>
      <c r="J21" s="20">
        <f t="shared" si="5"/>
        <v>1600.7729397640019</v>
      </c>
      <c r="K21" s="20">
        <f t="shared" si="6"/>
        <v>4390.75</v>
      </c>
      <c r="L21" s="20">
        <v>0</v>
      </c>
      <c r="M21" s="20">
        <v>0</v>
      </c>
      <c r="N21" s="20">
        <v>0</v>
      </c>
      <c r="O21" s="20">
        <v>0</v>
      </c>
      <c r="P21" s="20">
        <v>500</v>
      </c>
      <c r="Q21" s="20">
        <v>0</v>
      </c>
      <c r="R21" s="20">
        <f t="shared" si="7"/>
        <v>6491.5229397640014</v>
      </c>
      <c r="S21" s="20"/>
      <c r="T21" s="20"/>
    </row>
    <row r="22" spans="1:20" ht="12.75" customHeight="1" x14ac:dyDescent="0.3">
      <c r="A22" s="21" t="s">
        <v>29</v>
      </c>
      <c r="B22" s="21" t="str">
        <f>VLOOKUP(A22,Members!$A$2:$B$65,2,FALSE)</f>
        <v>Digvijay Verma</v>
      </c>
      <c r="C22" s="22">
        <v>6751.5</v>
      </c>
      <c r="D22" s="22">
        <f t="shared" si="0"/>
        <v>0</v>
      </c>
      <c r="E22" s="22">
        <f t="shared" si="1"/>
        <v>6751.5</v>
      </c>
      <c r="F22" s="22">
        <f t="shared" si="2"/>
        <v>1.3001080294163523E-2</v>
      </c>
      <c r="G22" s="22">
        <f t="shared" si="3"/>
        <v>547.34548038428431</v>
      </c>
      <c r="H22" s="22">
        <v>3</v>
      </c>
      <c r="I22" s="22">
        <f t="shared" si="4"/>
        <v>371.09820000000002</v>
      </c>
      <c r="J22" s="22">
        <f t="shared" si="5"/>
        <v>924.24208975928434</v>
      </c>
      <c r="K22" s="22">
        <f t="shared" si="6"/>
        <v>4390.75</v>
      </c>
      <c r="L22" s="22">
        <v>0</v>
      </c>
      <c r="M22" s="22">
        <v>0</v>
      </c>
      <c r="N22" s="22">
        <v>0</v>
      </c>
      <c r="O22" s="22">
        <v>0</v>
      </c>
      <c r="P22" s="22">
        <v>500</v>
      </c>
      <c r="Q22" s="22">
        <v>0</v>
      </c>
      <c r="R22" s="22">
        <f t="shared" si="7"/>
        <v>5814.9920897592847</v>
      </c>
      <c r="S22" s="22"/>
      <c r="T22" s="22"/>
    </row>
    <row r="23" spans="1:20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16559</v>
      </c>
      <c r="D23" s="20">
        <f t="shared" si="0"/>
        <v>0</v>
      </c>
      <c r="E23" s="20">
        <f t="shared" si="1"/>
        <v>16559</v>
      </c>
      <c r="F23" s="20">
        <f t="shared" si="2"/>
        <v>3.1886971575361592E-2</v>
      </c>
      <c r="G23" s="20">
        <f t="shared" si="3"/>
        <v>1342.4415033227231</v>
      </c>
      <c r="H23" s="20">
        <v>4</v>
      </c>
      <c r="I23" s="20">
        <f t="shared" si="4"/>
        <v>494.79759999999999</v>
      </c>
      <c r="J23" s="20">
        <f t="shared" si="5"/>
        <v>1843.0375126977228</v>
      </c>
      <c r="K23" s="20">
        <f t="shared" si="6"/>
        <v>4390.75</v>
      </c>
      <c r="L23" s="20">
        <v>0</v>
      </c>
      <c r="M23" s="20">
        <v>0</v>
      </c>
      <c r="N23" s="20">
        <v>0</v>
      </c>
      <c r="O23" s="20">
        <v>0</v>
      </c>
      <c r="P23" s="20">
        <v>500</v>
      </c>
      <c r="Q23" s="20">
        <v>0</v>
      </c>
      <c r="R23" s="20">
        <f t="shared" si="7"/>
        <v>6733.7875126977233</v>
      </c>
      <c r="S23" s="20"/>
      <c r="T23" s="20"/>
    </row>
    <row r="24" spans="1:20" ht="12.75" customHeight="1" x14ac:dyDescent="0.3">
      <c r="A24" s="21" t="s">
        <v>31</v>
      </c>
      <c r="B24" s="21" t="str">
        <f>VLOOKUP(A24,Members!$A$2:$B$65,2,FALSE)</f>
        <v>Balakrishnan</v>
      </c>
      <c r="C24" s="22">
        <v>12072.5</v>
      </c>
      <c r="D24" s="22">
        <f t="shared" si="0"/>
        <v>0</v>
      </c>
      <c r="E24" s="22">
        <f t="shared" si="1"/>
        <v>12072.5</v>
      </c>
      <c r="F24" s="22">
        <f t="shared" si="2"/>
        <v>2.3247506754245594E-2</v>
      </c>
      <c r="G24" s="22">
        <f t="shared" si="3"/>
        <v>978.72003435373949</v>
      </c>
      <c r="H24" s="22">
        <v>4</v>
      </c>
      <c r="I24" s="22">
        <f t="shared" si="4"/>
        <v>494.79759999999999</v>
      </c>
      <c r="J24" s="22">
        <f t="shared" si="5"/>
        <v>1479.3160437287395</v>
      </c>
      <c r="K24" s="22">
        <f t="shared" si="6"/>
        <v>4390.75</v>
      </c>
      <c r="L24" s="22">
        <v>0</v>
      </c>
      <c r="M24" s="22">
        <v>0</v>
      </c>
      <c r="N24" s="22">
        <v>0</v>
      </c>
      <c r="O24" s="22">
        <v>0</v>
      </c>
      <c r="P24" s="22">
        <v>500</v>
      </c>
      <c r="Q24" s="22">
        <v>0</v>
      </c>
      <c r="R24" s="22">
        <f t="shared" si="7"/>
        <v>6370.0660437287397</v>
      </c>
      <c r="S24" s="22"/>
      <c r="T24" s="22"/>
    </row>
    <row r="25" spans="1:20" ht="12.75" customHeight="1" x14ac:dyDescent="0.3">
      <c r="A25" s="19" t="s">
        <v>33</v>
      </c>
      <c r="B25" s="19" t="str">
        <f>VLOOKUP(A25,Members!$A$2:$B$65,2,FALSE)</f>
        <v>Ashwin Pandith</v>
      </c>
      <c r="C25" s="20">
        <v>21098.5</v>
      </c>
      <c r="D25" s="20">
        <f t="shared" si="0"/>
        <v>0</v>
      </c>
      <c r="E25" s="20">
        <f t="shared" si="1"/>
        <v>21098.5</v>
      </c>
      <c r="F25" s="20">
        <f t="shared" si="2"/>
        <v>4.062849627288885E-2</v>
      </c>
      <c r="G25" s="20">
        <f t="shared" si="3"/>
        <v>1710.4596930886205</v>
      </c>
      <c r="H25" s="20">
        <v>4</v>
      </c>
      <c r="I25" s="20">
        <f t="shared" si="4"/>
        <v>494.79759999999999</v>
      </c>
      <c r="J25" s="20">
        <f t="shared" si="5"/>
        <v>2211.0557024636205</v>
      </c>
      <c r="K25" s="20">
        <f t="shared" si="6"/>
        <v>4390.75</v>
      </c>
      <c r="L25" s="20">
        <v>0</v>
      </c>
      <c r="M25" s="20">
        <v>0</v>
      </c>
      <c r="N25" s="20">
        <v>0</v>
      </c>
      <c r="O25" s="20">
        <v>0</v>
      </c>
      <c r="P25" s="20">
        <v>500</v>
      </c>
      <c r="Q25" s="20">
        <v>0</v>
      </c>
      <c r="R25" s="20">
        <f t="shared" si="7"/>
        <v>7101.80570246362</v>
      </c>
      <c r="S25" s="20"/>
      <c r="T25" s="20"/>
    </row>
    <row r="26" spans="1:20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10981.5</v>
      </c>
      <c r="D26" s="22">
        <f t="shared" si="0"/>
        <v>0</v>
      </c>
      <c r="E26" s="22">
        <f t="shared" si="1"/>
        <v>10981.5</v>
      </c>
      <c r="F26" s="22">
        <f t="shared" si="2"/>
        <v>2.1146613826609897E-2</v>
      </c>
      <c r="G26" s="22">
        <f t="shared" si="3"/>
        <v>890.27244210027663</v>
      </c>
      <c r="H26" s="22">
        <v>3</v>
      </c>
      <c r="I26" s="22">
        <f t="shared" si="4"/>
        <v>371.09820000000002</v>
      </c>
      <c r="J26" s="22">
        <f t="shared" si="5"/>
        <v>1267.1690514752768</v>
      </c>
      <c r="K26" s="22">
        <f t="shared" si="6"/>
        <v>4390.75</v>
      </c>
      <c r="L26" s="22">
        <v>0</v>
      </c>
      <c r="M26" s="22">
        <v>0</v>
      </c>
      <c r="N26" s="22">
        <v>0</v>
      </c>
      <c r="O26" s="22">
        <v>0</v>
      </c>
      <c r="P26" s="22">
        <v>500</v>
      </c>
      <c r="Q26" s="22">
        <v>0</v>
      </c>
      <c r="R26" s="22">
        <f t="shared" si="7"/>
        <v>6157.9190514752772</v>
      </c>
      <c r="S26" s="22"/>
      <c r="T26" s="22"/>
    </row>
    <row r="27" spans="1:20" ht="12.75" customHeight="1" x14ac:dyDescent="0.3">
      <c r="A27" s="19" t="s">
        <v>35</v>
      </c>
      <c r="B27" s="19" t="str">
        <f>VLOOKUP(A27,Members!$A$2:$B$65,2,FALSE)</f>
        <v>Srinath</v>
      </c>
      <c r="C27" s="20">
        <v>5031</v>
      </c>
      <c r="D27" s="20">
        <f t="shared" si="0"/>
        <v>0</v>
      </c>
      <c r="E27" s="20">
        <f t="shared" si="1"/>
        <v>5031</v>
      </c>
      <c r="F27" s="20">
        <f t="shared" si="2"/>
        <v>9.6879856268883482E-3</v>
      </c>
      <c r="G27" s="20">
        <f t="shared" si="3"/>
        <v>407.86419489199943</v>
      </c>
      <c r="H27" s="20">
        <v>3</v>
      </c>
      <c r="I27" s="20">
        <f t="shared" si="4"/>
        <v>371.09820000000002</v>
      </c>
      <c r="J27" s="20">
        <f t="shared" si="5"/>
        <v>784.76080426699946</v>
      </c>
      <c r="K27" s="20">
        <f t="shared" si="6"/>
        <v>4390.75</v>
      </c>
      <c r="L27" s="20">
        <v>0</v>
      </c>
      <c r="M27" s="20">
        <v>0</v>
      </c>
      <c r="N27" s="20">
        <v>0</v>
      </c>
      <c r="O27" s="20">
        <v>0</v>
      </c>
      <c r="P27" s="20">
        <v>500</v>
      </c>
      <c r="Q27" s="20">
        <v>0</v>
      </c>
      <c r="R27" s="20">
        <f t="shared" si="7"/>
        <v>5675.5108042669999</v>
      </c>
      <c r="S27" s="20"/>
      <c r="T27" s="20"/>
    </row>
    <row r="28" spans="1:20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6896</v>
      </c>
      <c r="D28" s="22">
        <f t="shared" si="0"/>
        <v>0</v>
      </c>
      <c r="E28" s="22">
        <f t="shared" si="1"/>
        <v>6896</v>
      </c>
      <c r="F28" s="22">
        <f t="shared" si="2"/>
        <v>1.3279337881737636E-2</v>
      </c>
      <c r="G28" s="22">
        <f t="shared" si="3"/>
        <v>559.06012482115455</v>
      </c>
      <c r="H28" s="22">
        <v>3</v>
      </c>
      <c r="I28" s="22">
        <f t="shared" si="4"/>
        <v>371.09820000000002</v>
      </c>
      <c r="J28" s="22">
        <f t="shared" si="5"/>
        <v>935.95673419615457</v>
      </c>
      <c r="K28" s="22">
        <f t="shared" si="6"/>
        <v>4390.75</v>
      </c>
      <c r="L28" s="22">
        <v>0</v>
      </c>
      <c r="M28" s="22">
        <v>0</v>
      </c>
      <c r="N28" s="22">
        <v>0</v>
      </c>
      <c r="O28" s="22">
        <v>0</v>
      </c>
      <c r="P28" s="22">
        <v>500</v>
      </c>
      <c r="Q28" s="22">
        <v>0</v>
      </c>
      <c r="R28" s="22">
        <f t="shared" si="7"/>
        <v>5826.7067341961547</v>
      </c>
      <c r="S28" s="22"/>
      <c r="T28" s="22"/>
    </row>
    <row r="29" spans="1:20" ht="12.75" customHeight="1" x14ac:dyDescent="0.3">
      <c r="A29" s="19" t="s">
        <v>38</v>
      </c>
      <c r="B29" s="19" t="str">
        <f>VLOOKUP(A29,Members!$A$2:$B$65,2,FALSE)</f>
        <v>Arun M</v>
      </c>
      <c r="C29" s="20">
        <v>8967</v>
      </c>
      <c r="D29" s="20">
        <f t="shared" si="0"/>
        <v>0</v>
      </c>
      <c r="E29" s="20">
        <f t="shared" si="1"/>
        <v>8967</v>
      </c>
      <c r="F29" s="20">
        <f t="shared" si="2"/>
        <v>1.7267375693959017E-2</v>
      </c>
      <c r="G29" s="20">
        <f t="shared" si="3"/>
        <v>726.95651671567464</v>
      </c>
      <c r="H29" s="20">
        <v>3</v>
      </c>
      <c r="I29" s="20">
        <f t="shared" si="4"/>
        <v>371.09820000000002</v>
      </c>
      <c r="J29" s="20">
        <f t="shared" si="5"/>
        <v>1103.8531260906748</v>
      </c>
      <c r="K29" s="20">
        <f t="shared" si="6"/>
        <v>4390.75</v>
      </c>
      <c r="L29" s="20">
        <v>0</v>
      </c>
      <c r="M29" s="20">
        <v>0</v>
      </c>
      <c r="N29" s="20">
        <v>0</v>
      </c>
      <c r="O29" s="20">
        <v>0</v>
      </c>
      <c r="P29" s="20">
        <v>500</v>
      </c>
      <c r="Q29" s="20">
        <v>0</v>
      </c>
      <c r="R29" s="20">
        <f t="shared" si="7"/>
        <v>5994.6031260906748</v>
      </c>
      <c r="S29" s="20"/>
      <c r="T29" s="20"/>
    </row>
    <row r="30" spans="1:20" ht="12.75" customHeight="1" x14ac:dyDescent="0.3">
      <c r="A30" s="21" t="s">
        <v>39</v>
      </c>
      <c r="B30" s="21" t="str">
        <f>VLOOKUP(A30,Members!$A$2:$B$65,2,FALSE)</f>
        <v>Ankur Agarwal</v>
      </c>
      <c r="C30" s="22">
        <v>10119.5</v>
      </c>
      <c r="D30" s="22">
        <f t="shared" si="0"/>
        <v>0</v>
      </c>
      <c r="E30" s="22">
        <f t="shared" si="1"/>
        <v>10119.5</v>
      </c>
      <c r="F30" s="22">
        <f t="shared" si="2"/>
        <v>1.9486696591392693E-2</v>
      </c>
      <c r="G30" s="22">
        <f t="shared" si="3"/>
        <v>820.38992649763236</v>
      </c>
      <c r="H30" s="22">
        <v>5</v>
      </c>
      <c r="I30" s="22">
        <f t="shared" si="4"/>
        <v>618.49699999999996</v>
      </c>
      <c r="J30" s="22">
        <f t="shared" si="5"/>
        <v>1444.6853358726323</v>
      </c>
      <c r="K30" s="22">
        <f t="shared" si="6"/>
        <v>4390.75</v>
      </c>
      <c r="L30" s="22">
        <v>0</v>
      </c>
      <c r="M30" s="22">
        <v>0</v>
      </c>
      <c r="N30" s="22">
        <v>0</v>
      </c>
      <c r="O30" s="22">
        <v>0</v>
      </c>
      <c r="P30" s="22">
        <v>500</v>
      </c>
      <c r="Q30" s="22">
        <v>0</v>
      </c>
      <c r="R30" s="22">
        <f t="shared" si="7"/>
        <v>6335.4353358726321</v>
      </c>
      <c r="S30" s="22"/>
      <c r="T30" s="22"/>
    </row>
    <row r="31" spans="1:20" ht="12.75" customHeight="1" x14ac:dyDescent="0.3">
      <c r="A31" s="19" t="s">
        <v>41</v>
      </c>
      <c r="B31" s="19" t="str">
        <f>VLOOKUP(A31,Members!$A$2:$B$65,2,FALSE)</f>
        <v>Richa Singh</v>
      </c>
      <c r="C31" s="20">
        <v>2522.5</v>
      </c>
      <c r="D31" s="20">
        <f t="shared" si="0"/>
        <v>0</v>
      </c>
      <c r="E31" s="20">
        <f t="shared" si="1"/>
        <v>2522.5</v>
      </c>
      <c r="F31" s="20">
        <f t="shared" si="2"/>
        <v>4.8574724197626437E-3</v>
      </c>
      <c r="G31" s="20">
        <f t="shared" si="3"/>
        <v>204.49958887200731</v>
      </c>
      <c r="H31" s="20">
        <v>3</v>
      </c>
      <c r="I31" s="20">
        <f t="shared" si="4"/>
        <v>371.09820000000002</v>
      </c>
      <c r="J31" s="20">
        <f t="shared" si="5"/>
        <v>581.39619824700731</v>
      </c>
      <c r="K31" s="20">
        <f t="shared" si="6"/>
        <v>4390.75</v>
      </c>
      <c r="L31" s="20">
        <v>0</v>
      </c>
      <c r="M31" s="20">
        <v>0</v>
      </c>
      <c r="N31" s="20">
        <v>0</v>
      </c>
      <c r="O31" s="20">
        <v>0</v>
      </c>
      <c r="P31" s="20">
        <v>500</v>
      </c>
      <c r="Q31" s="20">
        <v>0</v>
      </c>
      <c r="R31" s="20">
        <f t="shared" si="7"/>
        <v>5472.1461982470073</v>
      </c>
      <c r="S31" s="20"/>
      <c r="T31" s="20"/>
    </row>
    <row r="32" spans="1:20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1649.5</v>
      </c>
      <c r="D32" s="22">
        <f t="shared" si="0"/>
        <v>0</v>
      </c>
      <c r="E32" s="22">
        <f t="shared" si="1"/>
        <v>1649.5</v>
      </c>
      <c r="F32" s="22">
        <f t="shared" si="2"/>
        <v>3.1763729460449874E-3</v>
      </c>
      <c r="G32" s="22">
        <f t="shared" si="3"/>
        <v>133.72530102849396</v>
      </c>
      <c r="H32" s="22">
        <v>3</v>
      </c>
      <c r="I32" s="22">
        <f t="shared" si="4"/>
        <v>371.09820000000002</v>
      </c>
      <c r="J32" s="22">
        <f t="shared" si="5"/>
        <v>510.62191040349398</v>
      </c>
      <c r="K32" s="22">
        <f t="shared" si="6"/>
        <v>4390.75</v>
      </c>
      <c r="L32" s="22">
        <v>0</v>
      </c>
      <c r="M32" s="22">
        <v>0</v>
      </c>
      <c r="N32" s="22">
        <v>0</v>
      </c>
      <c r="O32" s="22">
        <v>0</v>
      </c>
      <c r="P32" s="22">
        <v>500</v>
      </c>
      <c r="Q32" s="22">
        <v>0</v>
      </c>
      <c r="R32" s="22">
        <f t="shared" si="7"/>
        <v>5401.3719104034935</v>
      </c>
      <c r="S32" s="22"/>
      <c r="T32" s="22"/>
    </row>
    <row r="33" spans="1:20" ht="12.75" customHeight="1" x14ac:dyDescent="0.3">
      <c r="A33" s="19" t="s">
        <v>44</v>
      </c>
      <c r="B33" s="19" t="str">
        <f>VLOOKUP(A33,Members!$A$2:$B$65,2,FALSE)</f>
        <v>Shyam Nair</v>
      </c>
      <c r="C33" s="20">
        <v>11154</v>
      </c>
      <c r="D33" s="20">
        <f t="shared" si="0"/>
        <v>0</v>
      </c>
      <c r="E33" s="20">
        <f t="shared" si="1"/>
        <v>11154</v>
      </c>
      <c r="F33" s="20">
        <f t="shared" si="2"/>
        <v>2.147878983945789E-2</v>
      </c>
      <c r="G33" s="20">
        <f t="shared" si="3"/>
        <v>904.25705224117723</v>
      </c>
      <c r="H33" s="20">
        <v>3</v>
      </c>
      <c r="I33" s="20">
        <f t="shared" si="4"/>
        <v>371.09820000000002</v>
      </c>
      <c r="J33" s="20">
        <f t="shared" si="5"/>
        <v>1281.1536616161773</v>
      </c>
      <c r="K33" s="20">
        <f t="shared" si="6"/>
        <v>4390.75</v>
      </c>
      <c r="L33" s="20">
        <v>0</v>
      </c>
      <c r="M33" s="20">
        <v>0</v>
      </c>
      <c r="N33" s="20">
        <v>0</v>
      </c>
      <c r="O33" s="20">
        <v>0</v>
      </c>
      <c r="P33" s="20">
        <v>500</v>
      </c>
      <c r="Q33" s="20">
        <v>0</v>
      </c>
      <c r="R33" s="20">
        <f t="shared" si="7"/>
        <v>6171.9036616161775</v>
      </c>
      <c r="S33" s="20"/>
      <c r="T33" s="20"/>
    </row>
    <row r="34" spans="1:20" ht="12.75" customHeight="1" x14ac:dyDescent="0.3">
      <c r="A34" s="21" t="s">
        <v>45</v>
      </c>
      <c r="B34" s="21" t="str">
        <f>VLOOKUP(A34,Members!$A$2:$B$65,2,FALSE)</f>
        <v>Ajai.B</v>
      </c>
      <c r="C34" s="22">
        <v>7309</v>
      </c>
      <c r="D34" s="22">
        <f t="shared" si="0"/>
        <v>0</v>
      </c>
      <c r="E34" s="22">
        <f t="shared" si="1"/>
        <v>7309</v>
      </c>
      <c r="F34" s="22">
        <f t="shared" si="2"/>
        <v>1.4074634654527319E-2</v>
      </c>
      <c r="G34" s="22">
        <f t="shared" si="3"/>
        <v>592.54211895560013</v>
      </c>
      <c r="H34" s="22">
        <v>4</v>
      </c>
      <c r="I34" s="22">
        <f t="shared" si="4"/>
        <v>494.79759999999999</v>
      </c>
      <c r="J34" s="22">
        <f t="shared" si="5"/>
        <v>1093.1381283306</v>
      </c>
      <c r="K34" s="22">
        <f t="shared" si="6"/>
        <v>4390.75</v>
      </c>
      <c r="L34" s="22">
        <v>0</v>
      </c>
      <c r="M34" s="22">
        <v>0</v>
      </c>
      <c r="N34" s="22">
        <v>0</v>
      </c>
      <c r="O34" s="22">
        <v>0</v>
      </c>
      <c r="P34" s="22">
        <v>500</v>
      </c>
      <c r="Q34" s="22">
        <v>0</v>
      </c>
      <c r="R34" s="22">
        <f t="shared" si="7"/>
        <v>5983.8881283306</v>
      </c>
      <c r="S34" s="22"/>
      <c r="T34" s="22"/>
    </row>
    <row r="35" spans="1:20" ht="12.75" customHeight="1" x14ac:dyDescent="0.3">
      <c r="A35" s="19" t="s">
        <v>46</v>
      </c>
      <c r="B35" s="19" t="str">
        <f>VLOOKUP(A35,Members!$A$2:$B$65,2,FALSE)</f>
        <v>Surajit Borah</v>
      </c>
      <c r="C35" s="20">
        <v>10342</v>
      </c>
      <c r="D35" s="20">
        <f t="shared" si="0"/>
        <v>0</v>
      </c>
      <c r="E35" s="20">
        <f t="shared" si="1"/>
        <v>10342</v>
      </c>
      <c r="F35" s="20">
        <f t="shared" si="2"/>
        <v>1.9915155506515465E-2</v>
      </c>
      <c r="G35" s="20">
        <f t="shared" si="3"/>
        <v>838.42804682430108</v>
      </c>
      <c r="H35" s="20">
        <v>4</v>
      </c>
      <c r="I35" s="20">
        <f t="shared" si="4"/>
        <v>494.79759999999999</v>
      </c>
      <c r="J35" s="20">
        <f t="shared" si="5"/>
        <v>1339.024056199301</v>
      </c>
      <c r="K35" s="20">
        <f t="shared" si="6"/>
        <v>4390.75</v>
      </c>
      <c r="L35" s="20">
        <v>0</v>
      </c>
      <c r="M35" s="20">
        <v>0</v>
      </c>
      <c r="N35" s="20">
        <v>0</v>
      </c>
      <c r="O35" s="20">
        <v>0</v>
      </c>
      <c r="P35" s="20">
        <v>500</v>
      </c>
      <c r="Q35" s="20">
        <v>0</v>
      </c>
      <c r="R35" s="20">
        <f t="shared" si="7"/>
        <v>6229.7740561993014</v>
      </c>
      <c r="S35" s="20"/>
      <c r="T35" s="20"/>
    </row>
    <row r="36" spans="1:20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7275</v>
      </c>
      <c r="D36" s="22">
        <f t="shared" si="0"/>
        <v>0</v>
      </c>
      <c r="E36" s="22">
        <f t="shared" si="1"/>
        <v>7275</v>
      </c>
      <c r="F36" s="22">
        <f t="shared" si="2"/>
        <v>1.4009162280980468E-2</v>
      </c>
      <c r="G36" s="22">
        <f t="shared" si="3"/>
        <v>589.78573202927771</v>
      </c>
      <c r="H36" s="22">
        <v>4</v>
      </c>
      <c r="I36" s="22">
        <f t="shared" si="4"/>
        <v>494.79759999999999</v>
      </c>
      <c r="J36" s="22">
        <f t="shared" si="5"/>
        <v>1090.3817414042778</v>
      </c>
      <c r="K36" s="22">
        <f t="shared" si="6"/>
        <v>4390.75</v>
      </c>
      <c r="L36" s="22">
        <v>0</v>
      </c>
      <c r="M36" s="22">
        <v>0</v>
      </c>
      <c r="N36" s="22">
        <v>0</v>
      </c>
      <c r="O36" s="22">
        <v>0</v>
      </c>
      <c r="P36" s="22">
        <v>500</v>
      </c>
      <c r="Q36" s="22">
        <v>0</v>
      </c>
      <c r="R36" s="22">
        <f t="shared" si="7"/>
        <v>5981.1317414042778</v>
      </c>
      <c r="S36" s="22"/>
      <c r="T36" s="22"/>
    </row>
    <row r="37" spans="1:20" ht="12.75" customHeight="1" x14ac:dyDescent="0.3">
      <c r="A37" s="19" t="s">
        <v>48</v>
      </c>
      <c r="B37" s="19" t="str">
        <f>VLOOKUP(A37,Members!$A$2:$B$65,2,FALSE)</f>
        <v>Praveen Ganesan</v>
      </c>
      <c r="C37" s="20">
        <v>3719.5</v>
      </c>
      <c r="D37" s="20">
        <f t="shared" si="0"/>
        <v>0</v>
      </c>
      <c r="E37" s="20">
        <f t="shared" si="1"/>
        <v>3719.5</v>
      </c>
      <c r="F37" s="20">
        <f t="shared" si="2"/>
        <v>7.162485100220873E-3</v>
      </c>
      <c r="G37" s="20">
        <f t="shared" si="3"/>
        <v>301.54062271929877</v>
      </c>
      <c r="H37" s="20">
        <v>3</v>
      </c>
      <c r="I37" s="20">
        <f t="shared" si="4"/>
        <v>371.09820000000002</v>
      </c>
      <c r="J37" s="20">
        <f t="shared" si="5"/>
        <v>678.43723209429879</v>
      </c>
      <c r="K37" s="20">
        <f t="shared" si="6"/>
        <v>4390.75</v>
      </c>
      <c r="L37" s="20">
        <v>0</v>
      </c>
      <c r="M37" s="20">
        <v>0</v>
      </c>
      <c r="N37" s="20">
        <v>0</v>
      </c>
      <c r="O37" s="20">
        <v>0</v>
      </c>
      <c r="P37" s="20">
        <v>500</v>
      </c>
      <c r="Q37" s="20">
        <v>0</v>
      </c>
      <c r="R37" s="20">
        <f t="shared" si="7"/>
        <v>5569.1872320942985</v>
      </c>
      <c r="S37" s="20"/>
      <c r="T37" s="20"/>
    </row>
    <row r="38" spans="1:20" ht="12.75" customHeight="1" x14ac:dyDescent="0.3">
      <c r="A38" s="21" t="s">
        <v>50</v>
      </c>
      <c r="B38" s="21" t="str">
        <f>VLOOKUP(A38,Members!$A$2:$B$65,2,FALSE)</f>
        <v>S.N.Behera</v>
      </c>
      <c r="C38" s="22">
        <v>2507.5</v>
      </c>
      <c r="D38" s="22">
        <f t="shared" ref="D38:D69" si="8">SUM($C$3:$C$5)/64</f>
        <v>0</v>
      </c>
      <c r="E38" s="22">
        <f t="shared" ref="E38:E69" si="9">C38+D38</f>
        <v>2507.5</v>
      </c>
      <c r="F38" s="22">
        <f t="shared" ref="F38:F69" si="10">IF($C$70=0, 0, E38/$C$70)</f>
        <v>4.8285875490802098E-3</v>
      </c>
      <c r="G38" s="22">
        <f t="shared" ref="G38:G69" si="11">F38*$T$5</f>
        <v>203.28353581627684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580.18014519127689</v>
      </c>
      <c r="K38" s="22">
        <f t="shared" ref="K38:K69" si="14">$T$4/64</f>
        <v>4390.75</v>
      </c>
      <c r="L38" s="22">
        <v>0</v>
      </c>
      <c r="M38" s="22">
        <v>0</v>
      </c>
      <c r="N38" s="22">
        <v>0</v>
      </c>
      <c r="O38" s="22">
        <v>0</v>
      </c>
      <c r="P38" s="22">
        <v>500</v>
      </c>
      <c r="Q38" s="22">
        <v>0</v>
      </c>
      <c r="R38" s="22">
        <f t="shared" ref="R38:R69" si="15">SUM(J38:Q38)*$B$2</f>
        <v>5470.930145191277</v>
      </c>
      <c r="S38" s="22"/>
      <c r="T38" s="22"/>
    </row>
    <row r="39" spans="1:20" ht="12.75" customHeight="1" x14ac:dyDescent="0.3">
      <c r="A39" s="19" t="s">
        <v>52</v>
      </c>
      <c r="B39" s="19" t="str">
        <f>VLOOKUP(A39,Members!$A$2:$B$65,2,FALSE)</f>
        <v>Sonal Singh</v>
      </c>
      <c r="C39" s="20">
        <v>32103</v>
      </c>
      <c r="D39" s="20">
        <f t="shared" si="8"/>
        <v>0</v>
      </c>
      <c r="E39" s="20">
        <f t="shared" si="9"/>
        <v>32103</v>
      </c>
      <c r="F39" s="20">
        <f t="shared" si="10"/>
        <v>6.1819400234545151E-2</v>
      </c>
      <c r="G39" s="20">
        <f t="shared" si="11"/>
        <v>2602.5967498743507</v>
      </c>
      <c r="H39" s="20">
        <v>4</v>
      </c>
      <c r="I39" s="20">
        <f t="shared" si="12"/>
        <v>494.79759999999999</v>
      </c>
      <c r="J39" s="20">
        <f t="shared" si="13"/>
        <v>3103.1927592493507</v>
      </c>
      <c r="K39" s="20">
        <f t="shared" si="14"/>
        <v>4390.75</v>
      </c>
      <c r="L39" s="20">
        <v>0</v>
      </c>
      <c r="M39" s="20">
        <v>0</v>
      </c>
      <c r="N39" s="20">
        <v>0</v>
      </c>
      <c r="O39" s="20">
        <v>0</v>
      </c>
      <c r="P39" s="20">
        <v>500</v>
      </c>
      <c r="Q39" s="20">
        <v>0</v>
      </c>
      <c r="R39" s="20">
        <f t="shared" si="15"/>
        <v>7993.9427592493503</v>
      </c>
      <c r="S39" s="20"/>
      <c r="T39" s="20"/>
    </row>
    <row r="40" spans="1:20" ht="12.75" customHeight="1" x14ac:dyDescent="0.3">
      <c r="A40" s="21" t="s">
        <v>53</v>
      </c>
      <c r="B40" s="21" t="str">
        <f>VLOOKUP(A40,Members!$A$2:$B$65,2,FALSE)</f>
        <v>Manikandan N</v>
      </c>
      <c r="C40" s="22">
        <v>18198.5</v>
      </c>
      <c r="D40" s="22">
        <f t="shared" si="8"/>
        <v>0</v>
      </c>
      <c r="E40" s="22">
        <f t="shared" si="9"/>
        <v>18198.5</v>
      </c>
      <c r="F40" s="22">
        <f t="shared" si="10"/>
        <v>3.5044087940951624E-2</v>
      </c>
      <c r="G40" s="22">
        <f t="shared" si="11"/>
        <v>1475.3561023140633</v>
      </c>
      <c r="H40" s="22">
        <v>4</v>
      </c>
      <c r="I40" s="22">
        <f t="shared" si="12"/>
        <v>494.79759999999999</v>
      </c>
      <c r="J40" s="22">
        <f t="shared" si="13"/>
        <v>1975.9521116890633</v>
      </c>
      <c r="K40" s="22">
        <f t="shared" si="14"/>
        <v>4390.75</v>
      </c>
      <c r="L40" s="22">
        <v>0</v>
      </c>
      <c r="M40" s="22">
        <v>0</v>
      </c>
      <c r="N40" s="22">
        <v>0</v>
      </c>
      <c r="O40" s="22">
        <v>0</v>
      </c>
      <c r="P40" s="22">
        <v>500</v>
      </c>
      <c r="Q40" s="22">
        <v>0</v>
      </c>
      <c r="R40" s="22">
        <f t="shared" si="15"/>
        <v>6866.7021116890628</v>
      </c>
      <c r="S40" s="22"/>
      <c r="T40" s="22"/>
    </row>
    <row r="41" spans="1:20" ht="12.75" customHeight="1" x14ac:dyDescent="0.3">
      <c r="A41" s="19" t="s">
        <v>54</v>
      </c>
      <c r="B41" s="19" t="str">
        <f>VLOOKUP(A41,Members!$A$2:$B$65,2,FALSE)</f>
        <v>Swami</v>
      </c>
      <c r="C41" s="20">
        <v>4643.5</v>
      </c>
      <c r="D41" s="20">
        <f t="shared" si="8"/>
        <v>0</v>
      </c>
      <c r="E41" s="20">
        <f t="shared" si="9"/>
        <v>4643.5</v>
      </c>
      <c r="F41" s="20">
        <f t="shared" si="10"/>
        <v>8.9417931342588054E-3</v>
      </c>
      <c r="G41" s="20">
        <f t="shared" si="11"/>
        <v>376.44949095229572</v>
      </c>
      <c r="H41" s="20">
        <v>3</v>
      </c>
      <c r="I41" s="20">
        <f t="shared" si="12"/>
        <v>371.09820000000002</v>
      </c>
      <c r="J41" s="20">
        <f t="shared" si="13"/>
        <v>753.34610032729574</v>
      </c>
      <c r="K41" s="20">
        <f t="shared" si="14"/>
        <v>4390.75</v>
      </c>
      <c r="L41" s="20">
        <v>0</v>
      </c>
      <c r="M41" s="20">
        <v>0</v>
      </c>
      <c r="N41" s="20">
        <v>0</v>
      </c>
      <c r="O41" s="20">
        <v>0</v>
      </c>
      <c r="P41" s="20">
        <v>500</v>
      </c>
      <c r="Q41" s="20">
        <v>0</v>
      </c>
      <c r="R41" s="20">
        <f t="shared" si="15"/>
        <v>5644.096100327296</v>
      </c>
      <c r="S41" s="20"/>
      <c r="T41" s="20"/>
    </row>
    <row r="42" spans="1:20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810</v>
      </c>
      <c r="D42" s="22">
        <f t="shared" si="8"/>
        <v>0</v>
      </c>
      <c r="E42" s="22">
        <f t="shared" si="9"/>
        <v>810</v>
      </c>
      <c r="F42" s="22">
        <f t="shared" si="10"/>
        <v>1.5597830168514336E-3</v>
      </c>
      <c r="G42" s="22">
        <f t="shared" si="11"/>
        <v>65.66686500944536</v>
      </c>
      <c r="H42" s="22">
        <v>3</v>
      </c>
      <c r="I42" s="22">
        <f t="shared" si="12"/>
        <v>371.09820000000002</v>
      </c>
      <c r="J42" s="22">
        <f t="shared" si="13"/>
        <v>442.56347438444539</v>
      </c>
      <c r="K42" s="22">
        <f t="shared" si="14"/>
        <v>4390.75</v>
      </c>
      <c r="L42" s="22">
        <v>0</v>
      </c>
      <c r="M42" s="22">
        <v>0</v>
      </c>
      <c r="N42" s="22">
        <v>0</v>
      </c>
      <c r="O42" s="22">
        <v>0</v>
      </c>
      <c r="P42" s="22">
        <v>500</v>
      </c>
      <c r="Q42" s="22">
        <v>0</v>
      </c>
      <c r="R42" s="22">
        <f t="shared" si="15"/>
        <v>5333.3134743844457</v>
      </c>
      <c r="S42" s="22"/>
      <c r="T42" s="22"/>
    </row>
    <row r="43" spans="1:20" ht="12.75" customHeight="1" x14ac:dyDescent="0.3">
      <c r="A43" s="19" t="s">
        <v>57</v>
      </c>
      <c r="B43" s="19" t="str">
        <f>VLOOKUP(A43,Members!$A$2:$B$65,2,FALSE)</f>
        <v>Vivek Dhingra</v>
      </c>
      <c r="C43" s="20">
        <v>2978.5</v>
      </c>
      <c r="D43" s="20">
        <f t="shared" si="8"/>
        <v>0</v>
      </c>
      <c r="E43" s="20">
        <f t="shared" si="9"/>
        <v>2978.5</v>
      </c>
      <c r="F43" s="20">
        <f t="shared" si="10"/>
        <v>5.7355724885086359E-3</v>
      </c>
      <c r="G43" s="20">
        <f t="shared" si="11"/>
        <v>241.46760176621356</v>
      </c>
      <c r="H43" s="20">
        <v>3</v>
      </c>
      <c r="I43" s="20">
        <f t="shared" si="12"/>
        <v>371.09820000000002</v>
      </c>
      <c r="J43" s="20">
        <f t="shared" si="13"/>
        <v>618.36421114121356</v>
      </c>
      <c r="K43" s="20">
        <f t="shared" si="14"/>
        <v>4390.75</v>
      </c>
      <c r="L43" s="20">
        <v>0</v>
      </c>
      <c r="M43" s="20">
        <v>0</v>
      </c>
      <c r="N43" s="20">
        <v>0</v>
      </c>
      <c r="O43" s="20">
        <v>0</v>
      </c>
      <c r="P43" s="20">
        <v>500</v>
      </c>
      <c r="Q43" s="20">
        <v>0</v>
      </c>
      <c r="R43" s="20">
        <f t="shared" si="15"/>
        <v>5509.1142111412137</v>
      </c>
      <c r="S43" s="20"/>
      <c r="T43" s="20"/>
    </row>
    <row r="44" spans="1:20" ht="12.75" customHeight="1" x14ac:dyDescent="0.3">
      <c r="A44" s="21" t="s">
        <v>58</v>
      </c>
      <c r="B44" s="21" t="str">
        <f>VLOOKUP(A44,Members!$A$2:$B$65,2,FALSE)</f>
        <v>Harish B</v>
      </c>
      <c r="C44" s="22">
        <v>4443</v>
      </c>
      <c r="D44" s="22">
        <f t="shared" si="8"/>
        <v>0</v>
      </c>
      <c r="E44" s="22">
        <f t="shared" si="9"/>
        <v>4443</v>
      </c>
      <c r="F44" s="22">
        <f t="shared" si="10"/>
        <v>8.5556986961369368E-3</v>
      </c>
      <c r="G44" s="22">
        <f t="shared" si="11"/>
        <v>360.19491510736503</v>
      </c>
      <c r="H44" s="22">
        <v>3</v>
      </c>
      <c r="I44" s="22">
        <f t="shared" si="12"/>
        <v>371.09820000000002</v>
      </c>
      <c r="J44" s="22">
        <f t="shared" si="13"/>
        <v>737.091524482365</v>
      </c>
      <c r="K44" s="22">
        <f t="shared" si="14"/>
        <v>4390.75</v>
      </c>
      <c r="L44" s="22">
        <v>0</v>
      </c>
      <c r="M44" s="22">
        <v>0</v>
      </c>
      <c r="N44" s="22">
        <v>0</v>
      </c>
      <c r="O44" s="22">
        <v>0</v>
      </c>
      <c r="P44" s="22">
        <v>500</v>
      </c>
      <c r="Q44" s="22">
        <v>0</v>
      </c>
      <c r="R44" s="22">
        <f t="shared" si="15"/>
        <v>5627.8415244823645</v>
      </c>
      <c r="S44" s="22"/>
      <c r="T44" s="22"/>
    </row>
    <row r="45" spans="1:20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10926</v>
      </c>
      <c r="D45" s="20">
        <f t="shared" si="8"/>
        <v>0</v>
      </c>
      <c r="E45" s="20">
        <f t="shared" si="9"/>
        <v>10926</v>
      </c>
      <c r="F45" s="20">
        <f t="shared" si="10"/>
        <v>2.1039739805084893E-2</v>
      </c>
      <c r="G45" s="20">
        <f t="shared" si="11"/>
        <v>885.77304579407394</v>
      </c>
      <c r="H45" s="20">
        <v>3</v>
      </c>
      <c r="I45" s="20">
        <f t="shared" si="12"/>
        <v>371.09820000000002</v>
      </c>
      <c r="J45" s="20">
        <f t="shared" si="13"/>
        <v>1262.6696551690738</v>
      </c>
      <c r="K45" s="20">
        <f t="shared" si="14"/>
        <v>4390.75</v>
      </c>
      <c r="L45" s="20">
        <v>0</v>
      </c>
      <c r="M45" s="20">
        <v>0</v>
      </c>
      <c r="N45" s="20">
        <v>0</v>
      </c>
      <c r="O45" s="20">
        <v>0</v>
      </c>
      <c r="P45" s="20">
        <v>500</v>
      </c>
      <c r="Q45" s="20">
        <v>0</v>
      </c>
      <c r="R45" s="20">
        <f t="shared" si="15"/>
        <v>6153.4196551690738</v>
      </c>
      <c r="S45" s="20"/>
      <c r="T45" s="20"/>
    </row>
    <row r="46" spans="1:20" ht="12.75" customHeight="1" x14ac:dyDescent="0.3">
      <c r="A46" s="21" t="s">
        <v>60</v>
      </c>
      <c r="B46" s="21" t="str">
        <f>VLOOKUP(A46,Members!$A$2:$B$65,2,FALSE)</f>
        <v>Pawan GS</v>
      </c>
      <c r="C46" s="22">
        <v>1156.5</v>
      </c>
      <c r="D46" s="22">
        <f t="shared" si="8"/>
        <v>0</v>
      </c>
      <c r="E46" s="22">
        <f t="shared" si="9"/>
        <v>1156.5</v>
      </c>
      <c r="F46" s="22">
        <f t="shared" si="10"/>
        <v>2.227023529615658E-3</v>
      </c>
      <c r="G46" s="22">
        <f t="shared" si="11"/>
        <v>93.757690596819202</v>
      </c>
      <c r="H46" s="22">
        <v>4</v>
      </c>
      <c r="I46" s="22">
        <f t="shared" si="12"/>
        <v>494.79759999999999</v>
      </c>
      <c r="J46" s="22">
        <f t="shared" si="13"/>
        <v>594.3536999718192</v>
      </c>
      <c r="K46" s="22">
        <f t="shared" si="14"/>
        <v>4390.75</v>
      </c>
      <c r="L46" s="22">
        <v>0</v>
      </c>
      <c r="M46" s="22">
        <v>0</v>
      </c>
      <c r="N46" s="22">
        <v>0</v>
      </c>
      <c r="O46" s="22">
        <v>0</v>
      </c>
      <c r="P46" s="22">
        <v>500</v>
      </c>
      <c r="Q46" s="22">
        <v>0</v>
      </c>
      <c r="R46" s="22">
        <f t="shared" si="15"/>
        <v>5485.103699971819</v>
      </c>
      <c r="S46" s="22"/>
      <c r="T46" s="22"/>
    </row>
    <row r="47" spans="1:20" ht="12.75" customHeight="1" x14ac:dyDescent="0.3">
      <c r="A47" s="19" t="s">
        <v>61</v>
      </c>
      <c r="B47" s="19" t="str">
        <f>VLOOKUP(A47,Members!$A$2:$B$65,2,FALSE)</f>
        <v>Mayfy</v>
      </c>
      <c r="C47" s="20">
        <v>1243.5</v>
      </c>
      <c r="D47" s="20">
        <f t="shared" si="8"/>
        <v>0</v>
      </c>
      <c r="E47" s="20">
        <f t="shared" si="9"/>
        <v>1243.5</v>
      </c>
      <c r="F47" s="20">
        <f t="shared" si="10"/>
        <v>2.3945557795737749E-3</v>
      </c>
      <c r="G47" s="20">
        <f t="shared" si="11"/>
        <v>100.81079832005592</v>
      </c>
      <c r="H47" s="20">
        <v>3</v>
      </c>
      <c r="I47" s="20">
        <f t="shared" si="12"/>
        <v>371.09820000000002</v>
      </c>
      <c r="J47" s="20">
        <f t="shared" si="13"/>
        <v>477.70740769505596</v>
      </c>
      <c r="K47" s="20">
        <f t="shared" si="14"/>
        <v>4390.75</v>
      </c>
      <c r="L47" s="20">
        <v>0</v>
      </c>
      <c r="M47" s="20">
        <v>0</v>
      </c>
      <c r="N47" s="20">
        <v>0</v>
      </c>
      <c r="O47" s="20">
        <v>0</v>
      </c>
      <c r="P47" s="20">
        <v>500</v>
      </c>
      <c r="Q47" s="20">
        <v>0</v>
      </c>
      <c r="R47" s="20">
        <f t="shared" si="15"/>
        <v>5368.4574076950557</v>
      </c>
      <c r="S47" s="20"/>
      <c r="T47" s="20"/>
    </row>
    <row r="48" spans="1:20" ht="12.75" customHeight="1" x14ac:dyDescent="0.3">
      <c r="A48" s="21" t="s">
        <v>62</v>
      </c>
      <c r="B48" s="21" t="str">
        <f>VLOOKUP(A48,Members!$A$2:$B$65,2,FALSE)</f>
        <v>Gowrish Patnaik</v>
      </c>
      <c r="C48" s="22">
        <v>6920.5</v>
      </c>
      <c r="D48" s="22">
        <f t="shared" si="8"/>
        <v>0</v>
      </c>
      <c r="E48" s="22">
        <f t="shared" si="9"/>
        <v>6920.5</v>
      </c>
      <c r="F48" s="22">
        <f t="shared" si="10"/>
        <v>1.3326516503852279E-2</v>
      </c>
      <c r="G48" s="22">
        <f t="shared" si="11"/>
        <v>561.04634481218102</v>
      </c>
      <c r="H48" s="22">
        <v>3</v>
      </c>
      <c r="I48" s="22">
        <f t="shared" si="12"/>
        <v>371.09820000000002</v>
      </c>
      <c r="J48" s="22">
        <f t="shared" si="13"/>
        <v>937.94295418718104</v>
      </c>
      <c r="K48" s="22">
        <f t="shared" si="14"/>
        <v>4390.75</v>
      </c>
      <c r="L48" s="22">
        <v>0</v>
      </c>
      <c r="M48" s="22">
        <v>0</v>
      </c>
      <c r="N48" s="22">
        <v>0</v>
      </c>
      <c r="O48" s="22">
        <v>0</v>
      </c>
      <c r="P48" s="22">
        <v>500</v>
      </c>
      <c r="Q48" s="22">
        <v>0</v>
      </c>
      <c r="R48" s="22">
        <f t="shared" si="15"/>
        <v>5828.6929541871814</v>
      </c>
      <c r="S48" s="22"/>
      <c r="T48" s="22"/>
    </row>
    <row r="49" spans="1:20" ht="12.75" customHeight="1" x14ac:dyDescent="0.3">
      <c r="A49" s="19" t="s">
        <v>63</v>
      </c>
      <c r="B49" s="19" t="str">
        <f>VLOOKUP(A49,Members!$A$2:$B$65,2,FALSE)</f>
        <v>Saovik Mondal</v>
      </c>
      <c r="C49" s="20">
        <v>8515.5</v>
      </c>
      <c r="D49" s="20">
        <f t="shared" si="8"/>
        <v>0</v>
      </c>
      <c r="E49" s="20">
        <f t="shared" si="9"/>
        <v>8515.5</v>
      </c>
      <c r="F49" s="20">
        <f t="shared" si="10"/>
        <v>1.6397941086417758E-2</v>
      </c>
      <c r="G49" s="20">
        <f t="shared" si="11"/>
        <v>690.35331973818757</v>
      </c>
      <c r="H49" s="20">
        <v>3</v>
      </c>
      <c r="I49" s="20">
        <f t="shared" si="12"/>
        <v>371.09820000000002</v>
      </c>
      <c r="J49" s="20">
        <f t="shared" si="13"/>
        <v>1067.2499291131876</v>
      </c>
      <c r="K49" s="20">
        <f t="shared" si="14"/>
        <v>4390.75</v>
      </c>
      <c r="L49" s="20">
        <v>0</v>
      </c>
      <c r="M49" s="20">
        <v>0</v>
      </c>
      <c r="N49" s="20">
        <v>0</v>
      </c>
      <c r="O49" s="20">
        <v>0</v>
      </c>
      <c r="P49" s="20">
        <v>500</v>
      </c>
      <c r="Q49" s="20">
        <v>0</v>
      </c>
      <c r="R49" s="20">
        <f t="shared" si="15"/>
        <v>5957.999929113188</v>
      </c>
      <c r="S49" s="20"/>
      <c r="T49" s="20"/>
    </row>
    <row r="50" spans="1:20" ht="12.75" customHeight="1" x14ac:dyDescent="0.3">
      <c r="A50" s="21" t="s">
        <v>64</v>
      </c>
      <c r="B50" s="21" t="str">
        <f>VLOOKUP(A50,Members!$A$2:$B$65,2,FALSE)</f>
        <v>Srinivasa Rao</v>
      </c>
      <c r="C50" s="22">
        <v>2.5</v>
      </c>
      <c r="D50" s="22">
        <f t="shared" si="8"/>
        <v>0</v>
      </c>
      <c r="E50" s="22">
        <f t="shared" si="9"/>
        <v>2.5</v>
      </c>
      <c r="F50" s="22">
        <f t="shared" si="10"/>
        <v>4.814145113738992E-6</v>
      </c>
      <c r="G50" s="22">
        <f t="shared" si="11"/>
        <v>0.20267550928841158</v>
      </c>
      <c r="H50" s="22">
        <v>4</v>
      </c>
      <c r="I50" s="22">
        <f t="shared" si="12"/>
        <v>494.79759999999999</v>
      </c>
      <c r="J50" s="22">
        <f t="shared" si="13"/>
        <v>500.79868488428838</v>
      </c>
      <c r="K50" s="22">
        <f t="shared" si="14"/>
        <v>4390.75</v>
      </c>
      <c r="L50" s="22">
        <v>0</v>
      </c>
      <c r="M50" s="22">
        <v>0</v>
      </c>
      <c r="N50" s="22">
        <v>0</v>
      </c>
      <c r="O50" s="22">
        <v>0</v>
      </c>
      <c r="P50" s="22">
        <v>500</v>
      </c>
      <c r="Q50" s="22">
        <v>0</v>
      </c>
      <c r="R50" s="22">
        <f t="shared" si="15"/>
        <v>5391.5486848842884</v>
      </c>
      <c r="S50" s="22"/>
      <c r="T50" s="22"/>
    </row>
    <row r="51" spans="1:20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8722</v>
      </c>
      <c r="D51" s="20">
        <f t="shared" si="8"/>
        <v>0</v>
      </c>
      <c r="E51" s="20">
        <f t="shared" si="9"/>
        <v>8722</v>
      </c>
      <c r="F51" s="20">
        <f t="shared" si="10"/>
        <v>1.6795589472812598E-2</v>
      </c>
      <c r="G51" s="20">
        <f t="shared" si="11"/>
        <v>707.09431680541036</v>
      </c>
      <c r="H51" s="20">
        <v>4</v>
      </c>
      <c r="I51" s="20">
        <f t="shared" si="12"/>
        <v>494.79759999999999</v>
      </c>
      <c r="J51" s="20">
        <f t="shared" si="13"/>
        <v>1207.6903261804105</v>
      </c>
      <c r="K51" s="20">
        <f t="shared" si="14"/>
        <v>4390.75</v>
      </c>
      <c r="L51" s="20">
        <v>0</v>
      </c>
      <c r="M51" s="20">
        <v>0</v>
      </c>
      <c r="N51" s="20">
        <v>0</v>
      </c>
      <c r="O51" s="20">
        <v>0</v>
      </c>
      <c r="P51" s="20">
        <v>500</v>
      </c>
      <c r="Q51" s="20">
        <v>0</v>
      </c>
      <c r="R51" s="20">
        <f t="shared" si="15"/>
        <v>6098.4403261804109</v>
      </c>
      <c r="S51" s="20"/>
      <c r="T51" s="20"/>
    </row>
    <row r="52" spans="1:20" ht="12.75" customHeight="1" x14ac:dyDescent="0.3">
      <c r="A52" s="21" t="s">
        <v>66</v>
      </c>
      <c r="B52" s="21" t="str">
        <f>VLOOKUP(A52,Members!$A$2:$B$65,2,FALSE)</f>
        <v>Manas Dasgupta</v>
      </c>
      <c r="C52" s="22">
        <v>15974.5</v>
      </c>
      <c r="D52" s="22">
        <f t="shared" si="8"/>
        <v>0</v>
      </c>
      <c r="E52" s="22">
        <f t="shared" si="9"/>
        <v>15974.5</v>
      </c>
      <c r="F52" s="22">
        <f t="shared" si="10"/>
        <v>3.0761424447769414E-2</v>
      </c>
      <c r="G52" s="22">
        <f t="shared" si="11"/>
        <v>1295.0559692510924</v>
      </c>
      <c r="H52" s="22">
        <v>4</v>
      </c>
      <c r="I52" s="22">
        <f t="shared" si="12"/>
        <v>494.79759999999999</v>
      </c>
      <c r="J52" s="22">
        <f t="shared" si="13"/>
        <v>1795.6519786260924</v>
      </c>
      <c r="K52" s="22">
        <f t="shared" si="14"/>
        <v>4390.75</v>
      </c>
      <c r="L52" s="22">
        <v>0</v>
      </c>
      <c r="M52" s="22">
        <v>0</v>
      </c>
      <c r="N52" s="22">
        <v>0</v>
      </c>
      <c r="O52" s="22">
        <v>0</v>
      </c>
      <c r="P52" s="22">
        <v>500</v>
      </c>
      <c r="Q52" s="22">
        <v>0</v>
      </c>
      <c r="R52" s="22">
        <f t="shared" si="15"/>
        <v>6686.4019786260924</v>
      </c>
      <c r="S52" s="22"/>
      <c r="T52" s="22"/>
    </row>
    <row r="53" spans="1:20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2934.5</v>
      </c>
      <c r="D53" s="20">
        <f t="shared" si="8"/>
        <v>0</v>
      </c>
      <c r="E53" s="20">
        <f t="shared" si="9"/>
        <v>2934.5</v>
      </c>
      <c r="F53" s="20">
        <f t="shared" si="10"/>
        <v>5.6508435345068294E-3</v>
      </c>
      <c r="G53" s="20">
        <f t="shared" si="11"/>
        <v>237.90051280273752</v>
      </c>
      <c r="H53" s="20">
        <v>3</v>
      </c>
      <c r="I53" s="20">
        <f t="shared" si="12"/>
        <v>371.09820000000002</v>
      </c>
      <c r="J53" s="20">
        <f t="shared" si="13"/>
        <v>614.79712217773749</v>
      </c>
      <c r="K53" s="20">
        <f t="shared" si="14"/>
        <v>4390.75</v>
      </c>
      <c r="L53" s="20">
        <v>0</v>
      </c>
      <c r="M53" s="20">
        <v>0</v>
      </c>
      <c r="N53" s="20">
        <v>0</v>
      </c>
      <c r="O53" s="20">
        <v>0</v>
      </c>
      <c r="P53" s="20">
        <v>500</v>
      </c>
      <c r="Q53" s="20">
        <v>0</v>
      </c>
      <c r="R53" s="20">
        <f t="shared" si="15"/>
        <v>5505.547122177737</v>
      </c>
      <c r="S53" s="20"/>
      <c r="T53" s="20"/>
    </row>
    <row r="54" spans="1:20" ht="12.75" customHeight="1" x14ac:dyDescent="0.3">
      <c r="A54" s="21" t="s">
        <v>68</v>
      </c>
      <c r="B54" s="21" t="str">
        <f>VLOOKUP(A54,Members!$A$2:$B$65,2,FALSE)</f>
        <v>Prashant Sikdar</v>
      </c>
      <c r="C54" s="22">
        <v>14527.5</v>
      </c>
      <c r="D54" s="22">
        <f t="shared" si="8"/>
        <v>0</v>
      </c>
      <c r="E54" s="22">
        <f t="shared" si="9"/>
        <v>14527.5</v>
      </c>
      <c r="F54" s="22">
        <f t="shared" si="10"/>
        <v>2.7974997255937287E-2</v>
      </c>
      <c r="G54" s="22">
        <f t="shared" si="11"/>
        <v>1177.7473844749597</v>
      </c>
      <c r="H54" s="22">
        <v>3</v>
      </c>
      <c r="I54" s="22">
        <f t="shared" si="12"/>
        <v>371.09820000000002</v>
      </c>
      <c r="J54" s="22">
        <f t="shared" si="13"/>
        <v>1554.6439938499598</v>
      </c>
      <c r="K54" s="22">
        <f t="shared" si="14"/>
        <v>4390.75</v>
      </c>
      <c r="L54" s="22">
        <v>0</v>
      </c>
      <c r="M54" s="22">
        <v>0</v>
      </c>
      <c r="N54" s="22">
        <v>0</v>
      </c>
      <c r="O54" s="22">
        <v>0</v>
      </c>
      <c r="P54" s="22">
        <v>500</v>
      </c>
      <c r="Q54" s="22">
        <v>0</v>
      </c>
      <c r="R54" s="22">
        <f t="shared" si="15"/>
        <v>6445.3939938499598</v>
      </c>
      <c r="S54" s="22"/>
      <c r="T54" s="22"/>
    </row>
    <row r="55" spans="1:20" ht="12.75" customHeight="1" x14ac:dyDescent="0.3">
      <c r="A55" s="19" t="s">
        <v>69</v>
      </c>
      <c r="B55" s="19" t="str">
        <f>VLOOKUP(A55,Members!$A$2:$B$65,2,FALSE)</f>
        <v>Kunal Raj Mehta</v>
      </c>
      <c r="C55" s="20">
        <v>14518</v>
      </c>
      <c r="D55" s="20">
        <f t="shared" si="8"/>
        <v>0</v>
      </c>
      <c r="E55" s="20">
        <f t="shared" si="9"/>
        <v>14518</v>
      </c>
      <c r="F55" s="20">
        <f t="shared" si="10"/>
        <v>2.7956703504505076E-2</v>
      </c>
      <c r="G55" s="20">
        <f t="shared" si="11"/>
        <v>1176.9772175396638</v>
      </c>
      <c r="H55" s="20">
        <v>4</v>
      </c>
      <c r="I55" s="20">
        <f t="shared" si="12"/>
        <v>494.79759999999999</v>
      </c>
      <c r="J55" s="20">
        <f t="shared" si="13"/>
        <v>1677.5732269146638</v>
      </c>
      <c r="K55" s="20">
        <f t="shared" si="14"/>
        <v>4390.75</v>
      </c>
      <c r="L55" s="20">
        <v>0</v>
      </c>
      <c r="M55" s="20">
        <v>0</v>
      </c>
      <c r="N55" s="20">
        <v>0</v>
      </c>
      <c r="O55" s="20">
        <v>0</v>
      </c>
      <c r="P55" s="20">
        <v>500</v>
      </c>
      <c r="Q55" s="20">
        <v>0</v>
      </c>
      <c r="R55" s="20">
        <f t="shared" si="15"/>
        <v>6568.3232269146638</v>
      </c>
      <c r="S55" s="20"/>
      <c r="T55" s="20"/>
    </row>
    <row r="56" spans="1:20" ht="12.75" customHeight="1" x14ac:dyDescent="0.3">
      <c r="A56" s="21" t="s">
        <v>70</v>
      </c>
      <c r="B56" s="21" t="str">
        <f>VLOOKUP(A56,Members!$A$2:$B$65,2,FALSE)</f>
        <v>Kapil Garg</v>
      </c>
      <c r="C56" s="22">
        <v>7856.5</v>
      </c>
      <c r="D56" s="22">
        <f t="shared" si="8"/>
        <v>0</v>
      </c>
      <c r="E56" s="22">
        <f t="shared" si="9"/>
        <v>7856.5</v>
      </c>
      <c r="F56" s="22">
        <f t="shared" si="10"/>
        <v>1.5128932434436158E-2</v>
      </c>
      <c r="G56" s="22">
        <f t="shared" si="11"/>
        <v>636.9280554897623</v>
      </c>
      <c r="H56" s="22">
        <v>4</v>
      </c>
      <c r="I56" s="22">
        <f t="shared" si="12"/>
        <v>494.79759999999999</v>
      </c>
      <c r="J56" s="22">
        <f t="shared" si="13"/>
        <v>1137.5240648647623</v>
      </c>
      <c r="K56" s="22">
        <f t="shared" si="14"/>
        <v>4390.75</v>
      </c>
      <c r="L56" s="22">
        <v>0</v>
      </c>
      <c r="M56" s="22">
        <v>0</v>
      </c>
      <c r="N56" s="22">
        <v>0</v>
      </c>
      <c r="O56" s="22">
        <v>0</v>
      </c>
      <c r="P56" s="22">
        <v>500</v>
      </c>
      <c r="Q56" s="22">
        <v>0</v>
      </c>
      <c r="R56" s="22">
        <f t="shared" si="15"/>
        <v>6028.2740648647623</v>
      </c>
      <c r="S56" s="22"/>
      <c r="T56" s="22"/>
    </row>
    <row r="57" spans="1:20" ht="12.75" customHeight="1" x14ac:dyDescent="0.3">
      <c r="A57" s="19" t="s">
        <v>71</v>
      </c>
      <c r="B57" s="19" t="str">
        <f>VLOOKUP(A57,Members!$A$2:$B$65,2,FALSE)</f>
        <v>Vijet Alva</v>
      </c>
      <c r="C57" s="20">
        <v>9.5</v>
      </c>
      <c r="D57" s="20">
        <f t="shared" si="8"/>
        <v>0</v>
      </c>
      <c r="E57" s="20">
        <f t="shared" si="9"/>
        <v>9.5</v>
      </c>
      <c r="F57" s="20">
        <f t="shared" si="10"/>
        <v>1.829375143220817E-5</v>
      </c>
      <c r="G57" s="20">
        <f t="shared" si="11"/>
        <v>0.77016693529596392</v>
      </c>
      <c r="H57" s="20">
        <v>4</v>
      </c>
      <c r="I57" s="20">
        <f t="shared" si="12"/>
        <v>494.79759999999999</v>
      </c>
      <c r="J57" s="20">
        <f t="shared" si="13"/>
        <v>501.36617631029594</v>
      </c>
      <c r="K57" s="20">
        <f t="shared" si="14"/>
        <v>4390.75</v>
      </c>
      <c r="L57" s="20">
        <v>0</v>
      </c>
      <c r="M57" s="20">
        <v>0</v>
      </c>
      <c r="N57" s="20">
        <v>0</v>
      </c>
      <c r="O57" s="20">
        <v>0</v>
      </c>
      <c r="P57" s="20">
        <v>500</v>
      </c>
      <c r="Q57" s="20">
        <v>0</v>
      </c>
      <c r="R57" s="20">
        <f t="shared" si="15"/>
        <v>5392.1161763102955</v>
      </c>
      <c r="S57" s="20"/>
      <c r="T57" s="20"/>
    </row>
    <row r="58" spans="1:20" ht="12.75" customHeight="1" x14ac:dyDescent="0.3">
      <c r="A58" s="21" t="s">
        <v>73</v>
      </c>
      <c r="B58" s="21" t="str">
        <f>VLOOKUP(A58,Members!$A$2:$B$65,2,FALSE)</f>
        <v>Ganesh Iyer</v>
      </c>
      <c r="C58" s="22">
        <v>4799.5</v>
      </c>
      <c r="D58" s="22">
        <f t="shared" si="8"/>
        <v>0</v>
      </c>
      <c r="E58" s="22">
        <f t="shared" si="9"/>
        <v>4799.5</v>
      </c>
      <c r="F58" s="22">
        <f t="shared" si="10"/>
        <v>9.2421957893561169E-3</v>
      </c>
      <c r="G58" s="22">
        <f t="shared" si="11"/>
        <v>389.09644273189252</v>
      </c>
      <c r="H58" s="22">
        <v>3</v>
      </c>
      <c r="I58" s="22">
        <f t="shared" si="12"/>
        <v>371.09820000000002</v>
      </c>
      <c r="J58" s="22">
        <f t="shared" si="13"/>
        <v>765.99305210689249</v>
      </c>
      <c r="K58" s="22">
        <f t="shared" si="14"/>
        <v>4390.75</v>
      </c>
      <c r="L58" s="22">
        <v>0</v>
      </c>
      <c r="M58" s="22">
        <v>0</v>
      </c>
      <c r="N58" s="22">
        <v>0</v>
      </c>
      <c r="O58" s="22">
        <v>0</v>
      </c>
      <c r="P58" s="22">
        <v>500</v>
      </c>
      <c r="Q58" s="22">
        <v>0</v>
      </c>
      <c r="R58" s="22">
        <f t="shared" si="15"/>
        <v>5656.7430521068927</v>
      </c>
      <c r="S58" s="22"/>
      <c r="T58" s="22"/>
    </row>
    <row r="59" spans="1:20" ht="12.75" customHeight="1" x14ac:dyDescent="0.3">
      <c r="A59" s="19" t="s">
        <v>74</v>
      </c>
      <c r="B59" s="19" t="str">
        <f>VLOOKUP(A59,Members!$A$2:$B$65,2,FALSE)</f>
        <v>Mythili Ramesh</v>
      </c>
      <c r="C59" s="20">
        <v>15169.5</v>
      </c>
      <c r="D59" s="20">
        <f t="shared" si="8"/>
        <v>0</v>
      </c>
      <c r="E59" s="20">
        <f t="shared" si="9"/>
        <v>15169.5</v>
      </c>
      <c r="F59" s="20">
        <f t="shared" si="10"/>
        <v>2.9211269721145457E-2</v>
      </c>
      <c r="G59" s="20">
        <f t="shared" si="11"/>
        <v>1229.7944552602237</v>
      </c>
      <c r="H59" s="20">
        <v>3</v>
      </c>
      <c r="I59" s="20">
        <f t="shared" si="12"/>
        <v>371.09820000000002</v>
      </c>
      <c r="J59" s="20">
        <f t="shared" si="13"/>
        <v>1606.6910646352235</v>
      </c>
      <c r="K59" s="20">
        <f t="shared" si="14"/>
        <v>4390.75</v>
      </c>
      <c r="L59" s="20">
        <v>0</v>
      </c>
      <c r="M59" s="20">
        <v>0</v>
      </c>
      <c r="N59" s="20">
        <v>0</v>
      </c>
      <c r="O59" s="20">
        <v>0</v>
      </c>
      <c r="P59" s="20">
        <v>500</v>
      </c>
      <c r="Q59" s="20">
        <v>0</v>
      </c>
      <c r="R59" s="20">
        <f t="shared" si="15"/>
        <v>6497.4410646352235</v>
      </c>
      <c r="S59" s="20"/>
      <c r="T59" s="20"/>
    </row>
    <row r="60" spans="1:20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12099.5</v>
      </c>
      <c r="D60" s="22">
        <f t="shared" si="8"/>
        <v>0</v>
      </c>
      <c r="E60" s="22">
        <f t="shared" si="9"/>
        <v>12099.5</v>
      </c>
      <c r="F60" s="22">
        <f t="shared" si="10"/>
        <v>2.3299499521473976E-2</v>
      </c>
      <c r="G60" s="22">
        <f t="shared" si="11"/>
        <v>980.90892985405446</v>
      </c>
      <c r="H60" s="22">
        <v>3</v>
      </c>
      <c r="I60" s="22">
        <f t="shared" si="12"/>
        <v>371.09820000000002</v>
      </c>
      <c r="J60" s="22">
        <f t="shared" si="13"/>
        <v>1357.8055392290544</v>
      </c>
      <c r="K60" s="22">
        <f t="shared" si="14"/>
        <v>4390.75</v>
      </c>
      <c r="L60" s="22">
        <v>0</v>
      </c>
      <c r="M60" s="22">
        <v>0</v>
      </c>
      <c r="N60" s="22">
        <v>0</v>
      </c>
      <c r="O60" s="22">
        <v>0</v>
      </c>
      <c r="P60" s="22">
        <v>500</v>
      </c>
      <c r="Q60" s="22">
        <v>0</v>
      </c>
      <c r="R60" s="22">
        <f t="shared" si="15"/>
        <v>6248.5555392290544</v>
      </c>
      <c r="S60" s="22"/>
      <c r="T60" s="22"/>
    </row>
    <row r="61" spans="1:20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7105</v>
      </c>
      <c r="D61" s="20">
        <f t="shared" si="8"/>
        <v>0</v>
      </c>
      <c r="E61" s="20">
        <f t="shared" si="9"/>
        <v>7105</v>
      </c>
      <c r="F61" s="20">
        <f t="shared" si="10"/>
        <v>1.3681800413246216E-2</v>
      </c>
      <c r="G61" s="20">
        <f t="shared" si="11"/>
        <v>576.00379739766572</v>
      </c>
      <c r="H61" s="20">
        <v>3</v>
      </c>
      <c r="I61" s="20">
        <f t="shared" si="12"/>
        <v>371.09820000000002</v>
      </c>
      <c r="J61" s="20">
        <f t="shared" si="13"/>
        <v>952.90040677266575</v>
      </c>
      <c r="K61" s="20">
        <f t="shared" si="14"/>
        <v>4390.75</v>
      </c>
      <c r="L61" s="20">
        <v>0</v>
      </c>
      <c r="M61" s="20">
        <v>0</v>
      </c>
      <c r="N61" s="20">
        <v>0</v>
      </c>
      <c r="O61" s="20">
        <v>0</v>
      </c>
      <c r="P61" s="20">
        <v>500</v>
      </c>
      <c r="Q61" s="20">
        <v>0</v>
      </c>
      <c r="R61" s="20">
        <f t="shared" si="15"/>
        <v>5843.6504067726655</v>
      </c>
      <c r="S61" s="20"/>
      <c r="T61" s="20"/>
    </row>
    <row r="62" spans="1:20" ht="12.75" customHeight="1" x14ac:dyDescent="0.3">
      <c r="A62" s="21" t="s">
        <v>77</v>
      </c>
      <c r="B62" s="21" t="str">
        <f>VLOOKUP(A62,Members!$A$2:$B$65,2,FALSE)</f>
        <v>Nishith Sahu</v>
      </c>
      <c r="C62" s="22">
        <v>869</v>
      </c>
      <c r="D62" s="22">
        <f t="shared" si="8"/>
        <v>0</v>
      </c>
      <c r="E62" s="22">
        <f t="shared" si="9"/>
        <v>869</v>
      </c>
      <c r="F62" s="22">
        <f t="shared" si="10"/>
        <v>1.6733968415356738E-3</v>
      </c>
      <c r="G62" s="22">
        <f t="shared" si="11"/>
        <v>70.450007028651868</v>
      </c>
      <c r="H62" s="22">
        <v>4</v>
      </c>
      <c r="I62" s="22">
        <f t="shared" si="12"/>
        <v>494.79759999999999</v>
      </c>
      <c r="J62" s="22">
        <f t="shared" si="13"/>
        <v>571.04601640365183</v>
      </c>
      <c r="K62" s="22">
        <f t="shared" si="14"/>
        <v>4390.75</v>
      </c>
      <c r="L62" s="22">
        <v>0</v>
      </c>
      <c r="M62" s="22">
        <v>0</v>
      </c>
      <c r="N62" s="22">
        <v>0</v>
      </c>
      <c r="O62" s="22">
        <v>0</v>
      </c>
      <c r="P62" s="22">
        <v>500</v>
      </c>
      <c r="Q62" s="22">
        <v>0</v>
      </c>
      <c r="R62" s="22">
        <f t="shared" si="15"/>
        <v>5461.7960164036522</v>
      </c>
      <c r="S62" s="22"/>
      <c r="T62" s="22"/>
    </row>
    <row r="63" spans="1:20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29037.5</v>
      </c>
      <c r="D63" s="20">
        <f t="shared" si="8"/>
        <v>0</v>
      </c>
      <c r="E63" s="20">
        <f t="shared" si="9"/>
        <v>29037.5</v>
      </c>
      <c r="F63" s="20">
        <f t="shared" si="10"/>
        <v>5.5916295496078398E-2</v>
      </c>
      <c r="G63" s="20">
        <f t="shared" si="11"/>
        <v>2354.0760403849004</v>
      </c>
      <c r="H63" s="20">
        <v>3</v>
      </c>
      <c r="I63" s="20">
        <f t="shared" si="12"/>
        <v>371.09820000000002</v>
      </c>
      <c r="J63" s="20">
        <f t="shared" si="13"/>
        <v>2730.9726497599004</v>
      </c>
      <c r="K63" s="20">
        <f t="shared" si="14"/>
        <v>4390.75</v>
      </c>
      <c r="L63" s="20">
        <v>750</v>
      </c>
      <c r="M63" s="20">
        <v>0</v>
      </c>
      <c r="N63" s="20">
        <v>0</v>
      </c>
      <c r="O63" s="20">
        <v>0</v>
      </c>
      <c r="P63" s="20">
        <v>500</v>
      </c>
      <c r="Q63" s="20">
        <v>0</v>
      </c>
      <c r="R63" s="20">
        <f t="shared" si="15"/>
        <v>8371.7226497599004</v>
      </c>
      <c r="S63" s="20"/>
      <c r="T63" s="20"/>
    </row>
    <row r="64" spans="1:20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6623</v>
      </c>
      <c r="D64" s="22">
        <f t="shared" si="8"/>
        <v>0</v>
      </c>
      <c r="E64" s="22">
        <f t="shared" si="9"/>
        <v>6623</v>
      </c>
      <c r="F64" s="22">
        <f t="shared" si="10"/>
        <v>1.2753633235317339E-2</v>
      </c>
      <c r="G64" s="22">
        <f t="shared" si="11"/>
        <v>536.92795920686001</v>
      </c>
      <c r="H64" s="22">
        <v>3</v>
      </c>
      <c r="I64" s="22">
        <f t="shared" si="12"/>
        <v>371.09820000000002</v>
      </c>
      <c r="J64" s="22">
        <f t="shared" si="13"/>
        <v>913.82456858186004</v>
      </c>
      <c r="K64" s="22">
        <f t="shared" si="14"/>
        <v>4390.75</v>
      </c>
      <c r="L64" s="22">
        <v>0</v>
      </c>
      <c r="M64" s="22">
        <v>0</v>
      </c>
      <c r="N64" s="22">
        <v>0</v>
      </c>
      <c r="O64" s="22">
        <v>0</v>
      </c>
      <c r="P64" s="22">
        <v>500</v>
      </c>
      <c r="Q64" s="22">
        <v>0</v>
      </c>
      <c r="R64" s="22">
        <f t="shared" si="15"/>
        <v>5804.5745685818601</v>
      </c>
      <c r="S64" s="22"/>
      <c r="T64" s="22"/>
    </row>
    <row r="65" spans="1:20" ht="12.75" customHeight="1" x14ac:dyDescent="0.3">
      <c r="A65" s="19" t="s">
        <v>81</v>
      </c>
      <c r="B65" s="19" t="str">
        <f>VLOOKUP(A65,Members!$A$2:$B$65,2,FALSE)</f>
        <v>Prasenjit</v>
      </c>
      <c r="C65" s="20">
        <v>4576.5</v>
      </c>
      <c r="D65" s="20">
        <f t="shared" si="8"/>
        <v>0</v>
      </c>
      <c r="E65" s="20">
        <f t="shared" si="9"/>
        <v>4576.5</v>
      </c>
      <c r="F65" s="20">
        <f t="shared" si="10"/>
        <v>8.8127740452105998E-3</v>
      </c>
      <c r="G65" s="20">
        <f t="shared" si="11"/>
        <v>371.01778730336628</v>
      </c>
      <c r="H65" s="20">
        <v>3</v>
      </c>
      <c r="I65" s="20">
        <f t="shared" si="12"/>
        <v>371.09820000000002</v>
      </c>
      <c r="J65" s="20">
        <f t="shared" si="13"/>
        <v>747.9143966783663</v>
      </c>
      <c r="K65" s="20">
        <f t="shared" si="14"/>
        <v>4390.75</v>
      </c>
      <c r="L65" s="20">
        <v>0</v>
      </c>
      <c r="M65" s="20">
        <v>0</v>
      </c>
      <c r="N65" s="20">
        <v>0</v>
      </c>
      <c r="O65" s="20">
        <v>0</v>
      </c>
      <c r="P65" s="20">
        <v>500</v>
      </c>
      <c r="Q65" s="20">
        <v>0</v>
      </c>
      <c r="R65" s="20">
        <f t="shared" si="15"/>
        <v>5638.6643966783668</v>
      </c>
      <c r="S65" s="20"/>
      <c r="T65" s="20"/>
    </row>
    <row r="66" spans="1:20" ht="12.75" customHeight="1" x14ac:dyDescent="0.3">
      <c r="A66" s="21" t="s">
        <v>82</v>
      </c>
      <c r="B66" s="21" t="str">
        <f>VLOOKUP(A66,Members!$A$2:$B$65,2,FALSE)</f>
        <v>Sonali Deokhule</v>
      </c>
      <c r="C66" s="22">
        <v>21858.5</v>
      </c>
      <c r="D66" s="22">
        <f t="shared" si="8"/>
        <v>0</v>
      </c>
      <c r="E66" s="22">
        <f t="shared" si="9"/>
        <v>21858.5</v>
      </c>
      <c r="F66" s="22">
        <f t="shared" si="10"/>
        <v>4.2091996387465504E-2</v>
      </c>
      <c r="G66" s="22">
        <f t="shared" si="11"/>
        <v>1772.0730479122976</v>
      </c>
      <c r="H66" s="22">
        <v>4</v>
      </c>
      <c r="I66" s="22">
        <f t="shared" si="12"/>
        <v>494.79759999999999</v>
      </c>
      <c r="J66" s="22">
        <f t="shared" si="13"/>
        <v>2272.6690572872976</v>
      </c>
      <c r="K66" s="22">
        <f t="shared" si="14"/>
        <v>4390.75</v>
      </c>
      <c r="L66" s="22">
        <v>0</v>
      </c>
      <c r="M66" s="22">
        <v>0</v>
      </c>
      <c r="N66" s="22">
        <v>0</v>
      </c>
      <c r="O66" s="22">
        <v>0</v>
      </c>
      <c r="P66" s="22">
        <v>500</v>
      </c>
      <c r="Q66" s="22"/>
      <c r="R66" s="22">
        <f t="shared" si="15"/>
        <v>7163.4190572872976</v>
      </c>
      <c r="S66" s="22"/>
      <c r="T66" s="22"/>
    </row>
    <row r="67" spans="1:20" ht="12.75" customHeight="1" x14ac:dyDescent="0.3">
      <c r="A67" s="19" t="s">
        <v>84</v>
      </c>
      <c r="B67" s="19" t="str">
        <f>VLOOKUP(A67,Members!$A$2:$B$65,2,FALSE)</f>
        <v>Jeya</v>
      </c>
      <c r="C67" s="20">
        <v>10135</v>
      </c>
      <c r="D67" s="20">
        <f t="shared" si="8"/>
        <v>0</v>
      </c>
      <c r="E67" s="20">
        <f t="shared" si="9"/>
        <v>10135</v>
      </c>
      <c r="F67" s="20">
        <f t="shared" si="10"/>
        <v>1.9516544291097875E-2</v>
      </c>
      <c r="G67" s="20">
        <f t="shared" si="11"/>
        <v>821.64651465522059</v>
      </c>
      <c r="H67" s="20">
        <v>4</v>
      </c>
      <c r="I67" s="20">
        <f t="shared" si="12"/>
        <v>494.79759999999999</v>
      </c>
      <c r="J67" s="20">
        <f t="shared" si="13"/>
        <v>1322.2425240302205</v>
      </c>
      <c r="K67" s="20">
        <f t="shared" si="14"/>
        <v>4390.75</v>
      </c>
      <c r="L67" s="20">
        <v>0</v>
      </c>
      <c r="M67" s="20">
        <v>0</v>
      </c>
      <c r="N67" s="20">
        <v>0</v>
      </c>
      <c r="O67" s="20">
        <v>0</v>
      </c>
      <c r="P67" s="20">
        <v>500</v>
      </c>
      <c r="Q67" s="20">
        <v>0</v>
      </c>
      <c r="R67" s="20">
        <f t="shared" si="15"/>
        <v>6212.99252403022</v>
      </c>
      <c r="S67" s="20"/>
      <c r="T67" s="20"/>
    </row>
    <row r="68" spans="1:20" ht="12.75" customHeight="1" x14ac:dyDescent="0.3">
      <c r="A68" s="21" t="s">
        <v>85</v>
      </c>
      <c r="B68" s="21" t="str">
        <f>VLOOKUP(A68,Members!$A$2:$B$65,2,FALSE)</f>
        <v>Trevor</v>
      </c>
      <c r="C68" s="22">
        <v>6163</v>
      </c>
      <c r="D68" s="22">
        <f t="shared" si="8"/>
        <v>0</v>
      </c>
      <c r="E68" s="22">
        <f t="shared" si="9"/>
        <v>6163</v>
      </c>
      <c r="F68" s="22">
        <f t="shared" si="10"/>
        <v>1.1867830534389364E-2</v>
      </c>
      <c r="G68" s="22">
        <f t="shared" si="11"/>
        <v>499.63566549779222</v>
      </c>
      <c r="H68" s="22">
        <v>4</v>
      </c>
      <c r="I68" s="22">
        <f t="shared" si="12"/>
        <v>494.79759999999999</v>
      </c>
      <c r="J68" s="22">
        <f t="shared" si="13"/>
        <v>1000.2316748727922</v>
      </c>
      <c r="K68" s="22">
        <f t="shared" si="14"/>
        <v>4390.75</v>
      </c>
      <c r="L68" s="22">
        <v>0</v>
      </c>
      <c r="M68" s="22">
        <v>0</v>
      </c>
      <c r="N68" s="22">
        <v>0</v>
      </c>
      <c r="O68" s="22">
        <v>0</v>
      </c>
      <c r="P68" s="22">
        <v>500</v>
      </c>
      <c r="Q68" s="22">
        <v>0</v>
      </c>
      <c r="R68" s="22">
        <f t="shared" si="15"/>
        <v>5890.9816748727917</v>
      </c>
      <c r="S68" s="22"/>
      <c r="T68" s="22"/>
    </row>
    <row r="69" spans="1:20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12278.5</v>
      </c>
      <c r="D69" s="20">
        <f t="shared" si="8"/>
        <v>0</v>
      </c>
      <c r="E69" s="20">
        <f t="shared" si="9"/>
        <v>12278.5</v>
      </c>
      <c r="F69" s="20">
        <f t="shared" si="10"/>
        <v>2.3644192311617688E-2</v>
      </c>
      <c r="G69" s="20">
        <f t="shared" si="11"/>
        <v>995.4204963191047</v>
      </c>
      <c r="H69" s="20">
        <v>3</v>
      </c>
      <c r="I69" s="20">
        <f t="shared" si="12"/>
        <v>371.09820000000002</v>
      </c>
      <c r="J69" s="20">
        <f t="shared" si="13"/>
        <v>1372.3171056941046</v>
      </c>
      <c r="K69" s="20">
        <f t="shared" si="14"/>
        <v>4390.75</v>
      </c>
      <c r="L69" s="20">
        <v>0</v>
      </c>
      <c r="M69" s="20">
        <v>0</v>
      </c>
      <c r="N69" s="20">
        <v>0</v>
      </c>
      <c r="O69" s="20">
        <v>0</v>
      </c>
      <c r="P69" s="20">
        <v>500</v>
      </c>
      <c r="Q69" s="20">
        <v>0</v>
      </c>
      <c r="R69" s="20">
        <f t="shared" si="15"/>
        <v>6263.0671056941046</v>
      </c>
      <c r="S69" s="20"/>
      <c r="T69" s="20"/>
    </row>
    <row r="70" spans="1:20" ht="12.75" customHeight="1" x14ac:dyDescent="0.3">
      <c r="A70" s="23" t="s">
        <v>87</v>
      </c>
      <c r="B70" s="23" t="s">
        <v>87</v>
      </c>
      <c r="C70" s="24">
        <f>SUM(C3:C69)</f>
        <v>519303</v>
      </c>
      <c r="D70" s="24">
        <f>SUM(D3:D69)</f>
        <v>0</v>
      </c>
      <c r="E70" s="24">
        <f>SUM(E5:E69)</f>
        <v>519303</v>
      </c>
      <c r="F70" s="24">
        <f>SUM(F6:F69)</f>
        <v>1</v>
      </c>
      <c r="G70" s="24">
        <f>SUM(G6:G69)</f>
        <v>42100.000000000015</v>
      </c>
      <c r="H70" s="24">
        <f>SUM(H3:H69)</f>
        <v>223</v>
      </c>
      <c r="I70" s="24">
        <f>SUM(I3:I69)</f>
        <v>27584.966200000028</v>
      </c>
      <c r="J70" s="24">
        <f>SUM(J6:J69)</f>
        <v>69684.96620000001</v>
      </c>
      <c r="K70" s="24">
        <f>SUM(K6:K69)</f>
        <v>281008</v>
      </c>
      <c r="L70" s="24">
        <f>SUM(L3:L69)</f>
        <v>3000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32000</v>
      </c>
      <c r="Q70" s="24"/>
      <c r="R70" s="24">
        <f>SUM(R3:R69)</f>
        <v>385692.96620000008</v>
      </c>
      <c r="S70" s="24"/>
      <c r="T70" s="24"/>
    </row>
    <row r="71" spans="1:20" ht="12.75" customHeight="1" x14ac:dyDescent="0.3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3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3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0" activePane="bottomLeft" state="frozen"/>
      <selection pane="bottomLeft" activeCell="K18" sqref="K18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36" t="s">
        <v>2</v>
      </c>
      <c r="E1" s="18" t="s">
        <v>1</v>
      </c>
      <c r="F1" s="36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/>
      <c r="D2" s="37"/>
      <c r="E2" s="26"/>
      <c r="F2" s="37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6">
        <v>6000</v>
      </c>
      <c r="D4" s="37" t="s">
        <v>310</v>
      </c>
      <c r="E4" s="22"/>
      <c r="F4" s="37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>
        <v>4827</v>
      </c>
      <c r="D6" s="37" t="s">
        <v>311</v>
      </c>
      <c r="E6" s="26">
        <v>205</v>
      </c>
      <c r="F6" s="37" t="s">
        <v>312</v>
      </c>
      <c r="G6" s="26">
        <v>205</v>
      </c>
      <c r="H6" s="37" t="s">
        <v>312</v>
      </c>
      <c r="I6" s="26"/>
      <c r="J6" s="26"/>
      <c r="K6" s="26">
        <f t="shared" si="0"/>
        <v>5237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>
        <v>9442.7099999999991</v>
      </c>
      <c r="D7" s="38" t="s">
        <v>313</v>
      </c>
      <c r="E7" s="25"/>
      <c r="F7" s="38"/>
      <c r="G7" s="25"/>
      <c r="H7" s="38"/>
      <c r="I7" s="25"/>
      <c r="J7" s="25"/>
      <c r="K7" s="25">
        <f t="shared" si="0"/>
        <v>9442.7099999999991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>
        <v>7174</v>
      </c>
      <c r="D8" s="37" t="s">
        <v>314</v>
      </c>
      <c r="E8" s="26"/>
      <c r="F8" s="37"/>
      <c r="G8" s="26"/>
      <c r="H8" s="37"/>
      <c r="I8" s="26"/>
      <c r="J8" s="26"/>
      <c r="K8" s="26">
        <f t="shared" si="0"/>
        <v>7174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0">
        <v>453</v>
      </c>
      <c r="D9" s="39" t="s">
        <v>311</v>
      </c>
      <c r="E9" s="25">
        <v>468</v>
      </c>
      <c r="F9" s="38" t="s">
        <v>312</v>
      </c>
      <c r="G9" s="25"/>
      <c r="H9" s="38"/>
      <c r="I9" s="25"/>
      <c r="J9" s="25"/>
      <c r="K9" s="20">
        <f t="shared" si="0"/>
        <v>921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2">
        <v>4867</v>
      </c>
      <c r="D10" s="37" t="s">
        <v>310</v>
      </c>
      <c r="E10" s="26">
        <v>5366</v>
      </c>
      <c r="F10" s="37" t="s">
        <v>315</v>
      </c>
      <c r="G10" s="26"/>
      <c r="H10" s="37"/>
      <c r="I10" s="26"/>
      <c r="J10" s="26"/>
      <c r="K10" s="22">
        <f t="shared" si="0"/>
        <v>10233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0">
        <v>6536.41</v>
      </c>
      <c r="D13" s="38" t="s">
        <v>311</v>
      </c>
      <c r="E13" s="25"/>
      <c r="F13" s="38"/>
      <c r="G13" s="25"/>
      <c r="H13" s="38"/>
      <c r="I13" s="25"/>
      <c r="J13" s="25"/>
      <c r="K13" s="20">
        <f t="shared" si="0"/>
        <v>6536.41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>
        <v>5907</v>
      </c>
      <c r="D16" s="37" t="s">
        <v>316</v>
      </c>
      <c r="E16" s="26"/>
      <c r="F16" s="37"/>
      <c r="G16" s="26"/>
      <c r="H16" s="37"/>
      <c r="I16" s="26"/>
      <c r="J16" s="26"/>
      <c r="K16" s="26">
        <f t="shared" si="0"/>
        <v>5907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>
        <v>5887.24</v>
      </c>
      <c r="D17" s="38" t="s">
        <v>317</v>
      </c>
      <c r="E17" s="25"/>
      <c r="F17" s="38"/>
      <c r="G17" s="25"/>
      <c r="H17" s="38"/>
      <c r="I17" s="25"/>
      <c r="J17" s="25"/>
      <c r="K17" s="25">
        <f t="shared" si="0"/>
        <v>5887.24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2">
        <v>2100</v>
      </c>
      <c r="D20" s="40" t="s">
        <v>318</v>
      </c>
      <c r="E20" s="26"/>
      <c r="F20" s="37"/>
      <c r="G20" s="26"/>
      <c r="H20" s="37"/>
      <c r="I20" s="26"/>
      <c r="J20" s="26"/>
      <c r="K20" s="22">
        <f t="shared" si="0"/>
        <v>2100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0">
        <v>11592</v>
      </c>
      <c r="D21" s="39" t="s">
        <v>311</v>
      </c>
      <c r="E21" s="25"/>
      <c r="F21" s="38"/>
      <c r="G21" s="25"/>
      <c r="H21" s="38"/>
      <c r="I21" s="25"/>
      <c r="J21" s="25"/>
      <c r="K21" s="20">
        <f t="shared" si="0"/>
        <v>11592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>
        <v>5067</v>
      </c>
      <c r="D25" s="38" t="s">
        <v>319</v>
      </c>
      <c r="E25" s="25">
        <v>3879.31</v>
      </c>
      <c r="F25" s="38" t="s">
        <v>320</v>
      </c>
      <c r="G25" s="25"/>
      <c r="H25" s="38"/>
      <c r="I25" s="25"/>
      <c r="J25" s="25"/>
      <c r="K25" s="25">
        <f t="shared" si="0"/>
        <v>8946.31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0">
        <v>4440</v>
      </c>
      <c r="D27" s="38" t="s">
        <v>321</v>
      </c>
      <c r="E27" s="25"/>
      <c r="F27" s="38"/>
      <c r="G27" s="25"/>
      <c r="H27" s="38"/>
      <c r="I27" s="25"/>
      <c r="J27" s="25"/>
      <c r="K27" s="20">
        <f t="shared" si="0"/>
        <v>4440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0">
        <v>6335</v>
      </c>
      <c r="D29" s="39" t="s">
        <v>322</v>
      </c>
      <c r="E29" s="25"/>
      <c r="F29" s="38"/>
      <c r="G29" s="25"/>
      <c r="H29" s="38"/>
      <c r="I29" s="25"/>
      <c r="J29" s="25"/>
      <c r="K29" s="20">
        <f t="shared" si="0"/>
        <v>6335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>
        <v>6116.55</v>
      </c>
      <c r="D31" s="38" t="s">
        <v>323</v>
      </c>
      <c r="E31" s="25"/>
      <c r="F31" s="38"/>
      <c r="G31" s="25"/>
      <c r="H31" s="38"/>
      <c r="I31" s="25"/>
      <c r="J31" s="25"/>
      <c r="K31" s="25">
        <f t="shared" si="0"/>
        <v>6116.55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2">
        <v>4556.92</v>
      </c>
      <c r="D34" s="40" t="s">
        <v>324</v>
      </c>
      <c r="E34" s="26"/>
      <c r="F34" s="37"/>
      <c r="G34" s="26"/>
      <c r="H34" s="37"/>
      <c r="I34" s="26"/>
      <c r="J34" s="26"/>
      <c r="K34" s="22">
        <f t="shared" ref="K34:K65" si="1">SUM(C34,E34,G34,I34)</f>
        <v>4556.92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5">
        <v>6948</v>
      </c>
      <c r="D35" s="38" t="s">
        <v>310</v>
      </c>
      <c r="E35" s="25"/>
      <c r="F35" s="38"/>
      <c r="G35" s="25"/>
      <c r="H35" s="38"/>
      <c r="I35" s="25"/>
      <c r="J35" s="25"/>
      <c r="K35" s="25">
        <f t="shared" si="1"/>
        <v>6948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0">
        <v>6000</v>
      </c>
      <c r="D37" s="38" t="s">
        <v>311</v>
      </c>
      <c r="E37" s="25">
        <v>5000</v>
      </c>
      <c r="F37" s="38" t="s">
        <v>325</v>
      </c>
      <c r="G37" s="25"/>
      <c r="H37" s="38"/>
      <c r="I37" s="25"/>
      <c r="J37" s="25"/>
      <c r="K37" s="20">
        <f t="shared" si="1"/>
        <v>11000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>
        <v>4363.79</v>
      </c>
      <c r="D38" s="37" t="s">
        <v>322</v>
      </c>
      <c r="E38" s="26"/>
      <c r="F38" s="37"/>
      <c r="G38" s="26"/>
      <c r="H38" s="37"/>
      <c r="I38" s="26"/>
      <c r="J38" s="26"/>
      <c r="K38" s="26">
        <f t="shared" si="1"/>
        <v>4363.79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2">
        <v>5067.7</v>
      </c>
      <c r="D40" s="40" t="s">
        <v>321</v>
      </c>
      <c r="E40" s="26"/>
      <c r="F40" s="37"/>
      <c r="G40" s="26"/>
      <c r="H40" s="37"/>
      <c r="I40" s="26"/>
      <c r="J40" s="26"/>
      <c r="K40" s="22">
        <f t="shared" si="1"/>
        <v>5067.7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0">
        <v>8000</v>
      </c>
      <c r="D43" s="25" t="s">
        <v>326</v>
      </c>
      <c r="E43" s="25"/>
      <c r="F43" s="38"/>
      <c r="G43" s="25"/>
      <c r="H43" s="38"/>
      <c r="I43" s="25"/>
      <c r="J43" s="25"/>
      <c r="K43" s="20">
        <f t="shared" si="1"/>
        <v>8000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>
        <v>4992</v>
      </c>
      <c r="D44" s="37" t="s">
        <v>327</v>
      </c>
      <c r="E44" s="26"/>
      <c r="F44" s="37"/>
      <c r="G44" s="26"/>
      <c r="H44" s="37"/>
      <c r="I44" s="26"/>
      <c r="J44" s="26"/>
      <c r="K44" s="26">
        <f t="shared" si="1"/>
        <v>4992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0">
        <v>16123.22</v>
      </c>
      <c r="D45" s="38" t="s">
        <v>311</v>
      </c>
      <c r="E45" s="25"/>
      <c r="F45" s="38"/>
      <c r="G45" s="25"/>
      <c r="H45" s="38"/>
      <c r="I45" s="25"/>
      <c r="J45" s="25"/>
      <c r="K45" s="20">
        <f t="shared" si="1"/>
        <v>16123.22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>
        <v>4839</v>
      </c>
      <c r="D49" s="38">
        <v>46150</v>
      </c>
      <c r="E49" s="25"/>
      <c r="F49" s="38"/>
      <c r="G49" s="25"/>
      <c r="H49" s="38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2">
        <v>1511</v>
      </c>
      <c r="D52" s="40" t="s">
        <v>315</v>
      </c>
      <c r="E52" s="26"/>
      <c r="F52" s="37"/>
      <c r="G52" s="26"/>
      <c r="H52" s="37"/>
      <c r="I52" s="26"/>
      <c r="J52" s="26"/>
      <c r="K52" s="22">
        <f t="shared" si="1"/>
        <v>1511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0">
        <v>10300</v>
      </c>
      <c r="D53" s="38" t="s">
        <v>328</v>
      </c>
      <c r="E53" s="25"/>
      <c r="F53" s="38"/>
      <c r="G53" s="25"/>
      <c r="H53" s="38"/>
      <c r="I53" s="25"/>
      <c r="J53" s="25"/>
      <c r="K53" s="20">
        <f t="shared" si="1"/>
        <v>10300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>
        <v>5343</v>
      </c>
      <c r="D54" s="37" t="s">
        <v>325</v>
      </c>
      <c r="E54" s="26"/>
      <c r="F54" s="37"/>
      <c r="G54" s="26"/>
      <c r="H54" s="37"/>
      <c r="I54" s="26"/>
      <c r="J54" s="26"/>
      <c r="K54" s="26">
        <f t="shared" si="1"/>
        <v>5343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0">
        <v>6494.14</v>
      </c>
      <c r="D55" s="38" t="s">
        <v>323</v>
      </c>
      <c r="E55" s="25"/>
      <c r="F55" s="38"/>
      <c r="G55" s="25"/>
      <c r="H55" s="38"/>
      <c r="I55" s="25"/>
      <c r="J55" s="25"/>
      <c r="K55" s="20">
        <f t="shared" si="1"/>
        <v>6494.14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>
        <v>20028.72</v>
      </c>
      <c r="D56" s="37" t="s">
        <v>314</v>
      </c>
      <c r="E56" s="26"/>
      <c r="F56" s="37"/>
      <c r="G56" s="26"/>
      <c r="H56" s="37"/>
      <c r="I56" s="26"/>
      <c r="J56" s="26"/>
      <c r="K56" s="26">
        <f t="shared" si="1"/>
        <v>20028.72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0">
        <v>5287.24</v>
      </c>
      <c r="D57" s="39" t="s">
        <v>317</v>
      </c>
      <c r="E57" s="25"/>
      <c r="F57" s="38"/>
      <c r="G57" s="25"/>
      <c r="H57" s="38"/>
      <c r="I57" s="25"/>
      <c r="J57" s="25"/>
      <c r="K57" s="20">
        <f t="shared" si="1"/>
        <v>5287.24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>
        <v>4766.55</v>
      </c>
      <c r="D58" s="37" t="s">
        <v>314</v>
      </c>
      <c r="E58" s="26"/>
      <c r="F58" s="37"/>
      <c r="G58" s="26"/>
      <c r="H58" s="37"/>
      <c r="I58" s="26"/>
      <c r="J58" s="26"/>
      <c r="K58" s="26">
        <f t="shared" si="1"/>
        <v>4766.55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0">
        <v>15000</v>
      </c>
      <c r="D59" s="39" t="s">
        <v>311</v>
      </c>
      <c r="E59" s="25"/>
      <c r="F59" s="38"/>
      <c r="G59" s="25"/>
      <c r="H59" s="38"/>
      <c r="I59" s="25"/>
      <c r="J59" s="25"/>
      <c r="K59" s="20">
        <f t="shared" si="1"/>
        <v>15000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2">
        <v>5187</v>
      </c>
      <c r="D60" s="40" t="s">
        <v>314</v>
      </c>
      <c r="E60" s="26"/>
      <c r="F60" s="37"/>
      <c r="G60" s="26"/>
      <c r="H60" s="37"/>
      <c r="I60" s="26"/>
      <c r="J60" s="26"/>
      <c r="K60" s="22">
        <f t="shared" si="1"/>
        <v>5187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0">
        <v>84.49</v>
      </c>
      <c r="D61" s="38" t="s">
        <v>329</v>
      </c>
      <c r="E61" s="25"/>
      <c r="F61" s="38"/>
      <c r="G61" s="25"/>
      <c r="H61" s="38"/>
      <c r="I61" s="25"/>
      <c r="J61" s="25"/>
      <c r="K61" s="20">
        <f t="shared" si="1"/>
        <v>84.49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0">
        <v>5350</v>
      </c>
      <c r="D63" s="38" t="s">
        <v>314</v>
      </c>
      <c r="E63" s="25"/>
      <c r="F63" s="38"/>
      <c r="G63" s="25"/>
      <c r="H63" s="38"/>
      <c r="I63" s="25"/>
      <c r="J63" s="25"/>
      <c r="K63" s="20">
        <f t="shared" si="1"/>
        <v>5350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2">
        <v>5420</v>
      </c>
      <c r="D64" s="40" t="s">
        <v>312</v>
      </c>
      <c r="E64" s="26"/>
      <c r="F64" s="37"/>
      <c r="G64" s="26"/>
      <c r="H64" s="37"/>
      <c r="I64" s="26"/>
      <c r="J64" s="26"/>
      <c r="K64" s="22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5">
        <v>10000</v>
      </c>
      <c r="D65" s="38" t="s">
        <v>312</v>
      </c>
      <c r="E65" s="25"/>
      <c r="F65" s="38"/>
      <c r="G65" s="25"/>
      <c r="H65" s="38"/>
      <c r="I65" s="25"/>
      <c r="J65" s="25"/>
      <c r="K65" s="25">
        <f t="shared" si="1"/>
        <v>10000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257530.98999999996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4"/>
      <c r="F67" s="4"/>
      <c r="H67" s="4"/>
    </row>
    <row r="68" spans="1:27" ht="14.4" customHeight="1" x14ac:dyDescent="0.3">
      <c r="D68" s="4"/>
      <c r="F68" s="4"/>
      <c r="H68" s="4"/>
    </row>
    <row r="69" spans="1:27" ht="14.4" customHeight="1" x14ac:dyDescent="0.3">
      <c r="D69" s="4"/>
      <c r="F69" s="4"/>
      <c r="H69" s="4"/>
    </row>
    <row r="70" spans="1:27" x14ac:dyDescent="0.3">
      <c r="A70" s="1"/>
      <c r="D70" s="4"/>
      <c r="F70" s="4"/>
      <c r="H70" s="4"/>
    </row>
    <row r="71" spans="1:27" x14ac:dyDescent="0.3">
      <c r="A71" s="1"/>
      <c r="D71" s="4"/>
      <c r="F71" s="4"/>
      <c r="H71" s="4"/>
    </row>
    <row r="72" spans="1:27" x14ac:dyDescent="0.3">
      <c r="A72" s="2"/>
      <c r="D72" s="4"/>
      <c r="F72" s="4"/>
      <c r="H72" s="4"/>
    </row>
    <row r="73" spans="1:27" x14ac:dyDescent="0.3">
      <c r="A73" s="2"/>
      <c r="D73" s="4"/>
      <c r="F73" s="4"/>
      <c r="H73" s="4"/>
    </row>
    <row r="74" spans="1:27" x14ac:dyDescent="0.3">
      <c r="A74" s="2"/>
      <c r="D74" s="4"/>
      <c r="F74" s="4"/>
      <c r="H74" s="4"/>
    </row>
    <row r="75" spans="1:27" x14ac:dyDescent="0.3">
      <c r="A75" s="2"/>
      <c r="D75" s="4"/>
      <c r="F75" s="4"/>
      <c r="H75" s="4"/>
    </row>
    <row r="76" spans="1:27" x14ac:dyDescent="0.3">
      <c r="A76" s="2"/>
      <c r="D76" s="4"/>
      <c r="F76" s="4"/>
      <c r="H76" s="4"/>
    </row>
    <row r="77" spans="1:27" x14ac:dyDescent="0.3">
      <c r="A77" s="2"/>
      <c r="D77" s="4"/>
      <c r="F77" s="4"/>
      <c r="H77" s="4"/>
    </row>
    <row r="78" spans="1:27" x14ac:dyDescent="0.3">
      <c r="A78" s="2"/>
      <c r="D78" s="4"/>
      <c r="F78" s="4"/>
      <c r="H78" s="4"/>
    </row>
    <row r="79" spans="1:27" x14ac:dyDescent="0.3">
      <c r="A79" s="2"/>
      <c r="D79" s="4"/>
      <c r="F79" s="4"/>
      <c r="H79" s="4"/>
    </row>
    <row r="80" spans="1:27" x14ac:dyDescent="0.3">
      <c r="A80" s="2"/>
      <c r="D80" s="4"/>
      <c r="F80" s="4"/>
      <c r="H80" s="4"/>
    </row>
    <row r="81" spans="1:8" x14ac:dyDescent="0.3">
      <c r="A81" s="2"/>
      <c r="D81" s="4"/>
      <c r="F81" s="4"/>
      <c r="H81" s="4"/>
    </row>
    <row r="82" spans="1:8" x14ac:dyDescent="0.3">
      <c r="A82" s="2"/>
      <c r="D82" s="4"/>
      <c r="F82" s="4"/>
      <c r="H82" s="4"/>
    </row>
    <row r="83" spans="1:8" x14ac:dyDescent="0.3">
      <c r="A83" s="2"/>
      <c r="D83" s="4"/>
      <c r="F83" s="4"/>
      <c r="H83" s="4"/>
    </row>
    <row r="84" spans="1:8" x14ac:dyDescent="0.3">
      <c r="A84" s="2"/>
      <c r="D84" s="4"/>
      <c r="F84" s="4"/>
      <c r="H84" s="4"/>
    </row>
    <row r="85" spans="1:8" x14ac:dyDescent="0.3">
      <c r="A85" s="2"/>
      <c r="D85" s="4"/>
      <c r="F85" s="4"/>
      <c r="H85" s="4"/>
    </row>
    <row r="86" spans="1:8" x14ac:dyDescent="0.3">
      <c r="A86" s="2"/>
      <c r="D86" s="4"/>
      <c r="F86" s="4"/>
      <c r="H86" s="4"/>
    </row>
    <row r="87" spans="1:8" x14ac:dyDescent="0.3">
      <c r="A87" s="2"/>
      <c r="D87" s="4"/>
      <c r="F87" s="4"/>
      <c r="H87" s="4"/>
    </row>
    <row r="88" spans="1:8" x14ac:dyDescent="0.3">
      <c r="A88" s="2"/>
      <c r="D88" s="4"/>
      <c r="F88" s="4"/>
      <c r="H88" s="4"/>
    </row>
    <row r="89" spans="1:8" x14ac:dyDescent="0.3">
      <c r="A89" s="2"/>
      <c r="D89" s="4"/>
      <c r="F89" s="4"/>
      <c r="H89" s="4"/>
    </row>
    <row r="90" spans="1:8" x14ac:dyDescent="0.3">
      <c r="A90" s="2"/>
      <c r="D90" s="4"/>
      <c r="F90" s="4"/>
      <c r="H90" s="4"/>
    </row>
    <row r="91" spans="1:8" x14ac:dyDescent="0.3">
      <c r="A91" s="2"/>
      <c r="D91" s="4"/>
      <c r="F91" s="4"/>
      <c r="H91" s="4"/>
    </row>
    <row r="92" spans="1:8" x14ac:dyDescent="0.3">
      <c r="A92" s="2"/>
      <c r="D92" s="4"/>
      <c r="F92" s="4"/>
      <c r="H92" s="4"/>
    </row>
    <row r="93" spans="1:8" x14ac:dyDescent="0.3">
      <c r="A93" s="2"/>
      <c r="D93" s="4"/>
      <c r="F93" s="4"/>
      <c r="H93" s="4"/>
    </row>
    <row r="94" spans="1:8" x14ac:dyDescent="0.3">
      <c r="A94" s="2"/>
      <c r="D94" s="4"/>
      <c r="F94" s="4"/>
      <c r="H94" s="4"/>
    </row>
    <row r="95" spans="1:8" x14ac:dyDescent="0.3">
      <c r="A95" s="2"/>
      <c r="D95" s="4"/>
      <c r="F95" s="4"/>
      <c r="H95" s="4"/>
    </row>
    <row r="96" spans="1:8" x14ac:dyDescent="0.3">
      <c r="A96" s="2"/>
      <c r="D96" s="4"/>
      <c r="F96" s="4"/>
      <c r="H96" s="4"/>
    </row>
    <row r="97" spans="1:8" x14ac:dyDescent="0.3">
      <c r="A97" s="2"/>
      <c r="D97" s="4"/>
      <c r="F97" s="4"/>
      <c r="H97" s="4"/>
    </row>
    <row r="98" spans="1:8" x14ac:dyDescent="0.3">
      <c r="A98" s="2"/>
      <c r="D98" s="4"/>
      <c r="F98" s="4"/>
      <c r="H98" s="4"/>
    </row>
    <row r="99" spans="1:8" x14ac:dyDescent="0.3">
      <c r="A99" s="2"/>
      <c r="D99" s="4"/>
      <c r="F99" s="4"/>
      <c r="H99" s="4"/>
    </row>
    <row r="100" spans="1:8" x14ac:dyDescent="0.3">
      <c r="A100" s="2"/>
      <c r="D100" s="4"/>
      <c r="F100" s="4"/>
      <c r="H100" s="4"/>
    </row>
    <row r="101" spans="1:8" x14ac:dyDescent="0.3">
      <c r="A101" s="2"/>
      <c r="D101" s="4"/>
      <c r="F101" s="4"/>
      <c r="H101" s="4"/>
    </row>
    <row r="102" spans="1:8" x14ac:dyDescent="0.3">
      <c r="A102" s="2"/>
      <c r="D102" s="4"/>
      <c r="F102" s="4"/>
      <c r="H102" s="4"/>
    </row>
    <row r="103" spans="1:8" x14ac:dyDescent="0.3">
      <c r="A103" s="2"/>
      <c r="D103" s="4"/>
      <c r="F103" s="4"/>
      <c r="H103" s="4"/>
    </row>
    <row r="104" spans="1:8" x14ac:dyDescent="0.3">
      <c r="A104" s="2"/>
      <c r="D104" s="4"/>
      <c r="F104" s="4"/>
      <c r="H104" s="4"/>
    </row>
    <row r="105" spans="1:8" x14ac:dyDescent="0.3">
      <c r="A105" s="2"/>
      <c r="D105" s="4"/>
      <c r="F105" s="4"/>
      <c r="H105" s="4"/>
    </row>
    <row r="106" spans="1:8" x14ac:dyDescent="0.3">
      <c r="A106" s="2"/>
      <c r="D106" s="4"/>
      <c r="F106" s="4"/>
      <c r="H106" s="4"/>
    </row>
    <row r="107" spans="1:8" x14ac:dyDescent="0.3">
      <c r="A107" s="2"/>
      <c r="D107" s="4"/>
      <c r="F107" s="4"/>
      <c r="H107" s="4"/>
    </row>
    <row r="108" spans="1:8" x14ac:dyDescent="0.3">
      <c r="A108" s="2"/>
      <c r="D108" s="4"/>
      <c r="F108" s="4"/>
      <c r="H108" s="4"/>
    </row>
    <row r="109" spans="1:8" x14ac:dyDescent="0.3">
      <c r="A109" s="2"/>
      <c r="D109" s="4"/>
      <c r="F109" s="4"/>
      <c r="H109" s="4"/>
    </row>
    <row r="110" spans="1:8" x14ac:dyDescent="0.3">
      <c r="A110" s="2"/>
      <c r="D110" s="4"/>
      <c r="F110" s="4"/>
      <c r="H110" s="4"/>
    </row>
    <row r="111" spans="1:8" x14ac:dyDescent="0.3">
      <c r="A111" s="2"/>
      <c r="D111" s="4"/>
      <c r="F111" s="4"/>
      <c r="H111" s="4"/>
    </row>
    <row r="112" spans="1:8" x14ac:dyDescent="0.3">
      <c r="A112" s="2"/>
      <c r="D112" s="4"/>
      <c r="F112" s="4"/>
      <c r="H112" s="4"/>
    </row>
    <row r="113" spans="1:8" x14ac:dyDescent="0.3">
      <c r="A113" s="2"/>
      <c r="D113" s="4"/>
      <c r="F113" s="4"/>
      <c r="H113" s="4"/>
    </row>
    <row r="114" spans="1:8" x14ac:dyDescent="0.3">
      <c r="A114" s="2"/>
      <c r="D114" s="4"/>
      <c r="F114" s="4"/>
      <c r="H114" s="4"/>
    </row>
    <row r="115" spans="1:8" x14ac:dyDescent="0.3">
      <c r="A115" s="2"/>
      <c r="D115" s="4"/>
      <c r="F115" s="4"/>
      <c r="H115" s="4"/>
    </row>
    <row r="116" spans="1:8" x14ac:dyDescent="0.3">
      <c r="A116" s="2"/>
      <c r="D116" s="4"/>
      <c r="F116" s="4"/>
      <c r="H116" s="4"/>
    </row>
    <row r="117" spans="1:8" x14ac:dyDescent="0.3">
      <c r="A117" s="2"/>
      <c r="D117" s="4"/>
      <c r="F117" s="4"/>
      <c r="H117" s="4"/>
    </row>
    <row r="118" spans="1:8" x14ac:dyDescent="0.3">
      <c r="A118" s="2"/>
      <c r="D118" s="4"/>
      <c r="F118" s="4"/>
      <c r="H118" s="4"/>
    </row>
    <row r="119" spans="1:8" x14ac:dyDescent="0.3">
      <c r="A119" s="2"/>
      <c r="D119" s="4"/>
      <c r="F119" s="4"/>
      <c r="H119" s="4"/>
    </row>
    <row r="120" spans="1:8" x14ac:dyDescent="0.3">
      <c r="A120" s="2"/>
      <c r="D120" s="4"/>
      <c r="F120" s="4"/>
      <c r="H120" s="4"/>
    </row>
    <row r="121" spans="1:8" x14ac:dyDescent="0.3">
      <c r="A121" s="2"/>
      <c r="D121" s="4"/>
      <c r="F121" s="4"/>
      <c r="H121" s="4"/>
    </row>
    <row r="122" spans="1:8" x14ac:dyDescent="0.3">
      <c r="A122" s="2"/>
      <c r="D122" s="4"/>
      <c r="F122" s="4"/>
      <c r="H122" s="4"/>
    </row>
    <row r="123" spans="1:8" x14ac:dyDescent="0.3">
      <c r="A123" s="2"/>
      <c r="D123" s="4"/>
      <c r="F123" s="4"/>
      <c r="H123" s="4"/>
    </row>
    <row r="124" spans="1:8" x14ac:dyDescent="0.3">
      <c r="A124" s="2"/>
      <c r="D124" s="4"/>
      <c r="F124" s="4"/>
      <c r="H124" s="4"/>
    </row>
    <row r="125" spans="1:8" x14ac:dyDescent="0.3">
      <c r="A125" s="2"/>
      <c r="D125" s="4"/>
      <c r="F125" s="4"/>
      <c r="H125" s="4"/>
    </row>
    <row r="126" spans="1:8" x14ac:dyDescent="0.3">
      <c r="A126" s="2"/>
      <c r="D126" s="4"/>
      <c r="F126" s="4"/>
      <c r="H126" s="4"/>
    </row>
    <row r="127" spans="1:8" x14ac:dyDescent="0.3">
      <c r="A127" s="2"/>
      <c r="D127" s="4"/>
      <c r="F127" s="4"/>
      <c r="H127" s="4"/>
    </row>
    <row r="128" spans="1:8" x14ac:dyDescent="0.3">
      <c r="A128" s="2"/>
      <c r="D128" s="4"/>
      <c r="F128" s="4"/>
      <c r="H128" s="4"/>
    </row>
    <row r="129" spans="1:8" x14ac:dyDescent="0.3">
      <c r="A129" s="2"/>
      <c r="D129" s="4"/>
      <c r="F129" s="4"/>
      <c r="H129" s="4"/>
    </row>
    <row r="130" spans="1:8" x14ac:dyDescent="0.3">
      <c r="A130" s="2"/>
      <c r="D130" s="4"/>
      <c r="F130" s="4"/>
      <c r="H130" s="4"/>
    </row>
    <row r="131" spans="1:8" x14ac:dyDescent="0.3">
      <c r="A131" s="2"/>
      <c r="D131" s="4"/>
      <c r="F131" s="4"/>
      <c r="H131" s="4"/>
    </row>
    <row r="132" spans="1:8" x14ac:dyDescent="0.3">
      <c r="A132" s="2"/>
      <c r="D132" s="4"/>
      <c r="F132" s="4"/>
      <c r="H132" s="4"/>
    </row>
    <row r="133" spans="1:8" x14ac:dyDescent="0.3">
      <c r="A133" s="2"/>
      <c r="D133" s="4"/>
      <c r="F133" s="4"/>
      <c r="H133" s="4"/>
    </row>
    <row r="134" spans="1:8" x14ac:dyDescent="0.3">
      <c r="A134" s="2"/>
      <c r="D134" s="4"/>
      <c r="F134" s="4"/>
      <c r="H134" s="4"/>
    </row>
    <row r="135" spans="1:8" x14ac:dyDescent="0.3">
      <c r="A135" s="2"/>
      <c r="D135" s="4"/>
      <c r="F135" s="4"/>
      <c r="H135" s="4"/>
    </row>
    <row r="136" spans="1:8" x14ac:dyDescent="0.3">
      <c r="A136" s="2"/>
      <c r="D136" s="4"/>
      <c r="F136" s="4"/>
      <c r="H136" s="4"/>
    </row>
    <row r="137" spans="1:8" x14ac:dyDescent="0.3">
      <c r="A137" s="2"/>
      <c r="D137" s="4"/>
      <c r="F137" s="4"/>
      <c r="H137" s="4"/>
    </row>
    <row r="138" spans="1:8" x14ac:dyDescent="0.3">
      <c r="A138" s="2"/>
      <c r="D138" s="4"/>
      <c r="F138" s="4"/>
      <c r="H138" s="4"/>
    </row>
    <row r="139" spans="1:8" x14ac:dyDescent="0.3">
      <c r="A139" s="3"/>
      <c r="D139" s="4"/>
      <c r="F139" s="4"/>
      <c r="H139" s="4"/>
    </row>
    <row r="140" spans="1:8" ht="14.4" customHeight="1" x14ac:dyDescent="0.3">
      <c r="D140" s="4"/>
      <c r="F140" s="4"/>
      <c r="H140" s="4"/>
    </row>
    <row r="141" spans="1:8" ht="14.4" customHeight="1" x14ac:dyDescent="0.3">
      <c r="D141" s="4"/>
      <c r="F141" s="4"/>
      <c r="H141" s="4"/>
    </row>
    <row r="142" spans="1:8" ht="14.4" customHeight="1" x14ac:dyDescent="0.3">
      <c r="D142" s="4"/>
      <c r="F142" s="4"/>
      <c r="H142" s="4"/>
    </row>
    <row r="143" spans="1:8" x14ac:dyDescent="0.3">
      <c r="A143" s="1"/>
      <c r="D143" s="4"/>
      <c r="F143" s="4"/>
      <c r="H143" s="4"/>
    </row>
    <row r="144" spans="1:8" x14ac:dyDescent="0.3">
      <c r="A144" s="1"/>
      <c r="D144" s="4"/>
      <c r="F144" s="4"/>
      <c r="H144" s="4"/>
    </row>
    <row r="145" spans="1:8" x14ac:dyDescent="0.3">
      <c r="A145" s="2"/>
      <c r="D145" s="4"/>
      <c r="F145" s="4"/>
      <c r="H145" s="4"/>
    </row>
    <row r="146" spans="1:8" x14ac:dyDescent="0.3">
      <c r="A146" s="2"/>
      <c r="D146" s="4"/>
      <c r="F146" s="4"/>
      <c r="H146" s="4"/>
    </row>
    <row r="147" spans="1:8" x14ac:dyDescent="0.3">
      <c r="A147" s="2"/>
      <c r="D147" s="4"/>
      <c r="F147" s="4"/>
      <c r="H147" s="4"/>
    </row>
    <row r="148" spans="1:8" x14ac:dyDescent="0.3">
      <c r="A148" s="2"/>
      <c r="D148" s="4"/>
      <c r="F148" s="4"/>
      <c r="H148" s="4"/>
    </row>
    <row r="149" spans="1:8" x14ac:dyDescent="0.3">
      <c r="A149" s="2"/>
      <c r="D149" s="4"/>
      <c r="F149" s="4"/>
      <c r="H149" s="4"/>
    </row>
    <row r="150" spans="1:8" x14ac:dyDescent="0.3">
      <c r="A150" s="2"/>
      <c r="D150" s="4"/>
      <c r="F150" s="4"/>
      <c r="H150" s="4"/>
    </row>
    <row r="151" spans="1:8" x14ac:dyDescent="0.3">
      <c r="A151" s="2"/>
      <c r="D151" s="4"/>
      <c r="F151" s="4"/>
      <c r="H151" s="4"/>
    </row>
    <row r="152" spans="1:8" x14ac:dyDescent="0.3">
      <c r="A152" s="2"/>
      <c r="D152" s="4"/>
      <c r="F152" s="4"/>
      <c r="H152" s="4"/>
    </row>
    <row r="153" spans="1:8" x14ac:dyDescent="0.3">
      <c r="A153" s="2"/>
      <c r="D153" s="4"/>
      <c r="F153" s="4"/>
      <c r="H153" s="4"/>
    </row>
    <row r="154" spans="1:8" x14ac:dyDescent="0.3">
      <c r="A154" s="2"/>
      <c r="D154" s="4"/>
      <c r="F154" s="4"/>
      <c r="H154" s="4"/>
    </row>
    <row r="155" spans="1:8" x14ac:dyDescent="0.3">
      <c r="A155" s="2"/>
      <c r="D155" s="4"/>
      <c r="F155" s="4"/>
      <c r="H155" s="4"/>
    </row>
    <row r="156" spans="1:8" x14ac:dyDescent="0.3">
      <c r="A156" s="2"/>
      <c r="D156" s="4"/>
      <c r="F156" s="4"/>
      <c r="H156" s="4"/>
    </row>
    <row r="157" spans="1:8" x14ac:dyDescent="0.3">
      <c r="A157" s="2"/>
      <c r="D157" s="4"/>
      <c r="F157" s="4"/>
      <c r="H157" s="4"/>
    </row>
    <row r="158" spans="1:8" x14ac:dyDescent="0.3">
      <c r="A158" s="2"/>
      <c r="D158" s="4"/>
      <c r="F158" s="4"/>
      <c r="H158" s="4"/>
    </row>
    <row r="159" spans="1:8" x14ac:dyDescent="0.3">
      <c r="A159" s="2"/>
      <c r="D159" s="4"/>
      <c r="F159" s="4"/>
      <c r="H159" s="4"/>
    </row>
    <row r="160" spans="1:8" x14ac:dyDescent="0.3">
      <c r="A160" s="2"/>
      <c r="D160" s="4"/>
      <c r="F160" s="4"/>
      <c r="H160" s="4"/>
    </row>
    <row r="161" spans="1:8" x14ac:dyDescent="0.3">
      <c r="A161" s="2"/>
      <c r="D161" s="4"/>
      <c r="F161" s="4"/>
      <c r="H161" s="4"/>
    </row>
    <row r="162" spans="1:8" x14ac:dyDescent="0.3">
      <c r="A162" s="2"/>
      <c r="D162" s="4"/>
      <c r="F162" s="4"/>
      <c r="H162" s="4"/>
    </row>
    <row r="163" spans="1:8" x14ac:dyDescent="0.3">
      <c r="A163" s="2"/>
      <c r="D163" s="4"/>
      <c r="F163" s="4"/>
      <c r="H163" s="4"/>
    </row>
    <row r="164" spans="1:8" x14ac:dyDescent="0.3">
      <c r="A164" s="2"/>
      <c r="D164" s="4"/>
      <c r="F164" s="4"/>
      <c r="H164" s="4"/>
    </row>
    <row r="165" spans="1:8" x14ac:dyDescent="0.3">
      <c r="A165" s="2"/>
      <c r="D165" s="4"/>
      <c r="F165" s="4"/>
      <c r="H165" s="4"/>
    </row>
    <row r="166" spans="1:8" x14ac:dyDescent="0.3">
      <c r="A166" s="2"/>
      <c r="D166" s="4"/>
      <c r="F166" s="4"/>
      <c r="H166" s="4"/>
    </row>
    <row r="167" spans="1:8" x14ac:dyDescent="0.3">
      <c r="A167" s="2"/>
      <c r="D167" s="4"/>
      <c r="F167" s="4"/>
      <c r="H167" s="4"/>
    </row>
    <row r="168" spans="1:8" x14ac:dyDescent="0.3">
      <c r="A168" s="2"/>
      <c r="D168" s="4"/>
      <c r="F168" s="4"/>
      <c r="H168" s="4"/>
    </row>
    <row r="169" spans="1:8" x14ac:dyDescent="0.3">
      <c r="A169" s="2"/>
      <c r="D169" s="4"/>
      <c r="F169" s="4"/>
      <c r="H169" s="4"/>
    </row>
    <row r="170" spans="1:8" x14ac:dyDescent="0.3">
      <c r="A170" s="2"/>
      <c r="D170" s="4"/>
      <c r="F170" s="4"/>
      <c r="H170" s="4"/>
    </row>
    <row r="171" spans="1:8" x14ac:dyDescent="0.3">
      <c r="A171" s="2"/>
      <c r="D171" s="4"/>
      <c r="F171" s="4"/>
      <c r="H171" s="4"/>
    </row>
    <row r="172" spans="1:8" x14ac:dyDescent="0.3">
      <c r="A172" s="2"/>
      <c r="D172" s="4"/>
      <c r="F172" s="4"/>
      <c r="H172" s="4"/>
    </row>
    <row r="173" spans="1:8" x14ac:dyDescent="0.3">
      <c r="A173" s="2"/>
      <c r="D173" s="4"/>
      <c r="F173" s="4"/>
      <c r="H173" s="4"/>
    </row>
    <row r="174" spans="1:8" x14ac:dyDescent="0.3">
      <c r="A174" s="2"/>
      <c r="D174" s="4"/>
      <c r="F174" s="4"/>
      <c r="H174" s="4"/>
    </row>
    <row r="175" spans="1:8" x14ac:dyDescent="0.3">
      <c r="A175" s="2"/>
      <c r="D175" s="4"/>
      <c r="F175" s="4"/>
      <c r="H175" s="4"/>
    </row>
    <row r="176" spans="1:8" x14ac:dyDescent="0.3">
      <c r="A176" s="2"/>
      <c r="D176" s="4"/>
      <c r="F176" s="4"/>
      <c r="H176" s="4"/>
    </row>
    <row r="177" spans="1:8" x14ac:dyDescent="0.3">
      <c r="A177" s="2"/>
      <c r="D177" s="4"/>
      <c r="F177" s="4"/>
      <c r="H177" s="4"/>
    </row>
    <row r="178" spans="1:8" x14ac:dyDescent="0.3">
      <c r="A178" s="2"/>
      <c r="D178" s="4"/>
      <c r="F178" s="4"/>
      <c r="H178" s="4"/>
    </row>
    <row r="179" spans="1:8" x14ac:dyDescent="0.3">
      <c r="A179" s="2"/>
      <c r="D179" s="4"/>
      <c r="F179" s="4"/>
      <c r="H179" s="4"/>
    </row>
    <row r="180" spans="1:8" x14ac:dyDescent="0.3">
      <c r="A180" s="2"/>
      <c r="D180" s="4"/>
      <c r="F180" s="4"/>
      <c r="H180" s="4"/>
    </row>
    <row r="181" spans="1:8" x14ac:dyDescent="0.3">
      <c r="A181" s="2"/>
      <c r="D181" s="4"/>
      <c r="F181" s="4"/>
      <c r="H181" s="4"/>
    </row>
    <row r="182" spans="1:8" x14ac:dyDescent="0.3">
      <c r="A182" s="2"/>
      <c r="D182" s="4"/>
      <c r="F182" s="4"/>
      <c r="H182" s="4"/>
    </row>
    <row r="183" spans="1:8" x14ac:dyDescent="0.3">
      <c r="A183" s="2"/>
      <c r="D183" s="4"/>
      <c r="F183" s="4"/>
      <c r="H183" s="4"/>
    </row>
    <row r="184" spans="1:8" x14ac:dyDescent="0.3">
      <c r="A184" s="2"/>
      <c r="D184" s="4"/>
      <c r="F184" s="4"/>
      <c r="H184" s="4"/>
    </row>
    <row r="185" spans="1:8" x14ac:dyDescent="0.3">
      <c r="A185" s="2"/>
      <c r="D185" s="4"/>
      <c r="F185" s="4"/>
      <c r="H185" s="4"/>
    </row>
    <row r="186" spans="1:8" x14ac:dyDescent="0.3">
      <c r="A186" s="2"/>
      <c r="D186" s="4"/>
      <c r="F186" s="4"/>
      <c r="H186" s="4"/>
    </row>
    <row r="187" spans="1:8" x14ac:dyDescent="0.3">
      <c r="A187" s="2"/>
      <c r="D187" s="4"/>
      <c r="F187" s="4"/>
      <c r="H187" s="4"/>
    </row>
    <row r="188" spans="1:8" x14ac:dyDescent="0.3">
      <c r="A188" s="2"/>
      <c r="D188" s="4"/>
      <c r="F188" s="4"/>
      <c r="H188" s="4"/>
    </row>
    <row r="189" spans="1:8" x14ac:dyDescent="0.3">
      <c r="A189" s="2"/>
      <c r="D189" s="4"/>
      <c r="F189" s="4"/>
      <c r="H189" s="4"/>
    </row>
    <row r="190" spans="1:8" x14ac:dyDescent="0.3">
      <c r="A190" s="2"/>
      <c r="D190" s="4"/>
      <c r="F190" s="4"/>
      <c r="H190" s="4"/>
    </row>
    <row r="191" spans="1:8" x14ac:dyDescent="0.3">
      <c r="A191" s="2"/>
      <c r="D191" s="4"/>
      <c r="F191" s="4"/>
      <c r="H191" s="4"/>
    </row>
    <row r="192" spans="1:8" x14ac:dyDescent="0.3">
      <c r="A192" s="2"/>
      <c r="D192" s="4"/>
      <c r="F192" s="4"/>
      <c r="H192" s="4"/>
    </row>
    <row r="193" spans="1:8" x14ac:dyDescent="0.3">
      <c r="A193" s="2"/>
      <c r="D193" s="4"/>
      <c r="F193" s="4"/>
      <c r="H193" s="4"/>
    </row>
    <row r="194" spans="1:8" x14ac:dyDescent="0.3">
      <c r="A194" s="2"/>
      <c r="D194" s="4"/>
      <c r="F194" s="4"/>
      <c r="H194" s="4"/>
    </row>
    <row r="195" spans="1:8" x14ac:dyDescent="0.3">
      <c r="A195" s="2"/>
      <c r="D195" s="4"/>
      <c r="F195" s="4"/>
      <c r="H195" s="4"/>
    </row>
    <row r="196" spans="1:8" x14ac:dyDescent="0.3">
      <c r="A196" s="2"/>
      <c r="D196" s="4"/>
      <c r="F196" s="4"/>
      <c r="H196" s="4"/>
    </row>
    <row r="197" spans="1:8" x14ac:dyDescent="0.3">
      <c r="A197" s="2"/>
      <c r="D197" s="4"/>
      <c r="F197" s="4"/>
      <c r="H197" s="4"/>
    </row>
    <row r="198" spans="1:8" x14ac:dyDescent="0.3">
      <c r="A198" s="2"/>
      <c r="D198" s="4"/>
      <c r="F198" s="4"/>
      <c r="H198" s="4"/>
    </row>
    <row r="199" spans="1:8" x14ac:dyDescent="0.3">
      <c r="A199" s="2"/>
      <c r="D199" s="4"/>
      <c r="F199" s="4"/>
      <c r="H199" s="4"/>
    </row>
    <row r="200" spans="1:8" x14ac:dyDescent="0.3">
      <c r="A200" s="2"/>
      <c r="D200" s="4"/>
      <c r="F200" s="4"/>
      <c r="H200" s="4"/>
    </row>
    <row r="201" spans="1:8" x14ac:dyDescent="0.3">
      <c r="A201" s="2"/>
      <c r="D201" s="4"/>
      <c r="F201" s="4"/>
      <c r="H201" s="4"/>
    </row>
    <row r="202" spans="1:8" x14ac:dyDescent="0.3">
      <c r="A202" s="2"/>
      <c r="D202" s="4"/>
      <c r="F202" s="4"/>
      <c r="H202" s="4"/>
    </row>
    <row r="203" spans="1:8" x14ac:dyDescent="0.3">
      <c r="A203" s="2"/>
      <c r="D203" s="4"/>
      <c r="F203" s="4"/>
      <c r="H203" s="4"/>
    </row>
    <row r="204" spans="1:8" x14ac:dyDescent="0.3">
      <c r="A204" s="2"/>
      <c r="D204" s="4"/>
      <c r="F204" s="4"/>
      <c r="H204" s="4"/>
    </row>
    <row r="205" spans="1:8" x14ac:dyDescent="0.3">
      <c r="A205" s="2"/>
      <c r="D205" s="4"/>
      <c r="F205" s="4"/>
      <c r="H205" s="4"/>
    </row>
    <row r="206" spans="1:8" x14ac:dyDescent="0.3">
      <c r="A206" s="2"/>
      <c r="D206" s="4"/>
      <c r="F206" s="4"/>
      <c r="H206" s="4"/>
    </row>
    <row r="207" spans="1:8" x14ac:dyDescent="0.3">
      <c r="A207" s="2"/>
      <c r="D207" s="4"/>
      <c r="F207" s="4"/>
      <c r="H207" s="4"/>
    </row>
    <row r="208" spans="1:8" x14ac:dyDescent="0.3">
      <c r="A208" s="2"/>
      <c r="D208" s="4"/>
      <c r="F208" s="4"/>
      <c r="H208" s="4"/>
    </row>
    <row r="209" spans="1:8" x14ac:dyDescent="0.3">
      <c r="A209" s="2"/>
      <c r="D209" s="4"/>
      <c r="F209" s="4"/>
      <c r="H209" s="4"/>
    </row>
    <row r="210" spans="1:8" x14ac:dyDescent="0.3">
      <c r="A210" s="2"/>
      <c r="D210" s="4"/>
      <c r="F210" s="4"/>
      <c r="H210" s="4"/>
    </row>
    <row r="211" spans="1:8" x14ac:dyDescent="0.3">
      <c r="A211" s="2"/>
      <c r="D211" s="4"/>
      <c r="F211" s="4"/>
      <c r="H211" s="4"/>
    </row>
    <row r="212" spans="1:8" x14ac:dyDescent="0.3">
      <c r="A212" s="3"/>
      <c r="D212" s="4"/>
      <c r="F212" s="4"/>
      <c r="H212" s="4"/>
    </row>
    <row r="213" spans="1:8" ht="14.4" customHeight="1" x14ac:dyDescent="0.3">
      <c r="D213" s="4"/>
      <c r="F213" s="4"/>
      <c r="H213" s="4"/>
    </row>
    <row r="214" spans="1:8" ht="14.4" customHeight="1" x14ac:dyDescent="0.3">
      <c r="D214" s="4"/>
      <c r="F214" s="4"/>
      <c r="H214" s="4"/>
    </row>
    <row r="215" spans="1:8" ht="14.4" customHeight="1" x14ac:dyDescent="0.3">
      <c r="D215" s="4"/>
      <c r="F215" s="4"/>
      <c r="H215" s="4"/>
    </row>
    <row r="216" spans="1:8" x14ac:dyDescent="0.3">
      <c r="A216" s="1"/>
      <c r="D216" s="4"/>
      <c r="F216" s="4"/>
      <c r="H216" s="4"/>
    </row>
    <row r="217" spans="1:8" x14ac:dyDescent="0.3">
      <c r="A217" s="1"/>
      <c r="D217" s="4"/>
      <c r="F217" s="4"/>
      <c r="H217" s="4"/>
    </row>
    <row r="218" spans="1:8" x14ac:dyDescent="0.3">
      <c r="A218" s="2"/>
      <c r="D218" s="4"/>
      <c r="F218" s="4"/>
      <c r="H218" s="4"/>
    </row>
    <row r="219" spans="1:8" x14ac:dyDescent="0.3">
      <c r="A219" s="2"/>
      <c r="D219" s="4"/>
      <c r="F219" s="4"/>
      <c r="H219" s="4"/>
    </row>
    <row r="220" spans="1:8" x14ac:dyDescent="0.3">
      <c r="A220" s="2"/>
      <c r="D220" s="4"/>
      <c r="F220" s="4"/>
      <c r="H220" s="4"/>
    </row>
    <row r="221" spans="1:8" x14ac:dyDescent="0.3">
      <c r="A221" s="2"/>
      <c r="D221" s="4"/>
      <c r="F221" s="4"/>
      <c r="H221" s="4"/>
    </row>
    <row r="222" spans="1:8" x14ac:dyDescent="0.3">
      <c r="A222" s="2"/>
      <c r="D222" s="4"/>
      <c r="F222" s="4"/>
      <c r="H222" s="4"/>
    </row>
    <row r="223" spans="1:8" x14ac:dyDescent="0.3">
      <c r="A223" s="2"/>
      <c r="D223" s="4"/>
      <c r="F223" s="4"/>
      <c r="H223" s="4"/>
    </row>
    <row r="224" spans="1:8" x14ac:dyDescent="0.3">
      <c r="A224" s="2"/>
      <c r="D224" s="4"/>
      <c r="F224" s="4"/>
      <c r="H224" s="4"/>
    </row>
    <row r="225" spans="1:8" x14ac:dyDescent="0.3">
      <c r="A225" s="2"/>
      <c r="D225" s="4"/>
      <c r="F225" s="4"/>
      <c r="H225" s="4"/>
    </row>
    <row r="226" spans="1:8" x14ac:dyDescent="0.3">
      <c r="A226" s="2"/>
      <c r="D226" s="4"/>
      <c r="F226" s="4"/>
      <c r="H226" s="4"/>
    </row>
    <row r="227" spans="1:8" x14ac:dyDescent="0.3">
      <c r="A227" s="2"/>
      <c r="D227" s="4"/>
      <c r="F227" s="4"/>
      <c r="H227" s="4"/>
    </row>
    <row r="228" spans="1:8" x14ac:dyDescent="0.3">
      <c r="A228" s="2"/>
      <c r="D228" s="4"/>
      <c r="F228" s="4"/>
      <c r="H228" s="4"/>
    </row>
    <row r="229" spans="1:8" x14ac:dyDescent="0.3">
      <c r="A229" s="2"/>
      <c r="D229" s="4"/>
      <c r="F229" s="4"/>
      <c r="H229" s="4"/>
    </row>
    <row r="230" spans="1:8" x14ac:dyDescent="0.3">
      <c r="A230" s="2"/>
      <c r="D230" s="4"/>
      <c r="F230" s="4"/>
      <c r="H230" s="4"/>
    </row>
    <row r="231" spans="1:8" x14ac:dyDescent="0.3">
      <c r="A231" s="2"/>
      <c r="D231" s="4"/>
      <c r="F231" s="4"/>
      <c r="H231" s="4"/>
    </row>
    <row r="232" spans="1:8" x14ac:dyDescent="0.3">
      <c r="A232" s="2"/>
      <c r="D232" s="4"/>
      <c r="F232" s="4"/>
      <c r="H232" s="4"/>
    </row>
    <row r="233" spans="1:8" x14ac:dyDescent="0.3">
      <c r="A233" s="2"/>
      <c r="D233" s="4"/>
      <c r="F233" s="4"/>
      <c r="H233" s="4"/>
    </row>
    <row r="234" spans="1:8" x14ac:dyDescent="0.3">
      <c r="A234" s="2"/>
      <c r="D234" s="4"/>
      <c r="F234" s="4"/>
      <c r="H234" s="4"/>
    </row>
    <row r="235" spans="1:8" x14ac:dyDescent="0.3">
      <c r="A235" s="2"/>
      <c r="D235" s="4"/>
      <c r="F235" s="4"/>
      <c r="H235" s="4"/>
    </row>
    <row r="236" spans="1:8" x14ac:dyDescent="0.3">
      <c r="A236" s="2"/>
      <c r="D236" s="4"/>
      <c r="F236" s="4"/>
      <c r="H236" s="4"/>
    </row>
    <row r="237" spans="1:8" x14ac:dyDescent="0.3">
      <c r="A237" s="2"/>
      <c r="D237" s="4"/>
      <c r="F237" s="4"/>
      <c r="H237" s="4"/>
    </row>
    <row r="238" spans="1:8" x14ac:dyDescent="0.3">
      <c r="A238" s="2"/>
      <c r="D238" s="4"/>
      <c r="F238" s="4"/>
      <c r="H238" s="4"/>
    </row>
    <row r="239" spans="1:8" x14ac:dyDescent="0.3">
      <c r="A239" s="2"/>
      <c r="D239" s="4"/>
      <c r="F239" s="4"/>
      <c r="H239" s="4"/>
    </row>
    <row r="240" spans="1:8" x14ac:dyDescent="0.3">
      <c r="A240" s="2"/>
      <c r="D240" s="4"/>
      <c r="F240" s="4"/>
      <c r="H240" s="4"/>
    </row>
    <row r="241" spans="1:8" x14ac:dyDescent="0.3">
      <c r="A241" s="2"/>
      <c r="D241" s="4"/>
      <c r="F241" s="4"/>
      <c r="H241" s="4"/>
    </row>
    <row r="242" spans="1:8" x14ac:dyDescent="0.3">
      <c r="A242" s="2"/>
      <c r="D242" s="4"/>
      <c r="F242" s="4"/>
      <c r="H242" s="4"/>
    </row>
    <row r="243" spans="1:8" x14ac:dyDescent="0.3">
      <c r="A243" s="2"/>
      <c r="D243" s="4"/>
      <c r="F243" s="4"/>
      <c r="H243" s="4"/>
    </row>
    <row r="244" spans="1:8" x14ac:dyDescent="0.3">
      <c r="A244" s="2"/>
      <c r="D244" s="4"/>
      <c r="F244" s="4"/>
      <c r="H244" s="4"/>
    </row>
    <row r="245" spans="1:8" x14ac:dyDescent="0.3">
      <c r="A245" s="2"/>
      <c r="D245" s="4"/>
      <c r="F245" s="4"/>
      <c r="H245" s="4"/>
    </row>
    <row r="246" spans="1:8" x14ac:dyDescent="0.3">
      <c r="A246" s="2"/>
      <c r="D246" s="4"/>
      <c r="F246" s="4"/>
      <c r="H246" s="4"/>
    </row>
    <row r="247" spans="1:8" x14ac:dyDescent="0.3">
      <c r="A247" s="2"/>
      <c r="D247" s="4"/>
      <c r="F247" s="4"/>
      <c r="H247" s="4"/>
    </row>
    <row r="248" spans="1:8" x14ac:dyDescent="0.3">
      <c r="A248" s="2"/>
      <c r="D248" s="4"/>
      <c r="F248" s="4"/>
      <c r="H248" s="4"/>
    </row>
    <row r="249" spans="1:8" x14ac:dyDescent="0.3">
      <c r="A249" s="2"/>
      <c r="D249" s="4"/>
      <c r="F249" s="4"/>
      <c r="H249" s="4"/>
    </row>
    <row r="250" spans="1:8" x14ac:dyDescent="0.3">
      <c r="A250" s="2"/>
      <c r="D250" s="4"/>
      <c r="F250" s="4"/>
      <c r="H250" s="4"/>
    </row>
    <row r="251" spans="1:8" x14ac:dyDescent="0.3">
      <c r="A251" s="2"/>
      <c r="D251" s="4"/>
      <c r="F251" s="4"/>
      <c r="H251" s="4"/>
    </row>
    <row r="252" spans="1:8" x14ac:dyDescent="0.3">
      <c r="A252" s="2"/>
      <c r="D252" s="4"/>
      <c r="F252" s="4"/>
      <c r="H252" s="4"/>
    </row>
    <row r="253" spans="1:8" x14ac:dyDescent="0.3">
      <c r="A253" s="2"/>
      <c r="D253" s="4"/>
      <c r="F253" s="4"/>
      <c r="H253" s="4"/>
    </row>
    <row r="254" spans="1:8" x14ac:dyDescent="0.3">
      <c r="A254" s="2"/>
      <c r="D254" s="4"/>
      <c r="F254" s="4"/>
      <c r="H254" s="4"/>
    </row>
    <row r="255" spans="1:8" x14ac:dyDescent="0.3">
      <c r="A255" s="2"/>
      <c r="D255" s="4"/>
      <c r="F255" s="4"/>
      <c r="H255" s="4"/>
    </row>
    <row r="256" spans="1:8" x14ac:dyDescent="0.3">
      <c r="A256" s="2"/>
      <c r="D256" s="4"/>
      <c r="F256" s="4"/>
      <c r="H256" s="4"/>
    </row>
    <row r="257" spans="1:8" x14ac:dyDescent="0.3">
      <c r="A257" s="2"/>
      <c r="D257" s="4"/>
      <c r="F257" s="4"/>
      <c r="H257" s="4"/>
    </row>
    <row r="258" spans="1:8" x14ac:dyDescent="0.3">
      <c r="A258" s="2"/>
      <c r="D258" s="4"/>
      <c r="F258" s="4"/>
      <c r="H258" s="4"/>
    </row>
    <row r="259" spans="1:8" x14ac:dyDescent="0.3">
      <c r="A259" s="2"/>
      <c r="D259" s="4"/>
      <c r="F259" s="4"/>
      <c r="H259" s="4"/>
    </row>
    <row r="260" spans="1:8" x14ac:dyDescent="0.3">
      <c r="A260" s="2"/>
      <c r="D260" s="4"/>
      <c r="F260" s="4"/>
      <c r="H260" s="4"/>
    </row>
    <row r="261" spans="1:8" x14ac:dyDescent="0.3">
      <c r="A261" s="2"/>
      <c r="D261" s="4"/>
      <c r="F261" s="4"/>
      <c r="H261" s="4"/>
    </row>
    <row r="262" spans="1:8" x14ac:dyDescent="0.3">
      <c r="A262" s="2"/>
      <c r="D262" s="4"/>
      <c r="F262" s="4"/>
      <c r="H262" s="4"/>
    </row>
    <row r="263" spans="1:8" x14ac:dyDescent="0.3">
      <c r="A263" s="2"/>
      <c r="D263" s="4"/>
      <c r="F263" s="4"/>
      <c r="H263" s="4"/>
    </row>
    <row r="264" spans="1:8" x14ac:dyDescent="0.3">
      <c r="A264" s="2"/>
      <c r="D264" s="4"/>
      <c r="F264" s="4"/>
      <c r="H264" s="4"/>
    </row>
    <row r="265" spans="1:8" x14ac:dyDescent="0.3">
      <c r="A265" s="2"/>
      <c r="D265" s="4"/>
      <c r="F265" s="4"/>
      <c r="H265" s="4"/>
    </row>
    <row r="266" spans="1:8" x14ac:dyDescent="0.3">
      <c r="A266" s="2"/>
      <c r="D266" s="4"/>
      <c r="F266" s="4"/>
      <c r="H266" s="4"/>
    </row>
    <row r="267" spans="1:8" x14ac:dyDescent="0.3">
      <c r="A267" s="2"/>
      <c r="D267" s="4"/>
      <c r="F267" s="4"/>
      <c r="H267" s="4"/>
    </row>
    <row r="268" spans="1:8" x14ac:dyDescent="0.3">
      <c r="A268" s="2"/>
      <c r="D268" s="4"/>
      <c r="F268" s="4"/>
      <c r="H268" s="4"/>
    </row>
    <row r="269" spans="1:8" x14ac:dyDescent="0.3">
      <c r="A269" s="2"/>
      <c r="D269" s="4"/>
      <c r="F269" s="4"/>
      <c r="H269" s="4"/>
    </row>
    <row r="270" spans="1:8" x14ac:dyDescent="0.3">
      <c r="A270" s="2"/>
      <c r="D270" s="4"/>
      <c r="F270" s="4"/>
      <c r="H270" s="4"/>
    </row>
    <row r="271" spans="1:8" x14ac:dyDescent="0.3">
      <c r="A271" s="2"/>
      <c r="D271" s="4"/>
      <c r="F271" s="4"/>
      <c r="H271" s="4"/>
    </row>
    <row r="272" spans="1:8" x14ac:dyDescent="0.3">
      <c r="A272" s="2"/>
      <c r="D272" s="4"/>
      <c r="F272" s="4"/>
      <c r="H272" s="4"/>
    </row>
    <row r="273" spans="1:8" x14ac:dyDescent="0.3">
      <c r="A273" s="2"/>
      <c r="D273" s="4"/>
      <c r="F273" s="4"/>
      <c r="H273" s="4"/>
    </row>
    <row r="274" spans="1:8" x14ac:dyDescent="0.3">
      <c r="A274" s="2"/>
      <c r="D274" s="4"/>
      <c r="F274" s="4"/>
      <c r="H274" s="4"/>
    </row>
    <row r="275" spans="1:8" x14ac:dyDescent="0.3">
      <c r="A275" s="2"/>
      <c r="D275" s="4"/>
      <c r="F275" s="4"/>
      <c r="H275" s="4"/>
    </row>
    <row r="276" spans="1:8" x14ac:dyDescent="0.3">
      <c r="A276" s="2"/>
      <c r="D276" s="4"/>
      <c r="F276" s="4"/>
      <c r="H276" s="4"/>
    </row>
    <row r="277" spans="1:8" x14ac:dyDescent="0.3">
      <c r="A277" s="2"/>
      <c r="D277" s="4"/>
      <c r="F277" s="4"/>
      <c r="H277" s="4"/>
    </row>
    <row r="278" spans="1:8" x14ac:dyDescent="0.3">
      <c r="A278" s="2"/>
      <c r="D278" s="4"/>
      <c r="F278" s="4"/>
      <c r="H278" s="4"/>
    </row>
    <row r="279" spans="1:8" x14ac:dyDescent="0.3">
      <c r="A279" s="2"/>
      <c r="D279" s="4"/>
      <c r="F279" s="4"/>
      <c r="H279" s="4"/>
    </row>
    <row r="280" spans="1:8" x14ac:dyDescent="0.3">
      <c r="A280" s="2"/>
      <c r="D280" s="4"/>
      <c r="F280" s="4"/>
      <c r="H280" s="4"/>
    </row>
    <row r="281" spans="1:8" x14ac:dyDescent="0.3">
      <c r="A281" s="2"/>
      <c r="D281" s="4"/>
      <c r="F281" s="4"/>
      <c r="H281" s="4"/>
    </row>
    <row r="282" spans="1:8" x14ac:dyDescent="0.3">
      <c r="A282" s="2"/>
      <c r="D282" s="4"/>
      <c r="F282" s="4"/>
      <c r="H282" s="4"/>
    </row>
    <row r="283" spans="1:8" x14ac:dyDescent="0.3">
      <c r="A283" s="2"/>
      <c r="D283" s="4"/>
      <c r="F283" s="4"/>
      <c r="H283" s="4"/>
    </row>
    <row r="284" spans="1:8" x14ac:dyDescent="0.3">
      <c r="A284" s="2"/>
      <c r="D284" s="4"/>
      <c r="F284" s="4"/>
      <c r="H284" s="4"/>
    </row>
    <row r="285" spans="1:8" x14ac:dyDescent="0.3">
      <c r="A285" s="3"/>
      <c r="D285" s="4"/>
      <c r="F285" s="4"/>
      <c r="H285" s="4"/>
    </row>
    <row r="286" spans="1:8" ht="14.4" customHeight="1" x14ac:dyDescent="0.3">
      <c r="D286" s="4"/>
      <c r="F286" s="4"/>
      <c r="H286" s="4"/>
    </row>
    <row r="287" spans="1:8" ht="14.4" customHeight="1" x14ac:dyDescent="0.3">
      <c r="D287" s="4"/>
      <c r="F287" s="4"/>
      <c r="H287" s="4"/>
    </row>
    <row r="288" spans="1:8" ht="14.4" customHeight="1" x14ac:dyDescent="0.3">
      <c r="D288" s="4"/>
      <c r="F288" s="4"/>
      <c r="H288" s="4"/>
    </row>
    <row r="289" spans="1:8" x14ac:dyDescent="0.3">
      <c r="A289" s="1"/>
      <c r="D289" s="4"/>
      <c r="F289" s="4"/>
      <c r="H289" s="4"/>
    </row>
    <row r="290" spans="1:8" x14ac:dyDescent="0.3">
      <c r="A290" s="1"/>
      <c r="D290" s="4"/>
      <c r="F290" s="4"/>
      <c r="H290" s="4"/>
    </row>
    <row r="291" spans="1:8" x14ac:dyDescent="0.3">
      <c r="A291" s="2"/>
      <c r="D291" s="4"/>
      <c r="F291" s="4"/>
      <c r="H291" s="4"/>
    </row>
    <row r="292" spans="1:8" x14ac:dyDescent="0.3">
      <c r="A292" s="2"/>
      <c r="D292" s="4"/>
      <c r="F292" s="4"/>
      <c r="H292" s="4"/>
    </row>
    <row r="293" spans="1:8" x14ac:dyDescent="0.3">
      <c r="A293" s="2"/>
      <c r="D293" s="4"/>
      <c r="F293" s="4"/>
      <c r="H293" s="4"/>
    </row>
    <row r="294" spans="1:8" x14ac:dyDescent="0.3">
      <c r="A294" s="2"/>
      <c r="D294" s="4"/>
      <c r="F294" s="4"/>
      <c r="H294" s="4"/>
    </row>
    <row r="295" spans="1:8" x14ac:dyDescent="0.3">
      <c r="A295" s="2"/>
      <c r="D295" s="4"/>
      <c r="F295" s="4"/>
      <c r="H295" s="4"/>
    </row>
    <row r="296" spans="1:8" x14ac:dyDescent="0.3">
      <c r="A296" s="2"/>
      <c r="D296" s="4"/>
      <c r="F296" s="4"/>
      <c r="H296" s="4"/>
    </row>
    <row r="297" spans="1:8" x14ac:dyDescent="0.3">
      <c r="A297" s="2"/>
      <c r="D297" s="4"/>
      <c r="F297" s="4"/>
      <c r="H297" s="4"/>
    </row>
    <row r="298" spans="1:8" x14ac:dyDescent="0.3">
      <c r="A298" s="2"/>
      <c r="D298" s="4"/>
      <c r="F298" s="4"/>
      <c r="H298" s="4"/>
    </row>
    <row r="299" spans="1:8" x14ac:dyDescent="0.3">
      <c r="A299" s="2"/>
      <c r="D299" s="4"/>
      <c r="F299" s="4"/>
      <c r="H299" s="4"/>
    </row>
    <row r="300" spans="1:8" x14ac:dyDescent="0.3">
      <c r="A300" s="2"/>
      <c r="D300" s="4"/>
      <c r="F300" s="4"/>
      <c r="H300" s="4"/>
    </row>
    <row r="301" spans="1:8" x14ac:dyDescent="0.3">
      <c r="A301" s="2"/>
      <c r="D301" s="4"/>
      <c r="F301" s="4"/>
      <c r="H301" s="4"/>
    </row>
    <row r="302" spans="1:8" x14ac:dyDescent="0.3">
      <c r="A302" s="2"/>
      <c r="D302" s="4"/>
      <c r="F302" s="4"/>
      <c r="H302" s="4"/>
    </row>
    <row r="303" spans="1:8" x14ac:dyDescent="0.3">
      <c r="A303" s="2"/>
      <c r="D303" s="4"/>
      <c r="F303" s="4"/>
      <c r="H303" s="4"/>
    </row>
    <row r="304" spans="1:8" x14ac:dyDescent="0.3">
      <c r="A304" s="2"/>
      <c r="D304" s="4"/>
      <c r="F304" s="4"/>
      <c r="H304" s="4"/>
    </row>
    <row r="305" spans="1:8" x14ac:dyDescent="0.3">
      <c r="A305" s="2"/>
      <c r="D305" s="4"/>
      <c r="F305" s="4"/>
      <c r="H305" s="4"/>
    </row>
    <row r="306" spans="1:8" x14ac:dyDescent="0.3">
      <c r="A306" s="2"/>
      <c r="D306" s="4"/>
      <c r="F306" s="4"/>
      <c r="H306" s="4"/>
    </row>
    <row r="307" spans="1:8" x14ac:dyDescent="0.3">
      <c r="A307" s="2"/>
      <c r="D307" s="4"/>
      <c r="F307" s="4"/>
      <c r="H307" s="4"/>
    </row>
    <row r="308" spans="1:8" x14ac:dyDescent="0.3">
      <c r="A308" s="2"/>
      <c r="D308" s="4"/>
      <c r="F308" s="4"/>
      <c r="H308" s="4"/>
    </row>
    <row r="309" spans="1:8" x14ac:dyDescent="0.3">
      <c r="A309" s="2"/>
      <c r="D309" s="4"/>
      <c r="F309" s="4"/>
      <c r="H309" s="4"/>
    </row>
    <row r="310" spans="1:8" x14ac:dyDescent="0.3">
      <c r="A310" s="2"/>
      <c r="D310" s="4"/>
      <c r="F310" s="4"/>
      <c r="H310" s="4"/>
    </row>
    <row r="311" spans="1:8" x14ac:dyDescent="0.3">
      <c r="A311" s="2"/>
      <c r="D311" s="4"/>
      <c r="F311" s="4"/>
      <c r="H311" s="4"/>
    </row>
    <row r="312" spans="1:8" x14ac:dyDescent="0.3">
      <c r="A312" s="2"/>
      <c r="D312" s="4"/>
      <c r="F312" s="4"/>
      <c r="H312" s="4"/>
    </row>
    <row r="313" spans="1:8" x14ac:dyDescent="0.3">
      <c r="A313" s="2"/>
      <c r="D313" s="4"/>
      <c r="F313" s="4"/>
      <c r="H313" s="4"/>
    </row>
    <row r="314" spans="1:8" x14ac:dyDescent="0.3">
      <c r="A314" s="2"/>
      <c r="D314" s="4"/>
      <c r="F314" s="4"/>
      <c r="H314" s="4"/>
    </row>
    <row r="315" spans="1:8" x14ac:dyDescent="0.3">
      <c r="A315" s="2"/>
      <c r="D315" s="4"/>
      <c r="F315" s="4"/>
      <c r="H315" s="4"/>
    </row>
    <row r="316" spans="1:8" x14ac:dyDescent="0.3">
      <c r="A316" s="2"/>
      <c r="D316" s="4"/>
      <c r="F316" s="4"/>
      <c r="H316" s="4"/>
    </row>
    <row r="317" spans="1:8" x14ac:dyDescent="0.3">
      <c r="A317" s="2"/>
      <c r="D317" s="4"/>
      <c r="F317" s="4"/>
      <c r="H317" s="4"/>
    </row>
    <row r="318" spans="1:8" x14ac:dyDescent="0.3">
      <c r="A318" s="2"/>
      <c r="D318" s="4"/>
      <c r="F318" s="4"/>
      <c r="H318" s="4"/>
    </row>
    <row r="319" spans="1:8" x14ac:dyDescent="0.3">
      <c r="A319" s="2"/>
      <c r="D319" s="4"/>
      <c r="F319" s="4"/>
      <c r="H319" s="4"/>
    </row>
    <row r="320" spans="1:8" x14ac:dyDescent="0.3">
      <c r="A320" s="2"/>
      <c r="D320" s="4"/>
      <c r="F320" s="4"/>
      <c r="H320" s="4"/>
    </row>
    <row r="321" spans="1:8" x14ac:dyDescent="0.3">
      <c r="A321" s="2"/>
      <c r="D321" s="4"/>
      <c r="F321" s="4"/>
      <c r="H321" s="4"/>
    </row>
    <row r="322" spans="1:8" x14ac:dyDescent="0.3">
      <c r="A322" s="2"/>
      <c r="D322" s="4"/>
      <c r="F322" s="4"/>
      <c r="H322" s="4"/>
    </row>
    <row r="323" spans="1:8" x14ac:dyDescent="0.3">
      <c r="A323" s="2"/>
      <c r="D323" s="4"/>
      <c r="F323" s="4"/>
      <c r="H323" s="4"/>
    </row>
    <row r="324" spans="1:8" x14ac:dyDescent="0.3">
      <c r="A324" s="2"/>
      <c r="D324" s="4"/>
      <c r="F324" s="4"/>
      <c r="H324" s="4"/>
    </row>
    <row r="325" spans="1:8" x14ac:dyDescent="0.3">
      <c r="A325" s="2"/>
      <c r="D325" s="4"/>
      <c r="F325" s="4"/>
      <c r="H325" s="4"/>
    </row>
    <row r="326" spans="1:8" x14ac:dyDescent="0.3">
      <c r="A326" s="2"/>
      <c r="D326" s="4"/>
      <c r="F326" s="4"/>
      <c r="H326" s="4"/>
    </row>
    <row r="327" spans="1:8" x14ac:dyDescent="0.3">
      <c r="A327" s="2"/>
      <c r="D327" s="4"/>
      <c r="F327" s="4"/>
      <c r="H327" s="4"/>
    </row>
    <row r="328" spans="1:8" x14ac:dyDescent="0.3">
      <c r="A328" s="2"/>
      <c r="D328" s="4"/>
      <c r="F328" s="4"/>
      <c r="H328" s="4"/>
    </row>
    <row r="329" spans="1:8" x14ac:dyDescent="0.3">
      <c r="A329" s="2"/>
      <c r="D329" s="4"/>
      <c r="F329" s="4"/>
      <c r="H329" s="4"/>
    </row>
    <row r="330" spans="1:8" x14ac:dyDescent="0.3">
      <c r="A330" s="2"/>
      <c r="D330" s="4"/>
      <c r="F330" s="4"/>
      <c r="H330" s="4"/>
    </row>
    <row r="331" spans="1:8" x14ac:dyDescent="0.3">
      <c r="A331" s="2"/>
      <c r="D331" s="4"/>
      <c r="F331" s="4"/>
      <c r="H331" s="4"/>
    </row>
    <row r="332" spans="1:8" x14ac:dyDescent="0.3">
      <c r="A332" s="2"/>
      <c r="D332" s="4"/>
      <c r="F332" s="4"/>
      <c r="H332" s="4"/>
    </row>
    <row r="333" spans="1:8" x14ac:dyDescent="0.3">
      <c r="A333" s="2"/>
      <c r="D333" s="4"/>
      <c r="F333" s="4"/>
      <c r="H333" s="4"/>
    </row>
    <row r="334" spans="1:8" x14ac:dyDescent="0.3">
      <c r="A334" s="2"/>
      <c r="D334" s="4"/>
      <c r="F334" s="4"/>
      <c r="H334" s="4"/>
    </row>
    <row r="335" spans="1:8" x14ac:dyDescent="0.3">
      <c r="A335" s="2"/>
      <c r="D335" s="4"/>
      <c r="F335" s="4"/>
      <c r="H335" s="4"/>
    </row>
    <row r="336" spans="1:8" x14ac:dyDescent="0.3">
      <c r="A336" s="2"/>
      <c r="D336" s="4"/>
      <c r="F336" s="4"/>
      <c r="H336" s="4"/>
    </row>
    <row r="337" spans="1:8" x14ac:dyDescent="0.3">
      <c r="A337" s="2"/>
      <c r="D337" s="4"/>
      <c r="F337" s="4"/>
      <c r="H337" s="4"/>
    </row>
    <row r="338" spans="1:8" x14ac:dyDescent="0.3">
      <c r="A338" s="2"/>
      <c r="D338" s="4"/>
      <c r="F338" s="4"/>
      <c r="H338" s="4"/>
    </row>
    <row r="339" spans="1:8" x14ac:dyDescent="0.3">
      <c r="A339" s="2"/>
      <c r="D339" s="4"/>
      <c r="F339" s="4"/>
      <c r="H339" s="4"/>
    </row>
    <row r="340" spans="1:8" x14ac:dyDescent="0.3">
      <c r="A340" s="2"/>
      <c r="D340" s="4"/>
      <c r="F340" s="4"/>
      <c r="H340" s="4"/>
    </row>
    <row r="341" spans="1:8" x14ac:dyDescent="0.3">
      <c r="A341" s="2"/>
      <c r="D341" s="4"/>
      <c r="F341" s="4"/>
      <c r="H341" s="4"/>
    </row>
    <row r="342" spans="1:8" x14ac:dyDescent="0.3">
      <c r="A342" s="2"/>
      <c r="D342" s="4"/>
      <c r="F342" s="4"/>
      <c r="H342" s="4"/>
    </row>
    <row r="343" spans="1:8" x14ac:dyDescent="0.3">
      <c r="A343" s="2"/>
      <c r="D343" s="4"/>
      <c r="F343" s="4"/>
      <c r="H343" s="4"/>
    </row>
    <row r="344" spans="1:8" x14ac:dyDescent="0.3">
      <c r="A344" s="2"/>
      <c r="D344" s="4"/>
      <c r="F344" s="4"/>
      <c r="H344" s="4"/>
    </row>
    <row r="345" spans="1:8" x14ac:dyDescent="0.3">
      <c r="A345" s="2"/>
      <c r="D345" s="4"/>
      <c r="F345" s="4"/>
      <c r="H345" s="4"/>
    </row>
    <row r="346" spans="1:8" x14ac:dyDescent="0.3">
      <c r="A346" s="2"/>
      <c r="D346" s="4"/>
      <c r="F346" s="4"/>
      <c r="H346" s="4"/>
    </row>
    <row r="347" spans="1:8" x14ac:dyDescent="0.3">
      <c r="A347" s="2"/>
      <c r="D347" s="4"/>
      <c r="F347" s="4"/>
      <c r="H347" s="4"/>
    </row>
    <row r="348" spans="1:8" x14ac:dyDescent="0.3">
      <c r="A348" s="2"/>
      <c r="D348" s="4"/>
      <c r="F348" s="4"/>
      <c r="H348" s="4"/>
    </row>
    <row r="349" spans="1:8" x14ac:dyDescent="0.3">
      <c r="A349" s="2"/>
      <c r="D349" s="4"/>
      <c r="F349" s="4"/>
      <c r="H349" s="4"/>
    </row>
    <row r="350" spans="1:8" x14ac:dyDescent="0.3">
      <c r="A350" s="2"/>
      <c r="D350" s="4"/>
      <c r="F350" s="4"/>
      <c r="H350" s="4"/>
    </row>
    <row r="351" spans="1:8" x14ac:dyDescent="0.3">
      <c r="A351" s="2"/>
      <c r="D351" s="4"/>
      <c r="F351" s="4"/>
      <c r="H351" s="4"/>
    </row>
    <row r="352" spans="1:8" x14ac:dyDescent="0.3">
      <c r="A352" s="2"/>
      <c r="D352" s="4"/>
      <c r="F352" s="4"/>
      <c r="H352" s="4"/>
    </row>
    <row r="353" spans="1:8" x14ac:dyDescent="0.3">
      <c r="A353" s="2"/>
      <c r="D353" s="4"/>
      <c r="F353" s="4"/>
      <c r="H353" s="4"/>
    </row>
    <row r="354" spans="1:8" x14ac:dyDescent="0.3">
      <c r="A354" s="2"/>
      <c r="D354" s="4"/>
      <c r="F354" s="4"/>
      <c r="H354" s="4"/>
    </row>
    <row r="355" spans="1:8" x14ac:dyDescent="0.3">
      <c r="A355" s="2"/>
      <c r="D355" s="4"/>
      <c r="F355" s="4"/>
      <c r="H355" s="4"/>
    </row>
    <row r="356" spans="1:8" x14ac:dyDescent="0.3">
      <c r="A356" s="2"/>
      <c r="D356" s="4"/>
      <c r="F356" s="4"/>
      <c r="H356" s="4"/>
    </row>
    <row r="357" spans="1:8" x14ac:dyDescent="0.3">
      <c r="A357" s="2"/>
      <c r="D357" s="4"/>
      <c r="F357" s="4"/>
      <c r="H357" s="4"/>
    </row>
    <row r="358" spans="1:8" x14ac:dyDescent="0.3">
      <c r="A358" s="3"/>
      <c r="D358" s="4"/>
      <c r="F358" s="4"/>
      <c r="H358" s="4"/>
    </row>
    <row r="359" spans="1:8" ht="14.4" customHeight="1" x14ac:dyDescent="0.3">
      <c r="D359" s="4"/>
      <c r="F359" s="4"/>
      <c r="H359" s="4"/>
    </row>
    <row r="360" spans="1:8" ht="14.4" customHeight="1" x14ac:dyDescent="0.3">
      <c r="D360" s="4"/>
      <c r="F360" s="4"/>
      <c r="H360" s="4"/>
    </row>
    <row r="361" spans="1:8" ht="14.4" customHeight="1" x14ac:dyDescent="0.3">
      <c r="D361" s="4"/>
      <c r="F361" s="4"/>
      <c r="H361" s="4"/>
    </row>
    <row r="362" spans="1:8" x14ac:dyDescent="0.3">
      <c r="A362" s="1"/>
      <c r="D362" s="4"/>
      <c r="F362" s="4"/>
      <c r="H362" s="4"/>
    </row>
    <row r="363" spans="1:8" x14ac:dyDescent="0.3">
      <c r="A363" s="1"/>
      <c r="D363" s="4"/>
      <c r="F363" s="4"/>
      <c r="H363" s="4"/>
    </row>
    <row r="364" spans="1:8" x14ac:dyDescent="0.3">
      <c r="A364" s="2"/>
      <c r="D364" s="4"/>
      <c r="F364" s="4"/>
      <c r="H364" s="4"/>
    </row>
    <row r="365" spans="1:8" x14ac:dyDescent="0.3">
      <c r="A365" s="2"/>
      <c r="D365" s="4"/>
      <c r="F365" s="4"/>
      <c r="H365" s="4"/>
    </row>
    <row r="366" spans="1:8" x14ac:dyDescent="0.3">
      <c r="A366" s="2"/>
      <c r="D366" s="4"/>
      <c r="F366" s="4"/>
      <c r="H366" s="4"/>
    </row>
    <row r="367" spans="1:8" x14ac:dyDescent="0.3">
      <c r="A367" s="2"/>
      <c r="D367" s="4"/>
      <c r="F367" s="4"/>
      <c r="H367" s="4"/>
    </row>
    <row r="368" spans="1:8" x14ac:dyDescent="0.3">
      <c r="A368" s="2"/>
      <c r="D368" s="4"/>
      <c r="F368" s="4"/>
      <c r="H368" s="4"/>
    </row>
    <row r="369" spans="1:8" x14ac:dyDescent="0.3">
      <c r="A369" s="2"/>
      <c r="D369" s="4"/>
      <c r="F369" s="4"/>
      <c r="H369" s="4"/>
    </row>
    <row r="370" spans="1:8" x14ac:dyDescent="0.3">
      <c r="A370" s="2"/>
      <c r="D370" s="4"/>
      <c r="F370" s="4"/>
      <c r="H370" s="4"/>
    </row>
    <row r="371" spans="1:8" x14ac:dyDescent="0.3">
      <c r="A371" s="2"/>
      <c r="D371" s="4"/>
      <c r="F371" s="4"/>
      <c r="H371" s="4"/>
    </row>
    <row r="372" spans="1:8" x14ac:dyDescent="0.3">
      <c r="A372" s="2"/>
      <c r="D372" s="4"/>
      <c r="F372" s="4"/>
      <c r="H372" s="4"/>
    </row>
    <row r="373" spans="1:8" x14ac:dyDescent="0.3">
      <c r="A373" s="2"/>
      <c r="D373" s="4"/>
      <c r="F373" s="4"/>
      <c r="H373" s="4"/>
    </row>
    <row r="374" spans="1:8" x14ac:dyDescent="0.3">
      <c r="A374" s="2"/>
      <c r="D374" s="4"/>
      <c r="F374" s="4"/>
      <c r="H374" s="4"/>
    </row>
    <row r="375" spans="1:8" x14ac:dyDescent="0.3">
      <c r="A375" s="2"/>
      <c r="D375" s="4"/>
      <c r="F375" s="4"/>
      <c r="H375" s="4"/>
    </row>
    <row r="376" spans="1:8" x14ac:dyDescent="0.3">
      <c r="A376" s="2"/>
      <c r="D376" s="4"/>
      <c r="F376" s="4"/>
      <c r="H376" s="4"/>
    </row>
    <row r="377" spans="1:8" x14ac:dyDescent="0.3">
      <c r="A377" s="2"/>
      <c r="D377" s="4"/>
      <c r="F377" s="4"/>
      <c r="H377" s="4"/>
    </row>
    <row r="378" spans="1:8" x14ac:dyDescent="0.3">
      <c r="A378" s="2"/>
      <c r="D378" s="4"/>
      <c r="F378" s="4"/>
      <c r="H378" s="4"/>
    </row>
    <row r="379" spans="1:8" x14ac:dyDescent="0.3">
      <c r="A379" s="2"/>
      <c r="D379" s="4"/>
      <c r="F379" s="4"/>
      <c r="H379" s="4"/>
    </row>
    <row r="380" spans="1:8" x14ac:dyDescent="0.3">
      <c r="A380" s="2"/>
      <c r="D380" s="4"/>
      <c r="F380" s="4"/>
      <c r="H380" s="4"/>
    </row>
    <row r="381" spans="1:8" x14ac:dyDescent="0.3">
      <c r="A381" s="2"/>
      <c r="D381" s="4"/>
      <c r="F381" s="4"/>
      <c r="H381" s="4"/>
    </row>
    <row r="382" spans="1:8" x14ac:dyDescent="0.3">
      <c r="A382" s="2"/>
      <c r="D382" s="4"/>
      <c r="F382" s="4"/>
      <c r="H382" s="4"/>
    </row>
    <row r="383" spans="1:8" x14ac:dyDescent="0.3">
      <c r="A383" s="2"/>
      <c r="D383" s="4"/>
      <c r="F383" s="4"/>
      <c r="H383" s="4"/>
    </row>
    <row r="384" spans="1:8" x14ac:dyDescent="0.3">
      <c r="A384" s="2"/>
      <c r="D384" s="4"/>
      <c r="F384" s="4"/>
      <c r="H384" s="4"/>
    </row>
    <row r="385" spans="1:8" x14ac:dyDescent="0.3">
      <c r="A385" s="2"/>
      <c r="D385" s="4"/>
      <c r="F385" s="4"/>
      <c r="H385" s="4"/>
    </row>
    <row r="386" spans="1:8" x14ac:dyDescent="0.3">
      <c r="A386" s="2"/>
      <c r="D386" s="4"/>
      <c r="F386" s="4"/>
      <c r="H386" s="4"/>
    </row>
    <row r="387" spans="1:8" x14ac:dyDescent="0.3">
      <c r="A387" s="2"/>
      <c r="D387" s="4"/>
      <c r="F387" s="4"/>
      <c r="H387" s="4"/>
    </row>
    <row r="388" spans="1:8" x14ac:dyDescent="0.3">
      <c r="A388" s="2"/>
      <c r="D388" s="4"/>
      <c r="F388" s="4"/>
      <c r="H388" s="4"/>
    </row>
    <row r="389" spans="1:8" x14ac:dyDescent="0.3">
      <c r="A389" s="2"/>
      <c r="D389" s="4"/>
      <c r="F389" s="4"/>
      <c r="H389" s="4"/>
    </row>
    <row r="390" spans="1:8" x14ac:dyDescent="0.3">
      <c r="A390" s="2"/>
      <c r="D390" s="4"/>
      <c r="F390" s="4"/>
      <c r="H390" s="4"/>
    </row>
    <row r="391" spans="1:8" x14ac:dyDescent="0.3">
      <c r="A391" s="2"/>
      <c r="D391" s="4"/>
      <c r="F391" s="4"/>
      <c r="H391" s="4"/>
    </row>
    <row r="392" spans="1:8" x14ac:dyDescent="0.3">
      <c r="A392" s="2"/>
      <c r="D392" s="4"/>
      <c r="F392" s="4"/>
      <c r="H392" s="4"/>
    </row>
    <row r="393" spans="1:8" x14ac:dyDescent="0.3">
      <c r="A393" s="2"/>
      <c r="D393" s="4"/>
      <c r="F393" s="4"/>
      <c r="H393" s="4"/>
    </row>
    <row r="394" spans="1:8" x14ac:dyDescent="0.3">
      <c r="A394" s="2"/>
      <c r="D394" s="4"/>
      <c r="F394" s="4"/>
      <c r="H394" s="4"/>
    </row>
    <row r="395" spans="1:8" x14ac:dyDescent="0.3">
      <c r="A395" s="2"/>
      <c r="D395" s="4"/>
      <c r="F395" s="4"/>
      <c r="H395" s="4"/>
    </row>
    <row r="396" spans="1:8" x14ac:dyDescent="0.3">
      <c r="A396" s="2"/>
      <c r="D396" s="4"/>
      <c r="F396" s="4"/>
      <c r="H396" s="4"/>
    </row>
    <row r="397" spans="1:8" x14ac:dyDescent="0.3">
      <c r="A397" s="2"/>
      <c r="D397" s="4"/>
      <c r="F397" s="4"/>
      <c r="H397" s="4"/>
    </row>
    <row r="398" spans="1:8" x14ac:dyDescent="0.3">
      <c r="A398" s="2"/>
      <c r="D398" s="4"/>
      <c r="F398" s="4"/>
      <c r="H398" s="4"/>
    </row>
    <row r="399" spans="1:8" x14ac:dyDescent="0.3">
      <c r="A399" s="2"/>
      <c r="D399" s="4"/>
      <c r="F399" s="4"/>
      <c r="H399" s="4"/>
    </row>
    <row r="400" spans="1:8" x14ac:dyDescent="0.3">
      <c r="A400" s="2"/>
      <c r="D400" s="4"/>
      <c r="F400" s="4"/>
      <c r="H400" s="4"/>
    </row>
    <row r="401" spans="1:8" x14ac:dyDescent="0.3">
      <c r="A401" s="2"/>
      <c r="D401" s="4"/>
      <c r="F401" s="4"/>
      <c r="H401" s="4"/>
    </row>
    <row r="402" spans="1:8" x14ac:dyDescent="0.3">
      <c r="A402" s="2"/>
      <c r="D402" s="4"/>
      <c r="F402" s="4"/>
      <c r="H402" s="4"/>
    </row>
    <row r="403" spans="1:8" x14ac:dyDescent="0.3">
      <c r="A403" s="2"/>
      <c r="D403" s="4"/>
      <c r="F403" s="4"/>
      <c r="H403" s="4"/>
    </row>
    <row r="404" spans="1:8" x14ac:dyDescent="0.3">
      <c r="A404" s="2"/>
      <c r="D404" s="4"/>
      <c r="F404" s="4"/>
      <c r="H404" s="4"/>
    </row>
    <row r="405" spans="1:8" x14ac:dyDescent="0.3">
      <c r="A405" s="2"/>
      <c r="D405" s="4"/>
      <c r="F405" s="4"/>
      <c r="H405" s="4"/>
    </row>
    <row r="406" spans="1:8" x14ac:dyDescent="0.3">
      <c r="A406" s="2"/>
      <c r="D406" s="4"/>
      <c r="F406" s="4"/>
      <c r="H406" s="4"/>
    </row>
    <row r="407" spans="1:8" x14ac:dyDescent="0.3">
      <c r="A407" s="2"/>
      <c r="D407" s="4"/>
      <c r="F407" s="4"/>
      <c r="H407" s="4"/>
    </row>
    <row r="408" spans="1:8" x14ac:dyDescent="0.3">
      <c r="A408" s="2"/>
      <c r="D408" s="4"/>
      <c r="F408" s="4"/>
      <c r="H408" s="4"/>
    </row>
    <row r="409" spans="1:8" x14ac:dyDescent="0.3">
      <c r="A409" s="2"/>
      <c r="D409" s="4"/>
      <c r="F409" s="4"/>
      <c r="H409" s="4"/>
    </row>
    <row r="410" spans="1:8" x14ac:dyDescent="0.3">
      <c r="A410" s="2"/>
      <c r="D410" s="4"/>
      <c r="F410" s="4"/>
      <c r="H410" s="4"/>
    </row>
    <row r="411" spans="1:8" x14ac:dyDescent="0.3">
      <c r="A411" s="2"/>
      <c r="D411" s="4"/>
      <c r="F411" s="4"/>
      <c r="H411" s="4"/>
    </row>
    <row r="412" spans="1:8" x14ac:dyDescent="0.3">
      <c r="A412" s="2"/>
      <c r="D412" s="4"/>
      <c r="F412" s="4"/>
      <c r="H412" s="4"/>
    </row>
    <row r="413" spans="1:8" x14ac:dyDescent="0.3">
      <c r="A413" s="2"/>
      <c r="D413" s="4"/>
      <c r="F413" s="4"/>
      <c r="H413" s="4"/>
    </row>
    <row r="414" spans="1:8" x14ac:dyDescent="0.3">
      <c r="A414" s="2"/>
      <c r="D414" s="4"/>
      <c r="F414" s="4"/>
      <c r="H414" s="4"/>
    </row>
    <row r="415" spans="1:8" x14ac:dyDescent="0.3">
      <c r="A415" s="2"/>
      <c r="D415" s="4"/>
      <c r="F415" s="4"/>
      <c r="H415" s="4"/>
    </row>
    <row r="416" spans="1:8" x14ac:dyDescent="0.3">
      <c r="A416" s="2"/>
      <c r="D416" s="4"/>
      <c r="F416" s="4"/>
      <c r="H416" s="4"/>
    </row>
    <row r="417" spans="1:8" x14ac:dyDescent="0.3">
      <c r="A417" s="2"/>
      <c r="D417" s="4"/>
      <c r="F417" s="4"/>
      <c r="H417" s="4"/>
    </row>
    <row r="418" spans="1:8" x14ac:dyDescent="0.3">
      <c r="A418" s="2"/>
      <c r="D418" s="4"/>
      <c r="F418" s="4"/>
      <c r="H418" s="4"/>
    </row>
    <row r="419" spans="1:8" x14ac:dyDescent="0.3">
      <c r="A419" s="2"/>
      <c r="D419" s="4"/>
      <c r="F419" s="4"/>
      <c r="H419" s="4"/>
    </row>
    <row r="420" spans="1:8" x14ac:dyDescent="0.3">
      <c r="A420" s="2"/>
      <c r="D420" s="4"/>
      <c r="F420" s="4"/>
      <c r="H420" s="4"/>
    </row>
    <row r="421" spans="1:8" x14ac:dyDescent="0.3">
      <c r="A421" s="2"/>
      <c r="D421" s="4"/>
      <c r="F421" s="4"/>
      <c r="H421" s="4"/>
    </row>
    <row r="422" spans="1:8" x14ac:dyDescent="0.3">
      <c r="A422" s="2"/>
      <c r="D422" s="4"/>
      <c r="F422" s="4"/>
      <c r="H422" s="4"/>
    </row>
    <row r="423" spans="1:8" x14ac:dyDescent="0.3">
      <c r="A423" s="2"/>
      <c r="D423" s="4"/>
      <c r="F423" s="4"/>
      <c r="H423" s="4"/>
    </row>
    <row r="424" spans="1:8" x14ac:dyDescent="0.3">
      <c r="A424" s="2"/>
      <c r="D424" s="4"/>
      <c r="F424" s="4"/>
      <c r="H424" s="4"/>
    </row>
    <row r="425" spans="1:8" x14ac:dyDescent="0.3">
      <c r="A425" s="2"/>
      <c r="D425" s="4"/>
      <c r="F425" s="4"/>
      <c r="H425" s="4"/>
    </row>
    <row r="426" spans="1:8" x14ac:dyDescent="0.3">
      <c r="A426" s="2"/>
      <c r="D426" s="4"/>
      <c r="F426" s="4"/>
      <c r="H426" s="4"/>
    </row>
    <row r="427" spans="1:8" x14ac:dyDescent="0.3">
      <c r="A427" s="2"/>
      <c r="D427" s="4"/>
      <c r="F427" s="4"/>
      <c r="H427" s="4"/>
    </row>
    <row r="428" spans="1:8" x14ac:dyDescent="0.3">
      <c r="A428" s="2"/>
      <c r="D428" s="4"/>
      <c r="F428" s="4"/>
      <c r="H428" s="4"/>
    </row>
    <row r="429" spans="1:8" x14ac:dyDescent="0.3">
      <c r="A429" s="2"/>
      <c r="D429" s="4"/>
      <c r="F429" s="4"/>
      <c r="H429" s="4"/>
    </row>
    <row r="430" spans="1:8" x14ac:dyDescent="0.3">
      <c r="A430" s="2"/>
      <c r="D430" s="4"/>
      <c r="F430" s="4"/>
      <c r="H430" s="4"/>
    </row>
    <row r="431" spans="1:8" x14ac:dyDescent="0.3">
      <c r="A431" s="3"/>
      <c r="D431" s="4"/>
      <c r="F431" s="4"/>
      <c r="H431" s="4"/>
    </row>
    <row r="432" spans="1:8" ht="14.4" customHeight="1" x14ac:dyDescent="0.3">
      <c r="D432" s="4"/>
      <c r="F432" s="4"/>
      <c r="H432" s="4"/>
    </row>
    <row r="433" spans="1:8" ht="14.4" customHeight="1" x14ac:dyDescent="0.3">
      <c r="D433" s="4"/>
      <c r="F433" s="4"/>
      <c r="H433" s="4"/>
    </row>
    <row r="434" spans="1:8" ht="14.4" customHeight="1" x14ac:dyDescent="0.3">
      <c r="D434" s="4"/>
      <c r="F434" s="4"/>
      <c r="H434" s="4"/>
    </row>
    <row r="435" spans="1:8" x14ac:dyDescent="0.3">
      <c r="A435" s="1"/>
      <c r="D435" s="4"/>
      <c r="F435" s="4"/>
      <c r="H435" s="4"/>
    </row>
    <row r="436" spans="1:8" x14ac:dyDescent="0.3">
      <c r="A436" s="1"/>
      <c r="D436" s="4"/>
      <c r="F436" s="4"/>
      <c r="H436" s="4"/>
    </row>
    <row r="437" spans="1:8" x14ac:dyDescent="0.3">
      <c r="A437" s="2"/>
      <c r="D437" s="4"/>
      <c r="F437" s="4"/>
      <c r="H437" s="4"/>
    </row>
    <row r="438" spans="1:8" x14ac:dyDescent="0.3">
      <c r="A438" s="2"/>
      <c r="D438" s="4"/>
      <c r="F438" s="4"/>
      <c r="H438" s="4"/>
    </row>
    <row r="439" spans="1:8" x14ac:dyDescent="0.3">
      <c r="A439" s="2"/>
      <c r="D439" s="4"/>
      <c r="F439" s="4"/>
      <c r="H439" s="4"/>
    </row>
    <row r="440" spans="1:8" x14ac:dyDescent="0.3">
      <c r="A440" s="2"/>
      <c r="D440" s="4"/>
      <c r="F440" s="4"/>
      <c r="H440" s="4"/>
    </row>
    <row r="441" spans="1:8" x14ac:dyDescent="0.3">
      <c r="A441" s="2"/>
      <c r="D441" s="4"/>
      <c r="F441" s="4"/>
      <c r="H441" s="4"/>
    </row>
    <row r="442" spans="1:8" x14ac:dyDescent="0.3">
      <c r="A442" s="2"/>
      <c r="D442" s="4"/>
      <c r="F442" s="4"/>
      <c r="H442" s="4"/>
    </row>
    <row r="443" spans="1:8" x14ac:dyDescent="0.3">
      <c r="A443" s="2"/>
      <c r="D443" s="4"/>
      <c r="F443" s="4"/>
      <c r="H443" s="4"/>
    </row>
    <row r="444" spans="1:8" x14ac:dyDescent="0.3">
      <c r="A444" s="2"/>
      <c r="D444" s="4"/>
      <c r="F444" s="4"/>
      <c r="H444" s="4"/>
    </row>
    <row r="445" spans="1:8" x14ac:dyDescent="0.3">
      <c r="A445" s="2"/>
      <c r="D445" s="4"/>
      <c r="F445" s="4"/>
      <c r="H445" s="4"/>
    </row>
    <row r="446" spans="1:8" x14ac:dyDescent="0.3">
      <c r="A446" s="2"/>
      <c r="D446" s="4"/>
      <c r="F446" s="4"/>
      <c r="H446" s="4"/>
    </row>
    <row r="447" spans="1:8" x14ac:dyDescent="0.3">
      <c r="A447" s="2"/>
      <c r="D447" s="4"/>
      <c r="F447" s="4"/>
      <c r="H447" s="4"/>
    </row>
    <row r="448" spans="1:8" x14ac:dyDescent="0.3">
      <c r="A448" s="2"/>
      <c r="D448" s="4"/>
      <c r="F448" s="4"/>
      <c r="H448" s="4"/>
    </row>
    <row r="449" spans="1:8" x14ac:dyDescent="0.3">
      <c r="A449" s="2"/>
      <c r="D449" s="4"/>
      <c r="F449" s="4"/>
      <c r="H449" s="4"/>
    </row>
    <row r="450" spans="1:8" x14ac:dyDescent="0.3">
      <c r="A450" s="2"/>
      <c r="D450" s="4"/>
      <c r="F450" s="4"/>
      <c r="H450" s="4"/>
    </row>
    <row r="451" spans="1:8" x14ac:dyDescent="0.3">
      <c r="A451" s="2"/>
      <c r="D451" s="4"/>
      <c r="F451" s="4"/>
      <c r="H451" s="4"/>
    </row>
    <row r="452" spans="1:8" x14ac:dyDescent="0.3">
      <c r="A452" s="2"/>
      <c r="D452" s="4"/>
      <c r="F452" s="4"/>
      <c r="H452" s="4"/>
    </row>
    <row r="453" spans="1:8" x14ac:dyDescent="0.3">
      <c r="A453" s="2"/>
      <c r="D453" s="4"/>
      <c r="F453" s="4"/>
      <c r="H453" s="4"/>
    </row>
    <row r="454" spans="1:8" x14ac:dyDescent="0.3">
      <c r="A454" s="2"/>
      <c r="D454" s="4"/>
      <c r="F454" s="4"/>
      <c r="H454" s="4"/>
    </row>
    <row r="455" spans="1:8" x14ac:dyDescent="0.3">
      <c r="A455" s="2"/>
      <c r="D455" s="4"/>
      <c r="F455" s="4"/>
      <c r="H455" s="4"/>
    </row>
    <row r="456" spans="1:8" x14ac:dyDescent="0.3">
      <c r="A456" s="2"/>
      <c r="D456" s="4"/>
      <c r="F456" s="4"/>
      <c r="H456" s="4"/>
    </row>
    <row r="457" spans="1:8" x14ac:dyDescent="0.3">
      <c r="A457" s="2"/>
      <c r="D457" s="4"/>
      <c r="F457" s="4"/>
      <c r="H457" s="4"/>
    </row>
    <row r="458" spans="1:8" x14ac:dyDescent="0.3">
      <c r="A458" s="2"/>
      <c r="D458" s="4"/>
      <c r="F458" s="4"/>
      <c r="H458" s="4"/>
    </row>
    <row r="459" spans="1:8" x14ac:dyDescent="0.3">
      <c r="A459" s="2"/>
      <c r="D459" s="4"/>
      <c r="F459" s="4"/>
      <c r="H459" s="4"/>
    </row>
    <row r="460" spans="1:8" x14ac:dyDescent="0.3">
      <c r="A460" s="2"/>
      <c r="D460" s="4"/>
      <c r="F460" s="4"/>
      <c r="H460" s="4"/>
    </row>
    <row r="461" spans="1:8" x14ac:dyDescent="0.3">
      <c r="A461" s="2"/>
      <c r="D461" s="4"/>
      <c r="F461" s="4"/>
      <c r="H461" s="4"/>
    </row>
    <row r="462" spans="1:8" x14ac:dyDescent="0.3">
      <c r="A462" s="2"/>
      <c r="D462" s="4"/>
      <c r="F462" s="4"/>
      <c r="H462" s="4"/>
    </row>
    <row r="463" spans="1:8" x14ac:dyDescent="0.3">
      <c r="A463" s="2"/>
      <c r="D463" s="4"/>
      <c r="F463" s="4"/>
      <c r="H463" s="4"/>
    </row>
    <row r="464" spans="1:8" x14ac:dyDescent="0.3">
      <c r="A464" s="2"/>
      <c r="D464" s="4"/>
      <c r="F464" s="4"/>
      <c r="H464" s="4"/>
    </row>
    <row r="465" spans="1:8" x14ac:dyDescent="0.3">
      <c r="A465" s="2"/>
      <c r="D465" s="4"/>
      <c r="F465" s="4"/>
      <c r="H465" s="4"/>
    </row>
    <row r="466" spans="1:8" x14ac:dyDescent="0.3">
      <c r="A466" s="2"/>
      <c r="D466" s="4"/>
      <c r="F466" s="4"/>
      <c r="H466" s="4"/>
    </row>
    <row r="467" spans="1:8" x14ac:dyDescent="0.3">
      <c r="A467" s="2"/>
      <c r="D467" s="4"/>
      <c r="F467" s="4"/>
      <c r="H467" s="4"/>
    </row>
    <row r="468" spans="1:8" x14ac:dyDescent="0.3">
      <c r="A468" s="2"/>
      <c r="D468" s="4"/>
      <c r="F468" s="4"/>
      <c r="H468" s="4"/>
    </row>
    <row r="469" spans="1:8" x14ac:dyDescent="0.3">
      <c r="A469" s="2"/>
      <c r="D469" s="4"/>
      <c r="F469" s="4"/>
      <c r="H469" s="4"/>
    </row>
    <row r="470" spans="1:8" x14ac:dyDescent="0.3">
      <c r="A470" s="2"/>
      <c r="D470" s="4"/>
      <c r="F470" s="4"/>
      <c r="H470" s="4"/>
    </row>
    <row r="471" spans="1:8" x14ac:dyDescent="0.3">
      <c r="A471" s="2"/>
      <c r="D471" s="4"/>
      <c r="F471" s="4"/>
      <c r="H471" s="4"/>
    </row>
    <row r="472" spans="1:8" x14ac:dyDescent="0.3">
      <c r="A472" s="2"/>
      <c r="D472" s="4"/>
      <c r="F472" s="4"/>
      <c r="H472" s="4"/>
    </row>
    <row r="473" spans="1:8" x14ac:dyDescent="0.3">
      <c r="A473" s="2"/>
      <c r="D473" s="4"/>
      <c r="F473" s="4"/>
      <c r="H473" s="4"/>
    </row>
    <row r="474" spans="1:8" x14ac:dyDescent="0.3">
      <c r="A474" s="2"/>
      <c r="D474" s="4"/>
      <c r="F474" s="4"/>
      <c r="H474" s="4"/>
    </row>
    <row r="475" spans="1:8" x14ac:dyDescent="0.3">
      <c r="A475" s="2"/>
      <c r="D475" s="4"/>
      <c r="F475" s="4"/>
      <c r="H475" s="4"/>
    </row>
    <row r="476" spans="1:8" x14ac:dyDescent="0.3">
      <c r="A476" s="2"/>
      <c r="D476" s="4"/>
      <c r="F476" s="4"/>
      <c r="H476" s="4"/>
    </row>
    <row r="477" spans="1:8" x14ac:dyDescent="0.3">
      <c r="A477" s="2"/>
      <c r="D477" s="4"/>
      <c r="F477" s="4"/>
      <c r="H477" s="4"/>
    </row>
    <row r="478" spans="1:8" x14ac:dyDescent="0.3">
      <c r="A478" s="2"/>
      <c r="D478" s="4"/>
      <c r="F478" s="4"/>
      <c r="H478" s="4"/>
    </row>
    <row r="479" spans="1:8" x14ac:dyDescent="0.3">
      <c r="A479" s="2"/>
      <c r="D479" s="4"/>
      <c r="F479" s="4"/>
      <c r="H479" s="4"/>
    </row>
    <row r="480" spans="1:8" x14ac:dyDescent="0.3">
      <c r="A480" s="2"/>
      <c r="D480" s="4"/>
      <c r="F480" s="4"/>
      <c r="H480" s="4"/>
    </row>
    <row r="481" spans="1:8" x14ac:dyDescent="0.3">
      <c r="A481" s="2"/>
      <c r="D481" s="4"/>
      <c r="F481" s="4"/>
      <c r="H481" s="4"/>
    </row>
    <row r="482" spans="1:8" x14ac:dyDescent="0.3">
      <c r="A482" s="2"/>
      <c r="D482" s="4"/>
      <c r="F482" s="4"/>
      <c r="H482" s="4"/>
    </row>
    <row r="483" spans="1:8" x14ac:dyDescent="0.3">
      <c r="A483" s="2"/>
      <c r="D483" s="4"/>
      <c r="F483" s="4"/>
      <c r="H483" s="4"/>
    </row>
    <row r="484" spans="1:8" x14ac:dyDescent="0.3">
      <c r="A484" s="2"/>
      <c r="D484" s="4"/>
      <c r="F484" s="4"/>
      <c r="H484" s="4"/>
    </row>
    <row r="485" spans="1:8" x14ac:dyDescent="0.3">
      <c r="A485" s="2"/>
      <c r="D485" s="4"/>
      <c r="F485" s="4"/>
      <c r="H485" s="4"/>
    </row>
    <row r="486" spans="1:8" x14ac:dyDescent="0.3">
      <c r="A486" s="2"/>
      <c r="D486" s="4"/>
      <c r="F486" s="4"/>
      <c r="H486" s="4"/>
    </row>
    <row r="487" spans="1:8" x14ac:dyDescent="0.3">
      <c r="A487" s="2"/>
      <c r="D487" s="4"/>
      <c r="F487" s="4"/>
      <c r="H487" s="4"/>
    </row>
    <row r="488" spans="1:8" x14ac:dyDescent="0.3">
      <c r="A488" s="2"/>
      <c r="D488" s="4"/>
      <c r="F488" s="4"/>
      <c r="H488" s="4"/>
    </row>
    <row r="489" spans="1:8" x14ac:dyDescent="0.3">
      <c r="A489" s="2"/>
      <c r="D489" s="4"/>
      <c r="F489" s="4"/>
      <c r="H489" s="4"/>
    </row>
    <row r="490" spans="1:8" x14ac:dyDescent="0.3">
      <c r="A490" s="2"/>
      <c r="D490" s="4"/>
      <c r="F490" s="4"/>
      <c r="H490" s="4"/>
    </row>
    <row r="491" spans="1:8" x14ac:dyDescent="0.3">
      <c r="A491" s="2"/>
      <c r="D491" s="4"/>
      <c r="F491" s="4"/>
      <c r="H491" s="4"/>
    </row>
    <row r="492" spans="1:8" x14ac:dyDescent="0.3">
      <c r="A492" s="2"/>
      <c r="D492" s="4"/>
      <c r="F492" s="4"/>
      <c r="H492" s="4"/>
    </row>
    <row r="493" spans="1:8" x14ac:dyDescent="0.3">
      <c r="A493" s="2"/>
      <c r="D493" s="4"/>
      <c r="F493" s="4"/>
      <c r="H493" s="4"/>
    </row>
    <row r="494" spans="1:8" x14ac:dyDescent="0.3">
      <c r="A494" s="2"/>
      <c r="D494" s="4"/>
      <c r="F494" s="4"/>
      <c r="H494" s="4"/>
    </row>
    <row r="495" spans="1:8" x14ac:dyDescent="0.3">
      <c r="A495" s="2"/>
      <c r="D495" s="4"/>
      <c r="F495" s="4"/>
      <c r="H495" s="4"/>
    </row>
    <row r="496" spans="1:8" x14ac:dyDescent="0.3">
      <c r="A496" s="2"/>
      <c r="D496" s="4"/>
      <c r="F496" s="4"/>
      <c r="H496" s="4"/>
    </row>
    <row r="497" spans="1:8" x14ac:dyDescent="0.3">
      <c r="A497" s="2"/>
      <c r="D497" s="4"/>
      <c r="F497" s="4"/>
      <c r="H497" s="4"/>
    </row>
    <row r="498" spans="1:8" x14ac:dyDescent="0.3">
      <c r="A498" s="2"/>
      <c r="D498" s="4"/>
      <c r="F498" s="4"/>
      <c r="H498" s="4"/>
    </row>
    <row r="499" spans="1:8" x14ac:dyDescent="0.3">
      <c r="A499" s="2"/>
      <c r="D499" s="4"/>
      <c r="F499" s="4"/>
      <c r="H499" s="4"/>
    </row>
    <row r="500" spans="1:8" x14ac:dyDescent="0.3">
      <c r="A500" s="2"/>
      <c r="D500" s="4"/>
      <c r="F500" s="4"/>
      <c r="H500" s="4"/>
    </row>
    <row r="501" spans="1:8" x14ac:dyDescent="0.3">
      <c r="A501" s="2"/>
      <c r="D501" s="4"/>
      <c r="F501" s="4"/>
      <c r="H501" s="4"/>
    </row>
    <row r="502" spans="1:8" x14ac:dyDescent="0.3">
      <c r="A502" s="2"/>
      <c r="D502" s="4"/>
      <c r="F502" s="4"/>
      <c r="H502" s="4"/>
    </row>
    <row r="503" spans="1:8" x14ac:dyDescent="0.3">
      <c r="A503" s="2"/>
      <c r="D503" s="4"/>
      <c r="F503" s="4"/>
      <c r="H503" s="4"/>
    </row>
    <row r="504" spans="1:8" x14ac:dyDescent="0.3">
      <c r="A504" s="3"/>
      <c r="D504" s="4"/>
      <c r="F504" s="4"/>
      <c r="H504" s="4"/>
    </row>
    <row r="505" spans="1:8" ht="14.4" customHeight="1" x14ac:dyDescent="0.3">
      <c r="D505" s="4"/>
      <c r="F505" s="4"/>
      <c r="H505" s="4"/>
    </row>
    <row r="506" spans="1:8" ht="14.4" customHeight="1" x14ac:dyDescent="0.3">
      <c r="D506" s="4"/>
      <c r="F506" s="4"/>
      <c r="H506" s="4"/>
    </row>
    <row r="507" spans="1:8" ht="14.4" customHeight="1" x14ac:dyDescent="0.3">
      <c r="D507" s="4"/>
      <c r="F507" s="4"/>
      <c r="H507" s="4"/>
    </row>
    <row r="508" spans="1:8" x14ac:dyDescent="0.3">
      <c r="A508" s="1"/>
      <c r="D508" s="4"/>
      <c r="F508" s="4"/>
      <c r="H508" s="4"/>
    </row>
    <row r="509" spans="1:8" x14ac:dyDescent="0.3">
      <c r="A509" s="1"/>
      <c r="D509" s="4"/>
      <c r="F509" s="4"/>
      <c r="H509" s="4"/>
    </row>
    <row r="510" spans="1:8" x14ac:dyDescent="0.3">
      <c r="A510" s="2"/>
      <c r="D510" s="4"/>
      <c r="F510" s="4"/>
      <c r="H510" s="4"/>
    </row>
    <row r="511" spans="1:8" x14ac:dyDescent="0.3">
      <c r="A511" s="2"/>
      <c r="D511" s="4"/>
      <c r="F511" s="4"/>
      <c r="H511" s="4"/>
    </row>
    <row r="512" spans="1:8" x14ac:dyDescent="0.3">
      <c r="A512" s="2"/>
      <c r="D512" s="4"/>
      <c r="F512" s="4"/>
      <c r="H512" s="4"/>
    </row>
    <row r="513" spans="1:8" x14ac:dyDescent="0.3">
      <c r="A513" s="2"/>
      <c r="D513" s="4"/>
      <c r="F513" s="4"/>
      <c r="H513" s="4"/>
    </row>
    <row r="514" spans="1:8" x14ac:dyDescent="0.3">
      <c r="A514" s="2"/>
      <c r="D514" s="4"/>
      <c r="F514" s="4"/>
      <c r="H514" s="4"/>
    </row>
    <row r="515" spans="1:8" x14ac:dyDescent="0.3">
      <c r="A515" s="2"/>
      <c r="D515" s="4"/>
      <c r="F515" s="4"/>
      <c r="H515" s="4"/>
    </row>
    <row r="516" spans="1:8" x14ac:dyDescent="0.3">
      <c r="A516" s="2"/>
      <c r="D516" s="4"/>
      <c r="F516" s="4"/>
      <c r="H516" s="4"/>
    </row>
    <row r="517" spans="1:8" x14ac:dyDescent="0.3">
      <c r="A517" s="2"/>
      <c r="D517" s="4"/>
      <c r="F517" s="4"/>
      <c r="H517" s="4"/>
    </row>
    <row r="518" spans="1:8" x14ac:dyDescent="0.3">
      <c r="A518" s="2"/>
      <c r="D518" s="4"/>
      <c r="F518" s="4"/>
      <c r="H518" s="4"/>
    </row>
    <row r="519" spans="1:8" x14ac:dyDescent="0.3">
      <c r="A519" s="2"/>
      <c r="D519" s="4"/>
      <c r="F519" s="4"/>
      <c r="H519" s="4"/>
    </row>
    <row r="520" spans="1:8" x14ac:dyDescent="0.3">
      <c r="A520" s="2"/>
      <c r="D520" s="4"/>
      <c r="F520" s="4"/>
      <c r="H520" s="4"/>
    </row>
    <row r="521" spans="1:8" x14ac:dyDescent="0.3">
      <c r="A521" s="2"/>
      <c r="D521" s="4"/>
      <c r="F521" s="4"/>
      <c r="H521" s="4"/>
    </row>
    <row r="522" spans="1:8" x14ac:dyDescent="0.3">
      <c r="A522" s="2"/>
      <c r="D522" s="4"/>
      <c r="F522" s="4"/>
      <c r="H522" s="4"/>
    </row>
    <row r="523" spans="1:8" x14ac:dyDescent="0.3">
      <c r="A523" s="2"/>
      <c r="D523" s="4"/>
      <c r="F523" s="4"/>
      <c r="H523" s="4"/>
    </row>
    <row r="524" spans="1:8" x14ac:dyDescent="0.3">
      <c r="A524" s="2"/>
      <c r="D524" s="4"/>
      <c r="F524" s="4"/>
      <c r="H524" s="4"/>
    </row>
    <row r="525" spans="1:8" x14ac:dyDescent="0.3">
      <c r="A525" s="2"/>
      <c r="D525" s="4"/>
      <c r="F525" s="4"/>
      <c r="H525" s="4"/>
    </row>
    <row r="526" spans="1:8" x14ac:dyDescent="0.3">
      <c r="A526" s="2"/>
      <c r="D526" s="4"/>
      <c r="F526" s="4"/>
      <c r="H526" s="4"/>
    </row>
    <row r="527" spans="1:8" x14ac:dyDescent="0.3">
      <c r="A527" s="2"/>
      <c r="D527" s="4"/>
      <c r="F527" s="4"/>
      <c r="H527" s="4"/>
    </row>
    <row r="528" spans="1:8" x14ac:dyDescent="0.3">
      <c r="A528" s="2"/>
      <c r="D528" s="4"/>
      <c r="F528" s="4"/>
      <c r="H528" s="4"/>
    </row>
    <row r="529" spans="1:8" x14ac:dyDescent="0.3">
      <c r="A529" s="2"/>
      <c r="D529" s="4"/>
      <c r="F529" s="4"/>
      <c r="H529" s="4"/>
    </row>
    <row r="530" spans="1:8" x14ac:dyDescent="0.3">
      <c r="A530" s="2"/>
      <c r="D530" s="4"/>
      <c r="F530" s="4"/>
      <c r="H530" s="4"/>
    </row>
    <row r="531" spans="1:8" x14ac:dyDescent="0.3">
      <c r="A531" s="2"/>
      <c r="D531" s="4"/>
      <c r="F531" s="4"/>
      <c r="H531" s="4"/>
    </row>
    <row r="532" spans="1:8" x14ac:dyDescent="0.3">
      <c r="A532" s="2"/>
      <c r="D532" s="4"/>
      <c r="F532" s="4"/>
      <c r="H532" s="4"/>
    </row>
    <row r="533" spans="1:8" x14ac:dyDescent="0.3">
      <c r="A533" s="2"/>
      <c r="D533" s="4"/>
      <c r="F533" s="4"/>
      <c r="H533" s="4"/>
    </row>
    <row r="534" spans="1:8" x14ac:dyDescent="0.3">
      <c r="A534" s="2"/>
      <c r="D534" s="4"/>
      <c r="F534" s="4"/>
      <c r="H534" s="4"/>
    </row>
    <row r="535" spans="1:8" x14ac:dyDescent="0.3">
      <c r="A535" s="2"/>
      <c r="D535" s="4"/>
      <c r="F535" s="4"/>
      <c r="H535" s="4"/>
    </row>
    <row r="536" spans="1:8" x14ac:dyDescent="0.3">
      <c r="A536" s="2"/>
      <c r="D536" s="4"/>
      <c r="F536" s="4"/>
      <c r="H536" s="4"/>
    </row>
    <row r="537" spans="1:8" x14ac:dyDescent="0.3">
      <c r="A537" s="2"/>
      <c r="D537" s="4"/>
      <c r="F537" s="4"/>
      <c r="H537" s="4"/>
    </row>
    <row r="538" spans="1:8" x14ac:dyDescent="0.3">
      <c r="A538" s="2"/>
      <c r="D538" s="4"/>
      <c r="F538" s="4"/>
      <c r="H538" s="4"/>
    </row>
    <row r="539" spans="1:8" x14ac:dyDescent="0.3">
      <c r="A539" s="2"/>
      <c r="D539" s="4"/>
      <c r="F539" s="4"/>
      <c r="H539" s="4"/>
    </row>
    <row r="540" spans="1:8" x14ac:dyDescent="0.3">
      <c r="A540" s="2"/>
      <c r="D540" s="4"/>
      <c r="F540" s="4"/>
      <c r="H540" s="4"/>
    </row>
    <row r="541" spans="1:8" x14ac:dyDescent="0.3">
      <c r="A541" s="2"/>
      <c r="D541" s="4"/>
      <c r="F541" s="4"/>
      <c r="H541" s="4"/>
    </row>
    <row r="542" spans="1:8" x14ac:dyDescent="0.3">
      <c r="A542" s="2"/>
      <c r="D542" s="4"/>
      <c r="F542" s="4"/>
      <c r="H542" s="4"/>
    </row>
    <row r="543" spans="1:8" x14ac:dyDescent="0.3">
      <c r="A543" s="2"/>
      <c r="D543" s="4"/>
      <c r="F543" s="4"/>
      <c r="H543" s="4"/>
    </row>
    <row r="544" spans="1:8" x14ac:dyDescent="0.3">
      <c r="A544" s="2"/>
      <c r="D544" s="4"/>
      <c r="F544" s="4"/>
      <c r="H544" s="4"/>
    </row>
    <row r="545" spans="1:8" x14ac:dyDescent="0.3">
      <c r="A545" s="2"/>
      <c r="D545" s="4"/>
      <c r="F545" s="4"/>
      <c r="H545" s="4"/>
    </row>
    <row r="546" spans="1:8" x14ac:dyDescent="0.3">
      <c r="A546" s="2"/>
      <c r="D546" s="4"/>
      <c r="F546" s="4"/>
      <c r="H546" s="4"/>
    </row>
    <row r="547" spans="1:8" x14ac:dyDescent="0.3">
      <c r="A547" s="2"/>
      <c r="D547" s="4"/>
      <c r="F547" s="4"/>
      <c r="H547" s="4"/>
    </row>
    <row r="548" spans="1:8" x14ac:dyDescent="0.3">
      <c r="A548" s="2"/>
      <c r="D548" s="4"/>
      <c r="F548" s="4"/>
      <c r="H548" s="4"/>
    </row>
    <row r="549" spans="1:8" x14ac:dyDescent="0.3">
      <c r="A549" s="2"/>
      <c r="D549" s="4"/>
      <c r="F549" s="4"/>
      <c r="H549" s="4"/>
    </row>
    <row r="550" spans="1:8" x14ac:dyDescent="0.3">
      <c r="A550" s="2"/>
      <c r="D550" s="4"/>
      <c r="F550" s="4"/>
      <c r="H550" s="4"/>
    </row>
    <row r="551" spans="1:8" x14ac:dyDescent="0.3">
      <c r="A551" s="2"/>
      <c r="D551" s="4"/>
      <c r="F551" s="4"/>
      <c r="H551" s="4"/>
    </row>
    <row r="552" spans="1:8" x14ac:dyDescent="0.3">
      <c r="A552" s="2"/>
      <c r="D552" s="4"/>
      <c r="F552" s="4"/>
      <c r="H552" s="4"/>
    </row>
    <row r="553" spans="1:8" x14ac:dyDescent="0.3">
      <c r="A553" s="2"/>
      <c r="D553" s="4"/>
      <c r="F553" s="4"/>
      <c r="H553" s="4"/>
    </row>
    <row r="554" spans="1:8" x14ac:dyDescent="0.3">
      <c r="A554" s="2"/>
      <c r="D554" s="4"/>
      <c r="F554" s="4"/>
      <c r="H554" s="4"/>
    </row>
    <row r="555" spans="1:8" x14ac:dyDescent="0.3">
      <c r="A555" s="2"/>
      <c r="D555" s="4"/>
      <c r="F555" s="4"/>
      <c r="H555" s="4"/>
    </row>
    <row r="556" spans="1:8" x14ac:dyDescent="0.3">
      <c r="A556" s="2"/>
      <c r="D556" s="4"/>
      <c r="F556" s="4"/>
      <c r="H556" s="4"/>
    </row>
    <row r="557" spans="1:8" x14ac:dyDescent="0.3">
      <c r="A557" s="2"/>
      <c r="D557" s="4"/>
      <c r="F557" s="4"/>
      <c r="H557" s="4"/>
    </row>
    <row r="558" spans="1:8" x14ac:dyDescent="0.3">
      <c r="A558" s="2"/>
      <c r="D558" s="4"/>
      <c r="F558" s="4"/>
      <c r="H558" s="4"/>
    </row>
    <row r="559" spans="1:8" x14ac:dyDescent="0.3">
      <c r="A559" s="2"/>
      <c r="D559" s="4"/>
      <c r="F559" s="4"/>
      <c r="H559" s="4"/>
    </row>
    <row r="560" spans="1:8" x14ac:dyDescent="0.3">
      <c r="A560" s="2"/>
      <c r="D560" s="4"/>
      <c r="F560" s="4"/>
      <c r="H560" s="4"/>
    </row>
    <row r="561" spans="1:8" x14ac:dyDescent="0.3">
      <c r="A561" s="2"/>
      <c r="D561" s="4"/>
      <c r="F561" s="4"/>
      <c r="H561" s="4"/>
    </row>
    <row r="562" spans="1:8" x14ac:dyDescent="0.3">
      <c r="A562" s="2"/>
      <c r="D562" s="4"/>
      <c r="F562" s="4"/>
      <c r="H562" s="4"/>
    </row>
    <row r="563" spans="1:8" x14ac:dyDescent="0.3">
      <c r="A563" s="2"/>
      <c r="D563" s="4"/>
      <c r="F563" s="4"/>
      <c r="H563" s="4"/>
    </row>
    <row r="564" spans="1:8" x14ac:dyDescent="0.3">
      <c r="A564" s="2"/>
      <c r="D564" s="4"/>
      <c r="F564" s="4"/>
      <c r="H564" s="4"/>
    </row>
    <row r="565" spans="1:8" x14ac:dyDescent="0.3">
      <c r="A565" s="2"/>
      <c r="D565" s="4"/>
      <c r="F565" s="4"/>
      <c r="H565" s="4"/>
    </row>
    <row r="566" spans="1:8" x14ac:dyDescent="0.3">
      <c r="A566" s="2"/>
      <c r="D566" s="4"/>
      <c r="F566" s="4"/>
      <c r="H566" s="4"/>
    </row>
    <row r="567" spans="1:8" x14ac:dyDescent="0.3">
      <c r="A567" s="2"/>
      <c r="D567" s="4"/>
      <c r="F567" s="4"/>
      <c r="H567" s="4"/>
    </row>
    <row r="568" spans="1:8" x14ac:dyDescent="0.3">
      <c r="A568" s="2"/>
      <c r="D568" s="4"/>
      <c r="F568" s="4"/>
      <c r="H568" s="4"/>
    </row>
    <row r="569" spans="1:8" x14ac:dyDescent="0.3">
      <c r="A569" s="2"/>
      <c r="D569" s="4"/>
      <c r="F569" s="4"/>
      <c r="H569" s="4"/>
    </row>
    <row r="570" spans="1:8" x14ac:dyDescent="0.3">
      <c r="A570" s="2"/>
      <c r="D570" s="4"/>
      <c r="F570" s="4"/>
      <c r="H570" s="4"/>
    </row>
    <row r="571" spans="1:8" x14ac:dyDescent="0.3">
      <c r="A571" s="2"/>
      <c r="D571" s="4"/>
      <c r="F571" s="4"/>
      <c r="H571" s="4"/>
    </row>
    <row r="572" spans="1:8" x14ac:dyDescent="0.3">
      <c r="A572" s="2"/>
      <c r="D572" s="4"/>
      <c r="F572" s="4"/>
      <c r="H572" s="4"/>
    </row>
    <row r="573" spans="1:8" x14ac:dyDescent="0.3">
      <c r="A573" s="2"/>
      <c r="D573" s="4"/>
      <c r="F573" s="4"/>
      <c r="H573" s="4"/>
    </row>
    <row r="574" spans="1:8" x14ac:dyDescent="0.3">
      <c r="A574" s="2"/>
      <c r="D574" s="4"/>
      <c r="F574" s="4"/>
      <c r="H574" s="4"/>
    </row>
    <row r="575" spans="1:8" x14ac:dyDescent="0.3">
      <c r="A575" s="2"/>
      <c r="D575" s="4"/>
      <c r="F575" s="4"/>
      <c r="H575" s="4"/>
    </row>
    <row r="576" spans="1:8" x14ac:dyDescent="0.3">
      <c r="A576" s="2"/>
      <c r="D576" s="4"/>
      <c r="F576" s="4"/>
      <c r="H576" s="4"/>
    </row>
    <row r="577" spans="1:8" x14ac:dyDescent="0.3">
      <c r="A577" s="3"/>
      <c r="D577" s="4"/>
      <c r="F577" s="4"/>
      <c r="H577" s="4"/>
    </row>
    <row r="578" spans="1:8" ht="14.4" customHeight="1" x14ac:dyDescent="0.3">
      <c r="D578" s="4"/>
      <c r="F578" s="4"/>
      <c r="H578" s="4"/>
    </row>
    <row r="579" spans="1:8" ht="14.4" customHeight="1" x14ac:dyDescent="0.3">
      <c r="D579" s="4"/>
      <c r="F579" s="4"/>
      <c r="H579" s="4"/>
    </row>
    <row r="580" spans="1:8" ht="14.4" customHeight="1" x14ac:dyDescent="0.3">
      <c r="D580" s="4"/>
      <c r="F580" s="4"/>
      <c r="H580" s="4"/>
    </row>
    <row r="581" spans="1:8" x14ac:dyDescent="0.3">
      <c r="A581" s="1"/>
      <c r="D581" s="4"/>
      <c r="F581" s="4"/>
      <c r="H581" s="4"/>
    </row>
    <row r="582" spans="1:8" x14ac:dyDescent="0.3">
      <c r="A582" s="1"/>
      <c r="D582" s="4"/>
      <c r="F582" s="4"/>
      <c r="H582" s="4"/>
    </row>
    <row r="583" spans="1:8" x14ac:dyDescent="0.3">
      <c r="A583" s="2"/>
      <c r="D583" s="4"/>
      <c r="F583" s="4"/>
      <c r="H583" s="4"/>
    </row>
    <row r="584" spans="1:8" x14ac:dyDescent="0.3">
      <c r="A584" s="2"/>
      <c r="D584" s="4"/>
      <c r="F584" s="4"/>
      <c r="H584" s="4"/>
    </row>
    <row r="585" spans="1:8" x14ac:dyDescent="0.3">
      <c r="A585" s="2"/>
      <c r="D585" s="4"/>
      <c r="F585" s="4"/>
      <c r="H585" s="4"/>
    </row>
    <row r="586" spans="1:8" x14ac:dyDescent="0.3">
      <c r="A586" s="2"/>
      <c r="D586" s="4"/>
      <c r="F586" s="4"/>
      <c r="H586" s="4"/>
    </row>
    <row r="587" spans="1:8" x14ac:dyDescent="0.3">
      <c r="A587" s="2"/>
      <c r="D587" s="4"/>
      <c r="F587" s="4"/>
      <c r="H587" s="4"/>
    </row>
    <row r="588" spans="1:8" x14ac:dyDescent="0.3">
      <c r="A588" s="2"/>
      <c r="D588" s="4"/>
      <c r="F588" s="4"/>
      <c r="H588" s="4"/>
    </row>
    <row r="589" spans="1:8" x14ac:dyDescent="0.3">
      <c r="A589" s="2"/>
      <c r="D589" s="4"/>
      <c r="F589" s="4"/>
      <c r="H589" s="4"/>
    </row>
    <row r="590" spans="1:8" x14ac:dyDescent="0.3">
      <c r="A590" s="2"/>
      <c r="D590" s="4"/>
      <c r="F590" s="4"/>
      <c r="H590" s="4"/>
    </row>
    <row r="591" spans="1:8" x14ac:dyDescent="0.3">
      <c r="A591" s="2"/>
      <c r="D591" s="4"/>
      <c r="F591" s="4"/>
      <c r="H591" s="4"/>
    </row>
    <row r="592" spans="1:8" x14ac:dyDescent="0.3">
      <c r="A592" s="2"/>
      <c r="D592" s="4"/>
      <c r="F592" s="4"/>
      <c r="H592" s="4"/>
    </row>
    <row r="593" spans="1:8" x14ac:dyDescent="0.3">
      <c r="A593" s="2"/>
      <c r="D593" s="4"/>
      <c r="F593" s="4"/>
      <c r="H593" s="4"/>
    </row>
    <row r="594" spans="1:8" x14ac:dyDescent="0.3">
      <c r="A594" s="2"/>
      <c r="D594" s="4"/>
      <c r="F594" s="4"/>
      <c r="H594" s="4"/>
    </row>
    <row r="595" spans="1:8" x14ac:dyDescent="0.3">
      <c r="A595" s="2"/>
      <c r="D595" s="4"/>
      <c r="F595" s="4"/>
      <c r="H595" s="4"/>
    </row>
    <row r="596" spans="1:8" x14ac:dyDescent="0.3">
      <c r="A596" s="2"/>
      <c r="D596" s="4"/>
      <c r="F596" s="4"/>
      <c r="H596" s="4"/>
    </row>
    <row r="597" spans="1:8" x14ac:dyDescent="0.3">
      <c r="A597" s="2"/>
      <c r="D597" s="4"/>
      <c r="F597" s="4"/>
      <c r="H597" s="4"/>
    </row>
    <row r="598" spans="1:8" x14ac:dyDescent="0.3">
      <c r="A598" s="2"/>
      <c r="D598" s="4"/>
      <c r="F598" s="4"/>
      <c r="H598" s="4"/>
    </row>
    <row r="599" spans="1:8" x14ac:dyDescent="0.3">
      <c r="A599" s="2"/>
      <c r="D599" s="4"/>
      <c r="F599" s="4"/>
      <c r="H599" s="4"/>
    </row>
    <row r="600" spans="1:8" x14ac:dyDescent="0.3">
      <c r="A600" s="2"/>
      <c r="D600" s="4"/>
      <c r="F600" s="4"/>
      <c r="H600" s="4"/>
    </row>
    <row r="601" spans="1:8" x14ac:dyDescent="0.3">
      <c r="A601" s="2"/>
      <c r="D601" s="4"/>
      <c r="F601" s="4"/>
      <c r="H601" s="4"/>
    </row>
    <row r="602" spans="1:8" x14ac:dyDescent="0.3">
      <c r="A602" s="2"/>
      <c r="D602" s="4"/>
      <c r="F602" s="4"/>
      <c r="H602" s="4"/>
    </row>
    <row r="603" spans="1:8" x14ac:dyDescent="0.3">
      <c r="A603" s="2"/>
      <c r="D603" s="4"/>
      <c r="F603" s="4"/>
      <c r="H603" s="4"/>
    </row>
    <row r="604" spans="1:8" x14ac:dyDescent="0.3">
      <c r="A604" s="2"/>
      <c r="D604" s="4"/>
      <c r="F604" s="4"/>
      <c r="H604" s="4"/>
    </row>
    <row r="605" spans="1:8" x14ac:dyDescent="0.3">
      <c r="A605" s="2"/>
      <c r="D605" s="4"/>
      <c r="F605" s="4"/>
      <c r="H605" s="4"/>
    </row>
    <row r="606" spans="1:8" x14ac:dyDescent="0.3">
      <c r="A606" s="2"/>
      <c r="D606" s="4"/>
      <c r="F606" s="4"/>
      <c r="H606" s="4"/>
    </row>
    <row r="607" spans="1:8" x14ac:dyDescent="0.3">
      <c r="A607" s="2"/>
      <c r="D607" s="4"/>
      <c r="F607" s="4"/>
      <c r="H607" s="4"/>
    </row>
    <row r="608" spans="1:8" x14ac:dyDescent="0.3">
      <c r="A608" s="2"/>
      <c r="D608" s="4"/>
      <c r="F608" s="4"/>
      <c r="H608" s="4"/>
    </row>
    <row r="609" spans="1:8" x14ac:dyDescent="0.3">
      <c r="A609" s="2"/>
      <c r="D609" s="4"/>
      <c r="F609" s="4"/>
      <c r="H609" s="4"/>
    </row>
    <row r="610" spans="1:8" x14ac:dyDescent="0.3">
      <c r="A610" s="2"/>
      <c r="D610" s="4"/>
      <c r="F610" s="4"/>
      <c r="H610" s="4"/>
    </row>
    <row r="611" spans="1:8" x14ac:dyDescent="0.3">
      <c r="A611" s="2"/>
      <c r="D611" s="4"/>
      <c r="F611" s="4"/>
      <c r="H611" s="4"/>
    </row>
    <row r="612" spans="1:8" x14ac:dyDescent="0.3">
      <c r="A612" s="2"/>
      <c r="D612" s="4"/>
      <c r="F612" s="4"/>
      <c r="H612" s="4"/>
    </row>
    <row r="613" spans="1:8" x14ac:dyDescent="0.3">
      <c r="A613" s="2"/>
      <c r="D613" s="4"/>
      <c r="F613" s="4"/>
      <c r="H613" s="4"/>
    </row>
    <row r="614" spans="1:8" x14ac:dyDescent="0.3">
      <c r="A614" s="2"/>
      <c r="D614" s="4"/>
      <c r="F614" s="4"/>
      <c r="H614" s="4"/>
    </row>
    <row r="615" spans="1:8" x14ac:dyDescent="0.3">
      <c r="A615" s="2"/>
      <c r="D615" s="4"/>
      <c r="F615" s="4"/>
      <c r="H615" s="4"/>
    </row>
    <row r="616" spans="1:8" x14ac:dyDescent="0.3">
      <c r="A616" s="2"/>
      <c r="D616" s="4"/>
      <c r="F616" s="4"/>
      <c r="H616" s="4"/>
    </row>
    <row r="617" spans="1:8" x14ac:dyDescent="0.3">
      <c r="A617" s="2"/>
      <c r="D617" s="4"/>
      <c r="F617" s="4"/>
      <c r="H617" s="4"/>
    </row>
    <row r="618" spans="1:8" x14ac:dyDescent="0.3">
      <c r="A618" s="2"/>
      <c r="D618" s="4"/>
      <c r="F618" s="4"/>
      <c r="H618" s="4"/>
    </row>
    <row r="619" spans="1:8" x14ac:dyDescent="0.3">
      <c r="A619" s="2"/>
      <c r="D619" s="4"/>
      <c r="F619" s="4"/>
      <c r="H619" s="4"/>
    </row>
    <row r="620" spans="1:8" x14ac:dyDescent="0.3">
      <c r="A620" s="2"/>
      <c r="D620" s="4"/>
      <c r="F620" s="4"/>
      <c r="H620" s="4"/>
    </row>
    <row r="621" spans="1:8" x14ac:dyDescent="0.3">
      <c r="A621" s="2"/>
      <c r="D621" s="4"/>
      <c r="F621" s="4"/>
      <c r="H621" s="4"/>
    </row>
    <row r="622" spans="1:8" x14ac:dyDescent="0.3">
      <c r="A622" s="2"/>
      <c r="D622" s="4"/>
      <c r="F622" s="4"/>
      <c r="H622" s="4"/>
    </row>
    <row r="623" spans="1:8" x14ac:dyDescent="0.3">
      <c r="A623" s="2"/>
      <c r="D623" s="4"/>
      <c r="F623" s="4"/>
      <c r="H623" s="4"/>
    </row>
    <row r="624" spans="1:8" x14ac:dyDescent="0.3">
      <c r="A624" s="2"/>
      <c r="D624" s="4"/>
      <c r="F624" s="4"/>
      <c r="H624" s="4"/>
    </row>
    <row r="625" spans="1:8" x14ac:dyDescent="0.3">
      <c r="A625" s="2"/>
      <c r="D625" s="4"/>
      <c r="F625" s="4"/>
      <c r="H625" s="4"/>
    </row>
    <row r="626" spans="1:8" x14ac:dyDescent="0.3">
      <c r="A626" s="2"/>
      <c r="D626" s="4"/>
      <c r="F626" s="4"/>
      <c r="H626" s="4"/>
    </row>
    <row r="627" spans="1:8" x14ac:dyDescent="0.3">
      <c r="A627" s="2"/>
      <c r="D627" s="4"/>
      <c r="F627" s="4"/>
      <c r="H627" s="4"/>
    </row>
    <row r="628" spans="1:8" x14ac:dyDescent="0.3">
      <c r="A628" s="2"/>
      <c r="D628" s="4"/>
      <c r="F628" s="4"/>
      <c r="H628" s="4"/>
    </row>
    <row r="629" spans="1:8" x14ac:dyDescent="0.3">
      <c r="A629" s="2"/>
      <c r="D629" s="4"/>
      <c r="F629" s="4"/>
      <c r="H629" s="4"/>
    </row>
    <row r="630" spans="1:8" x14ac:dyDescent="0.3">
      <c r="A630" s="2"/>
      <c r="D630" s="4"/>
      <c r="F630" s="4"/>
      <c r="H630" s="4"/>
    </row>
    <row r="631" spans="1:8" x14ac:dyDescent="0.3">
      <c r="A631" s="2"/>
      <c r="D631" s="4"/>
      <c r="F631" s="4"/>
      <c r="H631" s="4"/>
    </row>
    <row r="632" spans="1:8" x14ac:dyDescent="0.3">
      <c r="A632" s="2"/>
      <c r="D632" s="4"/>
      <c r="F632" s="4"/>
      <c r="H632" s="4"/>
    </row>
    <row r="633" spans="1:8" x14ac:dyDescent="0.3">
      <c r="A633" s="2"/>
      <c r="D633" s="4"/>
      <c r="F633" s="4"/>
      <c r="H633" s="4"/>
    </row>
    <row r="634" spans="1:8" x14ac:dyDescent="0.3">
      <c r="A634" s="2"/>
      <c r="D634" s="4"/>
      <c r="F634" s="4"/>
      <c r="H634" s="4"/>
    </row>
    <row r="635" spans="1:8" x14ac:dyDescent="0.3">
      <c r="A635" s="2"/>
      <c r="D635" s="4"/>
      <c r="F635" s="4"/>
      <c r="H635" s="4"/>
    </row>
    <row r="636" spans="1:8" x14ac:dyDescent="0.3">
      <c r="A636" s="2"/>
      <c r="D636" s="4"/>
      <c r="F636" s="4"/>
      <c r="H636" s="4"/>
    </row>
    <row r="637" spans="1:8" x14ac:dyDescent="0.3">
      <c r="A637" s="2"/>
      <c r="D637" s="4"/>
      <c r="F637" s="4"/>
      <c r="H637" s="4"/>
    </row>
    <row r="638" spans="1:8" x14ac:dyDescent="0.3">
      <c r="A638" s="2"/>
      <c r="D638" s="4"/>
      <c r="F638" s="4"/>
      <c r="H638" s="4"/>
    </row>
    <row r="639" spans="1:8" x14ac:dyDescent="0.3">
      <c r="A639" s="2"/>
      <c r="D639" s="4"/>
      <c r="F639" s="4"/>
      <c r="H639" s="4"/>
    </row>
    <row r="640" spans="1:8" x14ac:dyDescent="0.3">
      <c r="A640" s="2"/>
      <c r="D640" s="4"/>
      <c r="F640" s="4"/>
      <c r="H640" s="4"/>
    </row>
    <row r="641" spans="1:8" x14ac:dyDescent="0.3">
      <c r="A641" s="2"/>
      <c r="D641" s="4"/>
      <c r="F641" s="4"/>
      <c r="H641" s="4"/>
    </row>
    <row r="642" spans="1:8" x14ac:dyDescent="0.3">
      <c r="A642" s="2"/>
      <c r="D642" s="4"/>
      <c r="F642" s="4"/>
      <c r="H642" s="4"/>
    </row>
    <row r="643" spans="1:8" x14ac:dyDescent="0.3">
      <c r="A643" s="2"/>
      <c r="D643" s="4"/>
      <c r="F643" s="4"/>
      <c r="H643" s="4"/>
    </row>
    <row r="644" spans="1:8" x14ac:dyDescent="0.3">
      <c r="A644" s="2"/>
      <c r="D644" s="4"/>
      <c r="F644" s="4"/>
      <c r="H644" s="4"/>
    </row>
    <row r="645" spans="1:8" x14ac:dyDescent="0.3">
      <c r="A645" s="2"/>
      <c r="D645" s="4"/>
      <c r="F645" s="4"/>
      <c r="H645" s="4"/>
    </row>
    <row r="646" spans="1:8" x14ac:dyDescent="0.3">
      <c r="A646" s="2"/>
      <c r="D646" s="4"/>
      <c r="F646" s="4"/>
      <c r="H646" s="4"/>
    </row>
    <row r="647" spans="1:8" x14ac:dyDescent="0.3">
      <c r="A647" s="2"/>
      <c r="D647" s="4"/>
      <c r="F647" s="4"/>
      <c r="H647" s="4"/>
    </row>
    <row r="648" spans="1:8" x14ac:dyDescent="0.3">
      <c r="A648" s="2"/>
      <c r="D648" s="4"/>
      <c r="F648" s="4"/>
      <c r="H648" s="4"/>
    </row>
    <row r="649" spans="1:8" x14ac:dyDescent="0.3">
      <c r="A649" s="2"/>
      <c r="D649" s="4"/>
      <c r="F649" s="4"/>
      <c r="H649" s="4"/>
    </row>
    <row r="650" spans="1:8" x14ac:dyDescent="0.3">
      <c r="A650" s="3"/>
      <c r="D650" s="4"/>
      <c r="F650" s="4"/>
      <c r="H650" s="4"/>
    </row>
    <row r="651" spans="1:8" ht="14.4" customHeight="1" x14ac:dyDescent="0.3">
      <c r="D651" s="4"/>
      <c r="F651" s="4"/>
      <c r="H651" s="4"/>
    </row>
    <row r="652" spans="1:8" ht="14.4" customHeight="1" x14ac:dyDescent="0.3">
      <c r="D652" s="4"/>
      <c r="F652" s="4"/>
      <c r="H652" s="4"/>
    </row>
    <row r="653" spans="1:8" ht="14.4" customHeight="1" x14ac:dyDescent="0.3">
      <c r="D653" s="4"/>
      <c r="F653" s="4"/>
      <c r="H653" s="4"/>
    </row>
    <row r="654" spans="1:8" x14ac:dyDescent="0.3">
      <c r="A654" s="1"/>
      <c r="D654" s="4"/>
      <c r="F654" s="4"/>
      <c r="H654" s="4"/>
    </row>
    <row r="655" spans="1:8" x14ac:dyDescent="0.3">
      <c r="A655" s="1"/>
      <c r="D655" s="4"/>
      <c r="F655" s="4"/>
      <c r="H655" s="4"/>
    </row>
    <row r="656" spans="1:8" x14ac:dyDescent="0.3">
      <c r="A656" s="2"/>
      <c r="D656" s="4"/>
      <c r="F656" s="4"/>
      <c r="H656" s="4"/>
    </row>
    <row r="657" spans="1:8" x14ac:dyDescent="0.3">
      <c r="A657" s="2"/>
      <c r="D657" s="4"/>
      <c r="F657" s="4"/>
      <c r="H657" s="4"/>
    </row>
    <row r="658" spans="1:8" x14ac:dyDescent="0.3">
      <c r="A658" s="2"/>
      <c r="D658" s="4"/>
      <c r="F658" s="4"/>
      <c r="H658" s="4"/>
    </row>
    <row r="659" spans="1:8" x14ac:dyDescent="0.3">
      <c r="A659" s="2"/>
      <c r="D659" s="4"/>
      <c r="F659" s="4"/>
      <c r="H659" s="4"/>
    </row>
    <row r="660" spans="1:8" x14ac:dyDescent="0.3">
      <c r="A660" s="2"/>
      <c r="D660" s="4"/>
      <c r="F660" s="4"/>
      <c r="H660" s="4"/>
    </row>
    <row r="661" spans="1:8" x14ac:dyDescent="0.3">
      <c r="A661" s="2"/>
      <c r="D661" s="4"/>
      <c r="F661" s="4"/>
      <c r="H661" s="4"/>
    </row>
    <row r="662" spans="1:8" x14ac:dyDescent="0.3">
      <c r="A662" s="2"/>
      <c r="D662" s="4"/>
      <c r="F662" s="4"/>
      <c r="H662" s="4"/>
    </row>
    <row r="663" spans="1:8" x14ac:dyDescent="0.3">
      <c r="A663" s="2"/>
      <c r="D663" s="4"/>
      <c r="F663" s="4"/>
      <c r="H663" s="4"/>
    </row>
    <row r="664" spans="1:8" x14ac:dyDescent="0.3">
      <c r="A664" s="2"/>
      <c r="D664" s="4"/>
      <c r="F664" s="4"/>
      <c r="H664" s="4"/>
    </row>
    <row r="665" spans="1:8" x14ac:dyDescent="0.3">
      <c r="A665" s="2"/>
      <c r="D665" s="4"/>
      <c r="F665" s="4"/>
      <c r="H665" s="4"/>
    </row>
    <row r="666" spans="1:8" x14ac:dyDescent="0.3">
      <c r="A666" s="2"/>
      <c r="D666" s="4"/>
      <c r="F666" s="4"/>
      <c r="H666" s="4"/>
    </row>
    <row r="667" spans="1:8" x14ac:dyDescent="0.3">
      <c r="A667" s="2"/>
      <c r="D667" s="4"/>
      <c r="F667" s="4"/>
      <c r="H667" s="4"/>
    </row>
    <row r="668" spans="1:8" x14ac:dyDescent="0.3">
      <c r="A668" s="2"/>
      <c r="D668" s="4"/>
      <c r="F668" s="4"/>
      <c r="H668" s="4"/>
    </row>
    <row r="669" spans="1:8" x14ac:dyDescent="0.3">
      <c r="A669" s="2"/>
      <c r="D669" s="4"/>
      <c r="F669" s="4"/>
      <c r="H669" s="4"/>
    </row>
    <row r="670" spans="1:8" x14ac:dyDescent="0.3">
      <c r="A670" s="2"/>
      <c r="D670" s="4"/>
      <c r="F670" s="4"/>
      <c r="H670" s="4"/>
    </row>
    <row r="671" spans="1:8" x14ac:dyDescent="0.3">
      <c r="A671" s="2"/>
      <c r="D671" s="4"/>
      <c r="F671" s="4"/>
      <c r="H671" s="4"/>
    </row>
    <row r="672" spans="1:8" x14ac:dyDescent="0.3">
      <c r="A672" s="2"/>
      <c r="D672" s="4"/>
      <c r="F672" s="4"/>
      <c r="H672" s="4"/>
    </row>
    <row r="673" spans="1:8" x14ac:dyDescent="0.3">
      <c r="A673" s="2"/>
      <c r="D673" s="4"/>
      <c r="F673" s="4"/>
      <c r="H673" s="4"/>
    </row>
    <row r="674" spans="1:8" x14ac:dyDescent="0.3">
      <c r="A674" s="2"/>
      <c r="D674" s="4"/>
      <c r="F674" s="4"/>
      <c r="H674" s="4"/>
    </row>
    <row r="675" spans="1:8" x14ac:dyDescent="0.3">
      <c r="A675" s="2"/>
      <c r="D675" s="4"/>
      <c r="F675" s="4"/>
      <c r="H675" s="4"/>
    </row>
    <row r="676" spans="1:8" x14ac:dyDescent="0.3">
      <c r="A676" s="2"/>
      <c r="D676" s="4"/>
      <c r="F676" s="4"/>
      <c r="H676" s="4"/>
    </row>
    <row r="677" spans="1:8" x14ac:dyDescent="0.3">
      <c r="A677" s="2"/>
      <c r="D677" s="4"/>
      <c r="F677" s="4"/>
      <c r="H677" s="4"/>
    </row>
    <row r="678" spans="1:8" x14ac:dyDescent="0.3">
      <c r="A678" s="2"/>
      <c r="D678" s="4"/>
      <c r="F678" s="4"/>
      <c r="H678" s="4"/>
    </row>
    <row r="679" spans="1:8" x14ac:dyDescent="0.3">
      <c r="A679" s="2"/>
      <c r="D679" s="4"/>
      <c r="F679" s="4"/>
      <c r="H679" s="4"/>
    </row>
    <row r="680" spans="1:8" x14ac:dyDescent="0.3">
      <c r="A680" s="2"/>
      <c r="D680" s="4"/>
      <c r="F680" s="4"/>
      <c r="H680" s="4"/>
    </row>
    <row r="681" spans="1:8" x14ac:dyDescent="0.3">
      <c r="A681" s="2"/>
      <c r="D681" s="4"/>
      <c r="F681" s="4"/>
      <c r="H681" s="4"/>
    </row>
    <row r="682" spans="1:8" x14ac:dyDescent="0.3">
      <c r="A682" s="2"/>
      <c r="D682" s="4"/>
      <c r="F682" s="4"/>
      <c r="H682" s="4"/>
    </row>
    <row r="683" spans="1:8" x14ac:dyDescent="0.3">
      <c r="A683" s="2"/>
      <c r="D683" s="4"/>
      <c r="F683" s="4"/>
      <c r="H683" s="4"/>
    </row>
    <row r="684" spans="1:8" x14ac:dyDescent="0.3">
      <c r="A684" s="2"/>
      <c r="D684" s="4"/>
      <c r="F684" s="4"/>
      <c r="H684" s="4"/>
    </row>
    <row r="685" spans="1:8" x14ac:dyDescent="0.3">
      <c r="A685" s="2"/>
      <c r="D685" s="4"/>
      <c r="F685" s="4"/>
      <c r="H685" s="4"/>
    </row>
    <row r="686" spans="1:8" x14ac:dyDescent="0.3">
      <c r="A686" s="2"/>
      <c r="D686" s="4"/>
      <c r="F686" s="4"/>
      <c r="H686" s="4"/>
    </row>
    <row r="687" spans="1:8" x14ac:dyDescent="0.3">
      <c r="A687" s="2"/>
      <c r="D687" s="4"/>
      <c r="F687" s="4"/>
      <c r="H687" s="4"/>
    </row>
    <row r="688" spans="1:8" x14ac:dyDescent="0.3">
      <c r="A688" s="2"/>
      <c r="D688" s="4"/>
      <c r="F688" s="4"/>
      <c r="H688" s="4"/>
    </row>
    <row r="689" spans="1:8" x14ac:dyDescent="0.3">
      <c r="A689" s="2"/>
      <c r="D689" s="4"/>
      <c r="F689" s="4"/>
      <c r="H689" s="4"/>
    </row>
    <row r="690" spans="1:8" x14ac:dyDescent="0.3">
      <c r="A690" s="2"/>
      <c r="D690" s="4"/>
      <c r="F690" s="4"/>
      <c r="H690" s="4"/>
    </row>
    <row r="691" spans="1:8" x14ac:dyDescent="0.3">
      <c r="A691" s="2"/>
      <c r="D691" s="4"/>
      <c r="F691" s="4"/>
      <c r="H691" s="4"/>
    </row>
    <row r="692" spans="1:8" x14ac:dyDescent="0.3">
      <c r="A692" s="2"/>
      <c r="D692" s="4"/>
      <c r="F692" s="4"/>
      <c r="H692" s="4"/>
    </row>
    <row r="693" spans="1:8" x14ac:dyDescent="0.3">
      <c r="A693" s="2"/>
      <c r="D693" s="4"/>
      <c r="F693" s="4"/>
      <c r="H693" s="4"/>
    </row>
    <row r="694" spans="1:8" x14ac:dyDescent="0.3">
      <c r="A694" s="2"/>
      <c r="D694" s="4"/>
      <c r="F694" s="4"/>
      <c r="H694" s="4"/>
    </row>
    <row r="695" spans="1:8" x14ac:dyDescent="0.3">
      <c r="A695" s="2"/>
      <c r="D695" s="4"/>
      <c r="F695" s="4"/>
      <c r="H695" s="4"/>
    </row>
    <row r="696" spans="1:8" x14ac:dyDescent="0.3">
      <c r="A696" s="2"/>
      <c r="D696" s="4"/>
      <c r="F696" s="4"/>
      <c r="H696" s="4"/>
    </row>
    <row r="697" spans="1:8" x14ac:dyDescent="0.3">
      <c r="A697" s="2"/>
      <c r="D697" s="4"/>
      <c r="F697" s="4"/>
      <c r="H697" s="4"/>
    </row>
    <row r="698" spans="1:8" x14ac:dyDescent="0.3">
      <c r="A698" s="2"/>
      <c r="D698" s="4"/>
      <c r="F698" s="4"/>
      <c r="H698" s="4"/>
    </row>
    <row r="699" spans="1:8" x14ac:dyDescent="0.3">
      <c r="A699" s="2"/>
      <c r="D699" s="4"/>
      <c r="F699" s="4"/>
      <c r="H699" s="4"/>
    </row>
    <row r="700" spans="1:8" x14ac:dyDescent="0.3">
      <c r="A700" s="2"/>
      <c r="D700" s="4"/>
      <c r="F700" s="4"/>
      <c r="H700" s="4"/>
    </row>
    <row r="701" spans="1:8" x14ac:dyDescent="0.3">
      <c r="A701" s="2"/>
      <c r="D701" s="4"/>
      <c r="F701" s="4"/>
      <c r="H701" s="4"/>
    </row>
    <row r="702" spans="1:8" x14ac:dyDescent="0.3">
      <c r="A702" s="2"/>
      <c r="D702" s="4"/>
      <c r="F702" s="4"/>
      <c r="H702" s="4"/>
    </row>
    <row r="703" spans="1:8" x14ac:dyDescent="0.3">
      <c r="A703" s="2"/>
      <c r="D703" s="4"/>
      <c r="F703" s="4"/>
      <c r="H703" s="4"/>
    </row>
    <row r="704" spans="1:8" x14ac:dyDescent="0.3">
      <c r="A704" s="2"/>
      <c r="D704" s="4"/>
      <c r="F704" s="4"/>
      <c r="H704" s="4"/>
    </row>
    <row r="705" spans="1:8" x14ac:dyDescent="0.3">
      <c r="A705" s="2"/>
      <c r="D705" s="4"/>
      <c r="F705" s="4"/>
      <c r="H705" s="4"/>
    </row>
    <row r="706" spans="1:8" x14ac:dyDescent="0.3">
      <c r="A706" s="2"/>
      <c r="D706" s="4"/>
      <c r="F706" s="4"/>
      <c r="H706" s="4"/>
    </row>
    <row r="707" spans="1:8" x14ac:dyDescent="0.3">
      <c r="A707" s="2"/>
      <c r="D707" s="4"/>
      <c r="F707" s="4"/>
      <c r="H707" s="4"/>
    </row>
    <row r="708" spans="1:8" x14ac:dyDescent="0.3">
      <c r="A708" s="2"/>
      <c r="D708" s="4"/>
      <c r="F708" s="4"/>
      <c r="H708" s="4"/>
    </row>
    <row r="709" spans="1:8" x14ac:dyDescent="0.3">
      <c r="A709" s="2"/>
      <c r="D709" s="4"/>
      <c r="F709" s="4"/>
      <c r="H709" s="4"/>
    </row>
    <row r="710" spans="1:8" x14ac:dyDescent="0.3">
      <c r="A710" s="2"/>
      <c r="D710" s="4"/>
      <c r="F710" s="4"/>
      <c r="H710" s="4"/>
    </row>
    <row r="711" spans="1:8" x14ac:dyDescent="0.3">
      <c r="A711" s="2"/>
      <c r="D711" s="4"/>
      <c r="F711" s="4"/>
      <c r="H711" s="4"/>
    </row>
    <row r="712" spans="1:8" x14ac:dyDescent="0.3">
      <c r="A712" s="2"/>
      <c r="D712" s="4"/>
      <c r="F712" s="4"/>
      <c r="H712" s="4"/>
    </row>
    <row r="713" spans="1:8" x14ac:dyDescent="0.3">
      <c r="A713" s="2"/>
      <c r="D713" s="4"/>
      <c r="F713" s="4"/>
      <c r="H713" s="4"/>
    </row>
    <row r="714" spans="1:8" x14ac:dyDescent="0.3">
      <c r="A714" s="2"/>
      <c r="D714" s="4"/>
      <c r="F714" s="4"/>
      <c r="H714" s="4"/>
    </row>
    <row r="715" spans="1:8" x14ac:dyDescent="0.3">
      <c r="A715" s="2"/>
      <c r="D715" s="4"/>
      <c r="F715" s="4"/>
      <c r="H715" s="4"/>
    </row>
    <row r="716" spans="1:8" x14ac:dyDescent="0.3">
      <c r="A716" s="2"/>
      <c r="D716" s="4"/>
      <c r="F716" s="4"/>
      <c r="H716" s="4"/>
    </row>
    <row r="717" spans="1:8" x14ac:dyDescent="0.3">
      <c r="A717" s="2"/>
      <c r="D717" s="4"/>
      <c r="F717" s="4"/>
      <c r="H717" s="4"/>
    </row>
    <row r="718" spans="1:8" x14ac:dyDescent="0.3">
      <c r="A718" s="2"/>
      <c r="D718" s="4"/>
      <c r="F718" s="4"/>
      <c r="H718" s="4"/>
    </row>
    <row r="719" spans="1:8" x14ac:dyDescent="0.3">
      <c r="A719" s="2"/>
      <c r="D719" s="4"/>
      <c r="F719" s="4"/>
      <c r="H719" s="4"/>
    </row>
    <row r="720" spans="1:8" x14ac:dyDescent="0.3">
      <c r="A720" s="2"/>
      <c r="D720" s="4"/>
      <c r="F720" s="4"/>
      <c r="H720" s="4"/>
    </row>
    <row r="721" spans="1:8" x14ac:dyDescent="0.3">
      <c r="A721" s="2"/>
      <c r="D721" s="4"/>
      <c r="F721" s="4"/>
      <c r="H721" s="4"/>
    </row>
    <row r="722" spans="1:8" x14ac:dyDescent="0.3">
      <c r="A722" s="2"/>
      <c r="D722" s="4"/>
      <c r="F722" s="4"/>
      <c r="H722" s="4"/>
    </row>
    <row r="723" spans="1:8" x14ac:dyDescent="0.3">
      <c r="A723" s="3"/>
      <c r="D723" s="4"/>
      <c r="F723" s="4"/>
      <c r="H723" s="4"/>
    </row>
    <row r="724" spans="1:8" ht="14.4" customHeight="1" x14ac:dyDescent="0.3">
      <c r="D724" s="4"/>
      <c r="F724" s="4"/>
      <c r="H724" s="4"/>
    </row>
    <row r="725" spans="1:8" ht="14.4" customHeight="1" x14ac:dyDescent="0.3">
      <c r="D725" s="4"/>
      <c r="F725" s="4"/>
      <c r="H725" s="4"/>
    </row>
    <row r="726" spans="1:8" ht="14.4" customHeight="1" x14ac:dyDescent="0.3">
      <c r="D726" s="4"/>
      <c r="F726" s="4"/>
      <c r="H726" s="4"/>
    </row>
    <row r="727" spans="1:8" x14ac:dyDescent="0.3">
      <c r="A727" s="1"/>
      <c r="D727" s="4"/>
      <c r="F727" s="4"/>
      <c r="H727" s="4"/>
    </row>
    <row r="728" spans="1:8" x14ac:dyDescent="0.3">
      <c r="A728" s="1"/>
      <c r="D728" s="4"/>
      <c r="F728" s="4"/>
      <c r="H728" s="4"/>
    </row>
    <row r="729" spans="1:8" x14ac:dyDescent="0.3">
      <c r="A729" s="2"/>
      <c r="D729" s="4"/>
      <c r="F729" s="4"/>
      <c r="H729" s="4"/>
    </row>
    <row r="730" spans="1:8" x14ac:dyDescent="0.3">
      <c r="A730" s="2"/>
      <c r="D730" s="4"/>
      <c r="F730" s="4"/>
      <c r="H730" s="4"/>
    </row>
    <row r="731" spans="1:8" x14ac:dyDescent="0.3">
      <c r="A731" s="2"/>
      <c r="D731" s="4"/>
      <c r="F731" s="4"/>
      <c r="H731" s="4"/>
    </row>
    <row r="732" spans="1:8" x14ac:dyDescent="0.3">
      <c r="A732" s="2"/>
      <c r="D732" s="4"/>
      <c r="F732" s="4"/>
      <c r="H732" s="4"/>
    </row>
    <row r="733" spans="1:8" x14ac:dyDescent="0.3">
      <c r="A733" s="2"/>
      <c r="D733" s="4"/>
      <c r="F733" s="4"/>
      <c r="H733" s="4"/>
    </row>
    <row r="734" spans="1:8" x14ac:dyDescent="0.3">
      <c r="A734" s="2"/>
      <c r="D734" s="4"/>
      <c r="F734" s="4"/>
      <c r="H734" s="4"/>
    </row>
    <row r="735" spans="1:8" x14ac:dyDescent="0.3">
      <c r="A735" s="2"/>
      <c r="D735" s="4"/>
      <c r="F735" s="4"/>
      <c r="H735" s="4"/>
    </row>
    <row r="736" spans="1:8" x14ac:dyDescent="0.3">
      <c r="A736" s="2"/>
      <c r="D736" s="4"/>
      <c r="F736" s="4"/>
      <c r="H736" s="4"/>
    </row>
    <row r="737" spans="1:8" x14ac:dyDescent="0.3">
      <c r="A737" s="2"/>
      <c r="D737" s="4"/>
      <c r="F737" s="4"/>
      <c r="H737" s="4"/>
    </row>
    <row r="738" spans="1:8" x14ac:dyDescent="0.3">
      <c r="A738" s="2"/>
      <c r="D738" s="4"/>
      <c r="F738" s="4"/>
      <c r="H738" s="4"/>
    </row>
    <row r="739" spans="1:8" x14ac:dyDescent="0.3">
      <c r="A739" s="2"/>
      <c r="D739" s="4"/>
      <c r="F739" s="4"/>
      <c r="H739" s="4"/>
    </row>
    <row r="740" spans="1:8" x14ac:dyDescent="0.3">
      <c r="A740" s="2"/>
      <c r="D740" s="4"/>
      <c r="F740" s="4"/>
      <c r="H740" s="4"/>
    </row>
    <row r="741" spans="1:8" x14ac:dyDescent="0.3">
      <c r="A741" s="2"/>
      <c r="D741" s="4"/>
      <c r="F741" s="4"/>
      <c r="H741" s="4"/>
    </row>
    <row r="742" spans="1:8" x14ac:dyDescent="0.3">
      <c r="A742" s="2"/>
      <c r="D742" s="4"/>
      <c r="F742" s="4"/>
      <c r="H742" s="4"/>
    </row>
    <row r="743" spans="1:8" x14ac:dyDescent="0.3">
      <c r="A743" s="2"/>
      <c r="D743" s="4"/>
      <c r="F743" s="4"/>
      <c r="H743" s="4"/>
    </row>
    <row r="744" spans="1:8" x14ac:dyDescent="0.3">
      <c r="A744" s="2"/>
      <c r="D744" s="4"/>
      <c r="F744" s="4"/>
      <c r="H744" s="4"/>
    </row>
    <row r="745" spans="1:8" x14ac:dyDescent="0.3">
      <c r="A745" s="2"/>
      <c r="D745" s="4"/>
      <c r="F745" s="4"/>
      <c r="H745" s="4"/>
    </row>
    <row r="746" spans="1:8" x14ac:dyDescent="0.3">
      <c r="A746" s="2"/>
      <c r="D746" s="4"/>
      <c r="F746" s="4"/>
      <c r="H746" s="4"/>
    </row>
    <row r="747" spans="1:8" x14ac:dyDescent="0.3">
      <c r="A747" s="2"/>
      <c r="D747" s="4"/>
      <c r="F747" s="4"/>
      <c r="H747" s="4"/>
    </row>
    <row r="748" spans="1:8" x14ac:dyDescent="0.3">
      <c r="A748" s="2"/>
      <c r="D748" s="4"/>
      <c r="F748" s="4"/>
      <c r="H748" s="4"/>
    </row>
    <row r="749" spans="1:8" x14ac:dyDescent="0.3">
      <c r="A749" s="2"/>
      <c r="D749" s="4"/>
      <c r="F749" s="4"/>
      <c r="H749" s="4"/>
    </row>
    <row r="750" spans="1:8" x14ac:dyDescent="0.3">
      <c r="A750" s="2"/>
      <c r="D750" s="4"/>
      <c r="F750" s="4"/>
      <c r="H750" s="4"/>
    </row>
    <row r="751" spans="1:8" x14ac:dyDescent="0.3">
      <c r="A751" s="2"/>
      <c r="D751" s="4"/>
      <c r="F751" s="4"/>
      <c r="H751" s="4"/>
    </row>
    <row r="752" spans="1:8" x14ac:dyDescent="0.3">
      <c r="A752" s="2"/>
      <c r="D752" s="4"/>
      <c r="F752" s="4"/>
      <c r="H752" s="4"/>
    </row>
    <row r="753" spans="1:8" x14ac:dyDescent="0.3">
      <c r="A753" s="2"/>
      <c r="D753" s="4"/>
      <c r="F753" s="4"/>
      <c r="H753" s="4"/>
    </row>
    <row r="754" spans="1:8" x14ac:dyDescent="0.3">
      <c r="A754" s="2"/>
      <c r="D754" s="4"/>
      <c r="F754" s="4"/>
      <c r="H754" s="4"/>
    </row>
    <row r="755" spans="1:8" x14ac:dyDescent="0.3">
      <c r="A755" s="2"/>
      <c r="D755" s="4"/>
      <c r="F755" s="4"/>
      <c r="H755" s="4"/>
    </row>
    <row r="756" spans="1:8" x14ac:dyDescent="0.3">
      <c r="A756" s="2"/>
      <c r="D756" s="4"/>
      <c r="F756" s="4"/>
      <c r="H756" s="4"/>
    </row>
    <row r="757" spans="1:8" x14ac:dyDescent="0.3">
      <c r="A757" s="2"/>
      <c r="D757" s="4"/>
      <c r="F757" s="4"/>
      <c r="H757" s="4"/>
    </row>
    <row r="758" spans="1:8" x14ac:dyDescent="0.3">
      <c r="A758" s="2"/>
      <c r="D758" s="4"/>
      <c r="F758" s="4"/>
      <c r="H758" s="4"/>
    </row>
    <row r="759" spans="1:8" x14ac:dyDescent="0.3">
      <c r="A759" s="2"/>
      <c r="D759" s="4"/>
      <c r="F759" s="4"/>
      <c r="H759" s="4"/>
    </row>
    <row r="760" spans="1:8" x14ac:dyDescent="0.3">
      <c r="A760" s="2"/>
      <c r="D760" s="4"/>
      <c r="F760" s="4"/>
      <c r="H760" s="4"/>
    </row>
    <row r="761" spans="1:8" x14ac:dyDescent="0.3">
      <c r="A761" s="2"/>
      <c r="D761" s="4"/>
      <c r="F761" s="4"/>
      <c r="H761" s="4"/>
    </row>
    <row r="762" spans="1:8" x14ac:dyDescent="0.3">
      <c r="A762" s="2"/>
      <c r="D762" s="4"/>
      <c r="F762" s="4"/>
      <c r="H762" s="4"/>
    </row>
    <row r="763" spans="1:8" x14ac:dyDescent="0.3">
      <c r="A763" s="2"/>
      <c r="D763" s="4"/>
      <c r="F763" s="4"/>
      <c r="H763" s="4"/>
    </row>
    <row r="764" spans="1:8" x14ac:dyDescent="0.3">
      <c r="A764" s="2"/>
      <c r="D764" s="4"/>
      <c r="F764" s="4"/>
      <c r="H764" s="4"/>
    </row>
    <row r="765" spans="1:8" x14ac:dyDescent="0.3">
      <c r="A765" s="2"/>
      <c r="D765" s="4"/>
      <c r="F765" s="4"/>
      <c r="H765" s="4"/>
    </row>
    <row r="766" spans="1:8" x14ac:dyDescent="0.3">
      <c r="A766" s="2"/>
      <c r="D766" s="4"/>
      <c r="F766" s="4"/>
      <c r="H766" s="4"/>
    </row>
    <row r="767" spans="1:8" x14ac:dyDescent="0.3">
      <c r="A767" s="2"/>
      <c r="D767" s="4"/>
      <c r="F767" s="4"/>
      <c r="H767" s="4"/>
    </row>
    <row r="768" spans="1:8" x14ac:dyDescent="0.3">
      <c r="A768" s="2"/>
      <c r="D768" s="4"/>
      <c r="F768" s="4"/>
      <c r="H768" s="4"/>
    </row>
    <row r="769" spans="1:8" x14ac:dyDescent="0.3">
      <c r="A769" s="2"/>
      <c r="D769" s="4"/>
      <c r="F769" s="4"/>
      <c r="H769" s="4"/>
    </row>
    <row r="770" spans="1:8" x14ac:dyDescent="0.3">
      <c r="A770" s="2"/>
      <c r="D770" s="4"/>
      <c r="F770" s="4"/>
      <c r="H770" s="4"/>
    </row>
    <row r="771" spans="1:8" x14ac:dyDescent="0.3">
      <c r="A771" s="2"/>
      <c r="D771" s="4"/>
      <c r="F771" s="4"/>
      <c r="H771" s="4"/>
    </row>
    <row r="772" spans="1:8" x14ac:dyDescent="0.3">
      <c r="A772" s="2"/>
      <c r="D772" s="4"/>
      <c r="F772" s="4"/>
      <c r="H772" s="4"/>
    </row>
    <row r="773" spans="1:8" x14ac:dyDescent="0.3">
      <c r="A773" s="2"/>
      <c r="D773" s="4"/>
      <c r="F773" s="4"/>
      <c r="H773" s="4"/>
    </row>
    <row r="774" spans="1:8" x14ac:dyDescent="0.3">
      <c r="A774" s="2"/>
      <c r="D774" s="4"/>
      <c r="F774" s="4"/>
      <c r="H774" s="4"/>
    </row>
    <row r="775" spans="1:8" x14ac:dyDescent="0.3">
      <c r="A775" s="2"/>
      <c r="D775" s="4"/>
      <c r="F775" s="4"/>
      <c r="H775" s="4"/>
    </row>
    <row r="776" spans="1:8" x14ac:dyDescent="0.3">
      <c r="A776" s="2"/>
      <c r="D776" s="4"/>
      <c r="F776" s="4"/>
      <c r="H776" s="4"/>
    </row>
    <row r="777" spans="1:8" x14ac:dyDescent="0.3">
      <c r="A777" s="2"/>
      <c r="D777" s="4"/>
      <c r="F777" s="4"/>
      <c r="H777" s="4"/>
    </row>
    <row r="778" spans="1:8" x14ac:dyDescent="0.3">
      <c r="A778" s="2"/>
      <c r="D778" s="4"/>
      <c r="F778" s="4"/>
      <c r="H778" s="4"/>
    </row>
    <row r="779" spans="1:8" x14ac:dyDescent="0.3">
      <c r="A779" s="2"/>
      <c r="D779" s="4"/>
      <c r="F779" s="4"/>
      <c r="H779" s="4"/>
    </row>
    <row r="780" spans="1:8" x14ac:dyDescent="0.3">
      <c r="A780" s="2"/>
      <c r="D780" s="4"/>
      <c r="F780" s="4"/>
      <c r="H780" s="4"/>
    </row>
    <row r="781" spans="1:8" x14ac:dyDescent="0.3">
      <c r="A781" s="2"/>
      <c r="D781" s="4"/>
      <c r="F781" s="4"/>
      <c r="H781" s="4"/>
    </row>
    <row r="782" spans="1:8" x14ac:dyDescent="0.3">
      <c r="A782" s="2"/>
      <c r="D782" s="4"/>
      <c r="F782" s="4"/>
      <c r="H782" s="4"/>
    </row>
    <row r="783" spans="1:8" x14ac:dyDescent="0.3">
      <c r="A783" s="2"/>
      <c r="D783" s="4"/>
      <c r="F783" s="4"/>
      <c r="H783" s="4"/>
    </row>
    <row r="784" spans="1:8" x14ac:dyDescent="0.3">
      <c r="A784" s="2"/>
      <c r="D784" s="4"/>
      <c r="F784" s="4"/>
      <c r="H784" s="4"/>
    </row>
    <row r="785" spans="1:8" x14ac:dyDescent="0.3">
      <c r="A785" s="2"/>
      <c r="D785" s="4"/>
      <c r="F785" s="4"/>
      <c r="H785" s="4"/>
    </row>
    <row r="786" spans="1:8" x14ac:dyDescent="0.3">
      <c r="A786" s="2"/>
      <c r="D786" s="4"/>
      <c r="F786" s="4"/>
      <c r="H786" s="4"/>
    </row>
    <row r="787" spans="1:8" x14ac:dyDescent="0.3">
      <c r="A787" s="2"/>
      <c r="D787" s="4"/>
      <c r="F787" s="4"/>
      <c r="H787" s="4"/>
    </row>
    <row r="788" spans="1:8" x14ac:dyDescent="0.3">
      <c r="A788" s="2"/>
      <c r="D788" s="4"/>
      <c r="F788" s="4"/>
      <c r="H788" s="4"/>
    </row>
    <row r="789" spans="1:8" x14ac:dyDescent="0.3">
      <c r="A789" s="2"/>
      <c r="D789" s="4"/>
      <c r="F789" s="4"/>
      <c r="H789" s="4"/>
    </row>
    <row r="790" spans="1:8" x14ac:dyDescent="0.3">
      <c r="A790" s="2"/>
      <c r="D790" s="4"/>
      <c r="F790" s="4"/>
      <c r="H790" s="4"/>
    </row>
    <row r="791" spans="1:8" x14ac:dyDescent="0.3">
      <c r="A791" s="2"/>
      <c r="D791" s="4"/>
      <c r="F791" s="4"/>
      <c r="H791" s="4"/>
    </row>
    <row r="792" spans="1:8" x14ac:dyDescent="0.3">
      <c r="A792" s="2"/>
      <c r="D792" s="4"/>
      <c r="F792" s="4"/>
      <c r="H792" s="4"/>
    </row>
    <row r="793" spans="1:8" x14ac:dyDescent="0.3">
      <c r="A793" s="2"/>
      <c r="D793" s="4"/>
      <c r="F793" s="4"/>
      <c r="H793" s="4"/>
    </row>
    <row r="794" spans="1:8" x14ac:dyDescent="0.3">
      <c r="A794" s="2"/>
      <c r="D794" s="4"/>
      <c r="F794" s="4"/>
      <c r="H794" s="4"/>
    </row>
    <row r="795" spans="1:8" x14ac:dyDescent="0.3">
      <c r="A795" s="2"/>
      <c r="D795" s="4"/>
      <c r="F795" s="4"/>
      <c r="H795" s="4"/>
    </row>
    <row r="796" spans="1:8" x14ac:dyDescent="0.3">
      <c r="A796" s="3"/>
      <c r="D796" s="4"/>
      <c r="F796" s="4"/>
      <c r="H796" s="4"/>
    </row>
    <row r="797" spans="1:8" ht="14.4" customHeight="1" x14ac:dyDescent="0.3">
      <c r="D797" s="4"/>
      <c r="F797" s="4"/>
      <c r="H797" s="4"/>
    </row>
    <row r="798" spans="1:8" ht="14.4" customHeight="1" x14ac:dyDescent="0.3">
      <c r="D798" s="4"/>
      <c r="F798" s="4"/>
      <c r="H798" s="4"/>
    </row>
    <row r="799" spans="1:8" ht="14.4" customHeight="1" x14ac:dyDescent="0.3">
      <c r="D799" s="4"/>
      <c r="F799" s="4"/>
      <c r="H799" s="4"/>
    </row>
    <row r="800" spans="1:8" x14ac:dyDescent="0.3">
      <c r="A800" s="1"/>
      <c r="D800" s="4"/>
      <c r="F800" s="4"/>
      <c r="H800" s="4"/>
    </row>
    <row r="801" spans="1:8" x14ac:dyDescent="0.3">
      <c r="A801" s="1"/>
      <c r="D801" s="4"/>
      <c r="F801" s="4"/>
      <c r="H801" s="4"/>
    </row>
    <row r="802" spans="1:8" x14ac:dyDescent="0.3">
      <c r="A802" s="2"/>
      <c r="D802" s="4"/>
      <c r="F802" s="4"/>
      <c r="H802" s="4"/>
    </row>
    <row r="803" spans="1:8" x14ac:dyDescent="0.3">
      <c r="A803" s="2"/>
      <c r="D803" s="4"/>
      <c r="F803" s="4"/>
      <c r="H803" s="4"/>
    </row>
    <row r="804" spans="1:8" x14ac:dyDescent="0.3">
      <c r="A804" s="2"/>
      <c r="D804" s="4"/>
      <c r="F804" s="4"/>
      <c r="H804" s="4"/>
    </row>
    <row r="805" spans="1:8" x14ac:dyDescent="0.3">
      <c r="A805" s="2"/>
      <c r="D805" s="4"/>
      <c r="F805" s="4"/>
      <c r="H805" s="4"/>
    </row>
    <row r="806" spans="1:8" x14ac:dyDescent="0.3">
      <c r="A806" s="2"/>
      <c r="D806" s="4"/>
      <c r="F806" s="4"/>
      <c r="H806" s="4"/>
    </row>
    <row r="807" spans="1:8" x14ac:dyDescent="0.3">
      <c r="A807" s="2"/>
      <c r="D807" s="4"/>
      <c r="F807" s="4"/>
      <c r="H807" s="4"/>
    </row>
    <row r="808" spans="1:8" x14ac:dyDescent="0.3">
      <c r="A808" s="2"/>
      <c r="D808" s="4"/>
      <c r="F808" s="4"/>
      <c r="H808" s="4"/>
    </row>
    <row r="809" spans="1:8" x14ac:dyDescent="0.3">
      <c r="A809" s="2"/>
      <c r="D809" s="4"/>
      <c r="F809" s="4"/>
      <c r="H809" s="4"/>
    </row>
    <row r="810" spans="1:8" x14ac:dyDescent="0.3">
      <c r="A810" s="2"/>
      <c r="D810" s="4"/>
      <c r="F810" s="4"/>
      <c r="H810" s="4"/>
    </row>
    <row r="811" spans="1:8" x14ac:dyDescent="0.3">
      <c r="A811" s="2"/>
      <c r="D811" s="4"/>
      <c r="F811" s="4"/>
      <c r="H811" s="4"/>
    </row>
    <row r="812" spans="1:8" x14ac:dyDescent="0.3">
      <c r="A812" s="2"/>
      <c r="D812" s="4"/>
      <c r="F812" s="4"/>
      <c r="H812" s="4"/>
    </row>
    <row r="813" spans="1:8" x14ac:dyDescent="0.3">
      <c r="A813" s="2"/>
      <c r="D813" s="4"/>
      <c r="F813" s="4"/>
      <c r="H813" s="4"/>
    </row>
    <row r="814" spans="1:8" x14ac:dyDescent="0.3">
      <c r="A814" s="2"/>
      <c r="D814" s="4"/>
      <c r="F814" s="4"/>
      <c r="H814" s="4"/>
    </row>
    <row r="815" spans="1:8" x14ac:dyDescent="0.3">
      <c r="A815" s="2"/>
      <c r="D815" s="4"/>
      <c r="F815" s="4"/>
      <c r="H815" s="4"/>
    </row>
    <row r="816" spans="1:8" x14ac:dyDescent="0.3">
      <c r="A816" s="2"/>
      <c r="D816" s="4"/>
      <c r="F816" s="4"/>
      <c r="H816" s="4"/>
    </row>
    <row r="817" spans="1:8" x14ac:dyDescent="0.3">
      <c r="A817" s="2"/>
      <c r="D817" s="4"/>
      <c r="F817" s="4"/>
      <c r="H817" s="4"/>
    </row>
    <row r="818" spans="1:8" x14ac:dyDescent="0.3">
      <c r="A818" s="2"/>
      <c r="D818" s="4"/>
      <c r="F818" s="4"/>
      <c r="H818" s="4"/>
    </row>
    <row r="819" spans="1:8" x14ac:dyDescent="0.3">
      <c r="A819" s="2"/>
      <c r="D819" s="4"/>
      <c r="F819" s="4"/>
      <c r="H819" s="4"/>
    </row>
    <row r="820" spans="1:8" x14ac:dyDescent="0.3">
      <c r="A820" s="2"/>
      <c r="D820" s="4"/>
      <c r="F820" s="4"/>
      <c r="H820" s="4"/>
    </row>
    <row r="821" spans="1:8" x14ac:dyDescent="0.3">
      <c r="A821" s="2"/>
      <c r="D821" s="4"/>
      <c r="F821" s="4"/>
      <c r="H821" s="4"/>
    </row>
    <row r="822" spans="1:8" x14ac:dyDescent="0.3">
      <c r="A822" s="2"/>
      <c r="D822" s="4"/>
      <c r="F822" s="4"/>
      <c r="H822" s="4"/>
    </row>
    <row r="823" spans="1:8" x14ac:dyDescent="0.3">
      <c r="A823" s="2"/>
      <c r="D823" s="4"/>
      <c r="F823" s="4"/>
      <c r="H823" s="4"/>
    </row>
    <row r="824" spans="1:8" x14ac:dyDescent="0.3">
      <c r="A824" s="2"/>
      <c r="D824" s="4"/>
      <c r="F824" s="4"/>
      <c r="H824" s="4"/>
    </row>
    <row r="825" spans="1:8" x14ac:dyDescent="0.3">
      <c r="A825" s="2"/>
      <c r="D825" s="4"/>
      <c r="F825" s="4"/>
      <c r="H825" s="4"/>
    </row>
    <row r="826" spans="1:8" x14ac:dyDescent="0.3">
      <c r="A826" s="2"/>
      <c r="D826" s="4"/>
      <c r="F826" s="4"/>
      <c r="H826" s="4"/>
    </row>
    <row r="827" spans="1:8" x14ac:dyDescent="0.3">
      <c r="A827" s="2"/>
      <c r="D827" s="4"/>
      <c r="F827" s="4"/>
      <c r="H827" s="4"/>
    </row>
    <row r="828" spans="1:8" x14ac:dyDescent="0.3">
      <c r="A828" s="2"/>
      <c r="D828" s="4"/>
      <c r="F828" s="4"/>
      <c r="H828" s="4"/>
    </row>
    <row r="829" spans="1:8" x14ac:dyDescent="0.3">
      <c r="A829" s="2"/>
      <c r="D829" s="4"/>
      <c r="F829" s="4"/>
      <c r="H829" s="4"/>
    </row>
    <row r="830" spans="1:8" x14ac:dyDescent="0.3">
      <c r="A830" s="2"/>
      <c r="D830" s="4"/>
      <c r="F830" s="4"/>
      <c r="H830" s="4"/>
    </row>
    <row r="831" spans="1:8" x14ac:dyDescent="0.3">
      <c r="A831" s="2"/>
      <c r="D831" s="4"/>
      <c r="F831" s="4"/>
      <c r="H831" s="4"/>
    </row>
    <row r="832" spans="1:8" x14ac:dyDescent="0.3">
      <c r="A832" s="2"/>
      <c r="D832" s="4"/>
      <c r="F832" s="4"/>
      <c r="H832" s="4"/>
    </row>
    <row r="833" spans="1:8" x14ac:dyDescent="0.3">
      <c r="A833" s="2"/>
      <c r="D833" s="4"/>
      <c r="F833" s="4"/>
      <c r="H833" s="4"/>
    </row>
    <row r="834" spans="1:8" x14ac:dyDescent="0.3">
      <c r="A834" s="2"/>
      <c r="D834" s="4"/>
      <c r="F834" s="4"/>
      <c r="H834" s="4"/>
    </row>
    <row r="835" spans="1:8" x14ac:dyDescent="0.3">
      <c r="A835" s="2"/>
      <c r="D835" s="4"/>
      <c r="F835" s="4"/>
      <c r="H835" s="4"/>
    </row>
    <row r="836" spans="1:8" x14ac:dyDescent="0.3">
      <c r="A836" s="2"/>
      <c r="D836" s="4"/>
      <c r="F836" s="4"/>
      <c r="H836" s="4"/>
    </row>
    <row r="837" spans="1:8" x14ac:dyDescent="0.3">
      <c r="A837" s="2"/>
      <c r="D837" s="4"/>
      <c r="F837" s="4"/>
      <c r="H837" s="4"/>
    </row>
    <row r="838" spans="1:8" x14ac:dyDescent="0.3">
      <c r="A838" s="2"/>
      <c r="D838" s="4"/>
      <c r="F838" s="4"/>
      <c r="H838" s="4"/>
    </row>
    <row r="839" spans="1:8" x14ac:dyDescent="0.3">
      <c r="A839" s="2"/>
      <c r="D839" s="4"/>
      <c r="F839" s="4"/>
      <c r="H839" s="4"/>
    </row>
    <row r="840" spans="1:8" x14ac:dyDescent="0.3">
      <c r="A840" s="2"/>
      <c r="D840" s="4"/>
      <c r="F840" s="4"/>
      <c r="H840" s="4"/>
    </row>
    <row r="841" spans="1:8" x14ac:dyDescent="0.3">
      <c r="A841" s="2"/>
      <c r="D841" s="4"/>
      <c r="F841" s="4"/>
      <c r="H841" s="4"/>
    </row>
    <row r="842" spans="1:8" x14ac:dyDescent="0.3">
      <c r="A842" s="2"/>
      <c r="D842" s="4"/>
      <c r="F842" s="4"/>
      <c r="H842" s="4"/>
    </row>
    <row r="843" spans="1:8" x14ac:dyDescent="0.3">
      <c r="A843" s="2"/>
      <c r="D843" s="4"/>
      <c r="F843" s="4"/>
      <c r="H843" s="4"/>
    </row>
    <row r="844" spans="1:8" x14ac:dyDescent="0.3">
      <c r="A844" s="2"/>
      <c r="D844" s="4"/>
      <c r="F844" s="4"/>
      <c r="H844" s="4"/>
    </row>
    <row r="845" spans="1:8" x14ac:dyDescent="0.3">
      <c r="A845" s="2"/>
      <c r="D845" s="4"/>
      <c r="F845" s="4"/>
      <c r="H845" s="4"/>
    </row>
    <row r="846" spans="1:8" x14ac:dyDescent="0.3">
      <c r="A846" s="2"/>
      <c r="D846" s="4"/>
      <c r="F846" s="4"/>
      <c r="H846" s="4"/>
    </row>
    <row r="847" spans="1:8" x14ac:dyDescent="0.3">
      <c r="A847" s="2"/>
      <c r="D847" s="4"/>
      <c r="F847" s="4"/>
      <c r="H847" s="4"/>
    </row>
    <row r="848" spans="1:8" x14ac:dyDescent="0.3">
      <c r="A848" s="2"/>
      <c r="D848" s="4"/>
      <c r="F848" s="4"/>
      <c r="H848" s="4"/>
    </row>
    <row r="849" spans="1:8" x14ac:dyDescent="0.3">
      <c r="A849" s="2"/>
      <c r="D849" s="4"/>
      <c r="F849" s="4"/>
      <c r="H849" s="4"/>
    </row>
    <row r="850" spans="1:8" x14ac:dyDescent="0.3">
      <c r="A850" s="2"/>
      <c r="D850" s="4"/>
      <c r="F850" s="4"/>
      <c r="H850" s="4"/>
    </row>
    <row r="851" spans="1:8" x14ac:dyDescent="0.3">
      <c r="A851" s="2"/>
      <c r="D851" s="4"/>
      <c r="F851" s="4"/>
      <c r="H851" s="4"/>
    </row>
    <row r="852" spans="1:8" x14ac:dyDescent="0.3">
      <c r="A852" s="2"/>
      <c r="D852" s="4"/>
      <c r="F852" s="4"/>
      <c r="H852" s="4"/>
    </row>
    <row r="853" spans="1:8" x14ac:dyDescent="0.3">
      <c r="A853" s="2"/>
      <c r="D853" s="4"/>
      <c r="F853" s="4"/>
      <c r="H853" s="4"/>
    </row>
    <row r="854" spans="1:8" x14ac:dyDescent="0.3">
      <c r="A854" s="2"/>
      <c r="D854" s="4"/>
      <c r="F854" s="4"/>
      <c r="H854" s="4"/>
    </row>
    <row r="855" spans="1:8" x14ac:dyDescent="0.3">
      <c r="A855" s="2"/>
      <c r="D855" s="4"/>
      <c r="F855" s="4"/>
      <c r="H855" s="4"/>
    </row>
    <row r="856" spans="1:8" x14ac:dyDescent="0.3">
      <c r="A856" s="2"/>
      <c r="D856" s="4"/>
      <c r="F856" s="4"/>
      <c r="H856" s="4"/>
    </row>
    <row r="857" spans="1:8" x14ac:dyDescent="0.3">
      <c r="A857" s="2"/>
      <c r="D857" s="4"/>
      <c r="F857" s="4"/>
      <c r="H857" s="4"/>
    </row>
    <row r="858" spans="1:8" x14ac:dyDescent="0.3">
      <c r="A858" s="2"/>
      <c r="D858" s="4"/>
      <c r="F858" s="4"/>
      <c r="H858" s="4"/>
    </row>
    <row r="859" spans="1:8" x14ac:dyDescent="0.3">
      <c r="A859" s="2"/>
      <c r="D859" s="4"/>
      <c r="F859" s="4"/>
      <c r="H859" s="4"/>
    </row>
    <row r="860" spans="1:8" x14ac:dyDescent="0.3">
      <c r="A860" s="2"/>
      <c r="D860" s="4"/>
      <c r="F860" s="4"/>
      <c r="H860" s="4"/>
    </row>
    <row r="861" spans="1:8" x14ac:dyDescent="0.3">
      <c r="A861" s="2"/>
      <c r="D861" s="4"/>
      <c r="F861" s="4"/>
      <c r="H861" s="4"/>
    </row>
    <row r="862" spans="1:8" x14ac:dyDescent="0.3">
      <c r="A862" s="2"/>
      <c r="D862" s="4"/>
      <c r="F862" s="4"/>
      <c r="H862" s="4"/>
    </row>
    <row r="863" spans="1:8" x14ac:dyDescent="0.3">
      <c r="A863" s="2"/>
      <c r="D863" s="4"/>
      <c r="F863" s="4"/>
      <c r="H863" s="4"/>
    </row>
    <row r="864" spans="1:8" x14ac:dyDescent="0.3">
      <c r="A864" s="2"/>
      <c r="D864" s="4"/>
      <c r="F864" s="4"/>
      <c r="H864" s="4"/>
    </row>
    <row r="865" spans="1:8" x14ac:dyDescent="0.3">
      <c r="A865" s="2"/>
      <c r="D865" s="4"/>
      <c r="F865" s="4"/>
      <c r="H865" s="4"/>
    </row>
    <row r="866" spans="1:8" x14ac:dyDescent="0.3">
      <c r="A866" s="2"/>
      <c r="D866" s="4"/>
      <c r="F866" s="4"/>
      <c r="H866" s="4"/>
    </row>
    <row r="867" spans="1:8" x14ac:dyDescent="0.3">
      <c r="A867" s="2"/>
      <c r="D867" s="4"/>
      <c r="F867" s="4"/>
      <c r="H867" s="4"/>
    </row>
    <row r="868" spans="1:8" x14ac:dyDescent="0.3">
      <c r="A868" s="2"/>
      <c r="D868" s="4"/>
      <c r="F868" s="4"/>
      <c r="H868" s="4"/>
    </row>
    <row r="869" spans="1:8" x14ac:dyDescent="0.3">
      <c r="A869" s="3"/>
      <c r="D869" s="4"/>
      <c r="F869" s="4"/>
      <c r="H869" s="4"/>
    </row>
    <row r="870" spans="1:8" ht="14.4" customHeight="1" x14ac:dyDescent="0.3">
      <c r="D870" s="4"/>
      <c r="F870" s="4"/>
      <c r="H870" s="4"/>
    </row>
    <row r="871" spans="1:8" ht="14.4" customHeight="1" x14ac:dyDescent="0.3">
      <c r="D871" s="4"/>
      <c r="F871" s="4"/>
      <c r="H871" s="4"/>
    </row>
    <row r="872" spans="1:8" ht="14.4" customHeight="1" x14ac:dyDescent="0.3">
      <c r="D872" s="4"/>
      <c r="F872" s="4"/>
      <c r="H872" s="4"/>
    </row>
    <row r="873" spans="1:8" x14ac:dyDescent="0.3">
      <c r="A873" s="1"/>
      <c r="D873" s="4"/>
      <c r="F873" s="4"/>
      <c r="H873" s="4"/>
    </row>
    <row r="874" spans="1:8" x14ac:dyDescent="0.3">
      <c r="A874" s="1"/>
      <c r="D874" s="4"/>
      <c r="F874" s="4"/>
      <c r="H874" s="4"/>
    </row>
    <row r="875" spans="1:8" x14ac:dyDescent="0.3">
      <c r="A875" s="2"/>
      <c r="D875" s="4"/>
      <c r="F875" s="4"/>
      <c r="H875" s="4"/>
    </row>
    <row r="876" spans="1:8" x14ac:dyDescent="0.3">
      <c r="A876" s="2"/>
      <c r="D876" s="4"/>
      <c r="F876" s="4"/>
      <c r="H876" s="4"/>
    </row>
    <row r="877" spans="1:8" x14ac:dyDescent="0.3">
      <c r="A877" s="2"/>
      <c r="D877" s="4"/>
      <c r="F877" s="4"/>
      <c r="H877" s="4"/>
    </row>
    <row r="878" spans="1:8" x14ac:dyDescent="0.3">
      <c r="A878" s="2"/>
      <c r="D878" s="4"/>
      <c r="F878" s="4"/>
      <c r="H878" s="4"/>
    </row>
    <row r="879" spans="1:8" x14ac:dyDescent="0.3">
      <c r="A879" s="2"/>
      <c r="D879" s="4"/>
      <c r="F879" s="4"/>
      <c r="H879" s="4"/>
    </row>
    <row r="880" spans="1:8" x14ac:dyDescent="0.3">
      <c r="A880" s="2"/>
      <c r="D880" s="4"/>
      <c r="F880" s="4"/>
      <c r="H880" s="4"/>
    </row>
    <row r="881" spans="1:8" x14ac:dyDescent="0.3">
      <c r="A881" s="2"/>
      <c r="D881" s="4"/>
      <c r="F881" s="4"/>
      <c r="H881" s="4"/>
    </row>
    <row r="882" spans="1:8" x14ac:dyDescent="0.3">
      <c r="A882" s="2"/>
      <c r="D882" s="4"/>
      <c r="F882" s="4"/>
      <c r="H882" s="4"/>
    </row>
    <row r="883" spans="1:8" x14ac:dyDescent="0.3">
      <c r="A883" s="2"/>
      <c r="D883" s="4"/>
      <c r="F883" s="4"/>
      <c r="H883" s="4"/>
    </row>
    <row r="884" spans="1:8" x14ac:dyDescent="0.3">
      <c r="A884" s="2"/>
      <c r="D884" s="4"/>
      <c r="F884" s="4"/>
      <c r="H884" s="4"/>
    </row>
    <row r="885" spans="1:8" x14ac:dyDescent="0.3">
      <c r="A885" s="2"/>
      <c r="D885" s="4"/>
      <c r="F885" s="4"/>
      <c r="H885" s="4"/>
    </row>
    <row r="886" spans="1:8" x14ac:dyDescent="0.3">
      <c r="A886" s="2"/>
      <c r="D886" s="4"/>
      <c r="F886" s="4"/>
      <c r="H886" s="4"/>
    </row>
    <row r="887" spans="1:8" x14ac:dyDescent="0.3">
      <c r="A887" s="2"/>
      <c r="D887" s="4"/>
      <c r="F887" s="4"/>
      <c r="H887" s="4"/>
    </row>
    <row r="888" spans="1:8" x14ac:dyDescent="0.3">
      <c r="A888" s="2"/>
      <c r="D888" s="4"/>
      <c r="F888" s="4"/>
      <c r="H888" s="4"/>
    </row>
    <row r="889" spans="1:8" x14ac:dyDescent="0.3">
      <c r="A889" s="2"/>
      <c r="D889" s="4"/>
      <c r="F889" s="4"/>
      <c r="H889" s="4"/>
    </row>
    <row r="890" spans="1:8" x14ac:dyDescent="0.3">
      <c r="A890" s="2"/>
      <c r="D890" s="4"/>
      <c r="F890" s="4"/>
      <c r="H890" s="4"/>
    </row>
    <row r="891" spans="1:8" x14ac:dyDescent="0.3">
      <c r="A891" s="2"/>
      <c r="D891" s="4"/>
      <c r="F891" s="4"/>
      <c r="H891" s="4"/>
    </row>
    <row r="892" spans="1:8" x14ac:dyDescent="0.3">
      <c r="A892" s="2"/>
      <c r="D892" s="4"/>
      <c r="F892" s="4"/>
      <c r="H892" s="4"/>
    </row>
    <row r="893" spans="1:8" x14ac:dyDescent="0.3">
      <c r="A893" s="2"/>
      <c r="D893" s="4"/>
      <c r="F893" s="4"/>
      <c r="H893" s="4"/>
    </row>
    <row r="894" spans="1:8" x14ac:dyDescent="0.3">
      <c r="A894" s="2"/>
      <c r="D894" s="4"/>
      <c r="F894" s="4"/>
      <c r="H894" s="4"/>
    </row>
    <row r="895" spans="1:8" x14ac:dyDescent="0.3">
      <c r="A895" s="2"/>
      <c r="D895" s="4"/>
      <c r="F895" s="4"/>
      <c r="H895" s="4"/>
    </row>
    <row r="896" spans="1:8" x14ac:dyDescent="0.3">
      <c r="A896" s="2"/>
      <c r="D896" s="4"/>
      <c r="F896" s="4"/>
      <c r="H896" s="4"/>
    </row>
    <row r="897" spans="1:8" x14ac:dyDescent="0.3">
      <c r="A897" s="2"/>
      <c r="D897" s="4"/>
      <c r="F897" s="4"/>
      <c r="H897" s="4"/>
    </row>
    <row r="898" spans="1:8" x14ac:dyDescent="0.3">
      <c r="A898" s="2"/>
      <c r="D898" s="4"/>
      <c r="F898" s="4"/>
      <c r="H898" s="4"/>
    </row>
    <row r="899" spans="1:8" x14ac:dyDescent="0.3">
      <c r="A899" s="2"/>
      <c r="D899" s="4"/>
      <c r="F899" s="4"/>
      <c r="H899" s="4"/>
    </row>
    <row r="900" spans="1:8" x14ac:dyDescent="0.3">
      <c r="A900" s="2"/>
      <c r="D900" s="4"/>
      <c r="F900" s="4"/>
      <c r="H900" s="4"/>
    </row>
    <row r="901" spans="1:8" x14ac:dyDescent="0.3">
      <c r="A901" s="2"/>
      <c r="D901" s="4"/>
      <c r="F901" s="4"/>
      <c r="H901" s="4"/>
    </row>
    <row r="902" spans="1:8" x14ac:dyDescent="0.3">
      <c r="A902" s="2"/>
      <c r="D902" s="4"/>
      <c r="F902" s="4"/>
      <c r="H902" s="4"/>
    </row>
    <row r="903" spans="1:8" x14ac:dyDescent="0.3">
      <c r="A903" s="2"/>
      <c r="D903" s="4"/>
      <c r="F903" s="4"/>
      <c r="H903" s="4"/>
    </row>
    <row r="904" spans="1:8" x14ac:dyDescent="0.3">
      <c r="A904" s="2"/>
      <c r="D904" s="4"/>
      <c r="F904" s="4"/>
      <c r="H904" s="4"/>
    </row>
    <row r="905" spans="1:8" x14ac:dyDescent="0.3">
      <c r="A905" s="2"/>
      <c r="D905" s="4"/>
      <c r="F905" s="4"/>
      <c r="H905" s="4"/>
    </row>
    <row r="906" spans="1:8" x14ac:dyDescent="0.3">
      <c r="A906" s="2"/>
      <c r="D906" s="4"/>
      <c r="F906" s="4"/>
      <c r="H906" s="4"/>
    </row>
    <row r="907" spans="1:8" x14ac:dyDescent="0.3">
      <c r="A907" s="2"/>
      <c r="D907" s="4"/>
      <c r="F907" s="4"/>
      <c r="H907" s="4"/>
    </row>
    <row r="908" spans="1:8" x14ac:dyDescent="0.3">
      <c r="A908" s="2"/>
      <c r="D908" s="4"/>
      <c r="F908" s="4"/>
      <c r="H908" s="4"/>
    </row>
    <row r="909" spans="1:8" x14ac:dyDescent="0.3">
      <c r="A909" s="2"/>
      <c r="D909" s="4"/>
      <c r="F909" s="4"/>
      <c r="H909" s="4"/>
    </row>
    <row r="910" spans="1:8" x14ac:dyDescent="0.3">
      <c r="A910" s="2"/>
      <c r="D910" s="4"/>
      <c r="F910" s="4"/>
      <c r="H910" s="4"/>
    </row>
    <row r="911" spans="1:8" x14ac:dyDescent="0.3">
      <c r="A911" s="2"/>
      <c r="D911" s="4"/>
      <c r="F911" s="4"/>
      <c r="H911" s="4"/>
    </row>
    <row r="912" spans="1:8" x14ac:dyDescent="0.3">
      <c r="A912" s="2"/>
      <c r="D912" s="4"/>
      <c r="F912" s="4"/>
      <c r="H912" s="4"/>
    </row>
    <row r="913" spans="1:8" x14ac:dyDescent="0.3">
      <c r="A913" s="2"/>
      <c r="D913" s="4"/>
      <c r="F913" s="4"/>
      <c r="H913" s="4"/>
    </row>
    <row r="914" spans="1:8" x14ac:dyDescent="0.3">
      <c r="A914" s="2"/>
      <c r="D914" s="4"/>
      <c r="F914" s="4"/>
      <c r="H914" s="4"/>
    </row>
    <row r="915" spans="1:8" x14ac:dyDescent="0.3">
      <c r="A915" s="2"/>
      <c r="D915" s="4"/>
      <c r="F915" s="4"/>
      <c r="H915" s="4"/>
    </row>
    <row r="916" spans="1:8" x14ac:dyDescent="0.3">
      <c r="A916" s="2"/>
      <c r="D916" s="4"/>
      <c r="F916" s="4"/>
      <c r="H916" s="4"/>
    </row>
    <row r="917" spans="1:8" x14ac:dyDescent="0.3">
      <c r="A917" s="2"/>
      <c r="D917" s="4"/>
      <c r="F917" s="4"/>
      <c r="H917" s="4"/>
    </row>
    <row r="918" spans="1:8" x14ac:dyDescent="0.3">
      <c r="A918" s="2"/>
      <c r="D918" s="4"/>
      <c r="F918" s="4"/>
      <c r="H918" s="4"/>
    </row>
    <row r="919" spans="1:8" x14ac:dyDescent="0.3">
      <c r="A919" s="2"/>
      <c r="D919" s="4"/>
      <c r="F919" s="4"/>
      <c r="H919" s="4"/>
    </row>
    <row r="920" spans="1:8" x14ac:dyDescent="0.3">
      <c r="A920" s="2"/>
      <c r="D920" s="4"/>
      <c r="F920" s="4"/>
      <c r="H920" s="4"/>
    </row>
    <row r="921" spans="1:8" x14ac:dyDescent="0.3">
      <c r="A921" s="2"/>
      <c r="D921" s="4"/>
      <c r="F921" s="4"/>
      <c r="H921" s="4"/>
    </row>
    <row r="922" spans="1:8" x14ac:dyDescent="0.3">
      <c r="A922" s="2"/>
      <c r="D922" s="4"/>
      <c r="F922" s="4"/>
      <c r="H922" s="4"/>
    </row>
    <row r="923" spans="1:8" x14ac:dyDescent="0.3">
      <c r="A923" s="2"/>
      <c r="D923" s="4"/>
      <c r="F923" s="4"/>
      <c r="H923" s="4"/>
    </row>
    <row r="924" spans="1:8" x14ac:dyDescent="0.3">
      <c r="A924" s="2"/>
      <c r="D924" s="4"/>
      <c r="F924" s="4"/>
      <c r="H924" s="4"/>
    </row>
    <row r="925" spans="1:8" x14ac:dyDescent="0.3">
      <c r="A925" s="2"/>
      <c r="D925" s="4"/>
      <c r="F925" s="4"/>
      <c r="H925" s="4"/>
    </row>
    <row r="926" spans="1:8" x14ac:dyDescent="0.3">
      <c r="A926" s="2"/>
      <c r="D926" s="4"/>
      <c r="F926" s="4"/>
      <c r="H926" s="4"/>
    </row>
    <row r="927" spans="1:8" x14ac:dyDescent="0.3">
      <c r="A927" s="2"/>
      <c r="D927" s="4"/>
      <c r="F927" s="4"/>
      <c r="H927" s="4"/>
    </row>
    <row r="928" spans="1:8" x14ac:dyDescent="0.3">
      <c r="A928" s="2"/>
      <c r="D928" s="4"/>
      <c r="F928" s="4"/>
      <c r="H928" s="4"/>
    </row>
    <row r="929" spans="1:8" x14ac:dyDescent="0.3">
      <c r="A929" s="2"/>
      <c r="D929" s="4"/>
      <c r="F929" s="4"/>
      <c r="H929" s="4"/>
    </row>
    <row r="930" spans="1:8" x14ac:dyDescent="0.3">
      <c r="A930" s="2"/>
      <c r="D930" s="4"/>
      <c r="F930" s="4"/>
      <c r="H930" s="4"/>
    </row>
    <row r="931" spans="1:8" x14ac:dyDescent="0.3">
      <c r="A931" s="2"/>
      <c r="D931" s="4"/>
      <c r="F931" s="4"/>
      <c r="H931" s="4"/>
    </row>
    <row r="932" spans="1:8" x14ac:dyDescent="0.3">
      <c r="A932" s="2"/>
      <c r="D932" s="4"/>
      <c r="F932" s="4"/>
      <c r="H932" s="4"/>
    </row>
    <row r="933" spans="1:8" x14ac:dyDescent="0.3">
      <c r="A933" s="2"/>
      <c r="D933" s="4"/>
      <c r="F933" s="4"/>
      <c r="H933" s="4"/>
    </row>
    <row r="934" spans="1:8" x14ac:dyDescent="0.3">
      <c r="A934" s="2"/>
      <c r="D934" s="4"/>
      <c r="F934" s="4"/>
      <c r="H934" s="4"/>
    </row>
    <row r="935" spans="1:8" x14ac:dyDescent="0.3">
      <c r="A935" s="2"/>
      <c r="D935" s="4"/>
      <c r="F935" s="4"/>
      <c r="H935" s="4"/>
    </row>
    <row r="936" spans="1:8" x14ac:dyDescent="0.3">
      <c r="A936" s="2"/>
      <c r="D936" s="4"/>
      <c r="F936" s="4"/>
      <c r="H936" s="4"/>
    </row>
    <row r="937" spans="1:8" x14ac:dyDescent="0.3">
      <c r="A937" s="2"/>
      <c r="D937" s="4"/>
      <c r="F937" s="4"/>
      <c r="H937" s="4"/>
    </row>
    <row r="938" spans="1:8" x14ac:dyDescent="0.3">
      <c r="A938" s="2"/>
      <c r="D938" s="4"/>
      <c r="F938" s="4"/>
      <c r="H938" s="4"/>
    </row>
    <row r="939" spans="1:8" x14ac:dyDescent="0.3">
      <c r="A939" s="2"/>
      <c r="D939" s="4"/>
      <c r="F939" s="4"/>
      <c r="H939" s="4"/>
    </row>
    <row r="940" spans="1:8" x14ac:dyDescent="0.3">
      <c r="A940" s="2"/>
      <c r="D940" s="4"/>
      <c r="F940" s="4"/>
      <c r="H940" s="4"/>
    </row>
    <row r="941" spans="1:8" x14ac:dyDescent="0.3">
      <c r="A941" s="2"/>
      <c r="D941" s="4"/>
      <c r="F941" s="4"/>
      <c r="H941" s="4"/>
    </row>
    <row r="942" spans="1:8" x14ac:dyDescent="0.3">
      <c r="A942" s="3"/>
      <c r="D942" s="4"/>
      <c r="F942" s="4"/>
      <c r="H942" s="4"/>
    </row>
    <row r="943" spans="1:8" ht="14.4" customHeight="1" x14ac:dyDescent="0.3">
      <c r="D943" s="4"/>
      <c r="F943" s="4"/>
      <c r="H943" s="4"/>
    </row>
    <row r="944" spans="1:8" ht="14.4" customHeight="1" x14ac:dyDescent="0.3">
      <c r="D944" s="4"/>
      <c r="F944" s="4"/>
      <c r="H944" s="4"/>
    </row>
    <row r="945" spans="4:8" ht="14.4" customHeight="1" x14ac:dyDescent="0.3">
      <c r="D945" s="4"/>
      <c r="F945" s="4"/>
      <c r="H945" s="4"/>
    </row>
    <row r="946" spans="4:8" ht="14.4" customHeight="1" x14ac:dyDescent="0.3">
      <c r="D946" s="4"/>
      <c r="F946" s="4"/>
      <c r="H946" s="4"/>
    </row>
    <row r="947" spans="4:8" ht="14.4" customHeight="1" x14ac:dyDescent="0.3">
      <c r="D947" s="4"/>
      <c r="F947" s="4"/>
      <c r="H947" s="4"/>
    </row>
    <row r="948" spans="4:8" ht="14.4" customHeight="1" x14ac:dyDescent="0.3">
      <c r="D948" s="4"/>
      <c r="F948" s="4"/>
      <c r="H948" s="4"/>
    </row>
    <row r="949" spans="4:8" ht="14.4" customHeight="1" x14ac:dyDescent="0.3">
      <c r="D949" s="4"/>
      <c r="F949" s="4"/>
      <c r="H949" s="4"/>
    </row>
    <row r="950" spans="4:8" ht="14.4" customHeight="1" x14ac:dyDescent="0.3">
      <c r="D950" s="4"/>
      <c r="F950" s="4"/>
      <c r="H950" s="4"/>
    </row>
    <row r="951" spans="4:8" ht="14.4" customHeight="1" x14ac:dyDescent="0.3">
      <c r="D951" s="4"/>
      <c r="F951" s="4"/>
      <c r="H951" s="4"/>
    </row>
    <row r="952" spans="4:8" ht="14.4" customHeight="1" x14ac:dyDescent="0.3">
      <c r="D952" s="4"/>
      <c r="F952" s="4"/>
      <c r="H952" s="4"/>
    </row>
    <row r="953" spans="4:8" ht="14.4" customHeight="1" x14ac:dyDescent="0.3">
      <c r="D953" s="4"/>
      <c r="F953" s="4"/>
      <c r="H953" s="4"/>
    </row>
    <row r="954" spans="4:8" ht="14.4" customHeight="1" x14ac:dyDescent="0.3">
      <c r="D954" s="4"/>
      <c r="F954" s="4"/>
      <c r="H954" s="4"/>
    </row>
    <row r="955" spans="4:8" ht="14.4" customHeight="1" x14ac:dyDescent="0.3">
      <c r="D955" s="4"/>
      <c r="F955" s="4"/>
      <c r="H955" s="4"/>
    </row>
    <row r="956" spans="4:8" ht="14.4" customHeight="1" x14ac:dyDescent="0.3">
      <c r="D956" s="4"/>
      <c r="F956" s="4"/>
      <c r="H956" s="4"/>
    </row>
    <row r="957" spans="4:8" ht="14.4" customHeight="1" x14ac:dyDescent="0.3">
      <c r="D957" s="4"/>
      <c r="F957" s="4"/>
      <c r="H957" s="4"/>
    </row>
    <row r="958" spans="4:8" ht="14.4" customHeight="1" x14ac:dyDescent="0.3">
      <c r="D958" s="4"/>
      <c r="F958" s="4"/>
      <c r="H958" s="4"/>
    </row>
    <row r="959" spans="4:8" ht="14.4" customHeight="1" x14ac:dyDescent="0.3">
      <c r="D959" s="4"/>
      <c r="F959" s="4"/>
      <c r="H959" s="4"/>
    </row>
    <row r="960" spans="4:8" ht="14.4" customHeight="1" x14ac:dyDescent="0.3">
      <c r="D960" s="4"/>
      <c r="F960" s="4"/>
      <c r="H960" s="4"/>
    </row>
    <row r="961" spans="4:8" ht="14.4" customHeight="1" x14ac:dyDescent="0.3">
      <c r="D961" s="4"/>
      <c r="F961" s="4"/>
      <c r="H961" s="4"/>
    </row>
    <row r="962" spans="4:8" ht="14.4" customHeight="1" x14ac:dyDescent="0.3">
      <c r="D962" s="4"/>
      <c r="F962" s="4"/>
      <c r="H962" s="4"/>
    </row>
    <row r="963" spans="4:8" ht="14.4" customHeight="1" x14ac:dyDescent="0.3">
      <c r="D963" s="4"/>
      <c r="F963" s="4"/>
      <c r="H963" s="4"/>
    </row>
    <row r="964" spans="4:8" ht="14.4" customHeight="1" x14ac:dyDescent="0.3">
      <c r="D964" s="4"/>
      <c r="F964" s="4"/>
      <c r="H964" s="4"/>
    </row>
    <row r="965" spans="4:8" ht="14.4" customHeight="1" x14ac:dyDescent="0.3">
      <c r="D965" s="4"/>
      <c r="F965" s="4"/>
      <c r="H965" s="4"/>
    </row>
    <row r="966" spans="4:8" ht="14.4" customHeight="1" x14ac:dyDescent="0.3">
      <c r="D966" s="4"/>
      <c r="F966" s="4"/>
      <c r="H966" s="4"/>
    </row>
    <row r="967" spans="4:8" ht="14.4" customHeight="1" x14ac:dyDescent="0.3">
      <c r="D967" s="4"/>
      <c r="F967" s="4"/>
      <c r="H967" s="4"/>
    </row>
    <row r="968" spans="4:8" ht="14.4" customHeight="1" x14ac:dyDescent="0.3">
      <c r="D968" s="4"/>
      <c r="F968" s="4"/>
      <c r="H968" s="4"/>
    </row>
    <row r="969" spans="4:8" ht="14.4" customHeight="1" x14ac:dyDescent="0.3">
      <c r="D969" s="4"/>
      <c r="F969" s="4"/>
      <c r="H969" s="4"/>
    </row>
    <row r="970" spans="4:8" ht="14.4" customHeight="1" x14ac:dyDescent="0.3">
      <c r="D970" s="4"/>
      <c r="F970" s="4"/>
      <c r="H970" s="4"/>
    </row>
    <row r="971" spans="4:8" ht="14.4" customHeight="1" x14ac:dyDescent="0.3">
      <c r="D971" s="4"/>
      <c r="F971" s="4"/>
      <c r="H971" s="4"/>
    </row>
    <row r="972" spans="4:8" ht="14.4" customHeight="1" x14ac:dyDescent="0.3">
      <c r="D972" s="4"/>
      <c r="F972" s="4"/>
      <c r="H972" s="4"/>
    </row>
    <row r="973" spans="4:8" ht="14.4" customHeight="1" x14ac:dyDescent="0.3">
      <c r="D973" s="4"/>
      <c r="F973" s="4"/>
      <c r="H973" s="4"/>
    </row>
    <row r="974" spans="4:8" ht="14.4" customHeight="1" x14ac:dyDescent="0.3">
      <c r="D974" s="4"/>
      <c r="F974" s="4"/>
      <c r="H974" s="4"/>
    </row>
    <row r="975" spans="4:8" ht="14.4" customHeight="1" x14ac:dyDescent="0.3">
      <c r="D975" s="4"/>
      <c r="F975" s="4"/>
      <c r="H975" s="4"/>
    </row>
    <row r="976" spans="4:8" ht="14.4" customHeight="1" x14ac:dyDescent="0.3">
      <c r="D976" s="4"/>
      <c r="F976" s="4"/>
      <c r="H976" s="4"/>
    </row>
    <row r="977" spans="4:8" ht="14.4" customHeight="1" x14ac:dyDescent="0.3">
      <c r="D977" s="4"/>
      <c r="F977" s="4"/>
      <c r="H977" s="4"/>
    </row>
    <row r="978" spans="4:8" ht="14.4" customHeight="1" x14ac:dyDescent="0.3">
      <c r="D978" s="4"/>
      <c r="F978" s="4"/>
      <c r="H978" s="4"/>
    </row>
    <row r="979" spans="4:8" ht="14.4" customHeight="1" x14ac:dyDescent="0.3">
      <c r="D979" s="4"/>
      <c r="F979" s="4"/>
      <c r="H979" s="4"/>
    </row>
    <row r="980" spans="4:8" ht="14.4" customHeight="1" x14ac:dyDescent="0.3">
      <c r="D980" s="4"/>
      <c r="F980" s="4"/>
      <c r="H980" s="4"/>
    </row>
    <row r="981" spans="4:8" ht="14.4" customHeight="1" x14ac:dyDescent="0.3">
      <c r="D981" s="4"/>
      <c r="F981" s="4"/>
      <c r="H981" s="4"/>
    </row>
    <row r="982" spans="4:8" ht="14.4" customHeight="1" x14ac:dyDescent="0.3">
      <c r="D982" s="4"/>
      <c r="F982" s="4"/>
      <c r="H982" s="4"/>
    </row>
    <row r="983" spans="4:8" ht="14.4" customHeight="1" x14ac:dyDescent="0.3">
      <c r="D983" s="4"/>
      <c r="F983" s="4"/>
      <c r="H983" s="4"/>
    </row>
    <row r="984" spans="4:8" ht="14.4" customHeight="1" x14ac:dyDescent="0.3">
      <c r="D984" s="4"/>
      <c r="F984" s="4"/>
      <c r="H984" s="4"/>
    </row>
    <row r="985" spans="4:8" ht="14.4" customHeight="1" x14ac:dyDescent="0.3">
      <c r="D985" s="4"/>
      <c r="F985" s="4"/>
      <c r="H985" s="4"/>
    </row>
    <row r="986" spans="4:8" ht="14.4" customHeight="1" x14ac:dyDescent="0.3">
      <c r="D986" s="4"/>
      <c r="F986" s="4"/>
      <c r="H986" s="4"/>
    </row>
    <row r="987" spans="4:8" ht="14.4" customHeight="1" x14ac:dyDescent="0.3">
      <c r="D987" s="4"/>
      <c r="F987" s="4"/>
      <c r="H987" s="4"/>
    </row>
    <row r="988" spans="4:8" ht="14.4" customHeight="1" x14ac:dyDescent="0.3">
      <c r="D988" s="4"/>
      <c r="F988" s="4"/>
      <c r="H988" s="4"/>
    </row>
    <row r="989" spans="4:8" ht="14.4" customHeight="1" x14ac:dyDescent="0.3">
      <c r="D989" s="4"/>
      <c r="F989" s="4"/>
      <c r="H989" s="4"/>
    </row>
    <row r="990" spans="4:8" ht="14.4" customHeight="1" x14ac:dyDescent="0.3">
      <c r="D990" s="4"/>
      <c r="F990" s="4"/>
      <c r="H990" s="4"/>
    </row>
    <row r="991" spans="4:8" ht="14.4" customHeight="1" x14ac:dyDescent="0.3">
      <c r="D991" s="4"/>
      <c r="F991" s="4"/>
      <c r="H991" s="4"/>
    </row>
    <row r="992" spans="4:8" ht="14.4" customHeight="1" x14ac:dyDescent="0.3">
      <c r="D992" s="4"/>
      <c r="F992" s="4"/>
      <c r="H992" s="4"/>
    </row>
    <row r="993" spans="4:8" ht="14.4" customHeight="1" x14ac:dyDescent="0.3">
      <c r="D993" s="4"/>
      <c r="F993" s="4"/>
      <c r="H993" s="4"/>
    </row>
    <row r="994" spans="4:8" ht="14.4" customHeight="1" x14ac:dyDescent="0.3">
      <c r="D994" s="4"/>
      <c r="F994" s="4"/>
      <c r="H994" s="4"/>
    </row>
    <row r="995" spans="4:8" ht="14.4" customHeight="1" x14ac:dyDescent="0.3">
      <c r="D995" s="4"/>
      <c r="F995" s="4"/>
      <c r="H995" s="4"/>
    </row>
    <row r="996" spans="4:8" ht="14.4" customHeight="1" x14ac:dyDescent="0.3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0"/>
  <sheetViews>
    <sheetView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T7" sqref="T7"/>
    </sheetView>
  </sheetViews>
  <sheetFormatPr defaultColWidth="14.44140625" defaultRowHeight="15" customHeight="1" x14ac:dyDescent="0.3"/>
  <cols>
    <col min="1" max="1" width="7.6640625" customWidth="1"/>
    <col min="2" max="2" width="24.109375" customWidth="1"/>
    <col min="3" max="3" width="20.33203125" customWidth="1"/>
    <col min="4" max="4" width="23.33203125" customWidth="1"/>
    <col min="5" max="5" width="21.109375" customWidth="1"/>
    <col min="6" max="6" width="18.44140625" customWidth="1"/>
    <col min="7" max="7" width="21.33203125" customWidth="1"/>
    <col min="8" max="8" width="19.109375" customWidth="1"/>
    <col min="9" max="9" width="19.44140625" customWidth="1"/>
    <col min="10" max="10" width="33.33203125" customWidth="1"/>
    <col min="11" max="11" width="18.109375" customWidth="1"/>
    <col min="12" max="18" width="23.33203125" customWidth="1"/>
    <col min="19" max="19" width="42.44140625" customWidth="1"/>
    <col min="20" max="20" width="12.44140625" customWidth="1"/>
  </cols>
  <sheetData>
    <row r="1" spans="1:21" ht="16.5" customHeight="1" x14ac:dyDescent="0.3">
      <c r="A1" s="17"/>
      <c r="B1" s="89" t="s">
        <v>330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3">
      <c r="A2" s="18" t="s">
        <v>0</v>
      </c>
      <c r="B2" s="18">
        <v>1</v>
      </c>
      <c r="C2" s="18" t="s">
        <v>240</v>
      </c>
      <c r="D2" s="18" t="s">
        <v>295</v>
      </c>
      <c r="E2" s="18" t="s">
        <v>296</v>
      </c>
      <c r="F2" s="42" t="s">
        <v>297</v>
      </c>
      <c r="G2" s="18" t="s">
        <v>244</v>
      </c>
      <c r="H2" s="18" t="s">
        <v>245</v>
      </c>
      <c r="I2" s="18" t="s">
        <v>298</v>
      </c>
      <c r="J2" s="18" t="s">
        <v>299</v>
      </c>
      <c r="K2" s="18" t="s">
        <v>300</v>
      </c>
      <c r="L2" s="18" t="s">
        <v>301</v>
      </c>
      <c r="M2" s="18" t="s">
        <v>331</v>
      </c>
      <c r="N2" s="18" t="s">
        <v>332</v>
      </c>
      <c r="O2" s="18" t="s">
        <v>303</v>
      </c>
      <c r="P2" s="18" t="s">
        <v>304</v>
      </c>
      <c r="Q2" s="18" t="s">
        <v>255</v>
      </c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261</v>
      </c>
      <c r="T4" s="22">
        <f>'ANNUAL-EXPENSE-DETAILS'!V5</f>
        <v>322871</v>
      </c>
    </row>
    <row r="5" spans="1:21" ht="12.75" customHeight="1" x14ac:dyDescent="0.3">
      <c r="A5" s="19" t="s">
        <v>262</v>
      </c>
      <c r="B5" s="19" t="s">
        <v>259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263</v>
      </c>
      <c r="T5" s="20">
        <f>'ANNUAL-EXPENSE-DETAILS'!U5</f>
        <v>51350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4504</v>
      </c>
      <c r="D6" s="22">
        <f t="shared" ref="D6:D37" si="0">SUM($C$3:$C$5)/64</f>
        <v>0</v>
      </c>
      <c r="E6" s="22">
        <f t="shared" ref="E6:E37" si="1">C6+D6</f>
        <v>4504</v>
      </c>
      <c r="F6" s="44">
        <f t="shared" ref="F6:F37" si="2">IF($C$70=0, 0, E6/$C$70)</f>
        <v>9.365013026600047E-3</v>
      </c>
      <c r="G6" s="22">
        <f t="shared" ref="G6:G37" si="3">F6*$T$5</f>
        <v>480.89341891591243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857.79002829091246</v>
      </c>
      <c r="K6" s="22">
        <f t="shared" ref="K6:K37" si="6">$T$11/64</f>
        <v>5044.859375</v>
      </c>
      <c r="L6" s="22">
        <v>0</v>
      </c>
      <c r="M6" s="22">
        <v>0</v>
      </c>
      <c r="N6" s="22"/>
      <c r="O6" s="22">
        <v>0</v>
      </c>
      <c r="P6" s="22">
        <v>0</v>
      </c>
      <c r="Q6" s="22">
        <v>0</v>
      </c>
      <c r="R6" s="22">
        <f t="shared" ref="R6:R37" si="7">SUM(J6:Q6)*$B$2</f>
        <v>5902.6494032909122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8838</v>
      </c>
      <c r="D7" s="20">
        <f t="shared" si="0"/>
        <v>0</v>
      </c>
      <c r="E7" s="20">
        <f t="shared" si="1"/>
        <v>8838</v>
      </c>
      <c r="F7" s="43">
        <f t="shared" si="2"/>
        <v>1.8376550872355953E-2</v>
      </c>
      <c r="G7" s="20">
        <f t="shared" si="3"/>
        <v>943.63588729547826</v>
      </c>
      <c r="H7" s="20">
        <v>4</v>
      </c>
      <c r="I7" s="20">
        <f t="shared" si="4"/>
        <v>494.79759999999999</v>
      </c>
      <c r="J7" s="20">
        <f t="shared" si="5"/>
        <v>1444.2318966704784</v>
      </c>
      <c r="K7" s="20">
        <f t="shared" si="6"/>
        <v>5044.859375</v>
      </c>
      <c r="L7" s="20">
        <v>0</v>
      </c>
      <c r="M7" s="20">
        <v>0</v>
      </c>
      <c r="N7" s="20"/>
      <c r="O7" s="20">
        <v>0</v>
      </c>
      <c r="P7" s="20">
        <v>0</v>
      </c>
      <c r="Q7" s="20">
        <v>1000</v>
      </c>
      <c r="R7" s="20">
        <f t="shared" si="7"/>
        <v>7489.0912716704788</v>
      </c>
      <c r="S7" s="20" t="s">
        <v>307</v>
      </c>
      <c r="T7" s="80">
        <f>(104.83+0.18*104.83)</f>
        <v>123.6994</v>
      </c>
      <c r="U7" t="s">
        <v>333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10815</v>
      </c>
      <c r="D8" s="22">
        <f t="shared" si="0"/>
        <v>0</v>
      </c>
      <c r="E8" s="22">
        <f t="shared" si="1"/>
        <v>10815</v>
      </c>
      <c r="F8" s="44">
        <f t="shared" si="2"/>
        <v>2.2487259298996337E-2</v>
      </c>
      <c r="G8" s="22">
        <f t="shared" si="3"/>
        <v>1154.720765003462</v>
      </c>
      <c r="H8" s="22">
        <v>4</v>
      </c>
      <c r="I8" s="22">
        <f t="shared" si="4"/>
        <v>494.79759999999999</v>
      </c>
      <c r="J8" s="22">
        <f t="shared" si="5"/>
        <v>1655.316774378462</v>
      </c>
      <c r="K8" s="22">
        <f t="shared" si="6"/>
        <v>5044.859375</v>
      </c>
      <c r="L8" s="22">
        <v>750</v>
      </c>
      <c r="M8" s="22">
        <v>0</v>
      </c>
      <c r="N8" s="22"/>
      <c r="O8" s="22">
        <v>0</v>
      </c>
      <c r="P8" s="22">
        <v>0</v>
      </c>
      <c r="Q8" s="22">
        <v>0</v>
      </c>
      <c r="R8" s="22">
        <f t="shared" si="7"/>
        <v>7450.1761493784616</v>
      </c>
      <c r="S8" s="22" t="s">
        <v>308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4583.5</v>
      </c>
      <c r="D9" s="20">
        <f t="shared" si="0"/>
        <v>0</v>
      </c>
      <c r="E9" s="20">
        <f t="shared" si="1"/>
        <v>4583.5</v>
      </c>
      <c r="F9" s="43">
        <f t="shared" si="2"/>
        <v>9.5303146552889236E-3</v>
      </c>
      <c r="G9" s="20">
        <f t="shared" si="3"/>
        <v>489.38165754908624</v>
      </c>
      <c r="H9" s="20">
        <v>4</v>
      </c>
      <c r="I9" s="20">
        <f t="shared" si="4"/>
        <v>494.79759999999999</v>
      </c>
      <c r="J9" s="20">
        <f t="shared" si="5"/>
        <v>989.97766692408618</v>
      </c>
      <c r="K9" s="20">
        <f t="shared" si="6"/>
        <v>5044.859375</v>
      </c>
      <c r="L9" s="20">
        <v>0</v>
      </c>
      <c r="M9" s="20">
        <v>0</v>
      </c>
      <c r="N9" s="20"/>
      <c r="O9" s="20">
        <v>0</v>
      </c>
      <c r="P9" s="20">
        <v>0</v>
      </c>
      <c r="Q9" s="20">
        <v>0</v>
      </c>
      <c r="R9" s="20">
        <f t="shared" si="7"/>
        <v>6034.8370419240864</v>
      </c>
      <c r="S9" s="20" t="s">
        <v>309</v>
      </c>
      <c r="T9" s="20">
        <f>T8/64</f>
        <v>5.7984093750000003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6683</v>
      </c>
      <c r="D10" s="22">
        <f t="shared" si="0"/>
        <v>0</v>
      </c>
      <c r="E10" s="22">
        <f t="shared" si="1"/>
        <v>6683</v>
      </c>
      <c r="F10" s="44">
        <f t="shared" si="2"/>
        <v>1.3895733138714058E-2</v>
      </c>
      <c r="G10" s="22">
        <f t="shared" si="3"/>
        <v>713.54589667296693</v>
      </c>
      <c r="H10" s="22">
        <v>3</v>
      </c>
      <c r="I10" s="22">
        <f t="shared" si="4"/>
        <v>371.09820000000002</v>
      </c>
      <c r="J10" s="22">
        <f t="shared" si="5"/>
        <v>1090.4425060479671</v>
      </c>
      <c r="K10" s="22">
        <f t="shared" si="6"/>
        <v>5044.859375</v>
      </c>
      <c r="L10" s="22">
        <v>0</v>
      </c>
      <c r="M10" s="22">
        <v>0</v>
      </c>
      <c r="N10" s="22"/>
      <c r="O10" s="22">
        <v>0</v>
      </c>
      <c r="P10" s="22">
        <v>0</v>
      </c>
      <c r="Q10" s="22">
        <v>0</v>
      </c>
      <c r="R10" s="22">
        <f t="shared" si="7"/>
        <v>6135.3018810479671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8675.5</v>
      </c>
      <c r="D11" s="20">
        <f t="shared" si="0"/>
        <v>0</v>
      </c>
      <c r="E11" s="20">
        <f t="shared" si="1"/>
        <v>8675.5</v>
      </c>
      <c r="F11" s="43">
        <f t="shared" si="2"/>
        <v>1.8038670184784347E-2</v>
      </c>
      <c r="G11" s="20">
        <f t="shared" si="3"/>
        <v>926.28571398867621</v>
      </c>
      <c r="H11" s="20">
        <v>3</v>
      </c>
      <c r="I11" s="20">
        <f t="shared" si="4"/>
        <v>371.09820000000002</v>
      </c>
      <c r="J11" s="20">
        <f t="shared" si="5"/>
        <v>1303.1823233636762</v>
      </c>
      <c r="K11" s="20">
        <f t="shared" si="6"/>
        <v>5044.859375</v>
      </c>
      <c r="L11" s="20">
        <v>0</v>
      </c>
      <c r="M11" s="20">
        <v>0</v>
      </c>
      <c r="N11" s="20"/>
      <c r="O11" s="20">
        <v>0</v>
      </c>
      <c r="P11" s="20">
        <v>0</v>
      </c>
      <c r="Q11" s="20">
        <v>0</v>
      </c>
      <c r="R11" s="20">
        <f t="shared" si="7"/>
        <v>6348.041698363676</v>
      </c>
      <c r="S11" s="20" t="s">
        <v>261</v>
      </c>
      <c r="T11" s="20">
        <f>'ANNUAL-EXPENSE-DETAILS'!V5</f>
        <v>322871</v>
      </c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35.5</v>
      </c>
      <c r="D12" s="22">
        <f t="shared" si="0"/>
        <v>0</v>
      </c>
      <c r="E12" s="22">
        <f t="shared" si="1"/>
        <v>35.5</v>
      </c>
      <c r="F12" s="44">
        <f t="shared" si="2"/>
        <v>7.3813934823335189E-5</v>
      </c>
      <c r="G12" s="22">
        <f t="shared" si="3"/>
        <v>3.7903455531782622</v>
      </c>
      <c r="H12" s="22">
        <v>3</v>
      </c>
      <c r="I12" s="22">
        <f t="shared" si="4"/>
        <v>371.09820000000002</v>
      </c>
      <c r="J12" s="22">
        <f t="shared" si="5"/>
        <v>380.6869549281783</v>
      </c>
      <c r="K12" s="22">
        <f t="shared" si="6"/>
        <v>5044.859375</v>
      </c>
      <c r="L12" s="22">
        <v>750</v>
      </c>
      <c r="M12" s="22">
        <v>0</v>
      </c>
      <c r="N12" s="22"/>
      <c r="O12" s="22">
        <v>0</v>
      </c>
      <c r="P12" s="22">
        <v>0</v>
      </c>
      <c r="Q12" s="22">
        <v>0</v>
      </c>
      <c r="R12" s="22">
        <f t="shared" si="7"/>
        <v>6175.5463299281782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917</v>
      </c>
      <c r="D13" s="20">
        <f t="shared" si="0"/>
        <v>0</v>
      </c>
      <c r="E13" s="20">
        <f t="shared" si="1"/>
        <v>917</v>
      </c>
      <c r="F13" s="43">
        <f t="shared" si="2"/>
        <v>1.9066867107886863E-3</v>
      </c>
      <c r="G13" s="20">
        <f t="shared" si="3"/>
        <v>97.908362598999034</v>
      </c>
      <c r="H13" s="20">
        <v>3</v>
      </c>
      <c r="I13" s="20">
        <f t="shared" si="4"/>
        <v>371.09820000000002</v>
      </c>
      <c r="J13" s="20">
        <f t="shared" si="5"/>
        <v>474.80497197399905</v>
      </c>
      <c r="K13" s="20">
        <f t="shared" si="6"/>
        <v>5044.859375</v>
      </c>
      <c r="L13" s="20">
        <v>0</v>
      </c>
      <c r="M13" s="20">
        <v>0</v>
      </c>
      <c r="N13" s="20"/>
      <c r="O13" s="20">
        <v>0</v>
      </c>
      <c r="P13" s="20">
        <v>0</v>
      </c>
      <c r="Q13" s="20">
        <v>0</v>
      </c>
      <c r="R13" s="20">
        <f t="shared" si="7"/>
        <v>5519.6643469739993</v>
      </c>
      <c r="S13" s="20"/>
      <c r="T13" s="20"/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1756.5</v>
      </c>
      <c r="D14" s="22">
        <f t="shared" si="0"/>
        <v>0</v>
      </c>
      <c r="E14" s="22">
        <f t="shared" si="1"/>
        <v>1756.5</v>
      </c>
      <c r="F14" s="44">
        <f t="shared" si="2"/>
        <v>3.6522303244278381E-3</v>
      </c>
      <c r="G14" s="22">
        <f t="shared" si="3"/>
        <v>187.5420271593695</v>
      </c>
      <c r="H14" s="22">
        <v>4</v>
      </c>
      <c r="I14" s="22">
        <f t="shared" si="4"/>
        <v>494.79759999999999</v>
      </c>
      <c r="J14" s="22">
        <f t="shared" si="5"/>
        <v>688.13803653436946</v>
      </c>
      <c r="K14" s="22">
        <f t="shared" si="6"/>
        <v>5044.859375</v>
      </c>
      <c r="L14" s="22">
        <v>0</v>
      </c>
      <c r="M14" s="22">
        <v>0</v>
      </c>
      <c r="N14" s="22"/>
      <c r="O14" s="22">
        <v>0</v>
      </c>
      <c r="P14" s="22">
        <v>0</v>
      </c>
      <c r="Q14" s="22">
        <v>0</v>
      </c>
      <c r="R14" s="22">
        <f t="shared" si="7"/>
        <v>5732.9974115343693</v>
      </c>
      <c r="S14" s="22" t="s">
        <v>334</v>
      </c>
      <c r="T14" s="22"/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6880</v>
      </c>
      <c r="D15" s="20">
        <f t="shared" si="0"/>
        <v>0</v>
      </c>
      <c r="E15" s="20">
        <f t="shared" si="1"/>
        <v>6880</v>
      </c>
      <c r="F15" s="43">
        <f t="shared" si="2"/>
        <v>1.4305348495339326E-2</v>
      </c>
      <c r="G15" s="20">
        <f t="shared" si="3"/>
        <v>734.57964523567443</v>
      </c>
      <c r="H15" s="20">
        <v>3</v>
      </c>
      <c r="I15" s="20">
        <f t="shared" si="4"/>
        <v>371.09820000000002</v>
      </c>
      <c r="J15" s="20">
        <f t="shared" si="5"/>
        <v>1111.4762546106745</v>
      </c>
      <c r="K15" s="20">
        <f t="shared" si="6"/>
        <v>5044.859375</v>
      </c>
      <c r="L15" s="20">
        <v>0</v>
      </c>
      <c r="M15" s="20">
        <v>0</v>
      </c>
      <c r="N15" s="20"/>
      <c r="O15" s="20">
        <v>0</v>
      </c>
      <c r="P15" s="20">
        <v>0</v>
      </c>
      <c r="Q15" s="20">
        <v>0</v>
      </c>
      <c r="R15" s="20">
        <f t="shared" si="7"/>
        <v>6156.335629610674</v>
      </c>
      <c r="S15" s="20" t="s">
        <v>268</v>
      </c>
      <c r="T15" s="20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1201</v>
      </c>
      <c r="D16" s="22">
        <f t="shared" si="0"/>
        <v>0</v>
      </c>
      <c r="E16" s="22">
        <f t="shared" si="1"/>
        <v>1201</v>
      </c>
      <c r="F16" s="44">
        <f t="shared" si="2"/>
        <v>2.4971981893753678E-3</v>
      </c>
      <c r="G16" s="22">
        <f t="shared" si="3"/>
        <v>128.23112702442515</v>
      </c>
      <c r="H16" s="22">
        <v>3</v>
      </c>
      <c r="I16" s="22">
        <f t="shared" si="4"/>
        <v>371.09820000000002</v>
      </c>
      <c r="J16" s="22">
        <f t="shared" si="5"/>
        <v>505.1277363994252</v>
      </c>
      <c r="K16" s="22">
        <f t="shared" si="6"/>
        <v>5044.859375</v>
      </c>
      <c r="L16" s="22">
        <v>0</v>
      </c>
      <c r="M16" s="22">
        <v>0</v>
      </c>
      <c r="N16" s="22"/>
      <c r="O16" s="22">
        <v>0</v>
      </c>
      <c r="P16" s="22">
        <v>0</v>
      </c>
      <c r="Q16" s="22">
        <v>0</v>
      </c>
      <c r="R16" s="22">
        <f t="shared" si="7"/>
        <v>5549.987111399425</v>
      </c>
      <c r="S16" s="22" t="s">
        <v>269</v>
      </c>
      <c r="T16" s="22"/>
    </row>
    <row r="17" spans="1:21" ht="12.75" customHeight="1" x14ac:dyDescent="0.3">
      <c r="A17" s="19" t="s">
        <v>22</v>
      </c>
      <c r="B17" s="19" t="str">
        <f>VLOOKUP(A17,Members!$A$2:$B$65,2,FALSE)</f>
        <v>Kavitha T</v>
      </c>
      <c r="C17" s="20">
        <v>7265</v>
      </c>
      <c r="D17" s="20">
        <f t="shared" si="0"/>
        <v>0</v>
      </c>
      <c r="E17" s="20">
        <f t="shared" si="1"/>
        <v>7265</v>
      </c>
      <c r="F17" s="43">
        <f t="shared" si="2"/>
        <v>1.510586581666282E-2</v>
      </c>
      <c r="G17" s="20">
        <f t="shared" si="3"/>
        <v>775.68620968563584</v>
      </c>
      <c r="H17" s="20">
        <v>3</v>
      </c>
      <c r="I17" s="20">
        <f t="shared" si="4"/>
        <v>371.09820000000002</v>
      </c>
      <c r="J17" s="20">
        <f t="shared" si="5"/>
        <v>1152.5828190606358</v>
      </c>
      <c r="K17" s="20">
        <f t="shared" si="6"/>
        <v>5044.859375</v>
      </c>
      <c r="L17" s="20">
        <v>0</v>
      </c>
      <c r="M17" s="20">
        <v>0</v>
      </c>
      <c r="N17" s="20"/>
      <c r="O17" s="20">
        <v>0</v>
      </c>
      <c r="P17" s="20">
        <v>0</v>
      </c>
      <c r="Q17" s="20">
        <v>0</v>
      </c>
      <c r="R17" s="20">
        <f t="shared" si="7"/>
        <v>6197.4421940606353</v>
      </c>
      <c r="S17" s="20" t="s">
        <v>335</v>
      </c>
      <c r="T17" s="20">
        <f>T15-T16</f>
        <v>0</v>
      </c>
    </row>
    <row r="18" spans="1:21" ht="12.75" customHeight="1" x14ac:dyDescent="0.3">
      <c r="A18" s="21" t="s">
        <v>23</v>
      </c>
      <c r="B18" s="21" t="str">
        <f>VLOOKUP(A18,Members!$A$2:$B$65,2,FALSE)</f>
        <v>Srinivasa Rao</v>
      </c>
      <c r="C18" s="22">
        <v>1396.5</v>
      </c>
      <c r="D18" s="22">
        <f t="shared" si="0"/>
        <v>0</v>
      </c>
      <c r="E18" s="22">
        <f t="shared" si="1"/>
        <v>1396.5</v>
      </c>
      <c r="F18" s="44">
        <f t="shared" si="2"/>
        <v>2.903694647346129E-3</v>
      </c>
      <c r="G18" s="22">
        <f t="shared" si="3"/>
        <v>149.10472014122374</v>
      </c>
      <c r="H18" s="22">
        <v>4</v>
      </c>
      <c r="I18" s="22">
        <f t="shared" si="4"/>
        <v>494.79759999999999</v>
      </c>
      <c r="J18" s="22">
        <f t="shared" si="5"/>
        <v>649.70072951622376</v>
      </c>
      <c r="K18" s="22">
        <f t="shared" si="6"/>
        <v>5044.859375</v>
      </c>
      <c r="L18" s="22">
        <v>0</v>
      </c>
      <c r="M18" s="22">
        <v>0</v>
      </c>
      <c r="N18" s="22"/>
      <c r="O18" s="22">
        <v>0</v>
      </c>
      <c r="P18" s="22">
        <v>0</v>
      </c>
      <c r="Q18" s="22">
        <v>0</v>
      </c>
      <c r="R18" s="22">
        <f t="shared" si="7"/>
        <v>5694.5601045162239</v>
      </c>
      <c r="S18" s="22" t="s">
        <v>272</v>
      </c>
      <c r="T18" s="22">
        <f>T14-T17</f>
        <v>0</v>
      </c>
    </row>
    <row r="19" spans="1:21" ht="12.75" customHeight="1" x14ac:dyDescent="0.3">
      <c r="A19" s="19" t="s">
        <v>25</v>
      </c>
      <c r="B19" s="19" t="str">
        <f>VLOOKUP(A19,Members!$A$2:$B$65,2,FALSE)</f>
        <v>Hemant Patel</v>
      </c>
      <c r="C19" s="20">
        <v>8922.5</v>
      </c>
      <c r="D19" s="20">
        <f t="shared" si="0"/>
        <v>0</v>
      </c>
      <c r="E19" s="20">
        <f t="shared" si="1"/>
        <v>8922.5</v>
      </c>
      <c r="F19" s="43">
        <f t="shared" si="2"/>
        <v>1.8552248829893189E-2</v>
      </c>
      <c r="G19" s="20">
        <f t="shared" si="3"/>
        <v>952.65797741501524</v>
      </c>
      <c r="H19" s="20">
        <v>4</v>
      </c>
      <c r="I19" s="20">
        <f t="shared" si="4"/>
        <v>494.79759999999999</v>
      </c>
      <c r="J19" s="20">
        <f t="shared" si="5"/>
        <v>1453.2539867900152</v>
      </c>
      <c r="K19" s="20">
        <f t="shared" si="6"/>
        <v>5044.859375</v>
      </c>
      <c r="L19" s="20">
        <v>0</v>
      </c>
      <c r="M19" s="20">
        <v>0</v>
      </c>
      <c r="N19" s="20"/>
      <c r="O19" s="20">
        <v>0</v>
      </c>
      <c r="P19" s="20">
        <v>0</v>
      </c>
      <c r="Q19" s="20">
        <v>0</v>
      </c>
      <c r="R19" s="20">
        <f t="shared" si="7"/>
        <v>6498.113361790015</v>
      </c>
      <c r="S19" s="20"/>
      <c r="T19" s="20"/>
    </row>
    <row r="20" spans="1:21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4616</v>
      </c>
      <c r="D20" s="22">
        <f t="shared" si="0"/>
        <v>0</v>
      </c>
      <c r="E20" s="22">
        <f t="shared" si="1"/>
        <v>4616</v>
      </c>
      <c r="F20" s="44">
        <f t="shared" si="2"/>
        <v>9.5978907928032445E-3</v>
      </c>
      <c r="G20" s="22">
        <f t="shared" si="3"/>
        <v>492.85169221044663</v>
      </c>
      <c r="H20" s="22">
        <v>4</v>
      </c>
      <c r="I20" s="22">
        <f t="shared" si="4"/>
        <v>494.79759999999999</v>
      </c>
      <c r="J20" s="22">
        <f t="shared" si="5"/>
        <v>993.44770158544657</v>
      </c>
      <c r="K20" s="22">
        <f t="shared" si="6"/>
        <v>5044.859375</v>
      </c>
      <c r="L20" s="22">
        <v>750</v>
      </c>
      <c r="M20" s="22">
        <v>0</v>
      </c>
      <c r="N20" s="22"/>
      <c r="O20" s="22">
        <v>0</v>
      </c>
      <c r="P20" s="22">
        <v>0</v>
      </c>
      <c r="Q20" s="22">
        <v>0</v>
      </c>
      <c r="R20" s="22">
        <f t="shared" si="7"/>
        <v>6788.3070765854463</v>
      </c>
      <c r="S20" s="22"/>
      <c r="T20" s="22"/>
    </row>
    <row r="21" spans="1:21" ht="12.75" customHeight="1" x14ac:dyDescent="0.3">
      <c r="A21" s="19" t="s">
        <v>28</v>
      </c>
      <c r="B21" s="19" t="str">
        <f>VLOOKUP(A21,Members!$A$2:$B$65,2,FALSE)</f>
        <v>Sreeja Sudharma</v>
      </c>
      <c r="C21" s="20">
        <v>14911</v>
      </c>
      <c r="D21" s="20">
        <f t="shared" si="0"/>
        <v>0</v>
      </c>
      <c r="E21" s="20">
        <f t="shared" si="1"/>
        <v>14911</v>
      </c>
      <c r="F21" s="43">
        <f t="shared" si="2"/>
        <v>3.1003931891570448E-2</v>
      </c>
      <c r="G21" s="20">
        <f t="shared" si="3"/>
        <v>1592.0519026321424</v>
      </c>
      <c r="H21" s="20">
        <v>3</v>
      </c>
      <c r="I21" s="20">
        <f t="shared" si="4"/>
        <v>371.09820000000002</v>
      </c>
      <c r="J21" s="20">
        <f t="shared" si="5"/>
        <v>1968.9485120071422</v>
      </c>
      <c r="K21" s="20">
        <f t="shared" si="6"/>
        <v>5044.859375</v>
      </c>
      <c r="L21" s="20">
        <v>0</v>
      </c>
      <c r="M21" s="20">
        <v>0</v>
      </c>
      <c r="N21" s="20"/>
      <c r="O21" s="20">
        <v>0</v>
      </c>
      <c r="P21" s="20">
        <v>0</v>
      </c>
      <c r="Q21" s="20">
        <v>0</v>
      </c>
      <c r="R21" s="20">
        <f t="shared" si="7"/>
        <v>7013.8078870071422</v>
      </c>
      <c r="S21" s="20"/>
      <c r="T21" s="20"/>
    </row>
    <row r="22" spans="1:21" ht="12.75" customHeight="1" x14ac:dyDescent="0.3">
      <c r="A22" s="21" t="s">
        <v>29</v>
      </c>
      <c r="B22" s="21" t="str">
        <f>VLOOKUP(A22,Members!$A$2:$B$65,2,FALSE)</f>
        <v>Digvijay Verma</v>
      </c>
      <c r="C22" s="22">
        <v>36547.5</v>
      </c>
      <c r="D22" s="22">
        <f t="shared" si="0"/>
        <v>0</v>
      </c>
      <c r="E22" s="22">
        <f t="shared" si="1"/>
        <v>36547.5</v>
      </c>
      <c r="F22" s="44">
        <f t="shared" si="2"/>
        <v>7.5991965717065985E-2</v>
      </c>
      <c r="G22" s="22">
        <f t="shared" si="3"/>
        <v>3902.1874395713385</v>
      </c>
      <c r="H22" s="22">
        <v>3</v>
      </c>
      <c r="I22" s="22">
        <f t="shared" si="4"/>
        <v>371.09820000000002</v>
      </c>
      <c r="J22" s="22">
        <f t="shared" si="5"/>
        <v>4279.084048946339</v>
      </c>
      <c r="K22" s="22">
        <f t="shared" si="6"/>
        <v>5044.859375</v>
      </c>
      <c r="L22" s="22">
        <v>0</v>
      </c>
      <c r="M22" s="22">
        <v>0</v>
      </c>
      <c r="N22" s="22"/>
      <c r="O22" s="22">
        <v>0</v>
      </c>
      <c r="P22" s="22">
        <v>0</v>
      </c>
      <c r="Q22" s="22">
        <v>1000</v>
      </c>
      <c r="R22" s="22">
        <f t="shared" si="7"/>
        <v>10323.943423946339</v>
      </c>
      <c r="S22" s="22"/>
      <c r="T22" s="22"/>
      <c r="U22" t="s">
        <v>333</v>
      </c>
    </row>
    <row r="23" spans="1:21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13248.5</v>
      </c>
      <c r="D23" s="20">
        <f t="shared" si="0"/>
        <v>0</v>
      </c>
      <c r="E23" s="20">
        <f t="shared" si="1"/>
        <v>13248.5</v>
      </c>
      <c r="F23" s="43">
        <f t="shared" si="2"/>
        <v>2.7547152549491725E-2</v>
      </c>
      <c r="G23" s="20">
        <f t="shared" si="3"/>
        <v>1414.5462834164</v>
      </c>
      <c r="H23" s="20">
        <v>4</v>
      </c>
      <c r="I23" s="20">
        <f t="shared" si="4"/>
        <v>494.79759999999999</v>
      </c>
      <c r="J23" s="20">
        <f t="shared" si="5"/>
        <v>1915.1422927914</v>
      </c>
      <c r="K23" s="20">
        <f t="shared" si="6"/>
        <v>5044.859375</v>
      </c>
      <c r="L23" s="20">
        <v>0</v>
      </c>
      <c r="M23" s="20">
        <v>0</v>
      </c>
      <c r="N23" s="20"/>
      <c r="O23" s="20">
        <v>0</v>
      </c>
      <c r="P23" s="20">
        <v>0</v>
      </c>
      <c r="Q23" s="20">
        <v>0</v>
      </c>
      <c r="R23" s="20">
        <f t="shared" si="7"/>
        <v>6960.0016677914</v>
      </c>
      <c r="S23" s="20"/>
      <c r="T23" s="20"/>
    </row>
    <row r="24" spans="1:21" ht="12.75" customHeight="1" x14ac:dyDescent="0.3">
      <c r="A24" s="21" t="s">
        <v>31</v>
      </c>
      <c r="B24" s="21" t="str">
        <f>VLOOKUP(A24,Members!$A$2:$B$65,2,FALSE)</f>
        <v>Balakrishnan</v>
      </c>
      <c r="C24" s="22">
        <v>10576.5</v>
      </c>
      <c r="D24" s="22">
        <f t="shared" si="0"/>
        <v>0</v>
      </c>
      <c r="E24" s="22">
        <f t="shared" si="1"/>
        <v>10576.5</v>
      </c>
      <c r="F24" s="44">
        <f t="shared" si="2"/>
        <v>2.1991354412929705E-2</v>
      </c>
      <c r="G24" s="22">
        <f t="shared" si="3"/>
        <v>1129.2560491039403</v>
      </c>
      <c r="H24" s="22">
        <v>4</v>
      </c>
      <c r="I24" s="22">
        <f t="shared" si="4"/>
        <v>494.79759999999999</v>
      </c>
      <c r="J24" s="22">
        <f t="shared" si="5"/>
        <v>1629.8520584789403</v>
      </c>
      <c r="K24" s="22">
        <f t="shared" si="6"/>
        <v>5044.859375</v>
      </c>
      <c r="L24" s="22">
        <v>0</v>
      </c>
      <c r="M24" s="22">
        <v>0</v>
      </c>
      <c r="N24" s="22"/>
      <c r="O24" s="22">
        <v>0</v>
      </c>
      <c r="P24" s="22">
        <v>0</v>
      </c>
      <c r="Q24" s="22">
        <v>0</v>
      </c>
      <c r="R24" s="22">
        <f t="shared" si="7"/>
        <v>6674.7114334789403</v>
      </c>
      <c r="S24" s="22"/>
      <c r="T24" s="22"/>
    </row>
    <row r="25" spans="1:21" ht="12.75" customHeight="1" x14ac:dyDescent="0.3">
      <c r="A25" s="19" t="s">
        <v>33</v>
      </c>
      <c r="B25" s="19" t="str">
        <f>VLOOKUP(A25,Members!$A$2:$B$65,2,FALSE)</f>
        <v>Ashwin Pandith</v>
      </c>
      <c r="C25" s="20">
        <v>7970</v>
      </c>
      <c r="D25" s="20">
        <f t="shared" si="0"/>
        <v>0</v>
      </c>
      <c r="E25" s="20">
        <f t="shared" si="1"/>
        <v>7970</v>
      </c>
      <c r="F25" s="43">
        <f t="shared" si="2"/>
        <v>1.6571748184281167E-2</v>
      </c>
      <c r="G25" s="20">
        <f t="shared" si="3"/>
        <v>850.95926926283789</v>
      </c>
      <c r="H25" s="20">
        <v>4</v>
      </c>
      <c r="I25" s="20">
        <f t="shared" si="4"/>
        <v>494.79759999999999</v>
      </c>
      <c r="J25" s="20">
        <f t="shared" si="5"/>
        <v>1351.555278637838</v>
      </c>
      <c r="K25" s="20">
        <f t="shared" si="6"/>
        <v>5044.859375</v>
      </c>
      <c r="L25" s="20">
        <v>0</v>
      </c>
      <c r="M25" s="20">
        <v>0</v>
      </c>
      <c r="N25" s="20"/>
      <c r="O25" s="20">
        <v>0</v>
      </c>
      <c r="P25" s="20">
        <v>0</v>
      </c>
      <c r="Q25" s="20">
        <v>0</v>
      </c>
      <c r="R25" s="20">
        <f t="shared" si="7"/>
        <v>6396.4146536378375</v>
      </c>
      <c r="S25" s="20"/>
      <c r="T25" s="20"/>
    </row>
    <row r="26" spans="1:21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7252</v>
      </c>
      <c r="D26" s="22">
        <f t="shared" si="0"/>
        <v>0</v>
      </c>
      <c r="E26" s="22">
        <f t="shared" si="1"/>
        <v>7252</v>
      </c>
      <c r="F26" s="44">
        <f t="shared" si="2"/>
        <v>1.5078835361657092E-2</v>
      </c>
      <c r="G26" s="22">
        <f t="shared" si="3"/>
        <v>774.29819582109167</v>
      </c>
      <c r="H26" s="22">
        <v>3</v>
      </c>
      <c r="I26" s="22">
        <f t="shared" si="4"/>
        <v>371.09820000000002</v>
      </c>
      <c r="J26" s="22">
        <f t="shared" si="5"/>
        <v>1151.1948051960917</v>
      </c>
      <c r="K26" s="22">
        <f t="shared" si="6"/>
        <v>5044.859375</v>
      </c>
      <c r="L26" s="22">
        <v>0</v>
      </c>
      <c r="M26" s="22">
        <v>0</v>
      </c>
      <c r="N26" s="22"/>
      <c r="O26" s="22">
        <v>0</v>
      </c>
      <c r="P26" s="22">
        <v>0</v>
      </c>
      <c r="Q26" s="22">
        <v>1000</v>
      </c>
      <c r="R26" s="22">
        <f t="shared" si="7"/>
        <v>7196.0541801960917</v>
      </c>
      <c r="S26" s="22"/>
      <c r="T26" s="22"/>
      <c r="U26" t="s">
        <v>333</v>
      </c>
    </row>
    <row r="27" spans="1:21" ht="12.75" customHeight="1" x14ac:dyDescent="0.3">
      <c r="A27" s="19" t="s">
        <v>35</v>
      </c>
      <c r="B27" s="19" t="str">
        <f>VLOOKUP(A27,Members!$A$2:$B$65,2,FALSE)</f>
        <v>Srinath</v>
      </c>
      <c r="C27" s="20">
        <v>827</v>
      </c>
      <c r="D27" s="20">
        <f t="shared" si="0"/>
        <v>0</v>
      </c>
      <c r="E27" s="20">
        <f t="shared" si="1"/>
        <v>827</v>
      </c>
      <c r="F27" s="43">
        <f t="shared" si="2"/>
        <v>1.719552791518259E-3</v>
      </c>
      <c r="G27" s="20">
        <f t="shared" si="3"/>
        <v>88.299035844462594</v>
      </c>
      <c r="H27" s="20">
        <v>3</v>
      </c>
      <c r="I27" s="20">
        <f t="shared" si="4"/>
        <v>371.09820000000002</v>
      </c>
      <c r="J27" s="20">
        <f t="shared" si="5"/>
        <v>465.19564521946262</v>
      </c>
      <c r="K27" s="20">
        <f t="shared" si="6"/>
        <v>5044.859375</v>
      </c>
      <c r="L27" s="20">
        <v>0</v>
      </c>
      <c r="M27" s="20">
        <v>0</v>
      </c>
      <c r="N27" s="20"/>
      <c r="O27" s="20">
        <v>0</v>
      </c>
      <c r="P27" s="20">
        <v>0</v>
      </c>
      <c r="Q27" s="20">
        <v>0</v>
      </c>
      <c r="R27" s="20">
        <f t="shared" si="7"/>
        <v>5510.0550202194627</v>
      </c>
      <c r="S27" s="20"/>
      <c r="T27" s="20"/>
    </row>
    <row r="28" spans="1:21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7230.5</v>
      </c>
      <c r="D28" s="22">
        <f t="shared" si="0"/>
        <v>0</v>
      </c>
      <c r="E28" s="22">
        <f t="shared" si="1"/>
        <v>7230.5</v>
      </c>
      <c r="F28" s="44">
        <f t="shared" si="2"/>
        <v>1.5034131147609157E-2</v>
      </c>
      <c r="G28" s="22">
        <f t="shared" si="3"/>
        <v>772.00263442973016</v>
      </c>
      <c r="H28" s="22">
        <v>3</v>
      </c>
      <c r="I28" s="22">
        <f t="shared" si="4"/>
        <v>371.09820000000002</v>
      </c>
      <c r="J28" s="22">
        <f t="shared" si="5"/>
        <v>1148.8992438047303</v>
      </c>
      <c r="K28" s="22">
        <f t="shared" si="6"/>
        <v>5044.859375</v>
      </c>
      <c r="L28" s="22">
        <v>0</v>
      </c>
      <c r="M28" s="22">
        <v>0</v>
      </c>
      <c r="N28" s="22"/>
      <c r="O28" s="22">
        <v>0</v>
      </c>
      <c r="P28" s="22">
        <v>0</v>
      </c>
      <c r="Q28" s="22">
        <v>0</v>
      </c>
      <c r="R28" s="22">
        <f t="shared" si="7"/>
        <v>6193.7586188047298</v>
      </c>
      <c r="S28" s="22"/>
      <c r="T28" s="22"/>
    </row>
    <row r="29" spans="1:21" ht="12.75" customHeight="1" x14ac:dyDescent="0.3">
      <c r="A29" s="19" t="s">
        <v>38</v>
      </c>
      <c r="B29" s="19" t="str">
        <f>VLOOKUP(A29,Members!$A$2:$B$65,2,FALSE)</f>
        <v>Arun M</v>
      </c>
      <c r="C29" s="20">
        <v>1050.5</v>
      </c>
      <c r="D29" s="20">
        <f t="shared" si="0"/>
        <v>0</v>
      </c>
      <c r="E29" s="20">
        <f t="shared" si="1"/>
        <v>1050.5</v>
      </c>
      <c r="F29" s="43">
        <f t="shared" si="2"/>
        <v>2.18426869103982E-3</v>
      </c>
      <c r="G29" s="20">
        <f t="shared" si="3"/>
        <v>112.16219728489476</v>
      </c>
      <c r="H29" s="20">
        <v>3</v>
      </c>
      <c r="I29" s="20">
        <f t="shared" si="4"/>
        <v>371.09820000000002</v>
      </c>
      <c r="J29" s="20">
        <f t="shared" si="5"/>
        <v>489.0588066598948</v>
      </c>
      <c r="K29" s="20">
        <f t="shared" si="6"/>
        <v>5044.859375</v>
      </c>
      <c r="L29" s="20">
        <v>0</v>
      </c>
      <c r="M29" s="20">
        <v>0</v>
      </c>
      <c r="N29" s="20"/>
      <c r="O29" s="20">
        <v>0</v>
      </c>
      <c r="P29" s="20">
        <v>0</v>
      </c>
      <c r="Q29" s="20">
        <v>0</v>
      </c>
      <c r="R29" s="20">
        <f t="shared" si="7"/>
        <v>5533.9181816598948</v>
      </c>
      <c r="S29" s="20"/>
      <c r="T29" s="20"/>
    </row>
    <row r="30" spans="1:21" ht="12.75" customHeight="1" x14ac:dyDescent="0.3">
      <c r="A30" s="21" t="s">
        <v>39</v>
      </c>
      <c r="B30" s="21" t="str">
        <f>VLOOKUP(A30,Members!$A$2:$B$65,2,FALSE)</f>
        <v>Ankur Agarwal</v>
      </c>
      <c r="C30" s="22">
        <v>9463.5</v>
      </c>
      <c r="D30" s="22">
        <f t="shared" si="0"/>
        <v>0</v>
      </c>
      <c r="E30" s="22">
        <f t="shared" si="1"/>
        <v>9463.5</v>
      </c>
      <c r="F30" s="44">
        <f t="shared" si="2"/>
        <v>1.9677131611285422E-2</v>
      </c>
      <c r="G30" s="22">
        <f t="shared" si="3"/>
        <v>1010.4207082395064</v>
      </c>
      <c r="H30" s="22">
        <v>5</v>
      </c>
      <c r="I30" s="22">
        <f t="shared" si="4"/>
        <v>618.49699999999996</v>
      </c>
      <c r="J30" s="22">
        <f t="shared" si="5"/>
        <v>1634.7161176145064</v>
      </c>
      <c r="K30" s="22">
        <f t="shared" si="6"/>
        <v>5044.859375</v>
      </c>
      <c r="L30" s="22">
        <v>0</v>
      </c>
      <c r="M30" s="22">
        <v>0</v>
      </c>
      <c r="N30" s="22"/>
      <c r="O30" s="22">
        <v>0</v>
      </c>
      <c r="P30" s="22">
        <v>0</v>
      </c>
      <c r="Q30" s="22">
        <v>0</v>
      </c>
      <c r="R30" s="22">
        <f t="shared" si="7"/>
        <v>6679.5754926145064</v>
      </c>
      <c r="S30" s="22"/>
      <c r="T30" s="22"/>
    </row>
    <row r="31" spans="1:21" ht="12.75" customHeight="1" x14ac:dyDescent="0.3">
      <c r="A31" s="19" t="s">
        <v>41</v>
      </c>
      <c r="B31" s="19" t="str">
        <f>VLOOKUP(A31,Members!$A$2:$B$65,2,FALSE)</f>
        <v>Richa Singh</v>
      </c>
      <c r="C31" s="20">
        <v>3149</v>
      </c>
      <c r="D31" s="20">
        <f t="shared" si="0"/>
        <v>0</v>
      </c>
      <c r="E31" s="20">
        <f t="shared" si="1"/>
        <v>3149</v>
      </c>
      <c r="F31" s="43">
        <f t="shared" si="2"/>
        <v>6.5476079086952818E-3</v>
      </c>
      <c r="G31" s="20">
        <f t="shared" si="3"/>
        <v>336.2196661115027</v>
      </c>
      <c r="H31" s="20">
        <v>3</v>
      </c>
      <c r="I31" s="20">
        <f t="shared" si="4"/>
        <v>371.09820000000002</v>
      </c>
      <c r="J31" s="20">
        <f t="shared" si="5"/>
        <v>713.11627548650267</v>
      </c>
      <c r="K31" s="20">
        <f t="shared" si="6"/>
        <v>5044.859375</v>
      </c>
      <c r="L31" s="20">
        <v>0</v>
      </c>
      <c r="M31" s="20">
        <v>0</v>
      </c>
      <c r="N31" s="20"/>
      <c r="O31" s="20">
        <v>0</v>
      </c>
      <c r="P31" s="20">
        <v>0</v>
      </c>
      <c r="Q31" s="20">
        <v>0</v>
      </c>
      <c r="R31" s="20">
        <f t="shared" si="7"/>
        <v>5757.9756504865027</v>
      </c>
      <c r="S31" s="20"/>
      <c r="T31" s="20"/>
    </row>
    <row r="32" spans="1:21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1303.5</v>
      </c>
      <c r="D32" s="22">
        <f t="shared" si="0"/>
        <v>0</v>
      </c>
      <c r="E32" s="22">
        <f t="shared" si="1"/>
        <v>1303.5</v>
      </c>
      <c r="F32" s="44">
        <f t="shared" si="2"/>
        <v>2.7103229307666875E-3</v>
      </c>
      <c r="G32" s="22">
        <f t="shared" si="3"/>
        <v>139.1750824948694</v>
      </c>
      <c r="H32" s="22">
        <v>3</v>
      </c>
      <c r="I32" s="22">
        <f t="shared" si="4"/>
        <v>371.09820000000002</v>
      </c>
      <c r="J32" s="22">
        <f t="shared" si="5"/>
        <v>516.07169186986948</v>
      </c>
      <c r="K32" s="22">
        <f t="shared" si="6"/>
        <v>5044.859375</v>
      </c>
      <c r="L32" s="22">
        <v>0</v>
      </c>
      <c r="M32" s="22">
        <v>0</v>
      </c>
      <c r="N32" s="22"/>
      <c r="O32" s="22">
        <v>0</v>
      </c>
      <c r="P32" s="22">
        <v>0</v>
      </c>
      <c r="Q32" s="22">
        <v>0</v>
      </c>
      <c r="R32" s="22">
        <f t="shared" si="7"/>
        <v>5560.931066869869</v>
      </c>
      <c r="S32" s="22"/>
      <c r="T32" s="22"/>
    </row>
    <row r="33" spans="1:21" ht="12.75" customHeight="1" x14ac:dyDescent="0.3">
      <c r="A33" s="19" t="s">
        <v>44</v>
      </c>
      <c r="B33" s="19" t="str">
        <f>VLOOKUP(A33,Members!$A$2:$B$65,2,FALSE)</f>
        <v>Shyam Nair</v>
      </c>
      <c r="C33" s="20">
        <v>13248.5</v>
      </c>
      <c r="D33" s="20">
        <f t="shared" si="0"/>
        <v>0</v>
      </c>
      <c r="E33" s="20">
        <f t="shared" si="1"/>
        <v>13248.5</v>
      </c>
      <c r="F33" s="43">
        <f t="shared" si="2"/>
        <v>2.7547152549491725E-2</v>
      </c>
      <c r="G33" s="20">
        <f t="shared" si="3"/>
        <v>1414.5462834164</v>
      </c>
      <c r="H33" s="20">
        <v>3</v>
      </c>
      <c r="I33" s="20">
        <f t="shared" si="4"/>
        <v>371.09820000000002</v>
      </c>
      <c r="J33" s="20">
        <f t="shared" si="5"/>
        <v>1791.4428927914</v>
      </c>
      <c r="K33" s="20">
        <f t="shared" si="6"/>
        <v>5044.859375</v>
      </c>
      <c r="L33" s="20">
        <v>0</v>
      </c>
      <c r="M33" s="20">
        <v>0</v>
      </c>
      <c r="N33" s="20"/>
      <c r="O33" s="20">
        <v>0</v>
      </c>
      <c r="P33" s="20">
        <v>0</v>
      </c>
      <c r="Q33" s="20">
        <v>0</v>
      </c>
      <c r="R33" s="20">
        <f t="shared" si="7"/>
        <v>6836.3022677913996</v>
      </c>
      <c r="S33" s="20"/>
      <c r="T33" s="20"/>
    </row>
    <row r="34" spans="1:21" ht="12.75" customHeight="1" x14ac:dyDescent="0.3">
      <c r="A34" s="21" t="s">
        <v>45</v>
      </c>
      <c r="B34" s="21" t="str">
        <f>VLOOKUP(A34,Members!$A$2:$B$65,2,FALSE)</f>
        <v>Ajai.B</v>
      </c>
      <c r="C34" s="22">
        <v>6907.5</v>
      </c>
      <c r="D34" s="22">
        <f t="shared" si="0"/>
        <v>0</v>
      </c>
      <c r="E34" s="22">
        <f t="shared" si="1"/>
        <v>6907.5</v>
      </c>
      <c r="F34" s="44">
        <f t="shared" si="2"/>
        <v>1.4362528304005289E-2</v>
      </c>
      <c r="G34" s="22">
        <f t="shared" si="3"/>
        <v>737.51582841067159</v>
      </c>
      <c r="H34" s="22">
        <v>4</v>
      </c>
      <c r="I34" s="22">
        <f t="shared" si="4"/>
        <v>494.79759999999999</v>
      </c>
      <c r="J34" s="22">
        <f t="shared" si="5"/>
        <v>1238.1118377856715</v>
      </c>
      <c r="K34" s="22">
        <f t="shared" si="6"/>
        <v>5044.859375</v>
      </c>
      <c r="L34" s="22">
        <v>0</v>
      </c>
      <c r="M34" s="22">
        <v>0</v>
      </c>
      <c r="N34" s="22"/>
      <c r="O34" s="22">
        <v>0</v>
      </c>
      <c r="P34" s="22">
        <v>0</v>
      </c>
      <c r="Q34" s="22">
        <v>0</v>
      </c>
      <c r="R34" s="22">
        <f t="shared" si="7"/>
        <v>6282.971212785671</v>
      </c>
      <c r="S34" s="22"/>
      <c r="T34" s="22"/>
    </row>
    <row r="35" spans="1:21" ht="12.75" customHeight="1" x14ac:dyDescent="0.3">
      <c r="A35" s="19" t="s">
        <v>46</v>
      </c>
      <c r="B35" s="19" t="str">
        <f>VLOOKUP(A35,Members!$A$2:$B$65,2,FALSE)</f>
        <v>Surajit Borah</v>
      </c>
      <c r="C35" s="20">
        <v>11465.5</v>
      </c>
      <c r="D35" s="20">
        <f t="shared" si="0"/>
        <v>0</v>
      </c>
      <c r="E35" s="20">
        <f t="shared" si="1"/>
        <v>11465.5</v>
      </c>
      <c r="F35" s="43">
        <f t="shared" si="2"/>
        <v>2.3839821682167594E-2</v>
      </c>
      <c r="G35" s="20">
        <f t="shared" si="3"/>
        <v>1224.1748433793059</v>
      </c>
      <c r="H35" s="20">
        <v>4</v>
      </c>
      <c r="I35" s="20">
        <f t="shared" si="4"/>
        <v>494.79759999999999</v>
      </c>
      <c r="J35" s="20">
        <f t="shared" si="5"/>
        <v>1724.7708527543059</v>
      </c>
      <c r="K35" s="20">
        <f t="shared" si="6"/>
        <v>5044.859375</v>
      </c>
      <c r="L35" s="20">
        <v>0</v>
      </c>
      <c r="M35" s="20">
        <v>0</v>
      </c>
      <c r="N35" s="20"/>
      <c r="O35" s="20">
        <v>0</v>
      </c>
      <c r="P35" s="20">
        <v>0</v>
      </c>
      <c r="Q35" s="20">
        <v>0</v>
      </c>
      <c r="R35" s="20">
        <f t="shared" si="7"/>
        <v>6769.6302277543055</v>
      </c>
      <c r="S35" s="20"/>
      <c r="T35" s="20"/>
    </row>
    <row r="36" spans="1:21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8395.5</v>
      </c>
      <c r="D36" s="22">
        <f t="shared" si="0"/>
        <v>0</v>
      </c>
      <c r="E36" s="22">
        <f t="shared" si="1"/>
        <v>8395.5</v>
      </c>
      <c r="F36" s="44">
        <f t="shared" si="2"/>
        <v>1.7456475769276353E-2</v>
      </c>
      <c r="G36" s="22">
        <f t="shared" si="3"/>
        <v>896.39003075234075</v>
      </c>
      <c r="H36" s="22">
        <v>4</v>
      </c>
      <c r="I36" s="22">
        <f t="shared" si="4"/>
        <v>494.79759999999999</v>
      </c>
      <c r="J36" s="22">
        <f t="shared" si="5"/>
        <v>1396.9860401273409</v>
      </c>
      <c r="K36" s="22">
        <f t="shared" si="6"/>
        <v>5044.859375</v>
      </c>
      <c r="L36" s="22">
        <v>0</v>
      </c>
      <c r="M36" s="22">
        <v>0</v>
      </c>
      <c r="N36" s="22"/>
      <c r="O36" s="22">
        <v>0</v>
      </c>
      <c r="P36" s="22">
        <v>0</v>
      </c>
      <c r="Q36" s="22">
        <v>1000</v>
      </c>
      <c r="R36" s="22">
        <f t="shared" si="7"/>
        <v>7441.8454151273409</v>
      </c>
      <c r="S36" s="22"/>
      <c r="T36" s="22"/>
      <c r="U36" t="s">
        <v>333</v>
      </c>
    </row>
    <row r="37" spans="1:21" ht="12.75" customHeight="1" x14ac:dyDescent="0.3">
      <c r="A37" s="19" t="s">
        <v>48</v>
      </c>
      <c r="B37" s="19" t="str">
        <f>VLOOKUP(A37,Members!$A$2:$B$65,2,FALSE)</f>
        <v>Praveen Ganesan</v>
      </c>
      <c r="C37" s="20">
        <v>4489</v>
      </c>
      <c r="D37" s="20">
        <f t="shared" si="0"/>
        <v>0</v>
      </c>
      <c r="E37" s="20">
        <f t="shared" si="1"/>
        <v>4489</v>
      </c>
      <c r="F37" s="43">
        <f t="shared" si="2"/>
        <v>9.3338240400549759E-3</v>
      </c>
      <c r="G37" s="20">
        <f t="shared" si="3"/>
        <v>479.29186445682302</v>
      </c>
      <c r="H37" s="20">
        <v>3</v>
      </c>
      <c r="I37" s="20">
        <f t="shared" si="4"/>
        <v>371.09820000000002</v>
      </c>
      <c r="J37" s="20">
        <f t="shared" si="5"/>
        <v>856.1884738318231</v>
      </c>
      <c r="K37" s="20">
        <f t="shared" si="6"/>
        <v>5044.859375</v>
      </c>
      <c r="L37" s="20">
        <v>0</v>
      </c>
      <c r="M37" s="20">
        <v>0</v>
      </c>
      <c r="N37" s="20"/>
      <c r="O37" s="20">
        <v>0</v>
      </c>
      <c r="P37" s="20">
        <v>0</v>
      </c>
      <c r="Q37" s="20">
        <v>0</v>
      </c>
      <c r="R37" s="20">
        <f t="shared" si="7"/>
        <v>5901.0478488318231</v>
      </c>
      <c r="S37" s="20"/>
      <c r="T37" s="20"/>
    </row>
    <row r="38" spans="1:21" ht="12.75" customHeight="1" x14ac:dyDescent="0.3">
      <c r="A38" s="21" t="s">
        <v>50</v>
      </c>
      <c r="B38" s="21" t="str">
        <f>VLOOKUP(A38,Members!$A$2:$B$65,2,FALSE)</f>
        <v>S.N.Behera</v>
      </c>
      <c r="C38" s="22">
        <v>1921</v>
      </c>
      <c r="D38" s="22">
        <f t="shared" ref="D38:D69" si="8">SUM($C$3:$C$5)/64</f>
        <v>0</v>
      </c>
      <c r="E38" s="22">
        <f t="shared" ref="E38:E69" si="9">C38+D38</f>
        <v>1921</v>
      </c>
      <c r="F38" s="44">
        <f t="shared" ref="F38:F69" si="10">IF($C$70=0, 0, E38/$C$70)</f>
        <v>3.994269543538786E-3</v>
      </c>
      <c r="G38" s="22">
        <f t="shared" ref="G38:G69" si="11">F38*$T$5</f>
        <v>205.10574106071667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582.00235043571672</v>
      </c>
      <c r="K38" s="22">
        <f t="shared" ref="K38:K69" si="14">$T$11/64</f>
        <v>5044.859375</v>
      </c>
      <c r="L38" s="22">
        <v>0</v>
      </c>
      <c r="M38" s="22">
        <v>0</v>
      </c>
      <c r="N38" s="22"/>
      <c r="O38" s="22">
        <v>0</v>
      </c>
      <c r="P38" s="22">
        <v>0</v>
      </c>
      <c r="Q38" s="22">
        <v>0</v>
      </c>
      <c r="R38" s="22">
        <f t="shared" ref="R38:R69" si="15">SUM(J38:Q38)*$B$2</f>
        <v>5626.8617254357168</v>
      </c>
      <c r="S38" s="22"/>
      <c r="T38" s="22"/>
    </row>
    <row r="39" spans="1:21" ht="12.75" customHeight="1" x14ac:dyDescent="0.3">
      <c r="A39" s="19" t="s">
        <v>52</v>
      </c>
      <c r="B39" s="19" t="str">
        <f>VLOOKUP(A39,Members!$A$2:$B$65,2,FALSE)</f>
        <v>Sonal Singh</v>
      </c>
      <c r="C39" s="20">
        <v>14576</v>
      </c>
      <c r="D39" s="20">
        <f t="shared" si="8"/>
        <v>0</v>
      </c>
      <c r="E39" s="20">
        <f t="shared" si="9"/>
        <v>14576</v>
      </c>
      <c r="F39" s="43">
        <f t="shared" si="10"/>
        <v>3.0307377858730524E-2</v>
      </c>
      <c r="G39" s="20">
        <f t="shared" si="11"/>
        <v>1556.2838530458125</v>
      </c>
      <c r="H39" s="20">
        <v>4</v>
      </c>
      <c r="I39" s="20">
        <f t="shared" si="12"/>
        <v>494.79759999999999</v>
      </c>
      <c r="J39" s="20">
        <f t="shared" si="13"/>
        <v>2056.8798624208125</v>
      </c>
      <c r="K39" s="20">
        <f t="shared" si="14"/>
        <v>5044.859375</v>
      </c>
      <c r="L39" s="20">
        <v>0</v>
      </c>
      <c r="M39" s="20">
        <v>0</v>
      </c>
      <c r="N39" s="20"/>
      <c r="O39" s="20">
        <v>0</v>
      </c>
      <c r="P39" s="20">
        <v>0</v>
      </c>
      <c r="Q39" s="20">
        <v>0</v>
      </c>
      <c r="R39" s="20">
        <f t="shared" si="15"/>
        <v>7101.7392374208121</v>
      </c>
      <c r="S39" s="20"/>
      <c r="T39" s="20"/>
    </row>
    <row r="40" spans="1:21" ht="12.75" customHeight="1" x14ac:dyDescent="0.3">
      <c r="A40" s="21" t="s">
        <v>53</v>
      </c>
      <c r="B40" s="21" t="str">
        <f>VLOOKUP(A40,Members!$A$2:$B$65,2,FALSE)</f>
        <v>Manikandan N</v>
      </c>
      <c r="C40" s="22">
        <v>8671.5</v>
      </c>
      <c r="D40" s="22">
        <f t="shared" si="8"/>
        <v>0</v>
      </c>
      <c r="E40" s="22">
        <f t="shared" si="9"/>
        <v>8671.5</v>
      </c>
      <c r="F40" s="44">
        <f t="shared" si="10"/>
        <v>1.8030353121705662E-2</v>
      </c>
      <c r="G40" s="22">
        <f t="shared" si="11"/>
        <v>925.85863279958573</v>
      </c>
      <c r="H40" s="22">
        <v>4</v>
      </c>
      <c r="I40" s="22">
        <f t="shared" si="12"/>
        <v>494.79759999999999</v>
      </c>
      <c r="J40" s="22">
        <f t="shared" si="13"/>
        <v>1426.4546421745858</v>
      </c>
      <c r="K40" s="22">
        <f t="shared" si="14"/>
        <v>5044.859375</v>
      </c>
      <c r="L40" s="22">
        <v>0</v>
      </c>
      <c r="M40" s="22">
        <v>0</v>
      </c>
      <c r="N40" s="22"/>
      <c r="O40" s="22">
        <v>0</v>
      </c>
      <c r="P40" s="22">
        <v>0</v>
      </c>
      <c r="Q40" s="22">
        <v>0</v>
      </c>
      <c r="R40" s="22">
        <f t="shared" si="15"/>
        <v>6471.3140171745854</v>
      </c>
      <c r="S40" s="22"/>
      <c r="T40" s="22"/>
    </row>
    <row r="41" spans="1:21" ht="12.75" customHeight="1" x14ac:dyDescent="0.3">
      <c r="A41" s="19" t="s">
        <v>54</v>
      </c>
      <c r="B41" s="19" t="str">
        <f>VLOOKUP(A41,Members!$A$2:$B$65,2,FALSE)</f>
        <v>Swami</v>
      </c>
      <c r="C41" s="20">
        <v>7512</v>
      </c>
      <c r="D41" s="20">
        <f t="shared" si="8"/>
        <v>0</v>
      </c>
      <c r="E41" s="20">
        <f t="shared" si="9"/>
        <v>7512</v>
      </c>
      <c r="F41" s="43">
        <f t="shared" si="10"/>
        <v>1.5619444461771659E-2</v>
      </c>
      <c r="G41" s="20">
        <f t="shared" si="11"/>
        <v>802.05847311197465</v>
      </c>
      <c r="H41" s="20">
        <v>3</v>
      </c>
      <c r="I41" s="20">
        <f t="shared" si="12"/>
        <v>371.09820000000002</v>
      </c>
      <c r="J41" s="20">
        <f t="shared" si="13"/>
        <v>1178.9550824869748</v>
      </c>
      <c r="K41" s="20">
        <f t="shared" si="14"/>
        <v>5044.859375</v>
      </c>
      <c r="L41" s="20">
        <v>0</v>
      </c>
      <c r="M41" s="20">
        <v>0</v>
      </c>
      <c r="N41" s="20"/>
      <c r="O41" s="20">
        <v>0</v>
      </c>
      <c r="P41" s="20">
        <v>0</v>
      </c>
      <c r="Q41" s="20">
        <v>0</v>
      </c>
      <c r="R41" s="20">
        <f t="shared" si="15"/>
        <v>6223.8144574869748</v>
      </c>
      <c r="S41" s="20"/>
      <c r="T41" s="20"/>
    </row>
    <row r="42" spans="1:21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7964.5</v>
      </c>
      <c r="D42" s="22">
        <f t="shared" si="8"/>
        <v>0</v>
      </c>
      <c r="E42" s="22">
        <f t="shared" si="9"/>
        <v>7964.5</v>
      </c>
      <c r="F42" s="44">
        <f t="shared" si="10"/>
        <v>1.6560312222547974E-2</v>
      </c>
      <c r="G42" s="22">
        <f t="shared" si="11"/>
        <v>850.37203262783851</v>
      </c>
      <c r="H42" s="22">
        <v>3</v>
      </c>
      <c r="I42" s="22">
        <f t="shared" si="12"/>
        <v>371.09820000000002</v>
      </c>
      <c r="J42" s="22">
        <f t="shared" si="13"/>
        <v>1227.2686420028385</v>
      </c>
      <c r="K42" s="22">
        <f t="shared" si="14"/>
        <v>5044.859375</v>
      </c>
      <c r="L42" s="22">
        <v>0</v>
      </c>
      <c r="M42" s="22">
        <v>0</v>
      </c>
      <c r="N42" s="22"/>
      <c r="O42" s="22">
        <v>0</v>
      </c>
      <c r="P42" s="22">
        <v>0</v>
      </c>
      <c r="Q42" s="22">
        <v>0</v>
      </c>
      <c r="R42" s="22">
        <f t="shared" si="15"/>
        <v>6272.1280170028385</v>
      </c>
      <c r="S42" s="22"/>
      <c r="T42" s="22"/>
    </row>
    <row r="43" spans="1:21" ht="12.75" customHeight="1" x14ac:dyDescent="0.3">
      <c r="A43" s="19" t="s">
        <v>57</v>
      </c>
      <c r="B43" s="19" t="str">
        <f>VLOOKUP(A43,Members!$A$2:$B$65,2,FALSE)</f>
        <v>Vivek Dhingra</v>
      </c>
      <c r="C43" s="20">
        <v>8347.5</v>
      </c>
      <c r="D43" s="20">
        <f t="shared" si="8"/>
        <v>0</v>
      </c>
      <c r="E43" s="20">
        <f t="shared" si="9"/>
        <v>8347.5</v>
      </c>
      <c r="F43" s="43">
        <f t="shared" si="10"/>
        <v>1.7356671012332126E-2</v>
      </c>
      <c r="G43" s="20">
        <f t="shared" si="11"/>
        <v>891.26505648325463</v>
      </c>
      <c r="H43" s="20">
        <v>3</v>
      </c>
      <c r="I43" s="20">
        <f t="shared" si="12"/>
        <v>371.09820000000002</v>
      </c>
      <c r="J43" s="20">
        <f t="shared" si="13"/>
        <v>1268.1616658582548</v>
      </c>
      <c r="K43" s="20">
        <f t="shared" si="14"/>
        <v>5044.859375</v>
      </c>
      <c r="L43" s="20">
        <v>0</v>
      </c>
      <c r="M43" s="20">
        <v>0</v>
      </c>
      <c r="N43" s="20"/>
      <c r="O43" s="20">
        <v>0</v>
      </c>
      <c r="P43" s="20">
        <v>0</v>
      </c>
      <c r="Q43" s="20">
        <v>0</v>
      </c>
      <c r="R43" s="20">
        <f t="shared" si="15"/>
        <v>6313.0210408582552</v>
      </c>
      <c r="S43" s="20"/>
      <c r="T43" s="20"/>
    </row>
    <row r="44" spans="1:21" ht="12.75" customHeight="1" x14ac:dyDescent="0.3">
      <c r="A44" s="21" t="s">
        <v>58</v>
      </c>
      <c r="B44" s="21" t="str">
        <f>VLOOKUP(A44,Members!$A$2:$B$65,2,FALSE)</f>
        <v>Harish B</v>
      </c>
      <c r="C44" s="22">
        <v>1792.5</v>
      </c>
      <c r="D44" s="22">
        <f t="shared" si="8"/>
        <v>0</v>
      </c>
      <c r="E44" s="22">
        <f t="shared" si="9"/>
        <v>1792.5</v>
      </c>
      <c r="F44" s="44">
        <f t="shared" si="10"/>
        <v>3.7270838921360091E-3</v>
      </c>
      <c r="G44" s="22">
        <f t="shared" si="11"/>
        <v>191.38575786118406</v>
      </c>
      <c r="H44" s="22">
        <v>3</v>
      </c>
      <c r="I44" s="22">
        <f t="shared" si="12"/>
        <v>371.09820000000002</v>
      </c>
      <c r="J44" s="22">
        <f t="shared" si="13"/>
        <v>568.28236723618409</v>
      </c>
      <c r="K44" s="22">
        <f t="shared" si="14"/>
        <v>5044.859375</v>
      </c>
      <c r="L44" s="22">
        <v>0</v>
      </c>
      <c r="M44" s="22">
        <v>0</v>
      </c>
      <c r="N44" s="22"/>
      <c r="O44" s="22">
        <v>0</v>
      </c>
      <c r="P44" s="22">
        <v>0</v>
      </c>
      <c r="Q44" s="22">
        <v>0</v>
      </c>
      <c r="R44" s="22">
        <f t="shared" si="15"/>
        <v>5613.1417422361837</v>
      </c>
      <c r="S44" s="22"/>
      <c r="T44" s="22"/>
    </row>
    <row r="45" spans="1:21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9705</v>
      </c>
      <c r="D45" s="20">
        <f t="shared" si="8"/>
        <v>0</v>
      </c>
      <c r="E45" s="20">
        <f t="shared" si="9"/>
        <v>9705</v>
      </c>
      <c r="F45" s="43">
        <f t="shared" si="10"/>
        <v>2.017927429466107E-2</v>
      </c>
      <c r="G45" s="20">
        <f t="shared" si="11"/>
        <v>1036.205735030846</v>
      </c>
      <c r="H45" s="20">
        <v>3</v>
      </c>
      <c r="I45" s="20">
        <f t="shared" si="12"/>
        <v>371.09820000000002</v>
      </c>
      <c r="J45" s="20">
        <f t="shared" si="13"/>
        <v>1413.102344405846</v>
      </c>
      <c r="K45" s="20">
        <f t="shared" si="14"/>
        <v>5044.859375</v>
      </c>
      <c r="L45" s="20">
        <v>0</v>
      </c>
      <c r="M45" s="20">
        <v>0</v>
      </c>
      <c r="N45" s="20"/>
      <c r="O45" s="20">
        <v>0</v>
      </c>
      <c r="P45" s="20">
        <v>0</v>
      </c>
      <c r="Q45" s="20">
        <v>0</v>
      </c>
      <c r="R45" s="20">
        <f t="shared" si="15"/>
        <v>6457.9617194058465</v>
      </c>
      <c r="S45" s="20"/>
      <c r="T45" s="20"/>
    </row>
    <row r="46" spans="1:21" ht="12.75" customHeight="1" x14ac:dyDescent="0.3">
      <c r="A46" s="21" t="s">
        <v>60</v>
      </c>
      <c r="B46" s="21" t="str">
        <f>VLOOKUP(A46,Members!$A$2:$B$65,2,FALSE)</f>
        <v>Pawan GS</v>
      </c>
      <c r="C46" s="22">
        <v>56</v>
      </c>
      <c r="D46" s="22">
        <f t="shared" si="8"/>
        <v>0</v>
      </c>
      <c r="E46" s="22">
        <f t="shared" si="9"/>
        <v>56</v>
      </c>
      <c r="F46" s="44">
        <f t="shared" si="10"/>
        <v>1.1643888310159916E-4</v>
      </c>
      <c r="G46" s="22">
        <f t="shared" si="11"/>
        <v>5.9791366472671168</v>
      </c>
      <c r="H46" s="22">
        <v>4</v>
      </c>
      <c r="I46" s="22">
        <f t="shared" si="12"/>
        <v>494.79759999999999</v>
      </c>
      <c r="J46" s="22">
        <f t="shared" si="13"/>
        <v>506.57514602226712</v>
      </c>
      <c r="K46" s="22">
        <f t="shared" si="14"/>
        <v>5044.859375</v>
      </c>
      <c r="L46" s="22">
        <v>0</v>
      </c>
      <c r="M46" s="22">
        <v>0</v>
      </c>
      <c r="N46" s="22"/>
      <c r="O46" s="22">
        <v>0</v>
      </c>
      <c r="P46" s="22">
        <v>0</v>
      </c>
      <c r="Q46" s="22">
        <v>1000</v>
      </c>
      <c r="R46" s="22">
        <f t="shared" si="15"/>
        <v>6551.4345210222673</v>
      </c>
      <c r="S46" s="22"/>
      <c r="T46" s="22"/>
      <c r="U46" t="s">
        <v>333</v>
      </c>
    </row>
    <row r="47" spans="1:21" ht="12.75" customHeight="1" x14ac:dyDescent="0.3">
      <c r="A47" s="19" t="s">
        <v>61</v>
      </c>
      <c r="B47" s="19" t="str">
        <f>VLOOKUP(A47,Members!$A$2:$B$65,2,FALSE)</f>
        <v>Mayfy</v>
      </c>
      <c r="C47" s="20">
        <v>446.5</v>
      </c>
      <c r="D47" s="20">
        <f t="shared" si="8"/>
        <v>0</v>
      </c>
      <c r="E47" s="20">
        <f t="shared" si="9"/>
        <v>446.5</v>
      </c>
      <c r="F47" s="43">
        <f t="shared" si="10"/>
        <v>9.2839216615828624E-4</v>
      </c>
      <c r="G47" s="20">
        <f t="shared" si="11"/>
        <v>47.672937732228</v>
      </c>
      <c r="H47" s="20">
        <v>3</v>
      </c>
      <c r="I47" s="20">
        <f t="shared" si="12"/>
        <v>371.09820000000002</v>
      </c>
      <c r="J47" s="20">
        <f t="shared" si="13"/>
        <v>424.569547107228</v>
      </c>
      <c r="K47" s="20">
        <f t="shared" si="14"/>
        <v>5044.859375</v>
      </c>
      <c r="L47" s="20">
        <v>0</v>
      </c>
      <c r="M47" s="20">
        <v>0</v>
      </c>
      <c r="N47" s="20"/>
      <c r="O47" s="20">
        <v>0</v>
      </c>
      <c r="P47" s="20">
        <v>0</v>
      </c>
      <c r="Q47" s="20">
        <v>0</v>
      </c>
      <c r="R47" s="20">
        <f t="shared" si="15"/>
        <v>5469.4289221072277</v>
      </c>
      <c r="S47" s="20"/>
      <c r="T47" s="20"/>
    </row>
    <row r="48" spans="1:21" ht="12.75" customHeight="1" x14ac:dyDescent="0.3">
      <c r="A48" s="21" t="s">
        <v>62</v>
      </c>
      <c r="B48" s="21" t="str">
        <f>VLOOKUP(A48,Members!$A$2:$B$65,2,FALSE)</f>
        <v>Gowrish Patnaik</v>
      </c>
      <c r="C48" s="22">
        <v>5003.5</v>
      </c>
      <c r="D48" s="22">
        <f t="shared" si="8"/>
        <v>0</v>
      </c>
      <c r="E48" s="22">
        <f t="shared" si="9"/>
        <v>5003.5</v>
      </c>
      <c r="F48" s="44">
        <f t="shared" si="10"/>
        <v>1.0403606278550918E-2</v>
      </c>
      <c r="G48" s="22">
        <f t="shared" si="11"/>
        <v>534.22518240358966</v>
      </c>
      <c r="H48" s="22">
        <v>3</v>
      </c>
      <c r="I48" s="22">
        <f t="shared" si="12"/>
        <v>371.09820000000002</v>
      </c>
      <c r="J48" s="22">
        <f t="shared" si="13"/>
        <v>911.12179177858968</v>
      </c>
      <c r="K48" s="22">
        <f t="shared" si="14"/>
        <v>5044.859375</v>
      </c>
      <c r="L48" s="22">
        <v>0</v>
      </c>
      <c r="M48" s="22">
        <v>0</v>
      </c>
      <c r="N48" s="22"/>
      <c r="O48" s="22">
        <v>0</v>
      </c>
      <c r="P48" s="22">
        <v>0</v>
      </c>
      <c r="Q48" s="22">
        <v>0</v>
      </c>
      <c r="R48" s="22">
        <f t="shared" si="15"/>
        <v>5955.9811667785898</v>
      </c>
      <c r="S48" s="22"/>
      <c r="T48" s="22"/>
    </row>
    <row r="49" spans="1:21" ht="12.75" customHeight="1" x14ac:dyDescent="0.3">
      <c r="A49" s="19" t="s">
        <v>63</v>
      </c>
      <c r="B49" s="19" t="str">
        <f>VLOOKUP(A49,Members!$A$2:$B$65,2,FALSE)</f>
        <v>Saovik Mondal</v>
      </c>
      <c r="C49" s="20">
        <v>10208</v>
      </c>
      <c r="D49" s="20">
        <f t="shared" si="8"/>
        <v>0</v>
      </c>
      <c r="E49" s="20">
        <f t="shared" si="9"/>
        <v>10208</v>
      </c>
      <c r="F49" s="43">
        <f t="shared" si="10"/>
        <v>2.122514497680579E-2</v>
      </c>
      <c r="G49" s="20">
        <f t="shared" si="11"/>
        <v>1089.9111945589773</v>
      </c>
      <c r="H49" s="20">
        <v>3</v>
      </c>
      <c r="I49" s="20">
        <f t="shared" si="12"/>
        <v>371.09820000000002</v>
      </c>
      <c r="J49" s="20">
        <f t="shared" si="13"/>
        <v>1466.8078039339771</v>
      </c>
      <c r="K49" s="20">
        <f t="shared" si="14"/>
        <v>5044.859375</v>
      </c>
      <c r="L49" s="20">
        <v>0</v>
      </c>
      <c r="M49" s="20">
        <v>0</v>
      </c>
      <c r="N49" s="20"/>
      <c r="O49" s="20">
        <v>0</v>
      </c>
      <c r="P49" s="20">
        <v>0</v>
      </c>
      <c r="Q49" s="20">
        <v>0</v>
      </c>
      <c r="R49" s="20">
        <f t="shared" si="15"/>
        <v>6511.6671789339771</v>
      </c>
      <c r="S49" s="20"/>
      <c r="T49" s="20"/>
    </row>
    <row r="50" spans="1:21" ht="12.75" customHeight="1" x14ac:dyDescent="0.3">
      <c r="A50" s="21" t="s">
        <v>64</v>
      </c>
      <c r="B50" s="21" t="str">
        <f>VLOOKUP(A50,Members!$A$2:$B$65,2,FALSE)</f>
        <v>Srinivasa Rao</v>
      </c>
      <c r="C50" s="22">
        <v>1</v>
      </c>
      <c r="D50" s="22">
        <f t="shared" si="8"/>
        <v>0</v>
      </c>
      <c r="E50" s="22">
        <f t="shared" si="9"/>
        <v>1</v>
      </c>
      <c r="F50" s="44">
        <f t="shared" si="10"/>
        <v>2.0792657696714138E-6</v>
      </c>
      <c r="G50" s="22">
        <f t="shared" si="11"/>
        <v>0.1067702972726271</v>
      </c>
      <c r="H50" s="22">
        <v>4</v>
      </c>
      <c r="I50" s="22">
        <f t="shared" si="12"/>
        <v>494.79759999999999</v>
      </c>
      <c r="J50" s="22">
        <f t="shared" si="13"/>
        <v>500.70277967227264</v>
      </c>
      <c r="K50" s="22">
        <f t="shared" si="14"/>
        <v>5044.859375</v>
      </c>
      <c r="L50" s="22">
        <v>0</v>
      </c>
      <c r="M50" s="22">
        <v>0</v>
      </c>
      <c r="N50" s="22"/>
      <c r="O50" s="22">
        <v>0</v>
      </c>
      <c r="P50" s="22">
        <v>0</v>
      </c>
      <c r="Q50" s="22">
        <v>0</v>
      </c>
      <c r="R50" s="22">
        <f t="shared" si="15"/>
        <v>5545.5621546722723</v>
      </c>
      <c r="S50" s="22"/>
      <c r="T50" s="22"/>
    </row>
    <row r="51" spans="1:21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8093.5</v>
      </c>
      <c r="D51" s="20">
        <f t="shared" si="8"/>
        <v>0</v>
      </c>
      <c r="E51" s="20">
        <f t="shared" si="9"/>
        <v>8093.5</v>
      </c>
      <c r="F51" s="43">
        <f t="shared" si="10"/>
        <v>1.6828537506835585E-2</v>
      </c>
      <c r="G51" s="20">
        <f t="shared" si="11"/>
        <v>864.14540097600729</v>
      </c>
      <c r="H51" s="20">
        <v>4</v>
      </c>
      <c r="I51" s="20">
        <f t="shared" si="12"/>
        <v>494.79759999999999</v>
      </c>
      <c r="J51" s="20">
        <f t="shared" si="13"/>
        <v>1364.7414103510073</v>
      </c>
      <c r="K51" s="20">
        <f t="shared" si="14"/>
        <v>5044.859375</v>
      </c>
      <c r="L51" s="20">
        <v>0</v>
      </c>
      <c r="M51" s="20">
        <v>0</v>
      </c>
      <c r="N51" s="20"/>
      <c r="O51" s="20">
        <v>0</v>
      </c>
      <c r="P51" s="20">
        <v>0</v>
      </c>
      <c r="Q51" s="20">
        <v>1000</v>
      </c>
      <c r="R51" s="20">
        <f t="shared" si="15"/>
        <v>7409.6007853510073</v>
      </c>
      <c r="S51" s="20"/>
      <c r="T51" s="20"/>
      <c r="U51" t="s">
        <v>333</v>
      </c>
    </row>
    <row r="52" spans="1:21" ht="12.75" customHeight="1" x14ac:dyDescent="0.3">
      <c r="A52" s="21" t="s">
        <v>66</v>
      </c>
      <c r="B52" s="21" t="str">
        <f>VLOOKUP(A52,Members!$A$2:$B$65,2,FALSE)</f>
        <v>Manas Dasgupta</v>
      </c>
      <c r="C52" s="22">
        <v>15039</v>
      </c>
      <c r="D52" s="22">
        <f t="shared" si="8"/>
        <v>0</v>
      </c>
      <c r="E52" s="22">
        <f t="shared" si="9"/>
        <v>15039</v>
      </c>
      <c r="F52" s="44">
        <f t="shared" si="10"/>
        <v>3.1270077910088387E-2</v>
      </c>
      <c r="G52" s="22">
        <f t="shared" si="11"/>
        <v>1605.7185006830387</v>
      </c>
      <c r="H52" s="22">
        <v>4</v>
      </c>
      <c r="I52" s="22">
        <f t="shared" si="12"/>
        <v>494.79759999999999</v>
      </c>
      <c r="J52" s="22">
        <f t="shared" si="13"/>
        <v>2106.3145100580386</v>
      </c>
      <c r="K52" s="22">
        <f t="shared" si="14"/>
        <v>5044.859375</v>
      </c>
      <c r="L52" s="22">
        <v>0</v>
      </c>
      <c r="M52" s="22">
        <v>0</v>
      </c>
      <c r="N52" s="22"/>
      <c r="O52" s="22">
        <v>0</v>
      </c>
      <c r="P52" s="22">
        <v>0</v>
      </c>
      <c r="Q52" s="22">
        <v>0</v>
      </c>
      <c r="R52" s="22">
        <f t="shared" si="15"/>
        <v>7151.1738850580386</v>
      </c>
      <c r="S52" s="22"/>
      <c r="T52" s="22"/>
    </row>
    <row r="53" spans="1:21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4321</v>
      </c>
      <c r="D53" s="20">
        <f t="shared" si="8"/>
        <v>0</v>
      </c>
      <c r="E53" s="20">
        <f t="shared" si="9"/>
        <v>4321</v>
      </c>
      <c r="F53" s="43">
        <f t="shared" si="10"/>
        <v>8.984507390750178E-3</v>
      </c>
      <c r="G53" s="20">
        <f t="shared" si="11"/>
        <v>461.35445451502164</v>
      </c>
      <c r="H53" s="20">
        <v>3</v>
      </c>
      <c r="I53" s="20">
        <f t="shared" si="12"/>
        <v>371.09820000000002</v>
      </c>
      <c r="J53" s="20">
        <f t="shared" si="13"/>
        <v>838.25106389002167</v>
      </c>
      <c r="K53" s="20">
        <f t="shared" si="14"/>
        <v>5044.859375</v>
      </c>
      <c r="L53" s="20">
        <v>0</v>
      </c>
      <c r="M53" s="20">
        <v>0</v>
      </c>
      <c r="N53" s="20"/>
      <c r="O53" s="20">
        <v>0</v>
      </c>
      <c r="P53" s="20">
        <v>0</v>
      </c>
      <c r="Q53" s="20">
        <v>0</v>
      </c>
      <c r="R53" s="20">
        <f t="shared" si="15"/>
        <v>5883.1104388900221</v>
      </c>
      <c r="S53" s="20"/>
      <c r="T53" s="20"/>
    </row>
    <row r="54" spans="1:21" ht="12.75" customHeight="1" x14ac:dyDescent="0.3">
      <c r="A54" s="21" t="s">
        <v>68</v>
      </c>
      <c r="B54" s="21" t="str">
        <f>VLOOKUP(A54,Members!$A$2:$B$65,2,FALSE)</f>
        <v>Prashant Sikdar</v>
      </c>
      <c r="C54" s="22">
        <v>13037.5</v>
      </c>
      <c r="D54" s="22">
        <f t="shared" si="8"/>
        <v>0</v>
      </c>
      <c r="E54" s="22">
        <f t="shared" si="9"/>
        <v>13037.5</v>
      </c>
      <c r="F54" s="44">
        <f t="shared" si="10"/>
        <v>2.7108427472091055E-2</v>
      </c>
      <c r="G54" s="22">
        <f t="shared" si="11"/>
        <v>1392.0177506918756</v>
      </c>
      <c r="H54" s="22">
        <v>3</v>
      </c>
      <c r="I54" s="22">
        <f t="shared" si="12"/>
        <v>371.09820000000002</v>
      </c>
      <c r="J54" s="22">
        <f t="shared" si="13"/>
        <v>1768.9143600668754</v>
      </c>
      <c r="K54" s="22">
        <f t="shared" si="14"/>
        <v>5044.859375</v>
      </c>
      <c r="L54" s="22">
        <v>0</v>
      </c>
      <c r="M54" s="22">
        <v>0</v>
      </c>
      <c r="N54" s="22"/>
      <c r="O54" s="22">
        <v>0</v>
      </c>
      <c r="P54" s="22">
        <v>0</v>
      </c>
      <c r="Q54" s="22">
        <v>0</v>
      </c>
      <c r="R54" s="22">
        <f t="shared" si="15"/>
        <v>6813.7737350668758</v>
      </c>
      <c r="S54" s="22"/>
      <c r="T54" s="22"/>
    </row>
    <row r="55" spans="1:21" ht="12.75" customHeight="1" x14ac:dyDescent="0.3">
      <c r="A55" s="19" t="s">
        <v>69</v>
      </c>
      <c r="B55" s="19" t="str">
        <f>VLOOKUP(A55,Members!$A$2:$B$65,2,FALSE)</f>
        <v>Kunal Raj Mehta</v>
      </c>
      <c r="C55" s="20">
        <v>12495.5</v>
      </c>
      <c r="D55" s="20">
        <f t="shared" si="8"/>
        <v>0</v>
      </c>
      <c r="E55" s="20">
        <f t="shared" si="9"/>
        <v>12495.5</v>
      </c>
      <c r="F55" s="43">
        <f t="shared" si="10"/>
        <v>2.598146542492915E-2</v>
      </c>
      <c r="G55" s="20">
        <f t="shared" si="11"/>
        <v>1334.1482495701118</v>
      </c>
      <c r="H55" s="20">
        <v>4</v>
      </c>
      <c r="I55" s="20">
        <f t="shared" si="12"/>
        <v>494.79759999999999</v>
      </c>
      <c r="J55" s="20">
        <f t="shared" si="13"/>
        <v>1834.7442589451116</v>
      </c>
      <c r="K55" s="20">
        <f t="shared" si="14"/>
        <v>5044.859375</v>
      </c>
      <c r="L55" s="20">
        <v>0</v>
      </c>
      <c r="M55" s="20">
        <v>0</v>
      </c>
      <c r="N55" s="20"/>
      <c r="O55" s="20">
        <v>0</v>
      </c>
      <c r="P55" s="20">
        <v>0</v>
      </c>
      <c r="Q55" s="20">
        <v>0</v>
      </c>
      <c r="R55" s="20">
        <f t="shared" si="15"/>
        <v>6879.6036339451111</v>
      </c>
      <c r="S55" s="20"/>
      <c r="T55" s="20"/>
    </row>
    <row r="56" spans="1:21" ht="12.75" customHeight="1" x14ac:dyDescent="0.3">
      <c r="A56" s="21" t="s">
        <v>70</v>
      </c>
      <c r="B56" s="21" t="str">
        <f>VLOOKUP(A56,Members!$A$2:$B$65,2,FALSE)</f>
        <v>Kapil Garg</v>
      </c>
      <c r="C56" s="22">
        <v>8049.5</v>
      </c>
      <c r="D56" s="22">
        <f t="shared" si="8"/>
        <v>0</v>
      </c>
      <c r="E56" s="22">
        <f t="shared" si="9"/>
        <v>8049.5</v>
      </c>
      <c r="F56" s="44">
        <f t="shared" si="10"/>
        <v>1.6737049812970042E-2</v>
      </c>
      <c r="G56" s="22">
        <f t="shared" si="11"/>
        <v>859.44750789601164</v>
      </c>
      <c r="H56" s="22">
        <v>4</v>
      </c>
      <c r="I56" s="22">
        <f t="shared" si="12"/>
        <v>494.79759999999999</v>
      </c>
      <c r="J56" s="22">
        <f t="shared" si="13"/>
        <v>1360.0435172710118</v>
      </c>
      <c r="K56" s="22">
        <f t="shared" si="14"/>
        <v>5044.859375</v>
      </c>
      <c r="L56" s="22">
        <v>0</v>
      </c>
      <c r="M56" s="22">
        <v>0</v>
      </c>
      <c r="N56" s="22"/>
      <c r="O56" s="22">
        <v>0</v>
      </c>
      <c r="P56" s="22">
        <v>0</v>
      </c>
      <c r="Q56" s="22">
        <v>0</v>
      </c>
      <c r="R56" s="22">
        <f t="shared" si="15"/>
        <v>6404.9028922710113</v>
      </c>
      <c r="S56" s="22"/>
      <c r="T56" s="22"/>
    </row>
    <row r="57" spans="1:21" ht="12.75" customHeight="1" x14ac:dyDescent="0.3">
      <c r="A57" s="19" t="s">
        <v>71</v>
      </c>
      <c r="B57" s="19" t="str">
        <f>VLOOKUP(A57,Members!$A$2:$B$65,2,FALSE)</f>
        <v>Vijet Alva</v>
      </c>
      <c r="C57" s="20">
        <v>7.5</v>
      </c>
      <c r="D57" s="20">
        <f t="shared" si="8"/>
        <v>0</v>
      </c>
      <c r="E57" s="20">
        <f t="shared" si="9"/>
        <v>7.5</v>
      </c>
      <c r="F57" s="43">
        <f t="shared" si="10"/>
        <v>1.5594493272535601E-5</v>
      </c>
      <c r="G57" s="20">
        <f t="shared" si="11"/>
        <v>0.8007772295447031</v>
      </c>
      <c r="H57" s="20">
        <v>4</v>
      </c>
      <c r="I57" s="20">
        <f t="shared" si="12"/>
        <v>494.79759999999999</v>
      </c>
      <c r="J57" s="20">
        <f t="shared" si="13"/>
        <v>501.39678660454467</v>
      </c>
      <c r="K57" s="20">
        <f t="shared" si="14"/>
        <v>5044.859375</v>
      </c>
      <c r="L57" s="20">
        <v>0</v>
      </c>
      <c r="M57" s="20">
        <v>0</v>
      </c>
      <c r="N57" s="20"/>
      <c r="O57" s="20">
        <v>0</v>
      </c>
      <c r="P57" s="20">
        <v>0</v>
      </c>
      <c r="Q57" s="20">
        <v>0</v>
      </c>
      <c r="R57" s="20">
        <f t="shared" si="15"/>
        <v>5546.256161604545</v>
      </c>
      <c r="S57" s="20"/>
      <c r="T57" s="20"/>
    </row>
    <row r="58" spans="1:21" ht="12.75" customHeight="1" x14ac:dyDescent="0.3">
      <c r="A58" s="21" t="s">
        <v>73</v>
      </c>
      <c r="B58" s="21" t="str">
        <f>VLOOKUP(A58,Members!$A$2:$B$65,2,FALSE)</f>
        <v>Ganesh Iyer</v>
      </c>
      <c r="C58" s="22">
        <v>1996</v>
      </c>
      <c r="D58" s="22">
        <f t="shared" si="8"/>
        <v>0</v>
      </c>
      <c r="E58" s="22">
        <f t="shared" si="9"/>
        <v>1996</v>
      </c>
      <c r="F58" s="44">
        <f t="shared" si="10"/>
        <v>4.150214476264142E-3</v>
      </c>
      <c r="G58" s="22">
        <f t="shared" si="11"/>
        <v>213.11351335616368</v>
      </c>
      <c r="H58" s="22">
        <v>3</v>
      </c>
      <c r="I58" s="22">
        <f t="shared" si="12"/>
        <v>371.09820000000002</v>
      </c>
      <c r="J58" s="22">
        <f t="shared" si="13"/>
        <v>590.01012273116373</v>
      </c>
      <c r="K58" s="22">
        <f t="shared" si="14"/>
        <v>5044.859375</v>
      </c>
      <c r="L58" s="22">
        <v>0</v>
      </c>
      <c r="M58" s="22">
        <v>0</v>
      </c>
      <c r="N58" s="22"/>
      <c r="O58" s="22">
        <v>0</v>
      </c>
      <c r="P58" s="22">
        <v>0</v>
      </c>
      <c r="Q58" s="22">
        <v>0</v>
      </c>
      <c r="R58" s="22">
        <f t="shared" si="15"/>
        <v>5634.8694977311634</v>
      </c>
      <c r="S58" s="22"/>
      <c r="T58" s="22"/>
    </row>
    <row r="59" spans="1:21" ht="12.75" customHeight="1" x14ac:dyDescent="0.3">
      <c r="A59" s="19" t="s">
        <v>74</v>
      </c>
      <c r="B59" s="19" t="str">
        <f>VLOOKUP(A59,Members!$A$2:$B$65,2,FALSE)</f>
        <v>Mythili Ramesh</v>
      </c>
      <c r="C59" s="20">
        <v>13625.5</v>
      </c>
      <c r="D59" s="20">
        <f t="shared" si="8"/>
        <v>0</v>
      </c>
      <c r="E59" s="20">
        <f t="shared" si="9"/>
        <v>13625.5</v>
      </c>
      <c r="F59" s="43">
        <f t="shared" si="10"/>
        <v>2.8331035744657847E-2</v>
      </c>
      <c r="G59" s="20">
        <f t="shared" si="11"/>
        <v>1454.7986854881804</v>
      </c>
      <c r="H59" s="20">
        <v>3</v>
      </c>
      <c r="I59" s="20">
        <f t="shared" si="12"/>
        <v>371.09820000000002</v>
      </c>
      <c r="J59" s="20">
        <f t="shared" si="13"/>
        <v>1831.6952948631802</v>
      </c>
      <c r="K59" s="20">
        <f t="shared" si="14"/>
        <v>5044.859375</v>
      </c>
      <c r="L59" s="20">
        <v>0</v>
      </c>
      <c r="M59" s="20">
        <v>0</v>
      </c>
      <c r="N59" s="20"/>
      <c r="O59" s="20">
        <v>0</v>
      </c>
      <c r="P59" s="20">
        <v>0</v>
      </c>
      <c r="Q59" s="20">
        <v>0</v>
      </c>
      <c r="R59" s="20">
        <f t="shared" si="15"/>
        <v>6876.5546698631806</v>
      </c>
      <c r="S59" s="20"/>
      <c r="T59" s="20"/>
    </row>
    <row r="60" spans="1:21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9251</v>
      </c>
      <c r="D60" s="22">
        <f t="shared" si="8"/>
        <v>0</v>
      </c>
      <c r="E60" s="22">
        <f t="shared" si="9"/>
        <v>9251</v>
      </c>
      <c r="F60" s="44">
        <f t="shared" si="10"/>
        <v>1.9235287635230247E-2</v>
      </c>
      <c r="G60" s="22">
        <f t="shared" si="11"/>
        <v>987.7320200690732</v>
      </c>
      <c r="H60" s="22">
        <v>3</v>
      </c>
      <c r="I60" s="22">
        <f t="shared" si="12"/>
        <v>371.09820000000002</v>
      </c>
      <c r="J60" s="22">
        <f t="shared" si="13"/>
        <v>1364.6286294440733</v>
      </c>
      <c r="K60" s="22">
        <f t="shared" si="14"/>
        <v>5044.859375</v>
      </c>
      <c r="L60" s="22">
        <v>0</v>
      </c>
      <c r="M60" s="22">
        <v>0</v>
      </c>
      <c r="N60" s="22"/>
      <c r="O60" s="22">
        <v>0</v>
      </c>
      <c r="P60" s="22">
        <v>0</v>
      </c>
      <c r="Q60" s="22">
        <v>0</v>
      </c>
      <c r="R60" s="22">
        <f t="shared" si="15"/>
        <v>6409.4880044440733</v>
      </c>
      <c r="S60" s="22"/>
      <c r="T60" s="22"/>
    </row>
    <row r="61" spans="1:21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876.5</v>
      </c>
      <c r="D61" s="20">
        <f t="shared" si="8"/>
        <v>0</v>
      </c>
      <c r="E61" s="20">
        <f t="shared" si="9"/>
        <v>876.5</v>
      </c>
      <c r="F61" s="43">
        <f t="shared" si="10"/>
        <v>1.822476447116994E-3</v>
      </c>
      <c r="G61" s="20">
        <f t="shared" si="11"/>
        <v>93.584165559457645</v>
      </c>
      <c r="H61" s="20">
        <v>3</v>
      </c>
      <c r="I61" s="20">
        <f t="shared" si="12"/>
        <v>371.09820000000002</v>
      </c>
      <c r="J61" s="20">
        <f t="shared" si="13"/>
        <v>470.48077493445766</v>
      </c>
      <c r="K61" s="20">
        <f t="shared" si="14"/>
        <v>5044.859375</v>
      </c>
      <c r="L61" s="20">
        <v>0</v>
      </c>
      <c r="M61" s="20">
        <v>0</v>
      </c>
      <c r="N61" s="20"/>
      <c r="O61" s="20">
        <v>0</v>
      </c>
      <c r="P61" s="20">
        <v>0</v>
      </c>
      <c r="Q61" s="20">
        <v>0</v>
      </c>
      <c r="R61" s="20">
        <f t="shared" si="15"/>
        <v>5515.3401499344573</v>
      </c>
      <c r="S61" s="20"/>
      <c r="T61" s="20"/>
    </row>
    <row r="62" spans="1:21" ht="12.75" customHeight="1" x14ac:dyDescent="0.3">
      <c r="A62" s="21" t="s">
        <v>77</v>
      </c>
      <c r="B62" s="21" t="str">
        <f>VLOOKUP(A62,Members!$A$2:$B$65,2,FALSE)</f>
        <v>Nishith Sahu</v>
      </c>
      <c r="C62" s="22">
        <v>334</v>
      </c>
      <c r="D62" s="22">
        <f t="shared" si="8"/>
        <v>0</v>
      </c>
      <c r="E62" s="22">
        <f t="shared" si="9"/>
        <v>334</v>
      </c>
      <c r="F62" s="44">
        <f t="shared" si="10"/>
        <v>6.944747670702522E-4</v>
      </c>
      <c r="G62" s="22">
        <f t="shared" si="11"/>
        <v>35.661279289057447</v>
      </c>
      <c r="H62" s="22">
        <v>4</v>
      </c>
      <c r="I62" s="22">
        <f t="shared" si="12"/>
        <v>494.79759999999999</v>
      </c>
      <c r="J62" s="22">
        <f t="shared" si="13"/>
        <v>536.25728866405746</v>
      </c>
      <c r="K62" s="22">
        <f t="shared" si="14"/>
        <v>5044.859375</v>
      </c>
      <c r="L62" s="22">
        <v>0</v>
      </c>
      <c r="M62" s="22">
        <v>0</v>
      </c>
      <c r="N62" s="22"/>
      <c r="O62" s="22">
        <v>0</v>
      </c>
      <c r="P62" s="22">
        <v>0</v>
      </c>
      <c r="Q62" s="22">
        <v>0</v>
      </c>
      <c r="R62" s="22">
        <f t="shared" si="15"/>
        <v>5581.1166636640573</v>
      </c>
      <c r="S62" s="22"/>
      <c r="T62" s="22"/>
    </row>
    <row r="63" spans="1:21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12576</v>
      </c>
      <c r="D63" s="20">
        <f t="shared" si="8"/>
        <v>0</v>
      </c>
      <c r="E63" s="20">
        <f t="shared" si="9"/>
        <v>12576</v>
      </c>
      <c r="F63" s="43">
        <f t="shared" si="10"/>
        <v>2.6148846319387697E-2</v>
      </c>
      <c r="G63" s="20">
        <f t="shared" si="11"/>
        <v>1342.7432585005583</v>
      </c>
      <c r="H63" s="20">
        <v>3</v>
      </c>
      <c r="I63" s="20">
        <f t="shared" si="12"/>
        <v>371.09820000000002</v>
      </c>
      <c r="J63" s="20">
        <f t="shared" si="13"/>
        <v>1719.6398678755581</v>
      </c>
      <c r="K63" s="20">
        <f t="shared" si="14"/>
        <v>5044.859375</v>
      </c>
      <c r="L63" s="20">
        <v>750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7514.4992428755577</v>
      </c>
      <c r="S63" s="20"/>
      <c r="T63" s="20"/>
    </row>
    <row r="64" spans="1:21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6012</v>
      </c>
      <c r="D64" s="22">
        <f t="shared" si="8"/>
        <v>0</v>
      </c>
      <c r="E64" s="22">
        <f t="shared" si="9"/>
        <v>6012</v>
      </c>
      <c r="F64" s="44">
        <f t="shared" si="10"/>
        <v>1.2500545807264538E-2</v>
      </c>
      <c r="G64" s="22">
        <f t="shared" si="11"/>
        <v>641.90302720303407</v>
      </c>
      <c r="H64" s="22">
        <v>3</v>
      </c>
      <c r="I64" s="22">
        <f t="shared" si="12"/>
        <v>371.09820000000002</v>
      </c>
      <c r="J64" s="22">
        <f t="shared" si="13"/>
        <v>1018.7996365780341</v>
      </c>
      <c r="K64" s="22">
        <f t="shared" si="14"/>
        <v>5044.859375</v>
      </c>
      <c r="L64" s="22">
        <v>0</v>
      </c>
      <c r="M64" s="22">
        <v>0</v>
      </c>
      <c r="N64" s="22"/>
      <c r="O64" s="22">
        <v>0</v>
      </c>
      <c r="P64" s="22">
        <v>0</v>
      </c>
      <c r="Q64" s="22">
        <v>0</v>
      </c>
      <c r="R64" s="22">
        <f t="shared" si="15"/>
        <v>6063.6590115780346</v>
      </c>
      <c r="S64" s="22"/>
      <c r="T64" s="22"/>
    </row>
    <row r="65" spans="1:20" ht="12.75" customHeight="1" x14ac:dyDescent="0.3">
      <c r="A65" s="19" t="s">
        <v>81</v>
      </c>
      <c r="B65" s="19" t="str">
        <f>VLOOKUP(A65,Members!$A$2:$B$65,2,FALSE)</f>
        <v>Prasenjit</v>
      </c>
      <c r="C65" s="20">
        <v>21673.5</v>
      </c>
      <c r="D65" s="20">
        <f t="shared" si="8"/>
        <v>0</v>
      </c>
      <c r="E65" s="20">
        <f t="shared" si="9"/>
        <v>21673.5</v>
      </c>
      <c r="F65" s="43">
        <f t="shared" si="10"/>
        <v>4.5064966658973381E-2</v>
      </c>
      <c r="G65" s="20">
        <f t="shared" si="11"/>
        <v>2314.086037938283</v>
      </c>
      <c r="H65" s="20">
        <v>3</v>
      </c>
      <c r="I65" s="20">
        <f t="shared" si="12"/>
        <v>371.09820000000002</v>
      </c>
      <c r="J65" s="20">
        <f t="shared" si="13"/>
        <v>2690.982647313283</v>
      </c>
      <c r="K65" s="20">
        <f t="shared" si="14"/>
        <v>5044.859375</v>
      </c>
      <c r="L65" s="20">
        <v>0</v>
      </c>
      <c r="M65" s="20">
        <v>0</v>
      </c>
      <c r="N65" s="20"/>
      <c r="O65" s="20">
        <v>0</v>
      </c>
      <c r="P65" s="20">
        <v>0</v>
      </c>
      <c r="Q65" s="20">
        <v>0</v>
      </c>
      <c r="R65" s="20">
        <f t="shared" si="15"/>
        <v>7735.8420223132835</v>
      </c>
      <c r="S65" s="20"/>
      <c r="T65" s="20"/>
    </row>
    <row r="66" spans="1:20" ht="12.75" customHeight="1" x14ac:dyDescent="0.3">
      <c r="A66" s="21" t="s">
        <v>82</v>
      </c>
      <c r="B66" s="21" t="str">
        <f>VLOOKUP(A66,Members!$A$2:$B$65,2,FALSE)</f>
        <v>Sonali Deokhule</v>
      </c>
      <c r="C66" s="22">
        <v>19110.5</v>
      </c>
      <c r="D66" s="22">
        <f t="shared" si="8"/>
        <v>0</v>
      </c>
      <c r="E66" s="22">
        <f t="shared" si="9"/>
        <v>19110.5</v>
      </c>
      <c r="F66" s="44">
        <f t="shared" si="10"/>
        <v>3.9735808491305549E-2</v>
      </c>
      <c r="G66" s="22">
        <f t="shared" si="11"/>
        <v>2040.43376602854</v>
      </c>
      <c r="H66" s="22">
        <v>4</v>
      </c>
      <c r="I66" s="22">
        <f t="shared" si="12"/>
        <v>494.79759999999999</v>
      </c>
      <c r="J66" s="22">
        <f t="shared" si="13"/>
        <v>2541.02977540354</v>
      </c>
      <c r="K66" s="22">
        <f t="shared" si="14"/>
        <v>5044.859375</v>
      </c>
      <c r="L66" s="22">
        <v>0</v>
      </c>
      <c r="M66" s="22">
        <v>0</v>
      </c>
      <c r="N66" s="22"/>
      <c r="O66" s="22">
        <v>0</v>
      </c>
      <c r="P66" s="22">
        <v>0</v>
      </c>
      <c r="Q66" s="22">
        <v>0</v>
      </c>
      <c r="R66" s="22">
        <f t="shared" si="15"/>
        <v>7585.88915040354</v>
      </c>
      <c r="S66" s="22"/>
      <c r="T66" s="22"/>
    </row>
    <row r="67" spans="1:20" ht="12.75" customHeight="1" x14ac:dyDescent="0.3">
      <c r="A67" s="19" t="s">
        <v>84</v>
      </c>
      <c r="B67" s="19" t="str">
        <f>VLOOKUP(A67,Members!$A$2:$B$65,2,FALSE)</f>
        <v>Jeya</v>
      </c>
      <c r="C67" s="20">
        <v>4116</v>
      </c>
      <c r="D67" s="20">
        <f t="shared" si="8"/>
        <v>0</v>
      </c>
      <c r="E67" s="20">
        <f t="shared" si="9"/>
        <v>4116</v>
      </c>
      <c r="F67" s="43">
        <f t="shared" si="10"/>
        <v>8.5582579079675394E-3</v>
      </c>
      <c r="G67" s="20">
        <f t="shared" si="11"/>
        <v>439.46654357413314</v>
      </c>
      <c r="H67" s="20">
        <v>4</v>
      </c>
      <c r="I67" s="20">
        <f t="shared" si="12"/>
        <v>494.79759999999999</v>
      </c>
      <c r="J67" s="20">
        <f t="shared" si="13"/>
        <v>940.06255294913308</v>
      </c>
      <c r="K67" s="20">
        <f t="shared" si="14"/>
        <v>5044.859375</v>
      </c>
      <c r="L67" s="20">
        <v>0</v>
      </c>
      <c r="M67" s="20">
        <v>0</v>
      </c>
      <c r="N67" s="20"/>
      <c r="O67" s="20">
        <v>0</v>
      </c>
      <c r="P67" s="20">
        <v>0</v>
      </c>
      <c r="Q67" s="20">
        <v>0</v>
      </c>
      <c r="R67" s="20">
        <f t="shared" si="15"/>
        <v>5984.9219279491335</v>
      </c>
      <c r="S67" s="20"/>
      <c r="T67" s="20"/>
    </row>
    <row r="68" spans="1:20" ht="12.75" customHeight="1" x14ac:dyDescent="0.3">
      <c r="A68" s="21" t="s">
        <v>85</v>
      </c>
      <c r="B68" s="21" t="str">
        <f>VLOOKUP(A68,Members!$A$2:$B$65,2,FALSE)</f>
        <v>Trevor</v>
      </c>
      <c r="C68" s="22">
        <v>8970.5</v>
      </c>
      <c r="D68" s="22">
        <f t="shared" si="8"/>
        <v>0</v>
      </c>
      <c r="E68" s="22">
        <f t="shared" si="9"/>
        <v>8970.5</v>
      </c>
      <c r="F68" s="44">
        <f t="shared" si="10"/>
        <v>1.8652053586837417E-2</v>
      </c>
      <c r="G68" s="22">
        <f t="shared" si="11"/>
        <v>957.78295168410136</v>
      </c>
      <c r="H68" s="22">
        <v>4</v>
      </c>
      <c r="I68" s="22">
        <f t="shared" si="12"/>
        <v>494.79759999999999</v>
      </c>
      <c r="J68" s="22">
        <f t="shared" si="13"/>
        <v>1458.3789610591014</v>
      </c>
      <c r="K68" s="22">
        <f t="shared" si="14"/>
        <v>5044.859375</v>
      </c>
      <c r="L68" s="22">
        <v>0</v>
      </c>
      <c r="M68" s="22">
        <v>0</v>
      </c>
      <c r="N68" s="22"/>
      <c r="O68" s="22">
        <v>0</v>
      </c>
      <c r="P68" s="22">
        <v>0</v>
      </c>
      <c r="Q68" s="22">
        <v>0</v>
      </c>
      <c r="R68" s="22">
        <f t="shared" si="15"/>
        <v>6503.2383360591011</v>
      </c>
      <c r="S68" s="22"/>
      <c r="T68" s="22"/>
    </row>
    <row r="69" spans="1:20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10024.5</v>
      </c>
      <c r="D69" s="20">
        <f t="shared" si="8"/>
        <v>0</v>
      </c>
      <c r="E69" s="20">
        <f t="shared" si="9"/>
        <v>10024.5</v>
      </c>
      <c r="F69" s="43">
        <f t="shared" si="10"/>
        <v>2.0843599708071085E-2</v>
      </c>
      <c r="G69" s="20">
        <f t="shared" si="11"/>
        <v>1070.3188450094501</v>
      </c>
      <c r="H69" s="20">
        <v>3</v>
      </c>
      <c r="I69" s="20">
        <f t="shared" si="12"/>
        <v>371.09820000000002</v>
      </c>
      <c r="J69" s="20">
        <f t="shared" si="13"/>
        <v>1447.2154543844499</v>
      </c>
      <c r="K69" s="20">
        <f t="shared" si="14"/>
        <v>5044.859375</v>
      </c>
      <c r="L69" s="20">
        <v>0</v>
      </c>
      <c r="M69" s="20">
        <v>0</v>
      </c>
      <c r="N69" s="20"/>
      <c r="O69" s="20">
        <v>0</v>
      </c>
      <c r="P69" s="20">
        <v>0</v>
      </c>
      <c r="Q69" s="20">
        <v>0</v>
      </c>
      <c r="R69" s="20">
        <f t="shared" si="15"/>
        <v>6492.0748293844499</v>
      </c>
      <c r="S69" s="20"/>
      <c r="T69" s="20"/>
    </row>
    <row r="70" spans="1:20" ht="12.75" customHeight="1" x14ac:dyDescent="0.3">
      <c r="A70" s="21"/>
      <c r="B70" s="21" t="s">
        <v>87</v>
      </c>
      <c r="C70" s="22">
        <f>SUM(C3:C69)</f>
        <v>480939</v>
      </c>
      <c r="D70" s="22">
        <f>SUM(D3:D69)</f>
        <v>0</v>
      </c>
      <c r="E70" s="22">
        <f>SUM(E3:E69)</f>
        <v>480939</v>
      </c>
      <c r="F70" s="44">
        <f t="shared" ref="F70" si="16">IF($C$70=0, 0, E70/$C$70)</f>
        <v>1</v>
      </c>
      <c r="G70" s="22">
        <f t="shared" ref="G70:P70" si="17">SUM(G3:G69)</f>
        <v>51350.000000000007</v>
      </c>
      <c r="H70" s="22">
        <f t="shared" si="17"/>
        <v>223</v>
      </c>
      <c r="I70" s="22">
        <f t="shared" si="17"/>
        <v>27584.966200000028</v>
      </c>
      <c r="J70" s="22">
        <f t="shared" si="17"/>
        <v>78934.96620000001</v>
      </c>
      <c r="K70" s="22">
        <f t="shared" si="17"/>
        <v>322871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410805.96619999991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32" activePane="bottomLeft" state="frozen"/>
      <selection pane="bottomLeft" activeCell="I59" sqref="I59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>
        <v>10856</v>
      </c>
      <c r="D2" s="29" t="s">
        <v>336</v>
      </c>
      <c r="E2" s="26"/>
      <c r="F2" s="29"/>
      <c r="G2" s="26"/>
      <c r="H2" s="37"/>
      <c r="I2" s="26"/>
      <c r="J2" s="26"/>
      <c r="K2" s="26">
        <f t="shared" ref="K2:K33" si="0">SUM(C2,E2,G2,I2)</f>
        <v>10856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>
        <v>16500</v>
      </c>
      <c r="D3" s="32" t="s">
        <v>337</v>
      </c>
      <c r="E3" s="25"/>
      <c r="F3" s="32"/>
      <c r="G3" s="25"/>
      <c r="H3" s="38"/>
      <c r="I3" s="25"/>
      <c r="J3" s="25"/>
      <c r="K3" s="25">
        <f t="shared" si="0"/>
        <v>16500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6">
        <v>6000</v>
      </c>
      <c r="D4" s="40" t="s">
        <v>338</v>
      </c>
      <c r="E4" s="22"/>
      <c r="F4" s="29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>
        <v>5554.98</v>
      </c>
      <c r="D6" s="29" t="s">
        <v>339</v>
      </c>
      <c r="E6" s="26"/>
      <c r="F6" s="29"/>
      <c r="G6" s="26"/>
      <c r="H6" s="37"/>
      <c r="I6" s="26"/>
      <c r="J6" s="26"/>
      <c r="K6" s="26">
        <f t="shared" si="0"/>
        <v>5554.98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>
        <v>7469</v>
      </c>
      <c r="D7" s="32" t="s">
        <v>340</v>
      </c>
      <c r="E7" s="25"/>
      <c r="F7" s="32"/>
      <c r="G7" s="25"/>
      <c r="H7" s="38"/>
      <c r="I7" s="25"/>
      <c r="J7" s="25"/>
      <c r="K7" s="25">
        <f t="shared" si="0"/>
        <v>7469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>
        <v>5964.86</v>
      </c>
      <c r="D8" s="29" t="s">
        <v>337</v>
      </c>
      <c r="E8" s="26"/>
      <c r="F8" s="29"/>
      <c r="G8" s="26"/>
      <c r="H8" s="37"/>
      <c r="I8" s="26"/>
      <c r="J8" s="26"/>
      <c r="K8" s="26">
        <f t="shared" si="0"/>
        <v>5964.86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0">
        <v>5333</v>
      </c>
      <c r="D9" s="32" t="s">
        <v>341</v>
      </c>
      <c r="E9" s="25"/>
      <c r="F9" s="32"/>
      <c r="G9" s="25"/>
      <c r="H9" s="38"/>
      <c r="I9" s="25"/>
      <c r="J9" s="25"/>
      <c r="K9" s="20">
        <f t="shared" si="0"/>
        <v>5333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2">
        <v>5538</v>
      </c>
      <c r="D10" s="29" t="s">
        <v>342</v>
      </c>
      <c r="E10" s="26"/>
      <c r="F10" s="29"/>
      <c r="G10" s="26"/>
      <c r="H10" s="37"/>
      <c r="I10" s="26"/>
      <c r="J10" s="26"/>
      <c r="K10" s="22">
        <f t="shared" si="0"/>
        <v>5538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2">
        <v>4901</v>
      </c>
      <c r="D12" s="29" t="s">
        <v>343</v>
      </c>
      <c r="E12" s="26"/>
      <c r="F12" s="29"/>
      <c r="G12" s="26"/>
      <c r="H12" s="37"/>
      <c r="I12" s="26"/>
      <c r="J12" s="26"/>
      <c r="K12" s="22">
        <f t="shared" si="0"/>
        <v>4901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0">
        <v>5770</v>
      </c>
      <c r="D15" s="32">
        <v>46186</v>
      </c>
      <c r="E15" s="25"/>
      <c r="F15" s="32"/>
      <c r="G15" s="25"/>
      <c r="H15" s="38"/>
      <c r="I15" s="25"/>
      <c r="J15" s="25"/>
      <c r="K15" s="20">
        <f t="shared" si="0"/>
        <v>5770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2">
        <v>6016</v>
      </c>
      <c r="D18" s="29" t="s">
        <v>344</v>
      </c>
      <c r="E18" s="22"/>
      <c r="F18" s="29"/>
      <c r="G18" s="26"/>
      <c r="H18" s="37"/>
      <c r="I18" s="26"/>
      <c r="J18" s="26"/>
      <c r="K18" s="22">
        <f t="shared" si="0"/>
        <v>6016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0">
        <v>7164.78</v>
      </c>
      <c r="D19" s="32" t="s">
        <v>345</v>
      </c>
      <c r="E19" s="25"/>
      <c r="F19" s="32"/>
      <c r="G19" s="25"/>
      <c r="H19" s="38"/>
      <c r="I19" s="25"/>
      <c r="J19" s="25"/>
      <c r="K19" s="20">
        <f t="shared" si="0"/>
        <v>7164.78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2">
        <v>6263</v>
      </c>
      <c r="D20" s="29" t="s">
        <v>339</v>
      </c>
      <c r="E20" s="26"/>
      <c r="F20" s="29"/>
      <c r="G20" s="26"/>
      <c r="H20" s="37"/>
      <c r="I20" s="26"/>
      <c r="J20" s="26"/>
      <c r="K20" s="22">
        <f t="shared" si="0"/>
        <v>6263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0">
        <v>7011</v>
      </c>
      <c r="D21" s="32" t="s">
        <v>346</v>
      </c>
      <c r="E21" s="25"/>
      <c r="F21" s="32"/>
      <c r="G21" s="25"/>
      <c r="H21" s="38"/>
      <c r="I21" s="25"/>
      <c r="J21" s="25"/>
      <c r="K21" s="20">
        <f t="shared" si="0"/>
        <v>7011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2">
        <v>10563</v>
      </c>
      <c r="D24" s="29" t="s">
        <v>341</v>
      </c>
      <c r="E24" s="26"/>
      <c r="F24" s="29"/>
      <c r="G24" s="26"/>
      <c r="H24" s="37"/>
      <c r="I24" s="26"/>
      <c r="J24" s="26"/>
      <c r="K24" s="22">
        <f t="shared" si="0"/>
        <v>10563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2">
        <v>201</v>
      </c>
      <c r="D26" s="29" t="s">
        <v>347</v>
      </c>
      <c r="E26" s="26">
        <v>6264</v>
      </c>
      <c r="F26" s="29" t="s">
        <v>341</v>
      </c>
      <c r="G26" s="26"/>
      <c r="H26" s="37"/>
      <c r="I26" s="26"/>
      <c r="J26" s="26"/>
      <c r="K26" s="22">
        <f t="shared" si="0"/>
        <v>6465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0">
        <v>5452.43</v>
      </c>
      <c r="D27" s="32" t="s">
        <v>341</v>
      </c>
      <c r="E27" s="25"/>
      <c r="F27" s="32"/>
      <c r="G27" s="25"/>
      <c r="H27" s="38"/>
      <c r="I27" s="25"/>
      <c r="J27" s="25"/>
      <c r="K27" s="20">
        <f t="shared" si="0"/>
        <v>5452.43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2">
        <v>10106</v>
      </c>
      <c r="D28" s="29" t="s">
        <v>348</v>
      </c>
      <c r="E28" s="26"/>
      <c r="F28" s="29"/>
      <c r="G28" s="26"/>
      <c r="H28" s="37"/>
      <c r="I28" s="26"/>
      <c r="J28" s="26"/>
      <c r="K28" s="22">
        <f t="shared" si="0"/>
        <v>10106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0">
        <v>5689</v>
      </c>
      <c r="D29" s="32" t="s">
        <v>341</v>
      </c>
      <c r="E29" s="25"/>
      <c r="F29" s="32"/>
      <c r="G29" s="25"/>
      <c r="H29" s="38"/>
      <c r="I29" s="25"/>
      <c r="J29" s="25"/>
      <c r="K29" s="20">
        <f t="shared" si="0"/>
        <v>5689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>
        <v>10117.790000000001</v>
      </c>
      <c r="D30" s="29" t="s">
        <v>338</v>
      </c>
      <c r="E30" s="26">
        <v>5932</v>
      </c>
      <c r="F30" s="29" t="s">
        <v>341</v>
      </c>
      <c r="G30" s="26"/>
      <c r="H30" s="37"/>
      <c r="I30" s="26"/>
      <c r="J30" s="26"/>
      <c r="K30" s="26">
        <f t="shared" si="0"/>
        <v>16049.79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>
        <v>5003.6499999999996</v>
      </c>
      <c r="D33" s="32" t="s">
        <v>349</v>
      </c>
      <c r="E33" s="25"/>
      <c r="F33" s="32"/>
      <c r="G33" s="25"/>
      <c r="H33" s="38"/>
      <c r="I33" s="25"/>
      <c r="J33" s="25"/>
      <c r="K33" s="25">
        <f t="shared" si="0"/>
        <v>5003.6499999999996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2">
        <v>5454</v>
      </c>
      <c r="D34" s="29" t="s">
        <v>350</v>
      </c>
      <c r="E34" s="26"/>
      <c r="F34" s="29"/>
      <c r="G34" s="26"/>
      <c r="H34" s="37"/>
      <c r="I34" s="26"/>
      <c r="J34" s="26"/>
      <c r="K34" s="22">
        <f t="shared" ref="K34:K65" si="1">SUM(C34,E34,G34,I34)</f>
        <v>5454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0">
        <v>7522.88</v>
      </c>
      <c r="D35" s="32" t="s">
        <v>338</v>
      </c>
      <c r="E35" s="25"/>
      <c r="F35" s="32"/>
      <c r="G35" s="25"/>
      <c r="H35" s="38"/>
      <c r="I35" s="25"/>
      <c r="J35" s="25"/>
      <c r="K35" s="20">
        <f t="shared" si="1"/>
        <v>7522.88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>
        <v>5522.63</v>
      </c>
      <c r="D38" s="29" t="s">
        <v>337</v>
      </c>
      <c r="E38" s="26"/>
      <c r="F38" s="29"/>
      <c r="G38" s="26"/>
      <c r="H38" s="37"/>
      <c r="I38" s="26"/>
      <c r="J38" s="26"/>
      <c r="K38" s="26">
        <f t="shared" si="1"/>
        <v>5522.63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2">
        <v>5596.3</v>
      </c>
      <c r="D40" s="29" t="s">
        <v>341</v>
      </c>
      <c r="E40" s="26"/>
      <c r="F40" s="29"/>
      <c r="G40" s="26"/>
      <c r="H40" s="37"/>
      <c r="I40" s="26"/>
      <c r="J40" s="26"/>
      <c r="K40" s="22">
        <f t="shared" si="1"/>
        <v>5596.3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0">
        <v>6646</v>
      </c>
      <c r="D41" s="32" t="s">
        <v>338</v>
      </c>
      <c r="E41" s="25">
        <v>6075.85</v>
      </c>
      <c r="F41" s="32" t="s">
        <v>342</v>
      </c>
      <c r="G41" s="25"/>
      <c r="H41" s="38"/>
      <c r="I41" s="25"/>
      <c r="J41" s="25"/>
      <c r="K41" s="20">
        <f t="shared" si="1"/>
        <v>12721.85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2">
        <v>5486.89</v>
      </c>
      <c r="D42" s="29" t="s">
        <v>345</v>
      </c>
      <c r="E42" s="26"/>
      <c r="F42" s="29"/>
      <c r="G42" s="26"/>
      <c r="H42" s="37"/>
      <c r="I42" s="26"/>
      <c r="J42" s="26"/>
      <c r="K42" s="22">
        <f t="shared" si="1"/>
        <v>5486.89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>
        <v>5779</v>
      </c>
      <c r="D44" s="29" t="s">
        <v>350</v>
      </c>
      <c r="E44" s="26"/>
      <c r="F44" s="29"/>
      <c r="G44" s="26"/>
      <c r="H44" s="37"/>
      <c r="I44" s="26"/>
      <c r="J44" s="26"/>
      <c r="K44" s="26">
        <f t="shared" si="1"/>
        <v>5779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0">
        <v>5403.25</v>
      </c>
      <c r="D45" s="32" t="s">
        <v>345</v>
      </c>
      <c r="E45" s="25"/>
      <c r="F45" s="32"/>
      <c r="G45" s="25"/>
      <c r="H45" s="38"/>
      <c r="I45" s="25"/>
      <c r="J45" s="25"/>
      <c r="K45" s="20">
        <f t="shared" si="1"/>
        <v>5403.25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2">
        <v>12562</v>
      </c>
      <c r="D48" s="29" t="s">
        <v>338</v>
      </c>
      <c r="E48" s="26">
        <v>6572</v>
      </c>
      <c r="F48" s="29" t="s">
        <v>337</v>
      </c>
      <c r="G48" s="26"/>
      <c r="H48" s="37"/>
      <c r="I48" s="26"/>
      <c r="J48" s="26"/>
      <c r="K48" s="22">
        <f t="shared" si="1"/>
        <v>19134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>
        <v>4442</v>
      </c>
      <c r="D49" s="32" t="s">
        <v>337</v>
      </c>
      <c r="E49" s="25"/>
      <c r="F49" s="32"/>
      <c r="G49" s="25"/>
      <c r="H49" s="38"/>
      <c r="I49" s="25"/>
      <c r="J49" s="25"/>
      <c r="K49" s="25">
        <f t="shared" si="1"/>
        <v>4442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>
        <v>9000</v>
      </c>
      <c r="D50" s="29" t="s">
        <v>339</v>
      </c>
      <c r="E50" s="26"/>
      <c r="F50" s="29"/>
      <c r="G50" s="26"/>
      <c r="H50" s="37"/>
      <c r="I50" s="26"/>
      <c r="J50" s="26"/>
      <c r="K50" s="26">
        <f t="shared" si="1"/>
        <v>9000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2">
        <v>5972</v>
      </c>
      <c r="D52" s="29" t="s">
        <v>351</v>
      </c>
      <c r="E52" s="26"/>
      <c r="F52" s="29"/>
      <c r="G52" s="26"/>
      <c r="H52" s="37"/>
      <c r="I52" s="26"/>
      <c r="J52" s="26"/>
      <c r="K52" s="22">
        <f t="shared" si="1"/>
        <v>5972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0">
        <v>5391.88</v>
      </c>
      <c r="D53" s="32" t="s">
        <v>337</v>
      </c>
      <c r="E53" s="25"/>
      <c r="F53" s="32"/>
      <c r="G53" s="25"/>
      <c r="H53" s="38"/>
      <c r="I53" s="25"/>
      <c r="J53" s="25"/>
      <c r="K53" s="20">
        <f t="shared" si="1"/>
        <v>5391.88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>
        <v>5622</v>
      </c>
      <c r="D54" s="29" t="s">
        <v>352</v>
      </c>
      <c r="E54" s="26"/>
      <c r="F54" s="29"/>
      <c r="G54" s="26"/>
      <c r="H54" s="37"/>
      <c r="I54" s="26"/>
      <c r="J54" s="26"/>
      <c r="K54" s="26">
        <f t="shared" si="1"/>
        <v>5622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0">
        <v>6389.74</v>
      </c>
      <c r="D55" s="32" t="s">
        <v>339</v>
      </c>
      <c r="E55" s="25"/>
      <c r="F55" s="32"/>
      <c r="G55" s="25"/>
      <c r="H55" s="38"/>
      <c r="I55" s="25"/>
      <c r="J55" s="25"/>
      <c r="K55" s="20">
        <f t="shared" si="1"/>
        <v>6389.74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0">
        <v>5793</v>
      </c>
      <c r="D57" s="32" t="s">
        <v>353</v>
      </c>
      <c r="E57" s="25"/>
      <c r="F57" s="32"/>
      <c r="G57" s="25"/>
      <c r="H57" s="38"/>
      <c r="I57" s="25"/>
      <c r="J57" s="25"/>
      <c r="K57" s="20">
        <f t="shared" si="1"/>
        <v>5793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2">
        <v>5758</v>
      </c>
      <c r="D60" s="29" t="s">
        <v>337</v>
      </c>
      <c r="E60" s="26"/>
      <c r="F60" s="29"/>
      <c r="G60" s="26"/>
      <c r="H60" s="37"/>
      <c r="I60" s="26"/>
      <c r="J60" s="26"/>
      <c r="K60" s="22">
        <f t="shared" si="1"/>
        <v>5758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0">
        <v>5606.17</v>
      </c>
      <c r="D61" s="32" t="s">
        <v>345</v>
      </c>
      <c r="E61" s="25"/>
      <c r="F61" s="32"/>
      <c r="G61" s="25"/>
      <c r="H61" s="38"/>
      <c r="I61" s="25"/>
      <c r="J61" s="25"/>
      <c r="K61" s="20">
        <f t="shared" si="1"/>
        <v>5606.17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0">
        <v>6142</v>
      </c>
      <c r="D63" s="32" t="s">
        <v>341</v>
      </c>
      <c r="E63" s="25"/>
      <c r="F63" s="32"/>
      <c r="G63" s="25"/>
      <c r="H63" s="38"/>
      <c r="I63" s="25"/>
      <c r="J63" s="25"/>
      <c r="K63" s="20">
        <f t="shared" si="1"/>
        <v>6142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2">
        <v>32894</v>
      </c>
      <c r="D64" s="29" t="s">
        <v>337</v>
      </c>
      <c r="E64" s="26"/>
      <c r="F64" s="29"/>
      <c r="G64" s="26"/>
      <c r="H64" s="37"/>
      <c r="I64" s="26"/>
      <c r="J64" s="26"/>
      <c r="K64" s="22">
        <f t="shared" si="1"/>
        <v>32894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325302.08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T10" sqref="T10"/>
    </sheetView>
  </sheetViews>
  <sheetFormatPr defaultColWidth="14.44140625" defaultRowHeight="15" customHeight="1" x14ac:dyDescent="0.3"/>
  <cols>
    <col min="1" max="1" width="7.6640625" customWidth="1"/>
    <col min="2" max="2" width="19.44140625" customWidth="1"/>
    <col min="3" max="4" width="22.33203125" customWidth="1"/>
    <col min="5" max="5" width="19" customWidth="1"/>
    <col min="6" max="7" width="22.33203125" customWidth="1"/>
    <col min="8" max="8" width="14.6640625" customWidth="1"/>
    <col min="9" max="9" width="22.33203125" customWidth="1"/>
    <col min="10" max="10" width="27.33203125" customWidth="1"/>
    <col min="11" max="11" width="19.6640625" customWidth="1"/>
    <col min="12" max="12" width="18.33203125" customWidth="1"/>
    <col min="13" max="13" width="17.6640625" customWidth="1"/>
    <col min="14" max="14" width="17" customWidth="1"/>
    <col min="15" max="15" width="16.6640625" customWidth="1"/>
    <col min="16" max="18" width="18.44140625" customWidth="1"/>
    <col min="19" max="19" width="53.44140625" customWidth="1"/>
    <col min="20" max="20" width="12.44140625" customWidth="1"/>
  </cols>
  <sheetData>
    <row r="1" spans="1:21" ht="16.5" customHeight="1" x14ac:dyDescent="0.3">
      <c r="A1" s="17"/>
      <c r="B1" s="89" t="s">
        <v>354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3">
      <c r="A2" s="18" t="s">
        <v>0</v>
      </c>
      <c r="B2" s="18">
        <v>1</v>
      </c>
      <c r="C2" s="18" t="s">
        <v>240</v>
      </c>
      <c r="D2" s="18" t="s">
        <v>295</v>
      </c>
      <c r="E2" s="18" t="s">
        <v>296</v>
      </c>
      <c r="F2" s="42" t="s">
        <v>297</v>
      </c>
      <c r="G2" s="18" t="s">
        <v>244</v>
      </c>
      <c r="H2" s="18" t="s">
        <v>245</v>
      </c>
      <c r="I2" s="18" t="s">
        <v>298</v>
      </c>
      <c r="J2" s="18" t="s">
        <v>299</v>
      </c>
      <c r="K2" s="18" t="s">
        <v>300</v>
      </c>
      <c r="L2" s="18" t="s">
        <v>301</v>
      </c>
      <c r="M2" s="18" t="s">
        <v>331</v>
      </c>
      <c r="N2" s="18" t="s">
        <v>303</v>
      </c>
      <c r="O2" s="18" t="s">
        <v>304</v>
      </c>
      <c r="P2" s="18" t="s">
        <v>255</v>
      </c>
      <c r="Q2" s="18"/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>
        <v>23.5</v>
      </c>
      <c r="D4" s="22">
        <v>0</v>
      </c>
      <c r="E4" s="22"/>
      <c r="F4" s="44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'ANNUAL-EXPENSE-DETAILS'!V6</f>
        <v>325440</v>
      </c>
    </row>
    <row r="5" spans="1:21" ht="12.75" customHeight="1" x14ac:dyDescent="0.3">
      <c r="A5" s="19" t="s">
        <v>262</v>
      </c>
      <c r="B5" s="19" t="s">
        <v>259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'ANNUAL-EXPENSE-DETAILS'!U6</f>
        <v>40900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1389.5</v>
      </c>
      <c r="D6" s="22">
        <f t="shared" ref="D6:D37" si="0">SUM($C$3:$C$5)/64</f>
        <v>0.3671875</v>
      </c>
      <c r="E6" s="22">
        <f t="shared" ref="E6:E37" si="1">C6+D6</f>
        <v>1389.8671875</v>
      </c>
      <c r="F6" s="44">
        <f t="shared" ref="F6:F37" si="2">IF($C$70=0, 0, E6/$C$70)</f>
        <v>1.1943774571938041E-2</v>
      </c>
      <c r="G6" s="22">
        <f t="shared" ref="G6:G37" si="3">F6*$T$5</f>
        <v>488.50037999226589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865.39698936726586</v>
      </c>
      <c r="K6" s="22">
        <f t="shared" ref="K6:K37" si="6">$T$11/64</f>
        <v>5085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5950.3969893672656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1693.5</v>
      </c>
      <c r="D7" s="20">
        <f t="shared" si="0"/>
        <v>0.3671875</v>
      </c>
      <c r="E7" s="20">
        <f t="shared" si="1"/>
        <v>1693.8671875</v>
      </c>
      <c r="F7" s="43">
        <f t="shared" si="2"/>
        <v>1.4556187831654027E-2</v>
      </c>
      <c r="G7" s="20">
        <f t="shared" si="3"/>
        <v>595.34808231464967</v>
      </c>
      <c r="H7" s="20">
        <v>4</v>
      </c>
      <c r="I7" s="20">
        <f t="shared" si="4"/>
        <v>494.79759999999999</v>
      </c>
      <c r="J7" s="20">
        <f t="shared" si="5"/>
        <v>1095.9440916896497</v>
      </c>
      <c r="K7" s="20">
        <f t="shared" si="6"/>
        <v>5085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6180.9440916896492</v>
      </c>
      <c r="S7" s="20" t="s">
        <v>307</v>
      </c>
      <c r="T7" s="80">
        <f>(104.83+0.18*104.83)</f>
        <v>123.6994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3553</v>
      </c>
      <c r="D8" s="22">
        <f t="shared" si="0"/>
        <v>0.3671875</v>
      </c>
      <c r="E8" s="22">
        <f t="shared" si="1"/>
        <v>3553.3671875</v>
      </c>
      <c r="F8" s="44">
        <f t="shared" si="2"/>
        <v>3.0535735385739147E-2</v>
      </c>
      <c r="G8" s="22">
        <f t="shared" si="3"/>
        <v>1248.9115772767311</v>
      </c>
      <c r="H8" s="22">
        <v>4</v>
      </c>
      <c r="I8" s="22">
        <f t="shared" si="4"/>
        <v>494.79759999999999</v>
      </c>
      <c r="J8" s="22">
        <f t="shared" si="5"/>
        <v>1749.5075866517309</v>
      </c>
      <c r="K8" s="22">
        <f t="shared" si="6"/>
        <v>5085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7584.5075866517309</v>
      </c>
      <c r="S8" s="22" t="s">
        <v>308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1160.5</v>
      </c>
      <c r="D9" s="20">
        <f t="shared" si="0"/>
        <v>0.3671875</v>
      </c>
      <c r="E9" s="20">
        <f t="shared" si="1"/>
        <v>1160.8671875</v>
      </c>
      <c r="F9" s="43">
        <f t="shared" si="2"/>
        <v>9.975871162480934E-3</v>
      </c>
      <c r="G9" s="20">
        <f t="shared" si="3"/>
        <v>408.01313054547018</v>
      </c>
      <c r="H9" s="20">
        <v>4</v>
      </c>
      <c r="I9" s="20">
        <f t="shared" si="4"/>
        <v>494.79759999999999</v>
      </c>
      <c r="J9" s="20">
        <f t="shared" si="5"/>
        <v>908.60913992047017</v>
      </c>
      <c r="K9" s="20">
        <f t="shared" si="6"/>
        <v>5085</v>
      </c>
      <c r="L9" s="20">
        <v>0</v>
      </c>
      <c r="M9" s="20">
        <v>0</v>
      </c>
      <c r="N9" s="20">
        <v>0</v>
      </c>
      <c r="O9" s="20">
        <v>0</v>
      </c>
      <c r="P9" s="20">
        <v>1000</v>
      </c>
      <c r="Q9" s="20"/>
      <c r="R9" s="20">
        <f t="shared" si="7"/>
        <v>6993.6091399204706</v>
      </c>
      <c r="S9" s="20" t="s">
        <v>309</v>
      </c>
      <c r="T9" s="20">
        <f>T8/64</f>
        <v>5.7984093750000003</v>
      </c>
      <c r="U9" t="s">
        <v>333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529</v>
      </c>
      <c r="D10" s="22">
        <f t="shared" si="0"/>
        <v>0.3671875</v>
      </c>
      <c r="E10" s="22">
        <f t="shared" si="1"/>
        <v>529.3671875</v>
      </c>
      <c r="F10" s="44">
        <f t="shared" si="2"/>
        <v>4.5490982233011793E-3</v>
      </c>
      <c r="G10" s="22">
        <f t="shared" si="3"/>
        <v>186.05811733301823</v>
      </c>
      <c r="H10" s="22">
        <v>3</v>
      </c>
      <c r="I10" s="22">
        <f t="shared" si="4"/>
        <v>371.09820000000002</v>
      </c>
      <c r="J10" s="22">
        <f t="shared" si="5"/>
        <v>562.95472670801826</v>
      </c>
      <c r="K10" s="22">
        <f t="shared" si="6"/>
        <v>5085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5647.9547267080179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2112</v>
      </c>
      <c r="D11" s="20">
        <f t="shared" si="0"/>
        <v>0.3671875</v>
      </c>
      <c r="E11" s="20">
        <f t="shared" si="1"/>
        <v>2112.3671875</v>
      </c>
      <c r="F11" s="43">
        <f t="shared" si="2"/>
        <v>1.8152552796098568E-2</v>
      </c>
      <c r="G11" s="20">
        <f t="shared" si="3"/>
        <v>742.43940936043145</v>
      </c>
      <c r="H11" s="20">
        <v>3</v>
      </c>
      <c r="I11" s="20">
        <f t="shared" si="4"/>
        <v>371.09820000000002</v>
      </c>
      <c r="J11" s="20">
        <f t="shared" si="5"/>
        <v>1119.3360187354315</v>
      </c>
      <c r="K11" s="20">
        <f t="shared" si="6"/>
        <v>5085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6204.3360187354319</v>
      </c>
      <c r="S11" s="20" t="s">
        <v>261</v>
      </c>
      <c r="T11" s="20">
        <f>'ANNUAL-EXPENSE-DETAILS'!V6</f>
        <v>325440</v>
      </c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23</v>
      </c>
      <c r="D12" s="22">
        <f t="shared" si="0"/>
        <v>0.3671875</v>
      </c>
      <c r="E12" s="22">
        <f t="shared" si="1"/>
        <v>23.3671875</v>
      </c>
      <c r="F12" s="44">
        <f t="shared" si="2"/>
        <v>2.0080510022128171E-4</v>
      </c>
      <c r="G12" s="22">
        <f t="shared" si="3"/>
        <v>8.2129285990504215</v>
      </c>
      <c r="H12" s="22">
        <v>3</v>
      </c>
      <c r="I12" s="22">
        <f t="shared" si="4"/>
        <v>371.09820000000002</v>
      </c>
      <c r="J12" s="22">
        <f t="shared" si="5"/>
        <v>385.10953797405045</v>
      </c>
      <c r="K12" s="22">
        <f t="shared" si="6"/>
        <v>5085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6220.1095379740509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17</v>
      </c>
      <c r="D13" s="20">
        <f t="shared" si="0"/>
        <v>0.3671875</v>
      </c>
      <c r="E13" s="20">
        <f t="shared" si="1"/>
        <v>17.3671875</v>
      </c>
      <c r="F13" s="43">
        <f t="shared" si="2"/>
        <v>1.4924431220057148E-4</v>
      </c>
      <c r="G13" s="20">
        <f t="shared" si="3"/>
        <v>6.1040923690033733</v>
      </c>
      <c r="H13" s="20">
        <v>3</v>
      </c>
      <c r="I13" s="20">
        <f t="shared" si="4"/>
        <v>371.09820000000002</v>
      </c>
      <c r="J13" s="20">
        <f t="shared" si="5"/>
        <v>383.00070174400338</v>
      </c>
      <c r="K13" s="20">
        <f t="shared" si="6"/>
        <v>5085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5468.000701744003</v>
      </c>
      <c r="S13" s="20"/>
      <c r="T13" s="20"/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577.5</v>
      </c>
      <c r="D14" s="22">
        <f t="shared" si="0"/>
        <v>0.3671875</v>
      </c>
      <c r="E14" s="22">
        <f t="shared" si="1"/>
        <v>577.8671875</v>
      </c>
      <c r="F14" s="44">
        <f t="shared" si="2"/>
        <v>4.9658812598019205E-3</v>
      </c>
      <c r="G14" s="22">
        <f t="shared" si="3"/>
        <v>203.10454352589855</v>
      </c>
      <c r="H14" s="22">
        <v>4</v>
      </c>
      <c r="I14" s="22">
        <f t="shared" si="4"/>
        <v>494.79759999999999</v>
      </c>
      <c r="J14" s="22">
        <f t="shared" si="5"/>
        <v>703.70055290089851</v>
      </c>
      <c r="K14" s="22">
        <f t="shared" si="6"/>
        <v>5085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5788.7005529008984</v>
      </c>
      <c r="S14" s="22" t="s">
        <v>355</v>
      </c>
      <c r="T14" s="22"/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2251</v>
      </c>
      <c r="D15" s="20">
        <f t="shared" si="0"/>
        <v>0.3671875</v>
      </c>
      <c r="E15" s="20">
        <f t="shared" si="1"/>
        <v>2251.3671875</v>
      </c>
      <c r="F15" s="43">
        <f t="shared" si="2"/>
        <v>1.9347044385245021E-2</v>
      </c>
      <c r="G15" s="20">
        <f t="shared" si="3"/>
        <v>791.29411535652139</v>
      </c>
      <c r="H15" s="20">
        <v>3</v>
      </c>
      <c r="I15" s="20">
        <f t="shared" si="4"/>
        <v>371.09820000000002</v>
      </c>
      <c r="J15" s="20">
        <f t="shared" si="5"/>
        <v>1168.1907247315214</v>
      </c>
      <c r="K15" s="20">
        <f t="shared" si="6"/>
        <v>5085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6253.1907247315212</v>
      </c>
      <c r="S15" s="20" t="s">
        <v>268</v>
      </c>
      <c r="T15" s="20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327.5</v>
      </c>
      <c r="D16" s="22">
        <f t="shared" si="0"/>
        <v>0.3671875</v>
      </c>
      <c r="E16" s="22">
        <f t="shared" si="1"/>
        <v>327.8671875</v>
      </c>
      <c r="F16" s="44">
        <f t="shared" si="2"/>
        <v>2.817515092272327E-3</v>
      </c>
      <c r="G16" s="22">
        <f t="shared" si="3"/>
        <v>115.23636727393817</v>
      </c>
      <c r="H16" s="22">
        <v>3</v>
      </c>
      <c r="I16" s="22">
        <f t="shared" si="4"/>
        <v>371.09820000000002</v>
      </c>
      <c r="J16" s="22">
        <f t="shared" si="5"/>
        <v>492.13297664893821</v>
      </c>
      <c r="K16" s="22">
        <f t="shared" si="6"/>
        <v>5085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5577.132976648938</v>
      </c>
      <c r="S16" s="22" t="s">
        <v>269</v>
      </c>
      <c r="T16" s="22"/>
    </row>
    <row r="17" spans="1:21" ht="12.75" customHeight="1" x14ac:dyDescent="0.3">
      <c r="A17" s="19" t="s">
        <v>22</v>
      </c>
      <c r="B17" s="19" t="str">
        <f>VLOOKUP(A17,Members!$A$2:$B$65,2,FALSE)</f>
        <v>Kavitha T</v>
      </c>
      <c r="C17" s="20">
        <v>1037</v>
      </c>
      <c r="D17" s="20">
        <f t="shared" si="0"/>
        <v>0.3671875</v>
      </c>
      <c r="E17" s="20">
        <f t="shared" si="1"/>
        <v>1037.3671875</v>
      </c>
      <c r="F17" s="43">
        <f t="shared" si="2"/>
        <v>8.9145782757213132E-3</v>
      </c>
      <c r="G17" s="20">
        <f t="shared" si="3"/>
        <v>364.60625147700171</v>
      </c>
      <c r="H17" s="20">
        <v>3</v>
      </c>
      <c r="I17" s="20">
        <f t="shared" si="4"/>
        <v>371.09820000000002</v>
      </c>
      <c r="J17" s="20">
        <f t="shared" si="5"/>
        <v>741.50286085200173</v>
      </c>
      <c r="K17" s="20">
        <f t="shared" si="6"/>
        <v>5085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5826.5028608520015</v>
      </c>
      <c r="S17" s="20" t="s">
        <v>335</v>
      </c>
      <c r="T17" s="20">
        <f>T15-T16</f>
        <v>0</v>
      </c>
    </row>
    <row r="18" spans="1:21" ht="12.75" customHeight="1" x14ac:dyDescent="0.3">
      <c r="A18" s="21" t="s">
        <v>23</v>
      </c>
      <c r="B18" s="21" t="str">
        <f>VLOOKUP(A18,Members!$A$2:$B$65,2,FALSE)</f>
        <v>Srinivasa Rao</v>
      </c>
      <c r="C18" s="22">
        <v>454</v>
      </c>
      <c r="D18" s="22">
        <f t="shared" si="0"/>
        <v>0.3671875</v>
      </c>
      <c r="E18" s="22">
        <f t="shared" si="1"/>
        <v>454.3671875</v>
      </c>
      <c r="F18" s="44">
        <f t="shared" si="2"/>
        <v>3.9045883730423015E-3</v>
      </c>
      <c r="G18" s="22">
        <f t="shared" si="3"/>
        <v>159.69766445743014</v>
      </c>
      <c r="H18" s="22">
        <v>4</v>
      </c>
      <c r="I18" s="22">
        <f t="shared" si="4"/>
        <v>494.79759999999999</v>
      </c>
      <c r="J18" s="22">
        <f t="shared" si="5"/>
        <v>660.29367383243016</v>
      </c>
      <c r="K18" s="22">
        <f t="shared" si="6"/>
        <v>5085</v>
      </c>
      <c r="L18" s="22">
        <v>0</v>
      </c>
      <c r="M18" s="22">
        <v>0</v>
      </c>
      <c r="N18" s="22">
        <v>0</v>
      </c>
      <c r="O18" s="22">
        <v>0</v>
      </c>
      <c r="P18" s="22">
        <v>1000</v>
      </c>
      <c r="Q18" s="22"/>
      <c r="R18" s="22">
        <f t="shared" si="7"/>
        <v>6745.2936738324297</v>
      </c>
      <c r="S18" s="22" t="s">
        <v>272</v>
      </c>
      <c r="T18" s="22">
        <f>T14-T17</f>
        <v>0</v>
      </c>
      <c r="U18" t="s">
        <v>333</v>
      </c>
    </row>
    <row r="19" spans="1:21" ht="12.75" customHeight="1" x14ac:dyDescent="0.3">
      <c r="A19" s="19" t="s">
        <v>25</v>
      </c>
      <c r="B19" s="19" t="str">
        <f>VLOOKUP(A19,Members!$A$2:$B$65,2,FALSE)</f>
        <v>Hemant Patel</v>
      </c>
      <c r="C19" s="20">
        <v>2804</v>
      </c>
      <c r="D19" s="20">
        <f t="shared" si="0"/>
        <v>0.3671875</v>
      </c>
      <c r="E19" s="20">
        <f t="shared" si="1"/>
        <v>2804.3671875</v>
      </c>
      <c r="F19" s="43">
        <f t="shared" si="2"/>
        <v>2.4099230347820483E-2</v>
      </c>
      <c r="G19" s="20">
        <f t="shared" si="3"/>
        <v>985.65852122585773</v>
      </c>
      <c r="H19" s="20">
        <v>4</v>
      </c>
      <c r="I19" s="20">
        <f t="shared" si="4"/>
        <v>494.79759999999999</v>
      </c>
      <c r="J19" s="20">
        <f t="shared" si="5"/>
        <v>1486.2545306008578</v>
      </c>
      <c r="K19" s="20">
        <f t="shared" si="6"/>
        <v>5085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6571.2545306008578</v>
      </c>
      <c r="S19" s="20"/>
      <c r="T19" s="20"/>
    </row>
    <row r="20" spans="1:21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695.5</v>
      </c>
      <c r="D20" s="22">
        <f t="shared" si="0"/>
        <v>0.3671875</v>
      </c>
      <c r="E20" s="22">
        <f t="shared" si="1"/>
        <v>695.8671875</v>
      </c>
      <c r="F20" s="44">
        <f t="shared" si="2"/>
        <v>5.979910090875889E-3</v>
      </c>
      <c r="G20" s="22">
        <f t="shared" si="3"/>
        <v>244.57832271682386</v>
      </c>
      <c r="H20" s="22">
        <v>4</v>
      </c>
      <c r="I20" s="22">
        <f t="shared" si="4"/>
        <v>494.79759999999999</v>
      </c>
      <c r="J20" s="22">
        <f t="shared" si="5"/>
        <v>745.17433209182389</v>
      </c>
      <c r="K20" s="22">
        <f t="shared" si="6"/>
        <v>5085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6580.174332091824</v>
      </c>
      <c r="S20" s="22"/>
      <c r="T20" s="22"/>
    </row>
    <row r="21" spans="1:21" ht="12.75" customHeight="1" x14ac:dyDescent="0.3">
      <c r="A21" s="19" t="s">
        <v>28</v>
      </c>
      <c r="B21" s="19" t="str">
        <f>VLOOKUP(A21,Members!$A$2:$B$65,2,FALSE)</f>
        <v>Sreeja Sudharma</v>
      </c>
      <c r="C21" s="20">
        <v>3112</v>
      </c>
      <c r="D21" s="20">
        <f t="shared" si="0"/>
        <v>0.3671875</v>
      </c>
      <c r="E21" s="20">
        <f t="shared" si="1"/>
        <v>3112.3671875</v>
      </c>
      <c r="F21" s="43">
        <f t="shared" si="2"/>
        <v>2.674601746621694E-2</v>
      </c>
      <c r="G21" s="20">
        <f t="shared" si="3"/>
        <v>1093.9121143682728</v>
      </c>
      <c r="H21" s="20">
        <v>3</v>
      </c>
      <c r="I21" s="20">
        <f t="shared" si="4"/>
        <v>371.09820000000002</v>
      </c>
      <c r="J21" s="20">
        <f t="shared" si="5"/>
        <v>1470.8087237432728</v>
      </c>
      <c r="K21" s="20">
        <f t="shared" si="6"/>
        <v>5085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6555.8087237432728</v>
      </c>
      <c r="S21" s="20"/>
      <c r="T21" s="20"/>
    </row>
    <row r="22" spans="1:21" ht="12.75" customHeight="1" x14ac:dyDescent="0.3">
      <c r="A22" s="21" t="s">
        <v>29</v>
      </c>
      <c r="B22" s="21" t="str">
        <f>VLOOKUP(A22,Members!$A$2:$B$65,2,FALSE)</f>
        <v>Digvijay Verma</v>
      </c>
      <c r="C22" s="22">
        <v>3271.5</v>
      </c>
      <c r="D22" s="22">
        <f t="shared" si="0"/>
        <v>0.3671875</v>
      </c>
      <c r="E22" s="22">
        <f t="shared" si="1"/>
        <v>3271.8671875</v>
      </c>
      <c r="F22" s="44">
        <f t="shared" si="2"/>
        <v>2.8116675081100821E-2</v>
      </c>
      <c r="G22" s="22">
        <f t="shared" si="3"/>
        <v>1149.9720108170236</v>
      </c>
      <c r="H22" s="22">
        <v>3</v>
      </c>
      <c r="I22" s="22">
        <f t="shared" si="4"/>
        <v>371.09820000000002</v>
      </c>
      <c r="J22" s="22">
        <f t="shared" si="5"/>
        <v>1526.8686201920236</v>
      </c>
      <c r="K22" s="22">
        <f t="shared" si="6"/>
        <v>5085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6611.8686201920236</v>
      </c>
      <c r="S22" s="22"/>
      <c r="T22" s="22"/>
    </row>
    <row r="23" spans="1:21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4493.5</v>
      </c>
      <c r="D23" s="20">
        <f t="shared" si="0"/>
        <v>0.3671875</v>
      </c>
      <c r="E23" s="20">
        <f t="shared" si="1"/>
        <v>4493.8671875</v>
      </c>
      <c r="F23" s="43">
        <f t="shared" si="2"/>
        <v>3.8617888907985475E-2</v>
      </c>
      <c r="G23" s="20">
        <f t="shared" si="3"/>
        <v>1579.471656336606</v>
      </c>
      <c r="H23" s="20">
        <v>4</v>
      </c>
      <c r="I23" s="20">
        <f t="shared" si="4"/>
        <v>494.79759999999999</v>
      </c>
      <c r="J23" s="20">
        <f t="shared" si="5"/>
        <v>2080.067665711606</v>
      </c>
      <c r="K23" s="20">
        <f t="shared" si="6"/>
        <v>5085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7165.0676657116055</v>
      </c>
      <c r="S23" s="20"/>
      <c r="T23" s="20"/>
    </row>
    <row r="24" spans="1:21" ht="12.75" customHeight="1" x14ac:dyDescent="0.3">
      <c r="A24" s="21" t="s">
        <v>31</v>
      </c>
      <c r="B24" s="21" t="str">
        <f>VLOOKUP(A24,Members!$A$2:$B$65,2,FALSE)</f>
        <v>Balakrishnan</v>
      </c>
      <c r="C24" s="22">
        <v>1626</v>
      </c>
      <c r="D24" s="22">
        <f t="shared" si="0"/>
        <v>0.3671875</v>
      </c>
      <c r="E24" s="22">
        <f t="shared" si="1"/>
        <v>1626.3671875</v>
      </c>
      <c r="F24" s="44">
        <f t="shared" si="2"/>
        <v>1.3976128966421036E-2</v>
      </c>
      <c r="G24" s="22">
        <f t="shared" si="3"/>
        <v>571.62367472662038</v>
      </c>
      <c r="H24" s="22">
        <v>4</v>
      </c>
      <c r="I24" s="22">
        <f t="shared" si="4"/>
        <v>494.79759999999999</v>
      </c>
      <c r="J24" s="22">
        <f t="shared" si="5"/>
        <v>1072.2196841016203</v>
      </c>
      <c r="K24" s="22">
        <f t="shared" si="6"/>
        <v>5085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6157.2196841016203</v>
      </c>
      <c r="S24" s="22"/>
      <c r="T24" s="22"/>
    </row>
    <row r="25" spans="1:21" ht="12.75" customHeight="1" x14ac:dyDescent="0.3">
      <c r="A25" s="19" t="s">
        <v>33</v>
      </c>
      <c r="B25" s="19" t="str">
        <f>VLOOKUP(A25,Members!$A$2:$B$65,2,FALSE)</f>
        <v>Ashwin Pandith</v>
      </c>
      <c r="C25" s="20">
        <v>2908</v>
      </c>
      <c r="D25" s="20">
        <f t="shared" si="0"/>
        <v>0.3671875</v>
      </c>
      <c r="E25" s="20">
        <f t="shared" si="1"/>
        <v>2908.3671875</v>
      </c>
      <c r="F25" s="43">
        <f t="shared" si="2"/>
        <v>2.4992950673512794E-2</v>
      </c>
      <c r="G25" s="20">
        <f t="shared" si="3"/>
        <v>1022.2116825466733</v>
      </c>
      <c r="H25" s="20">
        <v>4</v>
      </c>
      <c r="I25" s="20">
        <f t="shared" si="4"/>
        <v>494.79759999999999</v>
      </c>
      <c r="J25" s="20">
        <f t="shared" si="5"/>
        <v>1522.8076919216733</v>
      </c>
      <c r="K25" s="20">
        <f t="shared" si="6"/>
        <v>5085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6607.8076919216728</v>
      </c>
      <c r="S25" s="20"/>
      <c r="T25" s="20"/>
    </row>
    <row r="26" spans="1:21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1753</v>
      </c>
      <c r="D26" s="22">
        <f t="shared" si="0"/>
        <v>0.3671875</v>
      </c>
      <c r="E26" s="22">
        <f t="shared" si="1"/>
        <v>1753.3671875</v>
      </c>
      <c r="F26" s="44">
        <f t="shared" si="2"/>
        <v>1.506749897952607E-2</v>
      </c>
      <c r="G26" s="22">
        <f t="shared" si="3"/>
        <v>616.26070826261628</v>
      </c>
      <c r="H26" s="22">
        <v>3</v>
      </c>
      <c r="I26" s="22">
        <f t="shared" si="4"/>
        <v>371.09820000000002</v>
      </c>
      <c r="J26" s="22">
        <f t="shared" si="5"/>
        <v>993.1573176376163</v>
      </c>
      <c r="K26" s="22">
        <f t="shared" si="6"/>
        <v>5085</v>
      </c>
      <c r="L26" s="22">
        <v>0</v>
      </c>
      <c r="M26" s="22">
        <v>0</v>
      </c>
      <c r="N26" s="22">
        <v>0</v>
      </c>
      <c r="O26" s="22">
        <v>0</v>
      </c>
      <c r="P26" s="22">
        <v>1000</v>
      </c>
      <c r="Q26" s="22"/>
      <c r="R26" s="22">
        <f t="shared" si="7"/>
        <v>7078.157317637616</v>
      </c>
      <c r="S26" s="22"/>
      <c r="T26" s="22"/>
      <c r="U26" t="s">
        <v>333</v>
      </c>
    </row>
    <row r="27" spans="1:21" ht="12.75" customHeight="1" x14ac:dyDescent="0.3">
      <c r="A27" s="19" t="s">
        <v>35</v>
      </c>
      <c r="B27" s="19" t="str">
        <f>VLOOKUP(A27,Members!$A$2:$B$65,2,FALSE)</f>
        <v>Srinath</v>
      </c>
      <c r="C27" s="20">
        <v>1</v>
      </c>
      <c r="D27" s="20">
        <f t="shared" si="0"/>
        <v>0.3671875</v>
      </c>
      <c r="E27" s="20">
        <f t="shared" si="1"/>
        <v>1.3671875</v>
      </c>
      <c r="F27" s="43">
        <f t="shared" si="2"/>
        <v>1.1748877478677466E-5</v>
      </c>
      <c r="G27" s="20">
        <f t="shared" si="3"/>
        <v>0.48052908887790835</v>
      </c>
      <c r="H27" s="20">
        <v>3</v>
      </c>
      <c r="I27" s="20">
        <f t="shared" si="4"/>
        <v>371.09820000000002</v>
      </c>
      <c r="J27" s="20">
        <f t="shared" si="5"/>
        <v>377.37713846387794</v>
      </c>
      <c r="K27" s="20">
        <f t="shared" si="6"/>
        <v>5085</v>
      </c>
      <c r="L27" s="20">
        <v>0</v>
      </c>
      <c r="M27" s="20">
        <v>0</v>
      </c>
      <c r="N27" s="20">
        <v>0</v>
      </c>
      <c r="O27" s="20">
        <v>0</v>
      </c>
      <c r="P27" s="20">
        <v>1000</v>
      </c>
      <c r="Q27" s="20"/>
      <c r="R27" s="20">
        <f t="shared" si="7"/>
        <v>6462.3771384638776</v>
      </c>
      <c r="S27" s="20"/>
      <c r="T27" s="20"/>
      <c r="U27" t="s">
        <v>333</v>
      </c>
    </row>
    <row r="28" spans="1:21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667.5</v>
      </c>
      <c r="D28" s="22">
        <f t="shared" si="0"/>
        <v>0.3671875</v>
      </c>
      <c r="E28" s="22">
        <f t="shared" si="1"/>
        <v>667.8671875</v>
      </c>
      <c r="F28" s="44">
        <f t="shared" si="2"/>
        <v>5.739293080112574E-3</v>
      </c>
      <c r="G28" s="22">
        <f t="shared" si="3"/>
        <v>234.73708697660427</v>
      </c>
      <c r="H28" s="22">
        <v>3</v>
      </c>
      <c r="I28" s="22">
        <f t="shared" si="4"/>
        <v>371.09820000000002</v>
      </c>
      <c r="J28" s="22">
        <f t="shared" si="5"/>
        <v>611.63369635160427</v>
      </c>
      <c r="K28" s="22">
        <f t="shared" si="6"/>
        <v>5085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5696.6336963516042</v>
      </c>
      <c r="S28" s="22"/>
      <c r="T28" s="22"/>
    </row>
    <row r="29" spans="1:21" ht="12.75" customHeight="1" x14ac:dyDescent="0.3">
      <c r="A29" s="19" t="s">
        <v>38</v>
      </c>
      <c r="B29" s="19" t="str">
        <f>VLOOKUP(A29,Members!$A$2:$B$65,2,FALSE)</f>
        <v>Arun M</v>
      </c>
      <c r="C29" s="20">
        <v>2198</v>
      </c>
      <c r="D29" s="20">
        <f t="shared" si="0"/>
        <v>0.3671875</v>
      </c>
      <c r="E29" s="20">
        <f t="shared" si="1"/>
        <v>2198.3671875</v>
      </c>
      <c r="F29" s="43">
        <f t="shared" si="2"/>
        <v>1.8891590757728748E-2</v>
      </c>
      <c r="G29" s="20">
        <f t="shared" si="3"/>
        <v>772.66606199110572</v>
      </c>
      <c r="H29" s="20">
        <v>3</v>
      </c>
      <c r="I29" s="20">
        <f t="shared" si="4"/>
        <v>371.09820000000002</v>
      </c>
      <c r="J29" s="20">
        <f t="shared" si="5"/>
        <v>1149.5626713661059</v>
      </c>
      <c r="K29" s="20">
        <f t="shared" si="6"/>
        <v>5085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6234.5626713661059</v>
      </c>
      <c r="S29" s="20"/>
      <c r="T29" s="20"/>
    </row>
    <row r="30" spans="1:21" ht="12.75" customHeight="1" x14ac:dyDescent="0.3">
      <c r="A30" s="21" t="s">
        <v>39</v>
      </c>
      <c r="B30" s="21" t="str">
        <f>VLOOKUP(A30,Members!$A$2:$B$65,2,FALSE)</f>
        <v>Ankur Agarwal</v>
      </c>
      <c r="C30" s="22">
        <v>3338.5</v>
      </c>
      <c r="D30" s="22">
        <f t="shared" si="0"/>
        <v>0.3671875</v>
      </c>
      <c r="E30" s="22">
        <f t="shared" si="1"/>
        <v>3338.8671875</v>
      </c>
      <c r="F30" s="44">
        <f t="shared" si="2"/>
        <v>2.8692437213998754E-2</v>
      </c>
      <c r="G30" s="22">
        <f t="shared" si="3"/>
        <v>1173.5206820525491</v>
      </c>
      <c r="H30" s="22">
        <v>5</v>
      </c>
      <c r="I30" s="22">
        <f t="shared" si="4"/>
        <v>618.49699999999996</v>
      </c>
      <c r="J30" s="22">
        <f t="shared" si="5"/>
        <v>1797.8160914275491</v>
      </c>
      <c r="K30" s="22">
        <f t="shared" si="6"/>
        <v>5085</v>
      </c>
      <c r="L30" s="22">
        <v>0</v>
      </c>
      <c r="M30" s="22">
        <v>500</v>
      </c>
      <c r="N30" s="22">
        <v>0</v>
      </c>
      <c r="O30" s="22">
        <v>0</v>
      </c>
      <c r="P30" s="22">
        <v>0</v>
      </c>
      <c r="Q30" s="22"/>
      <c r="R30" s="22">
        <f t="shared" si="7"/>
        <v>7382.8160914275486</v>
      </c>
      <c r="S30" s="22"/>
      <c r="T30" s="22"/>
    </row>
    <row r="31" spans="1:21" ht="12.75" customHeight="1" x14ac:dyDescent="0.3">
      <c r="A31" s="19" t="s">
        <v>41</v>
      </c>
      <c r="B31" s="19" t="str">
        <f>VLOOKUP(A31,Members!$A$2:$B$65,2,FALSE)</f>
        <v>Richa Singh</v>
      </c>
      <c r="C31" s="20">
        <v>1695.5</v>
      </c>
      <c r="D31" s="20">
        <f t="shared" si="0"/>
        <v>0.3671875</v>
      </c>
      <c r="E31" s="20">
        <f t="shared" si="1"/>
        <v>1695.8671875</v>
      </c>
      <c r="F31" s="43">
        <f t="shared" si="2"/>
        <v>1.4573374760994264E-2</v>
      </c>
      <c r="G31" s="20">
        <f t="shared" si="3"/>
        <v>596.05102772466546</v>
      </c>
      <c r="H31" s="20">
        <v>3</v>
      </c>
      <c r="I31" s="20">
        <f t="shared" si="4"/>
        <v>371.09820000000002</v>
      </c>
      <c r="J31" s="20">
        <f t="shared" si="5"/>
        <v>972.94763709966549</v>
      </c>
      <c r="K31" s="20">
        <f t="shared" si="6"/>
        <v>5085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6057.9476370996654</v>
      </c>
      <c r="S31" s="20"/>
      <c r="T31" s="20"/>
    </row>
    <row r="32" spans="1:21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177.5</v>
      </c>
      <c r="D32" s="22">
        <f t="shared" si="0"/>
        <v>0.3671875</v>
      </c>
      <c r="E32" s="22">
        <f t="shared" si="1"/>
        <v>177.8671875</v>
      </c>
      <c r="F32" s="44">
        <f t="shared" si="2"/>
        <v>1.5284953917545706E-3</v>
      </c>
      <c r="G32" s="22">
        <f t="shared" si="3"/>
        <v>62.515461522761939</v>
      </c>
      <c r="H32" s="22">
        <v>3</v>
      </c>
      <c r="I32" s="22">
        <f t="shared" si="4"/>
        <v>371.09820000000002</v>
      </c>
      <c r="J32" s="22">
        <f t="shared" si="5"/>
        <v>439.41207089776196</v>
      </c>
      <c r="K32" s="22">
        <f t="shared" si="6"/>
        <v>5085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5524.4120708977616</v>
      </c>
      <c r="S32" s="22"/>
      <c r="T32" s="22"/>
    </row>
    <row r="33" spans="1:21" ht="12.75" customHeight="1" x14ac:dyDescent="0.3">
      <c r="A33" s="19" t="s">
        <v>44</v>
      </c>
      <c r="B33" s="19" t="str">
        <f>VLOOKUP(A33,Members!$A$2:$B$65,2,FALSE)</f>
        <v>Shyam Nair</v>
      </c>
      <c r="C33" s="20">
        <v>4488.5</v>
      </c>
      <c r="D33" s="20">
        <f t="shared" si="0"/>
        <v>0.3671875</v>
      </c>
      <c r="E33" s="20">
        <f t="shared" si="1"/>
        <v>4488.8671875</v>
      </c>
      <c r="F33" s="43">
        <f t="shared" si="2"/>
        <v>3.8574921584634887E-2</v>
      </c>
      <c r="G33" s="20">
        <f t="shared" si="3"/>
        <v>1577.7142928115668</v>
      </c>
      <c r="H33" s="20">
        <v>3</v>
      </c>
      <c r="I33" s="20">
        <f t="shared" si="4"/>
        <v>371.09820000000002</v>
      </c>
      <c r="J33" s="20">
        <f t="shared" si="5"/>
        <v>1954.6109021865668</v>
      </c>
      <c r="K33" s="20">
        <f t="shared" si="6"/>
        <v>5085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7039.6109021865668</v>
      </c>
      <c r="S33" s="20"/>
      <c r="T33" s="20"/>
    </row>
    <row r="34" spans="1:21" ht="12.75" customHeight="1" x14ac:dyDescent="0.3">
      <c r="A34" s="21" t="s">
        <v>45</v>
      </c>
      <c r="B34" s="21" t="str">
        <f>VLOOKUP(A34,Members!$A$2:$B$65,2,FALSE)</f>
        <v>Ajai.B</v>
      </c>
      <c r="C34" s="22">
        <v>1923.5</v>
      </c>
      <c r="D34" s="22">
        <f t="shared" si="0"/>
        <v>0.3671875</v>
      </c>
      <c r="E34" s="22">
        <f t="shared" si="1"/>
        <v>1923.8671875</v>
      </c>
      <c r="F34" s="44">
        <f t="shared" si="2"/>
        <v>1.6532684705781252E-2</v>
      </c>
      <c r="G34" s="22">
        <f t="shared" si="3"/>
        <v>676.18680446645317</v>
      </c>
      <c r="H34" s="22">
        <v>4</v>
      </c>
      <c r="I34" s="22">
        <f t="shared" si="4"/>
        <v>494.79759999999999</v>
      </c>
      <c r="J34" s="22">
        <f t="shared" si="5"/>
        <v>1176.7828138414532</v>
      </c>
      <c r="K34" s="22">
        <f t="shared" si="6"/>
        <v>5085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6261.7828138414534</v>
      </c>
      <c r="S34" s="22"/>
      <c r="T34" s="22"/>
    </row>
    <row r="35" spans="1:21" ht="12.75" customHeight="1" x14ac:dyDescent="0.3">
      <c r="A35" s="19" t="s">
        <v>46</v>
      </c>
      <c r="B35" s="19" t="str">
        <f>VLOOKUP(A35,Members!$A$2:$B$65,2,FALSE)</f>
        <v>Surajit Borah</v>
      </c>
      <c r="C35" s="20">
        <v>4551</v>
      </c>
      <c r="D35" s="20">
        <f t="shared" si="0"/>
        <v>0.3671875</v>
      </c>
      <c r="E35" s="20">
        <f t="shared" si="1"/>
        <v>4551.3671875</v>
      </c>
      <c r="F35" s="43">
        <f t="shared" si="2"/>
        <v>3.9112013126517284E-2</v>
      </c>
      <c r="G35" s="20">
        <f t="shared" si="3"/>
        <v>1599.681336874557</v>
      </c>
      <c r="H35" s="20">
        <v>4</v>
      </c>
      <c r="I35" s="20">
        <f t="shared" si="4"/>
        <v>494.79759999999999</v>
      </c>
      <c r="J35" s="20">
        <f t="shared" si="5"/>
        <v>2100.277346249557</v>
      </c>
      <c r="K35" s="20">
        <f t="shared" si="6"/>
        <v>5085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7185.277346249557</v>
      </c>
      <c r="S35" s="20"/>
      <c r="T35" s="20"/>
    </row>
    <row r="36" spans="1:21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412</v>
      </c>
      <c r="D36" s="22">
        <f t="shared" si="0"/>
        <v>0.3671875</v>
      </c>
      <c r="E36" s="22">
        <f t="shared" si="1"/>
        <v>412.3671875</v>
      </c>
      <c r="F36" s="44">
        <f t="shared" si="2"/>
        <v>3.5436628568973295E-3</v>
      </c>
      <c r="G36" s="22">
        <f t="shared" si="3"/>
        <v>144.93581084710078</v>
      </c>
      <c r="H36" s="22">
        <v>4</v>
      </c>
      <c r="I36" s="22">
        <f t="shared" si="4"/>
        <v>494.79759999999999</v>
      </c>
      <c r="J36" s="22">
        <f t="shared" si="5"/>
        <v>645.53182022210081</v>
      </c>
      <c r="K36" s="22">
        <f t="shared" si="6"/>
        <v>5085</v>
      </c>
      <c r="L36" s="22">
        <v>0</v>
      </c>
      <c r="M36" s="22">
        <v>0</v>
      </c>
      <c r="N36" s="22">
        <v>0</v>
      </c>
      <c r="O36" s="22">
        <v>0</v>
      </c>
      <c r="P36" s="22">
        <v>1000</v>
      </c>
      <c r="Q36" s="22"/>
      <c r="R36" s="22">
        <f t="shared" si="7"/>
        <v>6730.5318202221006</v>
      </c>
      <c r="S36" s="22"/>
      <c r="T36" s="22"/>
      <c r="U36" t="s">
        <v>333</v>
      </c>
    </row>
    <row r="37" spans="1:21" ht="12.75" customHeight="1" x14ac:dyDescent="0.3">
      <c r="A37" s="19" t="s">
        <v>48</v>
      </c>
      <c r="B37" s="19" t="str">
        <f>VLOOKUP(A37,Members!$A$2:$B$65,2,FALSE)</f>
        <v>Praveen Ganesan</v>
      </c>
      <c r="C37" s="20">
        <v>1872.5</v>
      </c>
      <c r="D37" s="20">
        <f t="shared" si="0"/>
        <v>0.3671875</v>
      </c>
      <c r="E37" s="20">
        <f t="shared" si="1"/>
        <v>1872.8671875</v>
      </c>
      <c r="F37" s="43">
        <f t="shared" si="2"/>
        <v>1.6094418007605218E-2</v>
      </c>
      <c r="G37" s="20">
        <f t="shared" si="3"/>
        <v>658.2616965110534</v>
      </c>
      <c r="H37" s="20">
        <v>3</v>
      </c>
      <c r="I37" s="20">
        <f t="shared" si="4"/>
        <v>371.09820000000002</v>
      </c>
      <c r="J37" s="20">
        <f t="shared" si="5"/>
        <v>1035.1583058860533</v>
      </c>
      <c r="K37" s="20">
        <f t="shared" si="6"/>
        <v>5085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6120.1583058860533</v>
      </c>
      <c r="S37" s="20"/>
      <c r="T37" s="20"/>
    </row>
    <row r="38" spans="1:21" ht="12.75" customHeight="1" x14ac:dyDescent="0.3">
      <c r="A38" s="21" t="s">
        <v>50</v>
      </c>
      <c r="B38" s="21" t="str">
        <f>VLOOKUP(A38,Members!$A$2:$B$65,2,FALSE)</f>
        <v>S.N.Behera</v>
      </c>
      <c r="C38" s="22">
        <v>0.5</v>
      </c>
      <c r="D38" s="22">
        <f t="shared" ref="D38:D69" si="8">SUM($C$3:$C$5)/64</f>
        <v>0.3671875</v>
      </c>
      <c r="E38" s="22">
        <f t="shared" ref="E38:E69" si="9">C38+D38</f>
        <v>0.8671875</v>
      </c>
      <c r="F38" s="44">
        <f t="shared" ref="F38:F69" si="10">IF($C$70=0, 0, E38/$C$70)</f>
        <v>7.4521451436182783E-6</v>
      </c>
      <c r="G38" s="22">
        <f t="shared" ref="G38:G69" si="11">F38*$T$5</f>
        <v>0.30479273637398757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377.20140211137402</v>
      </c>
      <c r="K38" s="22">
        <f t="shared" ref="K38:K69" si="14">$T$11/64</f>
        <v>5085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5462.2014021113737</v>
      </c>
      <c r="S38" s="22"/>
      <c r="T38" s="22"/>
    </row>
    <row r="39" spans="1:21" ht="12.75" customHeight="1" x14ac:dyDescent="0.3">
      <c r="A39" s="19" t="s">
        <v>52</v>
      </c>
      <c r="B39" s="19" t="str">
        <f>VLOOKUP(A39,Members!$A$2:$B$65,2,FALSE)</f>
        <v>Sonal Singh</v>
      </c>
      <c r="C39" s="20">
        <v>1.5</v>
      </c>
      <c r="D39" s="20">
        <f t="shared" si="8"/>
        <v>0.3671875</v>
      </c>
      <c r="E39" s="20">
        <f t="shared" si="9"/>
        <v>1.8671875</v>
      </c>
      <c r="F39" s="43">
        <f t="shared" si="10"/>
        <v>1.6045609813736654E-5</v>
      </c>
      <c r="G39" s="20">
        <f t="shared" si="11"/>
        <v>0.65626544138182918</v>
      </c>
      <c r="H39" s="20">
        <v>4</v>
      </c>
      <c r="I39" s="20">
        <f t="shared" si="12"/>
        <v>494.79759999999999</v>
      </c>
      <c r="J39" s="20">
        <f t="shared" si="13"/>
        <v>501.25227481638183</v>
      </c>
      <c r="K39" s="20">
        <f t="shared" si="14"/>
        <v>5085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5586.2522748163819</v>
      </c>
      <c r="S39" s="20"/>
      <c r="T39" s="20"/>
    </row>
    <row r="40" spans="1:21" ht="12.75" customHeight="1" x14ac:dyDescent="0.3">
      <c r="A40" s="21" t="s">
        <v>53</v>
      </c>
      <c r="B40" s="21" t="str">
        <f>VLOOKUP(A40,Members!$A$2:$B$65,2,FALSE)</f>
        <v>Manikandan N</v>
      </c>
      <c r="C40" s="22">
        <v>2933.5</v>
      </c>
      <c r="D40" s="22">
        <f t="shared" si="8"/>
        <v>0.3671875</v>
      </c>
      <c r="E40" s="22">
        <f t="shared" si="9"/>
        <v>2933.8671875</v>
      </c>
      <c r="F40" s="44">
        <f t="shared" si="10"/>
        <v>2.5212084022600813E-2</v>
      </c>
      <c r="G40" s="22">
        <f t="shared" si="11"/>
        <v>1031.1742365243733</v>
      </c>
      <c r="H40" s="22">
        <v>4</v>
      </c>
      <c r="I40" s="22">
        <f t="shared" si="12"/>
        <v>494.79759999999999</v>
      </c>
      <c r="J40" s="22">
        <f t="shared" si="13"/>
        <v>1531.7702458993731</v>
      </c>
      <c r="K40" s="22">
        <f t="shared" si="14"/>
        <v>5085</v>
      </c>
      <c r="L40" s="22">
        <v>0</v>
      </c>
      <c r="M40" s="22">
        <v>0</v>
      </c>
      <c r="N40" s="22">
        <v>0</v>
      </c>
      <c r="O40" s="22">
        <v>0</v>
      </c>
      <c r="P40" s="22">
        <v>1000</v>
      </c>
      <c r="Q40" s="22"/>
      <c r="R40" s="22">
        <f t="shared" si="15"/>
        <v>7616.7702458993735</v>
      </c>
      <c r="S40" s="22"/>
      <c r="T40" s="22"/>
      <c r="U40" t="s">
        <v>333</v>
      </c>
    </row>
    <row r="41" spans="1:21" ht="12.75" customHeight="1" x14ac:dyDescent="0.3">
      <c r="A41" s="19" t="s">
        <v>54</v>
      </c>
      <c r="B41" s="19" t="str">
        <f>VLOOKUP(A41,Members!$A$2:$B$65,2,FALSE)</f>
        <v>Swami</v>
      </c>
      <c r="C41" s="20">
        <v>4123.5</v>
      </c>
      <c r="D41" s="20">
        <f t="shared" si="8"/>
        <v>0.3671875</v>
      </c>
      <c r="E41" s="20">
        <f t="shared" si="9"/>
        <v>4123.8671875</v>
      </c>
      <c r="F41" s="43">
        <f t="shared" si="10"/>
        <v>3.5438306980041676E-2</v>
      </c>
      <c r="G41" s="20">
        <f t="shared" si="11"/>
        <v>1449.4267554837045</v>
      </c>
      <c r="H41" s="20">
        <v>3</v>
      </c>
      <c r="I41" s="20">
        <f t="shared" si="12"/>
        <v>371.09820000000002</v>
      </c>
      <c r="J41" s="20">
        <f t="shared" si="13"/>
        <v>1826.3233648587043</v>
      </c>
      <c r="K41" s="20">
        <f t="shared" si="14"/>
        <v>5085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6911.3233648587047</v>
      </c>
      <c r="S41" s="20"/>
      <c r="T41" s="20"/>
    </row>
    <row r="42" spans="1:21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1050.5</v>
      </c>
      <c r="D42" s="22">
        <f t="shared" si="8"/>
        <v>0.3671875</v>
      </c>
      <c r="E42" s="22">
        <f t="shared" si="9"/>
        <v>1050.8671875</v>
      </c>
      <c r="F42" s="44">
        <f t="shared" si="10"/>
        <v>9.0305900487679114E-3</v>
      </c>
      <c r="G42" s="22">
        <f t="shared" si="11"/>
        <v>369.35113299460755</v>
      </c>
      <c r="H42" s="22">
        <v>3</v>
      </c>
      <c r="I42" s="22">
        <f t="shared" si="12"/>
        <v>371.09820000000002</v>
      </c>
      <c r="J42" s="22">
        <f t="shared" si="13"/>
        <v>746.24774236960752</v>
      </c>
      <c r="K42" s="22">
        <f t="shared" si="14"/>
        <v>5085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5831.2477423696073</v>
      </c>
      <c r="S42" s="22"/>
      <c r="T42" s="22"/>
    </row>
    <row r="43" spans="1:21" ht="12.75" customHeight="1" x14ac:dyDescent="0.3">
      <c r="A43" s="19" t="s">
        <v>57</v>
      </c>
      <c r="B43" s="19" t="str">
        <f>VLOOKUP(A43,Members!$A$2:$B$65,2,FALSE)</f>
        <v>Vivek Dhingra</v>
      </c>
      <c r="C43" s="20">
        <v>79.5</v>
      </c>
      <c r="D43" s="20">
        <f t="shared" si="8"/>
        <v>0.3671875</v>
      </c>
      <c r="E43" s="20">
        <f t="shared" si="9"/>
        <v>79.8671875</v>
      </c>
      <c r="F43" s="43">
        <f t="shared" si="10"/>
        <v>6.8633585408296987E-4</v>
      </c>
      <c r="G43" s="20">
        <f t="shared" si="11"/>
        <v>28.071136431993466</v>
      </c>
      <c r="H43" s="20">
        <v>3</v>
      </c>
      <c r="I43" s="20">
        <f t="shared" si="12"/>
        <v>371.09820000000002</v>
      </c>
      <c r="J43" s="20">
        <f t="shared" si="13"/>
        <v>404.96774580699349</v>
      </c>
      <c r="K43" s="20">
        <f t="shared" si="14"/>
        <v>5085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5489.9677458069937</v>
      </c>
      <c r="S43" s="20"/>
      <c r="T43" s="20"/>
    </row>
    <row r="44" spans="1:21" ht="12.75" customHeight="1" x14ac:dyDescent="0.3">
      <c r="A44" s="21" t="s">
        <v>58</v>
      </c>
      <c r="B44" s="21" t="str">
        <f>VLOOKUP(A44,Members!$A$2:$B$65,2,FALSE)</f>
        <v>Harish B</v>
      </c>
      <c r="C44" s="22">
        <v>1062.5</v>
      </c>
      <c r="D44" s="22">
        <f t="shared" si="8"/>
        <v>0.3671875</v>
      </c>
      <c r="E44" s="22">
        <f t="shared" si="9"/>
        <v>1062.8671875</v>
      </c>
      <c r="F44" s="44">
        <f t="shared" si="10"/>
        <v>9.133711624809332E-3</v>
      </c>
      <c r="G44" s="22">
        <f t="shared" si="11"/>
        <v>373.5688054547017</v>
      </c>
      <c r="H44" s="22">
        <v>3</v>
      </c>
      <c r="I44" s="22">
        <f t="shared" si="12"/>
        <v>371.09820000000002</v>
      </c>
      <c r="J44" s="22">
        <f t="shared" si="13"/>
        <v>750.46541482970179</v>
      </c>
      <c r="K44" s="22">
        <f t="shared" si="14"/>
        <v>5085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5835.4654148297013</v>
      </c>
      <c r="S44" s="22"/>
      <c r="T44" s="22"/>
    </row>
    <row r="45" spans="1:21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2761</v>
      </c>
      <c r="D45" s="20">
        <f t="shared" si="8"/>
        <v>0.3671875</v>
      </c>
      <c r="E45" s="20">
        <f t="shared" si="9"/>
        <v>2761.3671875</v>
      </c>
      <c r="F45" s="43">
        <f t="shared" si="10"/>
        <v>2.3729711367005392E-2</v>
      </c>
      <c r="G45" s="20">
        <f t="shared" si="11"/>
        <v>970.54519491052054</v>
      </c>
      <c r="H45" s="20">
        <v>3</v>
      </c>
      <c r="I45" s="20">
        <f t="shared" si="12"/>
        <v>371.09820000000002</v>
      </c>
      <c r="J45" s="20">
        <f t="shared" si="13"/>
        <v>1347.4418042855204</v>
      </c>
      <c r="K45" s="20">
        <f t="shared" si="14"/>
        <v>5085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6432.4418042855204</v>
      </c>
      <c r="S45" s="20"/>
      <c r="T45" s="20"/>
    </row>
    <row r="46" spans="1:21" ht="12.75" customHeight="1" x14ac:dyDescent="0.3">
      <c r="A46" s="21" t="s">
        <v>60</v>
      </c>
      <c r="B46" s="21" t="str">
        <f>VLOOKUP(A46,Members!$A$2:$B$65,2,FALSE)</f>
        <v>Pawan GS</v>
      </c>
      <c r="C46" s="22">
        <v>25</v>
      </c>
      <c r="D46" s="22">
        <f t="shared" si="8"/>
        <v>0.3671875</v>
      </c>
      <c r="E46" s="22">
        <f t="shared" si="9"/>
        <v>25.3671875</v>
      </c>
      <c r="F46" s="44">
        <f t="shared" si="10"/>
        <v>2.1799202956151846E-4</v>
      </c>
      <c r="G46" s="22">
        <f t="shared" si="11"/>
        <v>8.9158740090661048</v>
      </c>
      <c r="H46" s="22">
        <v>4</v>
      </c>
      <c r="I46" s="22">
        <f t="shared" si="12"/>
        <v>494.79759999999999</v>
      </c>
      <c r="J46" s="22">
        <f t="shared" si="13"/>
        <v>509.5118833840661</v>
      </c>
      <c r="K46" s="22">
        <f t="shared" si="14"/>
        <v>5085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5594.5118833840661</v>
      </c>
      <c r="S46" s="22"/>
      <c r="T46" s="22"/>
    </row>
    <row r="47" spans="1:21" ht="12.75" customHeight="1" x14ac:dyDescent="0.3">
      <c r="A47" s="19" t="s">
        <v>61</v>
      </c>
      <c r="B47" s="19" t="str">
        <f>VLOOKUP(A47,Members!$A$2:$B$65,2,FALSE)</f>
        <v>Mayfy</v>
      </c>
      <c r="C47" s="20">
        <v>12</v>
      </c>
      <c r="D47" s="20">
        <f t="shared" si="8"/>
        <v>0.3671875</v>
      </c>
      <c r="E47" s="20">
        <f t="shared" si="9"/>
        <v>12.3671875</v>
      </c>
      <c r="F47" s="43">
        <f t="shared" si="10"/>
        <v>1.0627698884997958E-4</v>
      </c>
      <c r="G47" s="20">
        <f t="shared" si="11"/>
        <v>4.3467288439641649</v>
      </c>
      <c r="H47" s="20">
        <v>3</v>
      </c>
      <c r="I47" s="20">
        <f t="shared" si="12"/>
        <v>371.09820000000002</v>
      </c>
      <c r="J47" s="20">
        <f t="shared" si="13"/>
        <v>381.2433382189642</v>
      </c>
      <c r="K47" s="20">
        <f t="shared" si="14"/>
        <v>5085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5466.2433382189638</v>
      </c>
      <c r="S47" s="20"/>
      <c r="T47" s="20"/>
    </row>
    <row r="48" spans="1:21" ht="12.75" customHeight="1" x14ac:dyDescent="0.3">
      <c r="A48" s="21" t="s">
        <v>62</v>
      </c>
      <c r="B48" s="21" t="str">
        <f>VLOOKUP(A48,Members!$A$2:$B$65,2,FALSE)</f>
        <v>Gowrish Patnaik</v>
      </c>
      <c r="C48" s="22">
        <v>1444.5</v>
      </c>
      <c r="D48" s="22">
        <f t="shared" si="8"/>
        <v>0.3671875</v>
      </c>
      <c r="E48" s="22">
        <f t="shared" si="9"/>
        <v>1444.8671875</v>
      </c>
      <c r="F48" s="44">
        <f t="shared" si="10"/>
        <v>1.2416415128794552E-2</v>
      </c>
      <c r="G48" s="22">
        <f t="shared" si="11"/>
        <v>507.83137876769717</v>
      </c>
      <c r="H48" s="22">
        <v>3</v>
      </c>
      <c r="I48" s="22">
        <f t="shared" si="12"/>
        <v>371.09820000000002</v>
      </c>
      <c r="J48" s="22">
        <f t="shared" si="13"/>
        <v>884.7279881426972</v>
      </c>
      <c r="K48" s="22">
        <f t="shared" si="14"/>
        <v>5085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5969.7279881426975</v>
      </c>
      <c r="S48" s="22"/>
      <c r="T48" s="22"/>
    </row>
    <row r="49" spans="1:21" ht="12.75" customHeight="1" x14ac:dyDescent="0.3">
      <c r="A49" s="19" t="s">
        <v>63</v>
      </c>
      <c r="B49" s="19" t="str">
        <f>VLOOKUP(A49,Members!$A$2:$B$65,2,FALSE)</f>
        <v>Saovik Mondal</v>
      </c>
      <c r="C49" s="20">
        <v>2885</v>
      </c>
      <c r="D49" s="20">
        <f t="shared" si="8"/>
        <v>0.3671875</v>
      </c>
      <c r="E49" s="20">
        <f t="shared" si="9"/>
        <v>2885.3671875</v>
      </c>
      <c r="F49" s="43">
        <f t="shared" si="10"/>
        <v>2.4795300986100072E-2</v>
      </c>
      <c r="G49" s="20">
        <f t="shared" si="11"/>
        <v>1014.1278103314929</v>
      </c>
      <c r="H49" s="20">
        <v>3</v>
      </c>
      <c r="I49" s="20">
        <f t="shared" si="12"/>
        <v>371.09820000000002</v>
      </c>
      <c r="J49" s="20">
        <f t="shared" si="13"/>
        <v>1391.0244197064931</v>
      </c>
      <c r="K49" s="20">
        <f t="shared" si="14"/>
        <v>5085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6476.0244197064931</v>
      </c>
      <c r="S49" s="20"/>
      <c r="T49" s="20"/>
    </row>
    <row r="50" spans="1:21" ht="12.75" customHeight="1" x14ac:dyDescent="0.3">
      <c r="A50" s="21" t="s">
        <v>64</v>
      </c>
      <c r="B50" s="21" t="str">
        <f>VLOOKUP(A50,Members!$A$2:$B$65,2,FALSE)</f>
        <v>Srinivasa Rao</v>
      </c>
      <c r="C50" s="22">
        <v>467</v>
      </c>
      <c r="D50" s="22">
        <f t="shared" si="8"/>
        <v>0.3671875</v>
      </c>
      <c r="E50" s="22">
        <f t="shared" si="9"/>
        <v>467.3671875</v>
      </c>
      <c r="F50" s="44">
        <f t="shared" si="10"/>
        <v>4.0163034137538399E-3</v>
      </c>
      <c r="G50" s="22">
        <f t="shared" si="11"/>
        <v>164.26680962253207</v>
      </c>
      <c r="H50" s="22">
        <v>4</v>
      </c>
      <c r="I50" s="22">
        <f t="shared" si="12"/>
        <v>494.79759999999999</v>
      </c>
      <c r="J50" s="22">
        <f t="shared" si="13"/>
        <v>664.86281899753203</v>
      </c>
      <c r="K50" s="22">
        <f t="shared" si="14"/>
        <v>5085</v>
      </c>
      <c r="L50" s="22">
        <v>0</v>
      </c>
      <c r="M50" s="22">
        <v>0</v>
      </c>
      <c r="N50" s="22">
        <v>0</v>
      </c>
      <c r="O50" s="22">
        <v>0</v>
      </c>
      <c r="P50" s="22">
        <v>1000</v>
      </c>
      <c r="Q50" s="22"/>
      <c r="R50" s="22">
        <f t="shared" si="15"/>
        <v>6749.8628189975316</v>
      </c>
      <c r="S50" s="22"/>
      <c r="T50" s="22"/>
      <c r="U50" t="s">
        <v>333</v>
      </c>
    </row>
    <row r="51" spans="1:21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1762</v>
      </c>
      <c r="D51" s="20">
        <f t="shared" si="8"/>
        <v>0.3671875</v>
      </c>
      <c r="E51" s="20">
        <f t="shared" si="9"/>
        <v>1762.3671875</v>
      </c>
      <c r="F51" s="43">
        <f t="shared" si="10"/>
        <v>1.5144840161557135E-2</v>
      </c>
      <c r="G51" s="20">
        <f t="shared" si="11"/>
        <v>619.4239626076868</v>
      </c>
      <c r="H51" s="20">
        <v>4</v>
      </c>
      <c r="I51" s="20">
        <f t="shared" si="12"/>
        <v>494.79759999999999</v>
      </c>
      <c r="J51" s="20">
        <f t="shared" si="13"/>
        <v>1120.0199719826869</v>
      </c>
      <c r="K51" s="20">
        <f t="shared" si="14"/>
        <v>5085</v>
      </c>
      <c r="L51" s="20">
        <v>0</v>
      </c>
      <c r="M51" s="20">
        <v>0</v>
      </c>
      <c r="N51" s="20">
        <v>0</v>
      </c>
      <c r="O51" s="20">
        <v>0</v>
      </c>
      <c r="P51" s="20">
        <v>1000</v>
      </c>
      <c r="Q51" s="20"/>
      <c r="R51" s="20">
        <f t="shared" si="15"/>
        <v>7205.0199719826869</v>
      </c>
      <c r="S51" s="20"/>
      <c r="T51" s="20"/>
      <c r="U51" t="s">
        <v>333</v>
      </c>
    </row>
    <row r="52" spans="1:21" ht="12.75" customHeight="1" x14ac:dyDescent="0.3">
      <c r="A52" s="21" t="s">
        <v>66</v>
      </c>
      <c r="B52" s="21" t="str">
        <f>VLOOKUP(A52,Members!$A$2:$B$65,2,FALSE)</f>
        <v>Manas Dasgupta</v>
      </c>
      <c r="C52" s="22">
        <v>1154</v>
      </c>
      <c r="D52" s="22">
        <f t="shared" si="8"/>
        <v>0.3671875</v>
      </c>
      <c r="E52" s="22">
        <f t="shared" si="9"/>
        <v>1154.3671875</v>
      </c>
      <c r="F52" s="44">
        <f t="shared" si="10"/>
        <v>9.9200136421251639E-3</v>
      </c>
      <c r="G52" s="22">
        <f t="shared" si="11"/>
        <v>405.72855796291918</v>
      </c>
      <c r="H52" s="22">
        <v>4</v>
      </c>
      <c r="I52" s="22">
        <f t="shared" si="12"/>
        <v>494.79759999999999</v>
      </c>
      <c r="J52" s="22">
        <f t="shared" si="13"/>
        <v>906.32456733791923</v>
      </c>
      <c r="K52" s="22">
        <f t="shared" si="14"/>
        <v>5085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5991.3245673379188</v>
      </c>
      <c r="S52" s="22"/>
      <c r="T52" s="22"/>
    </row>
    <row r="53" spans="1:21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437.5</v>
      </c>
      <c r="D53" s="20">
        <f t="shared" si="8"/>
        <v>0.3671875</v>
      </c>
      <c r="E53" s="20">
        <f t="shared" si="9"/>
        <v>437.8671875</v>
      </c>
      <c r="F53" s="43">
        <f t="shared" si="10"/>
        <v>3.7627962059853482E-3</v>
      </c>
      <c r="G53" s="20">
        <f t="shared" si="11"/>
        <v>153.89836482480075</v>
      </c>
      <c r="H53" s="20">
        <v>3</v>
      </c>
      <c r="I53" s="20">
        <f t="shared" si="12"/>
        <v>371.09820000000002</v>
      </c>
      <c r="J53" s="20">
        <f t="shared" si="13"/>
        <v>530.79497419980078</v>
      </c>
      <c r="K53" s="20">
        <f t="shared" si="14"/>
        <v>5085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5615.7949741998009</v>
      </c>
      <c r="S53" s="20"/>
      <c r="T53" s="20"/>
    </row>
    <row r="54" spans="1:21" ht="12.75" customHeight="1" x14ac:dyDescent="0.3">
      <c r="A54" s="21" t="s">
        <v>68</v>
      </c>
      <c r="B54" s="21" t="str">
        <f>VLOOKUP(A54,Members!$A$2:$B$65,2,FALSE)</f>
        <v>Prashant Sikdar</v>
      </c>
      <c r="C54" s="22">
        <v>4436.5</v>
      </c>
      <c r="D54" s="22">
        <f t="shared" si="8"/>
        <v>0.3671875</v>
      </c>
      <c r="E54" s="22">
        <f t="shared" si="9"/>
        <v>4436.8671875</v>
      </c>
      <c r="F54" s="44">
        <f t="shared" si="10"/>
        <v>3.8128061421788727E-2</v>
      </c>
      <c r="G54" s="22">
        <f t="shared" si="11"/>
        <v>1559.4377121511588</v>
      </c>
      <c r="H54" s="22">
        <v>3</v>
      </c>
      <c r="I54" s="22">
        <f t="shared" si="12"/>
        <v>371.09820000000002</v>
      </c>
      <c r="J54" s="22">
        <f t="shared" si="13"/>
        <v>1936.3343215261589</v>
      </c>
      <c r="K54" s="22">
        <f t="shared" si="14"/>
        <v>5085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7021.3343215261593</v>
      </c>
      <c r="S54" s="22"/>
      <c r="T54" s="22"/>
    </row>
    <row r="55" spans="1:21" ht="12.75" customHeight="1" x14ac:dyDescent="0.3">
      <c r="A55" s="19" t="s">
        <v>69</v>
      </c>
      <c r="B55" s="19" t="str">
        <f>VLOOKUP(A55,Members!$A$2:$B$65,2,FALSE)</f>
        <v>Kunal Raj Mehta</v>
      </c>
      <c r="C55" s="20">
        <v>4313.5</v>
      </c>
      <c r="D55" s="20">
        <f t="shared" si="8"/>
        <v>0.3671875</v>
      </c>
      <c r="E55" s="20">
        <f t="shared" si="9"/>
        <v>4313.8671875</v>
      </c>
      <c r="F55" s="43">
        <f t="shared" si="10"/>
        <v>3.7071065267364173E-2</v>
      </c>
      <c r="G55" s="20">
        <f t="shared" si="11"/>
        <v>1516.2065694351948</v>
      </c>
      <c r="H55" s="20">
        <v>4</v>
      </c>
      <c r="I55" s="20">
        <f t="shared" si="12"/>
        <v>494.79759999999999</v>
      </c>
      <c r="J55" s="20">
        <f t="shared" si="13"/>
        <v>2016.8025788101945</v>
      </c>
      <c r="K55" s="20">
        <f t="shared" si="14"/>
        <v>5085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7101.802578810195</v>
      </c>
      <c r="S55" s="20"/>
      <c r="T55" s="20"/>
    </row>
    <row r="56" spans="1:21" ht="12.75" customHeight="1" x14ac:dyDescent="0.3">
      <c r="A56" s="21" t="s">
        <v>70</v>
      </c>
      <c r="B56" s="21" t="str">
        <f>VLOOKUP(A56,Members!$A$2:$B$65,2,FALSE)</f>
        <v>Kapil Garg</v>
      </c>
      <c r="C56" s="22">
        <v>2627.5</v>
      </c>
      <c r="D56" s="22">
        <f t="shared" si="8"/>
        <v>0.3671875</v>
      </c>
      <c r="E56" s="22">
        <f t="shared" si="9"/>
        <v>2627.8671875</v>
      </c>
      <c r="F56" s="44">
        <f t="shared" si="10"/>
        <v>2.2582483833544588E-2</v>
      </c>
      <c r="G56" s="22">
        <f t="shared" si="11"/>
        <v>923.6235887919737</v>
      </c>
      <c r="H56" s="22">
        <v>4</v>
      </c>
      <c r="I56" s="22">
        <f t="shared" si="12"/>
        <v>494.79759999999999</v>
      </c>
      <c r="J56" s="22">
        <f t="shared" si="13"/>
        <v>1424.2195981669738</v>
      </c>
      <c r="K56" s="22">
        <f t="shared" si="14"/>
        <v>5085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6509.2195981669738</v>
      </c>
      <c r="S56" s="22"/>
      <c r="T56" s="22"/>
    </row>
    <row r="57" spans="1:21" ht="12.75" customHeight="1" x14ac:dyDescent="0.3">
      <c r="A57" s="19" t="s">
        <v>71</v>
      </c>
      <c r="B57" s="19" t="str">
        <f>VLOOKUP(A57,Members!$A$2:$B$65,2,FALSE)</f>
        <v>Vijet Alva</v>
      </c>
      <c r="C57" s="20">
        <v>0.5</v>
      </c>
      <c r="D57" s="20">
        <f t="shared" si="8"/>
        <v>0.3671875</v>
      </c>
      <c r="E57" s="20">
        <f t="shared" si="9"/>
        <v>0.8671875</v>
      </c>
      <c r="F57" s="43">
        <f t="shared" si="10"/>
        <v>7.4521451436182783E-6</v>
      </c>
      <c r="G57" s="20">
        <f t="shared" si="11"/>
        <v>0.30479273637398757</v>
      </c>
      <c r="H57" s="20">
        <v>4</v>
      </c>
      <c r="I57" s="20">
        <f t="shared" si="12"/>
        <v>494.79759999999999</v>
      </c>
      <c r="J57" s="20">
        <f t="shared" si="13"/>
        <v>500.90080211137399</v>
      </c>
      <c r="K57" s="20">
        <f t="shared" si="14"/>
        <v>5085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5585.9008021113741</v>
      </c>
      <c r="S57" s="20"/>
      <c r="T57" s="20"/>
    </row>
    <row r="58" spans="1:21" ht="12.75" customHeight="1" x14ac:dyDescent="0.3">
      <c r="A58" s="21" t="s">
        <v>73</v>
      </c>
      <c r="B58" s="21" t="str">
        <f>VLOOKUP(A58,Members!$A$2:$B$65,2,FALSE)</f>
        <v>Ganesh Iyer</v>
      </c>
      <c r="C58" s="22">
        <v>233.5</v>
      </c>
      <c r="D58" s="22">
        <f t="shared" si="8"/>
        <v>0.3671875</v>
      </c>
      <c r="E58" s="22">
        <f t="shared" si="9"/>
        <v>233.8671875</v>
      </c>
      <c r="F58" s="44">
        <f t="shared" si="10"/>
        <v>2.0097294132811997E-3</v>
      </c>
      <c r="G58" s="22">
        <f t="shared" si="11"/>
        <v>82.197933003201072</v>
      </c>
      <c r="H58" s="22">
        <v>3</v>
      </c>
      <c r="I58" s="22">
        <f t="shared" si="12"/>
        <v>371.09820000000002</v>
      </c>
      <c r="J58" s="22">
        <f t="shared" si="13"/>
        <v>459.09454237820108</v>
      </c>
      <c r="K58" s="22">
        <f t="shared" si="14"/>
        <v>5085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5544.0945423782014</v>
      </c>
      <c r="S58" s="22"/>
      <c r="T58" s="22"/>
    </row>
    <row r="59" spans="1:21" ht="12.75" customHeight="1" x14ac:dyDescent="0.3">
      <c r="A59" s="19" t="s">
        <v>74</v>
      </c>
      <c r="B59" s="19" t="str">
        <f>VLOOKUP(A59,Members!$A$2:$B$65,2,FALSE)</f>
        <v>Mythili Ramesh</v>
      </c>
      <c r="C59" s="20">
        <v>4056</v>
      </c>
      <c r="D59" s="20">
        <f t="shared" si="8"/>
        <v>0.3671875</v>
      </c>
      <c r="E59" s="20">
        <f t="shared" si="9"/>
        <v>4056.3671875</v>
      </c>
      <c r="F59" s="43">
        <f t="shared" si="10"/>
        <v>3.4858248114808685E-2</v>
      </c>
      <c r="G59" s="20">
        <f t="shared" si="11"/>
        <v>1425.7023478956753</v>
      </c>
      <c r="H59" s="20">
        <v>3</v>
      </c>
      <c r="I59" s="20">
        <f t="shared" si="12"/>
        <v>371.09820000000002</v>
      </c>
      <c r="J59" s="20">
        <f t="shared" si="13"/>
        <v>1802.5989572706753</v>
      </c>
      <c r="K59" s="20">
        <f t="shared" si="14"/>
        <v>5085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6887.5989572706749</v>
      </c>
      <c r="S59" s="20"/>
      <c r="T59" s="20"/>
    </row>
    <row r="60" spans="1:21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1513</v>
      </c>
      <c r="D60" s="22">
        <f t="shared" si="8"/>
        <v>0.3671875</v>
      </c>
      <c r="E60" s="22">
        <f t="shared" si="9"/>
        <v>1513.3671875</v>
      </c>
      <c r="F60" s="44">
        <f t="shared" si="10"/>
        <v>1.300506745869766E-2</v>
      </c>
      <c r="G60" s="22">
        <f t="shared" si="11"/>
        <v>531.9072590607343</v>
      </c>
      <c r="H60" s="22">
        <v>3</v>
      </c>
      <c r="I60" s="22">
        <f t="shared" si="12"/>
        <v>371.09820000000002</v>
      </c>
      <c r="J60" s="22">
        <f t="shared" si="13"/>
        <v>908.80386843573433</v>
      </c>
      <c r="K60" s="22">
        <f t="shared" si="14"/>
        <v>5085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5993.8038684357343</v>
      </c>
      <c r="S60" s="22"/>
      <c r="T60" s="22"/>
    </row>
    <row r="61" spans="1:21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3.5</v>
      </c>
      <c r="D61" s="20">
        <f t="shared" si="8"/>
        <v>0.3671875</v>
      </c>
      <c r="E61" s="20">
        <f t="shared" si="9"/>
        <v>3.8671875</v>
      </c>
      <c r="F61" s="43">
        <f t="shared" si="10"/>
        <v>3.3232539153973403E-5</v>
      </c>
      <c r="G61" s="20">
        <f t="shared" si="11"/>
        <v>1.3592108513975121</v>
      </c>
      <c r="H61" s="20">
        <v>3</v>
      </c>
      <c r="I61" s="20">
        <f t="shared" si="12"/>
        <v>371.09820000000002</v>
      </c>
      <c r="J61" s="20">
        <f t="shared" si="13"/>
        <v>378.25582022639753</v>
      </c>
      <c r="K61" s="20">
        <f t="shared" si="14"/>
        <v>5085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5463.2558202263972</v>
      </c>
      <c r="S61" s="20"/>
      <c r="T61" s="20"/>
    </row>
    <row r="62" spans="1:21" ht="12.75" customHeight="1" x14ac:dyDescent="0.3">
      <c r="A62" s="21" t="s">
        <v>77</v>
      </c>
      <c r="B62" s="21" t="str">
        <f>VLOOKUP(A62,Members!$A$2:$B$65,2,FALSE)</f>
        <v>Nishith Sahu</v>
      </c>
      <c r="C62" s="22">
        <v>17.5</v>
      </c>
      <c r="D62" s="22">
        <f t="shared" si="8"/>
        <v>0.3671875</v>
      </c>
      <c r="E62" s="22">
        <f t="shared" si="9"/>
        <v>17.8671875</v>
      </c>
      <c r="F62" s="44">
        <f t="shared" si="10"/>
        <v>1.5354104453563065E-4</v>
      </c>
      <c r="G62" s="22">
        <f t="shared" si="11"/>
        <v>6.2798287215072932</v>
      </c>
      <c r="H62" s="22">
        <v>4</v>
      </c>
      <c r="I62" s="22">
        <f t="shared" si="12"/>
        <v>494.79759999999999</v>
      </c>
      <c r="J62" s="22">
        <f t="shared" si="13"/>
        <v>506.87583809650727</v>
      </c>
      <c r="K62" s="22">
        <f t="shared" si="14"/>
        <v>5085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5591.8758380965073</v>
      </c>
      <c r="S62" s="22"/>
      <c r="T62" s="22"/>
    </row>
    <row r="63" spans="1:21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4797</v>
      </c>
      <c r="D63" s="20">
        <f t="shared" si="8"/>
        <v>0.3671875</v>
      </c>
      <c r="E63" s="20">
        <f t="shared" si="9"/>
        <v>4797.3671875</v>
      </c>
      <c r="F63" s="43">
        <f t="shared" si="10"/>
        <v>4.1226005435366406E-2</v>
      </c>
      <c r="G63" s="20">
        <f t="shared" si="11"/>
        <v>1686.1436223064859</v>
      </c>
      <c r="H63" s="20">
        <v>3</v>
      </c>
      <c r="I63" s="20">
        <f t="shared" si="12"/>
        <v>371.09820000000002</v>
      </c>
      <c r="J63" s="20">
        <f t="shared" si="13"/>
        <v>2063.0402316814857</v>
      </c>
      <c r="K63" s="20">
        <f t="shared" si="14"/>
        <v>5085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7898.0402316814852</v>
      </c>
      <c r="S63" s="20"/>
      <c r="T63" s="20"/>
    </row>
    <row r="64" spans="1:21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823.5</v>
      </c>
      <c r="D64" s="22">
        <f t="shared" si="8"/>
        <v>0.3671875</v>
      </c>
      <c r="E64" s="22">
        <f t="shared" si="9"/>
        <v>823.8671875</v>
      </c>
      <c r="F64" s="44">
        <f t="shared" si="10"/>
        <v>7.0798735686510407E-3</v>
      </c>
      <c r="G64" s="22">
        <f t="shared" si="11"/>
        <v>289.56682895782757</v>
      </c>
      <c r="H64" s="22">
        <v>3</v>
      </c>
      <c r="I64" s="22">
        <f t="shared" si="12"/>
        <v>371.09820000000002</v>
      </c>
      <c r="J64" s="22">
        <f t="shared" si="13"/>
        <v>666.46343833282754</v>
      </c>
      <c r="K64" s="22">
        <f t="shared" si="14"/>
        <v>5085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5751.4634383328275</v>
      </c>
      <c r="S64" s="22"/>
      <c r="T64" s="22"/>
    </row>
    <row r="65" spans="1:21" ht="12.75" customHeight="1" x14ac:dyDescent="0.3">
      <c r="A65" s="19" t="s">
        <v>81</v>
      </c>
      <c r="B65" s="19" t="str">
        <f>VLOOKUP(A65,Members!$A$2:$B$65,2,FALSE)</f>
        <v>Prasenjit</v>
      </c>
      <c r="C65" s="20">
        <v>935</v>
      </c>
      <c r="D65" s="20">
        <f t="shared" si="8"/>
        <v>0.3671875</v>
      </c>
      <c r="E65" s="20">
        <f t="shared" si="9"/>
        <v>935.3671875</v>
      </c>
      <c r="F65" s="43">
        <f t="shared" si="10"/>
        <v>8.03804487936924E-3</v>
      </c>
      <c r="G65" s="20">
        <f t="shared" si="11"/>
        <v>328.75603556620194</v>
      </c>
      <c r="H65" s="20">
        <v>3</v>
      </c>
      <c r="I65" s="20">
        <f t="shared" si="12"/>
        <v>371.09820000000002</v>
      </c>
      <c r="J65" s="20">
        <f t="shared" si="13"/>
        <v>705.65264494120197</v>
      </c>
      <c r="K65" s="20">
        <f t="shared" si="14"/>
        <v>5085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5790.6526449412022</v>
      </c>
      <c r="S65" s="20"/>
      <c r="T65" s="20"/>
    </row>
    <row r="66" spans="1:21" ht="12.75" customHeight="1" x14ac:dyDescent="0.3">
      <c r="A66" s="21" t="s">
        <v>82</v>
      </c>
      <c r="B66" s="21" t="str">
        <f>VLOOKUP(A66,Members!$A$2:$B$65,2,FALSE)</f>
        <v>Sonali Deokhule</v>
      </c>
      <c r="C66" s="22">
        <v>5978.5</v>
      </c>
      <c r="D66" s="22">
        <f t="shared" si="8"/>
        <v>0.3671875</v>
      </c>
      <c r="E66" s="22">
        <f t="shared" si="9"/>
        <v>5978.8671875</v>
      </c>
      <c r="F66" s="44">
        <f t="shared" si="10"/>
        <v>5.1379183943111265E-2</v>
      </c>
      <c r="G66" s="22">
        <f t="shared" si="11"/>
        <v>2101.4086232732507</v>
      </c>
      <c r="H66" s="22">
        <v>4</v>
      </c>
      <c r="I66" s="22">
        <f t="shared" si="12"/>
        <v>494.79759999999999</v>
      </c>
      <c r="J66" s="22">
        <f t="shared" si="13"/>
        <v>2602.0046326482507</v>
      </c>
      <c r="K66" s="22">
        <f t="shared" si="14"/>
        <v>5085</v>
      </c>
      <c r="L66" s="22">
        <v>0</v>
      </c>
      <c r="M66" s="22">
        <v>0</v>
      </c>
      <c r="N66" s="22">
        <v>0</v>
      </c>
      <c r="O66" s="22">
        <v>0</v>
      </c>
      <c r="P66" s="22">
        <v>1000</v>
      </c>
      <c r="Q66" s="22"/>
      <c r="R66" s="22">
        <f t="shared" si="15"/>
        <v>8687.0046326482516</v>
      </c>
      <c r="S66" s="22"/>
      <c r="T66" s="22"/>
      <c r="U66" t="s">
        <v>333</v>
      </c>
    </row>
    <row r="67" spans="1:21" ht="12.75" customHeight="1" x14ac:dyDescent="0.3">
      <c r="A67" s="19" t="s">
        <v>84</v>
      </c>
      <c r="B67" s="19" t="str">
        <f>VLOOKUP(A67,Members!$A$2:$B$65,2,FALSE)</f>
        <v>Jeya</v>
      </c>
      <c r="C67" s="20">
        <v>2552</v>
      </c>
      <c r="D67" s="20">
        <f t="shared" si="8"/>
        <v>0.3671875</v>
      </c>
      <c r="E67" s="20">
        <f t="shared" si="9"/>
        <v>2552.3671875</v>
      </c>
      <c r="F67" s="43">
        <f t="shared" si="10"/>
        <v>2.1933677250950651E-2</v>
      </c>
      <c r="G67" s="20">
        <f t="shared" si="11"/>
        <v>897.0873995638816</v>
      </c>
      <c r="H67" s="20">
        <v>4</v>
      </c>
      <c r="I67" s="20">
        <f t="shared" si="12"/>
        <v>494.79759999999999</v>
      </c>
      <c r="J67" s="20">
        <f t="shared" si="13"/>
        <v>1397.6834089388817</v>
      </c>
      <c r="K67" s="20">
        <f t="shared" si="14"/>
        <v>5085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6482.6834089388813</v>
      </c>
      <c r="S67" s="20"/>
      <c r="T67" s="20"/>
    </row>
    <row r="68" spans="1:21" ht="12.75" customHeight="1" x14ac:dyDescent="0.3">
      <c r="A68" s="21" t="s">
        <v>85</v>
      </c>
      <c r="B68" s="21" t="str">
        <f>VLOOKUP(A68,Members!$A$2:$B$65,2,FALSE)</f>
        <v>Trevor</v>
      </c>
      <c r="C68" s="22">
        <v>3017.5</v>
      </c>
      <c r="D68" s="22">
        <f t="shared" si="8"/>
        <v>0.3671875</v>
      </c>
      <c r="E68" s="22">
        <f t="shared" si="9"/>
        <v>3017.8671875</v>
      </c>
      <c r="F68" s="44">
        <f t="shared" si="10"/>
        <v>2.5933935054890757E-2</v>
      </c>
      <c r="G68" s="22">
        <f t="shared" si="11"/>
        <v>1060.697943745032</v>
      </c>
      <c r="H68" s="22">
        <v>4</v>
      </c>
      <c r="I68" s="22">
        <f t="shared" si="12"/>
        <v>494.79759999999999</v>
      </c>
      <c r="J68" s="22">
        <f t="shared" si="13"/>
        <v>1561.2939531200318</v>
      </c>
      <c r="K68" s="22">
        <f t="shared" si="14"/>
        <v>5085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6646.2939531200318</v>
      </c>
      <c r="S68" s="22"/>
      <c r="T68" s="22"/>
    </row>
    <row r="69" spans="1:21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3726</v>
      </c>
      <c r="D69" s="20">
        <f t="shared" si="8"/>
        <v>0.3671875</v>
      </c>
      <c r="E69" s="20">
        <f t="shared" si="9"/>
        <v>3726.3671875</v>
      </c>
      <c r="F69" s="43">
        <f t="shared" si="10"/>
        <v>3.2022404773669626E-2</v>
      </c>
      <c r="G69" s="20">
        <f t="shared" si="11"/>
        <v>1309.7163552430877</v>
      </c>
      <c r="H69" s="20">
        <v>3</v>
      </c>
      <c r="I69" s="20">
        <f t="shared" si="12"/>
        <v>371.09820000000002</v>
      </c>
      <c r="J69" s="20">
        <f t="shared" si="13"/>
        <v>1686.6129646180875</v>
      </c>
      <c r="K69" s="20">
        <f t="shared" si="14"/>
        <v>5085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6771.6129646180871</v>
      </c>
      <c r="S69" s="20"/>
      <c r="T69" s="20"/>
    </row>
    <row r="70" spans="1:21" ht="12.75" customHeight="1" x14ac:dyDescent="0.3">
      <c r="A70" s="21"/>
      <c r="B70" s="21" t="s">
        <v>87</v>
      </c>
      <c r="C70" s="22">
        <f t="shared" ref="C70:O70" si="16">SUM(C3:C69)</f>
        <v>116367.5</v>
      </c>
      <c r="D70" s="22">
        <f t="shared" si="16"/>
        <v>23.5</v>
      </c>
      <c r="E70" s="22">
        <f t="shared" si="16"/>
        <v>116367.5</v>
      </c>
      <c r="F70" s="44">
        <f t="shared" si="16"/>
        <v>0.99999999999999967</v>
      </c>
      <c r="G70" s="22">
        <f t="shared" si="16"/>
        <v>40900</v>
      </c>
      <c r="H70" s="22">
        <f t="shared" si="16"/>
        <v>223</v>
      </c>
      <c r="I70" s="22">
        <f t="shared" si="16"/>
        <v>27584.966200000028</v>
      </c>
      <c r="J70" s="22">
        <f t="shared" si="16"/>
        <v>68484.96620000001</v>
      </c>
      <c r="K70" s="22">
        <f t="shared" si="16"/>
        <v>325440</v>
      </c>
      <c r="L70" s="22">
        <f t="shared" si="16"/>
        <v>3000</v>
      </c>
      <c r="M70" s="22">
        <f t="shared" si="16"/>
        <v>500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406424.96619999991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A15" sqref="A15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>
        <v>6005</v>
      </c>
      <c r="D2" s="29" t="s">
        <v>5</v>
      </c>
      <c r="E2" s="26"/>
      <c r="F2" s="29"/>
      <c r="G2" s="26"/>
      <c r="H2" s="37"/>
      <c r="I2" s="26"/>
      <c r="J2" s="26"/>
      <c r="K2" s="26">
        <f t="shared" ref="K2:K33" si="0">SUM(C2,E2,G2,I2)</f>
        <v>6005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6">
        <v>6000</v>
      </c>
      <c r="D4" s="29" t="s">
        <v>8</v>
      </c>
      <c r="E4" s="22"/>
      <c r="F4" s="29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0">
        <v>16823</v>
      </c>
      <c r="D5" s="32" t="s">
        <v>10</v>
      </c>
      <c r="E5" s="25">
        <v>5666</v>
      </c>
      <c r="F5" s="32" t="s">
        <v>11</v>
      </c>
      <c r="G5" s="25"/>
      <c r="H5" s="38"/>
      <c r="I5" s="25"/>
      <c r="J5" s="25"/>
      <c r="K5" s="20">
        <f t="shared" si="0"/>
        <v>22489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>
        <v>5904.05</v>
      </c>
      <c r="D6" s="29" t="s">
        <v>13</v>
      </c>
      <c r="E6" s="26">
        <v>5355</v>
      </c>
      <c r="F6" s="29" t="s">
        <v>11</v>
      </c>
      <c r="G6" s="26"/>
      <c r="H6" s="37"/>
      <c r="I6" s="26"/>
      <c r="J6" s="26"/>
      <c r="K6" s="26">
        <f t="shared" si="0"/>
        <v>11259.05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>
        <v>6339.79</v>
      </c>
      <c r="D7" s="32" t="s">
        <v>15</v>
      </c>
      <c r="E7" s="25"/>
      <c r="F7" s="32"/>
      <c r="G7" s="25"/>
      <c r="H7" s="38"/>
      <c r="I7" s="25"/>
      <c r="J7" s="25"/>
      <c r="K7" s="25">
        <f t="shared" si="0"/>
        <v>6339.79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>
        <v>6179.33</v>
      </c>
      <c r="D8" s="29" t="s">
        <v>17</v>
      </c>
      <c r="E8" s="26"/>
      <c r="F8" s="29"/>
      <c r="G8" s="26"/>
      <c r="H8" s="37"/>
      <c r="I8" s="26"/>
      <c r="J8" s="26"/>
      <c r="K8" s="26">
        <f t="shared" si="0"/>
        <v>6179.33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0">
        <v>5903</v>
      </c>
      <c r="D9" s="32" t="s">
        <v>11</v>
      </c>
      <c r="E9" s="25"/>
      <c r="F9" s="32"/>
      <c r="G9" s="25"/>
      <c r="H9" s="38"/>
      <c r="I9" s="25"/>
      <c r="J9" s="25"/>
      <c r="K9" s="20">
        <f t="shared" si="0"/>
        <v>5903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0">
        <v>18604</v>
      </c>
      <c r="D11" s="32" t="s">
        <v>17</v>
      </c>
      <c r="E11" s="25"/>
      <c r="F11" s="32"/>
      <c r="G11" s="25"/>
      <c r="H11" s="38"/>
      <c r="I11" s="25"/>
      <c r="J11" s="25"/>
      <c r="K11" s="20">
        <f t="shared" si="0"/>
        <v>18604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0">
        <v>4714.75</v>
      </c>
      <c r="D13" s="32" t="s">
        <v>17</v>
      </c>
      <c r="E13" s="25"/>
      <c r="F13" s="32"/>
      <c r="G13" s="25"/>
      <c r="H13" s="38"/>
      <c r="I13" s="25"/>
      <c r="J13" s="25"/>
      <c r="K13" s="20">
        <f t="shared" si="0"/>
        <v>4714.75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>
        <v>5523.35</v>
      </c>
      <c r="D14" s="29" t="s">
        <v>24</v>
      </c>
      <c r="E14" s="26">
        <v>5860.72</v>
      </c>
      <c r="F14" s="29" t="s">
        <v>17</v>
      </c>
      <c r="G14" s="26"/>
      <c r="H14" s="37"/>
      <c r="I14" s="26"/>
      <c r="J14" s="26"/>
      <c r="K14" s="26">
        <f t="shared" si="0"/>
        <v>11384.07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0">
        <v>5600</v>
      </c>
      <c r="D15" s="32" t="s">
        <v>17</v>
      </c>
      <c r="E15" s="25"/>
      <c r="F15" s="32"/>
      <c r="G15" s="25"/>
      <c r="H15" s="38"/>
      <c r="I15" s="25"/>
      <c r="J15" s="25"/>
      <c r="K15" s="20">
        <f t="shared" si="0"/>
        <v>5600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>
        <v>6511</v>
      </c>
      <c r="D16" s="29" t="s">
        <v>27</v>
      </c>
      <c r="E16" s="26"/>
      <c r="F16" s="29"/>
      <c r="G16" s="26"/>
      <c r="H16" s="37"/>
      <c r="I16" s="26"/>
      <c r="J16" s="26"/>
      <c r="K16" s="26">
        <f t="shared" si="0"/>
        <v>6511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>
        <v>7247</v>
      </c>
      <c r="D17" s="32">
        <v>46213</v>
      </c>
      <c r="E17" s="25"/>
      <c r="F17" s="32"/>
      <c r="G17" s="25"/>
      <c r="H17" s="38"/>
      <c r="I17" s="25"/>
      <c r="J17" s="25"/>
      <c r="K17" s="25">
        <f t="shared" si="0"/>
        <v>7247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2">
        <v>7044</v>
      </c>
      <c r="D20" s="29" t="s">
        <v>32</v>
      </c>
      <c r="E20" s="26"/>
      <c r="F20" s="29"/>
      <c r="G20" s="26"/>
      <c r="H20" s="37"/>
      <c r="I20" s="26"/>
      <c r="J20" s="26"/>
      <c r="K20" s="22">
        <f t="shared" si="0"/>
        <v>7044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0">
        <v>7400</v>
      </c>
      <c r="D21" s="32" t="s">
        <v>17</v>
      </c>
      <c r="E21" s="25"/>
      <c r="F21" s="32"/>
      <c r="G21" s="25"/>
      <c r="H21" s="38"/>
      <c r="I21" s="25"/>
      <c r="J21" s="25"/>
      <c r="K21" s="20">
        <f t="shared" si="0"/>
        <v>7400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2">
        <v>29212.36</v>
      </c>
      <c r="D22" s="29" t="s">
        <v>17</v>
      </c>
      <c r="E22" s="26"/>
      <c r="F22" s="29"/>
      <c r="G22" s="26"/>
      <c r="H22" s="37"/>
      <c r="I22" s="26"/>
      <c r="J22" s="26"/>
      <c r="K22" s="22">
        <f t="shared" si="0"/>
        <v>29212.36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2">
        <v>5693</v>
      </c>
      <c r="D24" s="29" t="s">
        <v>37</v>
      </c>
      <c r="E24" s="26"/>
      <c r="F24" s="29"/>
      <c r="G24" s="26"/>
      <c r="H24" s="37"/>
      <c r="I24" s="26"/>
      <c r="J24" s="26"/>
      <c r="K24" s="22">
        <f t="shared" si="0"/>
        <v>5693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2">
        <v>6702</v>
      </c>
      <c r="D26" s="29" t="s">
        <v>40</v>
      </c>
      <c r="E26" s="26"/>
      <c r="F26" s="29"/>
      <c r="G26" s="26"/>
      <c r="H26" s="37"/>
      <c r="I26" s="26"/>
      <c r="J26" s="26"/>
      <c r="K26" s="22">
        <f t="shared" si="0"/>
        <v>6702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0">
        <v>5775</v>
      </c>
      <c r="D27" s="32" t="s">
        <v>17</v>
      </c>
      <c r="E27" s="25"/>
      <c r="F27" s="32"/>
      <c r="G27" s="25"/>
      <c r="H27" s="38"/>
      <c r="I27" s="25"/>
      <c r="J27" s="25"/>
      <c r="K27" s="20">
        <f t="shared" si="0"/>
        <v>5775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2">
        <v>5584</v>
      </c>
      <c r="D28" s="29" t="s">
        <v>43</v>
      </c>
      <c r="E28" s="26"/>
      <c r="F28" s="29"/>
      <c r="G28" s="26"/>
      <c r="H28" s="37"/>
      <c r="I28" s="26"/>
      <c r="J28" s="26"/>
      <c r="K28" s="22">
        <f t="shared" si="0"/>
        <v>5584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0">
        <v>6929</v>
      </c>
      <c r="D29" s="32" t="s">
        <v>10</v>
      </c>
      <c r="E29" s="25"/>
      <c r="F29" s="32"/>
      <c r="G29" s="25"/>
      <c r="H29" s="38"/>
      <c r="I29" s="25"/>
      <c r="J29" s="25"/>
      <c r="K29" s="20">
        <f t="shared" si="0"/>
        <v>6929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>
        <v>1062</v>
      </c>
      <c r="D30" s="29" t="s">
        <v>11</v>
      </c>
      <c r="E30" s="26"/>
      <c r="F30" s="29"/>
      <c r="G30" s="26"/>
      <c r="H30" s="37"/>
      <c r="I30" s="26"/>
      <c r="J30" s="26"/>
      <c r="K30" s="26">
        <f t="shared" si="0"/>
        <v>1062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>
        <v>7044.65</v>
      </c>
      <c r="D31" s="32" t="s">
        <v>13</v>
      </c>
      <c r="E31" s="25"/>
      <c r="F31" s="32"/>
      <c r="G31" s="25"/>
      <c r="H31" s="38"/>
      <c r="I31" s="25"/>
      <c r="J31" s="25"/>
      <c r="K31" s="25">
        <f t="shared" si="0"/>
        <v>7044.65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>
        <v>11443.06</v>
      </c>
      <c r="D33" s="32" t="s">
        <v>49</v>
      </c>
      <c r="E33" s="25"/>
      <c r="F33" s="32"/>
      <c r="G33" s="25"/>
      <c r="H33" s="38"/>
      <c r="I33" s="25"/>
      <c r="J33" s="25"/>
      <c r="K33" s="25">
        <f t="shared" si="0"/>
        <v>11443.06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2">
        <v>5470.93</v>
      </c>
      <c r="D34" s="29" t="s">
        <v>51</v>
      </c>
      <c r="E34" s="26"/>
      <c r="F34" s="29"/>
      <c r="G34" s="26"/>
      <c r="H34" s="37"/>
      <c r="I34" s="26"/>
      <c r="J34" s="26"/>
      <c r="K34" s="22">
        <f t="shared" ref="K34:K65" si="1">SUM(C34,E34,G34,I34)</f>
        <v>5470.93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>
        <v>13500</v>
      </c>
      <c r="D36" s="29" t="s">
        <v>17</v>
      </c>
      <c r="E36" s="26"/>
      <c r="F36" s="29"/>
      <c r="G36" s="26"/>
      <c r="H36" s="37"/>
      <c r="I36" s="26"/>
      <c r="J36" s="26"/>
      <c r="K36" s="26">
        <f t="shared" si="1"/>
        <v>13500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0">
        <v>5000</v>
      </c>
      <c r="D37" s="32" t="s">
        <v>8</v>
      </c>
      <c r="E37" s="25">
        <v>10000</v>
      </c>
      <c r="F37" s="32" t="s">
        <v>55</v>
      </c>
      <c r="G37" s="25">
        <v>21000</v>
      </c>
      <c r="H37" s="38" t="s">
        <v>55</v>
      </c>
      <c r="I37" s="25"/>
      <c r="J37" s="25"/>
      <c r="K37" s="20">
        <f t="shared" si="1"/>
        <v>36000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>
        <v>15506</v>
      </c>
      <c r="D39" s="32" t="s">
        <v>55</v>
      </c>
      <c r="E39" s="25"/>
      <c r="F39" s="32"/>
      <c r="G39" s="25"/>
      <c r="H39" s="38"/>
      <c r="I39" s="25"/>
      <c r="J39" s="25"/>
      <c r="K39" s="25">
        <f t="shared" si="1"/>
        <v>15506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2">
        <v>5941.27</v>
      </c>
      <c r="D40" s="29" t="s">
        <v>17</v>
      </c>
      <c r="E40" s="26"/>
      <c r="F40" s="29"/>
      <c r="G40" s="26"/>
      <c r="H40" s="37"/>
      <c r="I40" s="26"/>
      <c r="J40" s="26"/>
      <c r="K40" s="22">
        <f t="shared" si="1"/>
        <v>5941.27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2">
        <v>7663.64</v>
      </c>
      <c r="D42" s="29" t="s">
        <v>51</v>
      </c>
      <c r="E42" s="26"/>
      <c r="F42" s="29"/>
      <c r="G42" s="26"/>
      <c r="H42" s="37"/>
      <c r="I42" s="26"/>
      <c r="J42" s="26"/>
      <c r="K42" s="22">
        <f t="shared" si="1"/>
        <v>7663.64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>
        <v>5734</v>
      </c>
      <c r="D44" s="29" t="s">
        <v>17</v>
      </c>
      <c r="E44" s="26"/>
      <c r="F44" s="29"/>
      <c r="G44" s="26"/>
      <c r="H44" s="37"/>
      <c r="I44" s="26"/>
      <c r="J44" s="26"/>
      <c r="K44" s="26">
        <f t="shared" si="1"/>
        <v>5734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>
        <v>5391.53</v>
      </c>
      <c r="D46" s="29" t="s">
        <v>24</v>
      </c>
      <c r="E46" s="26">
        <v>5547.76</v>
      </c>
      <c r="F46" s="29" t="s">
        <v>17</v>
      </c>
      <c r="G46" s="26"/>
      <c r="H46" s="37"/>
      <c r="I46" s="26"/>
      <c r="J46" s="26"/>
      <c r="K46" s="26">
        <f t="shared" si="1"/>
        <v>10939.29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2">
        <v>7526</v>
      </c>
      <c r="D48" s="29" t="s">
        <v>17</v>
      </c>
      <c r="E48" s="26"/>
      <c r="F48" s="29"/>
      <c r="G48" s="26"/>
      <c r="H48" s="37"/>
      <c r="I48" s="26"/>
      <c r="J48" s="26"/>
      <c r="K48" s="22">
        <f t="shared" si="1"/>
        <v>7526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>
        <v>3062</v>
      </c>
      <c r="D49" s="32" t="s">
        <v>43</v>
      </c>
      <c r="E49" s="25"/>
      <c r="F49" s="32"/>
      <c r="G49" s="25"/>
      <c r="H49" s="38"/>
      <c r="I49" s="25"/>
      <c r="J49" s="25"/>
      <c r="K49" s="25">
        <f t="shared" si="1"/>
        <v>3062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>
        <v>7640</v>
      </c>
      <c r="D50" s="29" t="s">
        <v>17</v>
      </c>
      <c r="E50" s="26"/>
      <c r="F50" s="29"/>
      <c r="G50" s="26"/>
      <c r="H50" s="37"/>
      <c r="I50" s="26"/>
      <c r="J50" s="26"/>
      <c r="K50" s="26">
        <f t="shared" si="1"/>
        <v>7640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0">
        <v>19898.43</v>
      </c>
      <c r="D51" s="32" t="s">
        <v>13</v>
      </c>
      <c r="E51" s="25"/>
      <c r="F51" s="32"/>
      <c r="G51" s="25"/>
      <c r="H51" s="38"/>
      <c r="I51" s="25"/>
      <c r="J51" s="25"/>
      <c r="K51" s="20">
        <f t="shared" si="1"/>
        <v>19898.43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2">
        <v>6472</v>
      </c>
      <c r="D52" s="29" t="s">
        <v>32</v>
      </c>
      <c r="E52" s="26"/>
      <c r="F52" s="29"/>
      <c r="G52" s="26"/>
      <c r="H52" s="37"/>
      <c r="I52" s="26"/>
      <c r="J52" s="26"/>
      <c r="K52" s="22">
        <f t="shared" si="1"/>
        <v>6472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0">
        <v>5589.52</v>
      </c>
      <c r="D53" s="32" t="s">
        <v>72</v>
      </c>
      <c r="E53" s="25"/>
      <c r="F53" s="32"/>
      <c r="G53" s="25"/>
      <c r="H53" s="38"/>
      <c r="I53" s="25"/>
      <c r="J53" s="25"/>
      <c r="K53" s="20">
        <f t="shared" si="1"/>
        <v>5589.52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>
        <v>5455.63</v>
      </c>
      <c r="D58" s="29" t="s">
        <v>78</v>
      </c>
      <c r="E58" s="26"/>
      <c r="F58" s="29"/>
      <c r="G58" s="26"/>
      <c r="H58" s="37"/>
      <c r="I58" s="26"/>
      <c r="J58" s="26"/>
      <c r="K58" s="26">
        <f t="shared" si="1"/>
        <v>5455.63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0">
        <v>2664</v>
      </c>
      <c r="D59" s="32" t="s">
        <v>17</v>
      </c>
      <c r="E59" s="25"/>
      <c r="F59" s="32"/>
      <c r="G59" s="25"/>
      <c r="H59" s="38"/>
      <c r="I59" s="25"/>
      <c r="J59" s="25"/>
      <c r="K59" s="20">
        <f t="shared" si="1"/>
        <v>2664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2">
        <v>6112</v>
      </c>
      <c r="D60" s="29" t="s">
        <v>17</v>
      </c>
      <c r="E60" s="26"/>
      <c r="F60" s="29"/>
      <c r="G60" s="26"/>
      <c r="H60" s="37"/>
      <c r="I60" s="26"/>
      <c r="J60" s="26"/>
      <c r="K60" s="22">
        <f t="shared" si="1"/>
        <v>6112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0">
        <v>5659.39</v>
      </c>
      <c r="D61" s="32" t="s">
        <v>43</v>
      </c>
      <c r="E61" s="25"/>
      <c r="F61" s="32"/>
      <c r="G61" s="25"/>
      <c r="H61" s="38"/>
      <c r="I61" s="25"/>
      <c r="J61" s="25"/>
      <c r="K61" s="20">
        <f t="shared" si="1"/>
        <v>5659.39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6">
        <v>12000</v>
      </c>
      <c r="D62" s="28" t="s">
        <v>83</v>
      </c>
      <c r="E62" s="26"/>
      <c r="F62" s="29"/>
      <c r="G62" s="26"/>
      <c r="H62" s="37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0">
        <v>2530</v>
      </c>
      <c r="D63" s="32" t="s">
        <v>13</v>
      </c>
      <c r="E63" s="25">
        <v>3743</v>
      </c>
      <c r="F63" s="32" t="s">
        <v>49</v>
      </c>
      <c r="G63" s="25"/>
      <c r="H63" s="38"/>
      <c r="I63" s="25"/>
      <c r="J63" s="25"/>
      <c r="K63" s="20">
        <f t="shared" si="1"/>
        <v>6273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401232.16000000003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0"/>
  <sheetViews>
    <sheetView tabSelected="1" topLeftCell="N1" workbookViewId="0">
      <pane ySplit="2" topLeftCell="A4" activePane="bottomLeft" state="frozen"/>
      <selection pane="bottomLeft" activeCell="V30" sqref="V30"/>
    </sheetView>
  </sheetViews>
  <sheetFormatPr defaultColWidth="14.44140625" defaultRowHeight="15" customHeight="1" x14ac:dyDescent="0.3"/>
  <cols>
    <col min="1" max="1" width="7.6640625" customWidth="1"/>
    <col min="2" max="2" width="50.6640625" customWidth="1"/>
    <col min="3" max="18" width="19.44140625" customWidth="1"/>
    <col min="19" max="19" width="53.6640625" customWidth="1"/>
    <col min="20" max="20" width="15.109375" customWidth="1"/>
  </cols>
  <sheetData>
    <row r="1" spans="1:21" ht="16.5" customHeight="1" x14ac:dyDescent="0.3">
      <c r="A1" s="47"/>
      <c r="B1" s="90" t="s">
        <v>356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21" ht="58.5" customHeight="1" x14ac:dyDescent="0.3">
      <c r="A2" s="18" t="s">
        <v>0</v>
      </c>
      <c r="B2" s="18">
        <v>0</v>
      </c>
      <c r="C2" s="18" t="s">
        <v>240</v>
      </c>
      <c r="D2" s="18" t="s">
        <v>295</v>
      </c>
      <c r="E2" s="18" t="s">
        <v>296</v>
      </c>
      <c r="F2" s="18" t="s">
        <v>297</v>
      </c>
      <c r="G2" s="18" t="s">
        <v>244</v>
      </c>
      <c r="H2" s="18" t="s">
        <v>245</v>
      </c>
      <c r="I2" s="18" t="s">
        <v>298</v>
      </c>
      <c r="J2" s="18" t="s">
        <v>357</v>
      </c>
      <c r="K2" s="18" t="s">
        <v>300</v>
      </c>
      <c r="L2" s="18" t="s">
        <v>301</v>
      </c>
      <c r="M2" s="18" t="s">
        <v>302</v>
      </c>
      <c r="N2" s="18" t="s">
        <v>303</v>
      </c>
      <c r="O2" s="18" t="s">
        <v>304</v>
      </c>
      <c r="P2" s="18" t="s">
        <v>255</v>
      </c>
      <c r="Q2" s="18"/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/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/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'ANNUAL-EXPENSE-DETAILS'!V7</f>
        <v>0</v>
      </c>
    </row>
    <row r="5" spans="1:21" ht="12.75" customHeight="1" x14ac:dyDescent="0.3">
      <c r="A5" s="19" t="s">
        <v>262</v>
      </c>
      <c r="B5" s="19" t="s">
        <v>259</v>
      </c>
      <c r="C5" s="20"/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'ANNUAL-EXPENSE-DETAILS'!U7</f>
        <v>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4130.333333333333</v>
      </c>
      <c r="D6" s="22">
        <f t="shared" ref="D6:D37" si="0">SUM($C$3:$C$5)/64</f>
        <v>0</v>
      </c>
      <c r="E6" s="22">
        <f t="shared" ref="E6:E37" si="1">C6+D6</f>
        <v>4130.333333333333</v>
      </c>
      <c r="F6" s="22">
        <f t="shared" ref="F6:F37" si="2">IF($C$70=0, 0, E6/$C$70)</f>
        <v>9.3708004014220695E-3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10069.333333333334</v>
      </c>
      <c r="D7" s="20">
        <f t="shared" si="0"/>
        <v>0</v>
      </c>
      <c r="E7" s="20">
        <f t="shared" si="1"/>
        <v>10069.333333333334</v>
      </c>
      <c r="F7" s="20">
        <f t="shared" si="2"/>
        <v>2.2845060005339191E-2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307</v>
      </c>
      <c r="T7" s="80">
        <f>(104.83+0.18*104.83)</f>
        <v>123.6994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10114.666666666666</v>
      </c>
      <c r="D8" s="22">
        <f t="shared" si="0"/>
        <v>0</v>
      </c>
      <c r="E8" s="22">
        <f t="shared" si="1"/>
        <v>10114.666666666666</v>
      </c>
      <c r="F8" s="22">
        <f t="shared" si="2"/>
        <v>2.2947911175914073E-2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308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4703.5</v>
      </c>
      <c r="D9" s="20">
        <f t="shared" si="0"/>
        <v>0</v>
      </c>
      <c r="E9" s="20">
        <f t="shared" si="1"/>
        <v>4703.5</v>
      </c>
      <c r="F9" s="20">
        <f t="shared" si="2"/>
        <v>1.0671187076447916E-2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309</v>
      </c>
      <c r="T9" s="20">
        <f>T8/64</f>
        <v>5.7984093750000003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3808.8333333333335</v>
      </c>
      <c r="D10" s="22">
        <f t="shared" si="0"/>
        <v>0</v>
      </c>
      <c r="E10" s="22">
        <f t="shared" si="1"/>
        <v>3808.8333333333335</v>
      </c>
      <c r="F10" s="22">
        <f t="shared" si="2"/>
        <v>8.6413889748082721E-3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6861.166666666667</v>
      </c>
      <c r="D11" s="20">
        <f t="shared" si="0"/>
        <v>0</v>
      </c>
      <c r="E11" s="20">
        <f t="shared" si="1"/>
        <v>6861.166666666667</v>
      </c>
      <c r="F11" s="20">
        <f t="shared" si="2"/>
        <v>1.5566449040648148E-2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261</v>
      </c>
      <c r="T11" s="20">
        <f>'ANNUAL-EXPENSE-DETAILS'!V7</f>
        <v>0</v>
      </c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40.666666666666664</v>
      </c>
      <c r="D12" s="22">
        <f t="shared" si="0"/>
        <v>0</v>
      </c>
      <c r="E12" s="22">
        <f t="shared" si="1"/>
        <v>40.666666666666664</v>
      </c>
      <c r="F12" s="22">
        <f t="shared" si="2"/>
        <v>9.2263550074529296E-5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2771.5</v>
      </c>
      <c r="D13" s="20">
        <f t="shared" si="0"/>
        <v>0</v>
      </c>
      <c r="E13" s="20">
        <f t="shared" si="1"/>
        <v>2771.5</v>
      </c>
      <c r="F13" s="20">
        <f t="shared" si="2"/>
        <v>6.2879121893006052E-3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358</v>
      </c>
      <c r="T13" s="20"/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2027.6666666666667</v>
      </c>
      <c r="D14" s="22">
        <f t="shared" si="0"/>
        <v>0</v>
      </c>
      <c r="E14" s="22">
        <f t="shared" si="1"/>
        <v>2027.6666666666667</v>
      </c>
      <c r="F14" s="22">
        <f t="shared" si="2"/>
        <v>4.6003211074046044E-3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 t="s">
        <v>268</v>
      </c>
      <c r="T14" s="22"/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10311.5</v>
      </c>
      <c r="D15" s="20">
        <f t="shared" si="0"/>
        <v>0</v>
      </c>
      <c r="E15" s="20">
        <f t="shared" si="1"/>
        <v>10311.5</v>
      </c>
      <c r="F15" s="20">
        <f t="shared" si="2"/>
        <v>2.3394481883446939E-2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269</v>
      </c>
      <c r="T15" s="20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891.16666666666663</v>
      </c>
      <c r="D16" s="22">
        <f t="shared" si="0"/>
        <v>0</v>
      </c>
      <c r="E16" s="22">
        <f t="shared" si="1"/>
        <v>891.16666666666663</v>
      </c>
      <c r="F16" s="22">
        <f t="shared" si="2"/>
        <v>2.0218573862643779E-3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270</v>
      </c>
      <c r="T16" s="22">
        <f>T14-T15</f>
        <v>0</v>
      </c>
    </row>
    <row r="17" spans="1:20" ht="12.75" customHeight="1" x14ac:dyDescent="0.3">
      <c r="A17" s="19" t="s">
        <v>22</v>
      </c>
      <c r="B17" s="19" t="str">
        <f>VLOOKUP(A17,Members!$A$2:$B$65,2,FALSE)</f>
        <v>Kavitha T</v>
      </c>
      <c r="C17" s="20">
        <v>2416.5</v>
      </c>
      <c r="D17" s="20">
        <f t="shared" si="0"/>
        <v>0</v>
      </c>
      <c r="E17" s="20">
        <f t="shared" si="1"/>
        <v>2416.5</v>
      </c>
      <c r="F17" s="20">
        <f t="shared" si="2"/>
        <v>5.4824967726663952E-3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272</v>
      </c>
      <c r="T17" s="20">
        <f>T13-T16</f>
        <v>0</v>
      </c>
    </row>
    <row r="18" spans="1:20" ht="12.75" customHeight="1" x14ac:dyDescent="0.3">
      <c r="A18" s="21" t="s">
        <v>23</v>
      </c>
      <c r="B18" s="21" t="str">
        <f>VLOOKUP(A18,Members!$A$2:$B$65,2,FALSE)</f>
        <v>Srinivasa Rao</v>
      </c>
      <c r="C18" s="22">
        <v>2238.1666666666665</v>
      </c>
      <c r="D18" s="22">
        <f t="shared" si="0"/>
        <v>0</v>
      </c>
      <c r="E18" s="22">
        <f t="shared" si="1"/>
        <v>2238.1666666666665</v>
      </c>
      <c r="F18" s="22">
        <f t="shared" si="2"/>
        <v>5.0778984178313684E-3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1000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3">
      <c r="A19" s="19" t="s">
        <v>25</v>
      </c>
      <c r="B19" s="19" t="str">
        <f>VLOOKUP(A19,Members!$A$2:$B$65,2,FALSE)</f>
        <v>Hemant Patel</v>
      </c>
      <c r="C19" s="20">
        <v>2050.5</v>
      </c>
      <c r="D19" s="20">
        <f t="shared" si="0"/>
        <v>0</v>
      </c>
      <c r="E19" s="20">
        <f t="shared" si="1"/>
        <v>2050.5</v>
      </c>
      <c r="F19" s="20">
        <f t="shared" si="2"/>
        <v>4.652124821995631E-3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4216.166666666667</v>
      </c>
      <c r="D20" s="22">
        <f t="shared" si="0"/>
        <v>0</v>
      </c>
      <c r="E20" s="22">
        <f t="shared" si="1"/>
        <v>4216.166666666667</v>
      </c>
      <c r="F20" s="22">
        <f t="shared" si="2"/>
        <v>9.5655369927679021E-3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359</v>
      </c>
      <c r="T20" s="22">
        <f>I70</f>
        <v>27584.966200000028</v>
      </c>
    </row>
    <row r="21" spans="1:20" ht="12.75" customHeight="1" x14ac:dyDescent="0.3">
      <c r="A21" s="19" t="s">
        <v>28</v>
      </c>
      <c r="B21" s="19" t="str">
        <f>VLOOKUP(A21,Members!$A$2:$B$65,2,FALSE)</f>
        <v>Sreeja Sudharma</v>
      </c>
      <c r="C21" s="20">
        <v>14541.5</v>
      </c>
      <c r="D21" s="20">
        <f t="shared" si="0"/>
        <v>0</v>
      </c>
      <c r="E21" s="20">
        <f t="shared" si="1"/>
        <v>14541.5</v>
      </c>
      <c r="F21" s="20">
        <f t="shared" si="2"/>
        <v>3.2991403608412323E-2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29</v>
      </c>
      <c r="B22" s="21" t="str">
        <f>VLOOKUP(A22,Members!$A$2:$B$65,2,FALSE)</f>
        <v>Digvijay Verma</v>
      </c>
      <c r="C22" s="22">
        <v>10155.833333333334</v>
      </c>
      <c r="D22" s="22">
        <f t="shared" si="0"/>
        <v>0</v>
      </c>
      <c r="E22" s="22">
        <f t="shared" si="1"/>
        <v>10155.833333333334</v>
      </c>
      <c r="F22" s="22">
        <f t="shared" si="2"/>
        <v>2.3041309113899358E-2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16303.333333333334</v>
      </c>
      <c r="D23" s="20">
        <f t="shared" si="0"/>
        <v>0</v>
      </c>
      <c r="E23" s="20">
        <f t="shared" si="1"/>
        <v>16303.333333333334</v>
      </c>
      <c r="F23" s="20">
        <f t="shared" si="2"/>
        <v>3.6988608476600231E-2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31</v>
      </c>
      <c r="B24" s="21" t="str">
        <f>VLOOKUP(A24,Members!$A$2:$B$65,2,FALSE)</f>
        <v>Balakrishnan</v>
      </c>
      <c r="C24" s="22">
        <v>11388.5</v>
      </c>
      <c r="D24" s="22">
        <f t="shared" si="0"/>
        <v>0</v>
      </c>
      <c r="E24" s="22">
        <f t="shared" si="1"/>
        <v>11388.5</v>
      </c>
      <c r="F24" s="22">
        <f t="shared" si="2"/>
        <v>2.5837953443207631E-2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33</v>
      </c>
      <c r="B25" s="19" t="str">
        <f>VLOOKUP(A25,Members!$A$2:$B$65,2,FALSE)</f>
        <v>Ashwin Pandith</v>
      </c>
      <c r="C25" s="20">
        <v>19748.833333333332</v>
      </c>
      <c r="D25" s="20">
        <f t="shared" si="0"/>
        <v>0</v>
      </c>
      <c r="E25" s="20">
        <f t="shared" si="1"/>
        <v>19748.833333333332</v>
      </c>
      <c r="F25" s="20">
        <f t="shared" si="2"/>
        <v>4.4805675569595083E-2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10135.833333333334</v>
      </c>
      <c r="D26" s="22">
        <f t="shared" si="0"/>
        <v>0</v>
      </c>
      <c r="E26" s="22">
        <f t="shared" si="1"/>
        <v>10135.833333333334</v>
      </c>
      <c r="F26" s="22">
        <f t="shared" si="2"/>
        <v>2.2995933597469261E-2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35</v>
      </c>
      <c r="B27" s="19" t="str">
        <f>VLOOKUP(A27,Members!$A$2:$B$65,2,FALSE)</f>
        <v>Srinath</v>
      </c>
      <c r="C27" s="20">
        <v>6015.333333333333</v>
      </c>
      <c r="D27" s="20">
        <f t="shared" si="0"/>
        <v>0</v>
      </c>
      <c r="E27" s="20">
        <f t="shared" si="1"/>
        <v>6015.333333333333</v>
      </c>
      <c r="F27" s="20">
        <f t="shared" si="2"/>
        <v>1.3647442824958653E-2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3454.3333333333335</v>
      </c>
      <c r="D28" s="22">
        <f t="shared" si="0"/>
        <v>0</v>
      </c>
      <c r="E28" s="22">
        <f t="shared" si="1"/>
        <v>3454.3333333333335</v>
      </c>
      <c r="F28" s="22">
        <f t="shared" si="2"/>
        <v>7.8371079460848123E-3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38</v>
      </c>
      <c r="B29" s="19" t="str">
        <f>VLOOKUP(A29,Members!$A$2:$B$65,2,FALSE)</f>
        <v>Arun M</v>
      </c>
      <c r="C29" s="20">
        <v>5298.666666666667</v>
      </c>
      <c r="D29" s="20">
        <f t="shared" si="0"/>
        <v>0</v>
      </c>
      <c r="E29" s="20">
        <f t="shared" si="1"/>
        <v>5298.666666666667</v>
      </c>
      <c r="F29" s="20">
        <f t="shared" si="2"/>
        <v>1.2021486819546867E-2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39</v>
      </c>
      <c r="B30" s="21" t="str">
        <f>VLOOKUP(A30,Members!$A$2:$B$65,2,FALSE)</f>
        <v>Ankur Agarwal</v>
      </c>
      <c r="C30" s="22">
        <v>8756.8333333333339</v>
      </c>
      <c r="D30" s="22">
        <f t="shared" si="0"/>
        <v>0</v>
      </c>
      <c r="E30" s="22">
        <f t="shared" si="1"/>
        <v>8756.8333333333339</v>
      </c>
      <c r="F30" s="22">
        <f t="shared" si="2"/>
        <v>1.9867291739614115E-2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500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41</v>
      </c>
      <c r="B31" s="19" t="str">
        <f>VLOOKUP(A31,Members!$A$2:$B$65,2,FALSE)</f>
        <v>Richa Singh</v>
      </c>
      <c r="C31" s="20">
        <v>2586.5</v>
      </c>
      <c r="D31" s="20">
        <f t="shared" si="0"/>
        <v>0</v>
      </c>
      <c r="E31" s="20">
        <f t="shared" si="1"/>
        <v>2586.5</v>
      </c>
      <c r="F31" s="20">
        <f t="shared" si="2"/>
        <v>5.8681886623222143E-3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1332.8333333333333</v>
      </c>
      <c r="D32" s="22">
        <f t="shared" si="0"/>
        <v>0</v>
      </c>
      <c r="E32" s="22">
        <f t="shared" si="1"/>
        <v>1332.8333333333333</v>
      </c>
      <c r="F32" s="22">
        <f t="shared" si="2"/>
        <v>3.0239000407623392E-3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44</v>
      </c>
      <c r="B33" s="19" t="str">
        <f>VLOOKUP(A33,Members!$A$2:$B$65,2,FALSE)</f>
        <v>Shyam Nair</v>
      </c>
      <c r="C33" s="20">
        <v>11164.666666666666</v>
      </c>
      <c r="D33" s="20">
        <f t="shared" si="0"/>
        <v>0</v>
      </c>
      <c r="E33" s="20">
        <f t="shared" si="1"/>
        <v>11164.666666666666</v>
      </c>
      <c r="F33" s="20">
        <f t="shared" si="2"/>
        <v>2.5330125788494133E-2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45</v>
      </c>
      <c r="B34" s="21" t="str">
        <f>VLOOKUP(A34,Members!$A$2:$B$65,2,FALSE)</f>
        <v>Ajai.B</v>
      </c>
      <c r="C34" s="22">
        <v>5123.333333333333</v>
      </c>
      <c r="D34" s="22">
        <f t="shared" si="0"/>
        <v>0</v>
      </c>
      <c r="E34" s="22">
        <f t="shared" si="1"/>
        <v>5123.333333333333</v>
      </c>
      <c r="F34" s="22">
        <f t="shared" si="2"/>
        <v>1.1623694792176354E-2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46</v>
      </c>
      <c r="B35" s="19" t="str">
        <f>VLOOKUP(A35,Members!$A$2:$B$65,2,FALSE)</f>
        <v>Surajit Borah</v>
      </c>
      <c r="C35" s="20">
        <v>11262</v>
      </c>
      <c r="D35" s="20">
        <f t="shared" si="0"/>
        <v>0</v>
      </c>
      <c r="E35" s="20">
        <f t="shared" si="1"/>
        <v>11262</v>
      </c>
      <c r="F35" s="20">
        <f t="shared" si="2"/>
        <v>2.555095330178727E-2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2441.3333333333335</v>
      </c>
      <c r="D36" s="22">
        <f t="shared" si="0"/>
        <v>0</v>
      </c>
      <c r="E36" s="22">
        <f t="shared" si="1"/>
        <v>2441.3333333333335</v>
      </c>
      <c r="F36" s="22">
        <f t="shared" si="2"/>
        <v>5.5388380389004314E-3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48</v>
      </c>
      <c r="B37" s="19" t="str">
        <f>VLOOKUP(A37,Members!$A$2:$B$65,2,FALSE)</f>
        <v>Praveen Ganesan</v>
      </c>
      <c r="C37" s="20">
        <v>3596.5</v>
      </c>
      <c r="D37" s="20">
        <f t="shared" si="0"/>
        <v>0</v>
      </c>
      <c r="E37" s="20">
        <f t="shared" si="1"/>
        <v>3596.5</v>
      </c>
      <c r="F37" s="20">
        <f t="shared" si="2"/>
        <v>8.1596522420420807E-3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50</v>
      </c>
      <c r="B38" s="21" t="str">
        <f>VLOOKUP(A38,Members!$A$2:$B$65,2,FALSE)</f>
        <v>S.N.Behera</v>
      </c>
      <c r="C38" s="22">
        <v>835.83333333333337</v>
      </c>
      <c r="D38" s="22">
        <f t="shared" ref="D38:D69" si="8">SUM($C$3:$C$5)/64</f>
        <v>0</v>
      </c>
      <c r="E38" s="22">
        <f t="shared" ref="E38:E69" si="9">C38+D38</f>
        <v>835.83333333333337</v>
      </c>
      <c r="F38" s="22">
        <f t="shared" ref="F38:F69" si="10">IF($C$70=0, 0, E38/$C$70)</f>
        <v>1.8963184574744445E-3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52</v>
      </c>
      <c r="B39" s="19" t="str">
        <f>VLOOKUP(A39,Members!$A$2:$B$65,2,FALSE)</f>
        <v>Sonal Singh</v>
      </c>
      <c r="C39" s="20">
        <v>26229.333333333332</v>
      </c>
      <c r="D39" s="20">
        <f t="shared" si="8"/>
        <v>0</v>
      </c>
      <c r="E39" s="20">
        <f t="shared" si="9"/>
        <v>26229.333333333332</v>
      </c>
      <c r="F39" s="20">
        <f t="shared" si="10"/>
        <v>5.9508477280857064E-2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53</v>
      </c>
      <c r="B40" s="21" t="str">
        <f>VLOOKUP(A40,Members!$A$2:$B$65,2,FALSE)</f>
        <v>Manikandan N</v>
      </c>
      <c r="C40" s="22">
        <v>9114.1666666666661</v>
      </c>
      <c r="D40" s="22">
        <f t="shared" si="8"/>
        <v>0</v>
      </c>
      <c r="E40" s="22">
        <f t="shared" si="9"/>
        <v>9114.1666666666661</v>
      </c>
      <c r="F40" s="22">
        <f t="shared" si="10"/>
        <v>2.0678000966498501E-2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54</v>
      </c>
      <c r="B41" s="19" t="str">
        <f>VLOOKUP(A41,Members!$A$2:$B$65,2,FALSE)</f>
        <v>Swami</v>
      </c>
      <c r="C41" s="20">
        <v>9546.5</v>
      </c>
      <c r="D41" s="20">
        <f t="shared" si="8"/>
        <v>0</v>
      </c>
      <c r="E41" s="20">
        <f t="shared" si="9"/>
        <v>9546.5</v>
      </c>
      <c r="F41" s="20">
        <f t="shared" si="10"/>
        <v>2.1658868379995755E-2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1773.3333333333333</v>
      </c>
      <c r="D42" s="22">
        <f t="shared" si="8"/>
        <v>0</v>
      </c>
      <c r="E42" s="22">
        <f t="shared" si="9"/>
        <v>1773.3333333333333</v>
      </c>
      <c r="F42" s="22">
        <f t="shared" si="10"/>
        <v>4.0232957901352121E-3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57</v>
      </c>
      <c r="B43" s="19" t="str">
        <f>VLOOKUP(A43,Members!$A$2:$B$65,2,FALSE)</f>
        <v>Vivek Dhingra</v>
      </c>
      <c r="C43" s="20">
        <v>993.83333333333337</v>
      </c>
      <c r="D43" s="20">
        <f t="shared" si="8"/>
        <v>0</v>
      </c>
      <c r="E43" s="20">
        <f t="shared" si="9"/>
        <v>993.83333333333337</v>
      </c>
      <c r="F43" s="20">
        <f t="shared" si="10"/>
        <v>2.2547850372722058E-3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58</v>
      </c>
      <c r="B44" s="21" t="str">
        <f>VLOOKUP(A44,Members!$A$2:$B$65,2,FALSE)</f>
        <v>Harish B</v>
      </c>
      <c r="C44" s="22">
        <v>4189</v>
      </c>
      <c r="D44" s="22">
        <f t="shared" si="8"/>
        <v>0</v>
      </c>
      <c r="E44" s="22">
        <f t="shared" si="9"/>
        <v>4189</v>
      </c>
      <c r="F44" s="22">
        <f t="shared" si="10"/>
        <v>9.5039019162836864E-3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9518</v>
      </c>
      <c r="D45" s="20">
        <f t="shared" si="8"/>
        <v>0</v>
      </c>
      <c r="E45" s="20">
        <f t="shared" si="9"/>
        <v>9518</v>
      </c>
      <c r="F45" s="20">
        <f t="shared" si="10"/>
        <v>2.1594208269082867E-2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60</v>
      </c>
      <c r="B46" s="21" t="str">
        <f>VLOOKUP(A46,Members!$A$2:$B$65,2,FALSE)</f>
        <v>Pawan GS</v>
      </c>
      <c r="C46" s="22">
        <v>9313.1666666666661</v>
      </c>
      <c r="D46" s="22">
        <f t="shared" si="8"/>
        <v>0</v>
      </c>
      <c r="E46" s="22">
        <f t="shared" si="9"/>
        <v>9313.1666666666661</v>
      </c>
      <c r="F46" s="22">
        <f t="shared" si="10"/>
        <v>2.1129487354977963E-2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61</v>
      </c>
      <c r="B47" s="19" t="str">
        <f>VLOOKUP(A47,Members!$A$2:$B$65,2,FALSE)</f>
        <v>Mayfy</v>
      </c>
      <c r="C47" s="20">
        <v>688.5</v>
      </c>
      <c r="D47" s="20">
        <f t="shared" si="8"/>
        <v>0</v>
      </c>
      <c r="E47" s="20">
        <f t="shared" si="9"/>
        <v>688.5</v>
      </c>
      <c r="F47" s="20">
        <f t="shared" si="10"/>
        <v>1.5620521531060677E-3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62</v>
      </c>
      <c r="B48" s="21" t="str">
        <f>VLOOKUP(A48,Members!$A$2:$B$65,2,FALSE)</f>
        <v>Gowrish Patnaik</v>
      </c>
      <c r="C48" s="22">
        <v>3673.8333333333335</v>
      </c>
      <c r="D48" s="22">
        <f t="shared" si="8"/>
        <v>0</v>
      </c>
      <c r="E48" s="22">
        <f t="shared" si="9"/>
        <v>3673.8333333333335</v>
      </c>
      <c r="F48" s="22">
        <f t="shared" si="10"/>
        <v>8.3351042389051208E-3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63</v>
      </c>
      <c r="B49" s="19" t="str">
        <f>VLOOKUP(A49,Members!$A$2:$B$65,2,FALSE)</f>
        <v>Saovik Mondal</v>
      </c>
      <c r="C49" s="20">
        <v>4282.5</v>
      </c>
      <c r="D49" s="20">
        <f t="shared" si="8"/>
        <v>0</v>
      </c>
      <c r="E49" s="20">
        <f t="shared" si="9"/>
        <v>4282.5</v>
      </c>
      <c r="F49" s="20">
        <f t="shared" si="10"/>
        <v>9.7160324555943863E-3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64</v>
      </c>
      <c r="B50" s="21" t="str">
        <f>VLOOKUP(A50,Members!$A$2:$B$65,2,FALSE)</f>
        <v>Srinivasa Rao</v>
      </c>
      <c r="C50" s="22">
        <v>12.833333333333334</v>
      </c>
      <c r="D50" s="22">
        <f t="shared" si="8"/>
        <v>0</v>
      </c>
      <c r="E50" s="22">
        <f t="shared" si="9"/>
        <v>12.833333333333334</v>
      </c>
      <c r="F50" s="22">
        <f t="shared" si="10"/>
        <v>2.9115956375978511E-5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1000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6254.333333333333</v>
      </c>
      <c r="D51" s="20">
        <f t="shared" si="8"/>
        <v>0</v>
      </c>
      <c r="E51" s="20">
        <f t="shared" si="9"/>
        <v>6254.333333333333</v>
      </c>
      <c r="F51" s="20">
        <f t="shared" si="10"/>
        <v>1.4189680246298304E-2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66</v>
      </c>
      <c r="B52" s="21" t="str">
        <f>VLOOKUP(A52,Members!$A$2:$B$65,2,FALSE)</f>
        <v>Manas Dasgupta</v>
      </c>
      <c r="C52" s="22">
        <v>15051.833333333334</v>
      </c>
      <c r="D52" s="22">
        <f t="shared" si="8"/>
        <v>0</v>
      </c>
      <c r="E52" s="22">
        <f t="shared" si="9"/>
        <v>15051.833333333334</v>
      </c>
      <c r="F52" s="22">
        <f t="shared" si="10"/>
        <v>3.4149235535986949E-2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2954.8333333333335</v>
      </c>
      <c r="D53" s="20">
        <f t="shared" si="8"/>
        <v>0</v>
      </c>
      <c r="E53" s="20">
        <f t="shared" si="9"/>
        <v>2954.8333333333335</v>
      </c>
      <c r="F53" s="20">
        <f t="shared" si="10"/>
        <v>6.7038544232431562E-3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68</v>
      </c>
      <c r="B54" s="21" t="str">
        <f>VLOOKUP(A54,Members!$A$2:$B$65,2,FALSE)</f>
        <v>Prashant Sikdar</v>
      </c>
      <c r="C54" s="22">
        <v>15912.833333333334</v>
      </c>
      <c r="D54" s="22">
        <f t="shared" si="8"/>
        <v>0</v>
      </c>
      <c r="E54" s="22">
        <f t="shared" si="9"/>
        <v>15912.833333333334</v>
      </c>
      <c r="F54" s="22">
        <f t="shared" si="10"/>
        <v>3.6102651518302602E-2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69</v>
      </c>
      <c r="B55" s="19" t="str">
        <f>VLOOKUP(A55,Members!$A$2:$B$65,2,FALSE)</f>
        <v>Kunal Raj Mehta</v>
      </c>
      <c r="C55" s="20">
        <v>13240.333333333334</v>
      </c>
      <c r="D55" s="20">
        <f t="shared" si="8"/>
        <v>0</v>
      </c>
      <c r="E55" s="20">
        <f t="shared" si="9"/>
        <v>13240.333333333334</v>
      </c>
      <c r="F55" s="20">
        <f t="shared" si="10"/>
        <v>3.0039348135330973E-2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70</v>
      </c>
      <c r="B56" s="21" t="str">
        <f>VLOOKUP(A56,Members!$A$2:$B$65,2,FALSE)</f>
        <v>Kapil Garg</v>
      </c>
      <c r="C56" s="22">
        <v>7450.5</v>
      </c>
      <c r="D56" s="22">
        <f t="shared" si="8"/>
        <v>0</v>
      </c>
      <c r="E56" s="22">
        <f t="shared" si="9"/>
        <v>7450.5</v>
      </c>
      <c r="F56" s="22">
        <f t="shared" si="10"/>
        <v>1.6903514258121654E-2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71</v>
      </c>
      <c r="B57" s="19" t="str">
        <f>VLOOKUP(A57,Members!$A$2:$B$65,2,FALSE)</f>
        <v>Vijet Alva</v>
      </c>
      <c r="C57" s="20">
        <v>232.5</v>
      </c>
      <c r="D57" s="20">
        <f t="shared" si="8"/>
        <v>0</v>
      </c>
      <c r="E57" s="20">
        <f t="shared" si="9"/>
        <v>232.5</v>
      </c>
      <c r="F57" s="20">
        <f t="shared" si="10"/>
        <v>5.2749037849987037E-4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73</v>
      </c>
      <c r="B58" s="21" t="str">
        <f>VLOOKUP(A58,Members!$A$2:$B$65,2,FALSE)</f>
        <v>Ganesh Iyer</v>
      </c>
      <c r="C58" s="22">
        <v>3975.8333333333335</v>
      </c>
      <c r="D58" s="22">
        <f t="shared" si="8"/>
        <v>0</v>
      </c>
      <c r="E58" s="22">
        <f t="shared" si="9"/>
        <v>3975.8333333333335</v>
      </c>
      <c r="F58" s="22">
        <f t="shared" si="10"/>
        <v>9.0202745369995768E-3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74</v>
      </c>
      <c r="B59" s="19" t="str">
        <f>VLOOKUP(A59,Members!$A$2:$B$65,2,FALSE)</f>
        <v>Mythili Ramesh</v>
      </c>
      <c r="C59" s="20">
        <v>15588.833333333334</v>
      </c>
      <c r="D59" s="20">
        <f t="shared" si="8"/>
        <v>0</v>
      </c>
      <c r="E59" s="20">
        <f t="shared" si="9"/>
        <v>15588.833333333334</v>
      </c>
      <c r="F59" s="20">
        <f t="shared" si="10"/>
        <v>3.5367568152135036E-2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13246.166666666666</v>
      </c>
      <c r="D60" s="22">
        <f t="shared" si="8"/>
        <v>0</v>
      </c>
      <c r="E60" s="22">
        <f t="shared" si="9"/>
        <v>13246.166666666666</v>
      </c>
      <c r="F60" s="22">
        <f t="shared" si="10"/>
        <v>3.0052582660956412E-2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5733.666666666667</v>
      </c>
      <c r="D61" s="20">
        <f t="shared" si="8"/>
        <v>0</v>
      </c>
      <c r="E61" s="20">
        <f t="shared" si="9"/>
        <v>5733.666666666667</v>
      </c>
      <c r="F61" s="20">
        <f t="shared" si="10"/>
        <v>1.3008404301901463E-2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77</v>
      </c>
      <c r="B62" s="21" t="str">
        <f>VLOOKUP(A62,Members!$A$2:$B$65,2,FALSE)</f>
        <v>Nishith Sahu</v>
      </c>
      <c r="C62" s="22">
        <v>699.66666666666663</v>
      </c>
      <c r="D62" s="22">
        <f t="shared" si="8"/>
        <v>0</v>
      </c>
      <c r="E62" s="22">
        <f t="shared" si="9"/>
        <v>699.66666666666663</v>
      </c>
      <c r="F62" s="22">
        <f t="shared" si="10"/>
        <v>1.5873868164462048E-3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9735.8333333333339</v>
      </c>
      <c r="D63" s="20">
        <f t="shared" si="8"/>
        <v>0</v>
      </c>
      <c r="E63" s="20">
        <f t="shared" si="9"/>
        <v>9735.8333333333339</v>
      </c>
      <c r="F63" s="20">
        <f t="shared" si="10"/>
        <v>2.2088423268867334E-2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5564</v>
      </c>
      <c r="D64" s="22">
        <f t="shared" si="8"/>
        <v>0</v>
      </c>
      <c r="E64" s="22">
        <f t="shared" si="9"/>
        <v>5564</v>
      </c>
      <c r="F64" s="22">
        <f t="shared" si="10"/>
        <v>1.2623468670852813E-2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81</v>
      </c>
      <c r="B65" s="19" t="str">
        <f>VLOOKUP(A65,Members!$A$2:$B$65,2,FALSE)</f>
        <v>Prasenjit</v>
      </c>
      <c r="C65" s="20">
        <v>2764.1666666666665</v>
      </c>
      <c r="D65" s="20">
        <f t="shared" si="8"/>
        <v>0</v>
      </c>
      <c r="E65" s="20">
        <f t="shared" si="9"/>
        <v>2764.1666666666665</v>
      </c>
      <c r="F65" s="20">
        <f t="shared" si="10"/>
        <v>6.2712744999429033E-3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82</v>
      </c>
      <c r="B66" s="21" t="str">
        <f>VLOOKUP(A66,Members!$A$2:$B$65,2,FALSE)</f>
        <v>Sonali Deokhule</v>
      </c>
      <c r="C66" s="22">
        <v>7289.166666666667</v>
      </c>
      <c r="D66" s="22">
        <f t="shared" si="8"/>
        <v>0</v>
      </c>
      <c r="E66" s="22">
        <f t="shared" si="9"/>
        <v>7289.166666666667</v>
      </c>
      <c r="F66" s="22">
        <f t="shared" si="10"/>
        <v>1.653748509225221E-2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84</v>
      </c>
      <c r="B67" s="19" t="str">
        <f>VLOOKUP(A67,Members!$A$2:$B$65,2,FALSE)</f>
        <v>Jeya</v>
      </c>
      <c r="C67" s="20">
        <v>6992.333333333333</v>
      </c>
      <c r="D67" s="20">
        <f t="shared" si="8"/>
        <v>0</v>
      </c>
      <c r="E67" s="20">
        <f t="shared" si="9"/>
        <v>6992.333333333333</v>
      </c>
      <c r="F67" s="20">
        <f t="shared" si="10"/>
        <v>1.586403680256886E-2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85</v>
      </c>
      <c r="B68" s="21" t="str">
        <f>VLOOKUP(A68,Members!$A$2:$B$65,2,FALSE)</f>
        <v>Trevor</v>
      </c>
      <c r="C68" s="22">
        <v>6864.333333333333</v>
      </c>
      <c r="D68" s="22">
        <f t="shared" si="8"/>
        <v>0</v>
      </c>
      <c r="E68" s="22">
        <f t="shared" si="9"/>
        <v>6864.333333333333</v>
      </c>
      <c r="F68" s="22">
        <f t="shared" si="10"/>
        <v>1.5573633497416245E-2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11086.5</v>
      </c>
      <c r="D69" s="20">
        <f t="shared" si="8"/>
        <v>0</v>
      </c>
      <c r="E69" s="20">
        <f t="shared" si="9"/>
        <v>11086.5</v>
      </c>
      <c r="F69" s="20">
        <f t="shared" si="10"/>
        <v>2.5152783145113176E-2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87</v>
      </c>
      <c r="C70" s="22">
        <f>SUM(C3:C69)</f>
        <v>440766.33333333326</v>
      </c>
      <c r="D70" s="22">
        <f>SUM(D3:D69)</f>
        <v>0</v>
      </c>
      <c r="E70" s="22">
        <f>SUM(E3:E69)</f>
        <v>440766.33333333326</v>
      </c>
      <c r="F70" s="22">
        <f t="shared" ref="F70" si="16">IF($C$70=0, 0, E70/$C$70)</f>
        <v>1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500</v>
      </c>
      <c r="N70" s="22">
        <f t="shared" si="17"/>
        <v>2000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43.109375" customWidth="1"/>
    <col min="3" max="10" width="17.44140625" customWidth="1"/>
    <col min="11" max="11" width="12.6640625" customWidth="1"/>
    <col min="12" max="12" width="15" customWidth="1"/>
    <col min="13" max="13" width="14.6640625" customWidth="1"/>
    <col min="14" max="14" width="14.44140625" customWidth="1"/>
    <col min="15" max="15" width="13.6640625" customWidth="1"/>
    <col min="16" max="18" width="14.33203125" customWidth="1"/>
    <col min="19" max="19" width="53.44140625" customWidth="1"/>
    <col min="20" max="20" width="15.109375" customWidth="1"/>
  </cols>
  <sheetData>
    <row r="1" spans="1:21" ht="16.5" customHeight="1" x14ac:dyDescent="0.3">
      <c r="A1" s="48"/>
      <c r="B1" s="93" t="s">
        <v>360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3">
      <c r="A2" s="18" t="s">
        <v>0</v>
      </c>
      <c r="B2" s="18">
        <v>0</v>
      </c>
      <c r="C2" s="18" t="s">
        <v>240</v>
      </c>
      <c r="D2" s="18" t="s">
        <v>295</v>
      </c>
      <c r="E2" s="18" t="s">
        <v>296</v>
      </c>
      <c r="F2" s="18" t="s">
        <v>297</v>
      </c>
      <c r="G2" s="18" t="s">
        <v>244</v>
      </c>
      <c r="H2" s="18" t="s">
        <v>245</v>
      </c>
      <c r="I2" s="18" t="s">
        <v>361</v>
      </c>
      <c r="J2" s="18" t="s">
        <v>357</v>
      </c>
      <c r="K2" s="18" t="s">
        <v>300</v>
      </c>
      <c r="L2" s="18" t="s">
        <v>301</v>
      </c>
      <c r="M2" s="18" t="s">
        <v>302</v>
      </c>
      <c r="N2" s="18" t="s">
        <v>303</v>
      </c>
      <c r="O2" s="18" t="s">
        <v>304</v>
      </c>
      <c r="P2" s="18" t="s">
        <v>255</v>
      </c>
      <c r="Q2" s="18"/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'ANNUAL-EXPENSE-DETAILS'!V8</f>
        <v>0</v>
      </c>
    </row>
    <row r="5" spans="1:21" ht="12.75" customHeight="1" x14ac:dyDescent="0.3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'ANNUAL-EXPENSE-DETAILS'!U8</f>
        <v>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307</v>
      </c>
      <c r="T7" s="80">
        <f>(104.83+0.18*104.83)</f>
        <v>123.6994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362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309</v>
      </c>
      <c r="T9" s="20">
        <f>T8/64</f>
        <v>5.7984093750000003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261</v>
      </c>
      <c r="T11" s="20">
        <f>'ANNUAL-EXPENSE-DETAILS'!V8</f>
        <v>0</v>
      </c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/>
      <c r="T13" s="20"/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363</v>
      </c>
      <c r="T15" s="20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268</v>
      </c>
      <c r="T16" s="22"/>
    </row>
    <row r="17" spans="1:20" ht="12.75" customHeight="1" x14ac:dyDescent="0.3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269</v>
      </c>
      <c r="T17" s="20"/>
    </row>
    <row r="18" spans="1:20" ht="12.75" customHeight="1" x14ac:dyDescent="0.3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270</v>
      </c>
      <c r="T18" s="22">
        <f>T16-T17</f>
        <v>0</v>
      </c>
    </row>
    <row r="19" spans="1:20" ht="12.75" customHeight="1" x14ac:dyDescent="0.3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272</v>
      </c>
      <c r="T19" s="20">
        <f>T15-T18</f>
        <v>0</v>
      </c>
    </row>
    <row r="20" spans="1:20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273</v>
      </c>
      <c r="T20" s="22">
        <f>'ANNUAL-EXPENSE-DETAILS'!X8</f>
        <v>0</v>
      </c>
    </row>
    <row r="21" spans="1:20" ht="12.75" customHeight="1" x14ac:dyDescent="0.3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39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2"/>
      <c r="D28" s="29" t="s">
        <v>364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70"/>
  <sheetViews>
    <sheetView topLeftCell="C1"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18" width="20" customWidth="1"/>
    <col min="19" max="19" width="50.6640625" customWidth="1"/>
    <col min="20" max="20" width="10.33203125" customWidth="1"/>
  </cols>
  <sheetData>
    <row r="1" spans="1:21" ht="16.5" customHeight="1" x14ac:dyDescent="0.3">
      <c r="A1" s="48"/>
      <c r="B1" s="93" t="s">
        <v>365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3">
      <c r="A2" s="18" t="s">
        <v>0</v>
      </c>
      <c r="B2" s="18">
        <v>0</v>
      </c>
      <c r="C2" s="18" t="s">
        <v>240</v>
      </c>
      <c r="D2" s="18" t="s">
        <v>295</v>
      </c>
      <c r="E2" s="18" t="s">
        <v>296</v>
      </c>
      <c r="F2" s="18" t="s">
        <v>297</v>
      </c>
      <c r="G2" s="18" t="s">
        <v>244</v>
      </c>
      <c r="H2" s="18" t="s">
        <v>245</v>
      </c>
      <c r="I2" s="18" t="s">
        <v>298</v>
      </c>
      <c r="J2" s="18" t="s">
        <v>357</v>
      </c>
      <c r="K2" s="18" t="s">
        <v>300</v>
      </c>
      <c r="L2" s="18" t="s">
        <v>301</v>
      </c>
      <c r="M2" s="18" t="s">
        <v>366</v>
      </c>
      <c r="N2" s="18" t="s">
        <v>303</v>
      </c>
      <c r="O2" s="18" t="s">
        <v>304</v>
      </c>
      <c r="P2" s="18" t="s">
        <v>255</v>
      </c>
      <c r="Q2" s="18"/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>
        <f>I3</f>
        <v>123.6994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>
        <f>I4</f>
        <v>123.6994</v>
      </c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'ANNUAL-EXPENSE-DETAILS'!V9</f>
        <v>0</v>
      </c>
    </row>
    <row r="5" spans="1:21" ht="12.75" customHeight="1" x14ac:dyDescent="0.3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>
        <f>I5</f>
        <v>123.6994</v>
      </c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'ANNUAL-EXPENSE-DETAILS'!U9</f>
        <v>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307</v>
      </c>
      <c r="T7" s="80">
        <f>(104.83+0.18*104.83)</f>
        <v>123.6994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308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309</v>
      </c>
      <c r="T9" s="20">
        <f>T8/64</f>
        <v>5.7984093750000003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261</v>
      </c>
      <c r="T11" s="20">
        <f>'ANNUAL-EXPENSE-DETAILS'!V9</f>
        <v>0</v>
      </c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367</v>
      </c>
      <c r="T13" s="20"/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 t="s">
        <v>268</v>
      </c>
      <c r="T14" s="22"/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269</v>
      </c>
      <c r="T15" s="20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270</v>
      </c>
      <c r="T16" s="22">
        <f>T14-T15</f>
        <v>0</v>
      </c>
    </row>
    <row r="17" spans="1:20" ht="12.75" customHeight="1" x14ac:dyDescent="0.3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272</v>
      </c>
      <c r="T17" s="20">
        <f>T13-T16</f>
        <v>0</v>
      </c>
    </row>
    <row r="18" spans="1:20" ht="12.75" customHeight="1" x14ac:dyDescent="0.3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273</v>
      </c>
      <c r="T18" s="22">
        <f>'ANNUAL-EXPENSE-DETAILS'!X9</f>
        <v>0</v>
      </c>
    </row>
    <row r="19" spans="1:20" ht="12.75" customHeight="1" x14ac:dyDescent="0.3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/>
      <c r="T20" s="22"/>
    </row>
    <row r="21" spans="1:20" ht="12.75" customHeight="1" x14ac:dyDescent="0.3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39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27956.064399999985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6.6640625" customWidth="1"/>
    <col min="10" max="10" width="28.109375" customWidth="1"/>
    <col min="11" max="18" width="16.6640625" customWidth="1"/>
    <col min="19" max="19" width="44.44140625" customWidth="1"/>
    <col min="20" max="20" width="10.33203125" customWidth="1"/>
  </cols>
  <sheetData>
    <row r="1" spans="1:21" ht="16.5" customHeight="1" x14ac:dyDescent="0.3">
      <c r="A1" s="48"/>
      <c r="B1" s="93" t="s">
        <v>368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3">
      <c r="A2" s="18" t="s">
        <v>0</v>
      </c>
      <c r="B2" s="18">
        <v>0</v>
      </c>
      <c r="C2" s="18" t="s">
        <v>240</v>
      </c>
      <c r="D2" s="18" t="s">
        <v>295</v>
      </c>
      <c r="E2" s="18" t="s">
        <v>296</v>
      </c>
      <c r="F2" s="18" t="s">
        <v>297</v>
      </c>
      <c r="G2" s="18" t="s">
        <v>244</v>
      </c>
      <c r="H2" s="18" t="s">
        <v>245</v>
      </c>
      <c r="I2" s="18" t="s">
        <v>298</v>
      </c>
      <c r="J2" s="18" t="s">
        <v>357</v>
      </c>
      <c r="K2" s="18" t="s">
        <v>300</v>
      </c>
      <c r="L2" s="18" t="s">
        <v>301</v>
      </c>
      <c r="M2" s="18" t="s">
        <v>331</v>
      </c>
      <c r="N2" s="18" t="s">
        <v>303</v>
      </c>
      <c r="O2" s="18" t="s">
        <v>304</v>
      </c>
      <c r="P2" s="18" t="s">
        <v>369</v>
      </c>
      <c r="Q2" s="18" t="s">
        <v>255</v>
      </c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'ANNUAL-EXPENSE-DETAILS'!V10</f>
        <v>0</v>
      </c>
    </row>
    <row r="5" spans="1:21" ht="12.75" customHeight="1" x14ac:dyDescent="0.3">
      <c r="A5" s="19" t="s">
        <v>262</v>
      </c>
      <c r="B5" s="19" t="s">
        <v>259</v>
      </c>
      <c r="C5" s="20"/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'ANNUAL-EXPENSE-DETAILS'!U10</f>
        <v>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>
        <v>0</v>
      </c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>
        <v>0</v>
      </c>
      <c r="R7" s="20">
        <f t="shared" si="7"/>
        <v>0</v>
      </c>
      <c r="S7" s="20" t="s">
        <v>307</v>
      </c>
      <c r="T7" s="80">
        <f>(104.83+0.18*104.83)</f>
        <v>123.6994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>
        <v>0</v>
      </c>
      <c r="R8" s="22">
        <f t="shared" si="7"/>
        <v>0</v>
      </c>
      <c r="S8" s="22" t="s">
        <v>308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>
        <v>0</v>
      </c>
      <c r="R9" s="20">
        <f t="shared" si="7"/>
        <v>0</v>
      </c>
      <c r="S9" s="20" t="s">
        <v>309</v>
      </c>
      <c r="T9" s="20">
        <f>T8/64</f>
        <v>5.7984093750000003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>
        <v>0</v>
      </c>
      <c r="R10" s="22">
        <f t="shared" si="7"/>
        <v>0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>
        <v>0</v>
      </c>
      <c r="R11" s="20">
        <f t="shared" si="7"/>
        <v>0</v>
      </c>
      <c r="S11" s="20" t="s">
        <v>261</v>
      </c>
      <c r="T11" s="20">
        <f>'ANNUAL-EXPENSE-DETAILS'!V10</f>
        <v>0</v>
      </c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>
        <v>0</v>
      </c>
      <c r="R12" s="22">
        <f t="shared" si="7"/>
        <v>0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>
        <v>0</v>
      </c>
      <c r="R13" s="20">
        <f t="shared" si="7"/>
        <v>0</v>
      </c>
      <c r="S13" s="20"/>
      <c r="T13" s="20"/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>
        <v>0</v>
      </c>
      <c r="R14" s="22">
        <f t="shared" si="7"/>
        <v>0</v>
      </c>
      <c r="S14" s="22" t="s">
        <v>370</v>
      </c>
      <c r="T14" s="22">
        <f>CEILING( I70,1)</f>
        <v>27585</v>
      </c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>
        <v>0</v>
      </c>
      <c r="R15" s="20">
        <f t="shared" si="7"/>
        <v>0</v>
      </c>
      <c r="S15" s="20"/>
      <c r="T15" s="20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>
        <v>0</v>
      </c>
      <c r="R16" s="22">
        <f t="shared" si="7"/>
        <v>0</v>
      </c>
      <c r="S16" s="22" t="s">
        <v>371</v>
      </c>
      <c r="T16" s="22"/>
    </row>
    <row r="17" spans="1:20" ht="12.75" customHeight="1" x14ac:dyDescent="0.3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>
        <v>0</v>
      </c>
      <c r="R17" s="20">
        <f t="shared" si="7"/>
        <v>0</v>
      </c>
      <c r="S17" s="20" t="s">
        <v>268</v>
      </c>
      <c r="T17" s="20"/>
    </row>
    <row r="18" spans="1:20" ht="12.75" customHeight="1" x14ac:dyDescent="0.3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>
        <v>0</v>
      </c>
      <c r="R18" s="22">
        <f t="shared" si="7"/>
        <v>0</v>
      </c>
      <c r="S18" s="22" t="s">
        <v>269</v>
      </c>
      <c r="T18" s="22"/>
    </row>
    <row r="19" spans="1:20" ht="12.75" customHeight="1" x14ac:dyDescent="0.3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>
        <v>0</v>
      </c>
      <c r="R19" s="20">
        <f t="shared" si="7"/>
        <v>0</v>
      </c>
      <c r="S19" s="20" t="s">
        <v>270</v>
      </c>
      <c r="T19" s="20">
        <f>T17-T18</f>
        <v>0</v>
      </c>
    </row>
    <row r="20" spans="1:20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>
        <v>0</v>
      </c>
      <c r="R20" s="22">
        <f t="shared" si="7"/>
        <v>0</v>
      </c>
      <c r="S20" s="22" t="s">
        <v>272</v>
      </c>
      <c r="T20" s="22">
        <f>T16-T19</f>
        <v>0</v>
      </c>
    </row>
    <row r="21" spans="1:20" ht="12.75" customHeight="1" x14ac:dyDescent="0.3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>
        <v>0</v>
      </c>
      <c r="R21" s="20">
        <f t="shared" si="7"/>
        <v>0</v>
      </c>
      <c r="S21" s="20" t="s">
        <v>273</v>
      </c>
      <c r="T21" s="20">
        <f>'ANNUAL-EXPENSE-DETAILS'!X10</f>
        <v>0</v>
      </c>
    </row>
    <row r="22" spans="1:20" ht="12.75" customHeight="1" x14ac:dyDescent="0.3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>
        <v>0</v>
      </c>
      <c r="R22" s="22">
        <f t="shared" si="7"/>
        <v>0</v>
      </c>
      <c r="S22" s="22"/>
      <c r="T22" s="22"/>
    </row>
    <row r="23" spans="1:20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>
        <v>0</v>
      </c>
      <c r="R23" s="20">
        <f t="shared" si="7"/>
        <v>0</v>
      </c>
      <c r="S23" s="20"/>
      <c r="T23" s="20"/>
    </row>
    <row r="24" spans="1:20" ht="12.75" customHeight="1" x14ac:dyDescent="0.3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>
        <v>0</v>
      </c>
      <c r="R24" s="22">
        <f t="shared" si="7"/>
        <v>0</v>
      </c>
      <c r="S24" s="22"/>
      <c r="T24" s="22"/>
    </row>
    <row r="25" spans="1:20" ht="12.75" customHeight="1" x14ac:dyDescent="0.3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>
        <v>0</v>
      </c>
      <c r="R25" s="20">
        <f t="shared" si="7"/>
        <v>0</v>
      </c>
      <c r="S25" s="20"/>
      <c r="T25" s="20"/>
    </row>
    <row r="26" spans="1:20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>
        <v>0</v>
      </c>
      <c r="R26" s="22">
        <f t="shared" si="7"/>
        <v>0</v>
      </c>
      <c r="S26" s="22"/>
      <c r="T26" s="22"/>
    </row>
    <row r="27" spans="1:20" ht="12.75" customHeight="1" x14ac:dyDescent="0.3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>
        <v>0</v>
      </c>
      <c r="R27" s="20">
        <f t="shared" si="7"/>
        <v>0</v>
      </c>
      <c r="S27" s="20"/>
      <c r="T27" s="20"/>
    </row>
    <row r="28" spans="1:20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>
        <v>0</v>
      </c>
      <c r="R28" s="22">
        <f t="shared" si="7"/>
        <v>0</v>
      </c>
      <c r="S28" s="22"/>
      <c r="T28" s="22"/>
    </row>
    <row r="29" spans="1:20" ht="12.75" customHeight="1" x14ac:dyDescent="0.3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>
        <v>0</v>
      </c>
      <c r="R29" s="20">
        <f t="shared" si="7"/>
        <v>0</v>
      </c>
      <c r="S29" s="20"/>
      <c r="T29" s="20"/>
    </row>
    <row r="30" spans="1:20" ht="12.75" customHeight="1" x14ac:dyDescent="0.3">
      <c r="A30" s="21" t="s">
        <v>39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>
        <v>0</v>
      </c>
      <c r="R30" s="22">
        <f t="shared" si="7"/>
        <v>0</v>
      </c>
      <c r="S30" s="22"/>
      <c r="T30" s="22"/>
    </row>
    <row r="31" spans="1:20" ht="12.75" customHeight="1" x14ac:dyDescent="0.3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0</v>
      </c>
      <c r="S31" s="20"/>
      <c r="T31" s="20"/>
    </row>
    <row r="32" spans="1:20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>
        <v>0</v>
      </c>
      <c r="R32" s="22">
        <f t="shared" si="7"/>
        <v>0</v>
      </c>
      <c r="S32" s="22"/>
      <c r="T32" s="22"/>
    </row>
    <row r="33" spans="1:20" ht="12.75" customHeight="1" x14ac:dyDescent="0.3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>
        <v>0</v>
      </c>
      <c r="R33" s="20">
        <f t="shared" si="7"/>
        <v>0</v>
      </c>
      <c r="S33" s="20"/>
      <c r="T33" s="20"/>
    </row>
    <row r="34" spans="1:20" ht="12.75" customHeight="1" x14ac:dyDescent="0.3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>
        <v>0</v>
      </c>
      <c r="R34" s="22">
        <f t="shared" si="7"/>
        <v>0</v>
      </c>
      <c r="S34" s="22"/>
      <c r="T34" s="22"/>
    </row>
    <row r="35" spans="1:20" ht="12.75" customHeight="1" x14ac:dyDescent="0.3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>
        <v>0</v>
      </c>
      <c r="R35" s="20">
        <f t="shared" si="7"/>
        <v>0</v>
      </c>
      <c r="S35" s="20"/>
      <c r="T35" s="20"/>
    </row>
    <row r="36" spans="1:20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>
        <v>0</v>
      </c>
      <c r="R36" s="22">
        <f t="shared" si="7"/>
        <v>0</v>
      </c>
      <c r="S36" s="22"/>
      <c r="T36" s="22"/>
    </row>
    <row r="37" spans="1:20" ht="12.75" customHeight="1" x14ac:dyDescent="0.3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>
        <v>0</v>
      </c>
      <c r="R37" s="20">
        <f t="shared" si="7"/>
        <v>0</v>
      </c>
      <c r="S37" s="20"/>
      <c r="T37" s="20"/>
    </row>
    <row r="38" spans="1:20" ht="12.75" customHeight="1" x14ac:dyDescent="0.3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>
        <v>0</v>
      </c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>
        <v>0</v>
      </c>
      <c r="R39" s="20">
        <f t="shared" si="15"/>
        <v>0</v>
      </c>
      <c r="S39" s="20"/>
      <c r="T39" s="20"/>
    </row>
    <row r="40" spans="1:20" ht="12.75" customHeight="1" x14ac:dyDescent="0.3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>
        <v>0</v>
      </c>
      <c r="R40" s="22">
        <f t="shared" si="15"/>
        <v>0</v>
      </c>
      <c r="S40" s="22"/>
      <c r="T40" s="22"/>
    </row>
    <row r="41" spans="1:20" ht="12.75" customHeight="1" x14ac:dyDescent="0.3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>
        <v>0</v>
      </c>
      <c r="R41" s="20">
        <f t="shared" si="15"/>
        <v>0</v>
      </c>
      <c r="S41" s="20"/>
      <c r="T41" s="20"/>
    </row>
    <row r="42" spans="1:20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>
        <v>0</v>
      </c>
      <c r="R42" s="22">
        <f t="shared" si="15"/>
        <v>0</v>
      </c>
      <c r="S42" s="22"/>
      <c r="T42" s="22"/>
    </row>
    <row r="43" spans="1:20" ht="12.75" customHeight="1" x14ac:dyDescent="0.3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>
        <v>0</v>
      </c>
      <c r="R43" s="20">
        <f t="shared" si="15"/>
        <v>0</v>
      </c>
      <c r="S43" s="20"/>
      <c r="T43" s="20"/>
    </row>
    <row r="44" spans="1:20" ht="12.75" customHeight="1" x14ac:dyDescent="0.3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>
        <v>0</v>
      </c>
      <c r="R44" s="22">
        <f t="shared" si="15"/>
        <v>0</v>
      </c>
      <c r="S44" s="22"/>
      <c r="T44" s="22"/>
    </row>
    <row r="45" spans="1:20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>
        <v>0</v>
      </c>
      <c r="R45" s="20">
        <f t="shared" si="15"/>
        <v>0</v>
      </c>
      <c r="S45" s="20"/>
      <c r="T45" s="20"/>
    </row>
    <row r="46" spans="1:20" ht="12.75" customHeight="1" x14ac:dyDescent="0.3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>
        <v>0</v>
      </c>
      <c r="R46" s="22">
        <f t="shared" si="15"/>
        <v>0</v>
      </c>
      <c r="S46" s="22"/>
      <c r="T46" s="22"/>
    </row>
    <row r="47" spans="1:20" ht="12.75" customHeight="1" x14ac:dyDescent="0.3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>
        <v>0</v>
      </c>
      <c r="R47" s="20">
        <f t="shared" si="15"/>
        <v>0</v>
      </c>
      <c r="S47" s="20"/>
      <c r="T47" s="20"/>
    </row>
    <row r="48" spans="1:20" ht="12.75" customHeight="1" x14ac:dyDescent="0.3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>
        <v>0</v>
      </c>
      <c r="R48" s="22">
        <f t="shared" si="15"/>
        <v>0</v>
      </c>
      <c r="S48" s="22"/>
      <c r="T48" s="22"/>
    </row>
    <row r="49" spans="1:20" ht="12.75" customHeight="1" x14ac:dyDescent="0.3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>
        <v>0</v>
      </c>
      <c r="R49" s="20">
        <f t="shared" si="15"/>
        <v>0</v>
      </c>
      <c r="S49" s="20"/>
      <c r="T49" s="20"/>
    </row>
    <row r="50" spans="1:20" ht="12.75" customHeight="1" x14ac:dyDescent="0.3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>
        <v>0</v>
      </c>
      <c r="R50" s="22">
        <f t="shared" si="15"/>
        <v>0</v>
      </c>
      <c r="S50" s="22"/>
      <c r="T50" s="22"/>
    </row>
    <row r="51" spans="1:20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>
        <v>0</v>
      </c>
      <c r="R51" s="20">
        <f t="shared" si="15"/>
        <v>0</v>
      </c>
      <c r="S51" s="20"/>
      <c r="T51" s="20"/>
    </row>
    <row r="52" spans="1:20" ht="12.75" customHeight="1" x14ac:dyDescent="0.3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>
        <v>0</v>
      </c>
      <c r="R52" s="22">
        <f t="shared" si="15"/>
        <v>0</v>
      </c>
      <c r="S52" s="22"/>
      <c r="T52" s="22"/>
    </row>
    <row r="53" spans="1:20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>
        <v>0</v>
      </c>
      <c r="R53" s="20">
        <f t="shared" si="15"/>
        <v>0</v>
      </c>
      <c r="S53" s="20"/>
      <c r="T53" s="20"/>
    </row>
    <row r="54" spans="1:20" ht="12.75" customHeight="1" x14ac:dyDescent="0.3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>
        <v>0</v>
      </c>
      <c r="R54" s="22">
        <f t="shared" si="15"/>
        <v>0</v>
      </c>
      <c r="S54" s="22"/>
      <c r="T54" s="22"/>
    </row>
    <row r="55" spans="1:20" ht="12.75" customHeight="1" x14ac:dyDescent="0.3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>
        <v>0</v>
      </c>
      <c r="R55" s="20">
        <f t="shared" si="15"/>
        <v>0</v>
      </c>
      <c r="S55" s="20"/>
      <c r="T55" s="20"/>
    </row>
    <row r="56" spans="1:20" ht="12.75" customHeight="1" x14ac:dyDescent="0.3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>
        <v>0</v>
      </c>
      <c r="R56" s="22">
        <f t="shared" si="15"/>
        <v>0</v>
      </c>
      <c r="S56" s="22"/>
      <c r="T56" s="22"/>
    </row>
    <row r="57" spans="1:20" ht="12.75" customHeight="1" x14ac:dyDescent="0.3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>
        <v>0</v>
      </c>
      <c r="R57" s="20">
        <f t="shared" si="15"/>
        <v>0</v>
      </c>
      <c r="S57" s="20"/>
      <c r="T57" s="20"/>
    </row>
    <row r="58" spans="1:20" ht="12.75" customHeight="1" x14ac:dyDescent="0.3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>
        <v>0</v>
      </c>
      <c r="R58" s="22">
        <f t="shared" si="15"/>
        <v>0</v>
      </c>
      <c r="S58" s="22"/>
      <c r="T58" s="22"/>
    </row>
    <row r="59" spans="1:20" ht="12.75" customHeight="1" x14ac:dyDescent="0.3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>
        <v>0</v>
      </c>
      <c r="R59" s="20">
        <f t="shared" si="15"/>
        <v>0</v>
      </c>
      <c r="S59" s="20"/>
      <c r="T59" s="20"/>
    </row>
    <row r="60" spans="1:20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>
        <v>0</v>
      </c>
      <c r="R60" s="22">
        <f t="shared" si="15"/>
        <v>0</v>
      </c>
      <c r="S60" s="22"/>
      <c r="T60" s="22"/>
    </row>
    <row r="61" spans="1:20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>
        <v>0</v>
      </c>
      <c r="R61" s="20">
        <f t="shared" si="15"/>
        <v>0</v>
      </c>
      <c r="S61" s="20"/>
      <c r="T61" s="20"/>
    </row>
    <row r="62" spans="1:20" ht="12.75" customHeight="1" x14ac:dyDescent="0.3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>
        <v>0</v>
      </c>
      <c r="R62" s="22">
        <f t="shared" si="15"/>
        <v>0</v>
      </c>
      <c r="S62" s="22"/>
      <c r="T62" s="22"/>
    </row>
    <row r="63" spans="1:20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>
        <v>0</v>
      </c>
      <c r="R63" s="20">
        <f t="shared" si="15"/>
        <v>0</v>
      </c>
      <c r="S63" s="20"/>
      <c r="T63" s="20"/>
    </row>
    <row r="64" spans="1:20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>
        <v>0</v>
      </c>
      <c r="R64" s="22">
        <f t="shared" si="15"/>
        <v>0</v>
      </c>
      <c r="S64" s="22"/>
      <c r="T64" s="22"/>
    </row>
    <row r="65" spans="1:20" ht="12.75" customHeight="1" x14ac:dyDescent="0.3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>
        <v>0</v>
      </c>
      <c r="R65" s="20">
        <f t="shared" si="15"/>
        <v>0</v>
      </c>
      <c r="S65" s="20"/>
      <c r="T65" s="20"/>
    </row>
    <row r="66" spans="1:20" ht="12.75" customHeight="1" x14ac:dyDescent="0.3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>
        <v>0</v>
      </c>
      <c r="R66" s="22">
        <f t="shared" si="15"/>
        <v>0</v>
      </c>
      <c r="S66" s="22"/>
      <c r="T66" s="22"/>
    </row>
    <row r="67" spans="1:20" ht="12.75" customHeight="1" x14ac:dyDescent="0.3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>
        <v>0</v>
      </c>
      <c r="R67" s="20">
        <f t="shared" si="15"/>
        <v>0</v>
      </c>
      <c r="S67" s="20"/>
      <c r="T67" s="20"/>
    </row>
    <row r="68" spans="1:20" ht="12.75" customHeight="1" x14ac:dyDescent="0.3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>
        <v>0</v>
      </c>
      <c r="R68" s="22">
        <f t="shared" si="15"/>
        <v>0</v>
      </c>
      <c r="S68" s="22"/>
      <c r="T68" s="22"/>
    </row>
    <row r="69" spans="1:20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>
        <v>0</v>
      </c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7.33203125" customWidth="1"/>
    <col min="10" max="10" width="28.44140625" customWidth="1"/>
    <col min="11" max="18" width="17.33203125" customWidth="1"/>
    <col min="19" max="19" width="42.6640625" customWidth="1"/>
    <col min="20" max="20" width="10.33203125" customWidth="1"/>
  </cols>
  <sheetData>
    <row r="1" spans="1:21" ht="16.5" customHeight="1" x14ac:dyDescent="0.3">
      <c r="A1" s="48"/>
      <c r="B1" s="93" t="s">
        <v>372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3">
      <c r="A2" s="18" t="s">
        <v>0</v>
      </c>
      <c r="B2" s="18">
        <v>0</v>
      </c>
      <c r="C2" s="18" t="s">
        <v>240</v>
      </c>
      <c r="D2" s="18" t="s">
        <v>295</v>
      </c>
      <c r="E2" s="18" t="s">
        <v>296</v>
      </c>
      <c r="F2" s="18" t="s">
        <v>297</v>
      </c>
      <c r="G2" s="18" t="s">
        <v>244</v>
      </c>
      <c r="H2" s="18" t="s">
        <v>245</v>
      </c>
      <c r="I2" s="18" t="s">
        <v>298</v>
      </c>
      <c r="J2" s="18" t="s">
        <v>357</v>
      </c>
      <c r="K2" s="18" t="s">
        <v>300</v>
      </c>
      <c r="L2" s="18" t="s">
        <v>301</v>
      </c>
      <c r="M2" s="18" t="s">
        <v>331</v>
      </c>
      <c r="N2" s="18" t="s">
        <v>303</v>
      </c>
      <c r="O2" s="18" t="s">
        <v>304</v>
      </c>
      <c r="P2" s="18" t="s">
        <v>255</v>
      </c>
      <c r="Q2" s="18"/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'ANNUAL-EXPENSE-DETAILS'!V11</f>
        <v>0</v>
      </c>
    </row>
    <row r="5" spans="1:21" ht="12.75" customHeight="1" x14ac:dyDescent="0.3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'ANNUAL-EXPENSE-DETAILS'!U11</f>
        <v>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307</v>
      </c>
      <c r="T7" s="80">
        <f>(104.83+0.18*104.83)</f>
        <v>123.6994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308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309</v>
      </c>
      <c r="T9" s="20">
        <f>T8/64</f>
        <v>5.7984093750000003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261</v>
      </c>
      <c r="T11" s="20">
        <f>'ANNUAL-EXPENSE-DETAILS'!V11</f>
        <v>0</v>
      </c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373</v>
      </c>
      <c r="T13" s="20">
        <f>I70</f>
        <v>27584.966200000028</v>
      </c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374</v>
      </c>
      <c r="T15" s="20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268</v>
      </c>
      <c r="T16" s="22"/>
    </row>
    <row r="17" spans="1:20" ht="12.75" customHeight="1" x14ac:dyDescent="0.3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269</v>
      </c>
      <c r="T17" s="20"/>
    </row>
    <row r="18" spans="1:20" ht="12.75" customHeight="1" x14ac:dyDescent="0.3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270</v>
      </c>
      <c r="T18" s="22">
        <f>T16-T17</f>
        <v>0</v>
      </c>
    </row>
    <row r="19" spans="1:20" ht="12.75" customHeight="1" x14ac:dyDescent="0.3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272</v>
      </c>
      <c r="T19" s="20">
        <f>T15-T18</f>
        <v>0</v>
      </c>
    </row>
    <row r="20" spans="1:20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273</v>
      </c>
      <c r="T20" s="22">
        <f>'ANNUAL-EXPENSE-DETAILS'!X11</f>
        <v>0</v>
      </c>
    </row>
    <row r="21" spans="1:20" ht="12.75" customHeight="1" x14ac:dyDescent="0.3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39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70"/>
  <sheetViews>
    <sheetView topLeftCell="C1"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18" width="22" customWidth="1"/>
    <col min="19" max="19" width="35.6640625" customWidth="1"/>
    <col min="20" max="20" width="10.33203125" customWidth="1"/>
  </cols>
  <sheetData>
    <row r="1" spans="1:21" ht="16.5" customHeight="1" x14ac:dyDescent="0.3">
      <c r="A1" s="48"/>
      <c r="B1" s="93" t="s">
        <v>375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3">
      <c r="A2" s="18" t="s">
        <v>0</v>
      </c>
      <c r="B2" s="18">
        <v>0</v>
      </c>
      <c r="C2" s="18" t="s">
        <v>240</v>
      </c>
      <c r="D2" s="18" t="s">
        <v>295</v>
      </c>
      <c r="E2" s="18" t="s">
        <v>296</v>
      </c>
      <c r="F2" s="18" t="s">
        <v>297</v>
      </c>
      <c r="G2" s="18" t="s">
        <v>244</v>
      </c>
      <c r="H2" s="18" t="s">
        <v>245</v>
      </c>
      <c r="I2" s="18" t="s">
        <v>298</v>
      </c>
      <c r="J2" s="18" t="s">
        <v>357</v>
      </c>
      <c r="K2" s="18" t="s">
        <v>300</v>
      </c>
      <c r="L2" s="18" t="s">
        <v>301</v>
      </c>
      <c r="M2" s="18" t="s">
        <v>331</v>
      </c>
      <c r="N2" s="18" t="s">
        <v>303</v>
      </c>
      <c r="O2" s="18" t="s">
        <v>304</v>
      </c>
      <c r="P2" s="18" t="s">
        <v>255</v>
      </c>
      <c r="Q2" s="18"/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'ANNUAL-EXPENSE-DETAILS'!V12</f>
        <v>0</v>
      </c>
    </row>
    <row r="5" spans="1:21" ht="12.75" customHeight="1" x14ac:dyDescent="0.3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'ANNUAL-EXPENSE-DETAILS'!U12</f>
        <v>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307</v>
      </c>
      <c r="T7" s="80">
        <f>(104.83+0.18*104.83)</f>
        <v>123.6994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308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309</v>
      </c>
      <c r="T9" s="20">
        <f>T8/64</f>
        <v>5.7984093750000003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261</v>
      </c>
      <c r="T11" s="20">
        <f>'ANNUAL-EXPENSE-DETAILS'!V12</f>
        <v>0</v>
      </c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373</v>
      </c>
      <c r="T13" s="20">
        <f>I70</f>
        <v>27584.966200000028</v>
      </c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376</v>
      </c>
      <c r="T15" s="20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268</v>
      </c>
      <c r="T16" s="22"/>
    </row>
    <row r="17" spans="1:20" ht="12.75" customHeight="1" x14ac:dyDescent="0.3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269</v>
      </c>
      <c r="T17" s="20"/>
    </row>
    <row r="18" spans="1:20" ht="12.75" customHeight="1" x14ac:dyDescent="0.3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270</v>
      </c>
      <c r="T18" s="22">
        <f>T16-T17</f>
        <v>0</v>
      </c>
    </row>
    <row r="19" spans="1:20" ht="12.75" customHeight="1" x14ac:dyDescent="0.3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272</v>
      </c>
      <c r="T19" s="20">
        <f>T15-T18</f>
        <v>0</v>
      </c>
    </row>
    <row r="20" spans="1:20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273</v>
      </c>
      <c r="T20" s="22">
        <f>'ANNUAL-EXPENSE-DETAILS'!X12</f>
        <v>0</v>
      </c>
    </row>
    <row r="21" spans="1:20" ht="12.75" customHeight="1" x14ac:dyDescent="0.3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39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70"/>
  <sheetViews>
    <sheetView topLeftCell="F1"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9.109375" customWidth="1"/>
    <col min="10" max="10" width="27.109375" customWidth="1"/>
    <col min="11" max="18" width="19.109375" customWidth="1"/>
    <col min="19" max="19" width="32.33203125" customWidth="1"/>
    <col min="20" max="20" width="12" customWidth="1"/>
  </cols>
  <sheetData>
    <row r="1" spans="1:21" ht="16.5" customHeight="1" x14ac:dyDescent="0.3">
      <c r="A1" s="50"/>
      <c r="B1" s="96" t="s">
        <v>377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 spans="1:21" ht="58.5" customHeight="1" x14ac:dyDescent="0.3">
      <c r="A2" s="18" t="s">
        <v>0</v>
      </c>
      <c r="B2" s="18">
        <v>0</v>
      </c>
      <c r="C2" s="18" t="s">
        <v>240</v>
      </c>
      <c r="D2" s="18" t="s">
        <v>295</v>
      </c>
      <c r="E2" s="18" t="s">
        <v>296</v>
      </c>
      <c r="F2" s="18" t="s">
        <v>297</v>
      </c>
      <c r="G2" s="18" t="s">
        <v>244</v>
      </c>
      <c r="H2" s="18" t="s">
        <v>245</v>
      </c>
      <c r="I2" s="18" t="s">
        <v>298</v>
      </c>
      <c r="J2" s="18" t="s">
        <v>357</v>
      </c>
      <c r="K2" s="18" t="s">
        <v>300</v>
      </c>
      <c r="L2" s="18" t="s">
        <v>301</v>
      </c>
      <c r="M2" s="18" t="s">
        <v>331</v>
      </c>
      <c r="N2" s="18" t="s">
        <v>303</v>
      </c>
      <c r="O2" s="18" t="s">
        <v>304</v>
      </c>
      <c r="P2" s="18" t="s">
        <v>255</v>
      </c>
      <c r="Q2" s="18"/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'ANNUAL-EXPENSE-DETAILS'!V13</f>
        <v>0</v>
      </c>
    </row>
    <row r="5" spans="1:21" ht="12.75" customHeight="1" x14ac:dyDescent="0.3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'ANNUAL-EXPENSE-DETAILS'!U13</f>
        <v>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307</v>
      </c>
      <c r="T7" s="80">
        <f>(104.83+0.18*104.83)</f>
        <v>123.6994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308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309</v>
      </c>
      <c r="T9" s="20">
        <f>T8/64</f>
        <v>5.7984093750000003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261</v>
      </c>
      <c r="T11" s="20">
        <f>'ANNUAL-EXPENSE-DETAILS'!V13</f>
        <v>0</v>
      </c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373</v>
      </c>
      <c r="T13" s="20">
        <f>T8+I70</f>
        <v>27956.064400000028</v>
      </c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378</v>
      </c>
      <c r="T15" s="20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268</v>
      </c>
      <c r="T16" s="22"/>
    </row>
    <row r="17" spans="1:20" ht="12.75" customHeight="1" x14ac:dyDescent="0.3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269</v>
      </c>
      <c r="T17" s="20"/>
    </row>
    <row r="18" spans="1:20" ht="12.75" customHeight="1" x14ac:dyDescent="0.3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270</v>
      </c>
      <c r="T18" s="22">
        <f>T16-T17</f>
        <v>0</v>
      </c>
    </row>
    <row r="19" spans="1:20" ht="12.75" customHeight="1" x14ac:dyDescent="0.3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272</v>
      </c>
      <c r="T19" s="20">
        <f>T15-T18</f>
        <v>0</v>
      </c>
    </row>
    <row r="20" spans="1:20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273</v>
      </c>
      <c r="T20" s="22">
        <f>'ANNUAL-EXPENSE-DETAILS'!X13</f>
        <v>0</v>
      </c>
    </row>
    <row r="21" spans="1:20" ht="12.75" customHeight="1" x14ac:dyDescent="0.3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 t="s">
        <v>274</v>
      </c>
      <c r="T21" s="20">
        <f>T19-T20</f>
        <v>0</v>
      </c>
    </row>
    <row r="22" spans="1:20" ht="12.75" customHeight="1" x14ac:dyDescent="0.3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39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18" width="20.33203125" customWidth="1"/>
    <col min="19" max="19" width="38.6640625" customWidth="1"/>
    <col min="20" max="20" width="10.33203125" customWidth="1"/>
  </cols>
  <sheetData>
    <row r="1" spans="1:21" ht="16.5" customHeight="1" x14ac:dyDescent="0.3">
      <c r="A1" s="51"/>
      <c r="B1" s="98" t="s">
        <v>379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1:21" ht="58.5" customHeight="1" x14ac:dyDescent="0.3">
      <c r="A2" s="18" t="s">
        <v>0</v>
      </c>
      <c r="B2" s="18">
        <v>0</v>
      </c>
      <c r="C2" s="18" t="s">
        <v>240</v>
      </c>
      <c r="D2" s="18" t="s">
        <v>295</v>
      </c>
      <c r="E2" s="18" t="s">
        <v>296</v>
      </c>
      <c r="F2" s="18" t="s">
        <v>297</v>
      </c>
      <c r="G2" s="18" t="s">
        <v>244</v>
      </c>
      <c r="H2" s="18" t="s">
        <v>245</v>
      </c>
      <c r="I2" s="18" t="s">
        <v>298</v>
      </c>
      <c r="J2" s="18" t="s">
        <v>357</v>
      </c>
      <c r="K2" s="18" t="s">
        <v>300</v>
      </c>
      <c r="L2" s="18" t="s">
        <v>301</v>
      </c>
      <c r="M2" s="18" t="s">
        <v>331</v>
      </c>
      <c r="N2" s="18" t="s">
        <v>303</v>
      </c>
      <c r="O2" s="18" t="s">
        <v>304</v>
      </c>
      <c r="P2" s="18" t="s">
        <v>369</v>
      </c>
      <c r="Q2" s="18" t="s">
        <v>255</v>
      </c>
      <c r="R2" s="18" t="s">
        <v>306</v>
      </c>
      <c r="S2" s="18"/>
      <c r="T2" s="18"/>
      <c r="U2" t="s">
        <v>257</v>
      </c>
    </row>
    <row r="3" spans="1:21" ht="12.75" customHeight="1" x14ac:dyDescent="0.3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'ANNUAL-EXPENSE-DETAILS'!V14</f>
        <v>0</v>
      </c>
    </row>
    <row r="5" spans="1:21" ht="12.75" customHeight="1" x14ac:dyDescent="0.3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'ANNUAL-EXPENSE-DETAILS'!U14</f>
        <v>0</v>
      </c>
    </row>
    <row r="6" spans="1:21" ht="12.75" customHeight="1" x14ac:dyDescent="0.3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>
        <v>0</v>
      </c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>
        <v>0</v>
      </c>
      <c r="R7" s="20">
        <f t="shared" si="7"/>
        <v>0</v>
      </c>
      <c r="S7" s="20" t="s">
        <v>307</v>
      </c>
      <c r="T7" s="80">
        <f>(104.83+0.18*104.83)</f>
        <v>123.6994</v>
      </c>
    </row>
    <row r="8" spans="1:21" ht="12.75" customHeight="1" x14ac:dyDescent="0.3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>
        <v>0</v>
      </c>
      <c r="R8" s="22">
        <f t="shared" si="7"/>
        <v>0</v>
      </c>
      <c r="S8" s="22" t="s">
        <v>308</v>
      </c>
      <c r="T8" s="22">
        <f>$T$7*3</f>
        <v>371.09820000000002</v>
      </c>
    </row>
    <row r="9" spans="1:21" ht="12.75" customHeight="1" x14ac:dyDescent="0.3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>
        <v>0</v>
      </c>
      <c r="R9" s="20">
        <f t="shared" si="7"/>
        <v>0</v>
      </c>
      <c r="S9" s="20" t="s">
        <v>309</v>
      </c>
      <c r="T9" s="20">
        <f>T8/64</f>
        <v>5.7984093750000003</v>
      </c>
    </row>
    <row r="10" spans="1:21" ht="12.75" customHeight="1" x14ac:dyDescent="0.3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0</v>
      </c>
      <c r="S10" s="22"/>
      <c r="T10" s="22"/>
    </row>
    <row r="11" spans="1:21" ht="12.75" customHeight="1" x14ac:dyDescent="0.3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>
        <v>0</v>
      </c>
      <c r="R11" s="20">
        <f t="shared" si="7"/>
        <v>0</v>
      </c>
      <c r="S11" s="20" t="s">
        <v>261</v>
      </c>
      <c r="T11" s="20">
        <f>'ANNUAL-EXPENSE-DETAILS'!V14</f>
        <v>0</v>
      </c>
    </row>
    <row r="12" spans="1:21" ht="12.75" customHeight="1" x14ac:dyDescent="0.3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>
        <v>0</v>
      </c>
      <c r="R12" s="22">
        <f t="shared" si="7"/>
        <v>0</v>
      </c>
      <c r="S12" s="22"/>
      <c r="T12" s="22"/>
    </row>
    <row r="13" spans="1:21" ht="12.75" customHeight="1" x14ac:dyDescent="0.3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>
        <v>0</v>
      </c>
      <c r="R13" s="20">
        <f t="shared" si="7"/>
        <v>0</v>
      </c>
      <c r="S13" s="20" t="s">
        <v>373</v>
      </c>
      <c r="T13" s="20">
        <f>T8+I70</f>
        <v>27956.064400000028</v>
      </c>
    </row>
    <row r="14" spans="1:21" ht="12.75" customHeight="1" x14ac:dyDescent="0.3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>
        <v>0</v>
      </c>
      <c r="R14" s="22">
        <f t="shared" si="7"/>
        <v>0</v>
      </c>
      <c r="S14" s="22"/>
      <c r="T14" s="22"/>
    </row>
    <row r="15" spans="1:21" ht="12.75" customHeight="1" x14ac:dyDescent="0.3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>
        <v>0</v>
      </c>
      <c r="R15" s="20">
        <f t="shared" si="7"/>
        <v>0</v>
      </c>
      <c r="S15" s="20"/>
      <c r="T15" s="20"/>
    </row>
    <row r="16" spans="1:21" ht="12.75" customHeight="1" x14ac:dyDescent="0.3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>
        <v>0</v>
      </c>
      <c r="R16" s="22">
        <f t="shared" si="7"/>
        <v>0</v>
      </c>
      <c r="S16" s="22"/>
      <c r="T16" s="22"/>
    </row>
    <row r="17" spans="1:20" ht="12.75" customHeight="1" x14ac:dyDescent="0.3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0</v>
      </c>
      <c r="S17" s="20"/>
      <c r="T17" s="20"/>
    </row>
    <row r="18" spans="1:20" ht="12.75" customHeight="1" x14ac:dyDescent="0.3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>
        <v>0</v>
      </c>
      <c r="R18" s="22">
        <f t="shared" si="7"/>
        <v>0</v>
      </c>
      <c r="S18" s="22"/>
      <c r="T18" s="22"/>
    </row>
    <row r="19" spans="1:20" ht="12.75" customHeight="1" x14ac:dyDescent="0.3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>
        <v>0</v>
      </c>
      <c r="R19" s="20">
        <f t="shared" si="7"/>
        <v>0</v>
      </c>
      <c r="S19" s="20"/>
      <c r="T19" s="20"/>
    </row>
    <row r="20" spans="1:20" ht="12.75" customHeight="1" x14ac:dyDescent="0.3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>
        <v>0</v>
      </c>
      <c r="R20" s="22">
        <f t="shared" si="7"/>
        <v>0</v>
      </c>
      <c r="S20" s="22"/>
      <c r="T20" s="22"/>
    </row>
    <row r="21" spans="1:20" ht="12.75" customHeight="1" x14ac:dyDescent="0.3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>
        <v>0</v>
      </c>
      <c r="R21" s="20">
        <f t="shared" si="7"/>
        <v>0</v>
      </c>
      <c r="S21" s="20"/>
      <c r="T21" s="20"/>
    </row>
    <row r="22" spans="1:20" ht="12.75" customHeight="1" x14ac:dyDescent="0.3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0</v>
      </c>
      <c r="S22" s="22"/>
      <c r="T22" s="22"/>
    </row>
    <row r="23" spans="1:20" ht="12.75" customHeight="1" x14ac:dyDescent="0.3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>
        <v>0</v>
      </c>
      <c r="R23" s="20">
        <f t="shared" si="7"/>
        <v>0</v>
      </c>
      <c r="S23" s="20"/>
      <c r="T23" s="20"/>
    </row>
    <row r="24" spans="1:20" ht="12.75" customHeight="1" x14ac:dyDescent="0.3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>
        <v>0</v>
      </c>
      <c r="R24" s="22">
        <f t="shared" si="7"/>
        <v>0</v>
      </c>
      <c r="S24" s="22"/>
      <c r="T24" s="22"/>
    </row>
    <row r="25" spans="1:20" ht="12.75" customHeight="1" x14ac:dyDescent="0.3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>
        <v>0</v>
      </c>
      <c r="R25" s="20">
        <f t="shared" si="7"/>
        <v>0</v>
      </c>
      <c r="S25" s="20"/>
      <c r="T25" s="20"/>
    </row>
    <row r="26" spans="1:20" ht="12.75" customHeight="1" x14ac:dyDescent="0.3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>
        <v>0</v>
      </c>
      <c r="R26" s="22">
        <f t="shared" si="7"/>
        <v>0</v>
      </c>
      <c r="S26" s="22"/>
      <c r="T26" s="22"/>
    </row>
    <row r="27" spans="1:20" ht="12.75" customHeight="1" x14ac:dyDescent="0.3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>
        <v>0</v>
      </c>
      <c r="R27" s="20">
        <f t="shared" si="7"/>
        <v>0</v>
      </c>
      <c r="S27" s="20"/>
      <c r="T27" s="20"/>
    </row>
    <row r="28" spans="1:20" ht="12.75" customHeight="1" x14ac:dyDescent="0.3">
      <c r="A28" s="21" t="s">
        <v>36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>
        <v>0</v>
      </c>
      <c r="R28" s="22">
        <f t="shared" si="7"/>
        <v>0</v>
      </c>
      <c r="S28" s="22"/>
      <c r="T28" s="22"/>
    </row>
    <row r="29" spans="1:20" ht="12.75" customHeight="1" x14ac:dyDescent="0.3">
      <c r="A29" s="19" t="s">
        <v>38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>
        <v>0</v>
      </c>
      <c r="R29" s="20">
        <f t="shared" si="7"/>
        <v>0</v>
      </c>
      <c r="S29" s="20"/>
      <c r="T29" s="20"/>
    </row>
    <row r="30" spans="1:20" ht="12.75" customHeight="1" x14ac:dyDescent="0.3">
      <c r="A30" s="21" t="s">
        <v>39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>
        <v>0</v>
      </c>
      <c r="R30" s="22">
        <f t="shared" si="7"/>
        <v>0</v>
      </c>
      <c r="S30" s="22"/>
      <c r="T30" s="22"/>
    </row>
    <row r="31" spans="1:20" ht="12.75" customHeight="1" x14ac:dyDescent="0.3">
      <c r="A31" s="19" t="s">
        <v>41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>
        <v>0</v>
      </c>
      <c r="R31" s="20">
        <f t="shared" si="7"/>
        <v>0</v>
      </c>
      <c r="S31" s="20"/>
      <c r="T31" s="20"/>
    </row>
    <row r="32" spans="1:20" ht="12.75" customHeight="1" x14ac:dyDescent="0.3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>
        <v>0</v>
      </c>
      <c r="R32" s="22">
        <f t="shared" si="7"/>
        <v>0</v>
      </c>
      <c r="S32" s="22"/>
      <c r="T32" s="22"/>
    </row>
    <row r="33" spans="1:20" ht="12.75" customHeight="1" x14ac:dyDescent="0.3">
      <c r="A33" s="19" t="s">
        <v>44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>
        <v>0</v>
      </c>
      <c r="R33" s="20">
        <f t="shared" si="7"/>
        <v>0</v>
      </c>
      <c r="S33" s="20"/>
      <c r="T33" s="20"/>
    </row>
    <row r="34" spans="1:20" ht="12.75" customHeight="1" x14ac:dyDescent="0.3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>
        <v>0</v>
      </c>
      <c r="R34" s="22">
        <f t="shared" si="7"/>
        <v>0</v>
      </c>
      <c r="S34" s="22"/>
      <c r="T34" s="22"/>
    </row>
    <row r="35" spans="1:20" ht="12.75" customHeight="1" x14ac:dyDescent="0.3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>
        <v>0</v>
      </c>
      <c r="R35" s="20">
        <f t="shared" si="7"/>
        <v>0</v>
      </c>
      <c r="S35" s="20"/>
      <c r="T35" s="20"/>
    </row>
    <row r="36" spans="1:20" ht="12.75" customHeight="1" x14ac:dyDescent="0.3">
      <c r="A36" s="21" t="s">
        <v>47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>
        <v>0</v>
      </c>
      <c r="R36" s="22">
        <f t="shared" si="7"/>
        <v>0</v>
      </c>
      <c r="S36" s="22"/>
      <c r="T36" s="22"/>
    </row>
    <row r="37" spans="1:20" ht="12.75" customHeight="1" x14ac:dyDescent="0.3">
      <c r="A37" s="19" t="s">
        <v>48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>
        <v>0</v>
      </c>
      <c r="R37" s="20">
        <f t="shared" si="7"/>
        <v>0</v>
      </c>
      <c r="S37" s="20"/>
      <c r="T37" s="20"/>
    </row>
    <row r="38" spans="1:20" ht="12.75" customHeight="1" x14ac:dyDescent="0.3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>
        <v>0</v>
      </c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>
        <v>0</v>
      </c>
      <c r="R39" s="20">
        <f t="shared" si="15"/>
        <v>0</v>
      </c>
      <c r="S39" s="20"/>
      <c r="T39" s="20"/>
    </row>
    <row r="40" spans="1:20" ht="12.75" customHeight="1" x14ac:dyDescent="0.3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>
        <v>0</v>
      </c>
      <c r="R40" s="22">
        <f t="shared" si="15"/>
        <v>0</v>
      </c>
      <c r="S40" s="22"/>
      <c r="T40" s="22"/>
    </row>
    <row r="41" spans="1:20" ht="12.75" customHeight="1" x14ac:dyDescent="0.3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>
        <v>0</v>
      </c>
      <c r="R41" s="20">
        <f t="shared" si="15"/>
        <v>0</v>
      </c>
      <c r="S41" s="20"/>
      <c r="T41" s="20"/>
    </row>
    <row r="42" spans="1:20" ht="12.75" customHeight="1" x14ac:dyDescent="0.3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>
        <v>0</v>
      </c>
      <c r="R42" s="22">
        <f t="shared" si="15"/>
        <v>0</v>
      </c>
      <c r="S42" s="22"/>
      <c r="T42" s="22"/>
    </row>
    <row r="43" spans="1:20" ht="12.75" customHeight="1" x14ac:dyDescent="0.3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>
        <v>0</v>
      </c>
      <c r="R43" s="20">
        <f t="shared" si="15"/>
        <v>0</v>
      </c>
      <c r="S43" s="20"/>
      <c r="T43" s="20"/>
    </row>
    <row r="44" spans="1:20" ht="12.75" customHeight="1" x14ac:dyDescent="0.3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>
        <v>0</v>
      </c>
      <c r="R44" s="22">
        <f t="shared" si="15"/>
        <v>0</v>
      </c>
      <c r="S44" s="22"/>
      <c r="T44" s="22"/>
    </row>
    <row r="45" spans="1:20" ht="12.75" customHeight="1" x14ac:dyDescent="0.3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>
        <v>0</v>
      </c>
      <c r="R45" s="20">
        <f t="shared" si="15"/>
        <v>0</v>
      </c>
      <c r="S45" s="20"/>
      <c r="T45" s="20"/>
    </row>
    <row r="46" spans="1:20" ht="12.75" customHeight="1" x14ac:dyDescent="0.3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>
        <v>0</v>
      </c>
      <c r="R46" s="22">
        <f t="shared" si="15"/>
        <v>0</v>
      </c>
      <c r="S46" s="22"/>
      <c r="T46" s="22"/>
    </row>
    <row r="47" spans="1:20" ht="12.75" customHeight="1" x14ac:dyDescent="0.3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>
        <v>0</v>
      </c>
      <c r="R47" s="20">
        <f t="shared" si="15"/>
        <v>0</v>
      </c>
      <c r="S47" s="20"/>
      <c r="T47" s="20"/>
    </row>
    <row r="48" spans="1:20" ht="12.75" customHeight="1" x14ac:dyDescent="0.3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>
        <v>0</v>
      </c>
      <c r="R48" s="22">
        <f t="shared" si="15"/>
        <v>0</v>
      </c>
      <c r="S48" s="22"/>
      <c r="T48" s="22"/>
    </row>
    <row r="49" spans="1:20" ht="12.75" customHeight="1" x14ac:dyDescent="0.3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>
        <v>0</v>
      </c>
      <c r="R49" s="20">
        <f t="shared" si="15"/>
        <v>0</v>
      </c>
      <c r="S49" s="20"/>
      <c r="T49" s="20"/>
    </row>
    <row r="50" spans="1:20" ht="12.75" customHeight="1" x14ac:dyDescent="0.3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>
        <v>0</v>
      </c>
      <c r="R50" s="22">
        <f t="shared" si="15"/>
        <v>0</v>
      </c>
      <c r="S50" s="22"/>
      <c r="T50" s="22"/>
    </row>
    <row r="51" spans="1:20" ht="12.75" customHeight="1" x14ac:dyDescent="0.3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>
        <v>0</v>
      </c>
      <c r="R51" s="20">
        <f t="shared" si="15"/>
        <v>0</v>
      </c>
      <c r="S51" s="20"/>
      <c r="T51" s="20"/>
    </row>
    <row r="52" spans="1:20" ht="12.75" customHeight="1" x14ac:dyDescent="0.3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>
        <v>0</v>
      </c>
      <c r="R52" s="22">
        <f t="shared" si="15"/>
        <v>0</v>
      </c>
      <c r="S52" s="22"/>
      <c r="T52" s="22"/>
    </row>
    <row r="53" spans="1:20" ht="12.75" customHeight="1" x14ac:dyDescent="0.3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>
        <v>0</v>
      </c>
      <c r="R53" s="20">
        <f t="shared" si="15"/>
        <v>0</v>
      </c>
      <c r="S53" s="20"/>
      <c r="T53" s="20"/>
    </row>
    <row r="54" spans="1:20" ht="12.75" customHeight="1" x14ac:dyDescent="0.3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>
        <v>0</v>
      </c>
      <c r="R54" s="22">
        <f t="shared" si="15"/>
        <v>0</v>
      </c>
      <c r="S54" s="22"/>
      <c r="T54" s="22"/>
    </row>
    <row r="55" spans="1:20" ht="12.75" customHeight="1" x14ac:dyDescent="0.3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>
        <v>0</v>
      </c>
      <c r="R55" s="20">
        <f t="shared" si="15"/>
        <v>0</v>
      </c>
      <c r="S55" s="20"/>
      <c r="T55" s="20"/>
    </row>
    <row r="56" spans="1:20" ht="12.75" customHeight="1" x14ac:dyDescent="0.3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>
        <v>0</v>
      </c>
      <c r="R56" s="22">
        <f t="shared" si="15"/>
        <v>0</v>
      </c>
      <c r="S56" s="22"/>
      <c r="T56" s="22"/>
    </row>
    <row r="57" spans="1:20" ht="12.75" customHeight="1" x14ac:dyDescent="0.3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>
        <v>0</v>
      </c>
      <c r="R57" s="20">
        <f t="shared" si="15"/>
        <v>0</v>
      </c>
      <c r="S57" s="20"/>
      <c r="T57" s="20"/>
    </row>
    <row r="58" spans="1:20" ht="12.75" customHeight="1" x14ac:dyDescent="0.3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>
        <v>0</v>
      </c>
      <c r="R58" s="22">
        <f t="shared" si="15"/>
        <v>0</v>
      </c>
      <c r="S58" s="22"/>
      <c r="T58" s="22"/>
    </row>
    <row r="59" spans="1:20" ht="12.75" customHeight="1" x14ac:dyDescent="0.3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>
        <v>0</v>
      </c>
      <c r="R59" s="20">
        <f t="shared" si="15"/>
        <v>0</v>
      </c>
      <c r="S59" s="20"/>
      <c r="T59" s="20"/>
    </row>
    <row r="60" spans="1:20" ht="12.75" customHeight="1" x14ac:dyDescent="0.3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>
        <v>0</v>
      </c>
      <c r="R60" s="22">
        <f t="shared" si="15"/>
        <v>0</v>
      </c>
      <c r="S60" s="22"/>
      <c r="T60" s="22"/>
    </row>
    <row r="61" spans="1:20" ht="12.75" customHeight="1" x14ac:dyDescent="0.3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>
        <v>0</v>
      </c>
      <c r="R61" s="20">
        <f t="shared" si="15"/>
        <v>0</v>
      </c>
      <c r="S61" s="20"/>
      <c r="T61" s="20"/>
    </row>
    <row r="62" spans="1:20" ht="12.75" customHeight="1" x14ac:dyDescent="0.3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>
        <v>0</v>
      </c>
      <c r="R62" s="22">
        <f t="shared" si="15"/>
        <v>0</v>
      </c>
      <c r="S62" s="22"/>
      <c r="T62" s="22"/>
    </row>
    <row r="63" spans="1:20" ht="12.75" customHeight="1" x14ac:dyDescent="0.3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>
        <v>0</v>
      </c>
      <c r="R63" s="20">
        <f t="shared" si="15"/>
        <v>0</v>
      </c>
      <c r="S63" s="20"/>
      <c r="T63" s="20"/>
    </row>
    <row r="64" spans="1:20" ht="12.75" customHeight="1" x14ac:dyDescent="0.3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>
        <v>0</v>
      </c>
      <c r="R64" s="22">
        <f t="shared" si="15"/>
        <v>0</v>
      </c>
      <c r="S64" s="22"/>
      <c r="T64" s="22"/>
    </row>
    <row r="65" spans="1:20" ht="12.75" customHeight="1" x14ac:dyDescent="0.3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>
        <v>0</v>
      </c>
      <c r="R65" s="20">
        <f t="shared" si="15"/>
        <v>0</v>
      </c>
      <c r="S65" s="20"/>
      <c r="T65" s="20"/>
    </row>
    <row r="66" spans="1:20" ht="12.75" customHeight="1" x14ac:dyDescent="0.3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>
        <v>0</v>
      </c>
      <c r="R66" s="22">
        <f t="shared" si="15"/>
        <v>0</v>
      </c>
      <c r="S66" s="22"/>
      <c r="T66" s="22"/>
    </row>
    <row r="67" spans="1:20" ht="12.75" customHeight="1" x14ac:dyDescent="0.3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>
        <v>0</v>
      </c>
      <c r="R67" s="20">
        <f t="shared" si="15"/>
        <v>0</v>
      </c>
      <c r="S67" s="20"/>
      <c r="T67" s="20"/>
    </row>
    <row r="68" spans="1:20" ht="12.75" customHeight="1" x14ac:dyDescent="0.3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>
        <v>0</v>
      </c>
      <c r="R68" s="22">
        <f t="shared" si="15"/>
        <v>0</v>
      </c>
      <c r="S68" s="22"/>
      <c r="T68" s="22"/>
    </row>
    <row r="69" spans="1:20" ht="12.75" customHeight="1" x14ac:dyDescent="0.3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>
        <v>0</v>
      </c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7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9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14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18</v>
      </c>
      <c r="B9" s="19" t="str">
        <f>VLOOKUP(A9,Members!$A$2:$B$65,2,FALSE)</f>
        <v>Ruhi Agrawal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19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21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22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25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30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31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33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34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36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38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39</v>
      </c>
      <c r="B26" s="21" t="str">
        <f>VLOOKUP(A26,Members!$A$2:$B$65,2,FALSE)</f>
        <v>Ankur Agarwal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41</v>
      </c>
      <c r="B27" s="19" t="str">
        <f>VLOOKUP(A27,Members!$A$2:$B$65,2,FALSE)</f>
        <v>Richa Singh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42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44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47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48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50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54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58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59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60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61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63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68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69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70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71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74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76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79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80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81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84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85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87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X1001"/>
  <sheetViews>
    <sheetView zoomScaleNormal="100" workbookViewId="0">
      <pane xSplit="1" ySplit="2" topLeftCell="E3" activePane="bottomRight" state="frozen"/>
      <selection pane="topRight"/>
      <selection pane="bottomLeft" activeCell="A3" sqref="A3"/>
      <selection pane="bottomRight" activeCell="K11" sqref="K11"/>
    </sheetView>
  </sheetViews>
  <sheetFormatPr defaultColWidth="14.44140625" defaultRowHeight="15" customHeight="1" x14ac:dyDescent="0.3"/>
  <cols>
    <col min="1" max="3" width="11.44140625" style="67" customWidth="1"/>
    <col min="4" max="4" width="16.33203125" style="67" customWidth="1"/>
    <col min="5" max="5" width="15.6640625" style="67" customWidth="1"/>
    <col min="6" max="6" width="11.44140625" style="67" customWidth="1"/>
    <col min="7" max="7" width="13.44140625" style="67" customWidth="1"/>
    <col min="8" max="8" width="11.44140625" style="67" customWidth="1"/>
    <col min="9" max="9" width="15.6640625" style="67" customWidth="1"/>
    <col min="10" max="10" width="11.44140625" style="67" customWidth="1"/>
    <col min="11" max="11" width="14.44140625" style="67" customWidth="1"/>
    <col min="12" max="12" width="15.44140625" style="67" customWidth="1"/>
    <col min="13" max="13" width="13.44140625" style="67" customWidth="1"/>
    <col min="14" max="16" width="11.44140625" style="67" customWidth="1"/>
    <col min="17" max="19" width="13.6640625" style="67" customWidth="1"/>
    <col min="20" max="22" width="11.44140625" style="67" customWidth="1"/>
    <col min="23" max="24" width="11.44140625" style="83" customWidth="1"/>
    <col min="25" max="56" width="14.44140625" style="67" customWidth="1"/>
    <col min="57" max="16384" width="14.44140625" style="67"/>
  </cols>
  <sheetData>
    <row r="1" spans="1:24" ht="32.25" customHeight="1" x14ac:dyDescent="0.3">
      <c r="A1" s="100" t="s">
        <v>380</v>
      </c>
      <c r="B1" s="104" t="s">
        <v>381</v>
      </c>
      <c r="C1" s="105"/>
      <c r="D1" s="104" t="s">
        <v>382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5"/>
      <c r="T1" s="103" t="s">
        <v>383</v>
      </c>
      <c r="U1" s="103" t="s">
        <v>384</v>
      </c>
      <c r="V1" s="103" t="s">
        <v>385</v>
      </c>
      <c r="W1" s="102" t="s">
        <v>386</v>
      </c>
      <c r="X1" s="102" t="s">
        <v>387</v>
      </c>
    </row>
    <row r="2" spans="1:24" ht="38.25" customHeight="1" thickBot="1" x14ac:dyDescent="0.35">
      <c r="A2" s="101"/>
      <c r="B2" s="57" t="s">
        <v>388</v>
      </c>
      <c r="C2" s="57" t="s">
        <v>389</v>
      </c>
      <c r="D2" s="57" t="s">
        <v>390</v>
      </c>
      <c r="E2" s="57" t="s">
        <v>391</v>
      </c>
      <c r="F2" s="57" t="s">
        <v>392</v>
      </c>
      <c r="G2" s="57" t="s">
        <v>393</v>
      </c>
      <c r="H2" s="57" t="s">
        <v>394</v>
      </c>
      <c r="I2" s="57" t="s">
        <v>395</v>
      </c>
      <c r="J2" s="57" t="s">
        <v>396</v>
      </c>
      <c r="K2" s="57" t="s">
        <v>397</v>
      </c>
      <c r="L2" s="57" t="s">
        <v>398</v>
      </c>
      <c r="M2" s="57" t="s">
        <v>399</v>
      </c>
      <c r="N2" s="57" t="s">
        <v>400</v>
      </c>
      <c r="O2" s="57" t="s">
        <v>401</v>
      </c>
      <c r="P2" s="57" t="s">
        <v>402</v>
      </c>
      <c r="Q2" s="57" t="s">
        <v>403</v>
      </c>
      <c r="R2" s="57" t="s">
        <v>404</v>
      </c>
      <c r="S2" s="57" t="s">
        <v>405</v>
      </c>
      <c r="T2" s="101"/>
      <c r="U2" s="101"/>
      <c r="V2" s="101"/>
      <c r="W2" s="101"/>
      <c r="X2" s="101"/>
    </row>
    <row r="3" spans="1:24" ht="30" customHeight="1" x14ac:dyDescent="0.3">
      <c r="A3" s="60" t="s">
        <v>406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f t="shared" ref="T3:T15" si="0">SUM(B3:S3)</f>
        <v>318562</v>
      </c>
      <c r="U3" s="61">
        <f t="shared" ref="U3:U14" si="1">SUM(B3:C3)</f>
        <v>48800</v>
      </c>
      <c r="V3" s="61">
        <f t="shared" ref="V3:V14" si="2">T3-U3</f>
        <v>269762</v>
      </c>
      <c r="W3" s="79">
        <f>'Apr2026-EXPENSE'!I70</f>
        <v>26271.897600000015</v>
      </c>
      <c r="X3" s="79">
        <f t="shared" ref="X3:X14" si="3">T3+W3</f>
        <v>344833.89760000003</v>
      </c>
    </row>
    <row r="4" spans="1:24" ht="30" customHeight="1" x14ac:dyDescent="0.3">
      <c r="A4" s="62" t="s">
        <v>407</v>
      </c>
      <c r="B4" s="63">
        <v>21600</v>
      </c>
      <c r="C4" s="63">
        <v>20500</v>
      </c>
      <c r="D4" s="63">
        <v>31600</v>
      </c>
      <c r="E4" s="63">
        <v>27961</v>
      </c>
      <c r="F4" s="61">
        <v>151040</v>
      </c>
      <c r="G4" s="63">
        <v>6600</v>
      </c>
      <c r="H4" s="63">
        <v>10000</v>
      </c>
      <c r="I4" s="63">
        <v>0</v>
      </c>
      <c r="J4" s="63">
        <v>0</v>
      </c>
      <c r="K4" s="63">
        <f>4995+9000</f>
        <v>13995</v>
      </c>
      <c r="L4" s="63">
        <v>0</v>
      </c>
      <c r="M4" s="63">
        <v>3000</v>
      </c>
      <c r="N4" s="63">
        <v>7000</v>
      </c>
      <c r="O4" s="63">
        <v>7000</v>
      </c>
      <c r="P4" s="63">
        <v>10000</v>
      </c>
      <c r="Q4" s="63">
        <f>8300</f>
        <v>8300</v>
      </c>
      <c r="R4" s="63">
        <v>0</v>
      </c>
      <c r="S4" s="63">
        <v>4512</v>
      </c>
      <c r="T4" s="63">
        <f t="shared" si="0"/>
        <v>323108</v>
      </c>
      <c r="U4" s="63">
        <f t="shared" si="1"/>
        <v>42100</v>
      </c>
      <c r="V4" s="63">
        <f t="shared" si="2"/>
        <v>281008</v>
      </c>
      <c r="W4" s="79">
        <f>'May2026-EXPENSE'!I70</f>
        <v>27584.966200000028</v>
      </c>
      <c r="X4" s="84">
        <f t="shared" si="3"/>
        <v>350692.96620000002</v>
      </c>
    </row>
    <row r="5" spans="1:24" ht="30" customHeight="1" x14ac:dyDescent="0.3">
      <c r="A5" s="60" t="s">
        <v>408</v>
      </c>
      <c r="B5" s="61">
        <v>28350</v>
      </c>
      <c r="C5" s="61">
        <v>23000</v>
      </c>
      <c r="D5" s="61">
        <v>31600</v>
      </c>
      <c r="E5" s="61">
        <v>28401</v>
      </c>
      <c r="F5" s="61">
        <v>151040</v>
      </c>
      <c r="G5" s="61">
        <v>6600</v>
      </c>
      <c r="H5" s="61">
        <v>10000</v>
      </c>
      <c r="I5" s="61">
        <v>0</v>
      </c>
      <c r="J5" s="61">
        <f>1130+49500+12800</f>
        <v>63430</v>
      </c>
      <c r="K5" s="61">
        <v>0</v>
      </c>
      <c r="L5" s="61">
        <v>0</v>
      </c>
      <c r="M5" s="61">
        <v>3000</v>
      </c>
      <c r="N5" s="61">
        <v>7000</v>
      </c>
      <c r="O5" s="61">
        <v>7000</v>
      </c>
      <c r="P5" s="61">
        <v>10000</v>
      </c>
      <c r="Q5" s="61">
        <v>4800</v>
      </c>
      <c r="R5" s="61">
        <v>0</v>
      </c>
      <c r="S5" s="61">
        <v>0</v>
      </c>
      <c r="T5" s="61">
        <f t="shared" si="0"/>
        <v>374221</v>
      </c>
      <c r="U5" s="61">
        <f t="shared" si="1"/>
        <v>51350</v>
      </c>
      <c r="V5" s="61">
        <f t="shared" si="2"/>
        <v>322871</v>
      </c>
      <c r="W5" s="79">
        <v>27585</v>
      </c>
      <c r="X5" s="79">
        <f t="shared" si="3"/>
        <v>401806</v>
      </c>
    </row>
    <row r="6" spans="1:24" ht="30" customHeight="1" x14ac:dyDescent="0.3">
      <c r="A6" s="62" t="s">
        <v>409</v>
      </c>
      <c r="B6" s="63">
        <v>20400</v>
      </c>
      <c r="C6" s="63">
        <v>20500</v>
      </c>
      <c r="D6" s="63">
        <v>31600</v>
      </c>
      <c r="E6" s="63">
        <v>30637</v>
      </c>
      <c r="F6" s="63">
        <v>151040</v>
      </c>
      <c r="G6" s="63">
        <v>6600</v>
      </c>
      <c r="H6" s="63">
        <v>10000</v>
      </c>
      <c r="I6" s="63">
        <v>0</v>
      </c>
      <c r="J6" s="63">
        <v>37900</v>
      </c>
      <c r="K6" s="63">
        <v>0</v>
      </c>
      <c r="L6" s="63">
        <v>0</v>
      </c>
      <c r="M6" s="63">
        <v>3000</v>
      </c>
      <c r="N6" s="63">
        <v>7000</v>
      </c>
      <c r="O6" s="63">
        <v>7000</v>
      </c>
      <c r="P6" s="63">
        <v>10000</v>
      </c>
      <c r="Q6" s="63">
        <v>3300</v>
      </c>
      <c r="R6" s="63">
        <f>20000+590+590</f>
        <v>21180</v>
      </c>
      <c r="S6" s="63">
        <v>6183</v>
      </c>
      <c r="T6" s="63">
        <f t="shared" si="0"/>
        <v>366340</v>
      </c>
      <c r="U6" s="63">
        <f t="shared" si="1"/>
        <v>40900</v>
      </c>
      <c r="V6" s="63">
        <f t="shared" si="2"/>
        <v>325440</v>
      </c>
      <c r="W6" s="79">
        <v>27585</v>
      </c>
      <c r="X6" s="84">
        <f t="shared" si="3"/>
        <v>393925</v>
      </c>
    </row>
    <row r="7" spans="1:24" ht="30" customHeight="1" x14ac:dyDescent="0.3">
      <c r="A7" s="60" t="s">
        <v>410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1">
        <f t="shared" si="1"/>
        <v>0</v>
      </c>
      <c r="V7" s="61">
        <f t="shared" si="2"/>
        <v>0</v>
      </c>
      <c r="W7" s="79"/>
      <c r="X7" s="79">
        <f t="shared" si="3"/>
        <v>0</v>
      </c>
    </row>
    <row r="8" spans="1:24" ht="30" customHeight="1" x14ac:dyDescent="0.3">
      <c r="A8" s="62" t="s">
        <v>411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3"/>
      <c r="T8" s="63">
        <f t="shared" si="0"/>
        <v>0</v>
      </c>
      <c r="U8" s="63">
        <f t="shared" si="1"/>
        <v>0</v>
      </c>
      <c r="V8" s="63">
        <f t="shared" si="2"/>
        <v>0</v>
      </c>
      <c r="W8" s="79"/>
      <c r="X8" s="84">
        <f t="shared" si="3"/>
        <v>0</v>
      </c>
    </row>
    <row r="9" spans="1:24" ht="30" customHeight="1" x14ac:dyDescent="0.3">
      <c r="A9" s="60" t="s">
        <v>412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1">
        <f t="shared" si="1"/>
        <v>0</v>
      </c>
      <c r="V9" s="61">
        <f t="shared" si="2"/>
        <v>0</v>
      </c>
      <c r="W9" s="79"/>
      <c r="X9" s="79">
        <f t="shared" si="3"/>
        <v>0</v>
      </c>
    </row>
    <row r="10" spans="1:24" ht="30" customHeight="1" x14ac:dyDescent="0.3">
      <c r="A10" s="62" t="s">
        <v>413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>
        <f t="shared" si="0"/>
        <v>0</v>
      </c>
      <c r="U10" s="63">
        <f t="shared" si="1"/>
        <v>0</v>
      </c>
      <c r="V10" s="63">
        <f t="shared" si="2"/>
        <v>0</v>
      </c>
      <c r="W10" s="79"/>
      <c r="X10" s="84">
        <f t="shared" si="3"/>
        <v>0</v>
      </c>
    </row>
    <row r="11" spans="1:24" ht="30" customHeight="1" x14ac:dyDescent="0.3">
      <c r="A11" s="60" t="s">
        <v>414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>
        <f t="shared" si="0"/>
        <v>0</v>
      </c>
      <c r="U11" s="61">
        <f t="shared" si="1"/>
        <v>0</v>
      </c>
      <c r="V11" s="61">
        <f t="shared" si="2"/>
        <v>0</v>
      </c>
      <c r="W11" s="79"/>
      <c r="X11" s="79">
        <f t="shared" si="3"/>
        <v>0</v>
      </c>
    </row>
    <row r="12" spans="1:24" ht="30" customHeight="1" x14ac:dyDescent="0.3">
      <c r="A12" s="62" t="s">
        <v>415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f t="shared" si="0"/>
        <v>0</v>
      </c>
      <c r="U12" s="63">
        <f t="shared" si="1"/>
        <v>0</v>
      </c>
      <c r="V12" s="63">
        <f t="shared" si="2"/>
        <v>0</v>
      </c>
      <c r="W12" s="79"/>
      <c r="X12" s="84">
        <f t="shared" si="3"/>
        <v>0</v>
      </c>
    </row>
    <row r="13" spans="1:24" ht="30" customHeight="1" x14ac:dyDescent="0.3">
      <c r="A13" s="60" t="s">
        <v>416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>
        <f t="shared" si="0"/>
        <v>0</v>
      </c>
      <c r="U13" s="61">
        <f t="shared" si="1"/>
        <v>0</v>
      </c>
      <c r="V13" s="61">
        <f t="shared" si="2"/>
        <v>0</v>
      </c>
      <c r="W13" s="79"/>
      <c r="X13" s="79">
        <f t="shared" si="3"/>
        <v>0</v>
      </c>
    </row>
    <row r="14" spans="1:24" ht="30" customHeight="1" x14ac:dyDescent="0.3">
      <c r="A14" s="62" t="s">
        <v>417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f t="shared" si="0"/>
        <v>0</v>
      </c>
      <c r="U14" s="63">
        <f t="shared" si="1"/>
        <v>0</v>
      </c>
      <c r="V14" s="63">
        <f t="shared" si="2"/>
        <v>0</v>
      </c>
      <c r="W14" s="79"/>
      <c r="X14" s="84">
        <f t="shared" si="3"/>
        <v>0</v>
      </c>
    </row>
    <row r="15" spans="1:24" ht="30" customHeight="1" thickBot="1" x14ac:dyDescent="0.35">
      <c r="A15" s="65" t="s">
        <v>87</v>
      </c>
      <c r="B15" s="66">
        <f t="shared" ref="B15:Q15" si="4">SUM(B3:B14)</f>
        <v>97350</v>
      </c>
      <c r="C15" s="66">
        <f t="shared" si="4"/>
        <v>85800</v>
      </c>
      <c r="D15" s="66">
        <f t="shared" si="4"/>
        <v>126400</v>
      </c>
      <c r="E15" s="66">
        <f t="shared" si="4"/>
        <v>115421</v>
      </c>
      <c r="F15" s="66">
        <f t="shared" si="4"/>
        <v>604160</v>
      </c>
      <c r="G15" s="66">
        <f t="shared" si="4"/>
        <v>26400</v>
      </c>
      <c r="H15" s="66">
        <f t="shared" si="4"/>
        <v>40000</v>
      </c>
      <c r="I15" s="66">
        <f t="shared" si="4"/>
        <v>0</v>
      </c>
      <c r="J15" s="66">
        <f t="shared" si="4"/>
        <v>113130</v>
      </c>
      <c r="K15" s="66">
        <f t="shared" si="4"/>
        <v>13995</v>
      </c>
      <c r="L15" s="66">
        <f t="shared" si="4"/>
        <v>0</v>
      </c>
      <c r="M15" s="66">
        <f t="shared" si="4"/>
        <v>12000</v>
      </c>
      <c r="N15" s="66">
        <f t="shared" si="4"/>
        <v>28000</v>
      </c>
      <c r="O15" s="66">
        <f t="shared" si="4"/>
        <v>28000</v>
      </c>
      <c r="P15" s="66">
        <f t="shared" si="4"/>
        <v>40000</v>
      </c>
      <c r="Q15" s="66">
        <f t="shared" si="4"/>
        <v>19700</v>
      </c>
      <c r="R15" s="66"/>
      <c r="S15" s="66">
        <f>SUM(S3:S14)</f>
        <v>10695</v>
      </c>
      <c r="T15" s="66">
        <f t="shared" si="0"/>
        <v>1361051</v>
      </c>
      <c r="U15" s="66">
        <f>SUM(U3:U14)</f>
        <v>183150</v>
      </c>
      <c r="V15" s="66">
        <f>SUM(V3:V14)</f>
        <v>1199081</v>
      </c>
      <c r="W15" s="81">
        <f>SUM(W3:W14)</f>
        <v>109026.86380000005</v>
      </c>
      <c r="X15" s="81">
        <f>SUM(X3:X14)</f>
        <v>1491257.8637999999</v>
      </c>
    </row>
    <row r="16" spans="1:24" ht="30" customHeight="1" thickTop="1" x14ac:dyDescent="0.3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82"/>
      <c r="X16" s="82"/>
    </row>
    <row r="17" spans="1:24" ht="30" customHeight="1" x14ac:dyDescent="0.3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82"/>
      <c r="X17" s="82"/>
    </row>
    <row r="18" spans="1:24" ht="30" customHeight="1" x14ac:dyDescent="0.3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82"/>
      <c r="X18" s="82"/>
    </row>
    <row r="19" spans="1:24" ht="30" customHeight="1" x14ac:dyDescent="0.3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82"/>
      <c r="X19" s="82"/>
    </row>
    <row r="20" spans="1:24" ht="30" customHeight="1" x14ac:dyDescent="0.3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82"/>
      <c r="X20" s="82"/>
    </row>
    <row r="21" spans="1:24" ht="30" customHeight="1" x14ac:dyDescent="0.3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82"/>
      <c r="X21" s="82"/>
    </row>
    <row r="22" spans="1:24" ht="30" customHeight="1" x14ac:dyDescent="0.3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82"/>
      <c r="X22" s="82"/>
    </row>
    <row r="23" spans="1:24" ht="30" customHeight="1" x14ac:dyDescent="0.3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82"/>
      <c r="X23" s="82"/>
    </row>
    <row r="24" spans="1:24" ht="30" customHeight="1" x14ac:dyDescent="0.3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82"/>
      <c r="X24" s="82"/>
    </row>
    <row r="25" spans="1:24" ht="30" customHeight="1" x14ac:dyDescent="0.3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82"/>
      <c r="X25" s="82"/>
    </row>
    <row r="26" spans="1:24" ht="30" customHeight="1" x14ac:dyDescent="0.3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82"/>
      <c r="X26" s="82"/>
    </row>
    <row r="27" spans="1:24" ht="30" customHeight="1" x14ac:dyDescent="0.3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82"/>
      <c r="X27" s="82"/>
    </row>
    <row r="28" spans="1:24" ht="30" customHeight="1" x14ac:dyDescent="0.3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82"/>
      <c r="X28" s="82"/>
    </row>
    <row r="29" spans="1:24" ht="30" customHeight="1" x14ac:dyDescent="0.3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82"/>
      <c r="X29" s="82"/>
    </row>
    <row r="30" spans="1:24" ht="30" customHeight="1" x14ac:dyDescent="0.3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82"/>
      <c r="X30" s="82"/>
    </row>
    <row r="31" spans="1:24" ht="30" customHeight="1" x14ac:dyDescent="0.3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82"/>
      <c r="X31" s="82"/>
    </row>
    <row r="32" spans="1:24" ht="30" customHeight="1" x14ac:dyDescent="0.3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82"/>
      <c r="X32" s="82"/>
    </row>
    <row r="33" spans="1:24" ht="30" customHeight="1" x14ac:dyDescent="0.3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82"/>
      <c r="X33" s="82"/>
    </row>
    <row r="34" spans="1:24" ht="30" customHeight="1" x14ac:dyDescent="0.3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82"/>
      <c r="X34" s="82"/>
    </row>
    <row r="35" spans="1:24" ht="30" customHeight="1" x14ac:dyDescent="0.3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82"/>
      <c r="X35" s="82"/>
    </row>
    <row r="36" spans="1:24" ht="30" customHeight="1" x14ac:dyDescent="0.3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82"/>
      <c r="X36" s="82"/>
    </row>
    <row r="37" spans="1:24" ht="30" customHeight="1" x14ac:dyDescent="0.3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82"/>
      <c r="X37" s="82"/>
    </row>
    <row r="38" spans="1:24" ht="30" customHeigh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82"/>
      <c r="X38" s="82"/>
    </row>
    <row r="39" spans="1:24" ht="30" customHeight="1" x14ac:dyDescent="0.3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82"/>
      <c r="X39" s="82"/>
    </row>
    <row r="40" spans="1:24" ht="30" customHeigh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82"/>
      <c r="X40" s="82"/>
    </row>
    <row r="41" spans="1:24" ht="30" customHeight="1" x14ac:dyDescent="0.3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82"/>
      <c r="X41" s="82"/>
    </row>
    <row r="42" spans="1:24" ht="30" customHeigh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82"/>
      <c r="X42" s="82"/>
    </row>
    <row r="43" spans="1:24" ht="30" customHeight="1" x14ac:dyDescent="0.3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82"/>
      <c r="X43" s="82"/>
    </row>
    <row r="44" spans="1:24" ht="30" customHeight="1" x14ac:dyDescent="0.3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82"/>
      <c r="X44" s="82"/>
    </row>
    <row r="45" spans="1:24" ht="30" customHeight="1" x14ac:dyDescent="0.3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82"/>
      <c r="X45" s="82"/>
    </row>
    <row r="46" spans="1:24" ht="30" customHeight="1" x14ac:dyDescent="0.3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82"/>
      <c r="X46" s="82"/>
    </row>
    <row r="47" spans="1:24" ht="30" customHeight="1" x14ac:dyDescent="0.3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82"/>
      <c r="X47" s="82"/>
    </row>
    <row r="48" spans="1:24" ht="30" customHeight="1" x14ac:dyDescent="0.3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82"/>
      <c r="X48" s="82"/>
    </row>
    <row r="49" spans="1:24" ht="30" customHeight="1" x14ac:dyDescent="0.3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82"/>
      <c r="X49" s="82"/>
    </row>
    <row r="50" spans="1:24" ht="30" customHeight="1" x14ac:dyDescent="0.3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82"/>
      <c r="X50" s="82"/>
    </row>
    <row r="51" spans="1:24" ht="30" customHeight="1" x14ac:dyDescent="0.3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82"/>
      <c r="X51" s="82"/>
    </row>
    <row r="52" spans="1:24" ht="30" customHeight="1" x14ac:dyDescent="0.3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82"/>
      <c r="X52" s="82"/>
    </row>
    <row r="53" spans="1:24" ht="30" customHeight="1" x14ac:dyDescent="0.3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82"/>
      <c r="X53" s="82"/>
    </row>
    <row r="54" spans="1:24" ht="30" customHeight="1" x14ac:dyDescent="0.3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82"/>
      <c r="X54" s="82"/>
    </row>
    <row r="55" spans="1:24" ht="30" customHeight="1" x14ac:dyDescent="0.3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82"/>
      <c r="X55" s="82"/>
    </row>
    <row r="56" spans="1:24" ht="30" customHeight="1" x14ac:dyDescent="0.3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82"/>
      <c r="X56" s="82"/>
    </row>
    <row r="57" spans="1:24" ht="30" customHeight="1" x14ac:dyDescent="0.3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82"/>
      <c r="X57" s="82"/>
    </row>
    <row r="58" spans="1:24" ht="30" customHeight="1" x14ac:dyDescent="0.3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82"/>
      <c r="X58" s="82"/>
    </row>
    <row r="59" spans="1:24" ht="30" customHeight="1" x14ac:dyDescent="0.3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82"/>
      <c r="X59" s="82"/>
    </row>
    <row r="60" spans="1:24" ht="30" customHeight="1" x14ac:dyDescent="0.3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82"/>
      <c r="X60" s="82"/>
    </row>
    <row r="61" spans="1:24" ht="30" customHeight="1" x14ac:dyDescent="0.3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82"/>
      <c r="X61" s="82"/>
    </row>
    <row r="62" spans="1:24" ht="30" customHeight="1" x14ac:dyDescent="0.3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82"/>
      <c r="X62" s="82"/>
    </row>
    <row r="63" spans="1:24" ht="30" customHeight="1" x14ac:dyDescent="0.3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82"/>
      <c r="X63" s="82"/>
    </row>
    <row r="64" spans="1:24" ht="30" customHeight="1" x14ac:dyDescent="0.3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82"/>
      <c r="X64" s="82"/>
    </row>
    <row r="65" spans="1:24" ht="30" customHeight="1" x14ac:dyDescent="0.3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82"/>
      <c r="X65" s="82"/>
    </row>
    <row r="66" spans="1:24" ht="30" customHeight="1" x14ac:dyDescent="0.3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82"/>
      <c r="X66" s="82"/>
    </row>
    <row r="67" spans="1:24" ht="30" customHeight="1" x14ac:dyDescent="0.3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82"/>
      <c r="X67" s="82"/>
    </row>
    <row r="68" spans="1:24" ht="30" customHeight="1" x14ac:dyDescent="0.3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82"/>
      <c r="X68" s="82"/>
    </row>
    <row r="69" spans="1:24" ht="30" customHeight="1" x14ac:dyDescent="0.3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82"/>
      <c r="X69" s="82"/>
    </row>
    <row r="70" spans="1:24" ht="30" customHeight="1" x14ac:dyDescent="0.3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82"/>
      <c r="X70" s="82"/>
    </row>
    <row r="71" spans="1:24" ht="30" customHeight="1" x14ac:dyDescent="0.3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82"/>
      <c r="X71" s="82"/>
    </row>
    <row r="72" spans="1:24" ht="30" customHeight="1" x14ac:dyDescent="0.3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82"/>
      <c r="X72" s="82"/>
    </row>
    <row r="73" spans="1:24" ht="30" customHeight="1" x14ac:dyDescent="0.3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82"/>
      <c r="X73" s="82"/>
    </row>
    <row r="74" spans="1:24" ht="30" customHeight="1" x14ac:dyDescent="0.3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82"/>
      <c r="X74" s="82"/>
    </row>
    <row r="75" spans="1:24" ht="30" customHeight="1" x14ac:dyDescent="0.3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82"/>
      <c r="X75" s="82"/>
    </row>
    <row r="76" spans="1:24" ht="30" customHeight="1" x14ac:dyDescent="0.3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82"/>
      <c r="X76" s="82"/>
    </row>
    <row r="77" spans="1:24" ht="30" customHeight="1" x14ac:dyDescent="0.3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82"/>
      <c r="X77" s="82"/>
    </row>
    <row r="78" spans="1:24" ht="30" customHeight="1" x14ac:dyDescent="0.3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82"/>
      <c r="X78" s="82"/>
    </row>
    <row r="79" spans="1:24" ht="30" customHeight="1" x14ac:dyDescent="0.3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82"/>
      <c r="X79" s="82"/>
    </row>
    <row r="80" spans="1:24" ht="30" customHeight="1" x14ac:dyDescent="0.3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82"/>
      <c r="X80" s="82"/>
    </row>
    <row r="81" spans="1:24" ht="30" customHeight="1" x14ac:dyDescent="0.3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82"/>
      <c r="X81" s="82"/>
    </row>
    <row r="82" spans="1:24" ht="30" customHeight="1" x14ac:dyDescent="0.3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82"/>
      <c r="X82" s="82"/>
    </row>
    <row r="83" spans="1:24" ht="30" customHeight="1" x14ac:dyDescent="0.3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82"/>
      <c r="X83" s="82"/>
    </row>
    <row r="84" spans="1:24" ht="30" customHeight="1" x14ac:dyDescent="0.3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82"/>
      <c r="X84" s="82"/>
    </row>
    <row r="85" spans="1:24" ht="30" customHeight="1" x14ac:dyDescent="0.3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82"/>
      <c r="X85" s="82"/>
    </row>
    <row r="86" spans="1:24" ht="30" customHeight="1" x14ac:dyDescent="0.3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82"/>
      <c r="X86" s="82"/>
    </row>
    <row r="87" spans="1:24" ht="30" customHeight="1" x14ac:dyDescent="0.3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82"/>
      <c r="X87" s="82"/>
    </row>
    <row r="88" spans="1:24" ht="30" customHeight="1" x14ac:dyDescent="0.3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82"/>
      <c r="X88" s="82"/>
    </row>
    <row r="89" spans="1:24" ht="30" customHeight="1" x14ac:dyDescent="0.3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82"/>
      <c r="X89" s="82"/>
    </row>
    <row r="90" spans="1:24" ht="30" customHeight="1" x14ac:dyDescent="0.3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82"/>
      <c r="X90" s="82"/>
    </row>
    <row r="91" spans="1:24" ht="30" customHeight="1" x14ac:dyDescent="0.3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82"/>
      <c r="X91" s="82"/>
    </row>
    <row r="92" spans="1:24" ht="30" customHeight="1" x14ac:dyDescent="0.3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82"/>
      <c r="X92" s="82"/>
    </row>
    <row r="93" spans="1:24" ht="30" customHeight="1" x14ac:dyDescent="0.3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82"/>
      <c r="X93" s="82"/>
    </row>
    <row r="94" spans="1:24" ht="30" customHeight="1" x14ac:dyDescent="0.3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82"/>
      <c r="X94" s="82"/>
    </row>
    <row r="95" spans="1:24" ht="30" customHeight="1" x14ac:dyDescent="0.3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82"/>
      <c r="X95" s="82"/>
    </row>
    <row r="96" spans="1:24" ht="30" customHeight="1" x14ac:dyDescent="0.3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82"/>
      <c r="X96" s="82"/>
    </row>
    <row r="97" spans="1:24" ht="30" customHeight="1" x14ac:dyDescent="0.3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82"/>
      <c r="X97" s="82"/>
    </row>
    <row r="98" spans="1:24" ht="30" customHeight="1" x14ac:dyDescent="0.3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82"/>
      <c r="X98" s="82"/>
    </row>
    <row r="99" spans="1:24" ht="30" customHeight="1" x14ac:dyDescent="0.3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82"/>
      <c r="X99" s="82"/>
    </row>
    <row r="100" spans="1:24" ht="30" customHeight="1" x14ac:dyDescent="0.3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82"/>
      <c r="X100" s="82"/>
    </row>
    <row r="101" spans="1:24" ht="30" customHeight="1" x14ac:dyDescent="0.3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82"/>
      <c r="X101" s="82"/>
    </row>
    <row r="102" spans="1:24" ht="30" customHeight="1" x14ac:dyDescent="0.3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82"/>
      <c r="X102" s="82"/>
    </row>
    <row r="103" spans="1:24" ht="30" customHeight="1" x14ac:dyDescent="0.3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82"/>
      <c r="X103" s="82"/>
    </row>
    <row r="104" spans="1:24" ht="30" customHeight="1" x14ac:dyDescent="0.3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82"/>
      <c r="X104" s="82"/>
    </row>
    <row r="105" spans="1:24" ht="30" customHeight="1" x14ac:dyDescent="0.3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82"/>
      <c r="X105" s="82"/>
    </row>
    <row r="106" spans="1:24" ht="30" customHeight="1" x14ac:dyDescent="0.3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82"/>
      <c r="X106" s="82"/>
    </row>
    <row r="107" spans="1:24" ht="30" customHeight="1" x14ac:dyDescent="0.3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82"/>
      <c r="X107" s="82"/>
    </row>
    <row r="108" spans="1:24" ht="30" customHeight="1" x14ac:dyDescent="0.3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82"/>
      <c r="X108" s="82"/>
    </row>
    <row r="109" spans="1:24" ht="30" customHeight="1" x14ac:dyDescent="0.3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82"/>
      <c r="X109" s="82"/>
    </row>
    <row r="110" spans="1:24" ht="30" customHeight="1" x14ac:dyDescent="0.3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82"/>
      <c r="X110" s="82"/>
    </row>
    <row r="111" spans="1:24" ht="30" customHeight="1" x14ac:dyDescent="0.3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82"/>
      <c r="X111" s="82"/>
    </row>
    <row r="112" spans="1:24" ht="30" customHeight="1" x14ac:dyDescent="0.3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82"/>
      <c r="X112" s="82"/>
    </row>
    <row r="113" spans="1:24" ht="30" customHeight="1" x14ac:dyDescent="0.3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82"/>
      <c r="X113" s="82"/>
    </row>
    <row r="114" spans="1:24" ht="30" customHeight="1" x14ac:dyDescent="0.3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82"/>
      <c r="X114" s="82"/>
    </row>
    <row r="115" spans="1:24" ht="30" customHeight="1" x14ac:dyDescent="0.3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82"/>
      <c r="X115" s="82"/>
    </row>
    <row r="116" spans="1:24" ht="30" customHeight="1" x14ac:dyDescent="0.3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82"/>
      <c r="X116" s="82"/>
    </row>
    <row r="117" spans="1:24" ht="30" customHeight="1" x14ac:dyDescent="0.3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82"/>
      <c r="X117" s="82"/>
    </row>
    <row r="118" spans="1:24" ht="30" customHeight="1" x14ac:dyDescent="0.3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82"/>
      <c r="X118" s="82"/>
    </row>
    <row r="119" spans="1:24" ht="30" customHeight="1" x14ac:dyDescent="0.3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82"/>
      <c r="X119" s="82"/>
    </row>
    <row r="120" spans="1:24" ht="30" customHeight="1" x14ac:dyDescent="0.3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82"/>
      <c r="X120" s="82"/>
    </row>
    <row r="121" spans="1:24" ht="30" customHeight="1" x14ac:dyDescent="0.3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82"/>
      <c r="X121" s="82"/>
    </row>
    <row r="122" spans="1:24" ht="30" customHeight="1" x14ac:dyDescent="0.3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82"/>
      <c r="X122" s="82"/>
    </row>
    <row r="123" spans="1:24" ht="30" customHeight="1" x14ac:dyDescent="0.3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82"/>
      <c r="X123" s="82"/>
    </row>
    <row r="124" spans="1:24" ht="30" customHeight="1" x14ac:dyDescent="0.3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82"/>
      <c r="X124" s="82"/>
    </row>
    <row r="125" spans="1:24" ht="30" customHeight="1" x14ac:dyDescent="0.3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82"/>
      <c r="X125" s="82"/>
    </row>
    <row r="126" spans="1:24" ht="30" customHeight="1" x14ac:dyDescent="0.3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82"/>
      <c r="X126" s="82"/>
    </row>
    <row r="127" spans="1:24" ht="30" customHeight="1" x14ac:dyDescent="0.3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82"/>
      <c r="X127" s="82"/>
    </row>
    <row r="128" spans="1:24" ht="30" customHeight="1" x14ac:dyDescent="0.3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82"/>
      <c r="X128" s="82"/>
    </row>
    <row r="129" spans="1:24" ht="30" customHeight="1" x14ac:dyDescent="0.3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82"/>
      <c r="X129" s="82"/>
    </row>
    <row r="130" spans="1:24" ht="30" customHeight="1" x14ac:dyDescent="0.3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82"/>
      <c r="X130" s="82"/>
    </row>
    <row r="131" spans="1:24" ht="30" customHeight="1" x14ac:dyDescent="0.3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82"/>
      <c r="X131" s="82"/>
    </row>
    <row r="132" spans="1:24" ht="30" customHeight="1" x14ac:dyDescent="0.3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82"/>
      <c r="X132" s="82"/>
    </row>
    <row r="133" spans="1:24" ht="30" customHeight="1" x14ac:dyDescent="0.3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82"/>
      <c r="X133" s="82"/>
    </row>
    <row r="134" spans="1:24" ht="30" customHeight="1" x14ac:dyDescent="0.3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82"/>
      <c r="X134" s="82"/>
    </row>
    <row r="135" spans="1:24" ht="30" customHeight="1" x14ac:dyDescent="0.3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82"/>
      <c r="X135" s="82"/>
    </row>
    <row r="136" spans="1:24" ht="30" customHeight="1" x14ac:dyDescent="0.3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82"/>
      <c r="X136" s="82"/>
    </row>
    <row r="137" spans="1:24" ht="30" customHeight="1" x14ac:dyDescent="0.3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82"/>
      <c r="X137" s="82"/>
    </row>
    <row r="138" spans="1:24" ht="30" customHeight="1" x14ac:dyDescent="0.3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82"/>
      <c r="X138" s="82"/>
    </row>
    <row r="139" spans="1:24" ht="30" customHeight="1" x14ac:dyDescent="0.3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82"/>
      <c r="X139" s="82"/>
    </row>
    <row r="140" spans="1:24" ht="30" customHeight="1" x14ac:dyDescent="0.3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82"/>
      <c r="X140" s="82"/>
    </row>
    <row r="141" spans="1:24" ht="30" customHeight="1" x14ac:dyDescent="0.3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82"/>
      <c r="X141" s="82"/>
    </row>
    <row r="142" spans="1:24" ht="30" customHeight="1" x14ac:dyDescent="0.3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82"/>
      <c r="X142" s="82"/>
    </row>
    <row r="143" spans="1:24" ht="30" customHeight="1" x14ac:dyDescent="0.3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82"/>
      <c r="X143" s="82"/>
    </row>
    <row r="144" spans="1:24" ht="30" customHeight="1" x14ac:dyDescent="0.3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82"/>
      <c r="X144" s="82"/>
    </row>
    <row r="145" spans="1:24" ht="30" customHeight="1" x14ac:dyDescent="0.3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82"/>
      <c r="X145" s="82"/>
    </row>
    <row r="146" spans="1:24" ht="30" customHeight="1" x14ac:dyDescent="0.3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82"/>
      <c r="X146" s="82"/>
    </row>
    <row r="147" spans="1:24" ht="30" customHeight="1" x14ac:dyDescent="0.3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82"/>
      <c r="X147" s="82"/>
    </row>
    <row r="148" spans="1:24" ht="30" customHeight="1" x14ac:dyDescent="0.3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82"/>
      <c r="X148" s="82"/>
    </row>
    <row r="149" spans="1:24" ht="30" customHeight="1" x14ac:dyDescent="0.3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82"/>
      <c r="X149" s="82"/>
    </row>
    <row r="150" spans="1:24" ht="30" customHeight="1" x14ac:dyDescent="0.3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82"/>
      <c r="X150" s="82"/>
    </row>
    <row r="151" spans="1:24" ht="30" customHeight="1" x14ac:dyDescent="0.3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82"/>
      <c r="X151" s="82"/>
    </row>
    <row r="152" spans="1:24" ht="30" customHeight="1" x14ac:dyDescent="0.3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82"/>
      <c r="X152" s="82"/>
    </row>
    <row r="153" spans="1:24" ht="30" customHeight="1" x14ac:dyDescent="0.3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82"/>
      <c r="X153" s="82"/>
    </row>
    <row r="154" spans="1:24" ht="30" customHeight="1" x14ac:dyDescent="0.3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82"/>
      <c r="X154" s="82"/>
    </row>
    <row r="155" spans="1:24" ht="30" customHeight="1" x14ac:dyDescent="0.3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82"/>
      <c r="X155" s="82"/>
    </row>
    <row r="156" spans="1:24" ht="30" customHeight="1" x14ac:dyDescent="0.3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82"/>
      <c r="X156" s="82"/>
    </row>
    <row r="157" spans="1:24" ht="30" customHeight="1" x14ac:dyDescent="0.3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82"/>
      <c r="X157" s="82"/>
    </row>
    <row r="158" spans="1:24" ht="30" customHeight="1" x14ac:dyDescent="0.3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82"/>
      <c r="X158" s="82"/>
    </row>
    <row r="159" spans="1:24" ht="30" customHeight="1" x14ac:dyDescent="0.3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82"/>
      <c r="X159" s="82"/>
    </row>
    <row r="160" spans="1:24" ht="30" customHeight="1" x14ac:dyDescent="0.3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82"/>
      <c r="X160" s="82"/>
    </row>
    <row r="161" spans="1:24" ht="30" customHeight="1" x14ac:dyDescent="0.3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82"/>
      <c r="X161" s="82"/>
    </row>
    <row r="162" spans="1:24" ht="30" customHeight="1" x14ac:dyDescent="0.3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82"/>
      <c r="X162" s="82"/>
    </row>
    <row r="163" spans="1:24" ht="30" customHeight="1" x14ac:dyDescent="0.3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82"/>
      <c r="X163" s="82"/>
    </row>
    <row r="164" spans="1:24" ht="30" customHeight="1" x14ac:dyDescent="0.3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82"/>
      <c r="X164" s="82"/>
    </row>
    <row r="165" spans="1:24" ht="30" customHeight="1" x14ac:dyDescent="0.3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82"/>
      <c r="X165" s="82"/>
    </row>
    <row r="166" spans="1:24" ht="30" customHeight="1" x14ac:dyDescent="0.3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82"/>
      <c r="X166" s="82"/>
    </row>
    <row r="167" spans="1:24" ht="30" customHeight="1" x14ac:dyDescent="0.3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82"/>
      <c r="X167" s="82"/>
    </row>
    <row r="168" spans="1:24" ht="30" customHeight="1" x14ac:dyDescent="0.3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82"/>
      <c r="X168" s="82"/>
    </row>
    <row r="169" spans="1:24" ht="30" customHeight="1" x14ac:dyDescent="0.3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82"/>
      <c r="X169" s="82"/>
    </row>
    <row r="170" spans="1:24" ht="30" customHeight="1" x14ac:dyDescent="0.3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82"/>
      <c r="X170" s="82"/>
    </row>
    <row r="171" spans="1:24" ht="30" customHeight="1" x14ac:dyDescent="0.3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82"/>
      <c r="X171" s="82"/>
    </row>
    <row r="172" spans="1:24" ht="30" customHeight="1" x14ac:dyDescent="0.3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82"/>
      <c r="X172" s="82"/>
    </row>
    <row r="173" spans="1:24" ht="30" customHeight="1" x14ac:dyDescent="0.3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82"/>
      <c r="X173" s="82"/>
    </row>
    <row r="174" spans="1:24" ht="30" customHeight="1" x14ac:dyDescent="0.3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82"/>
      <c r="X174" s="82"/>
    </row>
    <row r="175" spans="1:24" ht="30" customHeight="1" x14ac:dyDescent="0.3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82"/>
      <c r="X175" s="82"/>
    </row>
    <row r="176" spans="1:24" ht="30" customHeight="1" x14ac:dyDescent="0.3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82"/>
      <c r="X176" s="82"/>
    </row>
    <row r="177" spans="1:24" ht="30" customHeight="1" x14ac:dyDescent="0.3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82"/>
      <c r="X177" s="82"/>
    </row>
    <row r="178" spans="1:24" ht="30" customHeight="1" x14ac:dyDescent="0.3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82"/>
      <c r="X178" s="82"/>
    </row>
    <row r="179" spans="1:24" ht="30" customHeight="1" x14ac:dyDescent="0.3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82"/>
      <c r="X179" s="82"/>
    </row>
    <row r="180" spans="1:24" ht="30" customHeight="1" x14ac:dyDescent="0.3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82"/>
      <c r="X180" s="82"/>
    </row>
    <row r="181" spans="1:24" ht="30" customHeight="1" x14ac:dyDescent="0.3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82"/>
      <c r="X181" s="82"/>
    </row>
    <row r="182" spans="1:24" ht="30" customHeight="1" x14ac:dyDescent="0.3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82"/>
      <c r="X182" s="82"/>
    </row>
    <row r="183" spans="1:24" ht="30" customHeight="1" x14ac:dyDescent="0.3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82"/>
      <c r="X183" s="82"/>
    </row>
    <row r="184" spans="1:24" ht="30" customHeight="1" x14ac:dyDescent="0.3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82"/>
      <c r="X184" s="82"/>
    </row>
    <row r="185" spans="1:24" ht="30" customHeight="1" x14ac:dyDescent="0.3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82"/>
      <c r="X185" s="82"/>
    </row>
    <row r="186" spans="1:24" ht="30" customHeight="1" x14ac:dyDescent="0.3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82"/>
      <c r="X186" s="82"/>
    </row>
    <row r="187" spans="1:24" ht="30" customHeight="1" x14ac:dyDescent="0.3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82"/>
      <c r="X187" s="82"/>
    </row>
    <row r="188" spans="1:24" ht="30" customHeight="1" x14ac:dyDescent="0.3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82"/>
      <c r="X188" s="82"/>
    </row>
    <row r="189" spans="1:24" ht="30" customHeight="1" x14ac:dyDescent="0.3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82"/>
      <c r="X189" s="82"/>
    </row>
    <row r="190" spans="1:24" ht="30" customHeight="1" x14ac:dyDescent="0.3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82"/>
      <c r="X190" s="82"/>
    </row>
    <row r="191" spans="1:24" ht="30" customHeight="1" x14ac:dyDescent="0.3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82"/>
      <c r="X191" s="82"/>
    </row>
    <row r="192" spans="1:24" ht="30" customHeight="1" x14ac:dyDescent="0.3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82"/>
      <c r="X192" s="82"/>
    </row>
    <row r="193" spans="1:24" ht="30" customHeight="1" x14ac:dyDescent="0.3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82"/>
      <c r="X193" s="82"/>
    </row>
    <row r="194" spans="1:24" ht="30" customHeight="1" x14ac:dyDescent="0.3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82"/>
      <c r="X194" s="82"/>
    </row>
    <row r="195" spans="1:24" ht="30" customHeight="1" x14ac:dyDescent="0.3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82"/>
      <c r="X195" s="82"/>
    </row>
    <row r="196" spans="1:24" ht="30" customHeight="1" x14ac:dyDescent="0.3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82"/>
      <c r="X196" s="82"/>
    </row>
    <row r="197" spans="1:24" ht="30" customHeight="1" x14ac:dyDescent="0.3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82"/>
      <c r="X197" s="82"/>
    </row>
    <row r="198" spans="1:24" ht="30" customHeight="1" x14ac:dyDescent="0.3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82"/>
      <c r="X198" s="82"/>
    </row>
    <row r="199" spans="1:24" ht="30" customHeight="1" x14ac:dyDescent="0.3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82"/>
      <c r="X199" s="82"/>
    </row>
    <row r="200" spans="1:24" ht="30" customHeight="1" x14ac:dyDescent="0.3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82"/>
      <c r="X200" s="82"/>
    </row>
    <row r="201" spans="1:24" ht="30" customHeight="1" x14ac:dyDescent="0.3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82"/>
      <c r="X201" s="82"/>
    </row>
    <row r="202" spans="1:24" ht="30" customHeight="1" x14ac:dyDescent="0.3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82"/>
      <c r="X202" s="82"/>
    </row>
    <row r="203" spans="1:24" ht="30" customHeight="1" x14ac:dyDescent="0.3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82"/>
      <c r="X203" s="82"/>
    </row>
    <row r="204" spans="1:24" ht="30" customHeight="1" x14ac:dyDescent="0.3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82"/>
      <c r="X204" s="82"/>
    </row>
    <row r="205" spans="1:24" ht="30" customHeight="1" x14ac:dyDescent="0.3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82"/>
      <c r="X205" s="82"/>
    </row>
    <row r="206" spans="1:24" ht="30" customHeight="1" x14ac:dyDescent="0.3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82"/>
      <c r="X206" s="82"/>
    </row>
    <row r="207" spans="1:24" ht="30" customHeight="1" x14ac:dyDescent="0.3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82"/>
      <c r="X207" s="82"/>
    </row>
    <row r="208" spans="1:24" ht="30" customHeight="1" x14ac:dyDescent="0.3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82"/>
      <c r="X208" s="82"/>
    </row>
    <row r="209" spans="1:24" ht="30" customHeight="1" x14ac:dyDescent="0.3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82"/>
      <c r="X209" s="82"/>
    </row>
    <row r="210" spans="1:24" ht="30" customHeight="1" x14ac:dyDescent="0.3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82"/>
      <c r="X210" s="82"/>
    </row>
    <row r="211" spans="1:24" ht="30" customHeight="1" x14ac:dyDescent="0.3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82"/>
      <c r="X211" s="82"/>
    </row>
    <row r="212" spans="1:24" ht="30" customHeight="1" x14ac:dyDescent="0.3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82"/>
      <c r="X212" s="82"/>
    </row>
    <row r="213" spans="1:24" ht="30" customHeight="1" x14ac:dyDescent="0.3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82"/>
      <c r="X213" s="82"/>
    </row>
    <row r="214" spans="1:24" ht="30" customHeight="1" x14ac:dyDescent="0.3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82"/>
      <c r="X214" s="82"/>
    </row>
    <row r="215" spans="1:24" ht="30" customHeight="1" x14ac:dyDescent="0.3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82"/>
      <c r="X215" s="82"/>
    </row>
    <row r="216" spans="1:24" ht="30" customHeight="1" x14ac:dyDescent="0.3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82"/>
      <c r="X216" s="82"/>
    </row>
    <row r="217" spans="1:24" ht="30" customHeight="1" x14ac:dyDescent="0.3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82"/>
      <c r="X217" s="82"/>
    </row>
    <row r="218" spans="1:24" ht="30" customHeight="1" x14ac:dyDescent="0.3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82"/>
      <c r="X218" s="82"/>
    </row>
    <row r="219" spans="1:24" ht="30" customHeight="1" x14ac:dyDescent="0.3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82"/>
      <c r="X219" s="82"/>
    </row>
    <row r="220" spans="1:24" ht="30" customHeight="1" x14ac:dyDescent="0.3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82"/>
      <c r="X220" s="82"/>
    </row>
    <row r="221" spans="1:24" ht="30" customHeight="1" x14ac:dyDescent="0.3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82"/>
      <c r="X221" s="82"/>
    </row>
    <row r="222" spans="1:24" ht="15.75" customHeight="1" x14ac:dyDescent="0.3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82"/>
      <c r="X222" s="82"/>
    </row>
    <row r="223" spans="1:24" ht="15.75" customHeight="1" x14ac:dyDescent="0.3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82"/>
      <c r="X223" s="82"/>
    </row>
    <row r="224" spans="1:24" ht="15.75" customHeight="1" x14ac:dyDescent="0.3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82"/>
      <c r="X224" s="82"/>
    </row>
    <row r="225" spans="1:24" ht="15.75" customHeight="1" x14ac:dyDescent="0.3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82"/>
      <c r="X225" s="82"/>
    </row>
    <row r="226" spans="1:24" ht="15.75" customHeight="1" x14ac:dyDescent="0.3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82"/>
      <c r="X226" s="82"/>
    </row>
    <row r="227" spans="1:24" ht="15.75" customHeight="1" x14ac:dyDescent="0.3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82"/>
      <c r="X227" s="82"/>
    </row>
    <row r="228" spans="1:24" ht="15.75" customHeight="1" x14ac:dyDescent="0.3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82"/>
      <c r="X228" s="82"/>
    </row>
    <row r="229" spans="1:24" ht="15.75" customHeight="1" x14ac:dyDescent="0.3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82"/>
      <c r="X229" s="82"/>
    </row>
    <row r="230" spans="1:24" ht="15.75" customHeight="1" x14ac:dyDescent="0.3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82"/>
      <c r="X230" s="82"/>
    </row>
    <row r="231" spans="1:24" ht="15.75" customHeight="1" x14ac:dyDescent="0.3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82"/>
      <c r="X231" s="82"/>
    </row>
    <row r="232" spans="1:24" ht="15.75" customHeight="1" x14ac:dyDescent="0.3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82"/>
      <c r="X232" s="82"/>
    </row>
    <row r="233" spans="1:24" ht="15.75" customHeight="1" x14ac:dyDescent="0.3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82"/>
      <c r="X233" s="82"/>
    </row>
    <row r="234" spans="1:24" ht="15.75" customHeight="1" x14ac:dyDescent="0.3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82"/>
      <c r="X234" s="82"/>
    </row>
    <row r="235" spans="1:24" ht="15.75" customHeight="1" x14ac:dyDescent="0.3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82"/>
      <c r="X235" s="82"/>
    </row>
    <row r="236" spans="1:24" ht="15.75" customHeight="1" x14ac:dyDescent="0.3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82"/>
      <c r="X236" s="82"/>
    </row>
    <row r="237" spans="1:24" ht="15.75" customHeight="1" x14ac:dyDescent="0.3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82"/>
      <c r="X237" s="82"/>
    </row>
    <row r="238" spans="1:24" ht="15.75" customHeight="1" x14ac:dyDescent="0.3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82"/>
      <c r="X238" s="82"/>
    </row>
    <row r="239" spans="1:24" ht="15.75" customHeight="1" x14ac:dyDescent="0.3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82"/>
      <c r="X239" s="82"/>
    </row>
    <row r="240" spans="1:24" ht="15.75" customHeight="1" x14ac:dyDescent="0.3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82"/>
      <c r="X240" s="82"/>
    </row>
    <row r="241" spans="1:24" ht="15.75" customHeight="1" x14ac:dyDescent="0.3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82"/>
      <c r="X241" s="82"/>
    </row>
    <row r="242" spans="1:24" ht="15.75" customHeight="1" x14ac:dyDescent="0.3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82"/>
      <c r="X242" s="82"/>
    </row>
    <row r="243" spans="1:24" ht="15.75" customHeight="1" x14ac:dyDescent="0.3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82"/>
      <c r="X243" s="82"/>
    </row>
    <row r="244" spans="1:24" ht="15.75" customHeight="1" x14ac:dyDescent="0.3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82"/>
      <c r="X244" s="82"/>
    </row>
    <row r="245" spans="1:24" ht="15.75" customHeight="1" x14ac:dyDescent="0.3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82"/>
      <c r="X245" s="82"/>
    </row>
    <row r="246" spans="1:24" ht="15.75" customHeight="1" x14ac:dyDescent="0.3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82"/>
      <c r="X246" s="82"/>
    </row>
    <row r="247" spans="1:24" ht="15.75" customHeight="1" x14ac:dyDescent="0.3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82"/>
      <c r="X247" s="82"/>
    </row>
    <row r="248" spans="1:24" ht="15.75" customHeight="1" x14ac:dyDescent="0.3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82"/>
      <c r="X248" s="82"/>
    </row>
    <row r="249" spans="1:24" ht="15.75" customHeight="1" x14ac:dyDescent="0.3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82"/>
      <c r="X249" s="82"/>
    </row>
    <row r="250" spans="1:24" ht="15.75" customHeight="1" x14ac:dyDescent="0.3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82"/>
      <c r="X250" s="82"/>
    </row>
    <row r="251" spans="1:24" ht="15.75" customHeight="1" x14ac:dyDescent="0.3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82"/>
      <c r="X251" s="82"/>
    </row>
    <row r="252" spans="1:24" ht="15.75" customHeight="1" x14ac:dyDescent="0.3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82"/>
      <c r="X252" s="82"/>
    </row>
    <row r="253" spans="1:24" ht="15.75" customHeight="1" x14ac:dyDescent="0.3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82"/>
      <c r="X253" s="82"/>
    </row>
    <row r="254" spans="1:24" ht="15.75" customHeight="1" x14ac:dyDescent="0.3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82"/>
      <c r="X254" s="82"/>
    </row>
    <row r="255" spans="1:24" ht="15.75" customHeight="1" x14ac:dyDescent="0.3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82"/>
      <c r="X255" s="82"/>
    </row>
    <row r="256" spans="1:24" ht="15.75" customHeight="1" x14ac:dyDescent="0.3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82"/>
      <c r="X256" s="82"/>
    </row>
    <row r="257" spans="1:24" ht="15.75" customHeight="1" x14ac:dyDescent="0.3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82"/>
      <c r="X257" s="82"/>
    </row>
    <row r="258" spans="1:24" ht="15.75" customHeight="1" x14ac:dyDescent="0.3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82"/>
      <c r="X258" s="82"/>
    </row>
    <row r="259" spans="1:24" ht="15.75" customHeight="1" x14ac:dyDescent="0.3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82"/>
      <c r="X259" s="82"/>
    </row>
    <row r="260" spans="1:24" ht="15.75" customHeight="1" x14ac:dyDescent="0.3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82"/>
      <c r="X260" s="82"/>
    </row>
    <row r="261" spans="1:24" ht="15.75" customHeight="1" x14ac:dyDescent="0.3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82"/>
      <c r="X261" s="82"/>
    </row>
    <row r="262" spans="1:24" ht="15.75" customHeight="1" x14ac:dyDescent="0.3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82"/>
      <c r="X262" s="82"/>
    </row>
    <row r="263" spans="1:24" ht="15.75" customHeight="1" x14ac:dyDescent="0.3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82"/>
      <c r="X263" s="82"/>
    </row>
    <row r="264" spans="1:24" ht="15.75" customHeight="1" x14ac:dyDescent="0.3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82"/>
      <c r="X264" s="82"/>
    </row>
    <row r="265" spans="1:24" ht="15.75" customHeight="1" x14ac:dyDescent="0.3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82"/>
      <c r="X265" s="82"/>
    </row>
    <row r="266" spans="1:24" ht="15.75" customHeight="1" x14ac:dyDescent="0.3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82"/>
      <c r="X266" s="82"/>
    </row>
    <row r="267" spans="1:24" ht="15.75" customHeight="1" x14ac:dyDescent="0.3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82"/>
      <c r="X267" s="82"/>
    </row>
    <row r="268" spans="1:24" ht="15.75" customHeight="1" x14ac:dyDescent="0.3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82"/>
      <c r="X268" s="82"/>
    </row>
    <row r="269" spans="1:24" ht="15.75" customHeight="1" x14ac:dyDescent="0.3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82"/>
      <c r="X269" s="82"/>
    </row>
    <row r="270" spans="1:24" ht="15.75" customHeight="1" x14ac:dyDescent="0.3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82"/>
      <c r="X270" s="82"/>
    </row>
    <row r="271" spans="1:24" ht="15.75" customHeight="1" x14ac:dyDescent="0.3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82"/>
      <c r="X271" s="82"/>
    </row>
    <row r="272" spans="1:24" ht="15.75" customHeight="1" x14ac:dyDescent="0.3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82"/>
      <c r="X272" s="82"/>
    </row>
    <row r="273" spans="1:24" ht="15.75" customHeight="1" x14ac:dyDescent="0.3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82"/>
      <c r="X273" s="82"/>
    </row>
    <row r="274" spans="1:24" ht="15.75" customHeight="1" x14ac:dyDescent="0.3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82"/>
      <c r="X274" s="82"/>
    </row>
    <row r="275" spans="1:24" ht="15.75" customHeight="1" x14ac:dyDescent="0.3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82"/>
      <c r="X275" s="82"/>
    </row>
    <row r="276" spans="1:24" ht="15.75" customHeight="1" x14ac:dyDescent="0.3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82"/>
      <c r="X276" s="82"/>
    </row>
    <row r="277" spans="1:24" ht="15.75" customHeight="1" x14ac:dyDescent="0.3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82"/>
      <c r="X277" s="82"/>
    </row>
    <row r="278" spans="1:24" ht="15.75" customHeight="1" x14ac:dyDescent="0.3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82"/>
      <c r="X278" s="82"/>
    </row>
    <row r="279" spans="1:24" ht="15.75" customHeight="1" x14ac:dyDescent="0.3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82"/>
      <c r="X279" s="82"/>
    </row>
    <row r="280" spans="1:24" ht="15.75" customHeight="1" x14ac:dyDescent="0.3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82"/>
      <c r="X280" s="82"/>
    </row>
    <row r="281" spans="1:24" ht="15.75" customHeight="1" x14ac:dyDescent="0.3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82"/>
      <c r="X281" s="82"/>
    </row>
    <row r="282" spans="1:24" ht="15.75" customHeight="1" x14ac:dyDescent="0.3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82"/>
      <c r="X282" s="82"/>
    </row>
    <row r="283" spans="1:24" ht="15.75" customHeight="1" x14ac:dyDescent="0.3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82"/>
      <c r="X283" s="82"/>
    </row>
    <row r="284" spans="1:24" ht="15.75" customHeight="1" x14ac:dyDescent="0.3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82"/>
      <c r="X284" s="82"/>
    </row>
    <row r="285" spans="1:24" ht="15.75" customHeight="1" x14ac:dyDescent="0.3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82"/>
      <c r="X285" s="82"/>
    </row>
    <row r="286" spans="1:24" ht="15.75" customHeight="1" x14ac:dyDescent="0.3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82"/>
      <c r="X286" s="82"/>
    </row>
    <row r="287" spans="1:24" ht="15.75" customHeight="1" x14ac:dyDescent="0.3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82"/>
      <c r="X287" s="82"/>
    </row>
    <row r="288" spans="1:24" ht="15.75" customHeight="1" x14ac:dyDescent="0.3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82"/>
      <c r="X288" s="82"/>
    </row>
    <row r="289" spans="1:24" ht="15.75" customHeight="1" x14ac:dyDescent="0.3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82"/>
      <c r="X289" s="82"/>
    </row>
    <row r="290" spans="1:24" ht="15.75" customHeight="1" x14ac:dyDescent="0.3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82"/>
      <c r="X290" s="82"/>
    </row>
    <row r="291" spans="1:24" ht="15.75" customHeight="1" x14ac:dyDescent="0.3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82"/>
      <c r="X291" s="82"/>
    </row>
    <row r="292" spans="1:24" ht="15.75" customHeight="1" x14ac:dyDescent="0.3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82"/>
      <c r="X292" s="82"/>
    </row>
    <row r="293" spans="1:24" ht="15.75" customHeight="1" x14ac:dyDescent="0.3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82"/>
      <c r="X293" s="82"/>
    </row>
    <row r="294" spans="1:24" ht="15.75" customHeight="1" x14ac:dyDescent="0.3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82"/>
      <c r="X294" s="82"/>
    </row>
    <row r="295" spans="1:24" ht="15.75" customHeight="1" x14ac:dyDescent="0.3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82"/>
      <c r="X295" s="82"/>
    </row>
    <row r="296" spans="1:24" ht="15.75" customHeight="1" x14ac:dyDescent="0.3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82"/>
      <c r="X296" s="82"/>
    </row>
    <row r="297" spans="1:24" ht="15.75" customHeight="1" x14ac:dyDescent="0.3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82"/>
      <c r="X297" s="82"/>
    </row>
    <row r="298" spans="1:24" ht="15.75" customHeight="1" x14ac:dyDescent="0.3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82"/>
      <c r="X298" s="82"/>
    </row>
    <row r="299" spans="1:24" ht="15.75" customHeight="1" x14ac:dyDescent="0.3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82"/>
      <c r="X299" s="82"/>
    </row>
    <row r="300" spans="1:24" ht="15.75" customHeight="1" x14ac:dyDescent="0.3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82"/>
      <c r="X300" s="82"/>
    </row>
    <row r="301" spans="1:24" ht="15.75" customHeight="1" x14ac:dyDescent="0.3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82"/>
      <c r="X301" s="82"/>
    </row>
    <row r="302" spans="1:24" ht="15.75" customHeight="1" x14ac:dyDescent="0.3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82"/>
      <c r="X302" s="82"/>
    </row>
    <row r="303" spans="1:24" ht="15.75" customHeight="1" x14ac:dyDescent="0.3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82"/>
      <c r="X303" s="82"/>
    </row>
    <row r="304" spans="1:24" ht="15.75" customHeight="1" x14ac:dyDescent="0.3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82"/>
      <c r="X304" s="82"/>
    </row>
    <row r="305" spans="1:24" ht="15.75" customHeight="1" x14ac:dyDescent="0.3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82"/>
      <c r="X305" s="82"/>
    </row>
    <row r="306" spans="1:24" ht="15.75" customHeight="1" x14ac:dyDescent="0.3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82"/>
      <c r="X306" s="82"/>
    </row>
    <row r="307" spans="1:24" ht="15.75" customHeight="1" x14ac:dyDescent="0.3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82"/>
      <c r="X307" s="82"/>
    </row>
    <row r="308" spans="1:24" ht="15.75" customHeight="1" x14ac:dyDescent="0.3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82"/>
      <c r="X308" s="82"/>
    </row>
    <row r="309" spans="1:24" ht="15.75" customHeight="1" x14ac:dyDescent="0.3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82"/>
      <c r="X309" s="82"/>
    </row>
    <row r="310" spans="1:24" ht="15.75" customHeight="1" x14ac:dyDescent="0.3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82"/>
      <c r="X310" s="82"/>
    </row>
    <row r="311" spans="1:24" ht="15.75" customHeight="1" x14ac:dyDescent="0.3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82"/>
      <c r="X311" s="82"/>
    </row>
    <row r="312" spans="1:24" ht="15.75" customHeight="1" x14ac:dyDescent="0.3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82"/>
      <c r="X312" s="82"/>
    </row>
    <row r="313" spans="1:24" ht="15.75" customHeight="1" x14ac:dyDescent="0.3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82"/>
      <c r="X313" s="82"/>
    </row>
    <row r="314" spans="1:24" ht="15.75" customHeight="1" x14ac:dyDescent="0.3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82"/>
      <c r="X314" s="82"/>
    </row>
    <row r="315" spans="1:24" ht="15.75" customHeight="1" x14ac:dyDescent="0.3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82"/>
      <c r="X315" s="82"/>
    </row>
    <row r="316" spans="1:24" ht="15.75" customHeight="1" x14ac:dyDescent="0.3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82"/>
      <c r="X316" s="82"/>
    </row>
    <row r="317" spans="1:24" ht="15.75" customHeight="1" x14ac:dyDescent="0.3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82"/>
      <c r="X317" s="82"/>
    </row>
    <row r="318" spans="1:24" ht="15.75" customHeight="1" x14ac:dyDescent="0.3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82"/>
      <c r="X318" s="82"/>
    </row>
    <row r="319" spans="1:24" ht="15.75" customHeight="1" x14ac:dyDescent="0.3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82"/>
      <c r="X319" s="82"/>
    </row>
    <row r="320" spans="1:24" ht="15.75" customHeight="1" x14ac:dyDescent="0.3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82"/>
      <c r="X320" s="82"/>
    </row>
    <row r="321" spans="1:24" ht="15.75" customHeight="1" x14ac:dyDescent="0.3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82"/>
      <c r="X321" s="82"/>
    </row>
    <row r="322" spans="1:24" ht="15.75" customHeight="1" x14ac:dyDescent="0.3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82"/>
      <c r="X322" s="82"/>
    </row>
    <row r="323" spans="1:24" ht="15.75" customHeight="1" x14ac:dyDescent="0.3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82"/>
      <c r="X323" s="82"/>
    </row>
    <row r="324" spans="1:24" ht="15.75" customHeight="1" x14ac:dyDescent="0.3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82"/>
      <c r="X324" s="82"/>
    </row>
    <row r="325" spans="1:24" ht="15.75" customHeight="1" x14ac:dyDescent="0.3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82"/>
      <c r="X325" s="82"/>
    </row>
    <row r="326" spans="1:24" ht="15.75" customHeight="1" x14ac:dyDescent="0.3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82"/>
      <c r="X326" s="82"/>
    </row>
    <row r="327" spans="1:24" ht="15.75" customHeight="1" x14ac:dyDescent="0.3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82"/>
      <c r="X327" s="82"/>
    </row>
    <row r="328" spans="1:24" ht="15.75" customHeight="1" x14ac:dyDescent="0.3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82"/>
      <c r="X328" s="82"/>
    </row>
    <row r="329" spans="1:24" ht="15.75" customHeight="1" x14ac:dyDescent="0.3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82"/>
      <c r="X329" s="82"/>
    </row>
    <row r="330" spans="1:24" ht="15.75" customHeight="1" x14ac:dyDescent="0.3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82"/>
      <c r="X330" s="82"/>
    </row>
    <row r="331" spans="1:24" ht="15.75" customHeight="1" x14ac:dyDescent="0.3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82"/>
      <c r="X331" s="82"/>
    </row>
    <row r="332" spans="1:24" ht="15.75" customHeight="1" x14ac:dyDescent="0.3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82"/>
      <c r="X332" s="82"/>
    </row>
    <row r="333" spans="1:24" ht="15.75" customHeight="1" x14ac:dyDescent="0.3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82"/>
      <c r="X333" s="82"/>
    </row>
    <row r="334" spans="1:24" ht="15.75" customHeight="1" x14ac:dyDescent="0.3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82"/>
      <c r="X334" s="82"/>
    </row>
    <row r="335" spans="1:24" ht="15.75" customHeight="1" x14ac:dyDescent="0.3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82"/>
      <c r="X335" s="82"/>
    </row>
    <row r="336" spans="1:24" ht="15.75" customHeight="1" x14ac:dyDescent="0.3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82"/>
      <c r="X336" s="82"/>
    </row>
    <row r="337" spans="1:24" ht="15.75" customHeight="1" x14ac:dyDescent="0.3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82"/>
      <c r="X337" s="82"/>
    </row>
    <row r="338" spans="1:24" ht="15.75" customHeight="1" x14ac:dyDescent="0.3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82"/>
      <c r="X338" s="82"/>
    </row>
    <row r="339" spans="1:24" ht="15.75" customHeight="1" x14ac:dyDescent="0.3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82"/>
      <c r="X339" s="82"/>
    </row>
    <row r="340" spans="1:24" ht="15.75" customHeight="1" x14ac:dyDescent="0.3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82"/>
      <c r="X340" s="82"/>
    </row>
    <row r="341" spans="1:24" ht="15.75" customHeight="1" x14ac:dyDescent="0.3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82"/>
      <c r="X341" s="82"/>
    </row>
    <row r="342" spans="1:24" ht="15.75" customHeight="1" x14ac:dyDescent="0.3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82"/>
      <c r="X342" s="82"/>
    </row>
    <row r="343" spans="1:24" ht="15.75" customHeight="1" x14ac:dyDescent="0.3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82"/>
      <c r="X343" s="82"/>
    </row>
    <row r="344" spans="1:24" ht="15.75" customHeight="1" x14ac:dyDescent="0.3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82"/>
      <c r="X344" s="82"/>
    </row>
    <row r="345" spans="1:24" ht="15.75" customHeight="1" x14ac:dyDescent="0.3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82"/>
      <c r="X345" s="82"/>
    </row>
    <row r="346" spans="1:24" ht="15.75" customHeight="1" x14ac:dyDescent="0.3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82"/>
      <c r="X346" s="82"/>
    </row>
    <row r="347" spans="1:24" ht="15.75" customHeight="1" x14ac:dyDescent="0.3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82"/>
      <c r="X347" s="82"/>
    </row>
    <row r="348" spans="1:24" ht="15.75" customHeight="1" x14ac:dyDescent="0.3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82"/>
      <c r="X348" s="82"/>
    </row>
    <row r="349" spans="1:24" ht="15.75" customHeight="1" x14ac:dyDescent="0.3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82"/>
      <c r="X349" s="82"/>
    </row>
    <row r="350" spans="1:24" ht="15.75" customHeight="1" x14ac:dyDescent="0.3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82"/>
      <c r="X350" s="82"/>
    </row>
    <row r="351" spans="1:24" ht="15.75" customHeight="1" x14ac:dyDescent="0.3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82"/>
      <c r="X351" s="82"/>
    </row>
    <row r="352" spans="1:24" ht="15.75" customHeight="1" x14ac:dyDescent="0.3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82"/>
      <c r="X352" s="82"/>
    </row>
    <row r="353" spans="1:24" ht="15.75" customHeight="1" x14ac:dyDescent="0.3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82"/>
      <c r="X353" s="82"/>
    </row>
    <row r="354" spans="1:24" ht="15.75" customHeight="1" x14ac:dyDescent="0.3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82"/>
      <c r="X354" s="82"/>
    </row>
    <row r="355" spans="1:24" ht="15.75" customHeight="1" x14ac:dyDescent="0.3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82"/>
      <c r="X355" s="82"/>
    </row>
    <row r="356" spans="1:24" ht="15.75" customHeight="1" x14ac:dyDescent="0.3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82"/>
      <c r="X356" s="82"/>
    </row>
    <row r="357" spans="1:24" ht="15.75" customHeight="1" x14ac:dyDescent="0.3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82"/>
      <c r="X357" s="82"/>
    </row>
    <row r="358" spans="1:24" ht="15.75" customHeight="1" x14ac:dyDescent="0.3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82"/>
      <c r="X358" s="82"/>
    </row>
    <row r="359" spans="1:24" ht="15.75" customHeight="1" x14ac:dyDescent="0.3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82"/>
      <c r="X359" s="82"/>
    </row>
    <row r="360" spans="1:24" ht="15.75" customHeight="1" x14ac:dyDescent="0.3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82"/>
      <c r="X360" s="82"/>
    </row>
    <row r="361" spans="1:24" ht="15.75" customHeight="1" x14ac:dyDescent="0.3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82"/>
      <c r="X361" s="82"/>
    </row>
    <row r="362" spans="1:24" ht="15.75" customHeight="1" x14ac:dyDescent="0.3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82"/>
      <c r="X362" s="82"/>
    </row>
    <row r="363" spans="1:24" ht="15.75" customHeight="1" x14ac:dyDescent="0.3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82"/>
      <c r="X363" s="82"/>
    </row>
    <row r="364" spans="1:24" ht="15.75" customHeight="1" x14ac:dyDescent="0.3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82"/>
      <c r="X364" s="82"/>
    </row>
    <row r="365" spans="1:24" ht="15.75" customHeight="1" x14ac:dyDescent="0.3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82"/>
      <c r="X365" s="82"/>
    </row>
    <row r="366" spans="1:24" ht="15.75" customHeight="1" x14ac:dyDescent="0.3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82"/>
      <c r="X366" s="82"/>
    </row>
    <row r="367" spans="1:24" ht="15.75" customHeight="1" x14ac:dyDescent="0.3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82"/>
      <c r="X367" s="82"/>
    </row>
    <row r="368" spans="1:24" ht="15.75" customHeight="1" x14ac:dyDescent="0.3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82"/>
      <c r="X368" s="82"/>
    </row>
    <row r="369" spans="1:24" ht="15.75" customHeight="1" x14ac:dyDescent="0.3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82"/>
      <c r="X369" s="82"/>
    </row>
    <row r="370" spans="1:24" ht="15.75" customHeight="1" x14ac:dyDescent="0.3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82"/>
      <c r="X370" s="82"/>
    </row>
    <row r="371" spans="1:24" ht="15.75" customHeight="1" x14ac:dyDescent="0.3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82"/>
      <c r="X371" s="82"/>
    </row>
    <row r="372" spans="1:24" ht="15.75" customHeight="1" x14ac:dyDescent="0.3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82"/>
      <c r="X372" s="82"/>
    </row>
    <row r="373" spans="1:24" ht="15.75" customHeight="1" x14ac:dyDescent="0.3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82"/>
      <c r="X373" s="82"/>
    </row>
    <row r="374" spans="1:24" ht="15.75" customHeight="1" x14ac:dyDescent="0.3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82"/>
      <c r="X374" s="82"/>
    </row>
    <row r="375" spans="1:24" ht="15.75" customHeight="1" x14ac:dyDescent="0.3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82"/>
      <c r="X375" s="82"/>
    </row>
    <row r="376" spans="1:24" ht="15.75" customHeight="1" x14ac:dyDescent="0.3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82"/>
      <c r="X376" s="82"/>
    </row>
    <row r="377" spans="1:24" ht="15.75" customHeight="1" x14ac:dyDescent="0.3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82"/>
      <c r="X377" s="82"/>
    </row>
    <row r="378" spans="1:24" ht="15.75" customHeight="1" x14ac:dyDescent="0.3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82"/>
      <c r="X378" s="82"/>
    </row>
    <row r="379" spans="1:24" ht="15.75" customHeight="1" x14ac:dyDescent="0.3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82"/>
      <c r="X379" s="82"/>
    </row>
    <row r="380" spans="1:24" ht="15.75" customHeight="1" x14ac:dyDescent="0.3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82"/>
      <c r="X380" s="82"/>
    </row>
    <row r="381" spans="1:24" ht="15.75" customHeight="1" x14ac:dyDescent="0.3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82"/>
      <c r="X381" s="82"/>
    </row>
    <row r="382" spans="1:24" ht="15.75" customHeight="1" x14ac:dyDescent="0.3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82"/>
      <c r="X382" s="82"/>
    </row>
    <row r="383" spans="1:24" ht="15.75" customHeight="1" x14ac:dyDescent="0.3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82"/>
      <c r="X383" s="82"/>
    </row>
    <row r="384" spans="1:24" ht="15.75" customHeight="1" x14ac:dyDescent="0.3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82"/>
      <c r="X384" s="82"/>
    </row>
    <row r="385" spans="1:24" ht="15.75" customHeight="1" x14ac:dyDescent="0.3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82"/>
      <c r="X385" s="82"/>
    </row>
    <row r="386" spans="1:24" ht="15.75" customHeight="1" x14ac:dyDescent="0.3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82"/>
      <c r="X386" s="82"/>
    </row>
    <row r="387" spans="1:24" ht="15.75" customHeight="1" x14ac:dyDescent="0.3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82"/>
      <c r="X387" s="82"/>
    </row>
    <row r="388" spans="1:24" ht="15.75" customHeight="1" x14ac:dyDescent="0.3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82"/>
      <c r="X388" s="82"/>
    </row>
    <row r="389" spans="1:24" ht="15.75" customHeight="1" x14ac:dyDescent="0.3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82"/>
      <c r="X389" s="82"/>
    </row>
    <row r="390" spans="1:24" ht="15.75" customHeight="1" x14ac:dyDescent="0.3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82"/>
      <c r="X390" s="82"/>
    </row>
    <row r="391" spans="1:24" ht="15.75" customHeight="1" x14ac:dyDescent="0.3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82"/>
      <c r="X391" s="82"/>
    </row>
    <row r="392" spans="1:24" ht="15.75" customHeight="1" x14ac:dyDescent="0.3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82"/>
      <c r="X392" s="82"/>
    </row>
    <row r="393" spans="1:24" ht="15.75" customHeight="1" x14ac:dyDescent="0.3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82"/>
      <c r="X393" s="82"/>
    </row>
    <row r="394" spans="1:24" ht="15.75" customHeight="1" x14ac:dyDescent="0.3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82"/>
      <c r="X394" s="82"/>
    </row>
    <row r="395" spans="1:24" ht="15.75" customHeight="1" x14ac:dyDescent="0.3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82"/>
      <c r="X395" s="82"/>
    </row>
    <row r="396" spans="1:24" ht="15.75" customHeight="1" x14ac:dyDescent="0.3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82"/>
      <c r="X396" s="82"/>
    </row>
    <row r="397" spans="1:24" ht="15.75" customHeight="1" x14ac:dyDescent="0.3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82"/>
      <c r="X397" s="82"/>
    </row>
    <row r="398" spans="1:24" ht="15.75" customHeight="1" x14ac:dyDescent="0.3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82"/>
      <c r="X398" s="82"/>
    </row>
    <row r="399" spans="1:24" ht="15.75" customHeight="1" x14ac:dyDescent="0.3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82"/>
      <c r="X399" s="82"/>
    </row>
    <row r="400" spans="1:24" ht="15.75" customHeight="1" x14ac:dyDescent="0.3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82"/>
      <c r="X400" s="82"/>
    </row>
    <row r="401" spans="1:24" ht="15.75" customHeight="1" x14ac:dyDescent="0.3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82"/>
      <c r="X401" s="82"/>
    </row>
    <row r="402" spans="1:24" ht="15.75" customHeight="1" x14ac:dyDescent="0.3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82"/>
      <c r="X402" s="82"/>
    </row>
    <row r="403" spans="1:24" ht="15.75" customHeight="1" x14ac:dyDescent="0.3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82"/>
      <c r="X403" s="82"/>
    </row>
    <row r="404" spans="1:24" ht="15.75" customHeight="1" x14ac:dyDescent="0.3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82"/>
      <c r="X404" s="82"/>
    </row>
    <row r="405" spans="1:24" ht="15.75" customHeight="1" x14ac:dyDescent="0.3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82"/>
      <c r="X405" s="82"/>
    </row>
    <row r="406" spans="1:24" ht="15.75" customHeight="1" x14ac:dyDescent="0.3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82"/>
      <c r="X406" s="82"/>
    </row>
    <row r="407" spans="1:24" ht="15.75" customHeight="1" x14ac:dyDescent="0.3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82"/>
      <c r="X407" s="82"/>
    </row>
    <row r="408" spans="1:24" ht="15.75" customHeight="1" x14ac:dyDescent="0.3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82"/>
      <c r="X408" s="82"/>
    </row>
    <row r="409" spans="1:24" ht="15.75" customHeight="1" x14ac:dyDescent="0.3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82"/>
      <c r="X409" s="82"/>
    </row>
    <row r="410" spans="1:24" ht="15.75" customHeight="1" x14ac:dyDescent="0.3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82"/>
      <c r="X410" s="82"/>
    </row>
    <row r="411" spans="1:24" ht="15.75" customHeight="1" x14ac:dyDescent="0.3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82"/>
      <c r="X411" s="82"/>
    </row>
    <row r="412" spans="1:24" ht="15.75" customHeight="1" x14ac:dyDescent="0.3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82"/>
      <c r="X412" s="82"/>
    </row>
    <row r="413" spans="1:24" ht="15.75" customHeight="1" x14ac:dyDescent="0.3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82"/>
      <c r="X413" s="82"/>
    </row>
    <row r="414" spans="1:24" ht="15.75" customHeight="1" x14ac:dyDescent="0.3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82"/>
      <c r="X414" s="82"/>
    </row>
    <row r="415" spans="1:24" ht="15.75" customHeight="1" x14ac:dyDescent="0.3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82"/>
      <c r="X415" s="82"/>
    </row>
    <row r="416" spans="1:24" ht="15.75" customHeight="1" x14ac:dyDescent="0.3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82"/>
      <c r="X416" s="82"/>
    </row>
    <row r="417" spans="1:24" ht="15.75" customHeight="1" x14ac:dyDescent="0.3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82"/>
      <c r="X417" s="82"/>
    </row>
    <row r="418" spans="1:24" ht="15.75" customHeight="1" x14ac:dyDescent="0.3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82"/>
      <c r="X418" s="82"/>
    </row>
    <row r="419" spans="1:24" ht="15.75" customHeight="1" x14ac:dyDescent="0.3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82"/>
      <c r="X419" s="82"/>
    </row>
    <row r="420" spans="1:24" ht="15.75" customHeight="1" x14ac:dyDescent="0.3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82"/>
      <c r="X420" s="82"/>
    </row>
    <row r="421" spans="1:24" ht="15.75" customHeight="1" x14ac:dyDescent="0.3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82"/>
      <c r="X421" s="82"/>
    </row>
    <row r="422" spans="1:24" ht="15.75" customHeight="1" x14ac:dyDescent="0.3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82"/>
      <c r="X422" s="82"/>
    </row>
    <row r="423" spans="1:24" ht="15.75" customHeight="1" x14ac:dyDescent="0.3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82"/>
      <c r="X423" s="82"/>
    </row>
    <row r="424" spans="1:24" ht="15.75" customHeight="1" x14ac:dyDescent="0.3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82"/>
      <c r="X424" s="82"/>
    </row>
    <row r="425" spans="1:24" ht="15.75" customHeight="1" x14ac:dyDescent="0.3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82"/>
      <c r="X425" s="82"/>
    </row>
    <row r="426" spans="1:24" ht="15.75" customHeight="1" x14ac:dyDescent="0.3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82"/>
      <c r="X426" s="82"/>
    </row>
    <row r="427" spans="1:24" ht="15.75" customHeight="1" x14ac:dyDescent="0.3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82"/>
      <c r="X427" s="82"/>
    </row>
    <row r="428" spans="1:24" ht="15.75" customHeight="1" x14ac:dyDescent="0.3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82"/>
      <c r="X428" s="82"/>
    </row>
    <row r="429" spans="1:24" ht="15.75" customHeight="1" x14ac:dyDescent="0.3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82"/>
      <c r="X429" s="82"/>
    </row>
    <row r="430" spans="1:24" ht="15.75" customHeight="1" x14ac:dyDescent="0.3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82"/>
      <c r="X430" s="82"/>
    </row>
    <row r="431" spans="1:24" ht="15.75" customHeight="1" x14ac:dyDescent="0.3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82"/>
      <c r="X431" s="82"/>
    </row>
    <row r="432" spans="1:24" ht="15.75" customHeight="1" x14ac:dyDescent="0.3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82"/>
      <c r="X432" s="82"/>
    </row>
    <row r="433" spans="1:24" ht="15.75" customHeight="1" x14ac:dyDescent="0.3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82"/>
      <c r="X433" s="82"/>
    </row>
    <row r="434" spans="1:24" ht="15.75" customHeight="1" x14ac:dyDescent="0.3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82"/>
      <c r="X434" s="82"/>
    </row>
    <row r="435" spans="1:24" ht="15.75" customHeight="1" x14ac:dyDescent="0.3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82"/>
      <c r="X435" s="82"/>
    </row>
    <row r="436" spans="1:24" ht="15.75" customHeight="1" x14ac:dyDescent="0.3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82"/>
      <c r="X436" s="82"/>
    </row>
    <row r="437" spans="1:24" ht="15.75" customHeight="1" x14ac:dyDescent="0.3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82"/>
      <c r="X437" s="82"/>
    </row>
    <row r="438" spans="1:24" ht="15.75" customHeight="1" x14ac:dyDescent="0.3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82"/>
      <c r="X438" s="82"/>
    </row>
    <row r="439" spans="1:24" ht="15.75" customHeight="1" x14ac:dyDescent="0.3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82"/>
      <c r="X439" s="82"/>
    </row>
    <row r="440" spans="1:24" ht="15.75" customHeight="1" x14ac:dyDescent="0.3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82"/>
      <c r="X440" s="82"/>
    </row>
    <row r="441" spans="1:24" ht="15.75" customHeight="1" x14ac:dyDescent="0.3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82"/>
      <c r="X441" s="82"/>
    </row>
    <row r="442" spans="1:24" ht="15.75" customHeight="1" x14ac:dyDescent="0.3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82"/>
      <c r="X442" s="82"/>
    </row>
    <row r="443" spans="1:24" ht="15.75" customHeight="1" x14ac:dyDescent="0.3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82"/>
      <c r="X443" s="82"/>
    </row>
    <row r="444" spans="1:24" ht="15.75" customHeight="1" x14ac:dyDescent="0.3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82"/>
      <c r="X444" s="82"/>
    </row>
    <row r="445" spans="1:24" ht="15.75" customHeight="1" x14ac:dyDescent="0.3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82"/>
      <c r="X445" s="82"/>
    </row>
    <row r="446" spans="1:24" ht="15.75" customHeight="1" x14ac:dyDescent="0.3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82"/>
      <c r="X446" s="82"/>
    </row>
    <row r="447" spans="1:24" ht="15.75" customHeight="1" x14ac:dyDescent="0.3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82"/>
      <c r="X447" s="82"/>
    </row>
    <row r="448" spans="1:24" ht="15.75" customHeight="1" x14ac:dyDescent="0.3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82"/>
      <c r="X448" s="82"/>
    </row>
    <row r="449" spans="1:24" ht="15.75" customHeight="1" x14ac:dyDescent="0.3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82"/>
      <c r="X449" s="82"/>
    </row>
    <row r="450" spans="1:24" ht="15.75" customHeight="1" x14ac:dyDescent="0.3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82"/>
      <c r="X450" s="82"/>
    </row>
    <row r="451" spans="1:24" ht="15.75" customHeight="1" x14ac:dyDescent="0.3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82"/>
      <c r="X451" s="82"/>
    </row>
    <row r="452" spans="1:24" ht="15.75" customHeight="1" x14ac:dyDescent="0.3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82"/>
      <c r="X452" s="82"/>
    </row>
    <row r="453" spans="1:24" ht="15.75" customHeight="1" x14ac:dyDescent="0.3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82"/>
      <c r="X453" s="82"/>
    </row>
    <row r="454" spans="1:24" ht="15.75" customHeight="1" x14ac:dyDescent="0.3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82"/>
      <c r="X454" s="82"/>
    </row>
    <row r="455" spans="1:24" ht="15.75" customHeight="1" x14ac:dyDescent="0.3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82"/>
      <c r="X455" s="82"/>
    </row>
    <row r="456" spans="1:24" ht="15.75" customHeight="1" x14ac:dyDescent="0.3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82"/>
      <c r="X456" s="82"/>
    </row>
    <row r="457" spans="1:24" ht="15.75" customHeight="1" x14ac:dyDescent="0.3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82"/>
      <c r="X457" s="82"/>
    </row>
    <row r="458" spans="1:24" ht="15.75" customHeight="1" x14ac:dyDescent="0.3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82"/>
      <c r="X458" s="82"/>
    </row>
    <row r="459" spans="1:24" ht="15.75" customHeight="1" x14ac:dyDescent="0.3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82"/>
      <c r="X459" s="82"/>
    </row>
    <row r="460" spans="1:24" ht="15.75" customHeight="1" x14ac:dyDescent="0.3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82"/>
      <c r="X460" s="82"/>
    </row>
    <row r="461" spans="1:24" ht="15.75" customHeight="1" x14ac:dyDescent="0.3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82"/>
      <c r="X461" s="82"/>
    </row>
    <row r="462" spans="1:24" ht="15.75" customHeight="1" x14ac:dyDescent="0.3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82"/>
      <c r="X462" s="82"/>
    </row>
    <row r="463" spans="1:24" ht="15.75" customHeight="1" x14ac:dyDescent="0.3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82"/>
      <c r="X463" s="82"/>
    </row>
    <row r="464" spans="1:24" ht="15.75" customHeight="1" x14ac:dyDescent="0.3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82"/>
      <c r="X464" s="82"/>
    </row>
    <row r="465" spans="1:24" ht="15.75" customHeight="1" x14ac:dyDescent="0.3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82"/>
      <c r="X465" s="82"/>
    </row>
    <row r="466" spans="1:24" ht="15.75" customHeight="1" x14ac:dyDescent="0.3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82"/>
      <c r="X466" s="82"/>
    </row>
    <row r="467" spans="1:24" ht="15.75" customHeight="1" x14ac:dyDescent="0.3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82"/>
      <c r="X467" s="82"/>
    </row>
    <row r="468" spans="1:24" ht="15.75" customHeight="1" x14ac:dyDescent="0.3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82"/>
      <c r="X468" s="82"/>
    </row>
    <row r="469" spans="1:24" ht="15.75" customHeight="1" x14ac:dyDescent="0.3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82"/>
      <c r="X469" s="82"/>
    </row>
    <row r="470" spans="1:24" ht="15.75" customHeight="1" x14ac:dyDescent="0.3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82"/>
      <c r="X470" s="82"/>
    </row>
    <row r="471" spans="1:24" ht="15.75" customHeight="1" x14ac:dyDescent="0.3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82"/>
      <c r="X471" s="82"/>
    </row>
    <row r="472" spans="1:24" ht="15.75" customHeight="1" x14ac:dyDescent="0.3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82"/>
      <c r="X472" s="82"/>
    </row>
    <row r="473" spans="1:24" ht="15.75" customHeight="1" x14ac:dyDescent="0.3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82"/>
      <c r="X473" s="82"/>
    </row>
    <row r="474" spans="1:24" ht="15.75" customHeight="1" x14ac:dyDescent="0.3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82"/>
      <c r="X474" s="82"/>
    </row>
    <row r="475" spans="1:24" ht="15.75" customHeight="1" x14ac:dyDescent="0.3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82"/>
      <c r="X475" s="82"/>
    </row>
    <row r="476" spans="1:24" ht="15.75" customHeight="1" x14ac:dyDescent="0.3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82"/>
      <c r="X476" s="82"/>
    </row>
    <row r="477" spans="1:24" ht="15.75" customHeight="1" x14ac:dyDescent="0.3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82"/>
      <c r="X477" s="82"/>
    </row>
    <row r="478" spans="1:24" ht="15.75" customHeight="1" x14ac:dyDescent="0.3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82"/>
      <c r="X478" s="82"/>
    </row>
    <row r="479" spans="1:24" ht="15.75" customHeight="1" x14ac:dyDescent="0.3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82"/>
      <c r="X479" s="82"/>
    </row>
    <row r="480" spans="1:24" ht="15.75" customHeight="1" x14ac:dyDescent="0.3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82"/>
      <c r="X480" s="82"/>
    </row>
    <row r="481" spans="1:24" ht="15.75" customHeight="1" x14ac:dyDescent="0.3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82"/>
      <c r="X481" s="82"/>
    </row>
    <row r="482" spans="1:24" ht="15.75" customHeight="1" x14ac:dyDescent="0.3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82"/>
      <c r="X482" s="82"/>
    </row>
    <row r="483" spans="1:24" ht="15.75" customHeight="1" x14ac:dyDescent="0.3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82"/>
      <c r="X483" s="82"/>
    </row>
    <row r="484" spans="1:24" ht="15.75" customHeight="1" x14ac:dyDescent="0.3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82"/>
      <c r="X484" s="82"/>
    </row>
    <row r="485" spans="1:24" ht="15.75" customHeight="1" x14ac:dyDescent="0.3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82"/>
      <c r="X485" s="82"/>
    </row>
    <row r="486" spans="1:24" ht="15.75" customHeight="1" x14ac:dyDescent="0.3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82"/>
      <c r="X486" s="82"/>
    </row>
    <row r="487" spans="1:24" ht="15.75" customHeight="1" x14ac:dyDescent="0.3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82"/>
      <c r="X487" s="82"/>
    </row>
    <row r="488" spans="1:24" ht="15.75" customHeight="1" x14ac:dyDescent="0.3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82"/>
      <c r="X488" s="82"/>
    </row>
    <row r="489" spans="1:24" ht="15.75" customHeight="1" x14ac:dyDescent="0.3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82"/>
      <c r="X489" s="82"/>
    </row>
    <row r="490" spans="1:24" ht="15.75" customHeight="1" x14ac:dyDescent="0.3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82"/>
      <c r="X490" s="82"/>
    </row>
    <row r="491" spans="1:24" ht="15.75" customHeight="1" x14ac:dyDescent="0.3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82"/>
      <c r="X491" s="82"/>
    </row>
    <row r="492" spans="1:24" ht="15.75" customHeight="1" x14ac:dyDescent="0.3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82"/>
      <c r="X492" s="82"/>
    </row>
    <row r="493" spans="1:24" ht="15.75" customHeight="1" x14ac:dyDescent="0.3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82"/>
      <c r="X493" s="82"/>
    </row>
    <row r="494" spans="1:24" ht="15.75" customHeight="1" x14ac:dyDescent="0.3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82"/>
      <c r="X494" s="82"/>
    </row>
    <row r="495" spans="1:24" ht="15.75" customHeight="1" x14ac:dyDescent="0.3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82"/>
      <c r="X495" s="82"/>
    </row>
    <row r="496" spans="1:24" ht="15.75" customHeight="1" x14ac:dyDescent="0.3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82"/>
      <c r="X496" s="82"/>
    </row>
    <row r="497" spans="1:24" ht="15.75" customHeight="1" x14ac:dyDescent="0.3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82"/>
      <c r="X497" s="82"/>
    </row>
    <row r="498" spans="1:24" ht="15.75" customHeight="1" x14ac:dyDescent="0.3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82"/>
      <c r="X498" s="82"/>
    </row>
    <row r="499" spans="1:24" ht="15.75" customHeight="1" x14ac:dyDescent="0.3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82"/>
      <c r="X499" s="82"/>
    </row>
    <row r="500" spans="1:24" ht="15.75" customHeight="1" x14ac:dyDescent="0.3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82"/>
      <c r="X500" s="82"/>
    </row>
    <row r="501" spans="1:24" ht="15.75" customHeight="1" x14ac:dyDescent="0.3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82"/>
      <c r="X501" s="82"/>
    </row>
    <row r="502" spans="1:24" ht="15.75" customHeight="1" x14ac:dyDescent="0.3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82"/>
      <c r="X502" s="82"/>
    </row>
    <row r="503" spans="1:24" ht="15.75" customHeight="1" x14ac:dyDescent="0.3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82"/>
      <c r="X503" s="82"/>
    </row>
    <row r="504" spans="1:24" ht="15.75" customHeight="1" x14ac:dyDescent="0.3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82"/>
      <c r="X504" s="82"/>
    </row>
    <row r="505" spans="1:24" ht="15.75" customHeight="1" x14ac:dyDescent="0.3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82"/>
      <c r="X505" s="82"/>
    </row>
    <row r="506" spans="1:24" ht="15.75" customHeight="1" x14ac:dyDescent="0.3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82"/>
      <c r="X506" s="82"/>
    </row>
    <row r="507" spans="1:24" ht="15.75" customHeight="1" x14ac:dyDescent="0.3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82"/>
      <c r="X507" s="82"/>
    </row>
    <row r="508" spans="1:24" ht="15.75" customHeight="1" x14ac:dyDescent="0.3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82"/>
      <c r="X508" s="82"/>
    </row>
    <row r="509" spans="1:24" ht="15.75" customHeight="1" x14ac:dyDescent="0.3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82"/>
      <c r="X509" s="82"/>
    </row>
    <row r="510" spans="1:24" ht="15.75" customHeight="1" x14ac:dyDescent="0.3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82"/>
      <c r="X510" s="82"/>
    </row>
    <row r="511" spans="1:24" ht="15.75" customHeight="1" x14ac:dyDescent="0.3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82"/>
      <c r="X511" s="82"/>
    </row>
    <row r="512" spans="1:24" ht="15.75" customHeight="1" x14ac:dyDescent="0.3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82"/>
      <c r="X512" s="82"/>
    </row>
    <row r="513" spans="1:24" ht="15.75" customHeight="1" x14ac:dyDescent="0.3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82"/>
      <c r="X513" s="82"/>
    </row>
    <row r="514" spans="1:24" ht="15.75" customHeight="1" x14ac:dyDescent="0.3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82"/>
      <c r="X514" s="82"/>
    </row>
    <row r="515" spans="1:24" ht="15.75" customHeight="1" x14ac:dyDescent="0.3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82"/>
      <c r="X515" s="82"/>
    </row>
    <row r="516" spans="1:24" ht="15.75" customHeight="1" x14ac:dyDescent="0.3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82"/>
      <c r="X516" s="82"/>
    </row>
    <row r="517" spans="1:24" ht="15.75" customHeight="1" x14ac:dyDescent="0.3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82"/>
      <c r="X517" s="82"/>
    </row>
    <row r="518" spans="1:24" ht="15.75" customHeight="1" x14ac:dyDescent="0.3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82"/>
      <c r="X518" s="82"/>
    </row>
    <row r="519" spans="1:24" ht="15.75" customHeight="1" x14ac:dyDescent="0.3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82"/>
      <c r="X519" s="82"/>
    </row>
    <row r="520" spans="1:24" ht="15.75" customHeight="1" x14ac:dyDescent="0.3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82"/>
      <c r="X520" s="82"/>
    </row>
    <row r="521" spans="1:24" ht="15.75" customHeight="1" x14ac:dyDescent="0.3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82"/>
      <c r="X521" s="82"/>
    </row>
    <row r="522" spans="1:24" ht="15.75" customHeight="1" x14ac:dyDescent="0.3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82"/>
      <c r="X522" s="82"/>
    </row>
    <row r="523" spans="1:24" ht="15.75" customHeight="1" x14ac:dyDescent="0.3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82"/>
      <c r="X523" s="82"/>
    </row>
    <row r="524" spans="1:24" ht="15.75" customHeight="1" x14ac:dyDescent="0.3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82"/>
      <c r="X524" s="82"/>
    </row>
    <row r="525" spans="1:24" ht="15.75" customHeight="1" x14ac:dyDescent="0.3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82"/>
      <c r="X525" s="82"/>
    </row>
    <row r="526" spans="1:24" ht="15.75" customHeight="1" x14ac:dyDescent="0.3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82"/>
      <c r="X526" s="82"/>
    </row>
    <row r="527" spans="1:24" ht="15.75" customHeight="1" x14ac:dyDescent="0.3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82"/>
      <c r="X527" s="82"/>
    </row>
    <row r="528" spans="1:24" ht="15.75" customHeight="1" x14ac:dyDescent="0.3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82"/>
      <c r="X528" s="82"/>
    </row>
    <row r="529" spans="1:24" ht="15.75" customHeight="1" x14ac:dyDescent="0.3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82"/>
      <c r="X529" s="82"/>
    </row>
    <row r="530" spans="1:24" ht="15.75" customHeight="1" x14ac:dyDescent="0.3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82"/>
      <c r="X530" s="82"/>
    </row>
    <row r="531" spans="1:24" ht="15.75" customHeight="1" x14ac:dyDescent="0.3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82"/>
      <c r="X531" s="82"/>
    </row>
    <row r="532" spans="1:24" ht="15.75" customHeight="1" x14ac:dyDescent="0.3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82"/>
      <c r="X532" s="82"/>
    </row>
    <row r="533" spans="1:24" ht="15.75" customHeight="1" x14ac:dyDescent="0.3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82"/>
      <c r="X533" s="82"/>
    </row>
    <row r="534" spans="1:24" ht="15.75" customHeight="1" x14ac:dyDescent="0.3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82"/>
      <c r="X534" s="82"/>
    </row>
    <row r="535" spans="1:24" ht="15.75" customHeight="1" x14ac:dyDescent="0.3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82"/>
      <c r="X535" s="82"/>
    </row>
    <row r="536" spans="1:24" ht="15.75" customHeight="1" x14ac:dyDescent="0.3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82"/>
      <c r="X536" s="82"/>
    </row>
    <row r="537" spans="1:24" ht="15.75" customHeight="1" x14ac:dyDescent="0.3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82"/>
      <c r="X537" s="82"/>
    </row>
    <row r="538" spans="1:24" ht="15.75" customHeight="1" x14ac:dyDescent="0.3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82"/>
      <c r="X538" s="82"/>
    </row>
    <row r="539" spans="1:24" ht="15.75" customHeight="1" x14ac:dyDescent="0.3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82"/>
      <c r="X539" s="82"/>
    </row>
    <row r="540" spans="1:24" ht="15.75" customHeight="1" x14ac:dyDescent="0.3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82"/>
      <c r="X540" s="82"/>
    </row>
    <row r="541" spans="1:24" ht="15.75" customHeight="1" x14ac:dyDescent="0.3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82"/>
      <c r="X541" s="82"/>
    </row>
    <row r="542" spans="1:24" ht="15.75" customHeight="1" x14ac:dyDescent="0.3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82"/>
      <c r="X542" s="82"/>
    </row>
    <row r="543" spans="1:24" ht="15.75" customHeight="1" x14ac:dyDescent="0.3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82"/>
      <c r="X543" s="82"/>
    </row>
    <row r="544" spans="1:24" ht="15.75" customHeight="1" x14ac:dyDescent="0.3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82"/>
      <c r="X544" s="82"/>
    </row>
    <row r="545" spans="1:24" ht="15.75" customHeight="1" x14ac:dyDescent="0.3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82"/>
      <c r="X545" s="82"/>
    </row>
    <row r="546" spans="1:24" ht="15.75" customHeight="1" x14ac:dyDescent="0.3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82"/>
      <c r="X546" s="82"/>
    </row>
    <row r="547" spans="1:24" ht="15.75" customHeight="1" x14ac:dyDescent="0.3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82"/>
      <c r="X547" s="82"/>
    </row>
    <row r="548" spans="1:24" ht="15.75" customHeight="1" x14ac:dyDescent="0.3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82"/>
      <c r="X548" s="82"/>
    </row>
    <row r="549" spans="1:24" ht="15.75" customHeight="1" x14ac:dyDescent="0.3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82"/>
      <c r="X549" s="82"/>
    </row>
    <row r="550" spans="1:24" ht="15.75" customHeight="1" x14ac:dyDescent="0.3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82"/>
      <c r="X550" s="82"/>
    </row>
    <row r="551" spans="1:24" ht="15.75" customHeight="1" x14ac:dyDescent="0.3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82"/>
      <c r="X551" s="82"/>
    </row>
    <row r="552" spans="1:24" ht="15.75" customHeight="1" x14ac:dyDescent="0.3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82"/>
      <c r="X552" s="82"/>
    </row>
    <row r="553" spans="1:24" ht="15.75" customHeight="1" x14ac:dyDescent="0.3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82"/>
      <c r="X553" s="82"/>
    </row>
    <row r="554" spans="1:24" ht="15.75" customHeight="1" x14ac:dyDescent="0.3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82"/>
      <c r="X554" s="82"/>
    </row>
    <row r="555" spans="1:24" ht="15.75" customHeight="1" x14ac:dyDescent="0.3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82"/>
      <c r="X555" s="82"/>
    </row>
    <row r="556" spans="1:24" ht="15.75" customHeight="1" x14ac:dyDescent="0.3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82"/>
      <c r="X556" s="82"/>
    </row>
    <row r="557" spans="1:24" ht="15.75" customHeight="1" x14ac:dyDescent="0.3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82"/>
      <c r="X557" s="82"/>
    </row>
    <row r="558" spans="1:24" ht="15.75" customHeight="1" x14ac:dyDescent="0.3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82"/>
      <c r="X558" s="82"/>
    </row>
    <row r="559" spans="1:24" ht="15.75" customHeight="1" x14ac:dyDescent="0.3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82"/>
      <c r="X559" s="82"/>
    </row>
    <row r="560" spans="1:24" ht="15.75" customHeight="1" x14ac:dyDescent="0.3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82"/>
      <c r="X560" s="82"/>
    </row>
    <row r="561" spans="1:24" ht="15.75" customHeight="1" x14ac:dyDescent="0.3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82"/>
      <c r="X561" s="82"/>
    </row>
    <row r="562" spans="1:24" ht="15.75" customHeight="1" x14ac:dyDescent="0.3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82"/>
      <c r="X562" s="82"/>
    </row>
    <row r="563" spans="1:24" ht="15.75" customHeight="1" x14ac:dyDescent="0.3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82"/>
      <c r="X563" s="82"/>
    </row>
    <row r="564" spans="1:24" ht="15.75" customHeight="1" x14ac:dyDescent="0.3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82"/>
      <c r="X564" s="82"/>
    </row>
    <row r="565" spans="1:24" ht="15.75" customHeight="1" x14ac:dyDescent="0.3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82"/>
      <c r="X565" s="82"/>
    </row>
    <row r="566" spans="1:24" ht="15.75" customHeight="1" x14ac:dyDescent="0.3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82"/>
      <c r="X566" s="82"/>
    </row>
    <row r="567" spans="1:24" ht="15.75" customHeight="1" x14ac:dyDescent="0.3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82"/>
      <c r="X567" s="82"/>
    </row>
    <row r="568" spans="1:24" ht="15.75" customHeight="1" x14ac:dyDescent="0.3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82"/>
      <c r="X568" s="82"/>
    </row>
    <row r="569" spans="1:24" ht="15.75" customHeight="1" x14ac:dyDescent="0.3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82"/>
      <c r="X569" s="82"/>
    </row>
    <row r="570" spans="1:24" ht="15.75" customHeight="1" x14ac:dyDescent="0.3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82"/>
      <c r="X570" s="82"/>
    </row>
    <row r="571" spans="1:24" ht="15.75" customHeight="1" x14ac:dyDescent="0.3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82"/>
      <c r="X571" s="82"/>
    </row>
    <row r="572" spans="1:24" ht="15.75" customHeight="1" x14ac:dyDescent="0.3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82"/>
      <c r="X572" s="82"/>
    </row>
    <row r="573" spans="1:24" ht="15.75" customHeight="1" x14ac:dyDescent="0.3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82"/>
      <c r="X573" s="82"/>
    </row>
    <row r="574" spans="1:24" ht="15.75" customHeight="1" x14ac:dyDescent="0.3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82"/>
      <c r="X574" s="82"/>
    </row>
    <row r="575" spans="1:24" ht="15.75" customHeight="1" x14ac:dyDescent="0.3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82"/>
      <c r="X575" s="82"/>
    </row>
    <row r="576" spans="1:24" ht="15.75" customHeight="1" x14ac:dyDescent="0.3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82"/>
      <c r="X576" s="82"/>
    </row>
    <row r="577" spans="1:24" ht="15.75" customHeight="1" x14ac:dyDescent="0.3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82"/>
      <c r="X577" s="82"/>
    </row>
    <row r="578" spans="1:24" ht="15.75" customHeight="1" x14ac:dyDescent="0.3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82"/>
      <c r="X578" s="82"/>
    </row>
    <row r="579" spans="1:24" ht="15.75" customHeight="1" x14ac:dyDescent="0.3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82"/>
      <c r="X579" s="82"/>
    </row>
    <row r="580" spans="1:24" ht="15.75" customHeight="1" x14ac:dyDescent="0.3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82"/>
      <c r="X580" s="82"/>
    </row>
    <row r="581" spans="1:24" ht="15.75" customHeight="1" x14ac:dyDescent="0.3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82"/>
      <c r="X581" s="82"/>
    </row>
    <row r="582" spans="1:24" ht="15.75" customHeight="1" x14ac:dyDescent="0.3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82"/>
      <c r="X582" s="82"/>
    </row>
    <row r="583" spans="1:24" ht="15.75" customHeight="1" x14ac:dyDescent="0.3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82"/>
      <c r="X583" s="82"/>
    </row>
    <row r="584" spans="1:24" ht="15.75" customHeight="1" x14ac:dyDescent="0.3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82"/>
      <c r="X584" s="82"/>
    </row>
    <row r="585" spans="1:24" ht="15.75" customHeight="1" x14ac:dyDescent="0.3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82"/>
      <c r="X585" s="82"/>
    </row>
    <row r="586" spans="1:24" ht="15.75" customHeight="1" x14ac:dyDescent="0.3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82"/>
      <c r="X586" s="82"/>
    </row>
    <row r="587" spans="1:24" ht="15.75" customHeight="1" x14ac:dyDescent="0.3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82"/>
      <c r="X587" s="82"/>
    </row>
    <row r="588" spans="1:24" ht="15.75" customHeight="1" x14ac:dyDescent="0.3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82"/>
      <c r="X588" s="82"/>
    </row>
    <row r="589" spans="1:24" ht="15.75" customHeight="1" x14ac:dyDescent="0.3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82"/>
      <c r="X589" s="82"/>
    </row>
    <row r="590" spans="1:24" ht="15.75" customHeight="1" x14ac:dyDescent="0.3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82"/>
      <c r="X590" s="82"/>
    </row>
    <row r="591" spans="1:24" ht="15.75" customHeight="1" x14ac:dyDescent="0.3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82"/>
      <c r="X591" s="82"/>
    </row>
    <row r="592" spans="1:24" ht="15.75" customHeight="1" x14ac:dyDescent="0.3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82"/>
      <c r="X592" s="82"/>
    </row>
    <row r="593" spans="1:24" ht="15.75" customHeight="1" x14ac:dyDescent="0.3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82"/>
      <c r="X593" s="82"/>
    </row>
    <row r="594" spans="1:24" ht="15.75" customHeight="1" x14ac:dyDescent="0.3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82"/>
      <c r="X594" s="82"/>
    </row>
    <row r="595" spans="1:24" ht="15.75" customHeight="1" x14ac:dyDescent="0.3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82"/>
      <c r="X595" s="82"/>
    </row>
    <row r="596" spans="1:24" ht="15.75" customHeight="1" x14ac:dyDescent="0.3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82"/>
      <c r="X596" s="82"/>
    </row>
    <row r="597" spans="1:24" ht="15.75" customHeight="1" x14ac:dyDescent="0.3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82"/>
      <c r="X597" s="82"/>
    </row>
    <row r="598" spans="1:24" ht="15.75" customHeight="1" x14ac:dyDescent="0.3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82"/>
      <c r="X598" s="82"/>
    </row>
    <row r="599" spans="1:24" ht="15.75" customHeight="1" x14ac:dyDescent="0.3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82"/>
      <c r="X599" s="82"/>
    </row>
    <row r="600" spans="1:24" ht="15.75" customHeight="1" x14ac:dyDescent="0.3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82"/>
      <c r="X600" s="82"/>
    </row>
    <row r="601" spans="1:24" ht="15.75" customHeight="1" x14ac:dyDescent="0.3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82"/>
      <c r="X601" s="82"/>
    </row>
    <row r="602" spans="1:24" ht="15.75" customHeight="1" x14ac:dyDescent="0.3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82"/>
      <c r="X602" s="82"/>
    </row>
    <row r="603" spans="1:24" ht="15.75" customHeight="1" x14ac:dyDescent="0.3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82"/>
      <c r="X603" s="82"/>
    </row>
    <row r="604" spans="1:24" ht="15.75" customHeight="1" x14ac:dyDescent="0.3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82"/>
      <c r="X604" s="82"/>
    </row>
    <row r="605" spans="1:24" ht="15.75" customHeight="1" x14ac:dyDescent="0.3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82"/>
      <c r="X605" s="82"/>
    </row>
    <row r="606" spans="1:24" ht="15.75" customHeight="1" x14ac:dyDescent="0.3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82"/>
      <c r="X606" s="82"/>
    </row>
    <row r="607" spans="1:24" ht="15.75" customHeight="1" x14ac:dyDescent="0.3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82"/>
      <c r="X607" s="82"/>
    </row>
    <row r="608" spans="1:24" ht="15.75" customHeight="1" x14ac:dyDescent="0.3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82"/>
      <c r="X608" s="82"/>
    </row>
    <row r="609" spans="1:24" ht="15.75" customHeight="1" x14ac:dyDescent="0.3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82"/>
      <c r="X609" s="82"/>
    </row>
    <row r="610" spans="1:24" ht="15.75" customHeight="1" x14ac:dyDescent="0.3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82"/>
      <c r="X610" s="82"/>
    </row>
    <row r="611" spans="1:24" ht="15.75" customHeight="1" x14ac:dyDescent="0.3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82"/>
      <c r="X611" s="82"/>
    </row>
    <row r="612" spans="1:24" ht="15.75" customHeight="1" x14ac:dyDescent="0.3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82"/>
      <c r="X612" s="82"/>
    </row>
    <row r="613" spans="1:24" ht="15.75" customHeight="1" x14ac:dyDescent="0.3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82"/>
      <c r="X613" s="82"/>
    </row>
    <row r="614" spans="1:24" ht="15.75" customHeight="1" x14ac:dyDescent="0.3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82"/>
      <c r="X614" s="82"/>
    </row>
    <row r="615" spans="1:24" ht="15.75" customHeight="1" x14ac:dyDescent="0.3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82"/>
      <c r="X615" s="82"/>
    </row>
    <row r="616" spans="1:24" ht="15.75" customHeight="1" x14ac:dyDescent="0.3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82"/>
      <c r="X616" s="82"/>
    </row>
    <row r="617" spans="1:24" ht="15.75" customHeight="1" x14ac:dyDescent="0.3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82"/>
      <c r="X617" s="82"/>
    </row>
    <row r="618" spans="1:24" ht="15.75" customHeight="1" x14ac:dyDescent="0.3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82"/>
      <c r="X618" s="82"/>
    </row>
    <row r="619" spans="1:24" ht="15.75" customHeight="1" x14ac:dyDescent="0.3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82"/>
      <c r="X619" s="82"/>
    </row>
    <row r="620" spans="1:24" ht="15.75" customHeight="1" x14ac:dyDescent="0.3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82"/>
      <c r="X620" s="82"/>
    </row>
    <row r="621" spans="1:24" ht="15.75" customHeight="1" x14ac:dyDescent="0.3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82"/>
      <c r="X621" s="82"/>
    </row>
    <row r="622" spans="1:24" ht="15.75" customHeight="1" x14ac:dyDescent="0.3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82"/>
      <c r="X622" s="82"/>
    </row>
    <row r="623" spans="1:24" ht="15.75" customHeight="1" x14ac:dyDescent="0.3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82"/>
      <c r="X623" s="82"/>
    </row>
    <row r="624" spans="1:24" ht="15.75" customHeight="1" x14ac:dyDescent="0.3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82"/>
      <c r="X624" s="82"/>
    </row>
    <row r="625" spans="1:24" ht="15.75" customHeight="1" x14ac:dyDescent="0.3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82"/>
      <c r="X625" s="82"/>
    </row>
    <row r="626" spans="1:24" ht="15.75" customHeight="1" x14ac:dyDescent="0.3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82"/>
      <c r="X626" s="82"/>
    </row>
    <row r="627" spans="1:24" ht="15.75" customHeight="1" x14ac:dyDescent="0.3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82"/>
      <c r="X627" s="82"/>
    </row>
    <row r="628" spans="1:24" ht="15.75" customHeight="1" x14ac:dyDescent="0.3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82"/>
      <c r="X628" s="82"/>
    </row>
    <row r="629" spans="1:24" ht="15.75" customHeight="1" x14ac:dyDescent="0.3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82"/>
      <c r="X629" s="82"/>
    </row>
    <row r="630" spans="1:24" ht="15.75" customHeight="1" x14ac:dyDescent="0.3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82"/>
      <c r="X630" s="82"/>
    </row>
    <row r="631" spans="1:24" ht="15.75" customHeight="1" x14ac:dyDescent="0.3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82"/>
      <c r="X631" s="82"/>
    </row>
    <row r="632" spans="1:24" ht="15.75" customHeight="1" x14ac:dyDescent="0.3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82"/>
      <c r="X632" s="82"/>
    </row>
    <row r="633" spans="1:24" ht="15.75" customHeight="1" x14ac:dyDescent="0.3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82"/>
      <c r="X633" s="82"/>
    </row>
    <row r="634" spans="1:24" ht="15.75" customHeight="1" x14ac:dyDescent="0.3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82"/>
      <c r="X634" s="82"/>
    </row>
    <row r="635" spans="1:24" ht="15.75" customHeight="1" x14ac:dyDescent="0.3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82"/>
      <c r="X635" s="82"/>
    </row>
    <row r="636" spans="1:24" ht="15.75" customHeight="1" x14ac:dyDescent="0.3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82"/>
      <c r="X636" s="82"/>
    </row>
    <row r="637" spans="1:24" ht="15.75" customHeight="1" x14ac:dyDescent="0.3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82"/>
      <c r="X637" s="82"/>
    </row>
    <row r="638" spans="1:24" ht="15.75" customHeight="1" x14ac:dyDescent="0.3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82"/>
      <c r="X638" s="82"/>
    </row>
    <row r="639" spans="1:24" ht="15.75" customHeight="1" x14ac:dyDescent="0.3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82"/>
      <c r="X639" s="82"/>
    </row>
    <row r="640" spans="1:24" ht="15.75" customHeight="1" x14ac:dyDescent="0.3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82"/>
      <c r="X640" s="82"/>
    </row>
    <row r="641" spans="1:24" ht="15.75" customHeight="1" x14ac:dyDescent="0.3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82"/>
      <c r="X641" s="82"/>
    </row>
    <row r="642" spans="1:24" ht="15.75" customHeight="1" x14ac:dyDescent="0.3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82"/>
      <c r="X642" s="82"/>
    </row>
    <row r="643" spans="1:24" ht="15.75" customHeight="1" x14ac:dyDescent="0.3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82"/>
      <c r="X643" s="82"/>
    </row>
    <row r="644" spans="1:24" ht="15.75" customHeight="1" x14ac:dyDescent="0.3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82"/>
      <c r="X644" s="82"/>
    </row>
    <row r="645" spans="1:24" ht="15.75" customHeight="1" x14ac:dyDescent="0.3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82"/>
      <c r="X645" s="82"/>
    </row>
    <row r="646" spans="1:24" ht="15.75" customHeight="1" x14ac:dyDescent="0.3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82"/>
      <c r="X646" s="82"/>
    </row>
    <row r="647" spans="1:24" ht="15.75" customHeight="1" x14ac:dyDescent="0.3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82"/>
      <c r="X647" s="82"/>
    </row>
    <row r="648" spans="1:24" ht="15.75" customHeight="1" x14ac:dyDescent="0.3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82"/>
      <c r="X648" s="82"/>
    </row>
    <row r="649" spans="1:24" ht="15.75" customHeight="1" x14ac:dyDescent="0.3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82"/>
      <c r="X649" s="82"/>
    </row>
    <row r="650" spans="1:24" ht="15.75" customHeight="1" x14ac:dyDescent="0.3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82"/>
      <c r="X650" s="82"/>
    </row>
    <row r="651" spans="1:24" ht="15.75" customHeight="1" x14ac:dyDescent="0.3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82"/>
      <c r="X651" s="82"/>
    </row>
    <row r="652" spans="1:24" ht="15.75" customHeight="1" x14ac:dyDescent="0.3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82"/>
      <c r="X652" s="82"/>
    </row>
    <row r="653" spans="1:24" ht="15.75" customHeight="1" x14ac:dyDescent="0.3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82"/>
      <c r="X653" s="82"/>
    </row>
    <row r="654" spans="1:24" ht="15.75" customHeight="1" x14ac:dyDescent="0.3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82"/>
      <c r="X654" s="82"/>
    </row>
    <row r="655" spans="1:24" ht="15.75" customHeight="1" x14ac:dyDescent="0.3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82"/>
      <c r="X655" s="82"/>
    </row>
    <row r="656" spans="1:24" ht="15.75" customHeight="1" x14ac:dyDescent="0.3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82"/>
      <c r="X656" s="82"/>
    </row>
    <row r="657" spans="1:24" ht="15.75" customHeight="1" x14ac:dyDescent="0.3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82"/>
      <c r="X657" s="82"/>
    </row>
    <row r="658" spans="1:24" ht="15.75" customHeight="1" x14ac:dyDescent="0.3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82"/>
      <c r="X658" s="82"/>
    </row>
    <row r="659" spans="1:24" ht="15.75" customHeight="1" x14ac:dyDescent="0.3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82"/>
      <c r="X659" s="82"/>
    </row>
    <row r="660" spans="1:24" ht="15.75" customHeight="1" x14ac:dyDescent="0.3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82"/>
      <c r="X660" s="82"/>
    </row>
    <row r="661" spans="1:24" ht="15.75" customHeight="1" x14ac:dyDescent="0.3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82"/>
      <c r="X661" s="82"/>
    </row>
    <row r="662" spans="1:24" ht="15.75" customHeight="1" x14ac:dyDescent="0.3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82"/>
      <c r="X662" s="82"/>
    </row>
    <row r="663" spans="1:24" ht="15.75" customHeight="1" x14ac:dyDescent="0.3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82"/>
      <c r="X663" s="82"/>
    </row>
    <row r="664" spans="1:24" ht="15.75" customHeight="1" x14ac:dyDescent="0.3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82"/>
      <c r="X664" s="82"/>
    </row>
    <row r="665" spans="1:24" ht="15.75" customHeight="1" x14ac:dyDescent="0.3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82"/>
      <c r="X665" s="82"/>
    </row>
    <row r="666" spans="1:24" ht="15.75" customHeight="1" x14ac:dyDescent="0.3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82"/>
      <c r="X666" s="82"/>
    </row>
    <row r="667" spans="1:24" ht="15.75" customHeight="1" x14ac:dyDescent="0.3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82"/>
      <c r="X667" s="82"/>
    </row>
    <row r="668" spans="1:24" ht="15.75" customHeight="1" x14ac:dyDescent="0.3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82"/>
      <c r="X668" s="82"/>
    </row>
    <row r="669" spans="1:24" ht="15.75" customHeight="1" x14ac:dyDescent="0.3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82"/>
      <c r="X669" s="82"/>
    </row>
    <row r="670" spans="1:24" ht="15.75" customHeight="1" x14ac:dyDescent="0.3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82"/>
      <c r="X670" s="82"/>
    </row>
    <row r="671" spans="1:24" ht="15.75" customHeight="1" x14ac:dyDescent="0.3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82"/>
      <c r="X671" s="82"/>
    </row>
    <row r="672" spans="1:24" ht="15.75" customHeight="1" x14ac:dyDescent="0.3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82"/>
      <c r="X672" s="82"/>
    </row>
    <row r="673" spans="1:24" ht="15.75" customHeight="1" x14ac:dyDescent="0.3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82"/>
      <c r="X673" s="82"/>
    </row>
    <row r="674" spans="1:24" ht="15.75" customHeight="1" x14ac:dyDescent="0.3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82"/>
      <c r="X674" s="82"/>
    </row>
    <row r="675" spans="1:24" ht="15.75" customHeight="1" x14ac:dyDescent="0.3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82"/>
      <c r="X675" s="82"/>
    </row>
    <row r="676" spans="1:24" ht="15.75" customHeight="1" x14ac:dyDescent="0.3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82"/>
      <c r="X676" s="82"/>
    </row>
    <row r="677" spans="1:24" ht="15.75" customHeight="1" x14ac:dyDescent="0.3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82"/>
      <c r="X677" s="82"/>
    </row>
    <row r="678" spans="1:24" ht="15.75" customHeight="1" x14ac:dyDescent="0.3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82"/>
      <c r="X678" s="82"/>
    </row>
    <row r="679" spans="1:24" ht="15.75" customHeight="1" x14ac:dyDescent="0.3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82"/>
      <c r="X679" s="82"/>
    </row>
    <row r="680" spans="1:24" ht="15.75" customHeight="1" x14ac:dyDescent="0.3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82"/>
      <c r="X680" s="82"/>
    </row>
    <row r="681" spans="1:24" ht="15.75" customHeight="1" x14ac:dyDescent="0.3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82"/>
      <c r="X681" s="82"/>
    </row>
    <row r="682" spans="1:24" ht="15.75" customHeight="1" x14ac:dyDescent="0.3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82"/>
      <c r="X682" s="82"/>
    </row>
    <row r="683" spans="1:24" ht="15.75" customHeight="1" x14ac:dyDescent="0.3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82"/>
      <c r="X683" s="82"/>
    </row>
    <row r="684" spans="1:24" ht="15.75" customHeight="1" x14ac:dyDescent="0.3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82"/>
      <c r="X684" s="82"/>
    </row>
    <row r="685" spans="1:24" ht="15.75" customHeight="1" x14ac:dyDescent="0.3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82"/>
      <c r="X685" s="82"/>
    </row>
    <row r="686" spans="1:24" ht="15.75" customHeight="1" x14ac:dyDescent="0.3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82"/>
      <c r="X686" s="82"/>
    </row>
    <row r="687" spans="1:24" ht="15.75" customHeight="1" x14ac:dyDescent="0.3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82"/>
      <c r="X687" s="82"/>
    </row>
    <row r="688" spans="1:24" ht="15.75" customHeight="1" x14ac:dyDescent="0.3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82"/>
      <c r="X688" s="82"/>
    </row>
    <row r="689" spans="1:24" ht="15.75" customHeight="1" x14ac:dyDescent="0.3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82"/>
      <c r="X689" s="82"/>
    </row>
    <row r="690" spans="1:24" ht="15.75" customHeight="1" x14ac:dyDescent="0.3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82"/>
      <c r="X690" s="82"/>
    </row>
    <row r="691" spans="1:24" ht="15.75" customHeight="1" x14ac:dyDescent="0.3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82"/>
      <c r="X691" s="82"/>
    </row>
    <row r="692" spans="1:24" ht="15.75" customHeight="1" x14ac:dyDescent="0.3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82"/>
      <c r="X692" s="82"/>
    </row>
    <row r="693" spans="1:24" ht="15.75" customHeight="1" x14ac:dyDescent="0.3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82"/>
      <c r="X693" s="82"/>
    </row>
    <row r="694" spans="1:24" ht="15.75" customHeight="1" x14ac:dyDescent="0.3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82"/>
      <c r="X694" s="82"/>
    </row>
    <row r="695" spans="1:24" ht="15.75" customHeight="1" x14ac:dyDescent="0.3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82"/>
      <c r="X695" s="82"/>
    </row>
    <row r="696" spans="1:24" ht="15.75" customHeight="1" x14ac:dyDescent="0.3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82"/>
      <c r="X696" s="82"/>
    </row>
    <row r="697" spans="1:24" ht="15.75" customHeight="1" x14ac:dyDescent="0.3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82"/>
      <c r="X697" s="82"/>
    </row>
    <row r="698" spans="1:24" ht="15.75" customHeight="1" x14ac:dyDescent="0.3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82"/>
      <c r="X698" s="82"/>
    </row>
    <row r="699" spans="1:24" ht="15.75" customHeight="1" x14ac:dyDescent="0.3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82"/>
      <c r="X699" s="82"/>
    </row>
    <row r="700" spans="1:24" ht="15.75" customHeight="1" x14ac:dyDescent="0.3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82"/>
      <c r="X700" s="82"/>
    </row>
    <row r="701" spans="1:24" ht="15.75" customHeight="1" x14ac:dyDescent="0.3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82"/>
      <c r="X701" s="82"/>
    </row>
    <row r="702" spans="1:24" ht="15.75" customHeight="1" x14ac:dyDescent="0.3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82"/>
      <c r="X702" s="82"/>
    </row>
    <row r="703" spans="1:24" ht="15.75" customHeight="1" x14ac:dyDescent="0.3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82"/>
      <c r="X703" s="82"/>
    </row>
    <row r="704" spans="1:24" ht="15.75" customHeight="1" x14ac:dyDescent="0.3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82"/>
      <c r="X704" s="82"/>
    </row>
    <row r="705" spans="1:24" ht="15.75" customHeight="1" x14ac:dyDescent="0.3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82"/>
      <c r="X705" s="82"/>
    </row>
    <row r="706" spans="1:24" ht="15.75" customHeight="1" x14ac:dyDescent="0.3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82"/>
      <c r="X706" s="82"/>
    </row>
    <row r="707" spans="1:24" ht="15.75" customHeight="1" x14ac:dyDescent="0.3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82"/>
      <c r="X707" s="82"/>
    </row>
    <row r="708" spans="1:24" ht="15.75" customHeight="1" x14ac:dyDescent="0.3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82"/>
      <c r="X708" s="82"/>
    </row>
    <row r="709" spans="1:24" ht="15.75" customHeight="1" x14ac:dyDescent="0.3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82"/>
      <c r="X709" s="82"/>
    </row>
    <row r="710" spans="1:24" ht="15.75" customHeight="1" x14ac:dyDescent="0.3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82"/>
      <c r="X710" s="82"/>
    </row>
    <row r="711" spans="1:24" ht="15.75" customHeight="1" x14ac:dyDescent="0.3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82"/>
      <c r="X711" s="82"/>
    </row>
    <row r="712" spans="1:24" ht="15.75" customHeight="1" x14ac:dyDescent="0.3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82"/>
      <c r="X712" s="82"/>
    </row>
    <row r="713" spans="1:24" ht="15.75" customHeight="1" x14ac:dyDescent="0.3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82"/>
      <c r="X713" s="82"/>
    </row>
    <row r="714" spans="1:24" ht="15.75" customHeight="1" x14ac:dyDescent="0.3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82"/>
      <c r="X714" s="82"/>
    </row>
    <row r="715" spans="1:24" ht="15.75" customHeight="1" x14ac:dyDescent="0.3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82"/>
      <c r="X715" s="82"/>
    </row>
    <row r="716" spans="1:24" ht="15.75" customHeight="1" x14ac:dyDescent="0.3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82"/>
      <c r="X716" s="82"/>
    </row>
    <row r="717" spans="1:24" ht="15.75" customHeight="1" x14ac:dyDescent="0.3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82"/>
      <c r="X717" s="82"/>
    </row>
    <row r="718" spans="1:24" ht="15.75" customHeight="1" x14ac:dyDescent="0.3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82"/>
      <c r="X718" s="82"/>
    </row>
    <row r="719" spans="1:24" ht="15.75" customHeight="1" x14ac:dyDescent="0.3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82"/>
      <c r="X719" s="82"/>
    </row>
    <row r="720" spans="1:24" ht="15.75" customHeight="1" x14ac:dyDescent="0.3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82"/>
      <c r="X720" s="82"/>
    </row>
    <row r="721" spans="1:24" ht="15.75" customHeight="1" x14ac:dyDescent="0.3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82"/>
      <c r="X721" s="82"/>
    </row>
    <row r="722" spans="1:24" ht="15.75" customHeight="1" x14ac:dyDescent="0.3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82"/>
      <c r="X722" s="82"/>
    </row>
    <row r="723" spans="1:24" ht="15.75" customHeight="1" x14ac:dyDescent="0.3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82"/>
      <c r="X723" s="82"/>
    </row>
    <row r="724" spans="1:24" ht="15.75" customHeight="1" x14ac:dyDescent="0.3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82"/>
      <c r="X724" s="82"/>
    </row>
    <row r="725" spans="1:24" ht="15.75" customHeight="1" x14ac:dyDescent="0.3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82"/>
      <c r="X725" s="82"/>
    </row>
    <row r="726" spans="1:24" ht="15.75" customHeight="1" x14ac:dyDescent="0.3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82"/>
      <c r="X726" s="82"/>
    </row>
    <row r="727" spans="1:24" ht="15.75" customHeight="1" x14ac:dyDescent="0.3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82"/>
      <c r="X727" s="82"/>
    </row>
    <row r="728" spans="1:24" ht="15.75" customHeight="1" x14ac:dyDescent="0.3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82"/>
      <c r="X728" s="82"/>
    </row>
    <row r="729" spans="1:24" ht="15.75" customHeight="1" x14ac:dyDescent="0.3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82"/>
      <c r="X729" s="82"/>
    </row>
    <row r="730" spans="1:24" ht="15.75" customHeight="1" x14ac:dyDescent="0.3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82"/>
      <c r="X730" s="82"/>
    </row>
    <row r="731" spans="1:24" ht="15.75" customHeight="1" x14ac:dyDescent="0.3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82"/>
      <c r="X731" s="82"/>
    </row>
    <row r="732" spans="1:24" ht="15.75" customHeight="1" x14ac:dyDescent="0.3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82"/>
      <c r="X732" s="82"/>
    </row>
    <row r="733" spans="1:24" ht="15.75" customHeight="1" x14ac:dyDescent="0.3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82"/>
      <c r="X733" s="82"/>
    </row>
    <row r="734" spans="1:24" ht="15.75" customHeight="1" x14ac:dyDescent="0.3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82"/>
      <c r="X734" s="82"/>
    </row>
    <row r="735" spans="1:24" ht="15.75" customHeight="1" x14ac:dyDescent="0.3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82"/>
      <c r="X735" s="82"/>
    </row>
    <row r="736" spans="1:24" ht="15.75" customHeight="1" x14ac:dyDescent="0.3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82"/>
      <c r="X736" s="82"/>
    </row>
    <row r="737" spans="1:24" ht="15.75" customHeight="1" x14ac:dyDescent="0.3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82"/>
      <c r="X737" s="82"/>
    </row>
    <row r="738" spans="1:24" ht="15.75" customHeight="1" x14ac:dyDescent="0.3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82"/>
      <c r="X738" s="82"/>
    </row>
    <row r="739" spans="1:24" ht="15.75" customHeight="1" x14ac:dyDescent="0.3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82"/>
      <c r="X739" s="82"/>
    </row>
    <row r="740" spans="1:24" ht="15.75" customHeight="1" x14ac:dyDescent="0.3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82"/>
      <c r="X740" s="82"/>
    </row>
    <row r="741" spans="1:24" ht="15.75" customHeight="1" x14ac:dyDescent="0.3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82"/>
      <c r="X741" s="82"/>
    </row>
    <row r="742" spans="1:24" ht="15.75" customHeight="1" x14ac:dyDescent="0.3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82"/>
      <c r="X742" s="82"/>
    </row>
    <row r="743" spans="1:24" ht="15.75" customHeight="1" x14ac:dyDescent="0.3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82"/>
      <c r="X743" s="82"/>
    </row>
    <row r="744" spans="1:24" ht="15.75" customHeight="1" x14ac:dyDescent="0.3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82"/>
      <c r="X744" s="82"/>
    </row>
    <row r="745" spans="1:24" ht="15.75" customHeight="1" x14ac:dyDescent="0.3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82"/>
      <c r="X745" s="82"/>
    </row>
    <row r="746" spans="1:24" ht="15.75" customHeight="1" x14ac:dyDescent="0.3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82"/>
      <c r="X746" s="82"/>
    </row>
    <row r="747" spans="1:24" ht="15.75" customHeight="1" x14ac:dyDescent="0.3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82"/>
      <c r="X747" s="82"/>
    </row>
    <row r="748" spans="1:24" ht="15.75" customHeight="1" x14ac:dyDescent="0.3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82"/>
      <c r="X748" s="82"/>
    </row>
    <row r="749" spans="1:24" ht="15.75" customHeight="1" x14ac:dyDescent="0.3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82"/>
      <c r="X749" s="82"/>
    </row>
    <row r="750" spans="1:24" ht="15.75" customHeight="1" x14ac:dyDescent="0.3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82"/>
      <c r="X750" s="82"/>
    </row>
    <row r="751" spans="1:24" ht="15.75" customHeight="1" x14ac:dyDescent="0.3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82"/>
      <c r="X751" s="82"/>
    </row>
    <row r="752" spans="1:24" ht="15.75" customHeight="1" x14ac:dyDescent="0.3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82"/>
      <c r="X752" s="82"/>
    </row>
    <row r="753" spans="1:24" ht="15.75" customHeight="1" x14ac:dyDescent="0.3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82"/>
      <c r="X753" s="82"/>
    </row>
    <row r="754" spans="1:24" ht="15.75" customHeight="1" x14ac:dyDescent="0.3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82"/>
      <c r="X754" s="82"/>
    </row>
    <row r="755" spans="1:24" ht="15.75" customHeight="1" x14ac:dyDescent="0.3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82"/>
      <c r="X755" s="82"/>
    </row>
    <row r="756" spans="1:24" ht="15.75" customHeight="1" x14ac:dyDescent="0.3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82"/>
      <c r="X756" s="82"/>
    </row>
    <row r="757" spans="1:24" ht="15.75" customHeight="1" x14ac:dyDescent="0.3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82"/>
      <c r="X757" s="82"/>
    </row>
    <row r="758" spans="1:24" ht="15.75" customHeight="1" x14ac:dyDescent="0.3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82"/>
      <c r="X758" s="82"/>
    </row>
    <row r="759" spans="1:24" ht="15.75" customHeight="1" x14ac:dyDescent="0.3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82"/>
      <c r="X759" s="82"/>
    </row>
    <row r="760" spans="1:24" ht="15.75" customHeight="1" x14ac:dyDescent="0.3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82"/>
      <c r="X760" s="82"/>
    </row>
    <row r="761" spans="1:24" ht="15.75" customHeight="1" x14ac:dyDescent="0.3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82"/>
      <c r="X761" s="82"/>
    </row>
    <row r="762" spans="1:24" ht="15.75" customHeight="1" x14ac:dyDescent="0.3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82"/>
      <c r="X762" s="82"/>
    </row>
    <row r="763" spans="1:24" ht="15.75" customHeight="1" x14ac:dyDescent="0.3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82"/>
      <c r="X763" s="82"/>
    </row>
    <row r="764" spans="1:24" ht="15.75" customHeight="1" x14ac:dyDescent="0.3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82"/>
      <c r="X764" s="82"/>
    </row>
    <row r="765" spans="1:24" ht="15.75" customHeight="1" x14ac:dyDescent="0.3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82"/>
      <c r="X765" s="82"/>
    </row>
    <row r="766" spans="1:24" ht="15.75" customHeight="1" x14ac:dyDescent="0.3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82"/>
      <c r="X766" s="82"/>
    </row>
    <row r="767" spans="1:24" ht="15.75" customHeight="1" x14ac:dyDescent="0.3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82"/>
      <c r="X767" s="82"/>
    </row>
    <row r="768" spans="1:24" ht="15.75" customHeight="1" x14ac:dyDescent="0.3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82"/>
      <c r="X768" s="82"/>
    </row>
    <row r="769" spans="1:24" ht="15.75" customHeight="1" x14ac:dyDescent="0.3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82"/>
      <c r="X769" s="82"/>
    </row>
    <row r="770" spans="1:24" ht="15.75" customHeight="1" x14ac:dyDescent="0.3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82"/>
      <c r="X770" s="82"/>
    </row>
    <row r="771" spans="1:24" ht="15.75" customHeight="1" x14ac:dyDescent="0.3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82"/>
      <c r="X771" s="82"/>
    </row>
    <row r="772" spans="1:24" ht="15.75" customHeight="1" x14ac:dyDescent="0.3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82"/>
      <c r="X772" s="82"/>
    </row>
    <row r="773" spans="1:24" ht="15.75" customHeight="1" x14ac:dyDescent="0.3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82"/>
      <c r="X773" s="82"/>
    </row>
    <row r="774" spans="1:24" ht="15.75" customHeight="1" x14ac:dyDescent="0.3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82"/>
      <c r="X774" s="82"/>
    </row>
    <row r="775" spans="1:24" ht="15.75" customHeight="1" x14ac:dyDescent="0.3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82"/>
      <c r="X775" s="82"/>
    </row>
    <row r="776" spans="1:24" ht="15.75" customHeight="1" x14ac:dyDescent="0.3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82"/>
      <c r="X776" s="82"/>
    </row>
    <row r="777" spans="1:24" ht="15.75" customHeight="1" x14ac:dyDescent="0.3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82"/>
      <c r="X777" s="82"/>
    </row>
    <row r="778" spans="1:24" ht="15.75" customHeight="1" x14ac:dyDescent="0.3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82"/>
      <c r="X778" s="82"/>
    </row>
    <row r="779" spans="1:24" ht="15.75" customHeight="1" x14ac:dyDescent="0.3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82"/>
      <c r="X779" s="82"/>
    </row>
    <row r="780" spans="1:24" ht="15.75" customHeight="1" x14ac:dyDescent="0.3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82"/>
      <c r="X780" s="82"/>
    </row>
    <row r="781" spans="1:24" ht="15.75" customHeight="1" x14ac:dyDescent="0.3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82"/>
      <c r="X781" s="82"/>
    </row>
    <row r="782" spans="1:24" ht="15.75" customHeight="1" x14ac:dyDescent="0.3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82"/>
      <c r="X782" s="82"/>
    </row>
    <row r="783" spans="1:24" ht="15.75" customHeight="1" x14ac:dyDescent="0.3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82"/>
      <c r="X783" s="82"/>
    </row>
    <row r="784" spans="1:24" ht="15.75" customHeight="1" x14ac:dyDescent="0.3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82"/>
      <c r="X784" s="82"/>
    </row>
    <row r="785" spans="1:24" ht="15.75" customHeight="1" x14ac:dyDescent="0.3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82"/>
      <c r="X785" s="82"/>
    </row>
    <row r="786" spans="1:24" ht="15.75" customHeight="1" x14ac:dyDescent="0.3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82"/>
      <c r="X786" s="82"/>
    </row>
    <row r="787" spans="1:24" ht="15.75" customHeight="1" x14ac:dyDescent="0.3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82"/>
      <c r="X787" s="82"/>
    </row>
    <row r="788" spans="1:24" ht="15.75" customHeight="1" x14ac:dyDescent="0.3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82"/>
      <c r="X788" s="82"/>
    </row>
    <row r="789" spans="1:24" ht="15.75" customHeight="1" x14ac:dyDescent="0.3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82"/>
      <c r="X789" s="82"/>
    </row>
    <row r="790" spans="1:24" ht="15.75" customHeight="1" x14ac:dyDescent="0.3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82"/>
      <c r="X790" s="82"/>
    </row>
    <row r="791" spans="1:24" ht="15.75" customHeight="1" x14ac:dyDescent="0.3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82"/>
      <c r="X791" s="82"/>
    </row>
    <row r="792" spans="1:24" ht="15.75" customHeight="1" x14ac:dyDescent="0.3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82"/>
      <c r="X792" s="82"/>
    </row>
    <row r="793" spans="1:24" ht="15.75" customHeight="1" x14ac:dyDescent="0.3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82"/>
      <c r="X793" s="82"/>
    </row>
    <row r="794" spans="1:24" ht="15.75" customHeight="1" x14ac:dyDescent="0.3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82"/>
      <c r="X794" s="82"/>
    </row>
    <row r="795" spans="1:24" ht="15.75" customHeight="1" x14ac:dyDescent="0.3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82"/>
      <c r="X795" s="82"/>
    </row>
    <row r="796" spans="1:24" ht="15.75" customHeight="1" x14ac:dyDescent="0.3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82"/>
      <c r="X796" s="82"/>
    </row>
    <row r="797" spans="1:24" ht="15.75" customHeight="1" x14ac:dyDescent="0.3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82"/>
      <c r="X797" s="82"/>
    </row>
    <row r="798" spans="1:24" ht="15.75" customHeight="1" x14ac:dyDescent="0.3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82"/>
      <c r="X798" s="82"/>
    </row>
    <row r="799" spans="1:24" ht="15.75" customHeight="1" x14ac:dyDescent="0.3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82"/>
      <c r="X799" s="82"/>
    </row>
    <row r="800" spans="1:24" ht="15.75" customHeight="1" x14ac:dyDescent="0.3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82"/>
      <c r="X800" s="82"/>
    </row>
    <row r="801" spans="1:24" ht="15.75" customHeight="1" x14ac:dyDescent="0.3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82"/>
      <c r="X801" s="82"/>
    </row>
    <row r="802" spans="1:24" ht="15.75" customHeight="1" x14ac:dyDescent="0.3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82"/>
      <c r="X802" s="82"/>
    </row>
    <row r="803" spans="1:24" ht="15.75" customHeight="1" x14ac:dyDescent="0.3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82"/>
      <c r="X803" s="82"/>
    </row>
    <row r="804" spans="1:24" ht="15.75" customHeight="1" x14ac:dyDescent="0.3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82"/>
      <c r="X804" s="82"/>
    </row>
    <row r="805" spans="1:24" ht="15.75" customHeight="1" x14ac:dyDescent="0.3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82"/>
      <c r="X805" s="82"/>
    </row>
    <row r="806" spans="1:24" ht="15.75" customHeight="1" x14ac:dyDescent="0.3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82"/>
      <c r="X806" s="82"/>
    </row>
    <row r="807" spans="1:24" ht="15.75" customHeight="1" x14ac:dyDescent="0.3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82"/>
      <c r="X807" s="82"/>
    </row>
    <row r="808" spans="1:24" ht="15.75" customHeight="1" x14ac:dyDescent="0.3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82"/>
      <c r="X808" s="82"/>
    </row>
    <row r="809" spans="1:24" ht="15.75" customHeight="1" x14ac:dyDescent="0.3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82"/>
      <c r="X809" s="82"/>
    </row>
    <row r="810" spans="1:24" ht="15.75" customHeight="1" x14ac:dyDescent="0.3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82"/>
      <c r="X810" s="82"/>
    </row>
    <row r="811" spans="1:24" ht="15.75" customHeight="1" x14ac:dyDescent="0.3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82"/>
      <c r="X811" s="82"/>
    </row>
    <row r="812" spans="1:24" ht="15.75" customHeight="1" x14ac:dyDescent="0.3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82"/>
      <c r="X812" s="82"/>
    </row>
    <row r="813" spans="1:24" ht="15.75" customHeight="1" x14ac:dyDescent="0.3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82"/>
      <c r="X813" s="82"/>
    </row>
    <row r="814" spans="1:24" ht="15.75" customHeight="1" x14ac:dyDescent="0.3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82"/>
      <c r="X814" s="82"/>
    </row>
    <row r="815" spans="1:24" ht="15.75" customHeight="1" x14ac:dyDescent="0.3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82"/>
      <c r="X815" s="82"/>
    </row>
    <row r="816" spans="1:24" ht="15.75" customHeight="1" x14ac:dyDescent="0.3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82"/>
      <c r="X816" s="82"/>
    </row>
    <row r="817" spans="1:24" ht="15.75" customHeight="1" x14ac:dyDescent="0.3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82"/>
      <c r="X817" s="82"/>
    </row>
    <row r="818" spans="1:24" ht="15.75" customHeight="1" x14ac:dyDescent="0.3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82"/>
      <c r="X818" s="82"/>
    </row>
    <row r="819" spans="1:24" ht="15.75" customHeight="1" x14ac:dyDescent="0.3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82"/>
      <c r="X819" s="82"/>
    </row>
    <row r="820" spans="1:24" ht="15.75" customHeight="1" x14ac:dyDescent="0.3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82"/>
      <c r="X820" s="82"/>
    </row>
    <row r="821" spans="1:24" ht="15.75" customHeight="1" x14ac:dyDescent="0.3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82"/>
      <c r="X821" s="82"/>
    </row>
    <row r="822" spans="1:24" ht="15.75" customHeight="1" x14ac:dyDescent="0.3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82"/>
      <c r="X822" s="82"/>
    </row>
    <row r="823" spans="1:24" ht="15.75" customHeight="1" x14ac:dyDescent="0.3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82"/>
      <c r="X823" s="82"/>
    </row>
    <row r="824" spans="1:24" ht="15.75" customHeight="1" x14ac:dyDescent="0.3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82"/>
      <c r="X824" s="82"/>
    </row>
    <row r="825" spans="1:24" ht="15.75" customHeight="1" x14ac:dyDescent="0.3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82"/>
      <c r="X825" s="82"/>
    </row>
    <row r="826" spans="1:24" ht="15.75" customHeight="1" x14ac:dyDescent="0.3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82"/>
      <c r="X826" s="82"/>
    </row>
    <row r="827" spans="1:24" ht="15.75" customHeight="1" x14ac:dyDescent="0.3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82"/>
      <c r="X827" s="82"/>
    </row>
    <row r="828" spans="1:24" ht="15.75" customHeight="1" x14ac:dyDescent="0.3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82"/>
      <c r="X828" s="82"/>
    </row>
    <row r="829" spans="1:24" ht="15.75" customHeight="1" x14ac:dyDescent="0.3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82"/>
      <c r="X829" s="82"/>
    </row>
    <row r="830" spans="1:24" ht="15.75" customHeight="1" x14ac:dyDescent="0.3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82"/>
      <c r="X830" s="82"/>
    </row>
    <row r="831" spans="1:24" ht="15.75" customHeight="1" x14ac:dyDescent="0.3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82"/>
      <c r="X831" s="82"/>
    </row>
    <row r="832" spans="1:24" ht="15.75" customHeight="1" x14ac:dyDescent="0.3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82"/>
      <c r="X832" s="82"/>
    </row>
    <row r="833" spans="1:24" ht="15.75" customHeight="1" x14ac:dyDescent="0.3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82"/>
      <c r="X833" s="82"/>
    </row>
    <row r="834" spans="1:24" ht="15.75" customHeight="1" x14ac:dyDescent="0.3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82"/>
      <c r="X834" s="82"/>
    </row>
    <row r="835" spans="1:24" ht="15.75" customHeight="1" x14ac:dyDescent="0.3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82"/>
      <c r="X835" s="82"/>
    </row>
    <row r="836" spans="1:24" ht="15.75" customHeight="1" x14ac:dyDescent="0.3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82"/>
      <c r="X836" s="82"/>
    </row>
    <row r="837" spans="1:24" ht="15.75" customHeight="1" x14ac:dyDescent="0.3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82"/>
      <c r="X837" s="82"/>
    </row>
    <row r="838" spans="1:24" ht="15.75" customHeight="1" x14ac:dyDescent="0.3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82"/>
      <c r="X838" s="82"/>
    </row>
    <row r="839" spans="1:24" ht="15.75" customHeight="1" x14ac:dyDescent="0.3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82"/>
      <c r="X839" s="82"/>
    </row>
    <row r="840" spans="1:24" ht="15.75" customHeight="1" x14ac:dyDescent="0.3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82"/>
      <c r="X840" s="82"/>
    </row>
    <row r="841" spans="1:24" ht="15.75" customHeight="1" x14ac:dyDescent="0.3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82"/>
      <c r="X841" s="82"/>
    </row>
    <row r="842" spans="1:24" ht="15.75" customHeight="1" x14ac:dyDescent="0.3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82"/>
      <c r="X842" s="82"/>
    </row>
    <row r="843" spans="1:24" ht="15.75" customHeight="1" x14ac:dyDescent="0.3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82"/>
      <c r="X843" s="82"/>
    </row>
    <row r="844" spans="1:24" ht="15.75" customHeight="1" x14ac:dyDescent="0.3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82"/>
      <c r="X844" s="82"/>
    </row>
    <row r="845" spans="1:24" ht="15.75" customHeight="1" x14ac:dyDescent="0.3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82"/>
      <c r="X845" s="82"/>
    </row>
    <row r="846" spans="1:24" ht="15.75" customHeight="1" x14ac:dyDescent="0.3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82"/>
      <c r="X846" s="82"/>
    </row>
    <row r="847" spans="1:24" ht="15.75" customHeight="1" x14ac:dyDescent="0.3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82"/>
      <c r="X847" s="82"/>
    </row>
    <row r="848" spans="1:24" ht="15.75" customHeight="1" x14ac:dyDescent="0.3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82"/>
      <c r="X848" s="82"/>
    </row>
    <row r="849" spans="1:24" ht="15.75" customHeight="1" x14ac:dyDescent="0.3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82"/>
      <c r="X849" s="82"/>
    </row>
    <row r="850" spans="1:24" ht="15.75" customHeight="1" x14ac:dyDescent="0.3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82"/>
      <c r="X850" s="82"/>
    </row>
    <row r="851" spans="1:24" ht="15.75" customHeight="1" x14ac:dyDescent="0.3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82"/>
      <c r="X851" s="82"/>
    </row>
    <row r="852" spans="1:24" ht="15.75" customHeight="1" x14ac:dyDescent="0.3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82"/>
      <c r="X852" s="82"/>
    </row>
    <row r="853" spans="1:24" ht="15.75" customHeight="1" x14ac:dyDescent="0.3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82"/>
      <c r="X853" s="82"/>
    </row>
    <row r="854" spans="1:24" ht="15.75" customHeight="1" x14ac:dyDescent="0.3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82"/>
      <c r="X854" s="82"/>
    </row>
    <row r="855" spans="1:24" ht="15.75" customHeight="1" x14ac:dyDescent="0.3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82"/>
      <c r="X855" s="82"/>
    </row>
    <row r="856" spans="1:24" ht="15.75" customHeight="1" x14ac:dyDescent="0.3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82"/>
      <c r="X856" s="82"/>
    </row>
    <row r="857" spans="1:24" ht="15.75" customHeight="1" x14ac:dyDescent="0.3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82"/>
      <c r="X857" s="82"/>
    </row>
    <row r="858" spans="1:24" ht="15.75" customHeight="1" x14ac:dyDescent="0.3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82"/>
      <c r="X858" s="82"/>
    </row>
    <row r="859" spans="1:24" ht="15.75" customHeight="1" x14ac:dyDescent="0.3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82"/>
      <c r="X859" s="82"/>
    </row>
    <row r="860" spans="1:24" ht="15.75" customHeight="1" x14ac:dyDescent="0.3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82"/>
      <c r="X860" s="82"/>
    </row>
    <row r="861" spans="1:24" ht="15.75" customHeight="1" x14ac:dyDescent="0.3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82"/>
      <c r="X861" s="82"/>
    </row>
    <row r="862" spans="1:24" ht="15.75" customHeight="1" x14ac:dyDescent="0.3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82"/>
      <c r="X862" s="82"/>
    </row>
    <row r="863" spans="1:24" ht="15.75" customHeight="1" x14ac:dyDescent="0.3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82"/>
      <c r="X863" s="82"/>
    </row>
    <row r="864" spans="1:24" ht="15.75" customHeight="1" x14ac:dyDescent="0.3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82"/>
      <c r="X864" s="82"/>
    </row>
    <row r="865" spans="1:24" ht="15.75" customHeight="1" x14ac:dyDescent="0.3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82"/>
      <c r="X865" s="82"/>
    </row>
    <row r="866" spans="1:24" ht="15.75" customHeight="1" x14ac:dyDescent="0.3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82"/>
      <c r="X866" s="82"/>
    </row>
    <row r="867" spans="1:24" ht="15.75" customHeight="1" x14ac:dyDescent="0.3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82"/>
      <c r="X867" s="82"/>
    </row>
    <row r="868" spans="1:24" ht="15.75" customHeight="1" x14ac:dyDescent="0.3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82"/>
      <c r="X868" s="82"/>
    </row>
    <row r="869" spans="1:24" ht="15.75" customHeight="1" x14ac:dyDescent="0.3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82"/>
      <c r="X869" s="82"/>
    </row>
    <row r="870" spans="1:24" ht="15.75" customHeight="1" x14ac:dyDescent="0.3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82"/>
      <c r="X870" s="82"/>
    </row>
    <row r="871" spans="1:24" ht="15.75" customHeight="1" x14ac:dyDescent="0.3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82"/>
      <c r="X871" s="82"/>
    </row>
    <row r="872" spans="1:24" ht="15.75" customHeight="1" x14ac:dyDescent="0.3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82"/>
      <c r="X872" s="82"/>
    </row>
    <row r="873" spans="1:24" ht="15.75" customHeight="1" x14ac:dyDescent="0.3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82"/>
      <c r="X873" s="82"/>
    </row>
    <row r="874" spans="1:24" ht="15.75" customHeight="1" x14ac:dyDescent="0.3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82"/>
      <c r="X874" s="82"/>
    </row>
    <row r="875" spans="1:24" ht="15.75" customHeight="1" x14ac:dyDescent="0.3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82"/>
      <c r="X875" s="82"/>
    </row>
    <row r="876" spans="1:24" ht="15.75" customHeight="1" x14ac:dyDescent="0.3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82"/>
      <c r="X876" s="82"/>
    </row>
    <row r="877" spans="1:24" ht="15.75" customHeight="1" x14ac:dyDescent="0.3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82"/>
      <c r="X877" s="82"/>
    </row>
    <row r="878" spans="1:24" ht="15.75" customHeight="1" x14ac:dyDescent="0.3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82"/>
      <c r="X878" s="82"/>
    </row>
    <row r="879" spans="1:24" ht="15.75" customHeight="1" x14ac:dyDescent="0.3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82"/>
      <c r="X879" s="82"/>
    </row>
    <row r="880" spans="1:24" ht="15.75" customHeight="1" x14ac:dyDescent="0.3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82"/>
      <c r="X880" s="82"/>
    </row>
    <row r="881" spans="1:24" ht="15.75" customHeight="1" x14ac:dyDescent="0.3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82"/>
      <c r="X881" s="82"/>
    </row>
    <row r="882" spans="1:24" ht="15.75" customHeight="1" x14ac:dyDescent="0.3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82"/>
      <c r="X882" s="82"/>
    </row>
    <row r="883" spans="1:24" ht="15.75" customHeight="1" x14ac:dyDescent="0.3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82"/>
      <c r="X883" s="82"/>
    </row>
    <row r="884" spans="1:24" ht="15.75" customHeight="1" x14ac:dyDescent="0.3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82"/>
      <c r="X884" s="82"/>
    </row>
    <row r="885" spans="1:24" ht="15.75" customHeight="1" x14ac:dyDescent="0.3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82"/>
      <c r="X885" s="82"/>
    </row>
    <row r="886" spans="1:24" ht="15.75" customHeight="1" x14ac:dyDescent="0.3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82"/>
      <c r="X886" s="82"/>
    </row>
    <row r="887" spans="1:24" ht="15.75" customHeight="1" x14ac:dyDescent="0.3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82"/>
      <c r="X887" s="82"/>
    </row>
    <row r="888" spans="1:24" ht="15.75" customHeight="1" x14ac:dyDescent="0.3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82"/>
      <c r="X888" s="82"/>
    </row>
    <row r="889" spans="1:24" ht="15.75" customHeight="1" x14ac:dyDescent="0.3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82"/>
      <c r="X889" s="82"/>
    </row>
    <row r="890" spans="1:24" ht="15.75" customHeight="1" x14ac:dyDescent="0.3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82"/>
      <c r="X890" s="82"/>
    </row>
    <row r="891" spans="1:24" ht="15.75" customHeight="1" x14ac:dyDescent="0.3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82"/>
      <c r="X891" s="82"/>
    </row>
    <row r="892" spans="1:24" ht="15.75" customHeight="1" x14ac:dyDescent="0.3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82"/>
      <c r="X892" s="82"/>
    </row>
    <row r="893" spans="1:24" ht="15.75" customHeight="1" x14ac:dyDescent="0.3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82"/>
      <c r="X893" s="82"/>
    </row>
    <row r="894" spans="1:24" ht="15.75" customHeight="1" x14ac:dyDescent="0.3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82"/>
      <c r="X894" s="82"/>
    </row>
    <row r="895" spans="1:24" ht="15.75" customHeight="1" x14ac:dyDescent="0.3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82"/>
      <c r="X895" s="82"/>
    </row>
    <row r="896" spans="1:24" ht="15.75" customHeight="1" x14ac:dyDescent="0.3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82"/>
      <c r="X896" s="82"/>
    </row>
    <row r="897" spans="1:24" ht="15.75" customHeight="1" x14ac:dyDescent="0.3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82"/>
      <c r="X897" s="82"/>
    </row>
    <row r="898" spans="1:24" ht="15.75" customHeight="1" x14ac:dyDescent="0.3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82"/>
      <c r="X898" s="82"/>
    </row>
    <row r="899" spans="1:24" ht="15.75" customHeight="1" x14ac:dyDescent="0.3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82"/>
      <c r="X899" s="82"/>
    </row>
    <row r="900" spans="1:24" ht="15.75" customHeight="1" x14ac:dyDescent="0.3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82"/>
      <c r="X900" s="82"/>
    </row>
    <row r="901" spans="1:24" ht="15.75" customHeight="1" x14ac:dyDescent="0.3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82"/>
      <c r="X901" s="82"/>
    </row>
    <row r="902" spans="1:24" ht="15.75" customHeight="1" x14ac:dyDescent="0.3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82"/>
      <c r="X902" s="82"/>
    </row>
    <row r="903" spans="1:24" ht="15.75" customHeight="1" x14ac:dyDescent="0.3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82"/>
      <c r="X903" s="82"/>
    </row>
    <row r="904" spans="1:24" ht="15.75" customHeight="1" x14ac:dyDescent="0.3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82"/>
      <c r="X904" s="82"/>
    </row>
    <row r="905" spans="1:24" ht="15.75" customHeight="1" x14ac:dyDescent="0.3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82"/>
      <c r="X905" s="82"/>
    </row>
    <row r="906" spans="1:24" ht="15.75" customHeight="1" x14ac:dyDescent="0.3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82"/>
      <c r="X906" s="82"/>
    </row>
    <row r="907" spans="1:24" ht="15.75" customHeight="1" x14ac:dyDescent="0.3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82"/>
      <c r="X907" s="82"/>
    </row>
    <row r="908" spans="1:24" ht="15.75" customHeight="1" x14ac:dyDescent="0.3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82"/>
      <c r="X908" s="82"/>
    </row>
    <row r="909" spans="1:24" ht="15.75" customHeight="1" x14ac:dyDescent="0.3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82"/>
      <c r="X909" s="82"/>
    </row>
    <row r="910" spans="1:24" ht="15.75" customHeight="1" x14ac:dyDescent="0.3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82"/>
      <c r="X910" s="82"/>
    </row>
    <row r="911" spans="1:24" ht="15.75" customHeight="1" x14ac:dyDescent="0.3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82"/>
      <c r="X911" s="82"/>
    </row>
    <row r="912" spans="1:24" ht="15.75" customHeight="1" x14ac:dyDescent="0.3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82"/>
      <c r="X912" s="82"/>
    </row>
    <row r="913" spans="1:24" ht="15.75" customHeight="1" x14ac:dyDescent="0.3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82"/>
      <c r="X913" s="82"/>
    </row>
    <row r="914" spans="1:24" ht="15.75" customHeight="1" x14ac:dyDescent="0.3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82"/>
      <c r="X914" s="82"/>
    </row>
    <row r="915" spans="1:24" ht="15.75" customHeight="1" x14ac:dyDescent="0.3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82"/>
      <c r="X915" s="82"/>
    </row>
    <row r="916" spans="1:24" ht="15.75" customHeight="1" x14ac:dyDescent="0.3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82"/>
      <c r="X916" s="82"/>
    </row>
    <row r="917" spans="1:24" ht="15.75" customHeight="1" x14ac:dyDescent="0.3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82"/>
      <c r="X917" s="82"/>
    </row>
    <row r="918" spans="1:24" ht="15.75" customHeight="1" x14ac:dyDescent="0.3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82"/>
      <c r="X918" s="82"/>
    </row>
    <row r="919" spans="1:24" ht="15.75" customHeight="1" x14ac:dyDescent="0.3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82"/>
      <c r="X919" s="82"/>
    </row>
    <row r="920" spans="1:24" ht="15.75" customHeight="1" x14ac:dyDescent="0.3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82"/>
      <c r="X920" s="82"/>
    </row>
    <row r="921" spans="1:24" ht="15.75" customHeight="1" x14ac:dyDescent="0.3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82"/>
      <c r="X921" s="82"/>
    </row>
    <row r="922" spans="1:24" ht="15.75" customHeight="1" x14ac:dyDescent="0.3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82"/>
      <c r="X922" s="82"/>
    </row>
    <row r="923" spans="1:24" ht="15.75" customHeight="1" x14ac:dyDescent="0.3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82"/>
      <c r="X923" s="82"/>
    </row>
    <row r="924" spans="1:24" ht="15.75" customHeight="1" x14ac:dyDescent="0.3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82"/>
      <c r="X924" s="82"/>
    </row>
    <row r="925" spans="1:24" ht="15.75" customHeight="1" x14ac:dyDescent="0.3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82"/>
      <c r="X925" s="82"/>
    </row>
    <row r="926" spans="1:24" ht="15.75" customHeight="1" x14ac:dyDescent="0.3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82"/>
      <c r="X926" s="82"/>
    </row>
    <row r="927" spans="1:24" ht="15.75" customHeight="1" x14ac:dyDescent="0.3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82"/>
      <c r="X927" s="82"/>
    </row>
    <row r="928" spans="1:24" ht="15.75" customHeight="1" x14ac:dyDescent="0.3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82"/>
      <c r="X928" s="82"/>
    </row>
    <row r="929" spans="1:24" ht="15.75" customHeight="1" x14ac:dyDescent="0.3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82"/>
      <c r="X929" s="82"/>
    </row>
    <row r="930" spans="1:24" ht="15.75" customHeight="1" x14ac:dyDescent="0.3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82"/>
      <c r="X930" s="82"/>
    </row>
    <row r="931" spans="1:24" ht="15.75" customHeight="1" x14ac:dyDescent="0.3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82"/>
      <c r="X931" s="82"/>
    </row>
    <row r="932" spans="1:24" ht="15.75" customHeight="1" x14ac:dyDescent="0.3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82"/>
      <c r="X932" s="82"/>
    </row>
    <row r="933" spans="1:24" ht="15.75" customHeight="1" x14ac:dyDescent="0.3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82"/>
      <c r="X933" s="82"/>
    </row>
    <row r="934" spans="1:24" ht="15.75" customHeight="1" x14ac:dyDescent="0.3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82"/>
      <c r="X934" s="82"/>
    </row>
    <row r="935" spans="1:24" ht="15.75" customHeight="1" x14ac:dyDescent="0.3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82"/>
      <c r="X935" s="82"/>
    </row>
    <row r="936" spans="1:24" ht="15.75" customHeight="1" x14ac:dyDescent="0.3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82"/>
      <c r="X936" s="82"/>
    </row>
    <row r="937" spans="1:24" ht="15.75" customHeight="1" x14ac:dyDescent="0.3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82"/>
      <c r="X937" s="82"/>
    </row>
    <row r="938" spans="1:24" ht="15.75" customHeight="1" x14ac:dyDescent="0.3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82"/>
      <c r="X938" s="82"/>
    </row>
    <row r="939" spans="1:24" ht="15.75" customHeight="1" x14ac:dyDescent="0.3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82"/>
      <c r="X939" s="82"/>
    </row>
    <row r="940" spans="1:24" ht="15.75" customHeight="1" x14ac:dyDescent="0.3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82"/>
      <c r="X940" s="82"/>
    </row>
    <row r="941" spans="1:24" ht="15.75" customHeight="1" x14ac:dyDescent="0.3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82"/>
      <c r="X941" s="82"/>
    </row>
    <row r="942" spans="1:24" ht="15.75" customHeight="1" x14ac:dyDescent="0.3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82"/>
      <c r="X942" s="82"/>
    </row>
    <row r="943" spans="1:24" ht="15.75" customHeight="1" x14ac:dyDescent="0.3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82"/>
      <c r="X943" s="82"/>
    </row>
    <row r="944" spans="1:24" ht="15.75" customHeight="1" x14ac:dyDescent="0.3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82"/>
      <c r="X944" s="82"/>
    </row>
    <row r="945" spans="1:24" ht="15.75" customHeight="1" x14ac:dyDescent="0.3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82"/>
      <c r="X945" s="82"/>
    </row>
    <row r="946" spans="1:24" ht="15.75" customHeight="1" x14ac:dyDescent="0.3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82"/>
      <c r="X946" s="82"/>
    </row>
    <row r="947" spans="1:24" ht="15.75" customHeight="1" x14ac:dyDescent="0.3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82"/>
      <c r="X947" s="82"/>
    </row>
    <row r="948" spans="1:24" ht="15.75" customHeight="1" x14ac:dyDescent="0.3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82"/>
      <c r="X948" s="82"/>
    </row>
    <row r="949" spans="1:24" ht="15.75" customHeight="1" x14ac:dyDescent="0.3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82"/>
      <c r="X949" s="82"/>
    </row>
    <row r="950" spans="1:24" ht="15.75" customHeight="1" x14ac:dyDescent="0.3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82"/>
      <c r="X950" s="82"/>
    </row>
    <row r="951" spans="1:24" ht="15.75" customHeight="1" x14ac:dyDescent="0.3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82"/>
      <c r="X951" s="82"/>
    </row>
    <row r="952" spans="1:24" ht="15.75" customHeight="1" x14ac:dyDescent="0.3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82"/>
      <c r="X952" s="82"/>
    </row>
    <row r="953" spans="1:24" ht="15.75" customHeight="1" x14ac:dyDescent="0.3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82"/>
      <c r="X953" s="82"/>
    </row>
    <row r="954" spans="1:24" ht="15.75" customHeight="1" x14ac:dyDescent="0.3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82"/>
      <c r="X954" s="82"/>
    </row>
    <row r="955" spans="1:24" ht="15.75" customHeight="1" x14ac:dyDescent="0.3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82"/>
      <c r="X955" s="82"/>
    </row>
    <row r="956" spans="1:24" ht="15.75" customHeight="1" x14ac:dyDescent="0.3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82"/>
      <c r="X956" s="82"/>
    </row>
    <row r="957" spans="1:24" ht="15.75" customHeight="1" x14ac:dyDescent="0.3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82"/>
      <c r="X957" s="82"/>
    </row>
    <row r="958" spans="1:24" ht="15.75" customHeight="1" x14ac:dyDescent="0.3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82"/>
      <c r="X958" s="82"/>
    </row>
    <row r="959" spans="1:24" ht="15.75" customHeight="1" x14ac:dyDescent="0.3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82"/>
      <c r="X959" s="82"/>
    </row>
    <row r="960" spans="1:24" ht="15.75" customHeight="1" x14ac:dyDescent="0.3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82"/>
      <c r="X960" s="82"/>
    </row>
    <row r="961" spans="1:24" ht="15.75" customHeight="1" x14ac:dyDescent="0.3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82"/>
      <c r="X961" s="82"/>
    </row>
    <row r="962" spans="1:24" ht="15.75" customHeight="1" x14ac:dyDescent="0.3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82"/>
      <c r="X962" s="82"/>
    </row>
    <row r="963" spans="1:24" ht="15.75" customHeight="1" x14ac:dyDescent="0.3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82"/>
      <c r="X963" s="82"/>
    </row>
    <row r="964" spans="1:24" ht="15.75" customHeight="1" x14ac:dyDescent="0.3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82"/>
      <c r="X964" s="82"/>
    </row>
    <row r="965" spans="1:24" ht="15.75" customHeight="1" x14ac:dyDescent="0.3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82"/>
      <c r="X965" s="82"/>
    </row>
    <row r="966" spans="1:24" ht="15.75" customHeight="1" x14ac:dyDescent="0.3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82"/>
      <c r="X966" s="82"/>
    </row>
    <row r="967" spans="1:24" ht="15.75" customHeight="1" x14ac:dyDescent="0.3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82"/>
      <c r="X967" s="82"/>
    </row>
    <row r="968" spans="1:24" ht="15.75" customHeight="1" x14ac:dyDescent="0.3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82"/>
      <c r="X968" s="82"/>
    </row>
    <row r="969" spans="1:24" ht="15.75" customHeight="1" x14ac:dyDescent="0.3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82"/>
      <c r="X969" s="82"/>
    </row>
    <row r="970" spans="1:24" ht="15.75" customHeight="1" x14ac:dyDescent="0.3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82"/>
      <c r="X970" s="82"/>
    </row>
    <row r="971" spans="1:24" ht="15.75" customHeight="1" x14ac:dyDescent="0.3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82"/>
      <c r="X971" s="82"/>
    </row>
    <row r="972" spans="1:24" ht="15.75" customHeight="1" x14ac:dyDescent="0.3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82"/>
      <c r="X972" s="82"/>
    </row>
    <row r="973" spans="1:24" ht="15.75" customHeight="1" x14ac:dyDescent="0.3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82"/>
      <c r="X973" s="82"/>
    </row>
    <row r="974" spans="1:24" ht="15.75" customHeight="1" x14ac:dyDescent="0.3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82"/>
      <c r="X974" s="82"/>
    </row>
    <row r="975" spans="1:24" ht="15.75" customHeight="1" x14ac:dyDescent="0.3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82"/>
      <c r="X975" s="82"/>
    </row>
    <row r="976" spans="1:24" ht="15.75" customHeight="1" x14ac:dyDescent="0.3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82"/>
      <c r="X976" s="82"/>
    </row>
    <row r="977" spans="1:24" ht="15.75" customHeight="1" x14ac:dyDescent="0.3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82"/>
      <c r="X977" s="82"/>
    </row>
    <row r="978" spans="1:24" ht="15.75" customHeight="1" x14ac:dyDescent="0.3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82"/>
      <c r="X978" s="82"/>
    </row>
    <row r="979" spans="1:24" ht="15.75" customHeight="1" x14ac:dyDescent="0.3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82"/>
      <c r="X979" s="82"/>
    </row>
    <row r="980" spans="1:24" ht="15.75" customHeight="1" x14ac:dyDescent="0.3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82"/>
      <c r="X980" s="82"/>
    </row>
    <row r="981" spans="1:24" ht="15.75" customHeight="1" x14ac:dyDescent="0.3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82"/>
      <c r="X981" s="82"/>
    </row>
    <row r="982" spans="1:24" ht="15.75" customHeight="1" x14ac:dyDescent="0.3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82"/>
      <c r="X982" s="82"/>
    </row>
    <row r="983" spans="1:24" ht="15.75" customHeight="1" x14ac:dyDescent="0.3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82"/>
      <c r="X983" s="82"/>
    </row>
    <row r="984" spans="1:24" ht="15.75" customHeight="1" x14ac:dyDescent="0.3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82"/>
      <c r="X984" s="82"/>
    </row>
    <row r="985" spans="1:24" ht="15.75" customHeight="1" x14ac:dyDescent="0.3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82"/>
      <c r="X985" s="82"/>
    </row>
    <row r="986" spans="1:24" ht="15.75" customHeight="1" x14ac:dyDescent="0.3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82"/>
      <c r="X986" s="82"/>
    </row>
    <row r="987" spans="1:24" ht="15.75" customHeight="1" x14ac:dyDescent="0.3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82"/>
      <c r="X987" s="82"/>
    </row>
    <row r="988" spans="1:24" ht="15.75" customHeight="1" x14ac:dyDescent="0.3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82"/>
      <c r="X988" s="82"/>
    </row>
    <row r="989" spans="1:24" ht="15.75" customHeight="1" x14ac:dyDescent="0.3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82"/>
      <c r="X989" s="82"/>
    </row>
    <row r="990" spans="1:24" ht="15.75" customHeight="1" x14ac:dyDescent="0.3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82"/>
      <c r="X990" s="82"/>
    </row>
    <row r="991" spans="1:24" ht="15.75" customHeight="1" x14ac:dyDescent="0.3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82"/>
      <c r="X991" s="82"/>
    </row>
    <row r="992" spans="1:24" ht="15.75" customHeight="1" x14ac:dyDescent="0.3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82"/>
      <c r="X992" s="82"/>
    </row>
    <row r="993" spans="1:24" ht="15.75" customHeight="1" x14ac:dyDescent="0.3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82"/>
      <c r="X993" s="82"/>
    </row>
    <row r="994" spans="1:24" ht="15.75" customHeight="1" x14ac:dyDescent="0.3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82"/>
      <c r="X994" s="82"/>
    </row>
    <row r="995" spans="1:24" ht="15.75" customHeight="1" x14ac:dyDescent="0.3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82"/>
      <c r="X995" s="82"/>
    </row>
    <row r="996" spans="1:24" ht="15.75" customHeight="1" x14ac:dyDescent="0.3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82"/>
      <c r="X996" s="82"/>
    </row>
    <row r="997" spans="1:24" ht="15.75" customHeight="1" x14ac:dyDescent="0.3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82"/>
      <c r="X997" s="82"/>
    </row>
    <row r="998" spans="1:24" ht="15.75" customHeight="1" x14ac:dyDescent="0.3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82"/>
      <c r="X998" s="82"/>
    </row>
    <row r="999" spans="1:24" ht="15.75" customHeight="1" x14ac:dyDescent="0.3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82"/>
      <c r="X999" s="82"/>
    </row>
    <row r="1000" spans="1:24" ht="15.75" customHeight="1" x14ac:dyDescent="0.3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82"/>
      <c r="X1000" s="82"/>
    </row>
    <row r="1001" spans="1:24" ht="15.75" customHeight="1" x14ac:dyDescent="0.3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82"/>
      <c r="X1001" s="82"/>
    </row>
  </sheetData>
  <mergeCells count="8">
    <mergeCell ref="A1:A2"/>
    <mergeCell ref="W1:W2"/>
    <mergeCell ref="U1:U2"/>
    <mergeCell ref="X1:X2"/>
    <mergeCell ref="V1:V2"/>
    <mergeCell ref="B1:C1"/>
    <mergeCell ref="D1:S1"/>
    <mergeCell ref="T1:T2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E67"/>
  <sheetViews>
    <sheetView zoomScaleNormal="100" workbookViewId="0">
      <pane xSplit="3" ySplit="2" topLeftCell="M3" activePane="bottomRight" state="frozen"/>
      <selection pane="topRight" activeCell="B3" sqref="B3"/>
      <selection pane="bottomLeft" activeCell="B3" sqref="B3"/>
      <selection pane="bottomRight" activeCell="N5" sqref="N5"/>
    </sheetView>
  </sheetViews>
  <sheetFormatPr defaultColWidth="14.44140625" defaultRowHeight="15" customHeight="1" x14ac:dyDescent="0.3"/>
  <cols>
    <col min="1" max="1" width="12.44140625" style="74" customWidth="1"/>
    <col min="2" max="2" width="28.44140625" style="74" hidden="1" customWidth="1"/>
    <col min="3" max="3" width="24.33203125" style="74" customWidth="1"/>
    <col min="4" max="4" width="19" style="78" customWidth="1"/>
    <col min="5" max="18" width="23.44140625" style="74" customWidth="1"/>
    <col min="19" max="20" width="29" style="74" customWidth="1"/>
    <col min="21" max="54" width="23.44140625" style="74" customWidth="1"/>
    <col min="55" max="56" width="30.44140625" style="74" customWidth="1"/>
    <col min="57" max="57" width="19" style="74" customWidth="1"/>
    <col min="58" max="89" width="14.44140625" style="74" customWidth="1"/>
    <col min="90" max="16384" width="14.44140625" style="74"/>
  </cols>
  <sheetData>
    <row r="1" spans="1:57" s="73" customFormat="1" ht="30" customHeight="1" x14ac:dyDescent="0.3">
      <c r="A1" s="53"/>
      <c r="B1" s="53"/>
      <c r="C1" s="53"/>
      <c r="D1" s="54" t="s">
        <v>418</v>
      </c>
      <c r="E1" s="107">
        <v>46113</v>
      </c>
      <c r="F1" s="87"/>
      <c r="G1" s="87"/>
      <c r="H1" s="88"/>
      <c r="I1" s="109">
        <v>46143</v>
      </c>
      <c r="J1" s="87"/>
      <c r="K1" s="87"/>
      <c r="L1" s="88"/>
      <c r="M1" s="108">
        <v>46174</v>
      </c>
      <c r="N1" s="87"/>
      <c r="O1" s="87"/>
      <c r="P1" s="88"/>
      <c r="Q1" s="108">
        <v>46204</v>
      </c>
      <c r="R1" s="87"/>
      <c r="S1" s="87"/>
      <c r="T1" s="88"/>
      <c r="U1" s="108">
        <v>46235</v>
      </c>
      <c r="V1" s="87"/>
      <c r="W1" s="87"/>
      <c r="X1" s="88"/>
      <c r="Y1" s="108">
        <v>46266</v>
      </c>
      <c r="Z1" s="87"/>
      <c r="AA1" s="87"/>
      <c r="AB1" s="88"/>
      <c r="AC1" s="108">
        <v>46296</v>
      </c>
      <c r="AD1" s="87"/>
      <c r="AE1" s="87"/>
      <c r="AF1" s="88"/>
      <c r="AG1" s="108">
        <v>46327</v>
      </c>
      <c r="AH1" s="87"/>
      <c r="AI1" s="87"/>
      <c r="AJ1" s="88"/>
      <c r="AK1" s="108">
        <v>46357</v>
      </c>
      <c r="AL1" s="87"/>
      <c r="AM1" s="87"/>
      <c r="AN1" s="88"/>
      <c r="AO1" s="108">
        <v>46388</v>
      </c>
      <c r="AP1" s="87"/>
      <c r="AQ1" s="87"/>
      <c r="AR1" s="88"/>
      <c r="AS1" s="108">
        <v>46419</v>
      </c>
      <c r="AT1" s="87"/>
      <c r="AU1" s="87"/>
      <c r="AV1" s="88"/>
      <c r="AW1" s="108">
        <v>46447</v>
      </c>
      <c r="AX1" s="87"/>
      <c r="AY1" s="87"/>
      <c r="AZ1" s="88"/>
      <c r="BA1" s="55" t="s">
        <v>419</v>
      </c>
      <c r="BB1" s="55" t="s">
        <v>420</v>
      </c>
      <c r="BC1" s="55" t="s">
        <v>421</v>
      </c>
      <c r="BD1" s="55" t="s">
        <v>422</v>
      </c>
      <c r="BE1" s="56" t="s">
        <v>423</v>
      </c>
    </row>
    <row r="2" spans="1:57" ht="15.75" customHeight="1" thickBot="1" x14ac:dyDescent="0.35">
      <c r="A2" s="14" t="s">
        <v>424</v>
      </c>
      <c r="B2" s="14" t="s">
        <v>425</v>
      </c>
      <c r="C2" s="14" t="s">
        <v>426</v>
      </c>
      <c r="D2" s="18"/>
      <c r="E2" s="18" t="s">
        <v>427</v>
      </c>
      <c r="F2" s="18" t="s">
        <v>428</v>
      </c>
      <c r="G2" s="18" t="s">
        <v>429</v>
      </c>
      <c r="H2" s="18" t="s">
        <v>430</v>
      </c>
      <c r="I2" s="18" t="s">
        <v>427</v>
      </c>
      <c r="J2" s="18" t="s">
        <v>428</v>
      </c>
      <c r="K2" s="18" t="s">
        <v>429</v>
      </c>
      <c r="L2" s="18" t="s">
        <v>430</v>
      </c>
      <c r="M2" s="18" t="s">
        <v>427</v>
      </c>
      <c r="N2" s="18" t="s">
        <v>428</v>
      </c>
      <c r="O2" s="18" t="s">
        <v>429</v>
      </c>
      <c r="P2" s="18" t="s">
        <v>430</v>
      </c>
      <c r="Q2" s="18" t="s">
        <v>427</v>
      </c>
      <c r="R2" s="18" t="s">
        <v>428</v>
      </c>
      <c r="S2" s="18" t="s">
        <v>429</v>
      </c>
      <c r="T2" s="18" t="s">
        <v>430</v>
      </c>
      <c r="U2" s="18" t="s">
        <v>427</v>
      </c>
      <c r="V2" s="18" t="s">
        <v>428</v>
      </c>
      <c r="W2" s="18" t="s">
        <v>429</v>
      </c>
      <c r="X2" s="18" t="s">
        <v>430</v>
      </c>
      <c r="Y2" s="18" t="s">
        <v>427</v>
      </c>
      <c r="Z2" s="18" t="s">
        <v>428</v>
      </c>
      <c r="AA2" s="18" t="s">
        <v>429</v>
      </c>
      <c r="AB2" s="18" t="s">
        <v>430</v>
      </c>
      <c r="AC2" s="18" t="s">
        <v>427</v>
      </c>
      <c r="AD2" s="18" t="s">
        <v>428</v>
      </c>
      <c r="AE2" s="18" t="s">
        <v>429</v>
      </c>
      <c r="AF2" s="18" t="s">
        <v>430</v>
      </c>
      <c r="AG2" s="18" t="s">
        <v>427</v>
      </c>
      <c r="AH2" s="18" t="s">
        <v>428</v>
      </c>
      <c r="AI2" s="18" t="s">
        <v>429</v>
      </c>
      <c r="AJ2" s="18" t="s">
        <v>430</v>
      </c>
      <c r="AK2" s="18" t="s">
        <v>427</v>
      </c>
      <c r="AL2" s="18" t="s">
        <v>428</v>
      </c>
      <c r="AM2" s="18" t="s">
        <v>429</v>
      </c>
      <c r="AN2" s="18" t="s">
        <v>430</v>
      </c>
      <c r="AO2" s="18" t="s">
        <v>427</v>
      </c>
      <c r="AP2" s="18" t="s">
        <v>428</v>
      </c>
      <c r="AQ2" s="18" t="s">
        <v>429</v>
      </c>
      <c r="AR2" s="18" t="s">
        <v>430</v>
      </c>
      <c r="AS2" s="18" t="s">
        <v>427</v>
      </c>
      <c r="AT2" s="18" t="s">
        <v>428</v>
      </c>
      <c r="AU2" s="18" t="s">
        <v>429</v>
      </c>
      <c r="AV2" s="18" t="s">
        <v>430</v>
      </c>
      <c r="AW2" s="18" t="s">
        <v>427</v>
      </c>
      <c r="AX2" s="18" t="s">
        <v>428</v>
      </c>
      <c r="AY2" s="18" t="s">
        <v>429</v>
      </c>
      <c r="AZ2" s="18" t="s">
        <v>430</v>
      </c>
      <c r="BA2" s="18"/>
      <c r="BB2" s="18"/>
      <c r="BC2" s="18"/>
      <c r="BD2" s="18"/>
      <c r="BE2" s="14"/>
    </row>
    <row r="3" spans="1:57" ht="16.2" customHeight="1" x14ac:dyDescent="0.3">
      <c r="A3" s="68" t="s">
        <v>4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9230</v>
      </c>
      <c r="F3" s="70">
        <f ca="1">INDIRECT("'Apr"&amp;Members!$F$2&amp;"-EXPENSE'!R"&amp;ROW()+3)</f>
        <v>0</v>
      </c>
      <c r="G3" s="10"/>
      <c r="H3" s="70">
        <f t="shared" ref="H3:H34" ca="1" si="0">E3-(F3+G3)</f>
        <v>9230</v>
      </c>
      <c r="I3" s="70">
        <f ca="1">INDIRECT("'May"&amp;Members!$F$2&amp;"-COLLECTION'!K"&amp;ROW()-1)</f>
        <v>0</v>
      </c>
      <c r="J3" s="70">
        <f ca="1">INDIRECT("'May"&amp;Members!$F$2&amp;"-EXPENSE'!R"&amp;ROW()+3)</f>
        <v>5565.8228186401111</v>
      </c>
      <c r="K3" s="11"/>
      <c r="L3" s="70">
        <f t="shared" ref="L3:L34" ca="1" si="1">I3-(J3+K3)</f>
        <v>-5565.8228186401111</v>
      </c>
      <c r="M3" s="70">
        <f ca="1">INDIRECT("'June"&amp;Members!$F$2&amp;"-COLLECTION'!K"&amp;ROW()-1)</f>
        <v>10856</v>
      </c>
      <c r="N3" s="70">
        <f ca="1">INDIRECT("'June"&amp;Members!$F$2&amp;"-EXPENSE'!R"&amp;ROW()+3)</f>
        <v>5902.6494032909122</v>
      </c>
      <c r="O3" s="10"/>
      <c r="P3" s="70">
        <f t="shared" ref="P3:P34" ca="1" si="2">M3-(N3+O3)</f>
        <v>4953.3505967090878</v>
      </c>
      <c r="Q3" s="70">
        <f ca="1">INDIRECT("'July"&amp;Members!$F$2&amp;"-COLLECTION'!K"&amp;ROW()-1)</f>
        <v>6005</v>
      </c>
      <c r="R3" s="70">
        <f ca="1">INDIRECT("'July"&amp;Members!$F$2&amp;"-EXPENSE'!R"&amp;ROW()+3)</f>
        <v>5950.3969893672656</v>
      </c>
      <c r="S3" s="11"/>
      <c r="T3" s="70">
        <f t="shared" ref="T3:T34" ca="1" si="3">Q3-(R3+S3)</f>
        <v>54.603010632734367</v>
      </c>
      <c r="U3" s="70">
        <f ca="1">INDIRECT("'Aug"&amp;Members!$F$2&amp;"-COLLECTION'!K"&amp;ROW()-1)</f>
        <v>0</v>
      </c>
      <c r="V3" s="70">
        <f ca="1">INDIRECT("'Aug"&amp;Members!$F$2&amp;"-EXPENSE'!R"&amp;ROW()+3)</f>
        <v>0</v>
      </c>
      <c r="W3" s="10"/>
      <c r="X3" s="70">
        <f t="shared" ref="X3:X34" ca="1" si="4">U3-(V3+W3)</f>
        <v>0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26091</v>
      </c>
      <c r="BB3" s="70">
        <f t="shared" ref="BB3:BB34" ca="1" si="13">SUM(F3,J3,N3,R3,V3,Z3,AD3,AH3,AL3,AP3,AT3,AX3)</f>
        <v>17418.86921129829</v>
      </c>
      <c r="BC3" s="70">
        <f t="shared" ref="BC3:BC34" si="14">SUM(G3,K3,O3,S3,W3,AA3,AE3,AI3,AM3,AQ3,AU3,AY3)</f>
        <v>0</v>
      </c>
      <c r="BD3" s="70">
        <f t="shared" ref="BD3:BD34" ca="1" si="15">BA3-(BB3+BC3)</f>
        <v>8672.1307887017101</v>
      </c>
      <c r="BE3" s="70">
        <f t="shared" ref="BE3:BE34" ca="1" si="16">BD3+D3</f>
        <v>-770.57544870540005</v>
      </c>
    </row>
    <row r="4" spans="1:57" ht="16.2" customHeight="1" x14ac:dyDescent="0.3">
      <c r="A4" s="52" t="s">
        <v>6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2605.5179702707678</v>
      </c>
      <c r="E4" s="72">
        <f ca="1">INDIRECT("'Apr"&amp;Members!$F$2&amp;"-COLLECTION'!K"&amp;ROW()-1)</f>
        <v>0</v>
      </c>
      <c r="F4" s="72">
        <f ca="1">INDIRECT("'Apr"&amp;Members!$F$2&amp;"-EXPENSE'!R"&amp;ROW()+3)</f>
        <v>0</v>
      </c>
      <c r="G4" s="10"/>
      <c r="H4" s="72">
        <f t="shared" ca="1" si="0"/>
        <v>0</v>
      </c>
      <c r="I4" s="72">
        <f ca="1">INDIRECT("'May"&amp;Members!$F$2&amp;"-COLLECTION'!K"&amp;ROW()-1)</f>
        <v>0</v>
      </c>
      <c r="J4" s="72">
        <f ca="1">INDIRECT("'May"&amp;Members!$F$2&amp;"-EXPENSE'!R"&amp;ROW()+3)</f>
        <v>6140.4346917049697</v>
      </c>
      <c r="K4" s="11"/>
      <c r="L4" s="72">
        <f t="shared" ca="1" si="1"/>
        <v>-6140.4346917049697</v>
      </c>
      <c r="M4" s="72">
        <f ca="1">INDIRECT("'June"&amp;Members!$F$2&amp;"-COLLECTION'!K"&amp;ROW()-1)</f>
        <v>16500</v>
      </c>
      <c r="N4" s="72">
        <f ca="1">INDIRECT("'June"&amp;Members!$F$2&amp;"-EXPENSE'!R"&amp;ROW()+3)</f>
        <v>7489.0912716704788</v>
      </c>
      <c r="O4" s="10"/>
      <c r="P4" s="72">
        <f t="shared" ca="1" si="2"/>
        <v>9010.9087283295212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6180.9440916896492</v>
      </c>
      <c r="S4" s="11"/>
      <c r="T4" s="72">
        <f t="shared" ca="1" si="3"/>
        <v>-6180.9440916896492</v>
      </c>
      <c r="U4" s="72">
        <f ca="1">INDIRECT("'Aug"&amp;Members!$F$2&amp;"-COLLECTION'!K"&amp;ROW()-1)</f>
        <v>0</v>
      </c>
      <c r="V4" s="72">
        <f ca="1">INDIRECT("'Aug"&amp;Members!$F$2&amp;"-EXPENSE'!R"&amp;ROW()+3)</f>
        <v>0</v>
      </c>
      <c r="W4" s="10"/>
      <c r="X4" s="72">
        <f t="shared" ca="1" si="4"/>
        <v>0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16500</v>
      </c>
      <c r="BB4" s="72">
        <f t="shared" ca="1" si="13"/>
        <v>19810.470055065096</v>
      </c>
      <c r="BC4" s="72">
        <f t="shared" si="14"/>
        <v>0</v>
      </c>
      <c r="BD4" s="72">
        <f t="shared" ca="1" si="15"/>
        <v>-3310.4700550650959</v>
      </c>
      <c r="BE4" s="72">
        <f t="shared" ca="1" si="16"/>
        <v>-704.95208479432813</v>
      </c>
    </row>
    <row r="5" spans="1:57" ht="16.2" customHeight="1" x14ac:dyDescent="0.3">
      <c r="A5" s="68" t="s">
        <v>7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0</v>
      </c>
      <c r="G5" s="10"/>
      <c r="H5" s="70">
        <f t="shared" ca="1" si="0"/>
        <v>6000</v>
      </c>
      <c r="I5" s="70">
        <f ca="1">INDIRECT("'May"&amp;Members!$F$2&amp;"-COLLECTION'!K"&amp;ROW()-1)</f>
        <v>6000</v>
      </c>
      <c r="J5" s="70">
        <f ca="1">INDIRECT("'May"&amp;Members!$F$2&amp;"-EXPENSE'!R"&amp;ROW()+3)</f>
        <v>6838.8740421419971</v>
      </c>
      <c r="K5" s="11"/>
      <c r="L5" s="70">
        <f t="shared" ca="1" si="1"/>
        <v>-838.87404214199705</v>
      </c>
      <c r="M5" s="70">
        <f ca="1">INDIRECT("'June"&amp;Members!$F$2&amp;"-COLLECTION'!K"&amp;ROW()-1)</f>
        <v>6000</v>
      </c>
      <c r="N5" s="70">
        <f ca="1">INDIRECT("'June"&amp;Members!$F$2&amp;"-EXPENSE'!R"&amp;ROW()+3)</f>
        <v>7450.1761493784616</v>
      </c>
      <c r="O5" s="10"/>
      <c r="P5" s="70">
        <f t="shared" ca="1" si="2"/>
        <v>-1450.1761493784616</v>
      </c>
      <c r="Q5" s="70">
        <f ca="1">INDIRECT("'July"&amp;Members!$F$2&amp;"-COLLECTION'!K"&amp;ROW()-1)</f>
        <v>6000</v>
      </c>
      <c r="R5" s="70">
        <f ca="1">INDIRECT("'July"&amp;Members!$F$2&amp;"-EXPENSE'!R"&amp;ROW()+3)</f>
        <v>7584.5075866517309</v>
      </c>
      <c r="S5" s="11"/>
      <c r="T5" s="70">
        <f t="shared" ca="1" si="3"/>
        <v>-1584.5075866517309</v>
      </c>
      <c r="U5" s="70">
        <f ca="1">INDIRECT("'Aug"&amp;Members!$F$2&amp;"-COLLECTION'!K"&amp;ROW()-1)</f>
        <v>0</v>
      </c>
      <c r="V5" s="70">
        <f ca="1">INDIRECT("'Aug"&amp;Members!$F$2&amp;"-EXPENSE'!R"&amp;ROW()+3)</f>
        <v>0</v>
      </c>
      <c r="W5" s="10"/>
      <c r="X5" s="70">
        <f t="shared" ca="1" si="4"/>
        <v>0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24000</v>
      </c>
      <c r="BB5" s="70">
        <f t="shared" ca="1" si="13"/>
        <v>21873.557778172188</v>
      </c>
      <c r="BC5" s="70">
        <f t="shared" si="14"/>
        <v>0</v>
      </c>
      <c r="BD5" s="70">
        <f t="shared" ca="1" si="15"/>
        <v>2126.4422218278123</v>
      </c>
      <c r="BE5" s="70">
        <f t="shared" ca="1" si="16"/>
        <v>-4510.8165991876958</v>
      </c>
    </row>
    <row r="6" spans="1:57" ht="16.2" customHeight="1" x14ac:dyDescent="0.3">
      <c r="A6" s="52" t="s">
        <v>9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0</v>
      </c>
      <c r="G6" s="10"/>
      <c r="H6" s="72">
        <f t="shared" ca="1" si="0"/>
        <v>5989</v>
      </c>
      <c r="I6" s="72">
        <f ca="1">INDIRECT("'May"&amp;Members!$F$2&amp;"-COLLECTION'!K"&amp;ROW()-1)</f>
        <v>0</v>
      </c>
      <c r="J6" s="72">
        <f ca="1">INDIRECT("'May"&amp;Members!$F$2&amp;"-EXPENSE'!R"&amp;ROW()+3)</f>
        <v>5784.2527516815144</v>
      </c>
      <c r="K6" s="11"/>
      <c r="L6" s="72">
        <f t="shared" ca="1" si="1"/>
        <v>-5784.2527516815144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6034.8370419240864</v>
      </c>
      <c r="O6" s="10"/>
      <c r="P6" s="72">
        <f t="shared" ca="1" si="2"/>
        <v>-6034.8370419240864</v>
      </c>
      <c r="Q6" s="72">
        <f ca="1">INDIRECT("'July"&amp;Members!$F$2&amp;"-COLLECTION'!K"&amp;ROW()-1)</f>
        <v>22489</v>
      </c>
      <c r="R6" s="72">
        <f ca="1">INDIRECT("'July"&amp;Members!$F$2&amp;"-EXPENSE'!R"&amp;ROW()+3)</f>
        <v>6993.6091399204706</v>
      </c>
      <c r="S6" s="11"/>
      <c r="T6" s="72">
        <f t="shared" ca="1" si="3"/>
        <v>15495.390860079529</v>
      </c>
      <c r="U6" s="72">
        <f ca="1">INDIRECT("'Aug"&amp;Members!$F$2&amp;"-COLLECTION'!K"&amp;ROW()-1)</f>
        <v>0</v>
      </c>
      <c r="V6" s="72">
        <f ca="1">INDIRECT("'Aug"&amp;Members!$F$2&amp;"-EXPENSE'!R"&amp;ROW()+3)</f>
        <v>0</v>
      </c>
      <c r="W6" s="10"/>
      <c r="X6" s="72">
        <f t="shared" ca="1" si="4"/>
        <v>0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28478</v>
      </c>
      <c r="BB6" s="72">
        <f t="shared" ca="1" si="13"/>
        <v>18812.698933526073</v>
      </c>
      <c r="BC6" s="72">
        <f t="shared" si="14"/>
        <v>0</v>
      </c>
      <c r="BD6" s="72">
        <f t="shared" ca="1" si="15"/>
        <v>9665.3010664739268</v>
      </c>
      <c r="BE6" s="72">
        <f t="shared" ca="1" si="16"/>
        <v>4030.0791845675994</v>
      </c>
    </row>
    <row r="7" spans="1:57" ht="16.2" customHeight="1" x14ac:dyDescent="0.3">
      <c r="A7" s="68" t="s">
        <v>12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0</v>
      </c>
      <c r="G7" s="10"/>
      <c r="H7" s="70">
        <f t="shared" ca="1" si="0"/>
        <v>0</v>
      </c>
      <c r="I7" s="70">
        <f ca="1">INDIRECT("'May"&amp;Members!$F$2&amp;"-COLLECTION'!K"&amp;ROW()-1)</f>
        <v>5237</v>
      </c>
      <c r="J7" s="70">
        <f ca="1">INDIRECT("'May"&amp;Members!$F$2&amp;"-EXPENSE'!R"&amp;ROW()+3)</f>
        <v>5582.5638157073336</v>
      </c>
      <c r="K7" s="11"/>
      <c r="L7" s="70">
        <f t="shared" ca="1" si="1"/>
        <v>-345.56381570733356</v>
      </c>
      <c r="M7" s="70">
        <f ca="1">INDIRECT("'June"&amp;Members!$F$2&amp;"-COLLECTION'!K"&amp;ROW()-1)</f>
        <v>5554.98</v>
      </c>
      <c r="N7" s="70">
        <f ca="1">INDIRECT("'June"&amp;Members!$F$2&amp;"-EXPENSE'!R"&amp;ROW()+3)</f>
        <v>6135.3018810479671</v>
      </c>
      <c r="O7" s="10"/>
      <c r="P7" s="70">
        <f t="shared" ca="1" si="2"/>
        <v>-580.32188104796751</v>
      </c>
      <c r="Q7" s="70">
        <f ca="1">INDIRECT("'July"&amp;Members!$F$2&amp;"-COLLECTION'!K"&amp;ROW()-1)</f>
        <v>11259.05</v>
      </c>
      <c r="R7" s="70">
        <f ca="1">INDIRECT("'July"&amp;Members!$F$2&amp;"-EXPENSE'!R"&amp;ROW()+3)</f>
        <v>5647.9547267080179</v>
      </c>
      <c r="S7" s="11"/>
      <c r="T7" s="70">
        <f t="shared" ca="1" si="3"/>
        <v>5611.0952732919814</v>
      </c>
      <c r="U7" s="70">
        <f ca="1">INDIRECT("'Aug"&amp;Members!$F$2&amp;"-COLLECTION'!K"&amp;ROW()-1)</f>
        <v>0</v>
      </c>
      <c r="V7" s="70">
        <f ca="1">INDIRECT("'Aug"&amp;Members!$F$2&amp;"-EXPENSE'!R"&amp;ROW()+3)</f>
        <v>0</v>
      </c>
      <c r="W7" s="10"/>
      <c r="X7" s="70">
        <f t="shared" ca="1" si="4"/>
        <v>0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22051.03</v>
      </c>
      <c r="BB7" s="70">
        <f t="shared" ca="1" si="13"/>
        <v>17365.820423463316</v>
      </c>
      <c r="BC7" s="70">
        <f t="shared" si="14"/>
        <v>0</v>
      </c>
      <c r="BD7" s="70">
        <f t="shared" ca="1" si="15"/>
        <v>4685.209576536683</v>
      </c>
      <c r="BE7" s="70">
        <f t="shared" ca="1" si="16"/>
        <v>-669.67458117260685</v>
      </c>
    </row>
    <row r="8" spans="1:57" ht="16.5" customHeight="1" x14ac:dyDescent="0.3">
      <c r="A8" s="52" t="s">
        <v>14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0</v>
      </c>
      <c r="G8" s="10"/>
      <c r="H8" s="72">
        <f t="shared" ca="1" si="0"/>
        <v>4867.34</v>
      </c>
      <c r="I8" s="72">
        <f ca="1">INDIRECT("'May"&amp;Members!$F$2&amp;"-COLLECTION'!K"&amp;ROW()-1)</f>
        <v>9442.7099999999991</v>
      </c>
      <c r="J8" s="72">
        <f ca="1">INDIRECT("'May"&amp;Members!$F$2&amp;"-EXPENSE'!R"&amp;ROW()+3)</f>
        <v>5835.5028512992712</v>
      </c>
      <c r="K8" s="11"/>
      <c r="L8" s="72">
        <f t="shared" ca="1" si="1"/>
        <v>3607.2071487007279</v>
      </c>
      <c r="M8" s="72">
        <f ca="1">INDIRECT("'June"&amp;Members!$F$2&amp;"-COLLECTION'!K"&amp;ROW()-1)</f>
        <v>7469</v>
      </c>
      <c r="N8" s="72">
        <f ca="1">INDIRECT("'June"&amp;Members!$F$2&amp;"-EXPENSE'!R"&amp;ROW()+3)</f>
        <v>6348.041698363676</v>
      </c>
      <c r="O8" s="10"/>
      <c r="P8" s="72">
        <f t="shared" ca="1" si="2"/>
        <v>1120.958301636324</v>
      </c>
      <c r="Q8" s="72">
        <f ca="1">INDIRECT("'July"&amp;Members!$F$2&amp;"-COLLECTION'!K"&amp;ROW()-1)</f>
        <v>6339.79</v>
      </c>
      <c r="R8" s="72">
        <f ca="1">INDIRECT("'July"&amp;Members!$F$2&amp;"-EXPENSE'!R"&amp;ROW()+3)</f>
        <v>6204.3360187354319</v>
      </c>
      <c r="S8" s="11"/>
      <c r="T8" s="72">
        <f t="shared" ca="1" si="3"/>
        <v>135.45398126456803</v>
      </c>
      <c r="U8" s="72">
        <f ca="1">INDIRECT("'Aug"&amp;Members!$F$2&amp;"-COLLECTION'!K"&amp;ROW()-1)</f>
        <v>0</v>
      </c>
      <c r="V8" s="72">
        <f ca="1">INDIRECT("'Aug"&amp;Members!$F$2&amp;"-EXPENSE'!R"&amp;ROW()+3)</f>
        <v>0</v>
      </c>
      <c r="W8" s="10"/>
      <c r="X8" s="72">
        <f t="shared" ca="1" si="4"/>
        <v>0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28118.84</v>
      </c>
      <c r="BB8" s="72">
        <f t="shared" ca="1" si="13"/>
        <v>18387.880568398381</v>
      </c>
      <c r="BC8" s="72">
        <f t="shared" si="14"/>
        <v>0</v>
      </c>
      <c r="BD8" s="72">
        <f t="shared" ca="1" si="15"/>
        <v>9730.9594316016191</v>
      </c>
      <c r="BE8" s="72">
        <f t="shared" ca="1" si="16"/>
        <v>-863.05731211100101</v>
      </c>
    </row>
    <row r="9" spans="1:57" ht="16.5" customHeight="1" x14ac:dyDescent="0.3">
      <c r="A9" s="68" t="s">
        <v>16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0</v>
      </c>
      <c r="G9" s="10"/>
      <c r="H9" s="70">
        <f t="shared" ca="1" si="0"/>
        <v>5384</v>
      </c>
      <c r="I9" s="70">
        <f ca="1">INDIRECT("'May"&amp;Members!$F$2&amp;"-COLLECTION'!K"&amp;ROW()-1)</f>
        <v>7174</v>
      </c>
      <c r="J9" s="70">
        <f ca="1">INDIRECT("'May"&amp;Members!$F$2&amp;"-EXPENSE'!R"&amp;ROW()+3)</f>
        <v>6017.9708901898612</v>
      </c>
      <c r="K9" s="11"/>
      <c r="L9" s="70">
        <f t="shared" ca="1" si="1"/>
        <v>1156.0291098101388</v>
      </c>
      <c r="M9" s="70">
        <f ca="1">INDIRECT("'June"&amp;Members!$F$2&amp;"-COLLECTION'!K"&amp;ROW()-1)</f>
        <v>5964.86</v>
      </c>
      <c r="N9" s="70">
        <f ca="1">INDIRECT("'June"&amp;Members!$F$2&amp;"-EXPENSE'!R"&amp;ROW()+3)</f>
        <v>6175.5463299281782</v>
      </c>
      <c r="O9" s="10"/>
      <c r="P9" s="70">
        <f t="shared" ca="1" si="2"/>
        <v>-210.68632992817857</v>
      </c>
      <c r="Q9" s="70">
        <f ca="1">INDIRECT("'July"&amp;Members!$F$2&amp;"-COLLECTION'!K"&amp;ROW()-1)</f>
        <v>6179.33</v>
      </c>
      <c r="R9" s="70">
        <f ca="1">INDIRECT("'July"&amp;Members!$F$2&amp;"-EXPENSE'!R"&amp;ROW()+3)</f>
        <v>6220.1095379740509</v>
      </c>
      <c r="S9" s="11"/>
      <c r="T9" s="70">
        <f t="shared" ca="1" si="3"/>
        <v>-40.779537974050982</v>
      </c>
      <c r="U9" s="70">
        <f ca="1">INDIRECT("'Aug"&amp;Members!$F$2&amp;"-COLLECTION'!K"&amp;ROW()-1)</f>
        <v>0</v>
      </c>
      <c r="V9" s="70">
        <f ca="1">INDIRECT("'Aug"&amp;Members!$F$2&amp;"-EXPENSE'!R"&amp;ROW()+3)</f>
        <v>0</v>
      </c>
      <c r="W9" s="10"/>
      <c r="X9" s="70">
        <f t="shared" ca="1" si="4"/>
        <v>0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24702.190000000002</v>
      </c>
      <c r="BB9" s="70">
        <f t="shared" ca="1" si="13"/>
        <v>18413.62675809209</v>
      </c>
      <c r="BC9" s="70">
        <f t="shared" si="14"/>
        <v>0</v>
      </c>
      <c r="BD9" s="70">
        <f t="shared" ca="1" si="15"/>
        <v>6288.563241907912</v>
      </c>
      <c r="BE9" s="70">
        <f t="shared" ca="1" si="16"/>
        <v>-885.19185167902469</v>
      </c>
    </row>
    <row r="10" spans="1:57" ht="16.2" customHeight="1" x14ac:dyDescent="0.3">
      <c r="A10" s="52" t="s">
        <v>18</v>
      </c>
      <c r="B10" s="71" t="str">
        <f>VLOOKUP(A10,Members!$A$2:$C$65,3,FALSE)</f>
        <v>ruhi.agrawal321@gmail.com</v>
      </c>
      <c r="C10" s="52" t="str">
        <f>Members!B9</f>
        <v>Ruhi Agrawal</v>
      </c>
      <c r="D10" s="72">
        <v>-1965.4992871002471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0</v>
      </c>
      <c r="G10" s="10"/>
      <c r="H10" s="72">
        <f t="shared" ca="1" si="0"/>
        <v>6070</v>
      </c>
      <c r="I10" s="72">
        <f ca="1">INDIRECT("'May"&amp;Members!$F$2&amp;"-COLLECTION'!K"&amp;ROW()-1)</f>
        <v>921</v>
      </c>
      <c r="J10" s="72">
        <f ca="1">INDIRECT("'May"&amp;Members!$F$2&amp;"-EXPENSE'!R"&amp;ROW()+3)</f>
        <v>5339.5153449686704</v>
      </c>
      <c r="K10" s="11"/>
      <c r="L10" s="72">
        <f t="shared" ca="1" si="1"/>
        <v>-4418.5153449686704</v>
      </c>
      <c r="M10" s="72">
        <f ca="1">INDIRECT("'June"&amp;Members!$F$2&amp;"-COLLECTION'!K"&amp;ROW()-1)</f>
        <v>5333</v>
      </c>
      <c r="N10" s="72">
        <f ca="1">INDIRECT("'June"&amp;Members!$F$2&amp;"-EXPENSE'!R"&amp;ROW()+3)</f>
        <v>5519.6643469739993</v>
      </c>
      <c r="O10" s="10"/>
      <c r="P10" s="72">
        <f t="shared" ca="1" si="2"/>
        <v>-186.66434697399927</v>
      </c>
      <c r="Q10" s="72">
        <f ca="1">INDIRECT("'July"&amp;Members!$F$2&amp;"-COLLECTION'!K"&amp;ROW()-1)</f>
        <v>5903</v>
      </c>
      <c r="R10" s="72">
        <f ca="1">INDIRECT("'July"&amp;Members!$F$2&amp;"-EXPENSE'!R"&amp;ROW()+3)</f>
        <v>5468.000701744003</v>
      </c>
      <c r="S10" s="11"/>
      <c r="T10" s="72">
        <f t="shared" ca="1" si="3"/>
        <v>434.99929825599702</v>
      </c>
      <c r="U10" s="72">
        <f ca="1">INDIRECT("'Aug"&amp;Members!$F$2&amp;"-COLLECTION'!K"&amp;ROW()-1)</f>
        <v>0</v>
      </c>
      <c r="V10" s="72">
        <f ca="1">INDIRECT("'Aug"&amp;Members!$F$2&amp;"-EXPENSE'!R"&amp;ROW()+3)</f>
        <v>0</v>
      </c>
      <c r="W10" s="10"/>
      <c r="X10" s="72">
        <f t="shared" ca="1" si="4"/>
        <v>0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18227</v>
      </c>
      <c r="BB10" s="72">
        <f t="shared" ca="1" si="13"/>
        <v>16327.180393686675</v>
      </c>
      <c r="BC10" s="72">
        <f t="shared" si="14"/>
        <v>0</v>
      </c>
      <c r="BD10" s="72">
        <f t="shared" ca="1" si="15"/>
        <v>1899.8196063133255</v>
      </c>
      <c r="BE10" s="72">
        <f t="shared" ca="1" si="16"/>
        <v>-65.679680786921608</v>
      </c>
    </row>
    <row r="11" spans="1:57" ht="16.2" customHeight="1" x14ac:dyDescent="0.3">
      <c r="A11" s="68" t="s">
        <v>19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0</v>
      </c>
      <c r="G11" s="10"/>
      <c r="H11" s="70">
        <f t="shared" ca="1" si="0"/>
        <v>0</v>
      </c>
      <c r="I11" s="70">
        <f ca="1">INDIRECT("'May"&amp;Members!$F$2&amp;"-COLLECTION'!K"&amp;ROW()-1)</f>
        <v>10233</v>
      </c>
      <c r="J11" s="70">
        <f ca="1">INDIRECT("'May"&amp;Members!$F$2&amp;"-EXPENSE'!R"&amp;ROW()+3)</f>
        <v>5551.9460829351374</v>
      </c>
      <c r="K11" s="11"/>
      <c r="L11" s="70">
        <f t="shared" ca="1" si="1"/>
        <v>4681.0539170648626</v>
      </c>
      <c r="M11" s="70">
        <f ca="1">INDIRECT("'June"&amp;Members!$F$2&amp;"-COLLECTION'!K"&amp;ROW()-1)</f>
        <v>5538</v>
      </c>
      <c r="N11" s="70">
        <f ca="1">INDIRECT("'June"&amp;Members!$F$2&amp;"-EXPENSE'!R"&amp;ROW()+3)</f>
        <v>5732.9974115343693</v>
      </c>
      <c r="O11" s="10"/>
      <c r="P11" s="70">
        <f t="shared" ca="1" si="2"/>
        <v>-194.99741153436935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5788.7005529008984</v>
      </c>
      <c r="S11" s="11"/>
      <c r="T11" s="70">
        <f t="shared" ca="1" si="3"/>
        <v>-5788.7005529008984</v>
      </c>
      <c r="U11" s="70">
        <f ca="1">INDIRECT("'Aug"&amp;Members!$F$2&amp;"-COLLECTION'!K"&amp;ROW()-1)</f>
        <v>0</v>
      </c>
      <c r="V11" s="70">
        <f ca="1">INDIRECT("'Aug"&amp;Members!$F$2&amp;"-EXPENSE'!R"&amp;ROW()+3)</f>
        <v>0</v>
      </c>
      <c r="W11" s="10"/>
      <c r="X11" s="70">
        <f t="shared" ca="1" si="4"/>
        <v>0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15771</v>
      </c>
      <c r="BB11" s="70">
        <f t="shared" ca="1" si="13"/>
        <v>17073.644047370406</v>
      </c>
      <c r="BC11" s="70">
        <f t="shared" si="14"/>
        <v>0</v>
      </c>
      <c r="BD11" s="70">
        <f t="shared" ca="1" si="15"/>
        <v>-1302.644047370406</v>
      </c>
      <c r="BE11" s="70">
        <f t="shared" ca="1" si="16"/>
        <v>-1899.9016399948305</v>
      </c>
    </row>
    <row r="12" spans="1:57" ht="16.2" customHeight="1" x14ac:dyDescent="0.3">
      <c r="A12" s="52" t="s">
        <v>20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0</v>
      </c>
      <c r="G12" s="10"/>
      <c r="H12" s="72">
        <f t="shared" ca="1" si="0"/>
        <v>27822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6229.5040413559436</v>
      </c>
      <c r="K12" s="11"/>
      <c r="L12" s="72">
        <f t="shared" ca="1" si="1"/>
        <v>-6229.5040413559436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6156.335629610674</v>
      </c>
      <c r="O12" s="10"/>
      <c r="P12" s="72">
        <f t="shared" ca="1" si="2"/>
        <v>-6156.335629610674</v>
      </c>
      <c r="Q12" s="72">
        <f ca="1">INDIRECT("'July"&amp;Members!$F$2&amp;"-COLLECTION'!K"&amp;ROW()-1)</f>
        <v>18604</v>
      </c>
      <c r="R12" s="72">
        <f ca="1">INDIRECT("'July"&amp;Members!$F$2&amp;"-EXPENSE'!R"&amp;ROW()+3)</f>
        <v>6253.1907247315212</v>
      </c>
      <c r="S12" s="11"/>
      <c r="T12" s="72">
        <f t="shared" ca="1" si="3"/>
        <v>12350.809275268479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0</v>
      </c>
      <c r="W12" s="10"/>
      <c r="X12" s="72">
        <f t="shared" ca="1" si="4"/>
        <v>0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46426</v>
      </c>
      <c r="BB12" s="72">
        <f t="shared" ca="1" si="13"/>
        <v>18639.030395698137</v>
      </c>
      <c r="BC12" s="72">
        <f t="shared" si="14"/>
        <v>0</v>
      </c>
      <c r="BD12" s="72">
        <f t="shared" ca="1" si="15"/>
        <v>27786.969604301863</v>
      </c>
      <c r="BE12" s="72">
        <f t="shared" ca="1" si="16"/>
        <v>-35.55599050699675</v>
      </c>
    </row>
    <row r="13" spans="1:57" ht="16.2" customHeight="1" x14ac:dyDescent="0.3">
      <c r="A13" s="68" t="s">
        <v>21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0</v>
      </c>
      <c r="G13" s="10"/>
      <c r="H13" s="70">
        <f t="shared" ca="1" si="0"/>
        <v>5549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5342.6770829135703</v>
      </c>
      <c r="K13" s="11"/>
      <c r="L13" s="70">
        <f t="shared" ca="1" si="1"/>
        <v>-5342.6770829135703</v>
      </c>
      <c r="M13" s="70">
        <f ca="1">INDIRECT("'June"&amp;Members!$F$2&amp;"-COLLECTION'!K"&amp;ROW()-1)</f>
        <v>4901</v>
      </c>
      <c r="N13" s="70">
        <f ca="1">INDIRECT("'June"&amp;Members!$F$2&amp;"-EXPENSE'!R"&amp;ROW()+3)</f>
        <v>5549.987111399425</v>
      </c>
      <c r="O13" s="10"/>
      <c r="P13" s="70">
        <f t="shared" ca="1" si="2"/>
        <v>-648.98711139942498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5577.132976648938</v>
      </c>
      <c r="S13" s="11"/>
      <c r="T13" s="70">
        <f t="shared" ca="1" si="3"/>
        <v>-5577.132976648938</v>
      </c>
      <c r="U13" s="70">
        <f ca="1">INDIRECT("'Aug"&amp;Members!$F$2&amp;"-COLLECTION'!K"&amp;ROW()-1)</f>
        <v>0</v>
      </c>
      <c r="V13" s="70">
        <f ca="1">INDIRECT("'Aug"&amp;Members!$F$2&amp;"-EXPENSE'!R"&amp;ROW()+3)</f>
        <v>0</v>
      </c>
      <c r="W13" s="10"/>
      <c r="X13" s="70">
        <f t="shared" ca="1" si="4"/>
        <v>0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10450</v>
      </c>
      <c r="BB13" s="70">
        <f t="shared" ca="1" si="13"/>
        <v>16469.797170961931</v>
      </c>
      <c r="BC13" s="70">
        <f t="shared" si="14"/>
        <v>0</v>
      </c>
      <c r="BD13" s="70">
        <f t="shared" ca="1" si="15"/>
        <v>-6019.7971709619305</v>
      </c>
      <c r="BE13" s="70">
        <f t="shared" ca="1" si="16"/>
        <v>-6579.7646309204065</v>
      </c>
    </row>
    <row r="14" spans="1:57" ht="16.2" customHeight="1" x14ac:dyDescent="0.3">
      <c r="A14" s="52" t="s">
        <v>22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</v>
      </c>
      <c r="E14" s="72">
        <f ca="1">INDIRECT("'Apr"&amp;Members!$F$2&amp;"-COLLECTION'!K"&amp;ROW()-1)</f>
        <v>5959</v>
      </c>
      <c r="F14" s="72">
        <f ca="1">INDIRECT("'Apr"&amp;Members!$F$2&amp;"-EXPENSE'!R"&amp;ROW()+3)</f>
        <v>0</v>
      </c>
      <c r="G14" s="10"/>
      <c r="H14" s="72">
        <f t="shared" ca="1" si="0"/>
        <v>5959</v>
      </c>
      <c r="I14" s="72">
        <f ca="1">INDIRECT("'May"&amp;Members!$F$2&amp;"-COLLECTION'!K"&amp;ROW()-1)</f>
        <v>6536.41</v>
      </c>
      <c r="J14" s="72">
        <f ca="1">INDIRECT("'May"&amp;Members!$F$2&amp;"-EXPENSE'!R"&amp;ROW()+3)</f>
        <v>5850.4197687828982</v>
      </c>
      <c r="K14" s="11"/>
      <c r="L14" s="72">
        <f t="shared" ca="1" si="1"/>
        <v>685.99023121710161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6197.4421940606353</v>
      </c>
      <c r="O14" s="10"/>
      <c r="P14" s="72">
        <f t="shared" ca="1" si="2"/>
        <v>-6197.4421940606353</v>
      </c>
      <c r="Q14" s="72">
        <f ca="1">INDIRECT("'July"&amp;Members!$F$2&amp;"-COLLECTION'!K"&amp;ROW()-1)</f>
        <v>4714.75</v>
      </c>
      <c r="R14" s="72">
        <f ca="1">INDIRECT("'July"&amp;Members!$F$2&amp;"-EXPENSE'!R"&amp;ROW()+3)</f>
        <v>5826.5028608520015</v>
      </c>
      <c r="S14" s="11"/>
      <c r="T14" s="72">
        <f t="shared" ca="1" si="3"/>
        <v>-1111.7528608520015</v>
      </c>
      <c r="U14" s="72">
        <f ca="1">INDIRECT("'Aug"&amp;Members!$F$2&amp;"-COLLECTION'!K"&amp;ROW()-1)</f>
        <v>0</v>
      </c>
      <c r="V14" s="72">
        <f ca="1">INDIRECT("'Aug"&amp;Members!$F$2&amp;"-EXPENSE'!R"&amp;ROW()+3)</f>
        <v>0</v>
      </c>
      <c r="W14" s="10"/>
      <c r="X14" s="72">
        <f t="shared" ca="1" si="4"/>
        <v>0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17210.16</v>
      </c>
      <c r="BB14" s="72">
        <f t="shared" ca="1" si="13"/>
        <v>17874.364823695534</v>
      </c>
      <c r="BC14" s="72">
        <f t="shared" si="14"/>
        <v>0</v>
      </c>
      <c r="BD14" s="72">
        <f t="shared" ca="1" si="15"/>
        <v>-664.20482369553429</v>
      </c>
      <c r="BE14" s="72">
        <f t="shared" ca="1" si="16"/>
        <v>-2020.5965966221443</v>
      </c>
    </row>
    <row r="15" spans="1:57" ht="16.2" customHeight="1" x14ac:dyDescent="0.3">
      <c r="A15" s="68" t="s">
        <v>23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0</v>
      </c>
      <c r="G15" s="10"/>
      <c r="H15" s="70">
        <f t="shared" ca="1" si="0"/>
        <v>4934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5536.0157879050685</v>
      </c>
      <c r="K15" s="11"/>
      <c r="L15" s="70">
        <f t="shared" ca="1" si="1"/>
        <v>-5536.0157879050685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5694.5601045162239</v>
      </c>
      <c r="O15" s="10"/>
      <c r="P15" s="70">
        <f t="shared" ca="1" si="2"/>
        <v>-5694.5601045162239</v>
      </c>
      <c r="Q15" s="70">
        <f ca="1">INDIRECT("'July"&amp;Members!$F$2&amp;"-COLLECTION'!K"&amp;ROW()-1)</f>
        <v>11384.07</v>
      </c>
      <c r="R15" s="70">
        <f ca="1">INDIRECT("'July"&amp;Members!$F$2&amp;"-EXPENSE'!R"&amp;ROW()+3)</f>
        <v>6745.2936738324297</v>
      </c>
      <c r="S15" s="11"/>
      <c r="T15" s="70">
        <f t="shared" ca="1" si="3"/>
        <v>4638.77632616757</v>
      </c>
      <c r="U15" s="70">
        <f ca="1">INDIRECT("'Aug"&amp;Members!$F$2&amp;"-COLLECTION'!K"&amp;ROW()-1)</f>
        <v>0</v>
      </c>
      <c r="V15" s="70">
        <f ca="1">INDIRECT("'Aug"&amp;Members!$F$2&amp;"-EXPENSE'!R"&amp;ROW()+3)</f>
        <v>0</v>
      </c>
      <c r="W15" s="10"/>
      <c r="X15" s="70">
        <f t="shared" ca="1" si="4"/>
        <v>0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16318.07</v>
      </c>
      <c r="BB15" s="70">
        <f t="shared" ca="1" si="13"/>
        <v>17975.869566253721</v>
      </c>
      <c r="BC15" s="70">
        <f t="shared" si="14"/>
        <v>0</v>
      </c>
      <c r="BD15" s="70">
        <f t="shared" ca="1" si="15"/>
        <v>-1657.7995662537214</v>
      </c>
      <c r="BE15" s="70">
        <f t="shared" ca="1" si="16"/>
        <v>-2504.0804233961753</v>
      </c>
    </row>
    <row r="16" spans="1:57" ht="16.2" customHeight="1" x14ac:dyDescent="0.3">
      <c r="A16" s="52" t="s">
        <v>25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-12874.25847035635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0</v>
      </c>
      <c r="G16" s="10"/>
      <c r="H16" s="72">
        <f t="shared" ca="1" si="0"/>
        <v>7000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5810.1952168704311</v>
      </c>
      <c r="K16" s="11"/>
      <c r="L16" s="72">
        <f t="shared" ca="1" si="1"/>
        <v>-5810.1952168704311</v>
      </c>
      <c r="M16" s="72">
        <f ca="1">INDIRECT("'June"&amp;Members!$F$2&amp;"-COLLECTION'!K"&amp;ROW()-1)</f>
        <v>5770</v>
      </c>
      <c r="N16" s="72">
        <f ca="1">INDIRECT("'June"&amp;Members!$F$2&amp;"-EXPENSE'!R"&amp;ROW()+3)</f>
        <v>6498.113361790015</v>
      </c>
      <c r="O16" s="10"/>
      <c r="P16" s="72">
        <f t="shared" ca="1" si="2"/>
        <v>-728.11336179001501</v>
      </c>
      <c r="Q16" s="72">
        <f ca="1">INDIRECT("'July"&amp;Members!$F$2&amp;"-COLLECTION'!K"&amp;ROW()-1)</f>
        <v>5600</v>
      </c>
      <c r="R16" s="72">
        <f ca="1">INDIRECT("'July"&amp;Members!$F$2&amp;"-EXPENSE'!R"&amp;ROW()+3)</f>
        <v>6571.2545306008578</v>
      </c>
      <c r="S16" s="11"/>
      <c r="T16" s="72">
        <f t="shared" ca="1" si="3"/>
        <v>-971.25453060085783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0</v>
      </c>
      <c r="W16" s="10"/>
      <c r="X16" s="72">
        <f t="shared" ca="1" si="4"/>
        <v>0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18370</v>
      </c>
      <c r="BB16" s="72">
        <f t="shared" ca="1" si="13"/>
        <v>18879.563109261304</v>
      </c>
      <c r="BC16" s="72">
        <f t="shared" si="14"/>
        <v>0</v>
      </c>
      <c r="BD16" s="72">
        <f t="shared" ca="1" si="15"/>
        <v>-509.56310926130391</v>
      </c>
      <c r="BE16" s="72">
        <f t="shared" ca="1" si="16"/>
        <v>-13383.821579617654</v>
      </c>
    </row>
    <row r="17" spans="1:57" ht="16.2" customHeight="1" x14ac:dyDescent="0.3">
      <c r="A17" s="68" t="s">
        <v>26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-422.40099231299251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0</v>
      </c>
      <c r="G17" s="10"/>
      <c r="H17" s="70">
        <f t="shared" ca="1" si="0"/>
        <v>5764</v>
      </c>
      <c r="I17" s="70">
        <f ca="1">INDIRECT("'May"&amp;Members!$F$2&amp;"-COLLECTION'!K"&amp;ROW()-1)</f>
        <v>5907</v>
      </c>
      <c r="J17" s="70">
        <f ca="1">INDIRECT("'May"&amp;Members!$F$2&amp;"-EXPENSE'!R"&amp;ROW()+3)</f>
        <v>6546.2511418313888</v>
      </c>
      <c r="K17" s="11"/>
      <c r="L17" s="70">
        <f t="shared" ca="1" si="1"/>
        <v>-639.25114183138885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6788.3070765854463</v>
      </c>
      <c r="O17" s="10"/>
      <c r="P17" s="70">
        <f t="shared" ca="1" si="2"/>
        <v>-6788.3070765854463</v>
      </c>
      <c r="Q17" s="70">
        <f ca="1">INDIRECT("'July"&amp;Members!$F$2&amp;"-COLLECTION'!K"&amp;ROW()-1)</f>
        <v>6511</v>
      </c>
      <c r="R17" s="70">
        <f ca="1">INDIRECT("'July"&amp;Members!$F$2&amp;"-EXPENSE'!R"&amp;ROW()+3)</f>
        <v>6580.174332091824</v>
      </c>
      <c r="S17" s="11"/>
      <c r="T17" s="70">
        <f t="shared" ca="1" si="3"/>
        <v>-69.174332091823999</v>
      </c>
      <c r="U17" s="70">
        <f ca="1">INDIRECT("'Aug"&amp;Members!$F$2&amp;"-COLLECTION'!K"&amp;ROW()-1)</f>
        <v>0</v>
      </c>
      <c r="V17" s="70">
        <f ca="1">INDIRECT("'Aug"&amp;Members!$F$2&amp;"-EXPENSE'!R"&amp;ROW()+3)</f>
        <v>0</v>
      </c>
      <c r="W17" s="10"/>
      <c r="X17" s="70">
        <f t="shared" ca="1" si="4"/>
        <v>0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18182</v>
      </c>
      <c r="BB17" s="70">
        <f t="shared" ca="1" si="13"/>
        <v>19914.732550508659</v>
      </c>
      <c r="BC17" s="70">
        <f t="shared" si="14"/>
        <v>0</v>
      </c>
      <c r="BD17" s="70">
        <f t="shared" ca="1" si="15"/>
        <v>-1732.7325505086592</v>
      </c>
      <c r="BE17" s="70">
        <f t="shared" ca="1" si="16"/>
        <v>-2155.1335428216516</v>
      </c>
    </row>
    <row r="18" spans="1:57" ht="16.2" customHeight="1" x14ac:dyDescent="0.3">
      <c r="A18" s="52" t="s">
        <v>28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-56105.777670755553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0</v>
      </c>
      <c r="G18" s="10"/>
      <c r="H18" s="72">
        <f t="shared" ca="1" si="0"/>
        <v>25903.119999999999</v>
      </c>
      <c r="I18" s="72">
        <f ca="1">INDIRECT("'May"&amp;Members!$F$2&amp;"-COLLECTION'!K"&amp;ROW()-1)</f>
        <v>5887.24</v>
      </c>
      <c r="J18" s="72">
        <f ca="1">INDIRECT("'May"&amp;Members!$F$2&amp;"-EXPENSE'!R"&amp;ROW()+3)</f>
        <v>6491.5229397640014</v>
      </c>
      <c r="K18" s="11"/>
      <c r="L18" s="72">
        <f t="shared" ca="1" si="1"/>
        <v>-604.28293976400164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7013.8078870071422</v>
      </c>
      <c r="O18" s="10"/>
      <c r="P18" s="72">
        <f t="shared" ca="1" si="2"/>
        <v>-7013.8078870071422</v>
      </c>
      <c r="Q18" s="72">
        <f ca="1">INDIRECT("'July"&amp;Members!$F$2&amp;"-COLLECTION'!K"&amp;ROW()-1)</f>
        <v>7247</v>
      </c>
      <c r="R18" s="72">
        <f ca="1">INDIRECT("'July"&amp;Members!$F$2&amp;"-EXPENSE'!R"&amp;ROW()+3)</f>
        <v>6555.8087237432728</v>
      </c>
      <c r="S18" s="11"/>
      <c r="T18" s="72">
        <f t="shared" ca="1" si="3"/>
        <v>691.19127625672718</v>
      </c>
      <c r="U18" s="72">
        <f ca="1">INDIRECT("'Aug"&amp;Members!$F$2&amp;"-COLLECTION'!K"&amp;ROW()-1)</f>
        <v>0</v>
      </c>
      <c r="V18" s="72">
        <f ca="1">INDIRECT("'Aug"&amp;Members!$F$2&amp;"-EXPENSE'!R"&amp;ROW()+3)</f>
        <v>0</v>
      </c>
      <c r="W18" s="10"/>
      <c r="X18" s="72">
        <f t="shared" ca="1" si="4"/>
        <v>0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39037.360000000001</v>
      </c>
      <c r="BB18" s="72">
        <f t="shared" ca="1" si="13"/>
        <v>20061.139550514417</v>
      </c>
      <c r="BC18" s="72">
        <f t="shared" si="14"/>
        <v>0</v>
      </c>
      <c r="BD18" s="72">
        <f t="shared" ca="1" si="15"/>
        <v>18976.220449485583</v>
      </c>
      <c r="BE18" s="72">
        <f t="shared" ca="1" si="16"/>
        <v>-37129.55722126997</v>
      </c>
    </row>
    <row r="19" spans="1:57" ht="16.2" customHeight="1" x14ac:dyDescent="0.3">
      <c r="A19" s="68" t="s">
        <v>29</v>
      </c>
      <c r="B19" s="69" t="str">
        <f>VLOOKUP(A19,Members!$A$2:$C$65,3,FALSE)</f>
        <v>jyothij1979@gmail.com</v>
      </c>
      <c r="C19" s="68" t="str">
        <f>Members!B18</f>
        <v>Digvijay Verma</v>
      </c>
      <c r="D19" s="70">
        <v>-1773.226288807185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0</v>
      </c>
      <c r="G19" s="10"/>
      <c r="H19" s="70">
        <f t="shared" ca="1" si="0"/>
        <v>0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5814.9920897592847</v>
      </c>
      <c r="K19" s="11"/>
      <c r="L19" s="70">
        <f t="shared" ca="1" si="1"/>
        <v>-5814.9920897592847</v>
      </c>
      <c r="M19" s="70">
        <f ca="1">INDIRECT("'June"&amp;Members!$F$2&amp;"-COLLECTION'!K"&amp;ROW()-1)</f>
        <v>6016</v>
      </c>
      <c r="N19" s="70">
        <f ca="1">INDIRECT("'June"&amp;Members!$F$2&amp;"-EXPENSE'!R"&amp;ROW()+3)</f>
        <v>10323.943423946339</v>
      </c>
      <c r="O19" s="10"/>
      <c r="P19" s="70">
        <f t="shared" ca="1" si="2"/>
        <v>-4307.943423946339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6611.8686201920236</v>
      </c>
      <c r="S19" s="11"/>
      <c r="T19" s="70">
        <f t="shared" ca="1" si="3"/>
        <v>-6611.8686201920236</v>
      </c>
      <c r="U19" s="70">
        <f ca="1">INDIRECT("'Aug"&amp;Members!$F$2&amp;"-COLLECTION'!K"&amp;ROW()-1)</f>
        <v>0</v>
      </c>
      <c r="V19" s="70">
        <f ca="1">INDIRECT("'Aug"&amp;Members!$F$2&amp;"-EXPENSE'!R"&amp;ROW()+3)</f>
        <v>0</v>
      </c>
      <c r="W19" s="10"/>
      <c r="X19" s="70">
        <f t="shared" ca="1" si="4"/>
        <v>0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6016</v>
      </c>
      <c r="BB19" s="70">
        <f t="shared" ca="1" si="13"/>
        <v>22750.804133897647</v>
      </c>
      <c r="BC19" s="70">
        <f t="shared" si="14"/>
        <v>0</v>
      </c>
      <c r="BD19" s="70">
        <f t="shared" ca="1" si="15"/>
        <v>-16734.804133897647</v>
      </c>
      <c r="BE19" s="70">
        <f t="shared" ca="1" si="16"/>
        <v>-18508.030422704833</v>
      </c>
    </row>
    <row r="20" spans="1:57" ht="16.2" customHeight="1" x14ac:dyDescent="0.3">
      <c r="A20" s="52" t="s">
        <v>30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-11.717401342015361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0</v>
      </c>
      <c r="G20" s="10"/>
      <c r="H20" s="72">
        <f t="shared" ca="1" si="0"/>
        <v>6121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6733.7875126977233</v>
      </c>
      <c r="K20" s="11"/>
      <c r="L20" s="72">
        <f t="shared" ca="1" si="1"/>
        <v>-6733.7875126977233</v>
      </c>
      <c r="M20" s="72">
        <f ca="1">INDIRECT("'June"&amp;Members!$F$2&amp;"-COLLECTION'!K"&amp;ROW()-1)</f>
        <v>7164.78</v>
      </c>
      <c r="N20" s="72">
        <f ca="1">INDIRECT("'June"&amp;Members!$F$2&amp;"-EXPENSE'!R"&amp;ROW()+3)</f>
        <v>6960.0016677914</v>
      </c>
      <c r="O20" s="10"/>
      <c r="P20" s="72">
        <f t="shared" ca="1" si="2"/>
        <v>204.77833220859975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7165.0676657116055</v>
      </c>
      <c r="S20" s="11"/>
      <c r="T20" s="72">
        <f t="shared" ca="1" si="3"/>
        <v>-7165.0676657116055</v>
      </c>
      <c r="U20" s="72">
        <f ca="1">INDIRECT("'Aug"&amp;Members!$F$2&amp;"-COLLECTION'!K"&amp;ROW()-1)</f>
        <v>0</v>
      </c>
      <c r="V20" s="72">
        <f ca="1">INDIRECT("'Aug"&amp;Members!$F$2&amp;"-EXPENSE'!R"&amp;ROW()+3)</f>
        <v>0</v>
      </c>
      <c r="W20" s="10"/>
      <c r="X20" s="72">
        <f t="shared" ca="1" si="4"/>
        <v>0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13285.779999999999</v>
      </c>
      <c r="BB20" s="72">
        <f t="shared" ca="1" si="13"/>
        <v>20858.856846200728</v>
      </c>
      <c r="BC20" s="72">
        <f t="shared" si="14"/>
        <v>0</v>
      </c>
      <c r="BD20" s="72">
        <f t="shared" ca="1" si="15"/>
        <v>-7573.0768462007291</v>
      </c>
      <c r="BE20" s="72">
        <f t="shared" ca="1" si="16"/>
        <v>-7584.7942475427444</v>
      </c>
    </row>
    <row r="21" spans="1:57" ht="15.75" customHeight="1" x14ac:dyDescent="0.3">
      <c r="A21" s="68" t="s">
        <v>31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-1839.4420770711879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0</v>
      </c>
      <c r="G21" s="10"/>
      <c r="H21" s="70">
        <f t="shared" ca="1" si="0"/>
        <v>5796</v>
      </c>
      <c r="I21" s="70">
        <f ca="1">INDIRECT("'May"&amp;Members!$F$2&amp;"-COLLECTION'!K"&amp;ROW()-1)</f>
        <v>2100</v>
      </c>
      <c r="J21" s="70">
        <f ca="1">INDIRECT("'May"&amp;Members!$F$2&amp;"-EXPENSE'!R"&amp;ROW()+3)</f>
        <v>6370.0660437287397</v>
      </c>
      <c r="K21" s="11"/>
      <c r="L21" s="70">
        <f t="shared" ca="1" si="1"/>
        <v>-4270.0660437287397</v>
      </c>
      <c r="M21" s="70">
        <f ca="1">INDIRECT("'June"&amp;Members!$F$2&amp;"-COLLECTION'!K"&amp;ROW()-1)</f>
        <v>6263</v>
      </c>
      <c r="N21" s="70">
        <f ca="1">INDIRECT("'June"&amp;Members!$F$2&amp;"-EXPENSE'!R"&amp;ROW()+3)</f>
        <v>6674.7114334789403</v>
      </c>
      <c r="O21" s="10"/>
      <c r="P21" s="70">
        <f t="shared" ca="1" si="2"/>
        <v>-411.71143347894031</v>
      </c>
      <c r="Q21" s="70">
        <f ca="1">INDIRECT("'July"&amp;Members!$F$2&amp;"-COLLECTION'!K"&amp;ROW()-1)</f>
        <v>7044</v>
      </c>
      <c r="R21" s="70">
        <f ca="1">INDIRECT("'July"&amp;Members!$F$2&amp;"-EXPENSE'!R"&amp;ROW()+3)</f>
        <v>6157.2196841016203</v>
      </c>
      <c r="S21" s="11"/>
      <c r="T21" s="70">
        <f t="shared" ca="1" si="3"/>
        <v>886.78031589837974</v>
      </c>
      <c r="U21" s="70">
        <f ca="1">INDIRECT("'Aug"&amp;Members!$F$2&amp;"-COLLECTION'!K"&amp;ROW()-1)</f>
        <v>0</v>
      </c>
      <c r="V21" s="70">
        <f ca="1">INDIRECT("'Aug"&amp;Members!$F$2&amp;"-EXPENSE'!R"&amp;ROW()+3)</f>
        <v>0</v>
      </c>
      <c r="W21" s="10"/>
      <c r="X21" s="70">
        <f t="shared" ca="1" si="4"/>
        <v>0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21203</v>
      </c>
      <c r="BB21" s="70">
        <f t="shared" ca="1" si="13"/>
        <v>19201.9971613093</v>
      </c>
      <c r="BC21" s="70">
        <f t="shared" si="14"/>
        <v>0</v>
      </c>
      <c r="BD21" s="70">
        <f t="shared" ca="1" si="15"/>
        <v>2001.0028386906997</v>
      </c>
      <c r="BE21" s="70">
        <f t="shared" ca="1" si="16"/>
        <v>161.56076161951182</v>
      </c>
    </row>
    <row r="22" spans="1:57" ht="15.75" customHeight="1" x14ac:dyDescent="0.3">
      <c r="A22" s="52" t="s">
        <v>33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0</v>
      </c>
      <c r="G22" s="10"/>
      <c r="H22" s="72">
        <f t="shared" ca="1" si="0"/>
        <v>5604</v>
      </c>
      <c r="I22" s="72">
        <f ca="1">INDIRECT("'May"&amp;Members!$F$2&amp;"-COLLECTION'!K"&amp;ROW()-1)</f>
        <v>11592</v>
      </c>
      <c r="J22" s="72">
        <f ca="1">INDIRECT("'May"&amp;Members!$F$2&amp;"-EXPENSE'!R"&amp;ROW()+3)</f>
        <v>7101.80570246362</v>
      </c>
      <c r="K22" s="11"/>
      <c r="L22" s="72">
        <f t="shared" ca="1" si="1"/>
        <v>4490.19429753638</v>
      </c>
      <c r="M22" s="72">
        <f ca="1">INDIRECT("'June"&amp;Members!$F$2&amp;"-COLLECTION'!K"&amp;ROW()-1)</f>
        <v>7011</v>
      </c>
      <c r="N22" s="72">
        <f ca="1">INDIRECT("'June"&amp;Members!$F$2&amp;"-EXPENSE'!R"&amp;ROW()+3)</f>
        <v>6396.4146536378375</v>
      </c>
      <c r="O22" s="10"/>
      <c r="P22" s="72">
        <f t="shared" ca="1" si="2"/>
        <v>614.58534636216245</v>
      </c>
      <c r="Q22" s="72">
        <f ca="1">INDIRECT("'July"&amp;Members!$F$2&amp;"-COLLECTION'!K"&amp;ROW()-1)</f>
        <v>7400</v>
      </c>
      <c r="R22" s="72">
        <f ca="1">INDIRECT("'July"&amp;Members!$F$2&amp;"-EXPENSE'!R"&amp;ROW()+3)</f>
        <v>6607.8076919216728</v>
      </c>
      <c r="S22" s="11"/>
      <c r="T22" s="72">
        <f t="shared" ca="1" si="3"/>
        <v>792.19230807832719</v>
      </c>
      <c r="U22" s="72">
        <f ca="1">INDIRECT("'Aug"&amp;Members!$F$2&amp;"-COLLECTION'!K"&amp;ROW()-1)</f>
        <v>0</v>
      </c>
      <c r="V22" s="72">
        <f ca="1">INDIRECT("'Aug"&amp;Members!$F$2&amp;"-EXPENSE'!R"&amp;ROW()+3)</f>
        <v>0</v>
      </c>
      <c r="W22" s="10"/>
      <c r="X22" s="72">
        <f t="shared" ca="1" si="4"/>
        <v>0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31607</v>
      </c>
      <c r="BB22" s="72">
        <f t="shared" ca="1" si="13"/>
        <v>20106.02804802313</v>
      </c>
      <c r="BC22" s="72">
        <f t="shared" si="14"/>
        <v>0</v>
      </c>
      <c r="BD22" s="72">
        <f t="shared" ca="1" si="15"/>
        <v>11500.97195197687</v>
      </c>
      <c r="BE22" s="72">
        <f t="shared" ca="1" si="16"/>
        <v>1992.7799213837279</v>
      </c>
    </row>
    <row r="23" spans="1:57" ht="15.75" customHeight="1" x14ac:dyDescent="0.3">
      <c r="A23" s="68" t="s">
        <v>34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-10635.874814900229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0</v>
      </c>
      <c r="G23" s="10"/>
      <c r="H23" s="70">
        <f t="shared" ca="1" si="0"/>
        <v>0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6157.9190514752772</v>
      </c>
      <c r="K23" s="11"/>
      <c r="L23" s="70">
        <f t="shared" ca="1" si="1"/>
        <v>-6157.9190514752772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7196.0541801960917</v>
      </c>
      <c r="O23" s="10"/>
      <c r="P23" s="70">
        <f t="shared" ca="1" si="2"/>
        <v>-7196.0541801960917</v>
      </c>
      <c r="Q23" s="70">
        <f ca="1">INDIRECT("'July"&amp;Members!$F$2&amp;"-COLLECTION'!K"&amp;ROW()-1)</f>
        <v>29212.36</v>
      </c>
      <c r="R23" s="70">
        <f ca="1">INDIRECT("'July"&amp;Members!$F$2&amp;"-EXPENSE'!R"&amp;ROW()+3)</f>
        <v>7078.157317637616</v>
      </c>
      <c r="S23" s="11"/>
      <c r="T23" s="70">
        <f t="shared" ca="1" si="3"/>
        <v>22134.202682362386</v>
      </c>
      <c r="U23" s="70">
        <f ca="1">INDIRECT("'Aug"&amp;Members!$F$2&amp;"-COLLECTION'!K"&amp;ROW()-1)</f>
        <v>0</v>
      </c>
      <c r="V23" s="70">
        <f ca="1">INDIRECT("'Aug"&amp;Members!$F$2&amp;"-EXPENSE'!R"&amp;ROW()+3)</f>
        <v>0</v>
      </c>
      <c r="W23" s="10"/>
      <c r="X23" s="70">
        <f t="shared" ca="1" si="4"/>
        <v>0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29212.36</v>
      </c>
      <c r="BB23" s="70">
        <f t="shared" ca="1" si="13"/>
        <v>20432.130549308986</v>
      </c>
      <c r="BC23" s="70">
        <f t="shared" si="14"/>
        <v>0</v>
      </c>
      <c r="BD23" s="70">
        <f t="shared" ca="1" si="15"/>
        <v>8780.2294506910148</v>
      </c>
      <c r="BE23" s="70">
        <f t="shared" ca="1" si="16"/>
        <v>-1855.6453642092147</v>
      </c>
    </row>
    <row r="24" spans="1:57" ht="15.75" customHeight="1" x14ac:dyDescent="0.3">
      <c r="A24" s="52" t="s">
        <v>35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0</v>
      </c>
      <c r="G24" s="10"/>
      <c r="H24" s="72">
        <f t="shared" ca="1" si="0"/>
        <v>5260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5675.5108042669999</v>
      </c>
      <c r="K24" s="11"/>
      <c r="L24" s="72">
        <f t="shared" ca="1" si="1"/>
        <v>-5675.5108042669999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5510.0550202194627</v>
      </c>
      <c r="O24" s="10"/>
      <c r="P24" s="72">
        <f t="shared" ca="1" si="2"/>
        <v>-5510.0550202194627</v>
      </c>
      <c r="Q24" s="72">
        <f ca="1">INDIRECT("'July"&amp;Members!$F$2&amp;"-COLLECTION'!K"&amp;ROW()-1)</f>
        <v>0</v>
      </c>
      <c r="R24" s="72">
        <f ca="1">INDIRECT("'July"&amp;Members!$F$2&amp;"-EXPENSE'!R"&amp;ROW()+3)</f>
        <v>6462.3771384638776</v>
      </c>
      <c r="S24" s="11"/>
      <c r="T24" s="72">
        <f t="shared" ca="1" si="3"/>
        <v>-6462.3771384638776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0</v>
      </c>
      <c r="W24" s="10"/>
      <c r="X24" s="72">
        <f t="shared" ca="1" si="4"/>
        <v>0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5260</v>
      </c>
      <c r="BB24" s="72">
        <f t="shared" ca="1" si="13"/>
        <v>17647.942962950339</v>
      </c>
      <c r="BC24" s="72">
        <f t="shared" si="14"/>
        <v>0</v>
      </c>
      <c r="BD24" s="72">
        <f t="shared" ca="1" si="15"/>
        <v>-12387.942962950339</v>
      </c>
      <c r="BE24" s="72">
        <f t="shared" ca="1" si="16"/>
        <v>-23555.901312205719</v>
      </c>
    </row>
    <row r="25" spans="1:57" ht="15.75" customHeight="1" x14ac:dyDescent="0.3">
      <c r="A25" s="68" t="s">
        <v>36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-10621.707172954621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0</v>
      </c>
      <c r="G25" s="10"/>
      <c r="H25" s="70">
        <f t="shared" ca="1" si="0"/>
        <v>10621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5826.7067341961547</v>
      </c>
      <c r="K25" s="11"/>
      <c r="L25" s="70">
        <f t="shared" ca="1" si="1"/>
        <v>-5826.7067341961547</v>
      </c>
      <c r="M25" s="70">
        <f ca="1">INDIRECT("'June"&amp;Members!$F$2&amp;"-COLLECTION'!K"&amp;ROW()-1)</f>
        <v>10563</v>
      </c>
      <c r="N25" s="70">
        <f ca="1">INDIRECT("'June"&amp;Members!$F$2&amp;"-EXPENSE'!R"&amp;ROW()+3)</f>
        <v>6193.7586188047298</v>
      </c>
      <c r="O25" s="10"/>
      <c r="P25" s="70">
        <f t="shared" ca="1" si="2"/>
        <v>4369.2413811952702</v>
      </c>
      <c r="Q25" s="70">
        <f ca="1">INDIRECT("'July"&amp;Members!$F$2&amp;"-COLLECTION'!K"&amp;ROW()-1)</f>
        <v>5693</v>
      </c>
      <c r="R25" s="70">
        <f ca="1">INDIRECT("'July"&amp;Members!$F$2&amp;"-EXPENSE'!R"&amp;ROW()+3)</f>
        <v>5696.6336963516042</v>
      </c>
      <c r="S25" s="11"/>
      <c r="T25" s="70">
        <f t="shared" ca="1" si="3"/>
        <v>-3.6336963516041578</v>
      </c>
      <c r="U25" s="70">
        <f ca="1">INDIRECT("'Aug"&amp;Members!$F$2&amp;"-COLLECTION'!K"&amp;ROW()-1)</f>
        <v>0</v>
      </c>
      <c r="V25" s="70">
        <f ca="1">INDIRECT("'Aug"&amp;Members!$F$2&amp;"-EXPENSE'!R"&amp;ROW()+3)</f>
        <v>0</v>
      </c>
      <c r="W25" s="10"/>
      <c r="X25" s="70">
        <f t="shared" ca="1" si="4"/>
        <v>0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26877</v>
      </c>
      <c r="BB25" s="70">
        <f t="shared" ca="1" si="13"/>
        <v>17717.099049352488</v>
      </c>
      <c r="BC25" s="70">
        <f t="shared" si="14"/>
        <v>0</v>
      </c>
      <c r="BD25" s="70">
        <f t="shared" ca="1" si="15"/>
        <v>9159.9009506475122</v>
      </c>
      <c r="BE25" s="70">
        <f t="shared" ca="1" si="16"/>
        <v>-1461.8062223071083</v>
      </c>
    </row>
    <row r="26" spans="1:57" ht="15.75" customHeight="1" x14ac:dyDescent="0.3">
      <c r="A26" s="52" t="s">
        <v>38</v>
      </c>
      <c r="B26" s="71" t="str">
        <f>VLOOKUP(A26,Members!$A$2:$C$65,3,FALSE)</f>
        <v>arun.pharmaplus@gmail.com</v>
      </c>
      <c r="C26" s="52" t="str">
        <f>Members!B25</f>
        <v>Arun M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0</v>
      </c>
      <c r="G26" s="10"/>
      <c r="H26" s="72">
        <f t="shared" ca="1" si="0"/>
        <v>495.94</v>
      </c>
      <c r="I26" s="72">
        <f ca="1">INDIRECT("'May"&amp;Members!$F$2&amp;"-COLLECTION'!K"&amp;ROW()-1)</f>
        <v>8946.31</v>
      </c>
      <c r="J26" s="72">
        <f ca="1">INDIRECT("'May"&amp;Members!$F$2&amp;"-EXPENSE'!R"&amp;ROW()+3)</f>
        <v>5994.6031260906748</v>
      </c>
      <c r="K26" s="11"/>
      <c r="L26" s="72">
        <f t="shared" ca="1" si="1"/>
        <v>2951.7068739093247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5533.9181816598948</v>
      </c>
      <c r="O26" s="10"/>
      <c r="P26" s="72">
        <f t="shared" ca="1" si="2"/>
        <v>-5533.9181816598948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6234.5626713661059</v>
      </c>
      <c r="S26" s="11"/>
      <c r="T26" s="72">
        <f t="shared" ca="1" si="3"/>
        <v>-6234.5626713661059</v>
      </c>
      <c r="U26" s="72">
        <f ca="1">INDIRECT("'Aug"&amp;Members!$F$2&amp;"-COLLECTION'!K"&amp;ROW()-1)</f>
        <v>0</v>
      </c>
      <c r="V26" s="72">
        <f ca="1">INDIRECT("'Aug"&amp;Members!$F$2&amp;"-EXPENSE'!R"&amp;ROW()+3)</f>
        <v>0</v>
      </c>
      <c r="W26" s="10"/>
      <c r="X26" s="72">
        <f t="shared" ca="1" si="4"/>
        <v>0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9442.25</v>
      </c>
      <c r="BB26" s="72">
        <f t="shared" ca="1" si="13"/>
        <v>17763.083979116673</v>
      </c>
      <c r="BC26" s="72">
        <f t="shared" si="14"/>
        <v>0</v>
      </c>
      <c r="BD26" s="72">
        <f t="shared" ca="1" si="15"/>
        <v>-8320.8339791166727</v>
      </c>
      <c r="BE26" s="72">
        <f t="shared" ca="1" si="16"/>
        <v>-8139.6656444399341</v>
      </c>
    </row>
    <row r="27" spans="1:57" ht="15.75" customHeight="1" x14ac:dyDescent="0.3">
      <c r="A27" s="68" t="s">
        <v>39</v>
      </c>
      <c r="B27" s="69" t="str">
        <f>VLOOKUP(A27,Members!$A$2:$C$65,3,FALSE)</f>
        <v>chandra.gumma@gmail.com</v>
      </c>
      <c r="C27" s="68" t="str">
        <f>Members!B26</f>
        <v>Ankur Agarwal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0</v>
      </c>
      <c r="G27" s="10"/>
      <c r="H27" s="70">
        <f t="shared" ca="1" si="0"/>
        <v>5590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6335.4353358726321</v>
      </c>
      <c r="K27" s="11"/>
      <c r="L27" s="70">
        <f t="shared" ca="1" si="1"/>
        <v>-6335.4353358726321</v>
      </c>
      <c r="M27" s="70">
        <f ca="1">INDIRECT("'June"&amp;Members!$F$2&amp;"-COLLECTION'!K"&amp;ROW()-1)</f>
        <v>6465</v>
      </c>
      <c r="N27" s="70">
        <f ca="1">INDIRECT("'June"&amp;Members!$F$2&amp;"-EXPENSE'!R"&amp;ROW()+3)</f>
        <v>6679.5754926145064</v>
      </c>
      <c r="O27" s="10"/>
      <c r="P27" s="70">
        <f t="shared" ca="1" si="2"/>
        <v>-214.5754926145064</v>
      </c>
      <c r="Q27" s="70">
        <f ca="1">INDIRECT("'July"&amp;Members!$F$2&amp;"-COLLECTION'!K"&amp;ROW()-1)</f>
        <v>6702</v>
      </c>
      <c r="R27" s="70">
        <f ca="1">INDIRECT("'July"&amp;Members!$F$2&amp;"-EXPENSE'!R"&amp;ROW()+3)</f>
        <v>7382.8160914275486</v>
      </c>
      <c r="S27" s="11"/>
      <c r="T27" s="70">
        <f t="shared" ca="1" si="3"/>
        <v>-680.8160914275486</v>
      </c>
      <c r="U27" s="70">
        <f ca="1">INDIRECT("'Aug"&amp;Members!$F$2&amp;"-COLLECTION'!K"&amp;ROW()-1)</f>
        <v>0</v>
      </c>
      <c r="V27" s="70">
        <f ca="1">INDIRECT("'Aug"&amp;Members!$F$2&amp;"-EXPENSE'!R"&amp;ROW()+3)</f>
        <v>0</v>
      </c>
      <c r="W27" s="10"/>
      <c r="X27" s="70">
        <f t="shared" ca="1" si="4"/>
        <v>0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18757</v>
      </c>
      <c r="BB27" s="70">
        <f t="shared" ca="1" si="13"/>
        <v>20397.826919914689</v>
      </c>
      <c r="BC27" s="70">
        <f t="shared" si="14"/>
        <v>0</v>
      </c>
      <c r="BD27" s="70">
        <f t="shared" ca="1" si="15"/>
        <v>-1640.8269199146889</v>
      </c>
      <c r="BE27" s="70">
        <f t="shared" ca="1" si="16"/>
        <v>-2852.9256670182949</v>
      </c>
    </row>
    <row r="28" spans="1:57" ht="15.75" customHeight="1" x14ac:dyDescent="0.3">
      <c r="A28" s="52" t="s">
        <v>41</v>
      </c>
      <c r="B28" s="71" t="str">
        <f>VLOOKUP(A28,Members!$A$2:$C$65,3,FALSE)</f>
        <v>richasingh.kaharwar@gmail.com</v>
      </c>
      <c r="C28" s="52" t="str">
        <f>Members!B27</f>
        <v>Richa Singh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0</v>
      </c>
      <c r="G28" s="10"/>
      <c r="H28" s="72">
        <f t="shared" ca="1" si="0"/>
        <v>0</v>
      </c>
      <c r="I28" s="72">
        <f ca="1">INDIRECT("'May"&amp;Members!$F$2&amp;"-COLLECTION'!K"&amp;ROW()-1)</f>
        <v>4440</v>
      </c>
      <c r="J28" s="72">
        <f ca="1">INDIRECT("'May"&amp;Members!$F$2&amp;"-EXPENSE'!R"&amp;ROW()+3)</f>
        <v>5472.1461982470073</v>
      </c>
      <c r="K28" s="11"/>
      <c r="L28" s="72">
        <f t="shared" ca="1" si="1"/>
        <v>-1032.1461982470073</v>
      </c>
      <c r="M28" s="72">
        <f ca="1">INDIRECT("'June"&amp;Members!$F$2&amp;"-COLLECTION'!K"&amp;ROW()-1)</f>
        <v>5452.43</v>
      </c>
      <c r="N28" s="72">
        <f ca="1">INDIRECT("'June"&amp;Members!$F$2&amp;"-EXPENSE'!R"&amp;ROW()+3)</f>
        <v>5757.9756504865027</v>
      </c>
      <c r="O28" s="10"/>
      <c r="P28" s="72">
        <f t="shared" ca="1" si="2"/>
        <v>-305.54565048650238</v>
      </c>
      <c r="Q28" s="72">
        <f ca="1">INDIRECT("'July"&amp;Members!$F$2&amp;"-COLLECTION'!K"&amp;ROW()-1)</f>
        <v>5775</v>
      </c>
      <c r="R28" s="72">
        <f ca="1">INDIRECT("'July"&amp;Members!$F$2&amp;"-EXPENSE'!R"&amp;ROW()+3)</f>
        <v>6057.9476370996654</v>
      </c>
      <c r="S28" s="11"/>
      <c r="T28" s="72">
        <f t="shared" ca="1" si="3"/>
        <v>-282.94763709966537</v>
      </c>
      <c r="U28" s="72">
        <f ca="1">INDIRECT("'Aug"&amp;Members!$F$2&amp;"-COLLECTION'!K"&amp;ROW()-1)</f>
        <v>0</v>
      </c>
      <c r="V28" s="72">
        <f ca="1">INDIRECT("'Aug"&amp;Members!$F$2&amp;"-EXPENSE'!R"&amp;ROW()+3)</f>
        <v>0</v>
      </c>
      <c r="W28" s="10"/>
      <c r="X28" s="72">
        <f t="shared" ca="1" si="4"/>
        <v>0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15667.43</v>
      </c>
      <c r="BB28" s="72">
        <f t="shared" ca="1" si="13"/>
        <v>17288.069485833177</v>
      </c>
      <c r="BC28" s="72">
        <f t="shared" si="14"/>
        <v>0</v>
      </c>
      <c r="BD28" s="72">
        <f t="shared" ca="1" si="15"/>
        <v>-1620.6394858331769</v>
      </c>
      <c r="BE28" s="72">
        <f t="shared" ca="1" si="16"/>
        <v>-1166.5782619420352</v>
      </c>
    </row>
    <row r="29" spans="1:57" ht="15.75" customHeight="1" x14ac:dyDescent="0.3">
      <c r="A29" s="68" t="s">
        <v>42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-21576.000027028658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0</v>
      </c>
      <c r="G29" s="10"/>
      <c r="H29" s="70">
        <f t="shared" ca="1" si="0"/>
        <v>21576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5401.3719104034935</v>
      </c>
      <c r="K29" s="11"/>
      <c r="L29" s="70">
        <f t="shared" ca="1" si="1"/>
        <v>-5401.3719104034935</v>
      </c>
      <c r="M29" s="70">
        <f ca="1">INDIRECT("'June"&amp;Members!$F$2&amp;"-COLLECTION'!K"&amp;ROW()-1)</f>
        <v>10106</v>
      </c>
      <c r="N29" s="70">
        <f ca="1">INDIRECT("'June"&amp;Members!$F$2&amp;"-EXPENSE'!R"&amp;ROW()+3)</f>
        <v>5560.931066869869</v>
      </c>
      <c r="O29" s="10"/>
      <c r="P29" s="70">
        <f t="shared" ca="1" si="2"/>
        <v>4545.068933130131</v>
      </c>
      <c r="Q29" s="70">
        <f ca="1">INDIRECT("'July"&amp;Members!$F$2&amp;"-COLLECTION'!K"&amp;ROW()-1)</f>
        <v>5584</v>
      </c>
      <c r="R29" s="70">
        <f ca="1">INDIRECT("'July"&amp;Members!$F$2&amp;"-EXPENSE'!R"&amp;ROW()+3)</f>
        <v>5524.4120708977616</v>
      </c>
      <c r="S29" s="11"/>
      <c r="T29" s="70">
        <f t="shared" ca="1" si="3"/>
        <v>59.587929102238377</v>
      </c>
      <c r="U29" s="70">
        <f ca="1">INDIRECT("'Aug"&amp;Members!$F$2&amp;"-COLLECTION'!K"&amp;ROW()-1)</f>
        <v>0</v>
      </c>
      <c r="V29" s="70">
        <f ca="1">INDIRECT("'Aug"&amp;Members!$F$2&amp;"-EXPENSE'!R"&amp;ROW()+3)</f>
        <v>0</v>
      </c>
      <c r="W29" s="10"/>
      <c r="X29" s="70">
        <f t="shared" ca="1" si="4"/>
        <v>0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37266</v>
      </c>
      <c r="BB29" s="70">
        <f t="shared" ca="1" si="13"/>
        <v>16486.715048171125</v>
      </c>
      <c r="BC29" s="70">
        <f t="shared" si="14"/>
        <v>0</v>
      </c>
      <c r="BD29" s="70">
        <f t="shared" ca="1" si="15"/>
        <v>20779.284951828875</v>
      </c>
      <c r="BE29" s="70">
        <f t="shared" ca="1" si="16"/>
        <v>-796.71507519978331</v>
      </c>
    </row>
    <row r="30" spans="1:57" ht="15.75" customHeight="1" x14ac:dyDescent="0.3">
      <c r="A30" s="52" t="s">
        <v>44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0</v>
      </c>
      <c r="G30" s="10"/>
      <c r="H30" s="72">
        <f t="shared" ca="1" si="0"/>
        <v>4487</v>
      </c>
      <c r="I30" s="72">
        <f ca="1">INDIRECT("'May"&amp;Members!$F$2&amp;"-COLLECTION'!K"&amp;ROW()-1)</f>
        <v>6335</v>
      </c>
      <c r="J30" s="72">
        <f ca="1">INDIRECT("'May"&amp;Members!$F$2&amp;"-EXPENSE'!R"&amp;ROW()+3)</f>
        <v>6171.9036616161775</v>
      </c>
      <c r="K30" s="11"/>
      <c r="L30" s="72">
        <f t="shared" ca="1" si="1"/>
        <v>163.09633838382251</v>
      </c>
      <c r="M30" s="72">
        <f ca="1">INDIRECT("'June"&amp;Members!$F$2&amp;"-COLLECTION'!K"&amp;ROW()-1)</f>
        <v>5689</v>
      </c>
      <c r="N30" s="72">
        <f ca="1">INDIRECT("'June"&amp;Members!$F$2&amp;"-EXPENSE'!R"&amp;ROW()+3)</f>
        <v>6836.3022677913996</v>
      </c>
      <c r="O30" s="10"/>
      <c r="P30" s="72">
        <f t="shared" ca="1" si="2"/>
        <v>-1147.3022677913996</v>
      </c>
      <c r="Q30" s="72">
        <f ca="1">INDIRECT("'July"&amp;Members!$F$2&amp;"-COLLECTION'!K"&amp;ROW()-1)</f>
        <v>6929</v>
      </c>
      <c r="R30" s="72">
        <f ca="1">INDIRECT("'July"&amp;Members!$F$2&amp;"-EXPENSE'!R"&amp;ROW()+3)</f>
        <v>7039.6109021865668</v>
      </c>
      <c r="S30" s="11"/>
      <c r="T30" s="72">
        <f t="shared" ca="1" si="3"/>
        <v>-110.61090218656682</v>
      </c>
      <c r="U30" s="72">
        <f ca="1">INDIRECT("'Aug"&amp;Members!$F$2&amp;"-COLLECTION'!K"&amp;ROW()-1)</f>
        <v>0</v>
      </c>
      <c r="V30" s="72">
        <f ca="1">INDIRECT("'Aug"&amp;Members!$F$2&amp;"-EXPENSE'!R"&amp;ROW()+3)</f>
        <v>0</v>
      </c>
      <c r="W30" s="10"/>
      <c r="X30" s="72">
        <f t="shared" ca="1" si="4"/>
        <v>0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23440</v>
      </c>
      <c r="BB30" s="72">
        <f t="shared" ca="1" si="13"/>
        <v>20047.816831594144</v>
      </c>
      <c r="BC30" s="72">
        <f t="shared" si="14"/>
        <v>0</v>
      </c>
      <c r="BD30" s="72">
        <f t="shared" ca="1" si="15"/>
        <v>3392.1831684058561</v>
      </c>
      <c r="BE30" s="72">
        <f t="shared" ca="1" si="16"/>
        <v>-1094.1204729083693</v>
      </c>
    </row>
    <row r="31" spans="1:57" ht="15.75" customHeight="1" x14ac:dyDescent="0.3">
      <c r="A31" s="68" t="s">
        <v>45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-15613.118622663491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0</v>
      </c>
      <c r="G31" s="10"/>
      <c r="H31" s="70">
        <f t="shared" ca="1" si="0"/>
        <v>10677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5983.8881283306</v>
      </c>
      <c r="K31" s="11"/>
      <c r="L31" s="70">
        <f t="shared" ca="1" si="1"/>
        <v>-5983.8881283306</v>
      </c>
      <c r="M31" s="70">
        <f ca="1">INDIRECT("'June"&amp;Members!$F$2&amp;"-COLLECTION'!K"&amp;ROW()-1)</f>
        <v>16049.79</v>
      </c>
      <c r="N31" s="70">
        <f ca="1">INDIRECT("'June"&amp;Members!$F$2&amp;"-EXPENSE'!R"&amp;ROW()+3)</f>
        <v>6282.971212785671</v>
      </c>
      <c r="O31" s="10"/>
      <c r="P31" s="70">
        <f t="shared" ca="1" si="2"/>
        <v>9766.8187872143299</v>
      </c>
      <c r="Q31" s="70">
        <f ca="1">INDIRECT("'July"&amp;Members!$F$2&amp;"-COLLECTION'!K"&amp;ROW()-1)</f>
        <v>1062</v>
      </c>
      <c r="R31" s="70">
        <f ca="1">INDIRECT("'July"&amp;Members!$F$2&amp;"-EXPENSE'!R"&amp;ROW()+3)</f>
        <v>6261.7828138414534</v>
      </c>
      <c r="S31" s="11"/>
      <c r="T31" s="70">
        <f t="shared" ca="1" si="3"/>
        <v>-5199.7828138414534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0</v>
      </c>
      <c r="W31" s="10"/>
      <c r="X31" s="70">
        <f t="shared" ca="1" si="4"/>
        <v>0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27788.79</v>
      </c>
      <c r="BB31" s="70">
        <f t="shared" ca="1" si="13"/>
        <v>18528.642154957724</v>
      </c>
      <c r="BC31" s="70">
        <f t="shared" si="14"/>
        <v>0</v>
      </c>
      <c r="BD31" s="70">
        <f t="shared" ca="1" si="15"/>
        <v>9260.1478450422765</v>
      </c>
      <c r="BE31" s="70">
        <f t="shared" ca="1" si="16"/>
        <v>-6352.9707776212144</v>
      </c>
    </row>
    <row r="32" spans="1:57" ht="15.75" customHeight="1" x14ac:dyDescent="0.3">
      <c r="A32" s="52" t="s">
        <v>46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0</v>
      </c>
      <c r="G32" s="10"/>
      <c r="H32" s="72">
        <f t="shared" ca="1" si="0"/>
        <v>5970</v>
      </c>
      <c r="I32" s="72">
        <f ca="1">INDIRECT("'May"&amp;Members!$F$2&amp;"-COLLECTION'!K"&amp;ROW()-1)</f>
        <v>6116.55</v>
      </c>
      <c r="J32" s="72">
        <f ca="1">INDIRECT("'May"&amp;Members!$F$2&amp;"-EXPENSE'!R"&amp;ROW()+3)</f>
        <v>6229.7740561993014</v>
      </c>
      <c r="K32" s="11"/>
      <c r="L32" s="72">
        <f t="shared" ca="1" si="1"/>
        <v>-113.22405619930123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6769.6302277543055</v>
      </c>
      <c r="O32" s="10"/>
      <c r="P32" s="72">
        <f t="shared" ca="1" si="2"/>
        <v>-6769.6302277543055</v>
      </c>
      <c r="Q32" s="72">
        <f ca="1">INDIRECT("'July"&amp;Members!$F$2&amp;"-COLLECTION'!K"&amp;ROW()-1)</f>
        <v>7044.65</v>
      </c>
      <c r="R32" s="72">
        <f ca="1">INDIRECT("'July"&amp;Members!$F$2&amp;"-EXPENSE'!R"&amp;ROW()+3)</f>
        <v>7185.277346249557</v>
      </c>
      <c r="S32" s="11"/>
      <c r="T32" s="72">
        <f t="shared" ca="1" si="3"/>
        <v>-140.62734624955738</v>
      </c>
      <c r="U32" s="72">
        <f ca="1">INDIRECT("'Aug"&amp;Members!$F$2&amp;"-COLLECTION'!K"&amp;ROW()-1)</f>
        <v>0</v>
      </c>
      <c r="V32" s="72">
        <f ca="1">INDIRECT("'Aug"&amp;Members!$F$2&amp;"-EXPENSE'!R"&amp;ROW()+3)</f>
        <v>0</v>
      </c>
      <c r="W32" s="10"/>
      <c r="X32" s="72">
        <f t="shared" ca="1" si="4"/>
        <v>0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19131.199999999997</v>
      </c>
      <c r="BB32" s="72">
        <f t="shared" ca="1" si="13"/>
        <v>20184.681630203166</v>
      </c>
      <c r="BC32" s="72">
        <f t="shared" si="14"/>
        <v>0</v>
      </c>
      <c r="BD32" s="72">
        <f t="shared" ca="1" si="15"/>
        <v>-1053.4816302031686</v>
      </c>
      <c r="BE32" s="72">
        <f t="shared" ca="1" si="16"/>
        <v>-3461.1110364726628</v>
      </c>
    </row>
    <row r="33" spans="1:57" ht="15.75" customHeight="1" x14ac:dyDescent="0.3">
      <c r="A33" s="68" t="s">
        <v>47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0</v>
      </c>
      <c r="G33" s="10"/>
      <c r="H33" s="70">
        <f t="shared" ca="1" si="0"/>
        <v>0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5981.1317414042778</v>
      </c>
      <c r="K33" s="11"/>
      <c r="L33" s="70">
        <f t="shared" ca="1" si="1"/>
        <v>-5981.1317414042778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7441.8454151273409</v>
      </c>
      <c r="O33" s="10"/>
      <c r="P33" s="70">
        <f t="shared" ca="1" si="2"/>
        <v>-7441.8454151273409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6730.5318202221006</v>
      </c>
      <c r="S33" s="11"/>
      <c r="T33" s="70">
        <f t="shared" ca="1" si="3"/>
        <v>-6730.5318202221006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0</v>
      </c>
      <c r="W33" s="10"/>
      <c r="X33" s="70">
        <f t="shared" ca="1" si="4"/>
        <v>0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20153.508976753721</v>
      </c>
      <c r="BC33" s="70">
        <f t="shared" si="14"/>
        <v>0</v>
      </c>
      <c r="BD33" s="70">
        <f t="shared" ca="1" si="15"/>
        <v>-20153.508976753721</v>
      </c>
      <c r="BE33" s="70">
        <f t="shared" ca="1" si="16"/>
        <v>-39437.035169974763</v>
      </c>
    </row>
    <row r="34" spans="1:57" ht="15.75" customHeight="1" x14ac:dyDescent="0.3">
      <c r="A34" s="52" t="s">
        <v>48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0</v>
      </c>
      <c r="G34" s="10"/>
      <c r="H34" s="72">
        <f t="shared" ca="1" si="0"/>
        <v>4819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5569.1872320942985</v>
      </c>
      <c r="K34" s="11"/>
      <c r="L34" s="72">
        <f t="shared" ca="1" si="1"/>
        <v>-5569.1872320942985</v>
      </c>
      <c r="M34" s="72">
        <f ca="1">INDIRECT("'June"&amp;Members!$F$2&amp;"-COLLECTION'!K"&amp;ROW()-1)</f>
        <v>5003.6499999999996</v>
      </c>
      <c r="N34" s="72">
        <f ca="1">INDIRECT("'June"&amp;Members!$F$2&amp;"-EXPENSE'!R"&amp;ROW()+3)</f>
        <v>5901.0478488318231</v>
      </c>
      <c r="O34" s="10"/>
      <c r="P34" s="72">
        <f t="shared" ca="1" si="2"/>
        <v>-897.39784883182347</v>
      </c>
      <c r="Q34" s="72">
        <f ca="1">INDIRECT("'July"&amp;Members!$F$2&amp;"-COLLECTION'!K"&amp;ROW()-1)</f>
        <v>11443.06</v>
      </c>
      <c r="R34" s="72">
        <f ca="1">INDIRECT("'July"&amp;Members!$F$2&amp;"-EXPENSE'!R"&amp;ROW()+3)</f>
        <v>6120.1583058860533</v>
      </c>
      <c r="S34" s="11"/>
      <c r="T34" s="72">
        <f t="shared" ca="1" si="3"/>
        <v>5322.9016941139462</v>
      </c>
      <c r="U34" s="72">
        <f ca="1">INDIRECT("'Aug"&amp;Members!$F$2&amp;"-COLLECTION'!K"&amp;ROW()-1)</f>
        <v>0</v>
      </c>
      <c r="V34" s="72">
        <f ca="1">INDIRECT("'Aug"&amp;Members!$F$2&amp;"-EXPENSE'!R"&amp;ROW()+3)</f>
        <v>0</v>
      </c>
      <c r="W34" s="10"/>
      <c r="X34" s="72">
        <f t="shared" ca="1" si="4"/>
        <v>0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21265.71</v>
      </c>
      <c r="BB34" s="72">
        <f t="shared" ca="1" si="13"/>
        <v>17590.393386812175</v>
      </c>
      <c r="BC34" s="72">
        <f t="shared" si="14"/>
        <v>0</v>
      </c>
      <c r="BD34" s="72">
        <f t="shared" ca="1" si="15"/>
        <v>3675.3166131878243</v>
      </c>
      <c r="BE34" s="72">
        <f t="shared" ca="1" si="16"/>
        <v>-1315.0688702336865</v>
      </c>
    </row>
    <row r="35" spans="1:57" ht="15.75" customHeight="1" x14ac:dyDescent="0.3">
      <c r="A35" s="68" t="s">
        <v>50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0</v>
      </c>
      <c r="G35" s="10"/>
      <c r="H35" s="70">
        <f t="shared" ref="H35:H66" ca="1" si="17">E35-(F35+G35)</f>
        <v>4890</v>
      </c>
      <c r="I35" s="70">
        <f ca="1">INDIRECT("'May"&amp;Members!$F$2&amp;"-COLLECTION'!K"&amp;ROW()-1)</f>
        <v>4556.92</v>
      </c>
      <c r="J35" s="70">
        <f ca="1">INDIRECT("'May"&amp;Members!$F$2&amp;"-EXPENSE'!R"&amp;ROW()+3)</f>
        <v>5470.930145191277</v>
      </c>
      <c r="K35" s="11"/>
      <c r="L35" s="70">
        <f t="shared" ref="L35:L66" ca="1" si="18">I35-(J35+K35)</f>
        <v>-914.01014519127693</v>
      </c>
      <c r="M35" s="70">
        <f ca="1">INDIRECT("'June"&amp;Members!$F$2&amp;"-COLLECTION'!K"&amp;ROW()-1)</f>
        <v>5454</v>
      </c>
      <c r="N35" s="70">
        <f ca="1">INDIRECT("'June"&amp;Members!$F$2&amp;"-EXPENSE'!R"&amp;ROW()+3)</f>
        <v>5626.8617254357168</v>
      </c>
      <c r="O35" s="10"/>
      <c r="P35" s="70">
        <f t="shared" ref="P35:P66" ca="1" si="19">M35-(N35+O35)</f>
        <v>-172.86172543571683</v>
      </c>
      <c r="Q35" s="70">
        <f ca="1">INDIRECT("'July"&amp;Members!$F$2&amp;"-COLLECTION'!K"&amp;ROW()-1)</f>
        <v>5470.93</v>
      </c>
      <c r="R35" s="70">
        <f ca="1">INDIRECT("'July"&amp;Members!$F$2&amp;"-EXPENSE'!R"&amp;ROW()+3)</f>
        <v>5462.2014021113737</v>
      </c>
      <c r="S35" s="11"/>
      <c r="T35" s="70">
        <f t="shared" ref="T35:T66" ca="1" si="20">Q35-(R35+S35)</f>
        <v>8.7285978886266093</v>
      </c>
      <c r="U35" s="70">
        <f ca="1">INDIRECT("'Aug"&amp;Members!$F$2&amp;"-COLLECTION'!K"&amp;ROW()-1)</f>
        <v>0</v>
      </c>
      <c r="V35" s="70">
        <f ca="1">INDIRECT("'Aug"&amp;Members!$F$2&amp;"-EXPENSE'!R"&amp;ROW()+3)</f>
        <v>0</v>
      </c>
      <c r="W35" s="10"/>
      <c r="X35" s="70">
        <f t="shared" ref="X35:X66" ca="1" si="21">U35-(V35+W35)</f>
        <v>0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20371.849999999999</v>
      </c>
      <c r="BB35" s="70">
        <f t="shared" ref="BB35:BB66" ca="1" si="30">SUM(F35,J35,N35,R35,V35,Z35,AD35,AH35,AL35,AP35,AT35,AX35)</f>
        <v>16559.993272738368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3811.856727261631</v>
      </c>
      <c r="BE35" s="70">
        <f t="shared" ref="BE35:BE66" ca="1" si="33">BD35+D35</f>
        <v>2826.881157102016</v>
      </c>
    </row>
    <row r="36" spans="1:57" ht="15.75" customHeight="1" x14ac:dyDescent="0.3">
      <c r="A36" s="52" t="s">
        <v>52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0</v>
      </c>
      <c r="G36" s="10"/>
      <c r="H36" s="72">
        <f t="shared" ca="1" si="17"/>
        <v>5635</v>
      </c>
      <c r="I36" s="72">
        <f ca="1">INDIRECT("'May"&amp;Members!$F$2&amp;"-COLLECTION'!K"&amp;ROW()-1)</f>
        <v>6948</v>
      </c>
      <c r="J36" s="72">
        <f ca="1">INDIRECT("'May"&amp;Members!$F$2&amp;"-EXPENSE'!R"&amp;ROW()+3)</f>
        <v>7993.9427592493503</v>
      </c>
      <c r="K36" s="11"/>
      <c r="L36" s="72">
        <f t="shared" ca="1" si="18"/>
        <v>-1045.9427592493503</v>
      </c>
      <c r="M36" s="72">
        <f ca="1">INDIRECT("'June"&amp;Members!$F$2&amp;"-COLLECTION'!K"&amp;ROW()-1)</f>
        <v>7522.88</v>
      </c>
      <c r="N36" s="72">
        <f ca="1">INDIRECT("'June"&amp;Members!$F$2&amp;"-EXPENSE'!R"&amp;ROW()+3)</f>
        <v>7101.7392374208121</v>
      </c>
      <c r="O36" s="10"/>
      <c r="P36" s="72">
        <f t="shared" ca="1" si="19"/>
        <v>421.14076257918805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5586.2522748163819</v>
      </c>
      <c r="S36" s="11"/>
      <c r="T36" s="72">
        <f t="shared" ca="1" si="20"/>
        <v>-5586.2522748163819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0</v>
      </c>
      <c r="W36" s="10"/>
      <c r="X36" s="72">
        <f t="shared" ca="1" si="21"/>
        <v>0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20105.88</v>
      </c>
      <c r="BB36" s="72">
        <f t="shared" ca="1" si="30"/>
        <v>20681.934271486545</v>
      </c>
      <c r="BC36" s="72">
        <f t="shared" si="31"/>
        <v>0</v>
      </c>
      <c r="BD36" s="72">
        <f t="shared" ca="1" si="32"/>
        <v>-576.05427148654417</v>
      </c>
      <c r="BE36" s="72">
        <f t="shared" ca="1" si="33"/>
        <v>-7331.6865592759277</v>
      </c>
    </row>
    <row r="37" spans="1:57" ht="15.75" customHeight="1" x14ac:dyDescent="0.3">
      <c r="A37" s="68" t="s">
        <v>53</v>
      </c>
      <c r="B37" s="69">
        <f>VLOOKUP(A37,Members!$A$2:$C$65,3,FALSE)</f>
        <v>0</v>
      </c>
      <c r="C37" s="68" t="str">
        <f>Members!B36</f>
        <v>Manikandan N</v>
      </c>
      <c r="D37" s="70">
        <v>-408.90026229088829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0</v>
      </c>
      <c r="G37" s="10"/>
      <c r="H37" s="70">
        <f t="shared" ca="1" si="17"/>
        <v>5092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6866.7021116890628</v>
      </c>
      <c r="K37" s="11"/>
      <c r="L37" s="70">
        <f t="shared" ca="1" si="18"/>
        <v>-6866.7021116890628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6471.3140171745854</v>
      </c>
      <c r="O37" s="10"/>
      <c r="P37" s="70">
        <f t="shared" ca="1" si="19"/>
        <v>-6471.3140171745854</v>
      </c>
      <c r="Q37" s="70">
        <f ca="1">INDIRECT("'July"&amp;Members!$F$2&amp;"-COLLECTION'!K"&amp;ROW()-1)</f>
        <v>13500</v>
      </c>
      <c r="R37" s="70">
        <f ca="1">INDIRECT("'July"&amp;Members!$F$2&amp;"-EXPENSE'!R"&amp;ROW()+3)</f>
        <v>7616.7702458993735</v>
      </c>
      <c r="S37" s="11"/>
      <c r="T37" s="70">
        <f t="shared" ca="1" si="20"/>
        <v>5883.2297541006265</v>
      </c>
      <c r="U37" s="70">
        <f ca="1">INDIRECT("'Aug"&amp;Members!$F$2&amp;"-COLLECTION'!K"&amp;ROW()-1)</f>
        <v>0</v>
      </c>
      <c r="V37" s="70">
        <f ca="1">INDIRECT("'Aug"&amp;Members!$F$2&amp;"-EXPENSE'!R"&amp;ROW()+3)</f>
        <v>0</v>
      </c>
      <c r="W37" s="10"/>
      <c r="X37" s="70">
        <f t="shared" ca="1" si="21"/>
        <v>0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18592</v>
      </c>
      <c r="BB37" s="70">
        <f t="shared" ca="1" si="30"/>
        <v>20954.786374763022</v>
      </c>
      <c r="BC37" s="70">
        <f t="shared" si="31"/>
        <v>0</v>
      </c>
      <c r="BD37" s="70">
        <f t="shared" ca="1" si="32"/>
        <v>-2362.7863747630217</v>
      </c>
      <c r="BE37" s="70">
        <f t="shared" ca="1" si="33"/>
        <v>-2771.6866370539101</v>
      </c>
    </row>
    <row r="38" spans="1:57" ht="15.75" customHeight="1" x14ac:dyDescent="0.3">
      <c r="A38" s="52" t="s">
        <v>54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-23595.748161596759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0</v>
      </c>
      <c r="G38" s="10"/>
      <c r="H38" s="72">
        <f t="shared" ca="1" si="17"/>
        <v>0</v>
      </c>
      <c r="I38" s="72">
        <f ca="1">INDIRECT("'May"&amp;Members!$F$2&amp;"-COLLECTION'!K"&amp;ROW()-1)</f>
        <v>11000</v>
      </c>
      <c r="J38" s="72">
        <f ca="1">INDIRECT("'May"&amp;Members!$F$2&amp;"-EXPENSE'!R"&amp;ROW()+3)</f>
        <v>5644.096100327296</v>
      </c>
      <c r="K38" s="11"/>
      <c r="L38" s="72">
        <f t="shared" ca="1" si="18"/>
        <v>5355.903899672704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6223.8144574869748</v>
      </c>
      <c r="O38" s="10"/>
      <c r="P38" s="72">
        <f t="shared" ca="1" si="19"/>
        <v>-6223.8144574869748</v>
      </c>
      <c r="Q38" s="72">
        <f ca="1">INDIRECT("'July"&amp;Members!$F$2&amp;"-COLLECTION'!K"&amp;ROW()-1)</f>
        <v>36000</v>
      </c>
      <c r="R38" s="72">
        <f ca="1">INDIRECT("'July"&amp;Members!$F$2&amp;"-EXPENSE'!R"&amp;ROW()+3)</f>
        <v>6911.3233648587047</v>
      </c>
      <c r="S38" s="11"/>
      <c r="T38" s="72">
        <f t="shared" ca="1" si="20"/>
        <v>29088.676635141295</v>
      </c>
      <c r="U38" s="72">
        <f ca="1">INDIRECT("'Aug"&amp;Members!$F$2&amp;"-COLLECTION'!K"&amp;ROW()-1)</f>
        <v>0</v>
      </c>
      <c r="V38" s="72">
        <f ca="1">INDIRECT("'Aug"&amp;Members!$F$2&amp;"-EXPENSE'!R"&amp;ROW()+3)</f>
        <v>0</v>
      </c>
      <c r="W38" s="10"/>
      <c r="X38" s="72">
        <f t="shared" ca="1" si="21"/>
        <v>0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47000</v>
      </c>
      <c r="BB38" s="72">
        <f t="shared" ca="1" si="30"/>
        <v>18779.233922672975</v>
      </c>
      <c r="BC38" s="72">
        <f t="shared" si="31"/>
        <v>0</v>
      </c>
      <c r="BD38" s="72">
        <f t="shared" ca="1" si="32"/>
        <v>28220.766077327025</v>
      </c>
      <c r="BE38" s="72">
        <f t="shared" ca="1" si="33"/>
        <v>4625.0179157302664</v>
      </c>
    </row>
    <row r="39" spans="1:57" ht="15.75" customHeight="1" x14ac:dyDescent="0.3">
      <c r="A39" s="68" t="s">
        <v>56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0</v>
      </c>
      <c r="G39" s="10"/>
      <c r="H39" s="70">
        <f t="shared" ca="1" si="17"/>
        <v>34349.740000000005</v>
      </c>
      <c r="I39" s="70">
        <f ca="1">INDIRECT("'May"&amp;Members!$F$2&amp;"-COLLECTION'!K"&amp;ROW()-1)</f>
        <v>4363.79</v>
      </c>
      <c r="J39" s="70">
        <f ca="1">INDIRECT("'May"&amp;Members!$F$2&amp;"-EXPENSE'!R"&amp;ROW()+3)</f>
        <v>5333.3134743844457</v>
      </c>
      <c r="K39" s="11"/>
      <c r="L39" s="70">
        <f t="shared" ca="1" si="18"/>
        <v>-969.52347438444576</v>
      </c>
      <c r="M39" s="70">
        <f ca="1">INDIRECT("'June"&amp;Members!$F$2&amp;"-COLLECTION'!K"&amp;ROW()-1)</f>
        <v>5522.63</v>
      </c>
      <c r="N39" s="70">
        <f ca="1">INDIRECT("'June"&amp;Members!$F$2&amp;"-EXPENSE'!R"&amp;ROW()+3)</f>
        <v>6272.1280170028385</v>
      </c>
      <c r="O39" s="10"/>
      <c r="P39" s="70">
        <f t="shared" ca="1" si="19"/>
        <v>-749.49801700283842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5831.2477423696073</v>
      </c>
      <c r="S39" s="11"/>
      <c r="T39" s="70">
        <f t="shared" ca="1" si="20"/>
        <v>-5831.2477423696073</v>
      </c>
      <c r="U39" s="70">
        <f ca="1">INDIRECT("'Aug"&amp;Members!$F$2&amp;"-COLLECTION'!K"&amp;ROW()-1)</f>
        <v>0</v>
      </c>
      <c r="V39" s="70">
        <f ca="1">INDIRECT("'Aug"&amp;Members!$F$2&amp;"-EXPENSE'!R"&amp;ROW()+3)</f>
        <v>0</v>
      </c>
      <c r="W39" s="10"/>
      <c r="X39" s="70">
        <f t="shared" ca="1" si="21"/>
        <v>0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44236.160000000003</v>
      </c>
      <c r="BB39" s="70">
        <f t="shared" ca="1" si="30"/>
        <v>17436.689233756893</v>
      </c>
      <c r="BC39" s="70">
        <f t="shared" si="31"/>
        <v>0</v>
      </c>
      <c r="BD39" s="70">
        <f t="shared" ca="1" si="32"/>
        <v>26799.47076624311</v>
      </c>
      <c r="BE39" s="70">
        <f t="shared" ca="1" si="33"/>
        <v>-7261.0584233476184</v>
      </c>
    </row>
    <row r="40" spans="1:57" ht="15.75" customHeight="1" x14ac:dyDescent="0.3">
      <c r="A40" s="52" t="s">
        <v>57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-40782.055087147593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0</v>
      </c>
      <c r="G40" s="10"/>
      <c r="H40" s="72">
        <f t="shared" ca="1" si="17"/>
        <v>40781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5509.1142111412137</v>
      </c>
      <c r="K40" s="11"/>
      <c r="L40" s="72">
        <f t="shared" ca="1" si="18"/>
        <v>-5509.1142111412137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6313.0210408582552</v>
      </c>
      <c r="O40" s="10"/>
      <c r="P40" s="72">
        <f t="shared" ca="1" si="19"/>
        <v>-6313.0210408582552</v>
      </c>
      <c r="Q40" s="72">
        <f ca="1">INDIRECT("'July"&amp;Members!$F$2&amp;"-COLLECTION'!K"&amp;ROW()-1)</f>
        <v>15506</v>
      </c>
      <c r="R40" s="72">
        <f ca="1">INDIRECT("'July"&amp;Members!$F$2&amp;"-EXPENSE'!R"&amp;ROW()+3)</f>
        <v>5489.9677458069937</v>
      </c>
      <c r="S40" s="11"/>
      <c r="T40" s="72">
        <f t="shared" ca="1" si="20"/>
        <v>10016.032254193007</v>
      </c>
      <c r="U40" s="72">
        <f ca="1">INDIRECT("'Aug"&amp;Members!$F$2&amp;"-COLLECTION'!K"&amp;ROW()-1)</f>
        <v>0</v>
      </c>
      <c r="V40" s="72">
        <f ca="1">INDIRECT("'Aug"&amp;Members!$F$2&amp;"-EXPENSE'!R"&amp;ROW()+3)</f>
        <v>0</v>
      </c>
      <c r="W40" s="10"/>
      <c r="X40" s="72">
        <f t="shared" ca="1" si="21"/>
        <v>0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56287</v>
      </c>
      <c r="BB40" s="72">
        <f t="shared" ca="1" si="30"/>
        <v>17312.102997806462</v>
      </c>
      <c r="BC40" s="72">
        <f t="shared" si="31"/>
        <v>0</v>
      </c>
      <c r="BD40" s="72">
        <f t="shared" ca="1" si="32"/>
        <v>38974.897002193538</v>
      </c>
      <c r="BE40" s="72">
        <f t="shared" ca="1" si="33"/>
        <v>-1807.1580849540551</v>
      </c>
    </row>
    <row r="41" spans="1:57" ht="15.75" customHeight="1" x14ac:dyDescent="0.3">
      <c r="A41" s="68" t="s">
        <v>58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0</v>
      </c>
      <c r="G41" s="10"/>
      <c r="H41" s="70">
        <f t="shared" ca="1" si="17"/>
        <v>4936</v>
      </c>
      <c r="I41" s="70">
        <f ca="1">INDIRECT("'May"&amp;Members!$F$2&amp;"-COLLECTION'!K"&amp;ROW()-1)</f>
        <v>5067.7</v>
      </c>
      <c r="J41" s="70">
        <f ca="1">INDIRECT("'May"&amp;Members!$F$2&amp;"-EXPENSE'!R"&amp;ROW()+3)</f>
        <v>5627.8415244823645</v>
      </c>
      <c r="K41" s="11"/>
      <c r="L41" s="70">
        <f t="shared" ca="1" si="18"/>
        <v>-560.14152448236473</v>
      </c>
      <c r="M41" s="70">
        <f ca="1">INDIRECT("'June"&amp;Members!$F$2&amp;"-COLLECTION'!K"&amp;ROW()-1)</f>
        <v>5596.3</v>
      </c>
      <c r="N41" s="70">
        <f ca="1">INDIRECT("'June"&amp;Members!$F$2&amp;"-EXPENSE'!R"&amp;ROW()+3)</f>
        <v>5613.1417422361837</v>
      </c>
      <c r="O41" s="10"/>
      <c r="P41" s="70">
        <f t="shared" ca="1" si="19"/>
        <v>-16.841742236183563</v>
      </c>
      <c r="Q41" s="70">
        <f ca="1">INDIRECT("'July"&amp;Members!$F$2&amp;"-COLLECTION'!K"&amp;ROW()-1)</f>
        <v>5941.27</v>
      </c>
      <c r="R41" s="70">
        <f ca="1">INDIRECT("'July"&amp;Members!$F$2&amp;"-EXPENSE'!R"&amp;ROW()+3)</f>
        <v>5835.4654148297013</v>
      </c>
      <c r="S41" s="11"/>
      <c r="T41" s="70">
        <f t="shared" ca="1" si="20"/>
        <v>105.80458517029911</v>
      </c>
      <c r="U41" s="70">
        <f ca="1">INDIRECT("'Aug"&amp;Members!$F$2&amp;"-COLLECTION'!K"&amp;ROW()-1)</f>
        <v>0</v>
      </c>
      <c r="V41" s="70">
        <f ca="1">INDIRECT("'Aug"&amp;Members!$F$2&amp;"-EXPENSE'!R"&amp;ROW()+3)</f>
        <v>0</v>
      </c>
      <c r="W41" s="10"/>
      <c r="X41" s="70">
        <f t="shared" ca="1" si="21"/>
        <v>0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21541.27</v>
      </c>
      <c r="BB41" s="70">
        <f t="shared" ca="1" si="30"/>
        <v>17076.448681548249</v>
      </c>
      <c r="BC41" s="70">
        <f t="shared" si="31"/>
        <v>0</v>
      </c>
      <c r="BD41" s="70">
        <f t="shared" ca="1" si="32"/>
        <v>4464.8213184517517</v>
      </c>
      <c r="BE41" s="70">
        <f t="shared" ca="1" si="33"/>
        <v>3811.447896749778</v>
      </c>
    </row>
    <row r="42" spans="1:57" ht="15.75" customHeight="1" x14ac:dyDescent="0.3">
      <c r="A42" s="52" t="s">
        <v>59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0</v>
      </c>
      <c r="G42" s="10"/>
      <c r="H42" s="72">
        <f t="shared" ca="1" si="17"/>
        <v>2028.67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6153.4196551690738</v>
      </c>
      <c r="K42" s="11"/>
      <c r="L42" s="72">
        <f t="shared" ca="1" si="18"/>
        <v>-6153.4196551690738</v>
      </c>
      <c r="M42" s="72">
        <f ca="1">INDIRECT("'June"&amp;Members!$F$2&amp;"-COLLECTION'!K"&amp;ROW()-1)</f>
        <v>12721.85</v>
      </c>
      <c r="N42" s="72">
        <f ca="1">INDIRECT("'June"&amp;Members!$F$2&amp;"-EXPENSE'!R"&amp;ROW()+3)</f>
        <v>6457.9617194058465</v>
      </c>
      <c r="O42" s="10"/>
      <c r="P42" s="72">
        <f t="shared" ca="1" si="19"/>
        <v>6263.8882805941539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6432.4418042855204</v>
      </c>
      <c r="S42" s="11"/>
      <c r="T42" s="72">
        <f t="shared" ca="1" si="20"/>
        <v>-6432.4418042855204</v>
      </c>
      <c r="U42" s="72">
        <f ca="1">INDIRECT("'Aug"&amp;Members!$F$2&amp;"-COLLECTION'!K"&amp;ROW()-1)</f>
        <v>0</v>
      </c>
      <c r="V42" s="72">
        <f ca="1">INDIRECT("'Aug"&amp;Members!$F$2&amp;"-EXPENSE'!R"&amp;ROW()+3)</f>
        <v>0</v>
      </c>
      <c r="W42" s="10"/>
      <c r="X42" s="72">
        <f t="shared" ca="1" si="21"/>
        <v>0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14750.52</v>
      </c>
      <c r="BB42" s="72">
        <f t="shared" ca="1" si="30"/>
        <v>19043.823178860443</v>
      </c>
      <c r="BC42" s="72">
        <f t="shared" si="31"/>
        <v>0</v>
      </c>
      <c r="BD42" s="72">
        <f t="shared" ca="1" si="32"/>
        <v>-4293.3031788604421</v>
      </c>
      <c r="BE42" s="72">
        <f t="shared" ca="1" si="33"/>
        <v>-7321.9776166012452</v>
      </c>
    </row>
    <row r="43" spans="1:57" ht="15.75" customHeight="1" x14ac:dyDescent="0.3">
      <c r="A43" s="68" t="s">
        <v>60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0</v>
      </c>
      <c r="G43" s="10"/>
      <c r="H43" s="70">
        <f t="shared" ca="1" si="17"/>
        <v>0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5485.103699971819</v>
      </c>
      <c r="K43" s="11"/>
      <c r="L43" s="70">
        <f t="shared" ca="1" si="18"/>
        <v>-5485.103699971819</v>
      </c>
      <c r="M43" s="70">
        <f ca="1">INDIRECT("'June"&amp;Members!$F$2&amp;"-COLLECTION'!K"&amp;ROW()-1)</f>
        <v>5486.89</v>
      </c>
      <c r="N43" s="70">
        <f ca="1">INDIRECT("'June"&amp;Members!$F$2&amp;"-EXPENSE'!R"&amp;ROW()+3)</f>
        <v>6551.4345210222673</v>
      </c>
      <c r="O43" s="10"/>
      <c r="P43" s="70">
        <f t="shared" ca="1" si="19"/>
        <v>-1064.544521022267</v>
      </c>
      <c r="Q43" s="70">
        <f ca="1">INDIRECT("'July"&amp;Members!$F$2&amp;"-COLLECTION'!K"&amp;ROW()-1)</f>
        <v>7663.64</v>
      </c>
      <c r="R43" s="70">
        <f ca="1">INDIRECT("'July"&amp;Members!$F$2&amp;"-EXPENSE'!R"&amp;ROW()+3)</f>
        <v>5594.5118833840661</v>
      </c>
      <c r="S43" s="11"/>
      <c r="T43" s="70">
        <f t="shared" ca="1" si="20"/>
        <v>2069.1281166159342</v>
      </c>
      <c r="U43" s="70">
        <f ca="1">INDIRECT("'Aug"&amp;Members!$F$2&amp;"-COLLECTION'!K"&amp;ROW()-1)</f>
        <v>0</v>
      </c>
      <c r="V43" s="70">
        <f ca="1">INDIRECT("'Aug"&amp;Members!$F$2&amp;"-EXPENSE'!R"&amp;ROW()+3)</f>
        <v>0</v>
      </c>
      <c r="W43" s="10"/>
      <c r="X43" s="70">
        <f t="shared" ca="1" si="21"/>
        <v>0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13150.53</v>
      </c>
      <c r="BB43" s="70">
        <f t="shared" ca="1" si="30"/>
        <v>17631.050104378155</v>
      </c>
      <c r="BC43" s="70">
        <f t="shared" si="31"/>
        <v>0</v>
      </c>
      <c r="BD43" s="70">
        <f t="shared" ca="1" si="32"/>
        <v>-4480.5201043781544</v>
      </c>
      <c r="BE43" s="70">
        <f t="shared" ca="1" si="33"/>
        <v>1431.6947189661023</v>
      </c>
    </row>
    <row r="44" spans="1:57" ht="15.75" customHeight="1" x14ac:dyDescent="0.3">
      <c r="A44" s="52" t="s">
        <v>61</v>
      </c>
      <c r="B44" s="71">
        <f>VLOOKUP(A44,Members!$A$2:$C$65,3,FALSE)</f>
        <v>0</v>
      </c>
      <c r="C44" s="52" t="str">
        <f>Members!B43</f>
        <v>Mayfy</v>
      </c>
      <c r="D44" s="72">
        <v>-61862.504287912663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0</v>
      </c>
      <c r="G44" s="10">
        <v>1000</v>
      </c>
      <c r="H44" s="72">
        <f t="shared" ca="1" si="17"/>
        <v>-1000</v>
      </c>
      <c r="I44" s="72">
        <f ca="1">INDIRECT("'May"&amp;Members!$F$2&amp;"-COLLECTION'!K"&amp;ROW()-1)</f>
        <v>8000</v>
      </c>
      <c r="J44" s="72">
        <f ca="1">INDIRECT("'May"&amp;Members!$F$2&amp;"-EXPENSE'!R"&amp;ROW()+3)</f>
        <v>5368.4574076950557</v>
      </c>
      <c r="K44" s="11"/>
      <c r="L44" s="72">
        <f t="shared" ca="1" si="18"/>
        <v>2631.5425923049443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5469.4289221072277</v>
      </c>
      <c r="O44" s="10"/>
      <c r="P44" s="72">
        <f t="shared" ca="1" si="19"/>
        <v>-5469.4289221072277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5466.2433382189638</v>
      </c>
      <c r="S44" s="11"/>
      <c r="T44" s="72">
        <f t="shared" ca="1" si="20"/>
        <v>-5466.2433382189638</v>
      </c>
      <c r="U44" s="72">
        <f ca="1">INDIRECT("'Aug"&amp;Members!$F$2&amp;"-COLLECTION'!K"&amp;ROW()-1)</f>
        <v>0</v>
      </c>
      <c r="V44" s="72">
        <f ca="1">INDIRECT("'Aug"&amp;Members!$F$2&amp;"-EXPENSE'!R"&amp;ROW()+3)</f>
        <v>0</v>
      </c>
      <c r="W44" s="10"/>
      <c r="X44" s="72">
        <f t="shared" ca="1" si="21"/>
        <v>0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8000</v>
      </c>
      <c r="BB44" s="72">
        <f t="shared" ca="1" si="30"/>
        <v>16304.129668021247</v>
      </c>
      <c r="BC44" s="72">
        <f t="shared" si="31"/>
        <v>1000</v>
      </c>
      <c r="BD44" s="72">
        <f t="shared" ca="1" si="32"/>
        <v>-9304.1296680212472</v>
      </c>
      <c r="BE44" s="72">
        <f t="shared" ca="1" si="33"/>
        <v>-71166.63395593391</v>
      </c>
    </row>
    <row r="45" spans="1:57" ht="15.75" customHeight="1" x14ac:dyDescent="0.3">
      <c r="A45" s="68" t="s">
        <v>62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0</v>
      </c>
      <c r="G45" s="10"/>
      <c r="H45" s="70">
        <f t="shared" ca="1" si="17"/>
        <v>5150</v>
      </c>
      <c r="I45" s="70">
        <f ca="1">INDIRECT("'May"&amp;Members!$F$2&amp;"-COLLECTION'!K"&amp;ROW()-1)</f>
        <v>4992</v>
      </c>
      <c r="J45" s="70">
        <f ca="1">INDIRECT("'May"&amp;Members!$F$2&amp;"-EXPENSE'!R"&amp;ROW()+3)</f>
        <v>5828.6929541871814</v>
      </c>
      <c r="K45" s="11"/>
      <c r="L45" s="70">
        <f t="shared" ca="1" si="18"/>
        <v>-836.69295418718139</v>
      </c>
      <c r="M45" s="70">
        <f ca="1">INDIRECT("'June"&amp;Members!$F$2&amp;"-COLLECTION'!K"&amp;ROW()-1)</f>
        <v>5779</v>
      </c>
      <c r="N45" s="70">
        <f ca="1">INDIRECT("'June"&amp;Members!$F$2&amp;"-EXPENSE'!R"&amp;ROW()+3)</f>
        <v>5955.9811667785898</v>
      </c>
      <c r="O45" s="10"/>
      <c r="P45" s="70">
        <f t="shared" ca="1" si="19"/>
        <v>-176.9811667785898</v>
      </c>
      <c r="Q45" s="70">
        <f ca="1">INDIRECT("'July"&amp;Members!$F$2&amp;"-COLLECTION'!K"&amp;ROW()-1)</f>
        <v>5734</v>
      </c>
      <c r="R45" s="70">
        <f ca="1">INDIRECT("'July"&amp;Members!$F$2&amp;"-EXPENSE'!R"&amp;ROW()+3)</f>
        <v>5969.7279881426975</v>
      </c>
      <c r="S45" s="11"/>
      <c r="T45" s="70">
        <f t="shared" ca="1" si="20"/>
        <v>-235.72798814269754</v>
      </c>
      <c r="U45" s="70">
        <f ca="1">INDIRECT("'Aug"&amp;Members!$F$2&amp;"-COLLECTION'!K"&amp;ROW()-1)</f>
        <v>0</v>
      </c>
      <c r="V45" s="70">
        <f ca="1">INDIRECT("'Aug"&amp;Members!$F$2&amp;"-EXPENSE'!R"&amp;ROW()+3)</f>
        <v>0</v>
      </c>
      <c r="W45" s="10"/>
      <c r="X45" s="70">
        <f t="shared" ca="1" si="21"/>
        <v>0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21655</v>
      </c>
      <c r="BB45" s="70">
        <f t="shared" ca="1" si="30"/>
        <v>17754.402109108469</v>
      </c>
      <c r="BC45" s="70">
        <f t="shared" si="31"/>
        <v>0</v>
      </c>
      <c r="BD45" s="70">
        <f t="shared" ca="1" si="32"/>
        <v>3900.5978908915313</v>
      </c>
      <c r="BE45" s="70">
        <f t="shared" ca="1" si="33"/>
        <v>-1417.5717322939854</v>
      </c>
    </row>
    <row r="46" spans="1:57" ht="15.75" customHeight="1" x14ac:dyDescent="0.3">
      <c r="A46" s="52" t="s">
        <v>63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-11301.558049287751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0</v>
      </c>
      <c r="G46" s="10"/>
      <c r="H46" s="72">
        <f t="shared" ca="1" si="17"/>
        <v>0</v>
      </c>
      <c r="I46" s="72">
        <f ca="1">INDIRECT("'May"&amp;Members!$F$2&amp;"-COLLECTION'!K"&amp;ROW()-1)</f>
        <v>16123.22</v>
      </c>
      <c r="J46" s="72">
        <f ca="1">INDIRECT("'May"&amp;Members!$F$2&amp;"-EXPENSE'!R"&amp;ROW()+3)</f>
        <v>5957.999929113188</v>
      </c>
      <c r="K46" s="11"/>
      <c r="L46" s="72">
        <f t="shared" ca="1" si="18"/>
        <v>10165.220070886811</v>
      </c>
      <c r="M46" s="72">
        <f ca="1">INDIRECT("'June"&amp;Members!$F$2&amp;"-COLLECTION'!K"&amp;ROW()-1)</f>
        <v>5403.25</v>
      </c>
      <c r="N46" s="72">
        <f ca="1">INDIRECT("'June"&amp;Members!$F$2&amp;"-EXPENSE'!R"&amp;ROW()+3)</f>
        <v>6511.6671789339771</v>
      </c>
      <c r="O46" s="10"/>
      <c r="P46" s="72">
        <f t="shared" ca="1" si="19"/>
        <v>-1108.4171789339771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6476.0244197064931</v>
      </c>
      <c r="S46" s="11"/>
      <c r="T46" s="72">
        <f t="shared" ca="1" si="20"/>
        <v>-6476.0244197064931</v>
      </c>
      <c r="U46" s="72">
        <f ca="1">INDIRECT("'Aug"&amp;Members!$F$2&amp;"-COLLECTION'!K"&amp;ROW()-1)</f>
        <v>0</v>
      </c>
      <c r="V46" s="72">
        <f ca="1">INDIRECT("'Aug"&amp;Members!$F$2&amp;"-EXPENSE'!R"&amp;ROW()+3)</f>
        <v>0</v>
      </c>
      <c r="W46" s="10"/>
      <c r="X46" s="72">
        <f t="shared" ca="1" si="21"/>
        <v>0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21526.47</v>
      </c>
      <c r="BB46" s="72">
        <f t="shared" ca="1" si="30"/>
        <v>18945.691527753657</v>
      </c>
      <c r="BC46" s="72">
        <f t="shared" si="31"/>
        <v>0</v>
      </c>
      <c r="BD46" s="72">
        <f t="shared" ca="1" si="32"/>
        <v>2580.7784722463439</v>
      </c>
      <c r="BE46" s="72">
        <f t="shared" ca="1" si="33"/>
        <v>-8720.7795770414068</v>
      </c>
    </row>
    <row r="47" spans="1:57" ht="15.75" customHeight="1" x14ac:dyDescent="0.3">
      <c r="A47" s="68" t="s">
        <v>64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0</v>
      </c>
      <c r="G47" s="10"/>
      <c r="H47" s="70">
        <f t="shared" ca="1" si="17"/>
        <v>4739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5391.5486848842884</v>
      </c>
      <c r="K47" s="11"/>
      <c r="L47" s="70">
        <f t="shared" ca="1" si="18"/>
        <v>-5391.5486848842884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5545.5621546722723</v>
      </c>
      <c r="O47" s="10"/>
      <c r="P47" s="70">
        <f t="shared" ca="1" si="19"/>
        <v>-5545.5621546722723</v>
      </c>
      <c r="Q47" s="70">
        <f ca="1">INDIRECT("'July"&amp;Members!$F$2&amp;"-COLLECTION'!K"&amp;ROW()-1)</f>
        <v>10939.29</v>
      </c>
      <c r="R47" s="70">
        <f ca="1">INDIRECT("'July"&amp;Members!$F$2&amp;"-EXPENSE'!R"&amp;ROW()+3)</f>
        <v>6749.8628189975316</v>
      </c>
      <c r="S47" s="11"/>
      <c r="T47" s="70">
        <f t="shared" ca="1" si="20"/>
        <v>4189.4271810024693</v>
      </c>
      <c r="U47" s="70">
        <f ca="1">INDIRECT("'Aug"&amp;Members!$F$2&amp;"-COLLECTION'!K"&amp;ROW()-1)</f>
        <v>0</v>
      </c>
      <c r="V47" s="70">
        <f ca="1">INDIRECT("'Aug"&amp;Members!$F$2&amp;"-EXPENSE'!R"&amp;ROW()+3)</f>
        <v>0</v>
      </c>
      <c r="W47" s="10"/>
      <c r="X47" s="70">
        <f t="shared" ca="1" si="21"/>
        <v>0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15678.29</v>
      </c>
      <c r="BB47" s="70">
        <f t="shared" ca="1" si="30"/>
        <v>17686.973658554092</v>
      </c>
      <c r="BC47" s="70">
        <f t="shared" si="31"/>
        <v>0</v>
      </c>
      <c r="BD47" s="70">
        <f t="shared" ca="1" si="32"/>
        <v>-2008.6836585540914</v>
      </c>
      <c r="BE47" s="70">
        <f t="shared" ca="1" si="33"/>
        <v>-2724.1672565077861</v>
      </c>
    </row>
    <row r="48" spans="1:57" ht="15.75" customHeight="1" x14ac:dyDescent="0.3">
      <c r="A48" s="52" t="s">
        <v>65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-2900.486315241797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0</v>
      </c>
      <c r="G48" s="10"/>
      <c r="H48" s="72">
        <f t="shared" ca="1" si="17"/>
        <v>0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6098.4403261804109</v>
      </c>
      <c r="K48" s="11"/>
      <c r="L48" s="72">
        <f t="shared" ca="1" si="18"/>
        <v>-6098.4403261804109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7409.6007853510073</v>
      </c>
      <c r="O48" s="10"/>
      <c r="P48" s="72">
        <f t="shared" ca="1" si="19"/>
        <v>-7409.6007853510073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7205.0199719826869</v>
      </c>
      <c r="S48" s="11"/>
      <c r="T48" s="72">
        <f t="shared" ca="1" si="20"/>
        <v>-7205.0199719826869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0</v>
      </c>
      <c r="W48" s="10"/>
      <c r="X48" s="72">
        <f t="shared" ca="1" si="21"/>
        <v>0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20713.061083514105</v>
      </c>
      <c r="BC48" s="72">
        <f t="shared" si="31"/>
        <v>0</v>
      </c>
      <c r="BD48" s="72">
        <f t="shared" ca="1" si="32"/>
        <v>-20713.061083514105</v>
      </c>
      <c r="BE48" s="72">
        <f t="shared" ca="1" si="33"/>
        <v>-23613.547398755902</v>
      </c>
    </row>
    <row r="49" spans="1:57" ht="15.75" customHeight="1" x14ac:dyDescent="0.3">
      <c r="A49" s="68" t="s">
        <v>66</v>
      </c>
      <c r="B49" s="69">
        <f>VLOOKUP(A49,Members!$A$2:$C$65,3,FALSE)</f>
        <v>0</v>
      </c>
      <c r="C49" s="68" t="str">
        <f>Members!B48</f>
        <v>Manas Dasgupta</v>
      </c>
      <c r="D49" s="70">
        <v>-22738.054557790569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0</v>
      </c>
      <c r="G49" s="10"/>
      <c r="H49" s="70">
        <f t="shared" ca="1" si="17"/>
        <v>16641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6686.4019786260924</v>
      </c>
      <c r="K49" s="11"/>
      <c r="L49" s="70">
        <f t="shared" ca="1" si="18"/>
        <v>-6686.4019786260924</v>
      </c>
      <c r="M49" s="70">
        <f ca="1">INDIRECT("'June"&amp;Members!$F$2&amp;"-COLLECTION'!K"&amp;ROW()-1)</f>
        <v>19134</v>
      </c>
      <c r="N49" s="70">
        <f ca="1">INDIRECT("'June"&amp;Members!$F$2&amp;"-EXPENSE'!R"&amp;ROW()+3)</f>
        <v>7151.1738850580386</v>
      </c>
      <c r="O49" s="10"/>
      <c r="P49" s="70">
        <f t="shared" ca="1" si="19"/>
        <v>11982.826114941961</v>
      </c>
      <c r="Q49" s="70">
        <f ca="1">INDIRECT("'July"&amp;Members!$F$2&amp;"-COLLECTION'!K"&amp;ROW()-1)</f>
        <v>7526</v>
      </c>
      <c r="R49" s="70">
        <f ca="1">INDIRECT("'July"&amp;Members!$F$2&amp;"-EXPENSE'!R"&amp;ROW()+3)</f>
        <v>5991.3245673379188</v>
      </c>
      <c r="S49" s="11"/>
      <c r="T49" s="70">
        <f t="shared" ca="1" si="20"/>
        <v>1534.6754326620812</v>
      </c>
      <c r="U49" s="70">
        <f ca="1">INDIRECT("'Aug"&amp;Members!$F$2&amp;"-COLLECTION'!K"&amp;ROW()-1)</f>
        <v>0</v>
      </c>
      <c r="V49" s="70">
        <f ca="1">INDIRECT("'Aug"&amp;Members!$F$2&amp;"-EXPENSE'!R"&amp;ROW()+3)</f>
        <v>0</v>
      </c>
      <c r="W49" s="10"/>
      <c r="X49" s="70">
        <f t="shared" ca="1" si="21"/>
        <v>0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43301</v>
      </c>
      <c r="BB49" s="70">
        <f t="shared" ca="1" si="30"/>
        <v>19828.900431022048</v>
      </c>
      <c r="BC49" s="70">
        <f t="shared" si="31"/>
        <v>0</v>
      </c>
      <c r="BD49" s="70">
        <f t="shared" ca="1" si="32"/>
        <v>23472.099568977952</v>
      </c>
      <c r="BE49" s="70">
        <f t="shared" ca="1" si="33"/>
        <v>734.04501118738335</v>
      </c>
    </row>
    <row r="50" spans="1:57" ht="15.75" customHeight="1" x14ac:dyDescent="0.3">
      <c r="A50" s="52" t="s">
        <v>67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0</v>
      </c>
      <c r="G50" s="10"/>
      <c r="H50" s="72">
        <f t="shared" ca="1" si="17"/>
        <v>4839</v>
      </c>
      <c r="I50" s="72">
        <f ca="1">INDIRECT("'May"&amp;Members!$F$2&amp;"-COLLECTION'!K"&amp;ROW()-1)</f>
        <v>4839</v>
      </c>
      <c r="J50" s="72">
        <f ca="1">INDIRECT("'May"&amp;Members!$F$2&amp;"-EXPENSE'!R"&amp;ROW()+3)</f>
        <v>5505.547122177737</v>
      </c>
      <c r="K50" s="11"/>
      <c r="L50" s="72">
        <f t="shared" ca="1" si="18"/>
        <v>-666.54712217773704</v>
      </c>
      <c r="M50" s="72">
        <f ca="1">INDIRECT("'June"&amp;Members!$F$2&amp;"-COLLECTION'!K"&amp;ROW()-1)</f>
        <v>4442</v>
      </c>
      <c r="N50" s="72">
        <f ca="1">INDIRECT("'June"&amp;Members!$F$2&amp;"-EXPENSE'!R"&amp;ROW()+3)</f>
        <v>5883.1104388900221</v>
      </c>
      <c r="O50" s="10"/>
      <c r="P50" s="72">
        <f t="shared" ca="1" si="19"/>
        <v>-1441.1104388900221</v>
      </c>
      <c r="Q50" s="72">
        <f ca="1">INDIRECT("'July"&amp;Members!$F$2&amp;"-COLLECTION'!K"&amp;ROW()-1)</f>
        <v>3062</v>
      </c>
      <c r="R50" s="72">
        <f ca="1">INDIRECT("'July"&amp;Members!$F$2&amp;"-EXPENSE'!R"&amp;ROW()+3)</f>
        <v>5615.7949741998009</v>
      </c>
      <c r="S50" s="11"/>
      <c r="T50" s="72">
        <f t="shared" ca="1" si="20"/>
        <v>-2553.7949741998009</v>
      </c>
      <c r="U50" s="72">
        <f ca="1">INDIRECT("'Aug"&amp;Members!$F$2&amp;"-COLLECTION'!K"&amp;ROW()-1)</f>
        <v>0</v>
      </c>
      <c r="V50" s="72">
        <f ca="1">INDIRECT("'Aug"&amp;Members!$F$2&amp;"-EXPENSE'!R"&amp;ROW()+3)</f>
        <v>0</v>
      </c>
      <c r="W50" s="10"/>
      <c r="X50" s="72">
        <f t="shared" ca="1" si="21"/>
        <v>0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17182</v>
      </c>
      <c r="BB50" s="72">
        <f t="shared" ca="1" si="30"/>
        <v>17004.452535267559</v>
      </c>
      <c r="BC50" s="72">
        <f t="shared" si="31"/>
        <v>0</v>
      </c>
      <c r="BD50" s="72">
        <f t="shared" ca="1" si="32"/>
        <v>177.54746473244086</v>
      </c>
      <c r="BE50" s="72">
        <f t="shared" ca="1" si="33"/>
        <v>5360.3281362176022</v>
      </c>
    </row>
    <row r="51" spans="1:57" ht="15.75" customHeight="1" x14ac:dyDescent="0.3">
      <c r="A51" s="68" t="s">
        <v>68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0</v>
      </c>
      <c r="G51" s="10"/>
      <c r="H51" s="70">
        <f t="shared" ca="1" si="17"/>
        <v>5879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6445.3939938499598</v>
      </c>
      <c r="K51" s="11"/>
      <c r="L51" s="70">
        <f t="shared" ca="1" si="18"/>
        <v>-6445.3939938499598</v>
      </c>
      <c r="M51" s="70">
        <f ca="1">INDIRECT("'June"&amp;Members!$F$2&amp;"-COLLECTION'!K"&amp;ROW()-1)</f>
        <v>9000</v>
      </c>
      <c r="N51" s="70">
        <f ca="1">INDIRECT("'June"&amp;Members!$F$2&amp;"-EXPENSE'!R"&amp;ROW()+3)</f>
        <v>6813.7737350668758</v>
      </c>
      <c r="O51" s="10"/>
      <c r="P51" s="70">
        <f t="shared" ca="1" si="19"/>
        <v>2186.2262649331242</v>
      </c>
      <c r="Q51" s="70">
        <f ca="1">INDIRECT("'July"&amp;Members!$F$2&amp;"-COLLECTION'!K"&amp;ROW()-1)</f>
        <v>7640</v>
      </c>
      <c r="R51" s="70">
        <f ca="1">INDIRECT("'July"&amp;Members!$F$2&amp;"-EXPENSE'!R"&amp;ROW()+3)</f>
        <v>7021.3343215261593</v>
      </c>
      <c r="S51" s="11"/>
      <c r="T51" s="70">
        <f t="shared" ca="1" si="20"/>
        <v>618.66567847384067</v>
      </c>
      <c r="U51" s="70">
        <f ca="1">INDIRECT("'Aug"&amp;Members!$F$2&amp;"-COLLECTION'!K"&amp;ROW()-1)</f>
        <v>0</v>
      </c>
      <c r="V51" s="70">
        <f ca="1">INDIRECT("'Aug"&amp;Members!$F$2&amp;"-EXPENSE'!R"&amp;ROW()+3)</f>
        <v>0</v>
      </c>
      <c r="W51" s="10"/>
      <c r="X51" s="70">
        <f t="shared" ca="1" si="21"/>
        <v>0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22519</v>
      </c>
      <c r="BB51" s="70">
        <f t="shared" ca="1" si="30"/>
        <v>20280.502050442996</v>
      </c>
      <c r="BC51" s="70">
        <f t="shared" si="31"/>
        <v>0</v>
      </c>
      <c r="BD51" s="70">
        <f t="shared" ca="1" si="32"/>
        <v>2238.4979495570042</v>
      </c>
      <c r="BE51" s="70">
        <f t="shared" ca="1" si="33"/>
        <v>304.22021962135113</v>
      </c>
    </row>
    <row r="52" spans="1:57" ht="15.75" customHeight="1" x14ac:dyDescent="0.3">
      <c r="A52" s="52" t="s">
        <v>69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0</v>
      </c>
      <c r="G52" s="10"/>
      <c r="H52" s="72">
        <f t="shared" ca="1" si="17"/>
        <v>39847.339999999997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6568.3232269146638</v>
      </c>
      <c r="K52" s="11"/>
      <c r="L52" s="72">
        <f t="shared" ca="1" si="18"/>
        <v>-6568.3232269146638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6879.6036339451111</v>
      </c>
      <c r="O52" s="10"/>
      <c r="P52" s="72">
        <f t="shared" ca="1" si="19"/>
        <v>-6879.6036339451111</v>
      </c>
      <c r="Q52" s="72">
        <f ca="1">INDIRECT("'July"&amp;Members!$F$2&amp;"-COLLECTION'!K"&amp;ROW()-1)</f>
        <v>19898.43</v>
      </c>
      <c r="R52" s="72">
        <f ca="1">INDIRECT("'July"&amp;Members!$F$2&amp;"-EXPENSE'!R"&amp;ROW()+3)</f>
        <v>7101.802578810195</v>
      </c>
      <c r="S52" s="11"/>
      <c r="T52" s="72">
        <f t="shared" ca="1" si="20"/>
        <v>12796.627421189805</v>
      </c>
      <c r="U52" s="72">
        <f ca="1">INDIRECT("'Aug"&amp;Members!$F$2&amp;"-COLLECTION'!K"&amp;ROW()-1)</f>
        <v>0</v>
      </c>
      <c r="V52" s="72">
        <f ca="1">INDIRECT("'Aug"&amp;Members!$F$2&amp;"-EXPENSE'!R"&amp;ROW()+3)</f>
        <v>0</v>
      </c>
      <c r="W52" s="10"/>
      <c r="X52" s="72">
        <f t="shared" ca="1" si="21"/>
        <v>0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59745.77</v>
      </c>
      <c r="BB52" s="72">
        <f t="shared" ca="1" si="30"/>
        <v>20549.729439669969</v>
      </c>
      <c r="BC52" s="72">
        <f t="shared" si="31"/>
        <v>0</v>
      </c>
      <c r="BD52" s="72">
        <f t="shared" ca="1" si="32"/>
        <v>39196.040560330031</v>
      </c>
      <c r="BE52" s="72">
        <f t="shared" ca="1" si="33"/>
        <v>-651.29724752236507</v>
      </c>
    </row>
    <row r="53" spans="1:57" ht="15.75" customHeight="1" x14ac:dyDescent="0.3">
      <c r="A53" s="68" t="s">
        <v>70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4061.8841708605319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0</v>
      </c>
      <c r="G53" s="10"/>
      <c r="H53" s="70">
        <f t="shared" ca="1" si="17"/>
        <v>5431</v>
      </c>
      <c r="I53" s="70">
        <f ca="1">INDIRECT("'May"&amp;Members!$F$2&amp;"-COLLECTION'!K"&amp;ROW()-1)</f>
        <v>1511</v>
      </c>
      <c r="J53" s="70">
        <f ca="1">INDIRECT("'May"&amp;Members!$F$2&amp;"-EXPENSE'!R"&amp;ROW()+3)</f>
        <v>6028.2740648647623</v>
      </c>
      <c r="K53" s="11"/>
      <c r="L53" s="70">
        <f t="shared" ca="1" si="18"/>
        <v>-4517.2740648647623</v>
      </c>
      <c r="M53" s="70">
        <f ca="1">INDIRECT("'June"&amp;Members!$F$2&amp;"-COLLECTION'!K"&amp;ROW()-1)</f>
        <v>5972</v>
      </c>
      <c r="N53" s="70">
        <f ca="1">INDIRECT("'June"&amp;Members!$F$2&amp;"-EXPENSE'!R"&amp;ROW()+3)</f>
        <v>6404.9028922710113</v>
      </c>
      <c r="O53" s="10"/>
      <c r="P53" s="70">
        <f t="shared" ca="1" si="19"/>
        <v>-432.9028922710113</v>
      </c>
      <c r="Q53" s="70">
        <f ca="1">INDIRECT("'July"&amp;Members!$F$2&amp;"-COLLECTION'!K"&amp;ROW()-1)</f>
        <v>6472</v>
      </c>
      <c r="R53" s="70">
        <f ca="1">INDIRECT("'July"&amp;Members!$F$2&amp;"-EXPENSE'!R"&amp;ROW()+3)</f>
        <v>6509.2195981669738</v>
      </c>
      <c r="S53" s="11"/>
      <c r="T53" s="70">
        <f t="shared" ca="1" si="20"/>
        <v>-37.21959816697381</v>
      </c>
      <c r="U53" s="70">
        <f ca="1">INDIRECT("'Aug"&amp;Members!$F$2&amp;"-COLLECTION'!K"&amp;ROW()-1)</f>
        <v>0</v>
      </c>
      <c r="V53" s="70">
        <f ca="1">INDIRECT("'Aug"&amp;Members!$F$2&amp;"-EXPENSE'!R"&amp;ROW()+3)</f>
        <v>0</v>
      </c>
      <c r="W53" s="10"/>
      <c r="X53" s="70">
        <f t="shared" ca="1" si="21"/>
        <v>0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19386</v>
      </c>
      <c r="BB53" s="70">
        <f t="shared" ca="1" si="30"/>
        <v>18942.396555302745</v>
      </c>
      <c r="BC53" s="70">
        <f t="shared" si="31"/>
        <v>0</v>
      </c>
      <c r="BD53" s="70">
        <f t="shared" ca="1" si="32"/>
        <v>443.60344469725533</v>
      </c>
      <c r="BE53" s="70">
        <f t="shared" ca="1" si="33"/>
        <v>4505.4876155577876</v>
      </c>
    </row>
    <row r="54" spans="1:57" ht="15.75" customHeight="1" x14ac:dyDescent="0.3">
      <c r="A54" s="52" t="s">
        <v>71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-36051.195877806917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0</v>
      </c>
      <c r="G54" s="10"/>
      <c r="H54" s="72">
        <f t="shared" ca="1" si="17"/>
        <v>30484.97</v>
      </c>
      <c r="I54" s="72">
        <f ca="1">INDIRECT("'May"&amp;Members!$F$2&amp;"-COLLECTION'!K"&amp;ROW()-1)</f>
        <v>10300</v>
      </c>
      <c r="J54" s="72">
        <f ca="1">INDIRECT("'May"&amp;Members!$F$2&amp;"-EXPENSE'!R"&amp;ROW()+3)</f>
        <v>5392.1161763102955</v>
      </c>
      <c r="K54" s="11"/>
      <c r="L54" s="72">
        <f t="shared" ca="1" si="18"/>
        <v>4907.8838236897045</v>
      </c>
      <c r="M54" s="72">
        <f ca="1">INDIRECT("'June"&amp;Members!$F$2&amp;"-COLLECTION'!K"&amp;ROW()-1)</f>
        <v>5391.88</v>
      </c>
      <c r="N54" s="72">
        <f ca="1">INDIRECT("'June"&amp;Members!$F$2&amp;"-EXPENSE'!R"&amp;ROW()+3)</f>
        <v>5546.256161604545</v>
      </c>
      <c r="O54" s="10"/>
      <c r="P54" s="72">
        <f t="shared" ca="1" si="19"/>
        <v>-154.3761616045449</v>
      </c>
      <c r="Q54" s="72">
        <f ca="1">INDIRECT("'July"&amp;Members!$F$2&amp;"-COLLECTION'!K"&amp;ROW()-1)</f>
        <v>5589.52</v>
      </c>
      <c r="R54" s="72">
        <f ca="1">INDIRECT("'July"&amp;Members!$F$2&amp;"-EXPENSE'!R"&amp;ROW()+3)</f>
        <v>5585.9008021113741</v>
      </c>
      <c r="S54" s="11"/>
      <c r="T54" s="72">
        <f t="shared" ca="1" si="20"/>
        <v>3.6191978886263314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0</v>
      </c>
      <c r="W54" s="10"/>
      <c r="X54" s="72">
        <f t="shared" ca="1" si="21"/>
        <v>0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51766.369999999995</v>
      </c>
      <c r="BB54" s="72">
        <f t="shared" ca="1" si="30"/>
        <v>16524.273140026213</v>
      </c>
      <c r="BC54" s="72">
        <f t="shared" si="31"/>
        <v>0</v>
      </c>
      <c r="BD54" s="72">
        <f t="shared" ca="1" si="32"/>
        <v>35242.096859973783</v>
      </c>
      <c r="BE54" s="72">
        <f t="shared" ca="1" si="33"/>
        <v>-809.09901783313398</v>
      </c>
    </row>
    <row r="55" spans="1:57" ht="15.75" customHeight="1" x14ac:dyDescent="0.3">
      <c r="A55" s="68" t="s">
        <v>73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-26326.006199165731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0</v>
      </c>
      <c r="G55" s="10"/>
      <c r="H55" s="70">
        <f t="shared" ca="1" si="17"/>
        <v>25990</v>
      </c>
      <c r="I55" s="70">
        <f ca="1">INDIRECT("'May"&amp;Members!$F$2&amp;"-COLLECTION'!K"&amp;ROW()-1)</f>
        <v>5343</v>
      </c>
      <c r="J55" s="70">
        <f ca="1">INDIRECT("'May"&amp;Members!$F$2&amp;"-EXPENSE'!R"&amp;ROW()+3)</f>
        <v>5656.7430521068927</v>
      </c>
      <c r="K55" s="11"/>
      <c r="L55" s="70">
        <f t="shared" ca="1" si="18"/>
        <v>-313.74305210689272</v>
      </c>
      <c r="M55" s="70">
        <f ca="1">INDIRECT("'June"&amp;Members!$F$2&amp;"-COLLECTION'!K"&amp;ROW()-1)</f>
        <v>5622</v>
      </c>
      <c r="N55" s="70">
        <f ca="1">INDIRECT("'June"&amp;Members!$F$2&amp;"-EXPENSE'!R"&amp;ROW()+3)</f>
        <v>5634.8694977311634</v>
      </c>
      <c r="O55" s="10"/>
      <c r="P55" s="70">
        <f t="shared" ca="1" si="19"/>
        <v>-12.869497731163392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5544.0945423782014</v>
      </c>
      <c r="S55" s="11"/>
      <c r="T55" s="70">
        <f t="shared" ca="1" si="20"/>
        <v>-5544.0945423782014</v>
      </c>
      <c r="U55" s="70">
        <f ca="1">INDIRECT("'Aug"&amp;Members!$F$2&amp;"-COLLECTION'!K"&amp;ROW()-1)</f>
        <v>0</v>
      </c>
      <c r="V55" s="70">
        <f ca="1">INDIRECT("'Aug"&amp;Members!$F$2&amp;"-EXPENSE'!R"&amp;ROW()+3)</f>
        <v>0</v>
      </c>
      <c r="W55" s="10"/>
      <c r="X55" s="70">
        <f t="shared" ca="1" si="21"/>
        <v>0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36955</v>
      </c>
      <c r="BB55" s="70">
        <f t="shared" ca="1" si="30"/>
        <v>16835.70709221626</v>
      </c>
      <c r="BC55" s="70">
        <f t="shared" si="31"/>
        <v>0</v>
      </c>
      <c r="BD55" s="70">
        <f t="shared" ca="1" si="32"/>
        <v>20119.29290778374</v>
      </c>
      <c r="BE55" s="70">
        <f t="shared" ca="1" si="33"/>
        <v>-6206.7132913819914</v>
      </c>
    </row>
    <row r="56" spans="1:57" ht="15.75" customHeight="1" x14ac:dyDescent="0.3">
      <c r="A56" s="52" t="s">
        <v>74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0</v>
      </c>
      <c r="G56" s="10"/>
      <c r="H56" s="72">
        <f t="shared" ca="1" si="17"/>
        <v>19999.45</v>
      </c>
      <c r="I56" s="72">
        <f ca="1">INDIRECT("'May"&amp;Members!$F$2&amp;"-COLLECTION'!K"&amp;ROW()-1)</f>
        <v>6494.14</v>
      </c>
      <c r="J56" s="72">
        <f ca="1">INDIRECT("'May"&amp;Members!$F$2&amp;"-EXPENSE'!R"&amp;ROW()+3)</f>
        <v>6497.4410646352235</v>
      </c>
      <c r="K56" s="11"/>
      <c r="L56" s="72">
        <f t="shared" ca="1" si="18"/>
        <v>-3.3010646352231561</v>
      </c>
      <c r="M56" s="72">
        <f ca="1">INDIRECT("'June"&amp;Members!$F$2&amp;"-COLLECTION'!K"&amp;ROW()-1)</f>
        <v>6389.74</v>
      </c>
      <c r="N56" s="72">
        <f ca="1">INDIRECT("'June"&amp;Members!$F$2&amp;"-EXPENSE'!R"&amp;ROW()+3)</f>
        <v>6876.5546698631806</v>
      </c>
      <c r="O56" s="10"/>
      <c r="P56" s="72">
        <f t="shared" ca="1" si="19"/>
        <v>-486.81466986318082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6887.5989572706749</v>
      </c>
      <c r="S56" s="11"/>
      <c r="T56" s="72">
        <f t="shared" ca="1" si="20"/>
        <v>-6887.5989572706749</v>
      </c>
      <c r="U56" s="72">
        <f ca="1">INDIRECT("'Aug"&amp;Members!$F$2&amp;"-COLLECTION'!K"&amp;ROW()-1)</f>
        <v>0</v>
      </c>
      <c r="V56" s="72">
        <f ca="1">INDIRECT("'Aug"&amp;Members!$F$2&amp;"-EXPENSE'!R"&amp;ROW()+3)</f>
        <v>0</v>
      </c>
      <c r="W56" s="10"/>
      <c r="X56" s="72">
        <f t="shared" ca="1" si="21"/>
        <v>0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32883.33</v>
      </c>
      <c r="BB56" s="72">
        <f t="shared" ca="1" si="30"/>
        <v>20261.594691769078</v>
      </c>
      <c r="BC56" s="72">
        <f t="shared" si="31"/>
        <v>0</v>
      </c>
      <c r="BD56" s="72">
        <f t="shared" ca="1" si="32"/>
        <v>12621.735308230924</v>
      </c>
      <c r="BE56" s="72">
        <f t="shared" ca="1" si="33"/>
        <v>-7377.6382426079363</v>
      </c>
    </row>
    <row r="57" spans="1:57" ht="15.75" customHeight="1" x14ac:dyDescent="0.3">
      <c r="A57" s="68" t="s">
        <v>75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0</v>
      </c>
      <c r="G57" s="10"/>
      <c r="H57" s="70">
        <f t="shared" ca="1" si="17"/>
        <v>4712</v>
      </c>
      <c r="I57" s="70">
        <f ca="1">INDIRECT("'May"&amp;Members!$F$2&amp;"-COLLECTION'!K"&amp;ROW()-1)</f>
        <v>20028.72</v>
      </c>
      <c r="J57" s="70">
        <f ca="1">INDIRECT("'May"&amp;Members!$F$2&amp;"-EXPENSE'!R"&amp;ROW()+3)</f>
        <v>6248.5555392290544</v>
      </c>
      <c r="K57" s="11"/>
      <c r="L57" s="70">
        <f t="shared" ca="1" si="18"/>
        <v>13780.164460770946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6409.4880044440733</v>
      </c>
      <c r="O57" s="10"/>
      <c r="P57" s="70">
        <f t="shared" ca="1" si="19"/>
        <v>-6409.4880044440733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5993.8038684357343</v>
      </c>
      <c r="S57" s="11"/>
      <c r="T57" s="70">
        <f t="shared" ca="1" si="20"/>
        <v>-5993.8038684357343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0</v>
      </c>
      <c r="W57" s="10"/>
      <c r="X57" s="70">
        <f t="shared" ca="1" si="21"/>
        <v>0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24740.720000000001</v>
      </c>
      <c r="BB57" s="70">
        <f t="shared" ca="1" si="30"/>
        <v>18651.847412108862</v>
      </c>
      <c r="BC57" s="70">
        <f t="shared" si="31"/>
        <v>0</v>
      </c>
      <c r="BD57" s="70">
        <f t="shared" ca="1" si="32"/>
        <v>6088.8725878911391</v>
      </c>
      <c r="BE57" s="70">
        <f t="shared" ca="1" si="33"/>
        <v>-12398.170634444319</v>
      </c>
    </row>
    <row r="58" spans="1:57" ht="15.75" customHeight="1" x14ac:dyDescent="0.3">
      <c r="A58" s="52" t="s">
        <v>76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-1536.731685420513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0</v>
      </c>
      <c r="G58" s="10"/>
      <c r="H58" s="72">
        <f t="shared" ca="1" si="17"/>
        <v>1536.73</v>
      </c>
      <c r="I58" s="72">
        <f ca="1">INDIRECT("'May"&amp;Members!$F$2&amp;"-COLLECTION'!K"&amp;ROW()-1)</f>
        <v>5287.24</v>
      </c>
      <c r="J58" s="72">
        <f ca="1">INDIRECT("'May"&amp;Members!$F$2&amp;"-EXPENSE'!R"&amp;ROW()+3)</f>
        <v>5843.6504067726655</v>
      </c>
      <c r="K58" s="11"/>
      <c r="L58" s="72">
        <f t="shared" ca="1" si="18"/>
        <v>-556.41040677266574</v>
      </c>
      <c r="M58" s="72">
        <f ca="1">INDIRECT("'June"&amp;Members!$F$2&amp;"-COLLECTION'!K"&amp;ROW()-1)</f>
        <v>5793</v>
      </c>
      <c r="N58" s="72">
        <f ca="1">INDIRECT("'June"&amp;Members!$F$2&amp;"-EXPENSE'!R"&amp;ROW()+3)</f>
        <v>5515.3401499344573</v>
      </c>
      <c r="O58" s="10"/>
      <c r="P58" s="72">
        <f t="shared" ca="1" si="19"/>
        <v>277.65985006554274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5463.2558202263972</v>
      </c>
      <c r="S58" s="11"/>
      <c r="T58" s="72">
        <f t="shared" ca="1" si="20"/>
        <v>-5463.2558202263972</v>
      </c>
      <c r="U58" s="72">
        <f ca="1">INDIRECT("'Aug"&amp;Members!$F$2&amp;"-COLLECTION'!K"&amp;ROW()-1)</f>
        <v>0</v>
      </c>
      <c r="V58" s="72">
        <f ca="1">INDIRECT("'Aug"&amp;Members!$F$2&amp;"-EXPENSE'!R"&amp;ROW()+3)</f>
        <v>0</v>
      </c>
      <c r="W58" s="10"/>
      <c r="X58" s="72">
        <f t="shared" ca="1" si="21"/>
        <v>0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12616.97</v>
      </c>
      <c r="BB58" s="72">
        <f t="shared" ca="1" si="30"/>
        <v>16822.246376933519</v>
      </c>
      <c r="BC58" s="72">
        <f t="shared" si="31"/>
        <v>0</v>
      </c>
      <c r="BD58" s="72">
        <f t="shared" ca="1" si="32"/>
        <v>-4205.2763769335197</v>
      </c>
      <c r="BE58" s="72">
        <f t="shared" ca="1" si="33"/>
        <v>-5742.0080623540325</v>
      </c>
    </row>
    <row r="59" spans="1:57" ht="15.75" customHeight="1" x14ac:dyDescent="0.3">
      <c r="A59" s="68" t="s">
        <v>77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0</v>
      </c>
      <c r="G59" s="10"/>
      <c r="H59" s="70">
        <f t="shared" ca="1" si="17"/>
        <v>4785</v>
      </c>
      <c r="I59" s="70">
        <f ca="1">INDIRECT("'May"&amp;Members!$F$2&amp;"-COLLECTION'!K"&amp;ROW()-1)</f>
        <v>4766.55</v>
      </c>
      <c r="J59" s="70">
        <f ca="1">INDIRECT("'May"&amp;Members!$F$2&amp;"-EXPENSE'!R"&amp;ROW()+3)</f>
        <v>5461.7960164036522</v>
      </c>
      <c r="K59" s="11"/>
      <c r="L59" s="70">
        <f t="shared" ca="1" si="18"/>
        <v>-695.24601640365199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5581.1166636640573</v>
      </c>
      <c r="O59" s="10"/>
      <c r="P59" s="70">
        <f t="shared" ca="1" si="19"/>
        <v>-5581.1166636640573</v>
      </c>
      <c r="Q59" s="70">
        <f ca="1">INDIRECT("'July"&amp;Members!$F$2&amp;"-COLLECTION'!K"&amp;ROW()-1)</f>
        <v>5455.63</v>
      </c>
      <c r="R59" s="70">
        <f ca="1">INDIRECT("'July"&amp;Members!$F$2&amp;"-EXPENSE'!R"&amp;ROW()+3)</f>
        <v>5591.8758380965073</v>
      </c>
      <c r="S59" s="11"/>
      <c r="T59" s="70">
        <f t="shared" ca="1" si="20"/>
        <v>-136.24583809650721</v>
      </c>
      <c r="U59" s="70">
        <f ca="1">INDIRECT("'Aug"&amp;Members!$F$2&amp;"-COLLECTION'!K"&amp;ROW()-1)</f>
        <v>0</v>
      </c>
      <c r="V59" s="70">
        <f ca="1">INDIRECT("'Aug"&amp;Members!$F$2&amp;"-EXPENSE'!R"&amp;ROW()+3)</f>
        <v>0</v>
      </c>
      <c r="W59" s="10"/>
      <c r="X59" s="70">
        <f t="shared" ca="1" si="21"/>
        <v>0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15007.18</v>
      </c>
      <c r="BB59" s="70">
        <f t="shared" ca="1" si="30"/>
        <v>16634.788518164216</v>
      </c>
      <c r="BC59" s="70">
        <f t="shared" si="31"/>
        <v>0</v>
      </c>
      <c r="BD59" s="70">
        <f t="shared" ca="1" si="32"/>
        <v>-1627.6085181642156</v>
      </c>
      <c r="BE59" s="70">
        <f t="shared" ca="1" si="33"/>
        <v>-1909.9932280266548</v>
      </c>
    </row>
    <row r="60" spans="1:57" ht="15.75" customHeight="1" x14ac:dyDescent="0.3">
      <c r="A60" s="52" t="s">
        <v>79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-3695.2265876812312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0</v>
      </c>
      <c r="G60" s="10"/>
      <c r="H60" s="72">
        <f t="shared" ca="1" si="17"/>
        <v>5920</v>
      </c>
      <c r="I60" s="72">
        <f ca="1">INDIRECT("'May"&amp;Members!$F$2&amp;"-COLLECTION'!K"&amp;ROW()-1)</f>
        <v>15000</v>
      </c>
      <c r="J60" s="72">
        <f ca="1">INDIRECT("'May"&amp;Members!$F$2&amp;"-EXPENSE'!R"&amp;ROW()+3)</f>
        <v>8371.7226497599004</v>
      </c>
      <c r="K60" s="11"/>
      <c r="L60" s="72">
        <f t="shared" ca="1" si="18"/>
        <v>6628.2773502400996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7514.4992428755577</v>
      </c>
      <c r="O60" s="10"/>
      <c r="P60" s="72">
        <f t="shared" ca="1" si="19"/>
        <v>-7514.4992428755577</v>
      </c>
      <c r="Q60" s="72">
        <f ca="1">INDIRECT("'July"&amp;Members!$F$2&amp;"-COLLECTION'!K"&amp;ROW()-1)</f>
        <v>2664</v>
      </c>
      <c r="R60" s="72">
        <f ca="1">INDIRECT("'July"&amp;Members!$F$2&amp;"-EXPENSE'!R"&amp;ROW()+3)</f>
        <v>7898.0402316814852</v>
      </c>
      <c r="S60" s="11"/>
      <c r="T60" s="72">
        <f t="shared" ca="1" si="20"/>
        <v>-5234.0402316814852</v>
      </c>
      <c r="U60" s="72">
        <f ca="1">INDIRECT("'Aug"&amp;Members!$F$2&amp;"-COLLECTION'!K"&amp;ROW()-1)</f>
        <v>0</v>
      </c>
      <c r="V60" s="72">
        <f ca="1">INDIRECT("'Aug"&amp;Members!$F$2&amp;"-EXPENSE'!R"&amp;ROW()+3)</f>
        <v>0</v>
      </c>
      <c r="W60" s="10"/>
      <c r="X60" s="72">
        <f t="shared" ca="1" si="21"/>
        <v>0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23584</v>
      </c>
      <c r="BB60" s="72">
        <f t="shared" ca="1" si="30"/>
        <v>23784.262124316941</v>
      </c>
      <c r="BC60" s="72">
        <f t="shared" si="31"/>
        <v>0</v>
      </c>
      <c r="BD60" s="72">
        <f t="shared" ca="1" si="32"/>
        <v>-200.26212431694148</v>
      </c>
      <c r="BE60" s="72">
        <f t="shared" ca="1" si="33"/>
        <v>-3895.4887119981727</v>
      </c>
    </row>
    <row r="61" spans="1:57" ht="15.75" customHeight="1" x14ac:dyDescent="0.3">
      <c r="A61" s="68" t="s">
        <v>80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-11287.864466679601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0</v>
      </c>
      <c r="G61" s="10"/>
      <c r="H61" s="70">
        <f t="shared" ca="1" si="17"/>
        <v>11287</v>
      </c>
      <c r="I61" s="70">
        <f ca="1">INDIRECT("'May"&amp;Members!$F$2&amp;"-COLLECTION'!K"&amp;ROW()-1)</f>
        <v>5187</v>
      </c>
      <c r="J61" s="70">
        <f ca="1">INDIRECT("'May"&amp;Members!$F$2&amp;"-EXPENSE'!R"&amp;ROW()+3)</f>
        <v>5804.5745685818601</v>
      </c>
      <c r="K61" s="11"/>
      <c r="L61" s="70">
        <f t="shared" ca="1" si="18"/>
        <v>-617.57456858186015</v>
      </c>
      <c r="M61" s="70">
        <f ca="1">INDIRECT("'June"&amp;Members!$F$2&amp;"-COLLECTION'!K"&amp;ROW()-1)</f>
        <v>5758</v>
      </c>
      <c r="N61" s="70">
        <f ca="1">INDIRECT("'June"&amp;Members!$F$2&amp;"-EXPENSE'!R"&amp;ROW()+3)</f>
        <v>6063.6590115780346</v>
      </c>
      <c r="O61" s="10"/>
      <c r="P61" s="70">
        <f t="shared" ca="1" si="19"/>
        <v>-305.65901157803455</v>
      </c>
      <c r="Q61" s="70">
        <f ca="1">INDIRECT("'July"&amp;Members!$F$2&amp;"-COLLECTION'!K"&amp;ROW()-1)</f>
        <v>6112</v>
      </c>
      <c r="R61" s="70">
        <f ca="1">INDIRECT("'July"&amp;Members!$F$2&amp;"-EXPENSE'!R"&amp;ROW()+3)</f>
        <v>5751.4634383328275</v>
      </c>
      <c r="S61" s="11"/>
      <c r="T61" s="70">
        <f t="shared" ca="1" si="20"/>
        <v>360.53656166717246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0</v>
      </c>
      <c r="W61" s="10"/>
      <c r="X61" s="70">
        <f t="shared" ca="1" si="21"/>
        <v>0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28344</v>
      </c>
      <c r="BB61" s="70">
        <f t="shared" ca="1" si="30"/>
        <v>17619.697018492723</v>
      </c>
      <c r="BC61" s="70">
        <f t="shared" si="31"/>
        <v>0</v>
      </c>
      <c r="BD61" s="70">
        <f t="shared" ca="1" si="32"/>
        <v>10724.302981507277</v>
      </c>
      <c r="BE61" s="70">
        <f t="shared" ca="1" si="33"/>
        <v>-563.56148517232396</v>
      </c>
    </row>
    <row r="62" spans="1:57" ht="15.75" customHeight="1" x14ac:dyDescent="0.3">
      <c r="A62" s="52" t="s">
        <v>81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0</v>
      </c>
      <c r="G62" s="10"/>
      <c r="H62" s="72">
        <f t="shared" ca="1" si="17"/>
        <v>4806</v>
      </c>
      <c r="I62" s="72">
        <f ca="1">INDIRECT("'May"&amp;Members!$F$2&amp;"-COLLECTION'!K"&amp;ROW()-1)</f>
        <v>84.49</v>
      </c>
      <c r="J62" s="72">
        <f ca="1">INDIRECT("'May"&amp;Members!$F$2&amp;"-EXPENSE'!R"&amp;ROW()+3)</f>
        <v>5638.6643966783668</v>
      </c>
      <c r="K62" s="11"/>
      <c r="L62" s="72">
        <f t="shared" ca="1" si="18"/>
        <v>-5554.174396678367</v>
      </c>
      <c r="M62" s="72">
        <f ca="1">INDIRECT("'June"&amp;Members!$F$2&amp;"-COLLECTION'!K"&amp;ROW()-1)</f>
        <v>5606.17</v>
      </c>
      <c r="N62" s="72">
        <f ca="1">INDIRECT("'June"&amp;Members!$F$2&amp;"-EXPENSE'!R"&amp;ROW()+3)</f>
        <v>7735.8420223132835</v>
      </c>
      <c r="O62" s="10"/>
      <c r="P62" s="72">
        <f t="shared" ca="1" si="19"/>
        <v>-2129.6720223132834</v>
      </c>
      <c r="Q62" s="72">
        <f ca="1">INDIRECT("'July"&amp;Members!$F$2&amp;"-COLLECTION'!K"&amp;ROW()-1)</f>
        <v>5659.39</v>
      </c>
      <c r="R62" s="72">
        <f ca="1">INDIRECT("'July"&amp;Members!$F$2&amp;"-EXPENSE'!R"&amp;ROW()+3)</f>
        <v>5790.6526449412022</v>
      </c>
      <c r="S62" s="11"/>
      <c r="T62" s="72">
        <f t="shared" ca="1" si="20"/>
        <v>-131.26264494120187</v>
      </c>
      <c r="U62" s="72">
        <f ca="1">INDIRECT("'Aug"&amp;Members!$F$2&amp;"-COLLECTION'!K"&amp;ROW()-1)</f>
        <v>0</v>
      </c>
      <c r="V62" s="72">
        <f ca="1">INDIRECT("'Aug"&amp;Members!$F$2&amp;"-EXPENSE'!R"&amp;ROW()+3)</f>
        <v>0</v>
      </c>
      <c r="W62" s="10"/>
      <c r="X62" s="72">
        <f t="shared" ca="1" si="21"/>
        <v>0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16156.05</v>
      </c>
      <c r="BB62" s="72">
        <f t="shared" ca="1" si="30"/>
        <v>19165.159063932853</v>
      </c>
      <c r="BC62" s="72">
        <f t="shared" si="31"/>
        <v>0</v>
      </c>
      <c r="BD62" s="72">
        <f t="shared" ca="1" si="32"/>
        <v>-3009.109063932854</v>
      </c>
      <c r="BE62" s="72">
        <f t="shared" ca="1" si="33"/>
        <v>-3099.780123108947</v>
      </c>
    </row>
    <row r="63" spans="1:57" ht="15.75" customHeight="1" x14ac:dyDescent="0.3">
      <c r="A63" s="68" t="s">
        <v>82</v>
      </c>
      <c r="B63" s="69">
        <f>VLOOKUP(A63,Members!$A$2:$C$65,3,FALSE)</f>
        <v>0</v>
      </c>
      <c r="C63" s="68" t="str">
        <f>Members!B62</f>
        <v>Sonali Deokhule</v>
      </c>
      <c r="D63" s="70">
        <v>16858.059115016109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0</v>
      </c>
      <c r="G63" s="10"/>
      <c r="H63" s="70">
        <f t="shared" ca="1" si="17"/>
        <v>12000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7163.4190572872976</v>
      </c>
      <c r="K63" s="11"/>
      <c r="L63" s="70">
        <f t="shared" ca="1" si="18"/>
        <v>-7163.4190572872976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7585.88915040354</v>
      </c>
      <c r="O63" s="10"/>
      <c r="P63" s="70">
        <f t="shared" ca="1" si="19"/>
        <v>-7585.88915040354</v>
      </c>
      <c r="Q63" s="70">
        <f ca="1">INDIRECT("'July"&amp;Members!$F$2&amp;"-COLLECTION'!K"&amp;ROW()-1)</f>
        <v>12000</v>
      </c>
      <c r="R63" s="70">
        <f ca="1">INDIRECT("'July"&amp;Members!$F$2&amp;"-EXPENSE'!R"&amp;ROW()+3)</f>
        <v>8687.0046326482516</v>
      </c>
      <c r="S63" s="11"/>
      <c r="T63" s="70">
        <f t="shared" ca="1" si="20"/>
        <v>3312.9953673517484</v>
      </c>
      <c r="U63" s="70">
        <f ca="1">INDIRECT("'Aug"&amp;Members!$F$2&amp;"-COLLECTION'!K"&amp;ROW()-1)</f>
        <v>0</v>
      </c>
      <c r="V63" s="70">
        <f ca="1">INDIRECT("'Aug"&amp;Members!$F$2&amp;"-EXPENSE'!R"&amp;ROW()+3)</f>
        <v>0</v>
      </c>
      <c r="W63" s="10"/>
      <c r="X63" s="70">
        <f t="shared" ca="1" si="21"/>
        <v>0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24000</v>
      </c>
      <c r="BB63" s="70">
        <f t="shared" ca="1" si="30"/>
        <v>23436.312840339087</v>
      </c>
      <c r="BC63" s="70">
        <f t="shared" si="31"/>
        <v>0</v>
      </c>
      <c r="BD63" s="70">
        <f t="shared" ca="1" si="32"/>
        <v>563.68715966091258</v>
      </c>
      <c r="BE63" s="70">
        <f t="shared" ca="1" si="33"/>
        <v>17421.746274677022</v>
      </c>
    </row>
    <row r="64" spans="1:57" ht="15.75" customHeight="1" x14ac:dyDescent="0.3">
      <c r="A64" s="52" t="s">
        <v>84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0</v>
      </c>
      <c r="G64" s="10"/>
      <c r="H64" s="72">
        <f t="shared" ca="1" si="17"/>
        <v>4477</v>
      </c>
      <c r="I64" s="72">
        <f ca="1">INDIRECT("'May"&amp;Members!$F$2&amp;"-COLLECTION'!K"&amp;ROW()-1)</f>
        <v>5350</v>
      </c>
      <c r="J64" s="72">
        <f ca="1">INDIRECT("'May"&amp;Members!$F$2&amp;"-EXPENSE'!R"&amp;ROW()+3)</f>
        <v>6212.99252403022</v>
      </c>
      <c r="K64" s="11"/>
      <c r="L64" s="72">
        <f t="shared" ca="1" si="18"/>
        <v>-862.99252403022001</v>
      </c>
      <c r="M64" s="72">
        <f ca="1">INDIRECT("'June"&amp;Members!$F$2&amp;"-COLLECTION'!K"&amp;ROW()-1)</f>
        <v>6142</v>
      </c>
      <c r="N64" s="72">
        <f ca="1">INDIRECT("'June"&amp;Members!$F$2&amp;"-EXPENSE'!R"&amp;ROW()+3)</f>
        <v>5984.9219279491335</v>
      </c>
      <c r="O64" s="10"/>
      <c r="P64" s="72">
        <f t="shared" ca="1" si="19"/>
        <v>157.07807205086647</v>
      </c>
      <c r="Q64" s="72">
        <f ca="1">INDIRECT("'July"&amp;Members!$F$2&amp;"-COLLECTION'!K"&amp;ROW()-1)</f>
        <v>6273</v>
      </c>
      <c r="R64" s="72">
        <f ca="1">INDIRECT("'July"&amp;Members!$F$2&amp;"-EXPENSE'!R"&amp;ROW()+3)</f>
        <v>6482.6834089388813</v>
      </c>
      <c r="S64" s="11"/>
      <c r="T64" s="72">
        <f t="shared" ca="1" si="20"/>
        <v>-209.68340893888126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0</v>
      </c>
      <c r="W64" s="10"/>
      <c r="X64" s="72">
        <f t="shared" ca="1" si="21"/>
        <v>0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22242</v>
      </c>
      <c r="BB64" s="72">
        <f t="shared" ca="1" si="30"/>
        <v>18680.597860918235</v>
      </c>
      <c r="BC64" s="72">
        <f t="shared" si="31"/>
        <v>0</v>
      </c>
      <c r="BD64" s="72">
        <f t="shared" ca="1" si="32"/>
        <v>3561.4021390817652</v>
      </c>
      <c r="BE64" s="72">
        <f t="shared" ca="1" si="33"/>
        <v>-915.49972174067807</v>
      </c>
    </row>
    <row r="65" spans="1:57" ht="15.75" customHeight="1" x14ac:dyDescent="0.3">
      <c r="A65" s="68" t="s">
        <v>85</v>
      </c>
      <c r="B65" s="69">
        <f>VLOOKUP(A65,Members!$A$2:$C$65,3,FALSE)</f>
        <v>0</v>
      </c>
      <c r="C65" s="68" t="str">
        <f>Members!B64</f>
        <v>Trevor</v>
      </c>
      <c r="D65" s="70">
        <v>-32318.826286914791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0</v>
      </c>
      <c r="G65" s="10"/>
      <c r="H65" s="70">
        <f t="shared" ca="1" si="17"/>
        <v>5420</v>
      </c>
      <c r="I65" s="70">
        <f ca="1">INDIRECT("'May"&amp;Members!$F$2&amp;"-COLLECTION'!K"&amp;ROW()-1)</f>
        <v>5420</v>
      </c>
      <c r="J65" s="70">
        <f ca="1">INDIRECT("'May"&amp;Members!$F$2&amp;"-EXPENSE'!R"&amp;ROW()+3)</f>
        <v>5890.9816748727917</v>
      </c>
      <c r="K65" s="11"/>
      <c r="L65" s="70">
        <f t="shared" ca="1" si="18"/>
        <v>-470.9816748727917</v>
      </c>
      <c r="M65" s="70">
        <f ca="1">INDIRECT("'June"&amp;Members!$F$2&amp;"-COLLECTION'!K"&amp;ROW()-1)</f>
        <v>32894</v>
      </c>
      <c r="N65" s="70">
        <f ca="1">INDIRECT("'June"&amp;Members!$F$2&amp;"-EXPENSE'!R"&amp;ROW()+3)</f>
        <v>6503.2383360591011</v>
      </c>
      <c r="O65" s="10"/>
      <c r="P65" s="70">
        <f t="shared" ca="1" si="19"/>
        <v>26390.761663940899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6646.2939531200318</v>
      </c>
      <c r="S65" s="11"/>
      <c r="T65" s="70">
        <f t="shared" ca="1" si="20"/>
        <v>-6646.2939531200318</v>
      </c>
      <c r="U65" s="70">
        <f ca="1">INDIRECT("'Aug"&amp;Members!$F$2&amp;"-COLLECTION'!K"&amp;ROW()-1)</f>
        <v>0</v>
      </c>
      <c r="V65" s="70">
        <f ca="1">INDIRECT("'Aug"&amp;Members!$F$2&amp;"-EXPENSE'!R"&amp;ROW()+3)</f>
        <v>0</v>
      </c>
      <c r="W65" s="10"/>
      <c r="X65" s="70">
        <f t="shared" ca="1" si="21"/>
        <v>0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43734</v>
      </c>
      <c r="BB65" s="70">
        <f t="shared" ca="1" si="30"/>
        <v>19040.513964051926</v>
      </c>
      <c r="BC65" s="70">
        <f t="shared" si="31"/>
        <v>0</v>
      </c>
      <c r="BD65" s="70">
        <f t="shared" ca="1" si="32"/>
        <v>24693.486035948074</v>
      </c>
      <c r="BE65" s="70">
        <f t="shared" ca="1" si="33"/>
        <v>-7625.3402509667176</v>
      </c>
    </row>
    <row r="66" spans="1:57" ht="15.75" customHeight="1" x14ac:dyDescent="0.3">
      <c r="A66" s="52" t="s">
        <v>86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0</v>
      </c>
      <c r="G66" s="10"/>
      <c r="H66" s="72">
        <f t="shared" ca="1" si="17"/>
        <v>5231</v>
      </c>
      <c r="I66" s="72">
        <f ca="1">INDIRECT("'May"&amp;Members!$F$2&amp;"-COLLECTION'!K"&amp;ROW()-1)</f>
        <v>10000</v>
      </c>
      <c r="J66" s="72">
        <f ca="1">INDIRECT("'May"&amp;Members!$F$2&amp;"-EXPENSE'!R"&amp;ROW()+3)</f>
        <v>6263.0671056941046</v>
      </c>
      <c r="K66" s="11"/>
      <c r="L66" s="72">
        <f t="shared" ca="1" si="18"/>
        <v>3736.9328943058954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6492.0748293844499</v>
      </c>
      <c r="O66" s="10"/>
      <c r="P66" s="72">
        <f t="shared" ca="1" si="19"/>
        <v>-6492.0748293844499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6771.6129646180871</v>
      </c>
      <c r="S66" s="11"/>
      <c r="T66" s="72">
        <f t="shared" ca="1" si="20"/>
        <v>-6771.6129646180871</v>
      </c>
      <c r="U66" s="72">
        <f ca="1">INDIRECT("'Aug"&amp;Members!$F$2&amp;"-COLLECTION'!K"&amp;ROW()-1)</f>
        <v>0</v>
      </c>
      <c r="V66" s="72">
        <f ca="1">INDIRECT("'Aug"&amp;Members!$F$2&amp;"-EXPENSE'!R"&amp;ROW()+3)</f>
        <v>0</v>
      </c>
      <c r="W66" s="10"/>
      <c r="X66" s="72">
        <f t="shared" ca="1" si="21"/>
        <v>0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15231</v>
      </c>
      <c r="BB66" s="72">
        <f t="shared" ca="1" si="30"/>
        <v>19526.754899696643</v>
      </c>
      <c r="BC66" s="72">
        <f t="shared" si="31"/>
        <v>0</v>
      </c>
      <c r="BD66" s="72">
        <f t="shared" ca="1" si="32"/>
        <v>-4295.7548996966434</v>
      </c>
      <c r="BE66" s="72">
        <f t="shared" ca="1" si="33"/>
        <v>-13645.962039089944</v>
      </c>
    </row>
    <row r="67" spans="1:57" ht="15.75" customHeight="1" x14ac:dyDescent="0.3">
      <c r="A67" s="9"/>
      <c r="B67" s="8"/>
      <c r="C67" s="9" t="s">
        <v>87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0</v>
      </c>
      <c r="G67" s="11">
        <f t="shared" si="34"/>
        <v>1000</v>
      </c>
      <c r="H67" s="11">
        <f t="shared" ca="1" si="34"/>
        <v>523376.3</v>
      </c>
      <c r="I67" s="11">
        <f t="shared" ca="1" si="34"/>
        <v>257530.98999999996</v>
      </c>
      <c r="J67" s="11">
        <f t="shared" ca="1" si="34"/>
        <v>385692.96620000008</v>
      </c>
      <c r="K67" s="11">
        <f t="shared" si="34"/>
        <v>0</v>
      </c>
      <c r="L67" s="11">
        <f t="shared" ca="1" si="34"/>
        <v>-128161.97619999996</v>
      </c>
      <c r="M67" s="11">
        <f t="shared" ca="1" si="34"/>
        <v>325302.08</v>
      </c>
      <c r="N67" s="11">
        <f t="shared" ca="1" si="34"/>
        <v>410805.96619999991</v>
      </c>
      <c r="O67" s="11">
        <f t="shared" si="34"/>
        <v>0</v>
      </c>
      <c r="P67" s="11">
        <f t="shared" ca="1" si="34"/>
        <v>-85503.886200000023</v>
      </c>
      <c r="Q67" s="11">
        <f t="shared" ca="1" si="34"/>
        <v>401232.16000000003</v>
      </c>
      <c r="R67" s="11">
        <f t="shared" ca="1" si="34"/>
        <v>406424.96619999991</v>
      </c>
      <c r="S67" s="11">
        <f t="shared" si="34"/>
        <v>0</v>
      </c>
      <c r="T67" s="11">
        <f t="shared" ca="1" si="34"/>
        <v>-5192.8061999999991</v>
      </c>
      <c r="U67" s="11">
        <f t="shared" ca="1" si="34"/>
        <v>0</v>
      </c>
      <c r="V67" s="11">
        <f t="shared" ca="1" si="34"/>
        <v>0</v>
      </c>
      <c r="W67" s="11">
        <f t="shared" si="34"/>
        <v>0</v>
      </c>
      <c r="X67" s="11">
        <f t="shared" ca="1" si="34"/>
        <v>0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D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1508441.5300000003</v>
      </c>
      <c r="BB67" s="11">
        <f t="shared" ca="1" si="35"/>
        <v>1202923.8986000002</v>
      </c>
      <c r="BC67" s="11">
        <f t="shared" si="35"/>
        <v>1000</v>
      </c>
      <c r="BD67" s="13">
        <f t="shared" ca="1" si="35"/>
        <v>304517.63140000007</v>
      </c>
      <c r="BE67" s="77">
        <f t="shared" ref="BE67" ca="1" si="36">BD67+D67</f>
        <v>-343532.25821299979</v>
      </c>
    </row>
  </sheetData>
  <autoFilter ref="A2:BF67" xr:uid="{00000000-0009-0000-0000-00001A000000}"/>
  <mergeCells count="12">
    <mergeCell ref="AW1:AZ1"/>
    <mergeCell ref="U1:X1"/>
    <mergeCell ref="AG1:AJ1"/>
    <mergeCell ref="I1:L1"/>
    <mergeCell ref="M1:P1"/>
    <mergeCell ref="Q1:T1"/>
    <mergeCell ref="AO1:AR1"/>
    <mergeCell ref="E1:H1"/>
    <mergeCell ref="AK1:AN1"/>
    <mergeCell ref="AC1:AF1"/>
    <mergeCell ref="Y1:AB1"/>
    <mergeCell ref="AS1:AV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2026-09-08T01:59:22Z</dcterms:modified>
</cp:coreProperties>
</file>